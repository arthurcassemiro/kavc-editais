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bre" sheetId="1" state="visible" r:id="rId3"/>
    <sheet name="1 Indicadores" sheetId="2" state="visible" r:id="rId4"/>
    <sheet name="2 Fator educacional" sheetId="3" state="visible" r:id="rId5"/>
    <sheet name="3 Fator demográfico" sheetId="4" state="visible" r:id="rId6"/>
    <sheet name="4 Fator socioeconômico" sheetId="5" state="visible" r:id="rId7"/>
    <sheet name="5 PCM" sheetId="6" state="visible" r:id="rId8"/>
    <sheet name="6 Distribuição" sheetId="7" state="visible" r:id="rId9"/>
    <sheet name="7 Resumo por porte" sheetId="8" state="visible" r:id="rId10"/>
  </sheets>
  <definedNames>
    <definedName function="false" hidden="false" localSheetId="1" name="_xlnm.Print_Titles" vbProcedure="false">'1 Indicadores'!$4:$5</definedName>
    <definedName function="false" hidden="false" localSheetId="2" name="_xlnm.Print_Titles" vbProcedure="false">'2 Fator educacional'!$4:$5</definedName>
    <definedName function="false" hidden="false" localSheetId="3" name="_xlnm.Print_Titles" vbProcedure="false">'3 Fator demográfico'!$4:$5</definedName>
    <definedName function="false" hidden="false" localSheetId="4" name="_xlnm.Print_Titles" vbProcedure="false">'4 Fator socioeconômico'!$4:$5</definedName>
    <definedName function="false" hidden="false" localSheetId="5" name="_xlnm.Print_Titles" vbProcedure="false">'5 PCM'!$4:$5</definedName>
    <definedName function="false" hidden="false" localSheetId="6" name="_xlnm.Print_Titles" vbProcedure="false">'6 Distribuição'!$4:$5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<sst xmlns="http://schemas.openxmlformats.org/spreadsheetml/2006/main" count="4979" uniqueCount="554">
  <si>
    <t xml:space="preserve">Potencial de Creche por Município (PCM): dados de construção do indicador</t>
  </si>
  <si>
    <t xml:space="preserve">Material suplementar. Dados municipais usados no cálculo do indicador e na distribuição das unidades do Programa Infância Feliz Paraná.</t>
  </si>
  <si>
    <t xml:space="preserve">Aba</t>
  </si>
  <si>
    <t xml:space="preserve">Conteúdo</t>
  </si>
  <si>
    <t xml:space="preserve">1 Indicadores</t>
  </si>
  <si>
    <t xml:space="preserve">Nove indicadores brutos dos 399 municípios, com as variáveis de origem, organizados pelos três fatores.</t>
  </si>
  <si>
    <t xml:space="preserve">2 Fator educacional</t>
  </si>
  <si>
    <t xml:space="preserve">Indicadores normalizados de 0 a 100 e cálculo do fator educacional (F_E), com fórmulas.</t>
  </si>
  <si>
    <t xml:space="preserve">3 Fator demográfico</t>
  </si>
  <si>
    <t xml:space="preserve">Indicadores normalizados de 0 a 100 e cálculo do fator demográfico (F_D), com fórmulas.</t>
  </si>
  <si>
    <t xml:space="preserve">4 Fator socioeconômico</t>
  </si>
  <si>
    <t xml:space="preserve">Indicadores normalizados de 0 a 100 e cálculo do fator socioeconômico (F_S), com fórmulas.</t>
  </si>
  <si>
    <t xml:space="preserve">5 PCM</t>
  </si>
  <si>
    <t xml:space="preserve">Agregação dos três fatores no PCM, com posição no estado e na faixa de porte.</t>
  </si>
  <si>
    <t xml:space="preserve">6 Distribuição</t>
  </si>
  <si>
    <t xml:space="preserve">Creches atribuídas por município em cada versão da distribuição e na lista publicada.</t>
  </si>
  <si>
    <t xml:space="preserve">7 Resumo por porte</t>
  </si>
  <si>
    <t xml:space="preserve">Totais por faixa de porte, calculados com fórmulas a partir das abas anteriores.</t>
  </si>
  <si>
    <t xml:space="preserve">Método</t>
  </si>
  <si>
    <t xml:space="preserve">Normalização mínimo-máximo de 0 a 100, com extremos dados pelos 399 municípios. Nos indicadores de sentido inverso (cobertura de creche, matrícula na pré-escola e no fundamental, oferta privada e IPDM), o município de menor valor recebe 100. Exceção: na planilha de cálculo, PC e TN são divididos pelo maior valor municipal (× 100), o que só coincidiria com o mínimo-máximo se o menor valor fosse zero, como na MI.</t>
  </si>
  <si>
    <t xml:space="preserve">Fator educacional: F_E = normalização de [(2 × MC + MP + OP) / 4]. Fator demográfico: F_D = normalização de [(MI + PC + TN) / 3]. Fator socioeconômico: F_S = normalização de [(BP + CU + IR) / 3].</t>
  </si>
  <si>
    <t xml:space="preserve">PCM = (2 × F_E + F_D + 2 × F_S) / 500, entre 0 e 1.</t>
  </si>
  <si>
    <t xml:space="preserve">Os indicadores normalizados das abas 2 a 4 são os valores das planilhas de cálculo do estudo; fatores e PCM são recalculados por fórmula e reproduzem exatamente os valores do estudo.</t>
  </si>
  <si>
    <t xml:space="preserve">Na planilha de cálculo, a coluna rotulada como população de 0 a 4 anos contém a população de 5 a 14 anos do Censo Demográfico 2022 (1.497.164 pessoas no estado) e entra no indicador PC e nas cotas dos portes grandes. Calculado com a população de 0 a 4 anos e com o mínimo-máximo também em PC e TN, o PCM teria correlação de postos de 0,99 com o adotado, e 153 dos 157 municípios selecionados nas faixas de menor porte se manteriam.</t>
  </si>
  <si>
    <t xml:space="preserve">Fontes</t>
  </si>
  <si>
    <t xml:space="preserve">MC, MP, OP</t>
  </si>
  <si>
    <t xml:space="preserve">Inep, Censo Escolar 2023; IBGE, Censo Demográfico 2022</t>
  </si>
  <si>
    <t xml:space="preserve">MI</t>
  </si>
  <si>
    <t xml:space="preserve">Ministério da Saúde, SIM e Sinasc (Datasus), 2020</t>
  </si>
  <si>
    <t xml:space="preserve">PC</t>
  </si>
  <si>
    <t xml:space="preserve">IBGE, Censo Demográfico 2022</t>
  </si>
  <si>
    <t xml:space="preserve">TN</t>
  </si>
  <si>
    <t xml:space="preserve">Ipardes, Base de Dados do Estado, 2022</t>
  </si>
  <si>
    <t xml:space="preserve">BP, CU</t>
  </si>
  <si>
    <t xml:space="preserve">Ministério da Saúde, Sisvan e condicionalidades de saúde do Bolsa Família, 2023</t>
  </si>
  <si>
    <t xml:space="preserve">IR</t>
  </si>
  <si>
    <t xml:space="preserve">Ipardes, IPDM 2021, dimensão renda, emprego e produção agropecuária</t>
  </si>
  <si>
    <t xml:space="preserve">Distribuição</t>
  </si>
  <si>
    <t xml:space="preserve">Planilhas de cálculo do estudo (março e maio de 2024) e Resolução SEDEF nº 219/2024</t>
  </si>
  <si>
    <t xml:space="preserve">Cores das abas</t>
  </si>
  <si>
    <t xml:space="preserve">Fator educacional</t>
  </si>
  <si>
    <t xml:space="preserve">Fator demográfico</t>
  </si>
  <si>
    <t xml:space="preserve">Fator socioeconômico</t>
  </si>
  <si>
    <t xml:space="preserve">Indicador agregado</t>
  </si>
  <si>
    <t xml:space="preserve">Indicadores brutos por município</t>
  </si>
  <si>
    <t xml:space="preserve">Valores de origem dos nove indicadores do PCM e variáveis auxiliares. Proporções em percentual.</t>
  </si>
  <si>
    <t xml:space="preserve">Município</t>
  </si>
  <si>
    <t xml:space="preserve">Código IBGE</t>
  </si>
  <si>
    <t xml:space="preserve">Porte</t>
  </si>
  <si>
    <t xml:space="preserve">População total (2022)</t>
  </si>
  <si>
    <t xml:space="preserve">População de 0 a 4 anos (2022)</t>
  </si>
  <si>
    <t xml:space="preserve">Matrículas em creche (2023)</t>
  </si>
  <si>
    <t xml:space="preserve">MC: cobertura de creche</t>
  </si>
  <si>
    <t xml:space="preserve">MP: matrícula pré-escola e fundamental por criança de 5 a 14 anos</t>
  </si>
  <si>
    <t xml:space="preserve">Estabelecimentos privados com creche</t>
  </si>
  <si>
    <t xml:space="preserve">Estabelecimentos com creche</t>
  </si>
  <si>
    <t xml:space="preserve">OP: oferta privada</t>
  </si>
  <si>
    <t xml:space="preserve">MI: mortalidade infantil (por mil)</t>
  </si>
  <si>
    <t xml:space="preserve">PC: proporção de crianças de 5 a 14 anos</t>
  </si>
  <si>
    <t xml:space="preserve">TN: taxa de natalidade (por mil)</t>
  </si>
  <si>
    <t xml:space="preserve">BP: baixo peso para a idade</t>
  </si>
  <si>
    <t xml:space="preserve">Crianças no CadÚnico a acompanhar</t>
  </si>
  <si>
    <t xml:space="preserve">CU: crianças no CadÚnico</t>
  </si>
  <si>
    <t xml:space="preserve">IR: IPDM renda, emprego e produção</t>
  </si>
  <si>
    <t xml:space="preserve">Abatiá</t>
  </si>
  <si>
    <t xml:space="preserve">P2</t>
  </si>
  <si>
    <t xml:space="preserve">Adrianópolis</t>
  </si>
  <si>
    <t xml:space="preserve">Agudos do Sul</t>
  </si>
  <si>
    <t xml:space="preserve">Almirante Tamandaré</t>
  </si>
  <si>
    <t xml:space="preserve">M1</t>
  </si>
  <si>
    <t xml:space="preserve">Altamira do Paraná</t>
  </si>
  <si>
    <t xml:space="preserve">P1</t>
  </si>
  <si>
    <t xml:space="preserve">Alto Paraíso</t>
  </si>
  <si>
    <t xml:space="preserve">Alto Paraná</t>
  </si>
  <si>
    <t xml:space="preserve">Alto Piquiri</t>
  </si>
  <si>
    <t xml:space="preserve">Altônia</t>
  </si>
  <si>
    <t xml:space="preserve">Alvorada do Sul</t>
  </si>
  <si>
    <t xml:space="preserve">Amaporã</t>
  </si>
  <si>
    <t xml:space="preserve">Ampére</t>
  </si>
  <si>
    <t xml:space="preserve">Anahy</t>
  </si>
  <si>
    <t xml:space="preserve">Andirá</t>
  </si>
  <si>
    <t xml:space="preserve">Antonina</t>
  </si>
  <si>
    <t xml:space="preserve">Antônio Olinto</t>
  </si>
  <si>
    <t xml:space="preserve">Apucarana</t>
  </si>
  <si>
    <t xml:space="preserve">Arapongas</t>
  </si>
  <si>
    <t xml:space="preserve">Arapoti</t>
  </si>
  <si>
    <t xml:space="preserve">P3</t>
  </si>
  <si>
    <t xml:space="preserve">Arapuã</t>
  </si>
  <si>
    <t xml:space="preserve">Araruna</t>
  </si>
  <si>
    <t xml:space="preserve">Araucária</t>
  </si>
  <si>
    <t xml:space="preserve">Ariranha do Ivaí</t>
  </si>
  <si>
    <t xml:space="preserve">Assaí</t>
  </si>
  <si>
    <t xml:space="preserve">Assis Chateaubriand</t>
  </si>
  <si>
    <t xml:space="preserve">Astorga</t>
  </si>
  <si>
    <t xml:space="preserve">Atalaia</t>
  </si>
  <si>
    <t xml:space="preserve">Ângulo</t>
  </si>
  <si>
    <t xml:space="preserve">Balsa Nova</t>
  </si>
  <si>
    <t xml:space="preserve">Bandeirantes</t>
  </si>
  <si>
    <t xml:space="preserve">Barbosa Ferraz</t>
  </si>
  <si>
    <t xml:space="preserve">Barra do Jacaré</t>
  </si>
  <si>
    <t xml:space="preserve">Barracão</t>
  </si>
  <si>
    <t xml:space="preserve">Bela Vista da Caroba</t>
  </si>
  <si>
    <t xml:space="preserve">Bela Vista do Paraíso</t>
  </si>
  <si>
    <t xml:space="preserve">Bituruna</t>
  </si>
  <si>
    <t xml:space="preserve">Boa Esperança</t>
  </si>
  <si>
    <t xml:space="preserve">Boa Esperança do Iguaçu</t>
  </si>
  <si>
    <t xml:space="preserve">Boa Ventura de São Roque</t>
  </si>
  <si>
    <t xml:space="preserve">Boa Vista da Aparecida</t>
  </si>
  <si>
    <t xml:space="preserve">Bocaiúva do Sul</t>
  </si>
  <si>
    <t xml:space="preserve">Bom Jesus do Sul</t>
  </si>
  <si>
    <t xml:space="preserve">Bom Sucesso</t>
  </si>
  <si>
    <t xml:space="preserve">Bom Sucesso do Sul</t>
  </si>
  <si>
    <t xml:space="preserve">Borrazópolis</t>
  </si>
  <si>
    <t xml:space="preserve">Braganey</t>
  </si>
  <si>
    <t xml:space="preserve">Brasilândia do Sul</t>
  </si>
  <si>
    <t xml:space="preserve">Cafeara</t>
  </si>
  <si>
    <t xml:space="preserve">Cafelândia</t>
  </si>
  <si>
    <t xml:space="preserve">Cafezal do Sul</t>
  </si>
  <si>
    <t xml:space="preserve">Califórnia</t>
  </si>
  <si>
    <t xml:space="preserve">Cambará</t>
  </si>
  <si>
    <t xml:space="preserve">Cambé</t>
  </si>
  <si>
    <t xml:space="preserve">Cambira</t>
  </si>
  <si>
    <t xml:space="preserve">Campina Grande do Sul</t>
  </si>
  <si>
    <t xml:space="preserve">Campina da Lagoa</t>
  </si>
  <si>
    <t xml:space="preserve">Campina do Simão</t>
  </si>
  <si>
    <t xml:space="preserve">Campo Bonito</t>
  </si>
  <si>
    <t xml:space="preserve">Campo Largo</t>
  </si>
  <si>
    <t xml:space="preserve">Campo Magro</t>
  </si>
  <si>
    <t xml:space="preserve">Campo Mourão</t>
  </si>
  <si>
    <t xml:space="preserve">P4</t>
  </si>
  <si>
    <t xml:space="preserve">Campo do Tenente</t>
  </si>
  <si>
    <t xml:space="preserve">Candói</t>
  </si>
  <si>
    <t xml:space="preserve">Cantagalo</t>
  </si>
  <si>
    <t xml:space="preserve">Capanema</t>
  </si>
  <si>
    <t xml:space="preserve">Capitão Leônidas Marques</t>
  </si>
  <si>
    <t xml:space="preserve">Carambeí</t>
  </si>
  <si>
    <t xml:space="preserve">Carlópolis</t>
  </si>
  <si>
    <t xml:space="preserve">Cascavel</t>
  </si>
  <si>
    <t xml:space="preserve">M2</t>
  </si>
  <si>
    <t xml:space="preserve">Castro</t>
  </si>
  <si>
    <t xml:space="preserve">Catanduvas</t>
  </si>
  <si>
    <t xml:space="preserve">Cândido de Abreu</t>
  </si>
  <si>
    <t xml:space="preserve">Centenário do Sul</t>
  </si>
  <si>
    <t xml:space="preserve">Cerro Azul</t>
  </si>
  <si>
    <t xml:space="preserve">Céu Azul</t>
  </si>
  <si>
    <t xml:space="preserve">Chopinzinho</t>
  </si>
  <si>
    <t xml:space="preserve">Cianorte</t>
  </si>
  <si>
    <t xml:space="preserve">Cidade Gaúcha</t>
  </si>
  <si>
    <t xml:space="preserve">Clevelândia</t>
  </si>
  <si>
    <t xml:space="preserve">Colombo</t>
  </si>
  <si>
    <t xml:space="preserve">Colorado</t>
  </si>
  <si>
    <t xml:space="preserve">Congonhinhas</t>
  </si>
  <si>
    <t xml:space="preserve">Conselheiro Mairinck</t>
  </si>
  <si>
    <t xml:space="preserve">Contenda</t>
  </si>
  <si>
    <t xml:space="preserve">Corbélia</t>
  </si>
  <si>
    <t xml:space="preserve">Cornélio Procópio</t>
  </si>
  <si>
    <t xml:space="preserve">Coronel Domingos Soares</t>
  </si>
  <si>
    <t xml:space="preserve">Coronel Vivida</t>
  </si>
  <si>
    <t xml:space="preserve">Corumbataí do Sul</t>
  </si>
  <si>
    <t xml:space="preserve">Cruz Machado</t>
  </si>
  <si>
    <t xml:space="preserve">Cruzeiro do Iguaçu</t>
  </si>
  <si>
    <t xml:space="preserve">Cruzeiro do Oeste</t>
  </si>
  <si>
    <t xml:space="preserve">Cruzeiro do Sul</t>
  </si>
  <si>
    <t xml:space="preserve">Cruzmaltina</t>
  </si>
  <si>
    <t xml:space="preserve">Curitiba</t>
  </si>
  <si>
    <t xml:space="preserve">G2</t>
  </si>
  <si>
    <t xml:space="preserve">Curiúva</t>
  </si>
  <si>
    <t xml:space="preserve">Diamante D'Oeste</t>
  </si>
  <si>
    <t xml:space="preserve">Diamante do Norte</t>
  </si>
  <si>
    <t xml:space="preserve">Diamante do Sul</t>
  </si>
  <si>
    <t xml:space="preserve">Dois Vizinhos</t>
  </si>
  <si>
    <t xml:space="preserve">Douradina</t>
  </si>
  <si>
    <t xml:space="preserve">Doutor Camargo</t>
  </si>
  <si>
    <t xml:space="preserve">Doutor Ulysses</t>
  </si>
  <si>
    <t xml:space="preserve">Enéas Marques</t>
  </si>
  <si>
    <t xml:space="preserve">Engenheiro Beltrão</t>
  </si>
  <si>
    <t xml:space="preserve">Entre Rios do Oeste</t>
  </si>
  <si>
    <t xml:space="preserve">Esperança Nova</t>
  </si>
  <si>
    <t xml:space="preserve">Espigão Alto do Iguaçu</t>
  </si>
  <si>
    <t xml:space="preserve">Farol</t>
  </si>
  <si>
    <t xml:space="preserve">Faxinal</t>
  </si>
  <si>
    <t xml:space="preserve">Fazenda Rio Grande</t>
  </si>
  <si>
    <t xml:space="preserve">Fernandes Pinheiro</t>
  </si>
  <si>
    <t xml:space="preserve">Fênix</t>
  </si>
  <si>
    <t xml:space="preserve">Figueira</t>
  </si>
  <si>
    <t xml:space="preserve">Flor da Serra do Sul</t>
  </si>
  <si>
    <t xml:space="preserve">Floraí</t>
  </si>
  <si>
    <t xml:space="preserve">Floresta</t>
  </si>
  <si>
    <t xml:space="preserve">Florestópolis</t>
  </si>
  <si>
    <t xml:space="preserve">Flórida</t>
  </si>
  <si>
    <t xml:space="preserve">Formosa do Oeste</t>
  </si>
  <si>
    <t xml:space="preserve">Foz do Iguaçu</t>
  </si>
  <si>
    <t xml:space="preserve">Foz do Jordão</t>
  </si>
  <si>
    <t xml:space="preserve">Francisco Alves</t>
  </si>
  <si>
    <t xml:space="preserve">Francisco Beltrão</t>
  </si>
  <si>
    <t xml:space="preserve">General Carneiro</t>
  </si>
  <si>
    <t xml:space="preserve">Godoy Moreira</t>
  </si>
  <si>
    <t xml:space="preserve">Goioerê</t>
  </si>
  <si>
    <t xml:space="preserve">Goioxim</t>
  </si>
  <si>
    <t xml:space="preserve">Grandes Rios</t>
  </si>
  <si>
    <t xml:space="preserve">Guairaçá</t>
  </si>
  <si>
    <t xml:space="preserve">Guaíra</t>
  </si>
  <si>
    <t xml:space="preserve">Guamiranga</t>
  </si>
  <si>
    <t xml:space="preserve">Guapirama</t>
  </si>
  <si>
    <t xml:space="preserve">Guaporema</t>
  </si>
  <si>
    <t xml:space="preserve">Guaraci</t>
  </si>
  <si>
    <t xml:space="preserve">Guaraniaçu</t>
  </si>
  <si>
    <t xml:space="preserve">Guarapuava</t>
  </si>
  <si>
    <t xml:space="preserve">Guaraqueçaba</t>
  </si>
  <si>
    <t xml:space="preserve">Guaratuba</t>
  </si>
  <si>
    <t xml:space="preserve">Honório Serpa</t>
  </si>
  <si>
    <t xml:space="preserve">Ibaiti</t>
  </si>
  <si>
    <t xml:space="preserve">Ibema</t>
  </si>
  <si>
    <t xml:space="preserve">Ibiporã</t>
  </si>
  <si>
    <t xml:space="preserve">Icaraíma</t>
  </si>
  <si>
    <t xml:space="preserve">Iguaraçu</t>
  </si>
  <si>
    <t xml:space="preserve">Iguatu</t>
  </si>
  <si>
    <t xml:space="preserve">Imbaú</t>
  </si>
  <si>
    <t xml:space="preserve">Imbituva</t>
  </si>
  <si>
    <t xml:space="preserve">Inajá</t>
  </si>
  <si>
    <t xml:space="preserve">Inácio Martins</t>
  </si>
  <si>
    <t xml:space="preserve">Indianópolis</t>
  </si>
  <si>
    <t xml:space="preserve">Ipiranga</t>
  </si>
  <si>
    <t xml:space="preserve">Iporã</t>
  </si>
  <si>
    <t xml:space="preserve">Iracema do Oeste</t>
  </si>
  <si>
    <t xml:space="preserve">Irati</t>
  </si>
  <si>
    <t xml:space="preserve">Iretama</t>
  </si>
  <si>
    <t xml:space="preserve">Itaguajé</t>
  </si>
  <si>
    <t xml:space="preserve">Itaipulândia</t>
  </si>
  <si>
    <t xml:space="preserve">Itambaracá</t>
  </si>
  <si>
    <t xml:space="preserve">Itambé</t>
  </si>
  <si>
    <t xml:space="preserve">Itapejara d'Oeste</t>
  </si>
  <si>
    <t xml:space="preserve">Itaperuçu</t>
  </si>
  <si>
    <t xml:space="preserve">Itaúna do Sul</t>
  </si>
  <si>
    <t xml:space="preserve">Ivaiporã</t>
  </si>
  <si>
    <t xml:space="preserve">Ivaí</t>
  </si>
  <si>
    <t xml:space="preserve">Ivaté</t>
  </si>
  <si>
    <t xml:space="preserve">Ivatuba</t>
  </si>
  <si>
    <t xml:space="preserve">Jaboti</t>
  </si>
  <si>
    <t xml:space="preserve">Jacarezinho</t>
  </si>
  <si>
    <t xml:space="preserve">Jaguapitã</t>
  </si>
  <si>
    <t xml:space="preserve">Jaguariaíva</t>
  </si>
  <si>
    <t xml:space="preserve">Jandaia do Sul</t>
  </si>
  <si>
    <t xml:space="preserve">Janiópolis</t>
  </si>
  <si>
    <t xml:space="preserve">Japira</t>
  </si>
  <si>
    <t xml:space="preserve">Japurá</t>
  </si>
  <si>
    <t xml:space="preserve">Jardim Alegre</t>
  </si>
  <si>
    <t xml:space="preserve">Jardim Olinda</t>
  </si>
  <si>
    <t xml:space="preserve">Jataizinho</t>
  </si>
  <si>
    <t xml:space="preserve">Jesuítas</t>
  </si>
  <si>
    <t xml:space="preserve">Joaquim Távora</t>
  </si>
  <si>
    <t xml:space="preserve">Jundiaí do Sul</t>
  </si>
  <si>
    <t xml:space="preserve">Juranda</t>
  </si>
  <si>
    <t xml:space="preserve">Jussara</t>
  </si>
  <si>
    <t xml:space="preserve">Kaloré</t>
  </si>
  <si>
    <t xml:space="preserve">Lapa</t>
  </si>
  <si>
    <t xml:space="preserve">Laranjal</t>
  </si>
  <si>
    <t xml:space="preserve">Laranjeiras do Sul</t>
  </si>
  <si>
    <t xml:space="preserve">Leópolis</t>
  </si>
  <si>
    <t xml:space="preserve">Lidianópolis</t>
  </si>
  <si>
    <t xml:space="preserve">Lindoeste</t>
  </si>
  <si>
    <t xml:space="preserve">Loanda</t>
  </si>
  <si>
    <t xml:space="preserve">Lobato</t>
  </si>
  <si>
    <t xml:space="preserve">Londrina</t>
  </si>
  <si>
    <t xml:space="preserve">G1</t>
  </si>
  <si>
    <t xml:space="preserve">Luiziana</t>
  </si>
  <si>
    <t xml:space="preserve">Lunardelli</t>
  </si>
  <si>
    <t xml:space="preserve">Lupionópolis</t>
  </si>
  <si>
    <t xml:space="preserve">Mallet</t>
  </si>
  <si>
    <t xml:space="preserve">Mamborê</t>
  </si>
  <si>
    <t xml:space="preserve">Mandaguaçu</t>
  </si>
  <si>
    <t xml:space="preserve">Mandaguari</t>
  </si>
  <si>
    <t xml:space="preserve">Mandirituba</t>
  </si>
  <si>
    <t xml:space="preserve">Manfrinópolis</t>
  </si>
  <si>
    <t xml:space="preserve">Mangueirinha</t>
  </si>
  <si>
    <t xml:space="preserve">Manoel Ribas</t>
  </si>
  <si>
    <t xml:space="preserve">Marechal Cândido Rondon</t>
  </si>
  <si>
    <t xml:space="preserve">Maria Helena</t>
  </si>
  <si>
    <t xml:space="preserve">Marialva</t>
  </si>
  <si>
    <t xml:space="preserve">Marilândia do Sul</t>
  </si>
  <si>
    <t xml:space="preserve">Marilena</t>
  </si>
  <si>
    <t xml:space="preserve">Mariluz</t>
  </si>
  <si>
    <t xml:space="preserve">Maringá</t>
  </si>
  <si>
    <t xml:space="preserve">Mariópolis</t>
  </si>
  <si>
    <t xml:space="preserve">Maripá</t>
  </si>
  <si>
    <t xml:space="preserve">Marmeleiro</t>
  </si>
  <si>
    <t xml:space="preserve">Marquinho</t>
  </si>
  <si>
    <t xml:space="preserve">Marumbi</t>
  </si>
  <si>
    <t xml:space="preserve">Matelândia</t>
  </si>
  <si>
    <t xml:space="preserve">Matinhos</t>
  </si>
  <si>
    <t xml:space="preserve">Mato Rico</t>
  </si>
  <si>
    <t xml:space="preserve">Mauá da Serra</t>
  </si>
  <si>
    <t xml:space="preserve">Medianeira</t>
  </si>
  <si>
    <t xml:space="preserve">Mercedes</t>
  </si>
  <si>
    <t xml:space="preserve">Mirador</t>
  </si>
  <si>
    <t xml:space="preserve">Miraselva</t>
  </si>
  <si>
    <t xml:space="preserve">Missal</t>
  </si>
  <si>
    <t xml:space="preserve">Moreira Sales</t>
  </si>
  <si>
    <t xml:space="preserve">Morretes</t>
  </si>
  <si>
    <t xml:space="preserve">Munhoz de Melo</t>
  </si>
  <si>
    <t xml:space="preserve">Nossa Senhora das Graças</t>
  </si>
  <si>
    <t xml:space="preserve">Nova Aliança do Ivaí</t>
  </si>
  <si>
    <t xml:space="preserve">Nova América da Colina</t>
  </si>
  <si>
    <t xml:space="preserve">Nova Aurora</t>
  </si>
  <si>
    <t xml:space="preserve">Nova Cantu</t>
  </si>
  <si>
    <t xml:space="preserve">Nova Esperança</t>
  </si>
  <si>
    <t xml:space="preserve">Nova Esperança do Sudoeste</t>
  </si>
  <si>
    <t xml:space="preserve">Nova Fátima</t>
  </si>
  <si>
    <t xml:space="preserve">Nova Laranjeiras</t>
  </si>
  <si>
    <t xml:space="preserve">Nova Londrina</t>
  </si>
  <si>
    <t xml:space="preserve">Nova Olímpia</t>
  </si>
  <si>
    <t xml:space="preserve">Nova Prata do Iguaçu</t>
  </si>
  <si>
    <t xml:space="preserve">Nova Santa Bárbara</t>
  </si>
  <si>
    <t xml:space="preserve">Nova Santa Rosa</t>
  </si>
  <si>
    <t xml:space="preserve">Nova Tebas</t>
  </si>
  <si>
    <t xml:space="preserve">Novo Itacolomi</t>
  </si>
  <si>
    <t xml:space="preserve">Ortigueira</t>
  </si>
  <si>
    <t xml:space="preserve">Ourizona</t>
  </si>
  <si>
    <t xml:space="preserve">Ouro Verde do Oeste</t>
  </si>
  <si>
    <t xml:space="preserve">Paiçandu</t>
  </si>
  <si>
    <t xml:space="preserve">Palmas</t>
  </si>
  <si>
    <t xml:space="preserve">Palmeira</t>
  </si>
  <si>
    <t xml:space="preserve">Palmital</t>
  </si>
  <si>
    <t xml:space="preserve">Palotina</t>
  </si>
  <si>
    <t xml:space="preserve">Paraíso do Norte</t>
  </si>
  <si>
    <t xml:space="preserve">Paranacity</t>
  </si>
  <si>
    <t xml:space="preserve">Paranaguá</t>
  </si>
  <si>
    <t xml:space="preserve">Paranapoema</t>
  </si>
  <si>
    <t xml:space="preserve">Paranavaí</t>
  </si>
  <si>
    <t xml:space="preserve">Pato Bragado</t>
  </si>
  <si>
    <t xml:space="preserve">Pato Branco</t>
  </si>
  <si>
    <t xml:space="preserve">Paula Freitas</t>
  </si>
  <si>
    <t xml:space="preserve">Paulo Frontin</t>
  </si>
  <si>
    <t xml:space="preserve">Peabiru</t>
  </si>
  <si>
    <t xml:space="preserve">Perobal</t>
  </si>
  <si>
    <t xml:space="preserve">Pérola</t>
  </si>
  <si>
    <t xml:space="preserve">Pérola d'Oeste</t>
  </si>
  <si>
    <t xml:space="preserve">Piên</t>
  </si>
  <si>
    <t xml:space="preserve">Pinhais</t>
  </si>
  <si>
    <t xml:space="preserve">Pinhal de São Bento</t>
  </si>
  <si>
    <t xml:space="preserve">Pinhalão</t>
  </si>
  <si>
    <t xml:space="preserve">Pinhão</t>
  </si>
  <si>
    <t xml:space="preserve">Piraí do Sul</t>
  </si>
  <si>
    <t xml:space="preserve">Piraquara</t>
  </si>
  <si>
    <t xml:space="preserve">Pitanga</t>
  </si>
  <si>
    <t xml:space="preserve">Pitangueiras</t>
  </si>
  <si>
    <t xml:space="preserve">Planaltina do Paraná</t>
  </si>
  <si>
    <t xml:space="preserve">Planalto</t>
  </si>
  <si>
    <t xml:space="preserve">Ponta Grossa</t>
  </si>
  <si>
    <t xml:space="preserve">Pontal do Paraná</t>
  </si>
  <si>
    <t xml:space="preserve">Porecatu</t>
  </si>
  <si>
    <t xml:space="preserve">Porto Amazonas</t>
  </si>
  <si>
    <t xml:space="preserve">Porto Barreiro</t>
  </si>
  <si>
    <t xml:space="preserve">Porto Rico</t>
  </si>
  <si>
    <t xml:space="preserve">Porto Vitória</t>
  </si>
  <si>
    <t xml:space="preserve">Prado Ferreira</t>
  </si>
  <si>
    <t xml:space="preserve">Pranchita</t>
  </si>
  <si>
    <t xml:space="preserve">Presidente Castelo Branco</t>
  </si>
  <si>
    <t xml:space="preserve">Primeiro de Maio</t>
  </si>
  <si>
    <t xml:space="preserve">Prudentópolis</t>
  </si>
  <si>
    <t xml:space="preserve">Quarto Centenário</t>
  </si>
  <si>
    <t xml:space="preserve">Quatiguá</t>
  </si>
  <si>
    <t xml:space="preserve">Quatro Barras</t>
  </si>
  <si>
    <t xml:space="preserve">Quatro Pontes</t>
  </si>
  <si>
    <t xml:space="preserve">Quedas do Iguaçu</t>
  </si>
  <si>
    <t xml:space="preserve">Querência do Norte</t>
  </si>
  <si>
    <t xml:space="preserve">Quinta do Sol</t>
  </si>
  <si>
    <t xml:space="preserve">Quitandinha</t>
  </si>
  <si>
    <t xml:space="preserve">Ramilândia</t>
  </si>
  <si>
    <t xml:space="preserve">Rancho Alegre</t>
  </si>
  <si>
    <t xml:space="preserve">Rancho Alegre D'Oeste</t>
  </si>
  <si>
    <t xml:space="preserve">Realeza</t>
  </si>
  <si>
    <t xml:space="preserve">Rebouças</t>
  </si>
  <si>
    <t xml:space="preserve">Renascença</t>
  </si>
  <si>
    <t xml:space="preserve">Reserva</t>
  </si>
  <si>
    <t xml:space="preserve">Reserva do Iguaçu</t>
  </si>
  <si>
    <t xml:space="preserve">Ribeirão Claro</t>
  </si>
  <si>
    <t xml:space="preserve">Ribeirão do Pinhal</t>
  </si>
  <si>
    <t xml:space="preserve">Rio Azul</t>
  </si>
  <si>
    <t xml:space="preserve">Rio Bom</t>
  </si>
  <si>
    <t xml:space="preserve">Rio Bonito do Iguaçu</t>
  </si>
  <si>
    <t xml:space="preserve">Rio Branco do Ivaí</t>
  </si>
  <si>
    <t xml:space="preserve">Rio Branco do Sul</t>
  </si>
  <si>
    <t xml:space="preserve">Rio Negro</t>
  </si>
  <si>
    <t xml:space="preserve">Rolândia</t>
  </si>
  <si>
    <t xml:space="preserve">Roncador</t>
  </si>
  <si>
    <t xml:space="preserve">Rondon</t>
  </si>
  <si>
    <t xml:space="preserve">Rosário do Ivaí</t>
  </si>
  <si>
    <t xml:space="preserve">Sabáudia</t>
  </si>
  <si>
    <t xml:space="preserve">Salgado Filho</t>
  </si>
  <si>
    <t xml:space="preserve">Salto do Itararé</t>
  </si>
  <si>
    <t xml:space="preserve">Salto do Lontra</t>
  </si>
  <si>
    <t xml:space="preserve">Santa Amélia</t>
  </si>
  <si>
    <t xml:space="preserve">Santa Cecília do Pavão</t>
  </si>
  <si>
    <t xml:space="preserve">Santa Cruz de Monte Castelo</t>
  </si>
  <si>
    <t xml:space="preserve">Santa Fé</t>
  </si>
  <si>
    <t xml:space="preserve">Santa Helena</t>
  </si>
  <si>
    <t xml:space="preserve">Santa Inês</t>
  </si>
  <si>
    <t xml:space="preserve">Santa Isabel do Ivaí</t>
  </si>
  <si>
    <t xml:space="preserve">Santa Izabel do Oeste</t>
  </si>
  <si>
    <t xml:space="preserve">Santa Lúcia</t>
  </si>
  <si>
    <t xml:space="preserve">Santa Maria do Oeste</t>
  </si>
  <si>
    <t xml:space="preserve">Santa Mariana</t>
  </si>
  <si>
    <t xml:space="preserve">Santa Mônica</t>
  </si>
  <si>
    <t xml:space="preserve">Santa Tereza do Oeste</t>
  </si>
  <si>
    <t xml:space="preserve">Santa Terezinha de Itaipu</t>
  </si>
  <si>
    <t xml:space="preserve">Santana do Itararé</t>
  </si>
  <si>
    <t xml:space="preserve">Santo Antônio da Platina</t>
  </si>
  <si>
    <t xml:space="preserve">Santo Antônio do Caiuá</t>
  </si>
  <si>
    <t xml:space="preserve">Santo Antônio do Paraíso</t>
  </si>
  <si>
    <t xml:space="preserve">Santo Antônio do Sudoeste</t>
  </si>
  <si>
    <t xml:space="preserve">Santo Inácio</t>
  </si>
  <si>
    <t xml:space="preserve">Sapopema</t>
  </si>
  <si>
    <t xml:space="preserve">Sarandi</t>
  </si>
  <si>
    <t xml:space="preserve">Saudade do Iguaçu</t>
  </si>
  <si>
    <t xml:space="preserve">São Carlos do Ivaí</t>
  </si>
  <si>
    <t xml:space="preserve">São Jerônimo da Serra</t>
  </si>
  <si>
    <t xml:space="preserve">São João</t>
  </si>
  <si>
    <t xml:space="preserve">São João do Caiuá</t>
  </si>
  <si>
    <t xml:space="preserve">São João do Ivaí</t>
  </si>
  <si>
    <t xml:space="preserve">São João do Triunfo</t>
  </si>
  <si>
    <t xml:space="preserve">São Jorge d'Oeste</t>
  </si>
  <si>
    <t xml:space="preserve">São Jorge do Ivaí</t>
  </si>
  <si>
    <t xml:space="preserve">São Jorge do Patrocínio</t>
  </si>
  <si>
    <t xml:space="preserve">São José da Boa Vista</t>
  </si>
  <si>
    <t xml:space="preserve">São José das Palmeiras</t>
  </si>
  <si>
    <t xml:space="preserve">São José dos Pinhais</t>
  </si>
  <si>
    <t xml:space="preserve">São Manoel do Paraná</t>
  </si>
  <si>
    <t xml:space="preserve">São Mateus do Sul</t>
  </si>
  <si>
    <t xml:space="preserve">São Miguel do Iguaçu</t>
  </si>
  <si>
    <t xml:space="preserve">São Pedro do Iguaçu</t>
  </si>
  <si>
    <t xml:space="preserve">São Pedro do Ivaí</t>
  </si>
  <si>
    <t xml:space="preserve">São Pedro do Paraná</t>
  </si>
  <si>
    <t xml:space="preserve">São Sebastião da Amoreira</t>
  </si>
  <si>
    <t xml:space="preserve">São Tomé</t>
  </si>
  <si>
    <t xml:space="preserve">Sengés</t>
  </si>
  <si>
    <t xml:space="preserve">Serranópolis do Iguaçu</t>
  </si>
  <si>
    <t xml:space="preserve">Sertaneja</t>
  </si>
  <si>
    <t xml:space="preserve">Sertanópolis</t>
  </si>
  <si>
    <t xml:space="preserve">Siqueira Campos</t>
  </si>
  <si>
    <t xml:space="preserve">Sulina</t>
  </si>
  <si>
    <t xml:space="preserve">Tamarana</t>
  </si>
  <si>
    <t xml:space="preserve">Tamboara</t>
  </si>
  <si>
    <t xml:space="preserve">Tapejara</t>
  </si>
  <si>
    <t xml:space="preserve">Tapira</t>
  </si>
  <si>
    <t xml:space="preserve">Teixeira Soares</t>
  </si>
  <si>
    <t xml:space="preserve">Telêmaco Borba</t>
  </si>
  <si>
    <t xml:space="preserve">Terra Boa</t>
  </si>
  <si>
    <t xml:space="preserve">Terra Rica</t>
  </si>
  <si>
    <t xml:space="preserve">Terra Roxa</t>
  </si>
  <si>
    <t xml:space="preserve">Tibagi</t>
  </si>
  <si>
    <t xml:space="preserve">Tijucas do Sul</t>
  </si>
  <si>
    <t xml:space="preserve">Toledo</t>
  </si>
  <si>
    <t xml:space="preserve">Tomazina</t>
  </si>
  <si>
    <t xml:space="preserve">Três Barras do Paraná</t>
  </si>
  <si>
    <t xml:space="preserve">Tunas do Paraná</t>
  </si>
  <si>
    <t xml:space="preserve">Tuneiras do Oeste</t>
  </si>
  <si>
    <t xml:space="preserve">Tupãssi</t>
  </si>
  <si>
    <t xml:space="preserve">Turvo</t>
  </si>
  <si>
    <t xml:space="preserve">Ubiratã</t>
  </si>
  <si>
    <t xml:space="preserve">Umuarama</t>
  </si>
  <si>
    <t xml:space="preserve">União da Vitória</t>
  </si>
  <si>
    <t xml:space="preserve">Uniflor</t>
  </si>
  <si>
    <t xml:space="preserve">Uraí</t>
  </si>
  <si>
    <t xml:space="preserve">Ventania</t>
  </si>
  <si>
    <t xml:space="preserve">Vera Cruz do Oeste</t>
  </si>
  <si>
    <t xml:space="preserve">Verê</t>
  </si>
  <si>
    <t xml:space="preserve">Virmond</t>
  </si>
  <si>
    <t xml:space="preserve">Vitorino</t>
  </si>
  <si>
    <t xml:space="preserve">Wenceslau Braz</t>
  </si>
  <si>
    <t xml:space="preserve">Xambrê</t>
  </si>
  <si>
    <t xml:space="preserve">Fontes: Inep (Censo Escolar 2023); IBGE (Censo Demográfico 2022); Ministério da Saúde (SIM, Sinasc, Sisvan e condicionalidades do Bolsa Família); Ipardes (natalidade 2022; IPDM 2021).</t>
  </si>
  <si>
    <t xml:space="preserve">PC: população de 5 a 14 anos sobre a população total, como na planilha de cálculo (ver aba Sobre).</t>
  </si>
  <si>
    <t xml:space="preserve">Fator educacional (F_E)</t>
  </si>
  <si>
    <t xml:space="preserve">Indicadores brutos, indicadores normalizados de 0 a 100 e cálculo do fator. As colunas em cor são fórmulas.</t>
  </si>
  <si>
    <t xml:space="preserve">Indicador bruto</t>
  </si>
  <si>
    <t xml:space="preserve">Indicador normalizado (0 a 100)</t>
  </si>
  <si>
    <t xml:space="preserve">Fator</t>
  </si>
  <si>
    <t xml:space="preserve">MP: matrícula pré-escola e fundamental por criança</t>
  </si>
  <si>
    <t xml:space="preserve">N(MC), sentido inverso, peso 2</t>
  </si>
  <si>
    <t xml:space="preserve">N(MP), sentido inverso, peso 1</t>
  </si>
  <si>
    <t xml:space="preserve">N(OP), sentido inverso, peso 1</t>
  </si>
  <si>
    <t xml:space="preserve">Média ponderada (F_E)</t>
  </si>
  <si>
    <t xml:space="preserve">F_E (0 a 100)</t>
  </si>
  <si>
    <t xml:space="preserve">F_E = normalização mínimo-máximo de [(2 × N(MC) + N(MP) + N(OP)) / 4]. Indicadores normalizados conforme as planilhas de cálculo do estudo.</t>
  </si>
  <si>
    <t xml:space="preserve">Fontes: Inep (Censo Escolar 2023); IBGE (Censo Demográfico 2022).</t>
  </si>
  <si>
    <t xml:space="preserve">Fator demográfico (F_D)</t>
  </si>
  <si>
    <t xml:space="preserve">N(MI), sentido direto</t>
  </si>
  <si>
    <t xml:space="preserve">PC ÷ maior valor × 100</t>
  </si>
  <si>
    <t xml:space="preserve">TN ÷ maior valor × 100</t>
  </si>
  <si>
    <t xml:space="preserve">Média ponderada (F_D)</t>
  </si>
  <si>
    <t xml:space="preserve">F_D (0 a 100)</t>
  </si>
  <si>
    <t xml:space="preserve">F_D = normalização mínimo-máximo da média de N(MI), PC ÷ máximo e TN ÷ máximo, como na planilha de cálculo (PC e TN não passam pelo mínimo-máximo).</t>
  </si>
  <si>
    <t xml:space="preserve">Fontes: Ministério da Saúde (SIM e Sinasc, 2020); IBGE (Censo Demográfico 2022); Ipardes (natalidade 2022).</t>
  </si>
  <si>
    <t xml:space="preserve">Fator socioeconômico (F_S)</t>
  </si>
  <si>
    <t xml:space="preserve">N(BP), sentido direto</t>
  </si>
  <si>
    <t xml:space="preserve">N(CU), sentido direto</t>
  </si>
  <si>
    <t xml:space="preserve">N(IR), sentido inverso</t>
  </si>
  <si>
    <t xml:space="preserve">Média ponderada (F_S)</t>
  </si>
  <si>
    <t xml:space="preserve">F_S (0 a 100)</t>
  </si>
  <si>
    <t xml:space="preserve">F_S = normalização mínimo-máximo de [(N(BP) + N(CU) + N(IR)) / 3].</t>
  </si>
  <si>
    <t xml:space="preserve">Fontes: Ministério da Saúde (Sisvan e condicionalidades do Bolsa Família, 2023); Ipardes (IPDM 2021).</t>
  </si>
  <si>
    <t xml:space="preserve">Potencial de Creche por Município (PCM)</t>
  </si>
  <si>
    <t xml:space="preserve">PCM = (2 × F_E + F_D + 2 × F_S) / 500. Fatores trazidos das abas 2 a 4.</t>
  </si>
  <si>
    <t xml:space="preserve">Peso 2</t>
  </si>
  <si>
    <t xml:space="preserve">Peso 1</t>
  </si>
  <si>
    <t xml:space="preserve">F_E</t>
  </si>
  <si>
    <t xml:space="preserve">F_D</t>
  </si>
  <si>
    <t xml:space="preserve">F_S</t>
  </si>
  <si>
    <t xml:space="preserve">PCM (0 a 1)</t>
  </si>
  <si>
    <t xml:space="preserve">Posição no estado</t>
  </si>
  <si>
    <t xml:space="preserve">Posição na faixa de porte</t>
  </si>
  <si>
    <t xml:space="preserve">Municípios na faixa</t>
  </si>
  <si>
    <t xml:space="preserve">Posição 1 = maior PCM. Posição na faixa: ordem do município entre os de mesmo porte, usada no ranqueamento das faixas P3, P2 e P1.</t>
  </si>
  <si>
    <t xml:space="preserve">Creches atribuídas por município</t>
  </si>
  <si>
    <t xml:space="preserve">Etapa prévia (Deliberação CEDCA 60/2023), versões da distribuição de março e maio de 2024 e lista publicada na Resolução SEDEF nº 219/2024.</t>
  </si>
  <si>
    <t xml:space="preserve">Março de 2024</t>
  </si>
  <si>
    <t xml:space="preserve">Maio de 2024</t>
  </si>
  <si>
    <t xml:space="preserve">Junho de 2024</t>
  </si>
  <si>
    <t xml:space="preserve">PCM</t>
  </si>
  <si>
    <t xml:space="preserve">Etapa prévia (índice Ipardes)</t>
  </si>
  <si>
    <t xml:space="preserve">Etapa PCM, março de 2024</t>
  </si>
  <si>
    <t xml:space="preserve">Total, março de 2024</t>
  </si>
  <si>
    <t xml:space="preserve">Total, maio de 2024 (versão apresentada ao CEDCA)</t>
  </si>
  <si>
    <t xml:space="preserve">Lista publicada, Res. SEDEF 219/2024</t>
  </si>
  <si>
    <t xml:space="preserve">Contemplado na lista publicada</t>
  </si>
  <si>
    <t xml:space="preserve">Paraná</t>
  </si>
  <si>
    <t xml:space="preserve">Fontes: planilhas de cálculo do estudo (versões de 27 de março e 21 de maio de 2024); Paraná, Resolução SEDEF nº 219/2024, Anexo I.</t>
  </si>
  <si>
    <t xml:space="preserve">Resumo por faixa de porte</t>
  </si>
  <si>
    <t xml:space="preserve">Totais calculados por fórmula a partir das abas 1, 5 e 6.</t>
  </si>
  <si>
    <t xml:space="preserve">Faixa</t>
  </si>
  <si>
    <t xml:space="preserve">Indicador (média da faixa)</t>
  </si>
  <si>
    <t xml:space="preserve">Creches</t>
  </si>
  <si>
    <t xml:space="preserve">Faixa de porte (habitantes)</t>
  </si>
  <si>
    <t xml:space="preserve">Municípios</t>
  </si>
  <si>
    <t xml:space="preserve">População de 0 a 4 anos</t>
  </si>
  <si>
    <t xml:space="preserve">Cobertura de creche</t>
  </si>
  <si>
    <t xml:space="preserve">F_E médio</t>
  </si>
  <si>
    <t xml:space="preserve">F_D médio</t>
  </si>
  <si>
    <t xml:space="preserve">F_S médio</t>
  </si>
  <si>
    <t xml:space="preserve">PCM médio</t>
  </si>
  <si>
    <t xml:space="preserve">Etapa prévia</t>
  </si>
  <si>
    <t xml:space="preserve">Total, maio de 2024</t>
  </si>
  <si>
    <t xml:space="preserve">Lista publicada</t>
  </si>
  <si>
    <t xml:space="preserve">Municípios contemplados</t>
  </si>
  <si>
    <t xml:space="preserve">G2 (acima de 1 milhão)</t>
  </si>
  <si>
    <t xml:space="preserve">G1 (500 mil a 1 milhão)</t>
  </si>
  <si>
    <t xml:space="preserve">M2 (200 a 500 mil)</t>
  </si>
  <si>
    <t xml:space="preserve">M1 (100 a 200 mil)</t>
  </si>
  <si>
    <t xml:space="preserve">P4 (70 a 100 mil)</t>
  </si>
  <si>
    <t xml:space="preserve">P3 (20 a 70 mil)</t>
  </si>
  <si>
    <t xml:space="preserve">P2 (5 a 20 mil)</t>
  </si>
  <si>
    <t xml:space="preserve">P1 (até 5 mil)</t>
  </si>
  <si>
    <t xml:space="preserve">Cobertura: matrículas em creche (2023) por criança de 0 a 4 anos (2022). Médias simples dos municípios da faixa.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</si>
</sst>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"/>
    <numFmt numFmtId="167" formatCode="0.0%"/>
    <numFmt numFmtId="168" formatCode="0.00"/>
    <numFmt numFmtId="169" formatCode="0.0"/>
    <numFmt numFmtId="170" formatCode="0.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62626"/>
      <name val="Calibri"/>
      <family val="0"/>
      <charset val="1"/>
    </font>
    <font>
      <i val="true"/>
      <sz val="10"/>
      <color rgb="FF7F7F7F"/>
      <name val="Calibri"/>
      <family val="0"/>
      <charset val="1"/>
    </font>
    <font>
      <b val="true"/>
      <sz val="10"/>
      <color rgb="FF262626"/>
      <name val="Calibri"/>
      <family val="0"/>
      <charset val="1"/>
    </font>
    <font>
      <sz val="10"/>
      <color rgb="FF262626"/>
      <name val="Calibri"/>
      <family val="0"/>
      <charset val="1"/>
    </font>
    <font>
      <b val="true"/>
      <sz val="10"/>
      <color rgb="FFC24C12"/>
      <name val="Calibri"/>
      <family val="0"/>
      <charset val="1"/>
    </font>
    <font>
      <b val="true"/>
      <sz val="10"/>
      <color rgb="FF0171C1"/>
      <name val="Calibri"/>
      <family val="0"/>
      <charset val="1"/>
    </font>
    <font>
      <b val="true"/>
      <sz val="10"/>
      <color rgb="FF307E3E"/>
      <name val="Calibri"/>
      <family val="0"/>
      <charset val="1"/>
    </font>
    <font>
      <b val="true"/>
      <sz val="10"/>
      <color rgb="FF54278F"/>
      <name val="Calibri"/>
      <family val="0"/>
      <charset val="1"/>
    </font>
    <font>
      <b val="true"/>
      <sz val="11"/>
      <color rgb="FF26262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4"/>
      <color rgb="FF262626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sz val="10"/>
      <color rgb="FFC24C12"/>
      <name val="Calibri"/>
      <family val="0"/>
      <charset val="1"/>
    </font>
    <font>
      <sz val="10"/>
      <color rgb="FF0171C1"/>
      <name val="Calibri"/>
      <family val="0"/>
      <charset val="1"/>
    </font>
    <font>
      <sz val="10"/>
      <color rgb="FF307E3E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C24C12"/>
        <bgColor rgb="FFFF6600"/>
      </patternFill>
    </fill>
    <fill>
      <patternFill patternType="solid">
        <fgColor rgb="FF0171C1"/>
        <bgColor rgb="FF008080"/>
      </patternFill>
    </fill>
    <fill>
      <patternFill patternType="solid">
        <fgColor rgb="FF307E3E"/>
        <bgColor rgb="FF008000"/>
      </patternFill>
    </fill>
    <fill>
      <patternFill patternType="solid">
        <fgColor rgb="FF54278F"/>
        <bgColor rgb="FF3F3F3F"/>
      </patternFill>
    </fill>
    <fill>
      <patternFill patternType="solid">
        <fgColor rgb="FF3F3F3F"/>
        <bgColor rgb="FF262626"/>
      </patternFill>
    </fill>
    <fill>
      <patternFill patternType="solid">
        <fgColor rgb="FFEDEDED"/>
        <bgColor rgb="FFECE8F4"/>
      </patternFill>
    </fill>
    <fill>
      <patternFill patternType="solid">
        <fgColor rgb="FFFBE3D3"/>
        <bgColor rgb="FFEDEDED"/>
      </patternFill>
    </fill>
    <fill>
      <patternFill patternType="solid">
        <fgColor rgb="FFDCEAF6"/>
        <bgColor rgb="FFECE8F4"/>
      </patternFill>
    </fill>
    <fill>
      <patternFill patternType="solid">
        <fgColor rgb="FFE1F1DD"/>
        <bgColor rgb="FFEDEDED"/>
      </patternFill>
    </fill>
    <fill>
      <patternFill patternType="solid">
        <fgColor rgb="FFECE8F4"/>
        <bgColor rgb="FFEDEDED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595959"/>
      </bottom>
      <diagonal/>
    </border>
    <border diagonalUp="false" diagonalDown="false">
      <left/>
      <right/>
      <top/>
      <bottom style="thin">
        <color rgb="FFD0D0D0"/>
      </bottom>
      <diagonal/>
    </border>
    <border diagonalUp="false" diagonalDown="false">
      <left/>
      <right/>
      <top style="medium">
        <color rgb="FF595959"/>
      </top>
      <bottom/>
      <diagonal/>
    </border>
    <border diagonalUp="false" diagonalDown="false">
      <left/>
      <right/>
      <top style="medium">
        <color rgb="FF595959"/>
      </top>
      <bottom style="medium">
        <color rgb="FF59595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11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EDEDED"/>
      <rgbColor rgb="FFDCEAF6"/>
      <rgbColor rgb="FF660066"/>
      <rgbColor rgb="FFFF8080"/>
      <rgbColor rgb="FF0171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8F4"/>
      <rgbColor rgb="FFE1F1DD"/>
      <rgbColor rgb="FFFFFF99"/>
      <rgbColor rgb="FF99CCFF"/>
      <rgbColor rgb="FFFF99CC"/>
      <rgbColor rgb="FFCC99FF"/>
      <rgbColor rgb="FFFBE3D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07E3E"/>
      <rgbColor rgb="FF003300"/>
      <rgbColor rgb="FF262626"/>
      <rgbColor rgb="FFC24C12"/>
      <rgbColor rgb="FF993366"/>
      <rgbColor rgb="FF54278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3F3F"/>
    <pageSetUpPr fitToPage="true"/>
  </sheetPr>
  <dimension ref="B2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5" t="s">
        <v>4</v>
      </c>
      <c r="C6" s="6" t="s">
        <v>5</v>
      </c>
    </row>
    <row r="7" customFormat="false" ht="15" hidden="false" customHeight="false" outlineLevel="0" collapsed="false">
      <c r="B7" s="7" t="s">
        <v>6</v>
      </c>
      <c r="C7" s="6" t="s">
        <v>7</v>
      </c>
    </row>
    <row r="8" customFormat="false" ht="15" hidden="false" customHeight="false" outlineLevel="0" collapsed="false">
      <c r="B8" s="8" t="s">
        <v>8</v>
      </c>
      <c r="C8" s="6" t="s">
        <v>9</v>
      </c>
    </row>
    <row r="9" customFormat="false" ht="15" hidden="false" customHeight="false" outlineLevel="0" collapsed="false">
      <c r="B9" s="9" t="s">
        <v>10</v>
      </c>
      <c r="C9" s="6" t="s">
        <v>11</v>
      </c>
    </row>
    <row r="10" customFormat="false" ht="15" hidden="false" customHeight="false" outlineLevel="0" collapsed="false">
      <c r="B10" s="10" t="s">
        <v>12</v>
      </c>
      <c r="C10" s="6" t="s">
        <v>13</v>
      </c>
    </row>
    <row r="11" customFormat="false" ht="15" hidden="false" customHeight="false" outlineLevel="0" collapsed="false">
      <c r="B11" s="5" t="s">
        <v>14</v>
      </c>
      <c r="C11" s="6" t="s">
        <v>15</v>
      </c>
    </row>
    <row r="12" customFormat="false" ht="15" hidden="false" customHeight="false" outlineLevel="0" collapsed="false">
      <c r="B12" s="5" t="s">
        <v>16</v>
      </c>
      <c r="C12" s="6" t="s">
        <v>17</v>
      </c>
    </row>
    <row r="14" customFormat="false" ht="15" hidden="false" customHeight="false" outlineLevel="0" collapsed="false">
      <c r="B14" s="11" t="s">
        <v>18</v>
      </c>
    </row>
    <row r="15" customFormat="false" ht="30" hidden="false" customHeight="true" outlineLevel="0" collapsed="false">
      <c r="B15" s="12" t="s">
        <v>19</v>
      </c>
      <c r="C15" s="12"/>
    </row>
    <row r="16" customFormat="false" ht="30" hidden="false" customHeight="true" outlineLevel="0" collapsed="false">
      <c r="B16" s="12" t="s">
        <v>20</v>
      </c>
      <c r="C16" s="12"/>
    </row>
    <row r="17" customFormat="false" ht="30" hidden="false" customHeight="true" outlineLevel="0" collapsed="false">
      <c r="B17" s="12" t="s">
        <v>21</v>
      </c>
      <c r="C17" s="12"/>
    </row>
    <row r="18" customFormat="false" ht="30" hidden="false" customHeight="true" outlineLevel="0" collapsed="false">
      <c r="B18" s="12" t="s">
        <v>22</v>
      </c>
      <c r="C18" s="12"/>
    </row>
    <row r="19" customFormat="false" ht="30" hidden="false" customHeight="true" outlineLevel="0" collapsed="false">
      <c r="B19" s="12" t="s">
        <v>23</v>
      </c>
      <c r="C19" s="12"/>
    </row>
    <row r="21" customFormat="false" ht="15" hidden="false" customHeight="false" outlineLevel="0" collapsed="false">
      <c r="B21" s="11" t="s">
        <v>24</v>
      </c>
    </row>
    <row r="22" customFormat="false" ht="15" hidden="false" customHeight="false" outlineLevel="0" collapsed="false">
      <c r="B22" s="13" t="s">
        <v>25</v>
      </c>
      <c r="C22" s="14" t="s">
        <v>26</v>
      </c>
    </row>
    <row r="23" customFormat="false" ht="15" hidden="false" customHeight="false" outlineLevel="0" collapsed="false">
      <c r="B23" s="13" t="s">
        <v>27</v>
      </c>
      <c r="C23" s="14" t="s">
        <v>28</v>
      </c>
    </row>
    <row r="24" customFormat="false" ht="15" hidden="false" customHeight="false" outlineLevel="0" collapsed="false">
      <c r="B24" s="13" t="s">
        <v>29</v>
      </c>
      <c r="C24" s="14" t="s">
        <v>30</v>
      </c>
    </row>
    <row r="25" customFormat="false" ht="15" hidden="false" customHeight="false" outlineLevel="0" collapsed="false">
      <c r="B25" s="13" t="s">
        <v>31</v>
      </c>
      <c r="C25" s="14" t="s">
        <v>32</v>
      </c>
    </row>
    <row r="26" customFormat="false" ht="15" hidden="false" customHeight="false" outlineLevel="0" collapsed="false">
      <c r="B26" s="13" t="s">
        <v>33</v>
      </c>
      <c r="C26" s="14" t="s">
        <v>34</v>
      </c>
    </row>
    <row r="27" customFormat="false" ht="15" hidden="false" customHeight="false" outlineLevel="0" collapsed="false">
      <c r="B27" s="13" t="s">
        <v>35</v>
      </c>
      <c r="C27" s="14" t="s">
        <v>36</v>
      </c>
    </row>
    <row r="28" customFormat="false" ht="15" hidden="false" customHeight="false" outlineLevel="0" collapsed="false">
      <c r="B28" s="13" t="s">
        <v>37</v>
      </c>
      <c r="C28" s="14" t="s">
        <v>38</v>
      </c>
    </row>
    <row r="30" customFormat="false" ht="15" hidden="false" customHeight="false" outlineLevel="0" collapsed="false">
      <c r="B30" s="11" t="s">
        <v>39</v>
      </c>
    </row>
    <row r="31" customFormat="false" ht="15" hidden="false" customHeight="false" outlineLevel="0" collapsed="false">
      <c r="B31" s="15" t="s">
        <v>40</v>
      </c>
    </row>
    <row r="32" customFormat="false" ht="15" hidden="false" customHeight="false" outlineLevel="0" collapsed="false">
      <c r="B32" s="16" t="s">
        <v>41</v>
      </c>
    </row>
    <row r="33" customFormat="false" ht="15" hidden="false" customHeight="false" outlineLevel="0" collapsed="false">
      <c r="B33" s="17" t="s">
        <v>42</v>
      </c>
    </row>
    <row r="34" customFormat="false" ht="15" hidden="false" customHeight="false" outlineLevel="0" collapsed="false">
      <c r="B34" s="18" t="s">
        <v>43</v>
      </c>
    </row>
  </sheetData>
  <mergeCells count="5">
    <mergeCell ref="B15:C15"/>
    <mergeCell ref="B16:C16"/>
    <mergeCell ref="B17:C17"/>
    <mergeCell ref="B18:C18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6" min="4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4" min="12" style="0" width="12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2"/>
  </cols>
  <sheetData>
    <row r="1" customFormat="false" ht="17.35" hidden="false" customHeight="false" outlineLevel="0" collapsed="false">
      <c r="A1" s="19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20" t="s">
        <v>46</v>
      </c>
      <c r="B4" s="20"/>
      <c r="C4" s="20"/>
      <c r="D4" s="20"/>
      <c r="E4" s="20"/>
      <c r="F4" s="21" t="s">
        <v>40</v>
      </c>
      <c r="G4" s="21"/>
      <c r="H4" s="21"/>
      <c r="I4" s="21"/>
      <c r="J4" s="21"/>
      <c r="K4" s="21"/>
      <c r="L4" s="22" t="s">
        <v>41</v>
      </c>
      <c r="M4" s="22"/>
      <c r="N4" s="22"/>
      <c r="O4" s="23" t="s">
        <v>42</v>
      </c>
      <c r="P4" s="23"/>
      <c r="Q4" s="23"/>
      <c r="R4" s="23"/>
    </row>
    <row r="5" customFormat="false" ht="43.5" hidden="false" customHeight="true" outlineLevel="0" collapsed="false">
      <c r="A5" s="24" t="s">
        <v>47</v>
      </c>
      <c r="B5" s="24" t="s">
        <v>46</v>
      </c>
      <c r="C5" s="24" t="s">
        <v>48</v>
      </c>
      <c r="D5" s="24" t="s">
        <v>49</v>
      </c>
      <c r="E5" s="24" t="s">
        <v>50</v>
      </c>
      <c r="F5" s="24" t="s">
        <v>51</v>
      </c>
      <c r="G5" s="24" t="s">
        <v>52</v>
      </c>
      <c r="H5" s="24" t="s">
        <v>53</v>
      </c>
      <c r="I5" s="24" t="s">
        <v>54</v>
      </c>
      <c r="J5" s="24" t="s">
        <v>55</v>
      </c>
      <c r="K5" s="24" t="s">
        <v>56</v>
      </c>
      <c r="L5" s="24" t="s">
        <v>57</v>
      </c>
      <c r="M5" s="24" t="s">
        <v>58</v>
      </c>
      <c r="N5" s="24" t="s">
        <v>59</v>
      </c>
      <c r="O5" s="24" t="s">
        <v>60</v>
      </c>
      <c r="P5" s="24" t="s">
        <v>61</v>
      </c>
      <c r="Q5" s="24" t="s">
        <v>62</v>
      </c>
      <c r="R5" s="24" t="s">
        <v>63</v>
      </c>
    </row>
    <row r="6" customFormat="false" ht="15" hidden="false" customHeight="false" outlineLevel="0" collapsed="false">
      <c r="A6" s="25" t="n">
        <v>4100103</v>
      </c>
      <c r="B6" s="26" t="s">
        <v>64</v>
      </c>
      <c r="C6" s="26" t="s">
        <v>65</v>
      </c>
      <c r="D6" s="27" t="n">
        <v>7241</v>
      </c>
      <c r="E6" s="27" t="n">
        <v>470</v>
      </c>
      <c r="F6" s="27" t="n">
        <v>151</v>
      </c>
      <c r="G6" s="28" t="n">
        <v>0.321276595744681</v>
      </c>
      <c r="H6" s="29" t="n">
        <v>1.08315098468271</v>
      </c>
      <c r="I6" s="27" t="n">
        <v>1</v>
      </c>
      <c r="J6" s="27" t="n">
        <v>2</v>
      </c>
      <c r="K6" s="28" t="n">
        <v>0.5</v>
      </c>
      <c r="L6" s="30" t="n">
        <v>0</v>
      </c>
      <c r="M6" s="28" t="n">
        <v>0.126225659439304</v>
      </c>
      <c r="N6" s="29" t="n">
        <v>11.19</v>
      </c>
      <c r="O6" s="28" t="n">
        <v>0.0454545454545454</v>
      </c>
      <c r="P6" s="27" t="n">
        <v>280</v>
      </c>
      <c r="Q6" s="28" t="n">
        <v>0.296610169491525</v>
      </c>
      <c r="R6" s="31" t="n">
        <v>0.410076721309773</v>
      </c>
    </row>
    <row r="7" customFormat="false" ht="15" hidden="false" customHeight="false" outlineLevel="0" collapsed="false">
      <c r="A7" s="25" t="n">
        <v>4100202</v>
      </c>
      <c r="B7" s="26" t="s">
        <v>66</v>
      </c>
      <c r="C7" s="26" t="s">
        <v>65</v>
      </c>
      <c r="D7" s="27" t="n">
        <v>6256</v>
      </c>
      <c r="E7" s="27" t="n">
        <v>397</v>
      </c>
      <c r="F7" s="27" t="n">
        <v>59</v>
      </c>
      <c r="G7" s="28" t="n">
        <v>0.148614609571788</v>
      </c>
      <c r="H7" s="29" t="n">
        <v>0.990142387732749</v>
      </c>
      <c r="I7" s="27" t="n">
        <v>1</v>
      </c>
      <c r="J7" s="27" t="n">
        <v>2</v>
      </c>
      <c r="K7" s="28" t="n">
        <v>0.5</v>
      </c>
      <c r="L7" s="30" t="n">
        <v>0</v>
      </c>
      <c r="M7" s="28" t="n">
        <v>0.14593989769821</v>
      </c>
      <c r="N7" s="29" t="n">
        <v>11.19</v>
      </c>
      <c r="O7" s="28" t="n">
        <v>0.024390243902439</v>
      </c>
      <c r="P7" s="27" t="n">
        <v>241</v>
      </c>
      <c r="Q7" s="28" t="n">
        <v>0.291767554479419</v>
      </c>
      <c r="R7" s="31" t="n">
        <v>0.533454037162468</v>
      </c>
    </row>
    <row r="8" customFormat="false" ht="15" hidden="false" customHeight="false" outlineLevel="0" collapsed="false">
      <c r="A8" s="25" t="n">
        <v>4100301</v>
      </c>
      <c r="B8" s="26" t="s">
        <v>67</v>
      </c>
      <c r="C8" s="26" t="s">
        <v>65</v>
      </c>
      <c r="D8" s="27" t="n">
        <v>10233</v>
      </c>
      <c r="E8" s="27" t="n">
        <v>706</v>
      </c>
      <c r="F8" s="27" t="n">
        <v>105</v>
      </c>
      <c r="G8" s="28" t="n">
        <v>0.148725212464589</v>
      </c>
      <c r="H8" s="29" t="n">
        <v>1.1059379217274</v>
      </c>
      <c r="I8" s="27" t="n">
        <v>1</v>
      </c>
      <c r="J8" s="27" t="n">
        <v>2</v>
      </c>
      <c r="K8" s="28" t="n">
        <v>0.5</v>
      </c>
      <c r="L8" s="30" t="n">
        <v>0</v>
      </c>
      <c r="M8" s="28" t="n">
        <v>0.14482556435063</v>
      </c>
      <c r="N8" s="29" t="n">
        <v>14.95</v>
      </c>
      <c r="O8" s="28" t="n">
        <v>0.0714285714285714</v>
      </c>
      <c r="P8" s="27" t="n">
        <v>501</v>
      </c>
      <c r="Q8" s="28" t="n">
        <v>0.342915811088296</v>
      </c>
      <c r="R8" s="31" t="n">
        <v>0.381042759814886</v>
      </c>
    </row>
    <row r="9" customFormat="false" ht="15" hidden="false" customHeight="false" outlineLevel="0" collapsed="false">
      <c r="A9" s="25" t="n">
        <v>4100400</v>
      </c>
      <c r="B9" s="26" t="s">
        <v>68</v>
      </c>
      <c r="C9" s="26" t="s">
        <v>69</v>
      </c>
      <c r="D9" s="27" t="n">
        <v>119825</v>
      </c>
      <c r="E9" s="27" t="n">
        <v>8185</v>
      </c>
      <c r="F9" s="27" t="n">
        <v>918</v>
      </c>
      <c r="G9" s="28" t="n">
        <v>0.112156383628589</v>
      </c>
      <c r="H9" s="29" t="n">
        <v>0.747343378271213</v>
      </c>
      <c r="I9" s="27" t="n">
        <v>4</v>
      </c>
      <c r="J9" s="27" t="n">
        <v>24</v>
      </c>
      <c r="K9" s="28" t="n">
        <v>0.166666666666667</v>
      </c>
      <c r="L9" s="30" t="n">
        <v>7.54</v>
      </c>
      <c r="M9" s="28" t="n">
        <v>0.157855205508033</v>
      </c>
      <c r="N9" s="29" t="n">
        <v>13.09</v>
      </c>
      <c r="O9" s="28" t="n">
        <v>0.0297131147540983</v>
      </c>
      <c r="P9" s="27" t="n">
        <v>3173</v>
      </c>
      <c r="Q9" s="28" t="n">
        <v>0.174455685067077</v>
      </c>
      <c r="R9" s="31" t="n">
        <v>0.425420189058817</v>
      </c>
    </row>
    <row r="10" customFormat="false" ht="15" hidden="false" customHeight="false" outlineLevel="0" collapsed="false">
      <c r="A10" s="25" t="n">
        <v>4100459</v>
      </c>
      <c r="B10" s="26" t="s">
        <v>70</v>
      </c>
      <c r="C10" s="26" t="s">
        <v>71</v>
      </c>
      <c r="D10" s="27" t="n">
        <v>3590</v>
      </c>
      <c r="E10" s="27" t="n">
        <v>209</v>
      </c>
      <c r="F10" s="27" t="n">
        <v>53</v>
      </c>
      <c r="G10" s="28" t="n">
        <v>0.253588516746412</v>
      </c>
      <c r="H10" s="29" t="n">
        <v>1.09850107066381</v>
      </c>
      <c r="I10" s="27" t="n">
        <v>1</v>
      </c>
      <c r="J10" s="27" t="n">
        <v>2</v>
      </c>
      <c r="K10" s="28" t="n">
        <v>0.5</v>
      </c>
      <c r="L10" s="30" t="n">
        <v>19.23</v>
      </c>
      <c r="M10" s="28" t="n">
        <v>0.13008356545961</v>
      </c>
      <c r="N10" s="29" t="n">
        <v>11.98</v>
      </c>
      <c r="O10" s="28" t="n">
        <v>0.0476190476190476</v>
      </c>
      <c r="P10" s="27" t="n">
        <v>139</v>
      </c>
      <c r="Q10" s="28" t="n">
        <v>0.305494505494506</v>
      </c>
      <c r="R10" s="31" t="n">
        <v>0.393666540487439</v>
      </c>
    </row>
    <row r="11" customFormat="false" ht="15" hidden="false" customHeight="false" outlineLevel="0" collapsed="false">
      <c r="A11" s="25" t="n">
        <v>4128625</v>
      </c>
      <c r="B11" s="26" t="s">
        <v>72</v>
      </c>
      <c r="C11" s="26" t="s">
        <v>71</v>
      </c>
      <c r="D11" s="27" t="n">
        <v>3055</v>
      </c>
      <c r="E11" s="27" t="n">
        <v>205</v>
      </c>
      <c r="F11" s="27" t="n">
        <v>91</v>
      </c>
      <c r="G11" s="28" t="n">
        <v>0.44390243902439</v>
      </c>
      <c r="H11" s="29" t="n">
        <v>1.21100917431193</v>
      </c>
      <c r="I11" s="27" t="n">
        <v>1</v>
      </c>
      <c r="J11" s="27" t="n">
        <v>2</v>
      </c>
      <c r="K11" s="28" t="n">
        <v>0.5</v>
      </c>
      <c r="L11" s="30" t="n">
        <v>30.3</v>
      </c>
      <c r="M11" s="28" t="n">
        <v>0.142716857610475</v>
      </c>
      <c r="N11" s="29" t="n">
        <v>18.66</v>
      </c>
      <c r="O11" s="28" t="n">
        <v>0.074074074074074</v>
      </c>
      <c r="P11" s="27" t="n">
        <v>128</v>
      </c>
      <c r="Q11" s="28" t="n">
        <v>0.291571753986333</v>
      </c>
      <c r="R11" s="31" t="n">
        <v>0.493953774102279</v>
      </c>
    </row>
    <row r="12" customFormat="false" ht="15" hidden="false" customHeight="false" outlineLevel="0" collapsed="false">
      <c r="A12" s="25" t="n">
        <v>4100608</v>
      </c>
      <c r="B12" s="26" t="s">
        <v>73</v>
      </c>
      <c r="C12" s="26" t="s">
        <v>65</v>
      </c>
      <c r="D12" s="27" t="n">
        <v>13909</v>
      </c>
      <c r="E12" s="27" t="n">
        <v>939</v>
      </c>
      <c r="F12" s="27" t="n">
        <v>269</v>
      </c>
      <c r="G12" s="28" t="n">
        <v>0.286474973375932</v>
      </c>
      <c r="H12" s="29" t="n">
        <v>1.07124284971399</v>
      </c>
      <c r="I12" s="27" t="n">
        <v>1</v>
      </c>
      <c r="J12" s="27" t="n">
        <v>6</v>
      </c>
      <c r="K12" s="28" t="n">
        <v>0.166666666666667</v>
      </c>
      <c r="L12" s="30" t="n">
        <v>11.11</v>
      </c>
      <c r="M12" s="28" t="n">
        <v>0.138255805593501</v>
      </c>
      <c r="N12" s="29" t="n">
        <v>11.86</v>
      </c>
      <c r="O12" s="28" t="n">
        <v>0.0086206896551724</v>
      </c>
      <c r="P12" s="27" t="n">
        <v>562</v>
      </c>
      <c r="Q12" s="28" t="n">
        <v>0.296257248286769</v>
      </c>
      <c r="R12" s="31" t="n">
        <v>0.403403815314921</v>
      </c>
    </row>
    <row r="13" customFormat="false" ht="15" hidden="false" customHeight="false" outlineLevel="0" collapsed="false">
      <c r="A13" s="25" t="n">
        <v>4100707</v>
      </c>
      <c r="B13" s="26" t="s">
        <v>74</v>
      </c>
      <c r="C13" s="26" t="s">
        <v>65</v>
      </c>
      <c r="D13" s="27" t="n">
        <v>9727</v>
      </c>
      <c r="E13" s="27" t="n">
        <v>642</v>
      </c>
      <c r="F13" s="27" t="n">
        <v>235</v>
      </c>
      <c r="G13" s="28" t="n">
        <v>0.366043613707165</v>
      </c>
      <c r="H13" s="29" t="n">
        <v>1.10761979575805</v>
      </c>
      <c r="I13" s="27" t="n">
        <v>1</v>
      </c>
      <c r="J13" s="27" t="n">
        <v>6</v>
      </c>
      <c r="K13" s="28" t="n">
        <v>0.166666666666667</v>
      </c>
      <c r="L13" s="30" t="n">
        <v>7.58</v>
      </c>
      <c r="M13" s="28" t="n">
        <v>0.130872828210137</v>
      </c>
      <c r="N13" s="29" t="n">
        <v>12.34</v>
      </c>
      <c r="O13" s="28" t="n">
        <v>0.0416666666666666</v>
      </c>
      <c r="P13" s="27" t="n">
        <v>354</v>
      </c>
      <c r="Q13" s="28" t="n">
        <v>0.280285035629454</v>
      </c>
      <c r="R13" s="31" t="n">
        <v>0.457955838688806</v>
      </c>
    </row>
    <row r="14" customFormat="false" ht="15" hidden="false" customHeight="false" outlineLevel="0" collapsed="false">
      <c r="A14" s="25" t="n">
        <v>4100509</v>
      </c>
      <c r="B14" s="26" t="s">
        <v>75</v>
      </c>
      <c r="C14" s="26" t="s">
        <v>65</v>
      </c>
      <c r="D14" s="27" t="n">
        <v>18742</v>
      </c>
      <c r="E14" s="27" t="n">
        <v>1054</v>
      </c>
      <c r="F14" s="27" t="n">
        <v>196</v>
      </c>
      <c r="G14" s="28" t="n">
        <v>0.18595825426945</v>
      </c>
      <c r="H14" s="29" t="n">
        <v>1.14882274544647</v>
      </c>
      <c r="I14" s="27" t="n">
        <v>9</v>
      </c>
      <c r="J14" s="27" t="n">
        <v>10</v>
      </c>
      <c r="K14" s="28" t="n">
        <v>0.9</v>
      </c>
      <c r="L14" s="30" t="n">
        <v>8.89</v>
      </c>
      <c r="M14" s="28" t="n">
        <v>0.12010457795326</v>
      </c>
      <c r="N14" s="29" t="n">
        <v>10.99</v>
      </c>
      <c r="O14" s="28" t="n">
        <v>0</v>
      </c>
      <c r="P14" s="27" t="n">
        <v>398</v>
      </c>
      <c r="Q14" s="28" t="n">
        <v>0.180335296782963</v>
      </c>
      <c r="R14" s="31" t="n">
        <v>0.401043560452132</v>
      </c>
    </row>
    <row r="15" customFormat="false" ht="15" hidden="false" customHeight="false" outlineLevel="0" collapsed="false">
      <c r="A15" s="25" t="n">
        <v>4100806</v>
      </c>
      <c r="B15" s="26" t="s">
        <v>76</v>
      </c>
      <c r="C15" s="26" t="s">
        <v>65</v>
      </c>
      <c r="D15" s="27" t="n">
        <v>10326</v>
      </c>
      <c r="E15" s="27" t="n">
        <v>578</v>
      </c>
      <c r="F15" s="27" t="n">
        <v>222</v>
      </c>
      <c r="G15" s="28" t="n">
        <v>0.384083044982699</v>
      </c>
      <c r="H15" s="29" t="n">
        <v>1.0893470790378</v>
      </c>
      <c r="I15" s="27" t="n">
        <v>1</v>
      </c>
      <c r="J15" s="27" t="n">
        <v>4</v>
      </c>
      <c r="K15" s="28" t="n">
        <v>0.25</v>
      </c>
      <c r="L15" s="30" t="n">
        <v>0</v>
      </c>
      <c r="M15" s="28" t="n">
        <v>0.112725159790819</v>
      </c>
      <c r="N15" s="29" t="n">
        <v>8.91</v>
      </c>
      <c r="O15" s="28" t="n">
        <v>0.0163934426229508</v>
      </c>
      <c r="P15" s="27" t="n">
        <v>308</v>
      </c>
      <c r="Q15" s="28" t="n">
        <v>0.258606213266163</v>
      </c>
      <c r="R15" s="31" t="n">
        <v>0.409410859345946</v>
      </c>
    </row>
    <row r="16" customFormat="false" ht="15" hidden="false" customHeight="false" outlineLevel="0" collapsed="false">
      <c r="A16" s="25" t="n">
        <v>4100905</v>
      </c>
      <c r="B16" s="26" t="s">
        <v>77</v>
      </c>
      <c r="C16" s="26" t="s">
        <v>71</v>
      </c>
      <c r="D16" s="27" t="n">
        <v>4762</v>
      </c>
      <c r="E16" s="27" t="n">
        <v>311</v>
      </c>
      <c r="F16" s="27" t="n">
        <v>119</v>
      </c>
      <c r="G16" s="28" t="n">
        <v>0.382636655948553</v>
      </c>
      <c r="H16" s="29" t="n">
        <v>1.10790273556231</v>
      </c>
      <c r="I16" s="27" t="n">
        <v>0</v>
      </c>
      <c r="J16" s="27" t="n">
        <v>2</v>
      </c>
      <c r="K16" s="28" t="n">
        <v>0</v>
      </c>
      <c r="L16" s="30" t="n">
        <v>0</v>
      </c>
      <c r="M16" s="28" t="n">
        <v>0.138177236455271</v>
      </c>
      <c r="N16" s="29" t="n">
        <v>11.34</v>
      </c>
      <c r="O16" s="28" t="n">
        <v>0.0178571428571428</v>
      </c>
      <c r="P16" s="27" t="n">
        <v>292</v>
      </c>
      <c r="Q16" s="28" t="n">
        <v>0.474025974025974</v>
      </c>
      <c r="R16" s="31" t="n">
        <v>0.431445405906494</v>
      </c>
    </row>
    <row r="17" customFormat="false" ht="15" hidden="false" customHeight="false" outlineLevel="0" collapsed="false">
      <c r="A17" s="25" t="n">
        <v>4101002</v>
      </c>
      <c r="B17" s="26" t="s">
        <v>78</v>
      </c>
      <c r="C17" s="26" t="s">
        <v>65</v>
      </c>
      <c r="D17" s="27" t="n">
        <v>19620</v>
      </c>
      <c r="E17" s="27" t="n">
        <v>1396</v>
      </c>
      <c r="F17" s="27" t="n">
        <v>361</v>
      </c>
      <c r="G17" s="28" t="n">
        <v>0.258595988538682</v>
      </c>
      <c r="H17" s="29" t="n">
        <v>1.14901960784314</v>
      </c>
      <c r="I17" s="27" t="n">
        <v>2</v>
      </c>
      <c r="J17" s="27" t="n">
        <v>6</v>
      </c>
      <c r="K17" s="28" t="n">
        <v>0.333333333333333</v>
      </c>
      <c r="L17" s="30" t="n">
        <v>3.62</v>
      </c>
      <c r="M17" s="28" t="n">
        <v>0.129969418960245</v>
      </c>
      <c r="N17" s="29" t="n">
        <v>13.81</v>
      </c>
      <c r="O17" s="28" t="n">
        <v>0.0099750623441396</v>
      </c>
      <c r="P17" s="27" t="n">
        <v>277</v>
      </c>
      <c r="Q17" s="28" t="n">
        <v>0.104018024784078</v>
      </c>
      <c r="R17" s="31" t="n">
        <v>0.514804436249808</v>
      </c>
    </row>
    <row r="18" customFormat="false" ht="15" hidden="false" customHeight="false" outlineLevel="0" collapsed="false">
      <c r="A18" s="25" t="n">
        <v>4101051</v>
      </c>
      <c r="B18" s="26" t="s">
        <v>79</v>
      </c>
      <c r="C18" s="26" t="s">
        <v>71</v>
      </c>
      <c r="D18" s="27" t="n">
        <v>2918</v>
      </c>
      <c r="E18" s="27" t="n">
        <v>168</v>
      </c>
      <c r="F18" s="27" t="n">
        <v>91</v>
      </c>
      <c r="G18" s="28" t="n">
        <v>0.541666666666667</v>
      </c>
      <c r="H18" s="29" t="n">
        <v>1.03825136612022</v>
      </c>
      <c r="I18" s="27" t="n">
        <v>0</v>
      </c>
      <c r="J18" s="27" t="n">
        <v>1</v>
      </c>
      <c r="K18" s="28" t="n">
        <v>0</v>
      </c>
      <c r="L18" s="30" t="n">
        <v>0</v>
      </c>
      <c r="M18" s="28" t="n">
        <v>0.125428375599726</v>
      </c>
      <c r="N18" s="29" t="n">
        <v>11.31</v>
      </c>
      <c r="O18" s="28" t="n">
        <v>0</v>
      </c>
      <c r="P18" s="27" t="n">
        <v>76</v>
      </c>
      <c r="Q18" s="28" t="n">
        <v>0.222222222222222</v>
      </c>
      <c r="R18" s="31" t="n">
        <v>0.390824308269983</v>
      </c>
    </row>
    <row r="19" customFormat="false" ht="15" hidden="false" customHeight="false" outlineLevel="0" collapsed="false">
      <c r="A19" s="25" t="n">
        <v>4101101</v>
      </c>
      <c r="B19" s="26" t="s">
        <v>80</v>
      </c>
      <c r="C19" s="26" t="s">
        <v>65</v>
      </c>
      <c r="D19" s="27" t="n">
        <v>19878</v>
      </c>
      <c r="E19" s="27" t="n">
        <v>1071</v>
      </c>
      <c r="F19" s="27" t="n">
        <v>434</v>
      </c>
      <c r="G19" s="28" t="n">
        <v>0.405228758169935</v>
      </c>
      <c r="H19" s="29" t="n">
        <v>1.10442105263158</v>
      </c>
      <c r="I19" s="27" t="n">
        <v>2</v>
      </c>
      <c r="J19" s="27" t="n">
        <v>8</v>
      </c>
      <c r="K19" s="28" t="n">
        <v>0.25</v>
      </c>
      <c r="L19" s="30" t="n">
        <v>13.27</v>
      </c>
      <c r="M19" s="28" t="n">
        <v>0.119478820806922</v>
      </c>
      <c r="N19" s="29" t="n">
        <v>10.21</v>
      </c>
      <c r="O19" s="28" t="n">
        <v>0.0324675324675324</v>
      </c>
      <c r="P19" s="27" t="n">
        <v>673</v>
      </c>
      <c r="Q19" s="28" t="n">
        <v>0.294787560227771</v>
      </c>
      <c r="R19" s="31" t="n">
        <v>0.489316147762099</v>
      </c>
    </row>
    <row r="20" customFormat="false" ht="15" hidden="false" customHeight="false" outlineLevel="0" collapsed="false">
      <c r="A20" s="25" t="n">
        <v>4101200</v>
      </c>
      <c r="B20" s="26" t="s">
        <v>81</v>
      </c>
      <c r="C20" s="26" t="s">
        <v>65</v>
      </c>
      <c r="D20" s="27" t="n">
        <v>18091</v>
      </c>
      <c r="E20" s="27" t="n">
        <v>1081</v>
      </c>
      <c r="F20" s="27" t="n">
        <v>72</v>
      </c>
      <c r="G20" s="28" t="n">
        <v>0.0666049953746531</v>
      </c>
      <c r="H20" s="29" t="n">
        <v>1.10380348652932</v>
      </c>
      <c r="I20" s="27" t="n">
        <v>3</v>
      </c>
      <c r="J20" s="27" t="n">
        <v>4</v>
      </c>
      <c r="K20" s="28" t="n">
        <v>0.75</v>
      </c>
      <c r="L20" s="30" t="n">
        <v>0</v>
      </c>
      <c r="M20" s="28" t="n">
        <v>0.139516886849815</v>
      </c>
      <c r="N20" s="29" t="n">
        <v>10.12</v>
      </c>
      <c r="O20" s="28" t="n">
        <v>0.0568181818181818</v>
      </c>
      <c r="P20" s="27" t="n">
        <v>959</v>
      </c>
      <c r="Q20" s="28" t="n">
        <v>0.408432708688245</v>
      </c>
      <c r="R20" s="31" t="n">
        <v>0.393462742629754</v>
      </c>
    </row>
    <row r="21" customFormat="false" ht="15" hidden="false" customHeight="false" outlineLevel="0" collapsed="false">
      <c r="A21" s="25" t="n">
        <v>4101309</v>
      </c>
      <c r="B21" s="26" t="s">
        <v>82</v>
      </c>
      <c r="C21" s="26" t="s">
        <v>65</v>
      </c>
      <c r="D21" s="27" t="n">
        <v>7018</v>
      </c>
      <c r="E21" s="27" t="n">
        <v>390</v>
      </c>
      <c r="F21" s="27" t="n">
        <v>51</v>
      </c>
      <c r="G21" s="28" t="n">
        <v>0.130769230769231</v>
      </c>
      <c r="H21" s="29" t="n">
        <v>1.16308040770102</v>
      </c>
      <c r="I21" s="27" t="n">
        <v>0</v>
      </c>
      <c r="J21" s="27" t="n">
        <v>2</v>
      </c>
      <c r="K21" s="28" t="n">
        <v>0</v>
      </c>
      <c r="L21" s="30" t="n">
        <v>13.33</v>
      </c>
      <c r="M21" s="28" t="n">
        <v>0.125819321744087</v>
      </c>
      <c r="N21" s="29" t="n">
        <v>7.55</v>
      </c>
      <c r="O21" s="28" t="n">
        <v>0.0272727272727272</v>
      </c>
      <c r="P21" s="27" t="n">
        <v>340</v>
      </c>
      <c r="Q21" s="28" t="n">
        <v>0.412621359223301</v>
      </c>
      <c r="R21" s="31" t="n">
        <v>0.358123015557892</v>
      </c>
    </row>
    <row r="22" customFormat="false" ht="15" hidden="false" customHeight="false" outlineLevel="0" collapsed="false">
      <c r="A22" s="25" t="n">
        <v>4101408</v>
      </c>
      <c r="B22" s="26" t="s">
        <v>83</v>
      </c>
      <c r="C22" s="26" t="s">
        <v>69</v>
      </c>
      <c r="D22" s="27" t="n">
        <v>130134</v>
      </c>
      <c r="E22" s="27" t="n">
        <v>7678</v>
      </c>
      <c r="F22" s="27" t="n">
        <v>2717</v>
      </c>
      <c r="G22" s="28" t="n">
        <v>0.353868194842407</v>
      </c>
      <c r="H22" s="29" t="n">
        <v>1.10723559962229</v>
      </c>
      <c r="I22" s="27" t="n">
        <v>17</v>
      </c>
      <c r="J22" s="27" t="n">
        <v>41</v>
      </c>
      <c r="K22" s="28" t="n">
        <v>0.414634146341463</v>
      </c>
      <c r="L22" s="30" t="n">
        <v>10.63</v>
      </c>
      <c r="M22" s="28" t="n">
        <v>0.130204251002813</v>
      </c>
      <c r="N22" s="29" t="n">
        <v>11.67</v>
      </c>
      <c r="O22" s="28" t="n">
        <v>0.0584588131089459</v>
      </c>
      <c r="P22" s="27" t="n">
        <v>2629</v>
      </c>
      <c r="Q22" s="28" t="n">
        <v>0.160873822053604</v>
      </c>
      <c r="R22" s="31" t="n">
        <v>0.522503036102228</v>
      </c>
    </row>
    <row r="23" customFormat="false" ht="15" hidden="false" customHeight="false" outlineLevel="0" collapsed="false">
      <c r="A23" s="25" t="n">
        <v>4101507</v>
      </c>
      <c r="B23" s="26" t="s">
        <v>84</v>
      </c>
      <c r="C23" s="26" t="s">
        <v>69</v>
      </c>
      <c r="D23" s="27" t="n">
        <v>119138</v>
      </c>
      <c r="E23" s="27" t="n">
        <v>7199</v>
      </c>
      <c r="F23" s="27" t="n">
        <v>1980</v>
      </c>
      <c r="G23" s="28" t="n">
        <v>0.275038199749965</v>
      </c>
      <c r="H23" s="29" t="n">
        <v>1.08726567550097</v>
      </c>
      <c r="I23" s="27" t="n">
        <v>28</v>
      </c>
      <c r="J23" s="27" t="n">
        <v>51</v>
      </c>
      <c r="K23" s="28" t="n">
        <v>0.549019607843137</v>
      </c>
      <c r="L23" s="30" t="n">
        <v>8.01</v>
      </c>
      <c r="M23" s="28" t="n">
        <v>0.12984941832161</v>
      </c>
      <c r="N23" s="29" t="n">
        <v>12.73</v>
      </c>
      <c r="O23" s="28" t="n">
        <v>0.0236220472440944</v>
      </c>
      <c r="P23" s="27" t="n">
        <v>1985</v>
      </c>
      <c r="Q23" s="28" t="n">
        <v>0.131841126461212</v>
      </c>
      <c r="R23" s="31" t="n">
        <v>0.560470444504712</v>
      </c>
    </row>
    <row r="24" customFormat="false" ht="15" hidden="false" customHeight="false" outlineLevel="0" collapsed="false">
      <c r="A24" s="25" t="n">
        <v>4101606</v>
      </c>
      <c r="B24" s="26" t="s">
        <v>85</v>
      </c>
      <c r="C24" s="26" t="s">
        <v>86</v>
      </c>
      <c r="D24" s="27" t="n">
        <v>25777</v>
      </c>
      <c r="E24" s="27" t="n">
        <v>1801</v>
      </c>
      <c r="F24" s="27" t="n">
        <v>320</v>
      </c>
      <c r="G24" s="28" t="n">
        <v>0.177679067184897</v>
      </c>
      <c r="H24" s="29" t="n">
        <v>1.12710730532513</v>
      </c>
      <c r="I24" s="27" t="n">
        <v>6</v>
      </c>
      <c r="J24" s="27" t="n">
        <v>10</v>
      </c>
      <c r="K24" s="28" t="n">
        <v>0.6</v>
      </c>
      <c r="L24" s="30" t="n">
        <v>16.57</v>
      </c>
      <c r="M24" s="28" t="n">
        <v>0.144974201807813</v>
      </c>
      <c r="N24" s="29" t="n">
        <v>14.24</v>
      </c>
      <c r="O24" s="28" t="n">
        <v>0.0350877192982456</v>
      </c>
      <c r="P24" s="27" t="n">
        <v>887</v>
      </c>
      <c r="Q24" s="28" t="n">
        <v>0.239859383450514</v>
      </c>
      <c r="R24" s="31" t="n">
        <v>0.551247311625209</v>
      </c>
    </row>
    <row r="25" customFormat="false" ht="15" hidden="false" customHeight="false" outlineLevel="0" collapsed="false">
      <c r="A25" s="25" t="n">
        <v>4101655</v>
      </c>
      <c r="B25" s="26" t="s">
        <v>87</v>
      </c>
      <c r="C25" s="26" t="s">
        <v>71</v>
      </c>
      <c r="D25" s="27" t="n">
        <v>3527</v>
      </c>
      <c r="E25" s="27" t="n">
        <v>182</v>
      </c>
      <c r="F25" s="27" t="n">
        <v>72</v>
      </c>
      <c r="G25" s="28" t="n">
        <v>0.395604395604396</v>
      </c>
      <c r="H25" s="29" t="n">
        <v>1.14087759815243</v>
      </c>
      <c r="I25" s="27" t="n">
        <v>0</v>
      </c>
      <c r="J25" s="27" t="n">
        <v>3</v>
      </c>
      <c r="K25" s="28" t="n">
        <v>0</v>
      </c>
      <c r="L25" s="30" t="n">
        <v>0</v>
      </c>
      <c r="M25" s="28" t="n">
        <v>0.122767224269918</v>
      </c>
      <c r="N25" s="29" t="n">
        <v>13.33</v>
      </c>
      <c r="O25" s="28" t="n">
        <v>0.166666666666667</v>
      </c>
      <c r="P25" s="27" t="n">
        <v>158</v>
      </c>
      <c r="Q25" s="28" t="n">
        <v>0.398989898989899</v>
      </c>
      <c r="R25" s="31" t="n">
        <v>0.423946873309091</v>
      </c>
    </row>
    <row r="26" customFormat="false" ht="15" hidden="false" customHeight="false" outlineLevel="0" collapsed="false">
      <c r="A26" s="25" t="n">
        <v>4101705</v>
      </c>
      <c r="B26" s="26" t="s">
        <v>88</v>
      </c>
      <c r="C26" s="26" t="s">
        <v>65</v>
      </c>
      <c r="D26" s="27" t="n">
        <v>14485</v>
      </c>
      <c r="E26" s="27" t="n">
        <v>893</v>
      </c>
      <c r="F26" s="27" t="n">
        <v>241</v>
      </c>
      <c r="G26" s="28" t="n">
        <v>0.269876819708847</v>
      </c>
      <c r="H26" s="29" t="n">
        <v>1.05582655826558</v>
      </c>
      <c r="I26" s="27" t="n">
        <v>1</v>
      </c>
      <c r="J26" s="27" t="n">
        <v>5</v>
      </c>
      <c r="K26" s="28" t="n">
        <v>0.2</v>
      </c>
      <c r="L26" s="30" t="n">
        <v>0</v>
      </c>
      <c r="M26" s="28" t="n">
        <v>0.127373144632378</v>
      </c>
      <c r="N26" s="29" t="n">
        <v>13.05</v>
      </c>
      <c r="O26" s="28" t="n">
        <v>0.0638297872340425</v>
      </c>
      <c r="P26" s="27" t="n">
        <v>382</v>
      </c>
      <c r="Q26" s="28" t="n">
        <v>0.207383279044517</v>
      </c>
      <c r="R26" s="31" t="n">
        <v>0.497597071343986</v>
      </c>
    </row>
    <row r="27" customFormat="false" ht="15" hidden="false" customHeight="false" outlineLevel="0" collapsed="false">
      <c r="A27" s="25" t="n">
        <v>4101804</v>
      </c>
      <c r="B27" s="26" t="s">
        <v>89</v>
      </c>
      <c r="C27" s="26" t="s">
        <v>69</v>
      </c>
      <c r="D27" s="27" t="n">
        <v>151666</v>
      </c>
      <c r="E27" s="27" t="n">
        <v>10075</v>
      </c>
      <c r="F27" s="27" t="n">
        <v>3972</v>
      </c>
      <c r="G27" s="28" t="n">
        <v>0.39424317617866</v>
      </c>
      <c r="H27" s="29" t="n">
        <v>1.14132186996239</v>
      </c>
      <c r="I27" s="27" t="n">
        <v>12</v>
      </c>
      <c r="J27" s="27" t="n">
        <v>49</v>
      </c>
      <c r="K27" s="28" t="n">
        <v>0.244897959183673</v>
      </c>
      <c r="L27" s="30" t="n">
        <v>6.4</v>
      </c>
      <c r="M27" s="28" t="n">
        <v>0.147244603272981</v>
      </c>
      <c r="N27" s="29" t="n">
        <v>12.86</v>
      </c>
      <c r="O27" s="28" t="n">
        <v>0.0342639593908629</v>
      </c>
      <c r="P27" s="27" t="n">
        <v>3496</v>
      </c>
      <c r="Q27" s="28" t="n">
        <v>0.162415795586527</v>
      </c>
      <c r="R27" s="31" t="n">
        <v>0.678408388494596</v>
      </c>
    </row>
    <row r="28" customFormat="false" ht="15" hidden="false" customHeight="false" outlineLevel="0" collapsed="false">
      <c r="A28" s="25" t="n">
        <v>4101853</v>
      </c>
      <c r="B28" s="26" t="s">
        <v>90</v>
      </c>
      <c r="C28" s="26" t="s">
        <v>71</v>
      </c>
      <c r="D28" s="27" t="n">
        <v>2329</v>
      </c>
      <c r="E28" s="27" t="n">
        <v>113</v>
      </c>
      <c r="F28" s="27" t="n">
        <v>49</v>
      </c>
      <c r="G28" s="28" t="n">
        <v>0.433628318584071</v>
      </c>
      <c r="H28" s="29" t="n">
        <v>1.16271186440678</v>
      </c>
      <c r="I28" s="27" t="n">
        <v>1</v>
      </c>
      <c r="J28" s="27" t="n">
        <v>2</v>
      </c>
      <c r="K28" s="28" t="n">
        <v>0.5</v>
      </c>
      <c r="L28" s="30" t="n">
        <v>0</v>
      </c>
      <c r="M28" s="28" t="n">
        <v>0.126663804207815</v>
      </c>
      <c r="N28" s="29" t="n">
        <v>11.16</v>
      </c>
      <c r="O28" s="28" t="n">
        <v>0.111111111111111</v>
      </c>
      <c r="P28" s="27" t="n">
        <v>84</v>
      </c>
      <c r="Q28" s="28" t="n">
        <v>0.337349397590361</v>
      </c>
      <c r="R28" s="31" t="n">
        <v>0.432860937518063</v>
      </c>
    </row>
    <row r="29" customFormat="false" ht="15" hidden="false" customHeight="false" outlineLevel="0" collapsed="false">
      <c r="A29" s="25" t="n">
        <v>4101903</v>
      </c>
      <c r="B29" s="26" t="s">
        <v>91</v>
      </c>
      <c r="C29" s="26" t="s">
        <v>65</v>
      </c>
      <c r="D29" s="27" t="n">
        <v>13797</v>
      </c>
      <c r="E29" s="27" t="n">
        <v>685</v>
      </c>
      <c r="F29" s="27" t="n">
        <v>277</v>
      </c>
      <c r="G29" s="28" t="n">
        <v>0.404379562043796</v>
      </c>
      <c r="H29" s="29" t="n">
        <v>1.18632478632479</v>
      </c>
      <c r="I29" s="27" t="n">
        <v>3</v>
      </c>
      <c r="J29" s="27" t="n">
        <v>9</v>
      </c>
      <c r="K29" s="28" t="n">
        <v>0.333333333333333</v>
      </c>
      <c r="L29" s="30" t="n">
        <v>6.49</v>
      </c>
      <c r="M29" s="28" t="n">
        <v>0.12720156555773</v>
      </c>
      <c r="N29" s="29" t="n">
        <v>10.94</v>
      </c>
      <c r="O29" s="28" t="n">
        <v>0.0232558139534883</v>
      </c>
      <c r="P29" s="27" t="n">
        <v>382</v>
      </c>
      <c r="Q29" s="28" t="n">
        <v>0.250327653997379</v>
      </c>
      <c r="R29" s="31" t="n">
        <v>0.409308987556442</v>
      </c>
    </row>
    <row r="30" customFormat="false" ht="15" hidden="false" customHeight="false" outlineLevel="0" collapsed="false">
      <c r="A30" s="25" t="n">
        <v>4102000</v>
      </c>
      <c r="B30" s="26" t="s">
        <v>92</v>
      </c>
      <c r="C30" s="26" t="s">
        <v>86</v>
      </c>
      <c r="D30" s="27" t="n">
        <v>36808</v>
      </c>
      <c r="E30" s="27" t="n">
        <v>2189</v>
      </c>
      <c r="F30" s="27" t="n">
        <v>808</v>
      </c>
      <c r="G30" s="28" t="n">
        <v>0.369118318867063</v>
      </c>
      <c r="H30" s="29" t="n">
        <v>1.11721201255043</v>
      </c>
      <c r="I30" s="27" t="n">
        <v>4</v>
      </c>
      <c r="J30" s="27" t="n">
        <v>9</v>
      </c>
      <c r="K30" s="28" t="n">
        <v>0.444444444444444</v>
      </c>
      <c r="L30" s="30" t="n">
        <v>6.88</v>
      </c>
      <c r="M30" s="28" t="n">
        <v>0.121223647033254</v>
      </c>
      <c r="N30" s="29" t="n">
        <v>12.04</v>
      </c>
      <c r="O30" s="28" t="n">
        <v>0.0142045454545454</v>
      </c>
      <c r="P30" s="27" t="n">
        <v>683</v>
      </c>
      <c r="Q30" s="28" t="n">
        <v>0.152285395763657</v>
      </c>
      <c r="R30" s="31" t="n">
        <v>0.469791303901397</v>
      </c>
    </row>
    <row r="31" customFormat="false" ht="15" hidden="false" customHeight="false" outlineLevel="0" collapsed="false">
      <c r="A31" s="25" t="n">
        <v>4102109</v>
      </c>
      <c r="B31" s="26" t="s">
        <v>93</v>
      </c>
      <c r="C31" s="26" t="s">
        <v>86</v>
      </c>
      <c r="D31" s="27" t="n">
        <v>25475</v>
      </c>
      <c r="E31" s="27" t="n">
        <v>1524</v>
      </c>
      <c r="F31" s="27" t="n">
        <v>573</v>
      </c>
      <c r="G31" s="28" t="n">
        <v>0.375984251968504</v>
      </c>
      <c r="H31" s="29" t="n">
        <v>1.08970727101039</v>
      </c>
      <c r="I31" s="27" t="n">
        <v>3</v>
      </c>
      <c r="J31" s="27" t="n">
        <v>10</v>
      </c>
      <c r="K31" s="28" t="n">
        <v>0.3</v>
      </c>
      <c r="L31" s="30" t="n">
        <v>21.28</v>
      </c>
      <c r="M31" s="28" t="n">
        <v>0.124710500490677</v>
      </c>
      <c r="N31" s="29" t="n">
        <v>12.52</v>
      </c>
      <c r="O31" s="28" t="n">
        <v>0.0168539325842696</v>
      </c>
      <c r="P31" s="27" t="n">
        <v>494</v>
      </c>
      <c r="Q31" s="28" t="n">
        <v>0.159974093264249</v>
      </c>
      <c r="R31" s="31" t="n">
        <v>0.465516130757045</v>
      </c>
    </row>
    <row r="32" customFormat="false" ht="15" hidden="false" customHeight="false" outlineLevel="0" collapsed="false">
      <c r="A32" s="25" t="n">
        <v>4102208</v>
      </c>
      <c r="B32" s="26" t="s">
        <v>94</v>
      </c>
      <c r="C32" s="26" t="s">
        <v>71</v>
      </c>
      <c r="D32" s="27" t="n">
        <v>3980</v>
      </c>
      <c r="E32" s="27" t="n">
        <v>190</v>
      </c>
      <c r="F32" s="27" t="n">
        <v>116</v>
      </c>
      <c r="G32" s="28" t="n">
        <v>0.610526315789474</v>
      </c>
      <c r="H32" s="29" t="n">
        <v>1.20190023752969</v>
      </c>
      <c r="I32" s="27" t="n">
        <v>0</v>
      </c>
      <c r="J32" s="27" t="n">
        <v>1</v>
      </c>
      <c r="K32" s="28" t="n">
        <v>0</v>
      </c>
      <c r="L32" s="30" t="n">
        <v>0</v>
      </c>
      <c r="M32" s="28" t="n">
        <v>0.105778894472362</v>
      </c>
      <c r="N32" s="29" t="n">
        <v>8.54</v>
      </c>
      <c r="O32" s="28" t="n">
        <v>0</v>
      </c>
      <c r="P32" s="27" t="n">
        <v>78</v>
      </c>
      <c r="Q32" s="28" t="n">
        <v>0.192592592592593</v>
      </c>
      <c r="R32" s="31" t="n">
        <v>0.479070253584264</v>
      </c>
    </row>
    <row r="33" customFormat="false" ht="15" hidden="false" customHeight="false" outlineLevel="0" collapsed="false">
      <c r="A33" s="25" t="n">
        <v>4101150</v>
      </c>
      <c r="B33" s="26" t="s">
        <v>95</v>
      </c>
      <c r="C33" s="26" t="s">
        <v>71</v>
      </c>
      <c r="D33" s="27" t="n">
        <v>3235</v>
      </c>
      <c r="E33" s="27" t="n">
        <v>212</v>
      </c>
      <c r="F33" s="27" t="n">
        <v>129</v>
      </c>
      <c r="G33" s="28" t="n">
        <v>0.608490566037736</v>
      </c>
      <c r="H33" s="29" t="n">
        <v>1.140589569161</v>
      </c>
      <c r="I33" s="27" t="n">
        <v>0</v>
      </c>
      <c r="J33" s="27" t="n">
        <v>1</v>
      </c>
      <c r="K33" s="28" t="n">
        <v>0</v>
      </c>
      <c r="L33" s="30" t="n">
        <v>0</v>
      </c>
      <c r="M33" s="28" t="n">
        <v>0.136321483771252</v>
      </c>
      <c r="N33" s="29" t="n">
        <v>13.6</v>
      </c>
      <c r="O33" s="28" t="n">
        <v>0.0714285714285714</v>
      </c>
      <c r="P33" s="27" t="n">
        <v>100</v>
      </c>
      <c r="Q33" s="28" t="n">
        <v>0.225225225225225</v>
      </c>
      <c r="R33" s="31" t="n">
        <v>0.444137699684506</v>
      </c>
    </row>
    <row r="34" customFormat="false" ht="15" hidden="false" customHeight="false" outlineLevel="0" collapsed="false">
      <c r="A34" s="25" t="n">
        <v>4102307</v>
      </c>
      <c r="B34" s="26" t="s">
        <v>96</v>
      </c>
      <c r="C34" s="26" t="s">
        <v>65</v>
      </c>
      <c r="D34" s="27" t="n">
        <v>13395</v>
      </c>
      <c r="E34" s="27" t="n">
        <v>832</v>
      </c>
      <c r="F34" s="27" t="n">
        <v>243</v>
      </c>
      <c r="G34" s="28" t="n">
        <v>0.292067307692308</v>
      </c>
      <c r="H34" s="29" t="n">
        <v>1.20898641588297</v>
      </c>
      <c r="I34" s="27" t="n">
        <v>1</v>
      </c>
      <c r="J34" s="27" t="n">
        <v>6</v>
      </c>
      <c r="K34" s="28" t="n">
        <v>0.166666666666667</v>
      </c>
      <c r="L34" s="30" t="n">
        <v>19.35</v>
      </c>
      <c r="M34" s="28" t="n">
        <v>0.142889137737962</v>
      </c>
      <c r="N34" s="29" t="n">
        <v>12.32</v>
      </c>
      <c r="O34" s="28" t="n">
        <v>0.0093457943925233</v>
      </c>
      <c r="P34" s="27" t="n">
        <v>434</v>
      </c>
      <c r="Q34" s="28" t="n">
        <v>0.238461538461538</v>
      </c>
      <c r="R34" s="31" t="n">
        <v>0.594452057924498</v>
      </c>
    </row>
    <row r="35" customFormat="false" ht="15" hidden="false" customHeight="false" outlineLevel="0" collapsed="false">
      <c r="A35" s="25" t="n">
        <v>4102406</v>
      </c>
      <c r="B35" s="26" t="s">
        <v>97</v>
      </c>
      <c r="C35" s="26" t="s">
        <v>86</v>
      </c>
      <c r="D35" s="27" t="n">
        <v>31273</v>
      </c>
      <c r="E35" s="27" t="n">
        <v>1828</v>
      </c>
      <c r="F35" s="27" t="n">
        <v>629</v>
      </c>
      <c r="G35" s="28" t="n">
        <v>0.344091903719913</v>
      </c>
      <c r="H35" s="29" t="n">
        <v>1.14763014763015</v>
      </c>
      <c r="I35" s="27" t="n">
        <v>5</v>
      </c>
      <c r="J35" s="27" t="n">
        <v>13</v>
      </c>
      <c r="K35" s="28" t="n">
        <v>0.384615384615385</v>
      </c>
      <c r="L35" s="30" t="n">
        <v>5.17</v>
      </c>
      <c r="M35" s="28" t="n">
        <v>0.123461132606402</v>
      </c>
      <c r="N35" s="29" t="n">
        <v>12.12</v>
      </c>
      <c r="O35" s="28" t="n">
        <v>0.0244897959183673</v>
      </c>
      <c r="P35" s="27" t="n">
        <v>852</v>
      </c>
      <c r="Q35" s="28" t="n">
        <v>0.225396825396825</v>
      </c>
      <c r="R35" s="31" t="n">
        <v>0.478216620135386</v>
      </c>
    </row>
    <row r="36" customFormat="false" ht="15" hidden="false" customHeight="false" outlineLevel="0" collapsed="false">
      <c r="A36" s="25" t="n">
        <v>4102505</v>
      </c>
      <c r="B36" s="26" t="s">
        <v>98</v>
      </c>
      <c r="C36" s="26" t="s">
        <v>65</v>
      </c>
      <c r="D36" s="27" t="n">
        <v>10795</v>
      </c>
      <c r="E36" s="27" t="n">
        <v>584</v>
      </c>
      <c r="F36" s="27" t="n">
        <v>144</v>
      </c>
      <c r="G36" s="28" t="n">
        <v>0.246575342465753</v>
      </c>
      <c r="H36" s="29" t="n">
        <v>1.07849293563579</v>
      </c>
      <c r="I36" s="27" t="n">
        <v>1</v>
      </c>
      <c r="J36" s="27" t="n">
        <v>3</v>
      </c>
      <c r="K36" s="28" t="n">
        <v>0.333333333333333</v>
      </c>
      <c r="L36" s="30" t="n">
        <v>0</v>
      </c>
      <c r="M36" s="28" t="n">
        <v>0.118017600741084</v>
      </c>
      <c r="N36" s="29" t="n">
        <v>10.56</v>
      </c>
      <c r="O36" s="28" t="n">
        <v>0.0483870967741935</v>
      </c>
      <c r="P36" s="27" t="n">
        <v>402</v>
      </c>
      <c r="Q36" s="28" t="n">
        <v>0.334164588528678</v>
      </c>
      <c r="R36" s="31" t="n">
        <v>0.399405308047456</v>
      </c>
    </row>
    <row r="37" customFormat="false" ht="15" hidden="false" customHeight="false" outlineLevel="0" collapsed="false">
      <c r="A37" s="25" t="n">
        <v>4102703</v>
      </c>
      <c r="B37" s="26" t="s">
        <v>99</v>
      </c>
      <c r="C37" s="26" t="s">
        <v>71</v>
      </c>
      <c r="D37" s="27" t="n">
        <v>2814</v>
      </c>
      <c r="E37" s="27" t="n">
        <v>158</v>
      </c>
      <c r="F37" s="27" t="n">
        <v>77</v>
      </c>
      <c r="G37" s="28" t="n">
        <v>0.487341772151899</v>
      </c>
      <c r="H37" s="29" t="n">
        <v>1.08150470219436</v>
      </c>
      <c r="I37" s="27" t="n">
        <v>0</v>
      </c>
      <c r="J37" s="27" t="n">
        <v>1</v>
      </c>
      <c r="K37" s="28" t="n">
        <v>0</v>
      </c>
      <c r="L37" s="30" t="n">
        <v>0</v>
      </c>
      <c r="M37" s="28" t="n">
        <v>0.113361762615494</v>
      </c>
      <c r="N37" s="29" t="n">
        <v>10.31</v>
      </c>
      <c r="O37" s="28" t="n">
        <v>0</v>
      </c>
      <c r="P37" s="27" t="n">
        <v>93</v>
      </c>
      <c r="Q37" s="28" t="n">
        <v>0.279279279279279</v>
      </c>
      <c r="R37" s="31" t="n">
        <v>0.415721672297455</v>
      </c>
    </row>
    <row r="38" customFormat="false" ht="15" hidden="false" customHeight="false" outlineLevel="0" collapsed="false">
      <c r="A38" s="25" t="n">
        <v>4102604</v>
      </c>
      <c r="B38" s="26" t="s">
        <v>100</v>
      </c>
      <c r="C38" s="26" t="s">
        <v>65</v>
      </c>
      <c r="D38" s="27" t="n">
        <v>9759</v>
      </c>
      <c r="E38" s="27" t="n">
        <v>645</v>
      </c>
      <c r="F38" s="27" t="n">
        <v>195</v>
      </c>
      <c r="G38" s="28" t="n">
        <v>0.302325581395349</v>
      </c>
      <c r="H38" s="29" t="n">
        <v>1.27507374631268</v>
      </c>
      <c r="I38" s="27" t="n">
        <v>2</v>
      </c>
      <c r="J38" s="27" t="n">
        <v>6</v>
      </c>
      <c r="K38" s="28" t="n">
        <v>0.333333333333333</v>
      </c>
      <c r="L38" s="30" t="n">
        <v>0</v>
      </c>
      <c r="M38" s="28" t="n">
        <v>0.138948662772825</v>
      </c>
      <c r="N38" s="29" t="n">
        <v>13.42</v>
      </c>
      <c r="O38" s="28" t="n">
        <v>0.010752688172043</v>
      </c>
      <c r="P38" s="27" t="n">
        <v>377</v>
      </c>
      <c r="Q38" s="28" t="n">
        <v>0.277002204261572</v>
      </c>
      <c r="R38" s="31" t="n">
        <v>0.432552587748465</v>
      </c>
    </row>
    <row r="39" customFormat="false" ht="15" hidden="false" customHeight="false" outlineLevel="0" collapsed="false">
      <c r="A39" s="25" t="n">
        <v>4102752</v>
      </c>
      <c r="B39" s="26" t="s">
        <v>101</v>
      </c>
      <c r="C39" s="26" t="s">
        <v>71</v>
      </c>
      <c r="D39" s="27" t="n">
        <v>4031</v>
      </c>
      <c r="E39" s="27" t="n">
        <v>235</v>
      </c>
      <c r="F39" s="27" t="n">
        <v>61</v>
      </c>
      <c r="G39" s="28" t="n">
        <v>0.259574468085106</v>
      </c>
      <c r="H39" s="29" t="n">
        <v>0.841392649903288</v>
      </c>
      <c r="I39" s="27" t="n">
        <v>1</v>
      </c>
      <c r="J39" s="27" t="n">
        <v>2</v>
      </c>
      <c r="K39" s="28" t="n">
        <v>0.5</v>
      </c>
      <c r="L39" s="30" t="n">
        <v>25</v>
      </c>
      <c r="M39" s="28" t="n">
        <v>0.128256015876954</v>
      </c>
      <c r="N39" s="29" t="n">
        <v>11.66</v>
      </c>
      <c r="O39" s="28" t="n">
        <v>0.032258064516129</v>
      </c>
      <c r="P39" s="27" t="n">
        <v>104</v>
      </c>
      <c r="Q39" s="28" t="n">
        <v>0.218487394957983</v>
      </c>
      <c r="R39" s="31" t="n">
        <v>0.371250383143116</v>
      </c>
    </row>
    <row r="40" customFormat="false" ht="15" hidden="false" customHeight="false" outlineLevel="0" collapsed="false">
      <c r="A40" s="25" t="n">
        <v>4102802</v>
      </c>
      <c r="B40" s="26" t="s">
        <v>102</v>
      </c>
      <c r="C40" s="26" t="s">
        <v>65</v>
      </c>
      <c r="D40" s="27" t="n">
        <v>14833</v>
      </c>
      <c r="E40" s="27" t="n">
        <v>857</v>
      </c>
      <c r="F40" s="27" t="n">
        <v>65</v>
      </c>
      <c r="G40" s="28" t="n">
        <v>0.0758459743290548</v>
      </c>
      <c r="H40" s="29" t="n">
        <v>1.23630326508024</v>
      </c>
      <c r="I40" s="27" t="n">
        <v>5</v>
      </c>
      <c r="J40" s="27" t="n">
        <v>6</v>
      </c>
      <c r="K40" s="28" t="n">
        <v>0.833333333333333</v>
      </c>
      <c r="L40" s="30" t="n">
        <v>19.35</v>
      </c>
      <c r="M40" s="28" t="n">
        <v>0.12182296231376</v>
      </c>
      <c r="N40" s="29" t="n">
        <v>10.45</v>
      </c>
      <c r="O40" s="28" t="n">
        <v>0.153846153846154</v>
      </c>
      <c r="P40" s="27" t="n">
        <v>428</v>
      </c>
      <c r="Q40" s="28" t="n">
        <v>0.244711263579188</v>
      </c>
      <c r="R40" s="31" t="n">
        <v>0.417909321707836</v>
      </c>
    </row>
    <row r="41" customFormat="false" ht="15" hidden="false" customHeight="false" outlineLevel="0" collapsed="false">
      <c r="A41" s="25" t="n">
        <v>4102901</v>
      </c>
      <c r="B41" s="26" t="s">
        <v>103</v>
      </c>
      <c r="C41" s="26" t="s">
        <v>65</v>
      </c>
      <c r="D41" s="27" t="n">
        <v>15533</v>
      </c>
      <c r="E41" s="27" t="n">
        <v>1202</v>
      </c>
      <c r="F41" s="27" t="n">
        <v>264</v>
      </c>
      <c r="G41" s="28" t="n">
        <v>0.219633943427621</v>
      </c>
      <c r="H41" s="29" t="n">
        <v>1.18973214285714</v>
      </c>
      <c r="I41" s="27" t="n">
        <v>2</v>
      </c>
      <c r="J41" s="27" t="n">
        <v>6</v>
      </c>
      <c r="K41" s="28" t="n">
        <v>0.333333333333333</v>
      </c>
      <c r="L41" s="30" t="n">
        <v>14.87</v>
      </c>
      <c r="M41" s="28" t="n">
        <v>0.144209103199639</v>
      </c>
      <c r="N41" s="29" t="n">
        <v>16.42</v>
      </c>
      <c r="O41" s="28" t="n">
        <v>0.0559006211180124</v>
      </c>
      <c r="P41" s="27" t="n">
        <v>703</v>
      </c>
      <c r="Q41" s="28" t="n">
        <v>0.299658994032396</v>
      </c>
      <c r="R41" s="31" t="n">
        <v>0.478060344797265</v>
      </c>
    </row>
    <row r="42" customFormat="false" ht="15" hidden="false" customHeight="false" outlineLevel="0" collapsed="false">
      <c r="A42" s="25" t="n">
        <v>4103008</v>
      </c>
      <c r="B42" s="26" t="s">
        <v>104</v>
      </c>
      <c r="C42" s="26" t="s">
        <v>71</v>
      </c>
      <c r="D42" s="27" t="n">
        <v>4558</v>
      </c>
      <c r="E42" s="27" t="n">
        <v>267</v>
      </c>
      <c r="F42" s="27" t="n">
        <v>126</v>
      </c>
      <c r="G42" s="28" t="n">
        <v>0.471910112359551</v>
      </c>
      <c r="H42" s="29" t="n">
        <v>1.16037735849057</v>
      </c>
      <c r="I42" s="27" t="n">
        <v>1</v>
      </c>
      <c r="J42" s="27" t="n">
        <v>4</v>
      </c>
      <c r="K42" s="28" t="n">
        <v>0.25</v>
      </c>
      <c r="L42" s="30" t="n">
        <v>0</v>
      </c>
      <c r="M42" s="28" t="n">
        <v>0.116279069767442</v>
      </c>
      <c r="N42" s="29" t="n">
        <v>9.21</v>
      </c>
      <c r="O42" s="28" t="n">
        <v>0</v>
      </c>
      <c r="P42" s="27" t="n">
        <v>126</v>
      </c>
      <c r="Q42" s="28" t="n">
        <v>0.236397748592871</v>
      </c>
      <c r="R42" s="31" t="n">
        <v>0.513402121293403</v>
      </c>
    </row>
    <row r="43" customFormat="false" ht="15" hidden="false" customHeight="false" outlineLevel="0" collapsed="false">
      <c r="A43" s="25" t="n">
        <v>4103024</v>
      </c>
      <c r="B43" s="26" t="s">
        <v>105</v>
      </c>
      <c r="C43" s="26" t="s">
        <v>71</v>
      </c>
      <c r="D43" s="27" t="n">
        <v>2455</v>
      </c>
      <c r="E43" s="27" t="n">
        <v>139</v>
      </c>
      <c r="F43" s="27" t="n">
        <v>83</v>
      </c>
      <c r="G43" s="28" t="n">
        <v>0.597122302158273</v>
      </c>
      <c r="H43" s="29" t="n">
        <v>1.04411764705882</v>
      </c>
      <c r="I43" s="27" t="n">
        <v>0</v>
      </c>
      <c r="J43" s="27" t="n">
        <v>1</v>
      </c>
      <c r="K43" s="28" t="n">
        <v>0</v>
      </c>
      <c r="L43" s="30" t="n">
        <v>0</v>
      </c>
      <c r="M43" s="28" t="n">
        <v>0.138492871690428</v>
      </c>
      <c r="N43" s="29" t="n">
        <v>11.41</v>
      </c>
      <c r="O43" s="28" t="n">
        <v>0</v>
      </c>
      <c r="P43" s="27" t="n">
        <v>59</v>
      </c>
      <c r="Q43" s="28" t="n">
        <v>0.184952978056426</v>
      </c>
      <c r="R43" s="31" t="n">
        <v>0.408430093168542</v>
      </c>
    </row>
    <row r="44" customFormat="false" ht="15" hidden="false" customHeight="false" outlineLevel="0" collapsed="false">
      <c r="A44" s="25" t="n">
        <v>4103040</v>
      </c>
      <c r="B44" s="26" t="s">
        <v>106</v>
      </c>
      <c r="C44" s="26" t="s">
        <v>65</v>
      </c>
      <c r="D44" s="27" t="n">
        <v>6378</v>
      </c>
      <c r="E44" s="27" t="n">
        <v>444</v>
      </c>
      <c r="F44" s="27" t="n">
        <v>117</v>
      </c>
      <c r="G44" s="28" t="n">
        <v>0.263513513513514</v>
      </c>
      <c r="H44" s="29" t="n">
        <v>1.08656036446469</v>
      </c>
      <c r="I44" s="27" t="n">
        <v>0</v>
      </c>
      <c r="J44" s="27" t="n">
        <v>1</v>
      </c>
      <c r="K44" s="28" t="n">
        <v>0</v>
      </c>
      <c r="L44" s="30" t="n">
        <v>23.26</v>
      </c>
      <c r="M44" s="28" t="n">
        <v>0.137660708686109</v>
      </c>
      <c r="N44" s="29" t="n">
        <v>10.66</v>
      </c>
      <c r="O44" s="28" t="n">
        <v>0</v>
      </c>
      <c r="P44" s="27" t="n">
        <v>347</v>
      </c>
      <c r="Q44" s="28" t="n">
        <v>0.390765765765766</v>
      </c>
      <c r="R44" s="31" t="n">
        <v>0.478805046012692</v>
      </c>
    </row>
    <row r="45" customFormat="false" ht="15" hidden="false" customHeight="false" outlineLevel="0" collapsed="false">
      <c r="A45" s="25" t="n">
        <v>4103057</v>
      </c>
      <c r="B45" s="26" t="s">
        <v>107</v>
      </c>
      <c r="C45" s="26" t="s">
        <v>65</v>
      </c>
      <c r="D45" s="27" t="n">
        <v>7924</v>
      </c>
      <c r="E45" s="27" t="n">
        <v>519</v>
      </c>
      <c r="F45" s="27" t="n">
        <v>186</v>
      </c>
      <c r="G45" s="28" t="n">
        <v>0.358381502890173</v>
      </c>
      <c r="H45" s="29" t="n">
        <v>1.16353887399464</v>
      </c>
      <c r="I45" s="27" t="n">
        <v>1</v>
      </c>
      <c r="J45" s="27" t="n">
        <v>4</v>
      </c>
      <c r="K45" s="28" t="n">
        <v>0.25</v>
      </c>
      <c r="L45" s="30" t="n">
        <v>0</v>
      </c>
      <c r="M45" s="28" t="n">
        <v>0.141216557294296</v>
      </c>
      <c r="N45" s="29" t="n">
        <v>13.38</v>
      </c>
      <c r="O45" s="28" t="n">
        <v>0.0194174757281553</v>
      </c>
      <c r="P45" s="27" t="n">
        <v>410</v>
      </c>
      <c r="Q45" s="28" t="n">
        <v>0.375114364135407</v>
      </c>
      <c r="R45" s="31" t="n">
        <v>0.372638153374653</v>
      </c>
    </row>
    <row r="46" customFormat="false" ht="15" hidden="false" customHeight="false" outlineLevel="0" collapsed="false">
      <c r="A46" s="25" t="n">
        <v>4103107</v>
      </c>
      <c r="B46" s="26" t="s">
        <v>108</v>
      </c>
      <c r="C46" s="26" t="s">
        <v>65</v>
      </c>
      <c r="D46" s="27" t="n">
        <v>13299</v>
      </c>
      <c r="E46" s="27" t="n">
        <v>953</v>
      </c>
      <c r="F46" s="27" t="n">
        <v>164</v>
      </c>
      <c r="G46" s="28" t="n">
        <v>0.17208814270724</v>
      </c>
      <c r="H46" s="29" t="n">
        <v>1.17064676616915</v>
      </c>
      <c r="I46" s="27" t="n">
        <v>1</v>
      </c>
      <c r="J46" s="27" t="n">
        <v>3</v>
      </c>
      <c r="K46" s="28" t="n">
        <v>0.333333333333333</v>
      </c>
      <c r="L46" s="30" t="n">
        <v>15.31</v>
      </c>
      <c r="M46" s="28" t="n">
        <v>0.151139183397248</v>
      </c>
      <c r="N46" s="29" t="n">
        <v>12.71</v>
      </c>
      <c r="O46" s="28" t="n">
        <v>0.0606060606060606</v>
      </c>
      <c r="P46" s="27" t="n">
        <v>770</v>
      </c>
      <c r="Q46" s="28" t="n">
        <v>0.385578367551327</v>
      </c>
      <c r="R46" s="31" t="n">
        <v>0.475829476287282</v>
      </c>
    </row>
    <row r="47" customFormat="false" ht="15" hidden="false" customHeight="false" outlineLevel="0" collapsed="false">
      <c r="A47" s="25" t="n">
        <v>4103156</v>
      </c>
      <c r="B47" s="26" t="s">
        <v>109</v>
      </c>
      <c r="C47" s="26" t="s">
        <v>71</v>
      </c>
      <c r="D47" s="27" t="n">
        <v>3980</v>
      </c>
      <c r="E47" s="27" t="n">
        <v>257</v>
      </c>
      <c r="F47" s="27" t="n">
        <v>144</v>
      </c>
      <c r="G47" s="28" t="n">
        <v>0.560311284046693</v>
      </c>
      <c r="H47" s="29" t="n">
        <v>1.13369963369963</v>
      </c>
      <c r="I47" s="27" t="n">
        <v>1</v>
      </c>
      <c r="J47" s="27" t="n">
        <v>2</v>
      </c>
      <c r="K47" s="28" t="n">
        <v>0.5</v>
      </c>
      <c r="L47" s="30" t="n">
        <v>0</v>
      </c>
      <c r="M47" s="28" t="n">
        <v>0.137185929648241</v>
      </c>
      <c r="N47" s="29" t="n">
        <v>10.3</v>
      </c>
      <c r="O47" s="28" t="n">
        <v>0.0666666666666666</v>
      </c>
      <c r="P47" s="27" t="n">
        <v>147</v>
      </c>
      <c r="Q47" s="28" t="n">
        <v>0.278937381404175</v>
      </c>
      <c r="R47" s="31" t="n">
        <v>0.413186530619511</v>
      </c>
    </row>
    <row r="48" customFormat="false" ht="15" hidden="false" customHeight="false" outlineLevel="0" collapsed="false">
      <c r="A48" s="25" t="n">
        <v>4103206</v>
      </c>
      <c r="B48" s="26" t="s">
        <v>110</v>
      </c>
      <c r="C48" s="26" t="s">
        <v>65</v>
      </c>
      <c r="D48" s="27" t="n">
        <v>6581</v>
      </c>
      <c r="E48" s="27" t="n">
        <v>444</v>
      </c>
      <c r="F48" s="27" t="n">
        <v>166</v>
      </c>
      <c r="G48" s="28" t="n">
        <v>0.373873873873874</v>
      </c>
      <c r="H48" s="29" t="n">
        <v>1.02449414270501</v>
      </c>
      <c r="I48" s="27" t="n">
        <v>1</v>
      </c>
      <c r="J48" s="27" t="n">
        <v>2</v>
      </c>
      <c r="K48" s="28" t="n">
        <v>0.5</v>
      </c>
      <c r="L48" s="30" t="n">
        <v>0</v>
      </c>
      <c r="M48" s="28" t="n">
        <v>0.142683482753381</v>
      </c>
      <c r="N48" s="29" t="n">
        <v>10.33</v>
      </c>
      <c r="O48" s="28" t="n">
        <v>0.142857142857143</v>
      </c>
      <c r="P48" s="27" t="n">
        <v>160</v>
      </c>
      <c r="Q48" s="28" t="n">
        <v>0.173160173160173</v>
      </c>
      <c r="R48" s="31" t="n">
        <v>0.368688457999509</v>
      </c>
    </row>
    <row r="49" customFormat="false" ht="15" hidden="false" customHeight="false" outlineLevel="0" collapsed="false">
      <c r="A49" s="25" t="n">
        <v>4103222</v>
      </c>
      <c r="B49" s="26" t="s">
        <v>111</v>
      </c>
      <c r="C49" s="26" t="s">
        <v>71</v>
      </c>
      <c r="D49" s="27" t="n">
        <v>3202</v>
      </c>
      <c r="E49" s="27" t="n">
        <v>205</v>
      </c>
      <c r="F49" s="27" t="n">
        <v>91</v>
      </c>
      <c r="G49" s="28" t="n">
        <v>0.44390243902439</v>
      </c>
      <c r="H49" s="29" t="n">
        <v>1.20631067961165</v>
      </c>
      <c r="I49" s="27" t="n">
        <v>1</v>
      </c>
      <c r="J49" s="27" t="n">
        <v>2</v>
      </c>
      <c r="K49" s="28" t="n">
        <v>0.5</v>
      </c>
      <c r="L49" s="30" t="n">
        <v>0</v>
      </c>
      <c r="M49" s="28" t="n">
        <v>0.128669581511555</v>
      </c>
      <c r="N49" s="29" t="n">
        <v>12.49</v>
      </c>
      <c r="O49" s="28" t="n">
        <v>0</v>
      </c>
      <c r="P49" s="27" t="n">
        <v>77</v>
      </c>
      <c r="Q49" s="28" t="n">
        <v>0.182897862232779</v>
      </c>
      <c r="R49" s="31" t="n">
        <v>0.499930685363547</v>
      </c>
    </row>
    <row r="50" customFormat="false" ht="15" hidden="false" customHeight="false" outlineLevel="0" collapsed="false">
      <c r="A50" s="25" t="n">
        <v>4103305</v>
      </c>
      <c r="B50" s="26" t="s">
        <v>112</v>
      </c>
      <c r="C50" s="26" t="s">
        <v>65</v>
      </c>
      <c r="D50" s="27" t="n">
        <v>7735</v>
      </c>
      <c r="E50" s="27" t="n">
        <v>370</v>
      </c>
      <c r="F50" s="27" t="n">
        <v>134</v>
      </c>
      <c r="G50" s="28" t="n">
        <v>0.362162162162162</v>
      </c>
      <c r="H50" s="29" t="n">
        <v>1.03365906623236</v>
      </c>
      <c r="I50" s="27" t="n">
        <v>1</v>
      </c>
      <c r="J50" s="27" t="n">
        <v>3</v>
      </c>
      <c r="K50" s="28" t="n">
        <v>0.333333333333333</v>
      </c>
      <c r="L50" s="30" t="n">
        <v>12.66</v>
      </c>
      <c r="M50" s="28" t="n">
        <v>0.11906916612799</v>
      </c>
      <c r="N50" s="29" t="n">
        <v>10.86</v>
      </c>
      <c r="O50" s="28" t="n">
        <v>0.04</v>
      </c>
      <c r="P50" s="27" t="n">
        <v>228</v>
      </c>
      <c r="Q50" s="28" t="n">
        <v>0.278728606356968</v>
      </c>
      <c r="R50" s="31" t="n">
        <v>0.396048802984286</v>
      </c>
    </row>
    <row r="51" customFormat="false" ht="15" hidden="false" customHeight="false" outlineLevel="0" collapsed="false">
      <c r="A51" s="25" t="n">
        <v>4103354</v>
      </c>
      <c r="B51" s="26" t="s">
        <v>113</v>
      </c>
      <c r="C51" s="26" t="s">
        <v>71</v>
      </c>
      <c r="D51" s="27" t="n">
        <v>4854</v>
      </c>
      <c r="E51" s="27" t="n">
        <v>283</v>
      </c>
      <c r="F51" s="27" t="n">
        <v>147</v>
      </c>
      <c r="G51" s="28" t="n">
        <v>0.519434628975265</v>
      </c>
      <c r="H51" s="29" t="n">
        <v>1.20689655172414</v>
      </c>
      <c r="I51" s="27" t="n">
        <v>0</v>
      </c>
      <c r="J51" s="27" t="n">
        <v>3</v>
      </c>
      <c r="K51" s="28" t="n">
        <v>0</v>
      </c>
      <c r="L51" s="30" t="n">
        <v>0</v>
      </c>
      <c r="M51" s="28" t="n">
        <v>0.119489081170169</v>
      </c>
      <c r="N51" s="29" t="n">
        <v>11.74</v>
      </c>
      <c r="O51" s="28" t="n">
        <v>0</v>
      </c>
      <c r="P51" s="27" t="n">
        <v>161</v>
      </c>
      <c r="Q51" s="28" t="n">
        <v>0.282952548330404</v>
      </c>
      <c r="R51" s="31" t="n">
        <v>0.4183869129018</v>
      </c>
    </row>
    <row r="52" customFormat="false" ht="15" hidden="false" customHeight="false" outlineLevel="0" collapsed="false">
      <c r="A52" s="25" t="n">
        <v>4103370</v>
      </c>
      <c r="B52" s="26" t="s">
        <v>114</v>
      </c>
      <c r="C52" s="26" t="s">
        <v>71</v>
      </c>
      <c r="D52" s="27" t="n">
        <v>3708</v>
      </c>
      <c r="E52" s="27" t="n">
        <v>246</v>
      </c>
      <c r="F52" s="27" t="n">
        <v>97</v>
      </c>
      <c r="G52" s="28" t="n">
        <v>0.394308943089431</v>
      </c>
      <c r="H52" s="29" t="n">
        <v>1.1468085106383</v>
      </c>
      <c r="I52" s="27" t="n">
        <v>0</v>
      </c>
      <c r="J52" s="27" t="n">
        <v>2</v>
      </c>
      <c r="K52" s="28" t="n">
        <v>0</v>
      </c>
      <c r="L52" s="30" t="n">
        <v>23.81</v>
      </c>
      <c r="M52" s="28" t="n">
        <v>0.126752966558792</v>
      </c>
      <c r="N52" s="29" t="n">
        <v>11.6</v>
      </c>
      <c r="O52" s="28" t="n">
        <v>0</v>
      </c>
      <c r="P52" s="27" t="n">
        <v>110</v>
      </c>
      <c r="Q52" s="28" t="n">
        <v>0.217391304347826</v>
      </c>
      <c r="R52" s="31" t="n">
        <v>0.471107058928192</v>
      </c>
    </row>
    <row r="53" customFormat="false" ht="15" hidden="false" customHeight="false" outlineLevel="0" collapsed="false">
      <c r="A53" s="25" t="n">
        <v>4103404</v>
      </c>
      <c r="B53" s="26" t="s">
        <v>115</v>
      </c>
      <c r="C53" s="26" t="s">
        <v>71</v>
      </c>
      <c r="D53" s="27" t="n">
        <v>2627</v>
      </c>
      <c r="E53" s="27" t="n">
        <v>149</v>
      </c>
      <c r="F53" s="27" t="n">
        <v>55</v>
      </c>
      <c r="G53" s="28" t="n">
        <v>0.369127516778524</v>
      </c>
      <c r="H53" s="29" t="n">
        <v>1.12621359223301</v>
      </c>
      <c r="I53" s="27" t="n">
        <v>1</v>
      </c>
      <c r="J53" s="27" t="n">
        <v>2</v>
      </c>
      <c r="K53" s="28" t="n">
        <v>0.5</v>
      </c>
      <c r="L53" s="30" t="n">
        <v>0</v>
      </c>
      <c r="M53" s="28" t="n">
        <v>0.117624666920442</v>
      </c>
      <c r="N53" s="29" t="n">
        <v>8.76</v>
      </c>
      <c r="O53" s="28" t="n">
        <v>0</v>
      </c>
      <c r="P53" s="27" t="n">
        <v>51</v>
      </c>
      <c r="Q53" s="28" t="n">
        <v>0.172297297297297</v>
      </c>
      <c r="R53" s="31" t="n">
        <v>0.42762255305127</v>
      </c>
    </row>
    <row r="54" customFormat="false" ht="15" hidden="false" customHeight="false" outlineLevel="0" collapsed="false">
      <c r="A54" s="25" t="n">
        <v>4103453</v>
      </c>
      <c r="B54" s="26" t="s">
        <v>116</v>
      </c>
      <c r="C54" s="26" t="s">
        <v>65</v>
      </c>
      <c r="D54" s="27" t="n">
        <v>18997</v>
      </c>
      <c r="E54" s="27" t="n">
        <v>1409</v>
      </c>
      <c r="F54" s="27" t="n">
        <v>587</v>
      </c>
      <c r="G54" s="28" t="n">
        <v>0.416607523066004</v>
      </c>
      <c r="H54" s="29" t="n">
        <v>1.16387699493967</v>
      </c>
      <c r="I54" s="27" t="n">
        <v>1</v>
      </c>
      <c r="J54" s="27" t="n">
        <v>3</v>
      </c>
      <c r="K54" s="28" t="n">
        <v>0.333333333333333</v>
      </c>
      <c r="L54" s="30" t="n">
        <v>3.15</v>
      </c>
      <c r="M54" s="28" t="n">
        <v>0.135231878717692</v>
      </c>
      <c r="N54" s="29" t="n">
        <v>13.79</v>
      </c>
      <c r="O54" s="28" t="n">
        <v>0.0288461538461538</v>
      </c>
      <c r="P54" s="27" t="n">
        <v>394</v>
      </c>
      <c r="Q54" s="28" t="n">
        <v>0.141218637992832</v>
      </c>
      <c r="R54" s="31" t="n">
        <v>0.659858045480929</v>
      </c>
    </row>
    <row r="55" customFormat="false" ht="15" hidden="false" customHeight="false" outlineLevel="0" collapsed="false">
      <c r="A55" s="25" t="n">
        <v>4103479</v>
      </c>
      <c r="B55" s="26" t="s">
        <v>117</v>
      </c>
      <c r="C55" s="26" t="s">
        <v>71</v>
      </c>
      <c r="D55" s="27" t="n">
        <v>4473</v>
      </c>
      <c r="E55" s="27" t="n">
        <v>281</v>
      </c>
      <c r="F55" s="27" t="n">
        <v>102</v>
      </c>
      <c r="G55" s="28" t="n">
        <v>0.362989323843416</v>
      </c>
      <c r="H55" s="29" t="n">
        <v>1.10898661567878</v>
      </c>
      <c r="I55" s="27" t="n">
        <v>0</v>
      </c>
      <c r="J55" s="27" t="n">
        <v>2</v>
      </c>
      <c r="K55" s="28" t="n">
        <v>0</v>
      </c>
      <c r="L55" s="30" t="n">
        <v>15.38</v>
      </c>
      <c r="M55" s="28" t="n">
        <v>0.116923764811089</v>
      </c>
      <c r="N55" s="29" t="n">
        <v>11.18</v>
      </c>
      <c r="O55" s="28" t="n">
        <v>0</v>
      </c>
      <c r="P55" s="27" t="n">
        <v>124</v>
      </c>
      <c r="Q55" s="28" t="n">
        <v>0.236190476190476</v>
      </c>
      <c r="R55" s="31" t="n">
        <v>0.381894206150173</v>
      </c>
    </row>
    <row r="56" customFormat="false" ht="15" hidden="false" customHeight="false" outlineLevel="0" collapsed="false">
      <c r="A56" s="25" t="n">
        <v>4103503</v>
      </c>
      <c r="B56" s="26" t="s">
        <v>118</v>
      </c>
      <c r="C56" s="26" t="s">
        <v>65</v>
      </c>
      <c r="D56" s="27" t="n">
        <v>8710</v>
      </c>
      <c r="E56" s="27" t="n">
        <v>563</v>
      </c>
      <c r="F56" s="27" t="n">
        <v>248</v>
      </c>
      <c r="G56" s="28" t="n">
        <v>0.440497335701599</v>
      </c>
      <c r="H56" s="29" t="n">
        <v>1.14811643835616</v>
      </c>
      <c r="I56" s="27" t="n">
        <v>2</v>
      </c>
      <c r="J56" s="27" t="n">
        <v>6</v>
      </c>
      <c r="K56" s="28" t="n">
        <v>0.333333333333333</v>
      </c>
      <c r="L56" s="30" t="n">
        <v>25.42</v>
      </c>
      <c r="M56" s="28" t="n">
        <v>0.134098737083812</v>
      </c>
      <c r="N56" s="29" t="n">
        <v>11.25</v>
      </c>
      <c r="O56" s="28" t="n">
        <v>0.02</v>
      </c>
      <c r="P56" s="27" t="n">
        <v>360</v>
      </c>
      <c r="Q56" s="28" t="n">
        <v>0.305084745762712</v>
      </c>
      <c r="R56" s="31" t="n">
        <v>0.460825032485374</v>
      </c>
    </row>
    <row r="57" customFormat="false" ht="15" hidden="false" customHeight="false" outlineLevel="0" collapsed="false">
      <c r="A57" s="25" t="n">
        <v>4103602</v>
      </c>
      <c r="B57" s="26" t="s">
        <v>119</v>
      </c>
      <c r="C57" s="26" t="s">
        <v>86</v>
      </c>
      <c r="D57" s="27" t="n">
        <v>23212</v>
      </c>
      <c r="E57" s="27" t="n">
        <v>1444</v>
      </c>
      <c r="F57" s="27" t="n">
        <v>200</v>
      </c>
      <c r="G57" s="28" t="n">
        <v>0.138504155124654</v>
      </c>
      <c r="H57" s="29" t="n">
        <v>1.15687653886739</v>
      </c>
      <c r="I57" s="27" t="n">
        <v>6</v>
      </c>
      <c r="J57" s="27" t="n">
        <v>8</v>
      </c>
      <c r="K57" s="28" t="n">
        <v>0.75</v>
      </c>
      <c r="L57" s="30" t="n">
        <v>10.75</v>
      </c>
      <c r="M57" s="28" t="n">
        <v>0.12247975185249</v>
      </c>
      <c r="N57" s="29" t="n">
        <v>10.17</v>
      </c>
      <c r="O57" s="28" t="n">
        <v>0.037037037037037</v>
      </c>
      <c r="P57" s="27" t="n">
        <v>830</v>
      </c>
      <c r="Q57" s="28" t="n">
        <v>0.286206896551724</v>
      </c>
      <c r="R57" s="31" t="n">
        <v>0.470223219696099</v>
      </c>
    </row>
    <row r="58" customFormat="false" ht="15" hidden="false" customHeight="false" outlineLevel="0" collapsed="false">
      <c r="A58" s="25" t="n">
        <v>4103701</v>
      </c>
      <c r="B58" s="26" t="s">
        <v>120</v>
      </c>
      <c r="C58" s="26" t="s">
        <v>69</v>
      </c>
      <c r="D58" s="27" t="n">
        <v>107208</v>
      </c>
      <c r="E58" s="27" t="n">
        <v>6176</v>
      </c>
      <c r="F58" s="27" t="n">
        <v>1796</v>
      </c>
      <c r="G58" s="28" t="n">
        <v>0.29080310880829</v>
      </c>
      <c r="H58" s="29" t="n">
        <v>1.07482840943002</v>
      </c>
      <c r="I58" s="27" t="n">
        <v>12</v>
      </c>
      <c r="J58" s="27" t="n">
        <v>37</v>
      </c>
      <c r="K58" s="28" t="n">
        <v>0.324324324324324</v>
      </c>
      <c r="L58" s="30" t="n">
        <v>7.26</v>
      </c>
      <c r="M58" s="28" t="n">
        <v>0.125027982986344</v>
      </c>
      <c r="N58" s="29" t="n">
        <v>11.76</v>
      </c>
      <c r="O58" s="28" t="n">
        <v>0.0555555555555555</v>
      </c>
      <c r="P58" s="27" t="n">
        <v>2072</v>
      </c>
      <c r="Q58" s="28" t="n">
        <v>0.157902758725804</v>
      </c>
      <c r="R58" s="31" t="n">
        <v>0.551403773996952</v>
      </c>
    </row>
    <row r="59" customFormat="false" ht="15" hidden="false" customHeight="false" outlineLevel="0" collapsed="false">
      <c r="A59" s="25" t="n">
        <v>4103800</v>
      </c>
      <c r="B59" s="26" t="s">
        <v>121</v>
      </c>
      <c r="C59" s="26" t="s">
        <v>65</v>
      </c>
      <c r="D59" s="27" t="n">
        <v>9460</v>
      </c>
      <c r="E59" s="27" t="n">
        <v>597</v>
      </c>
      <c r="F59" s="27" t="n">
        <v>236</v>
      </c>
      <c r="G59" s="28" t="n">
        <v>0.395309882747069</v>
      </c>
      <c r="H59" s="29" t="n">
        <v>0.970660146699266</v>
      </c>
      <c r="I59" s="27" t="n">
        <v>1</v>
      </c>
      <c r="J59" s="27" t="n">
        <v>4</v>
      </c>
      <c r="K59" s="28" t="n">
        <v>0.25</v>
      </c>
      <c r="L59" s="30" t="n">
        <v>0</v>
      </c>
      <c r="M59" s="28" t="n">
        <v>0.129704016913319</v>
      </c>
      <c r="N59" s="29" t="n">
        <v>11.63</v>
      </c>
      <c r="O59" s="28" t="n">
        <v>0.024</v>
      </c>
      <c r="P59" s="27" t="n">
        <v>250</v>
      </c>
      <c r="Q59" s="28" t="n">
        <v>0.201775625504439</v>
      </c>
      <c r="R59" s="31" t="n">
        <v>0.512329896759212</v>
      </c>
    </row>
    <row r="60" customFormat="false" ht="15" hidden="false" customHeight="false" outlineLevel="0" collapsed="false">
      <c r="A60" s="25" t="n">
        <v>4104006</v>
      </c>
      <c r="B60" s="26" t="s">
        <v>122</v>
      </c>
      <c r="C60" s="26" t="s">
        <v>86</v>
      </c>
      <c r="D60" s="27" t="n">
        <v>47825</v>
      </c>
      <c r="E60" s="27" t="n">
        <v>3223</v>
      </c>
      <c r="F60" s="27" t="n">
        <v>908</v>
      </c>
      <c r="G60" s="28" t="n">
        <v>0.281725100837729</v>
      </c>
      <c r="H60" s="29" t="n">
        <v>1.15299180896849</v>
      </c>
      <c r="I60" s="27" t="n">
        <v>5</v>
      </c>
      <c r="J60" s="27" t="n">
        <v>19</v>
      </c>
      <c r="K60" s="28" t="n">
        <v>0.263157894736842</v>
      </c>
      <c r="L60" s="30" t="n">
        <v>8.8</v>
      </c>
      <c r="M60" s="28" t="n">
        <v>0.1506116048092</v>
      </c>
      <c r="N60" s="29" t="n">
        <v>14.53</v>
      </c>
      <c r="O60" s="28" t="n">
        <v>0.0289017341040462</v>
      </c>
      <c r="P60" s="27" t="n">
        <v>1465</v>
      </c>
      <c r="Q60" s="28" t="n">
        <v>0.21594929245283</v>
      </c>
      <c r="R60" s="31" t="n">
        <v>0.5397174785391</v>
      </c>
    </row>
    <row r="61" customFormat="false" ht="15" hidden="false" customHeight="false" outlineLevel="0" collapsed="false">
      <c r="A61" s="25" t="n">
        <v>4103909</v>
      </c>
      <c r="B61" s="26" t="s">
        <v>123</v>
      </c>
      <c r="C61" s="26" t="s">
        <v>65</v>
      </c>
      <c r="D61" s="27" t="n">
        <v>15723</v>
      </c>
      <c r="E61" s="27" t="n">
        <v>975</v>
      </c>
      <c r="F61" s="27" t="n">
        <v>296</v>
      </c>
      <c r="G61" s="28" t="n">
        <v>0.303589743589744</v>
      </c>
      <c r="H61" s="29" t="n">
        <v>1.14312886352829</v>
      </c>
      <c r="I61" s="27" t="n">
        <v>3</v>
      </c>
      <c r="J61" s="27" t="n">
        <v>9</v>
      </c>
      <c r="K61" s="28" t="n">
        <v>0.333333333333333</v>
      </c>
      <c r="L61" s="30" t="n">
        <v>20.41</v>
      </c>
      <c r="M61" s="28" t="n">
        <v>0.13375310055333</v>
      </c>
      <c r="N61" s="29" t="n">
        <v>13.1</v>
      </c>
      <c r="O61" s="28" t="n">
        <v>0.056701030927835</v>
      </c>
      <c r="P61" s="27" t="n">
        <v>617</v>
      </c>
      <c r="Q61" s="28" t="n">
        <v>0.299079011148812</v>
      </c>
      <c r="R61" s="31" t="n">
        <v>0.393642538280529</v>
      </c>
    </row>
    <row r="62" customFormat="false" ht="15" hidden="false" customHeight="false" outlineLevel="0" collapsed="false">
      <c r="A62" s="25" t="n">
        <v>4103958</v>
      </c>
      <c r="B62" s="26" t="s">
        <v>124</v>
      </c>
      <c r="C62" s="26" t="s">
        <v>71</v>
      </c>
      <c r="D62" s="27" t="n">
        <v>3936</v>
      </c>
      <c r="E62" s="27" t="n">
        <v>276</v>
      </c>
      <c r="F62" s="27" t="n">
        <v>61</v>
      </c>
      <c r="G62" s="28" t="n">
        <v>0.221014492753623</v>
      </c>
      <c r="H62" s="29" t="n">
        <v>1.22441651705566</v>
      </c>
      <c r="I62" s="27" t="n">
        <v>0</v>
      </c>
      <c r="J62" s="27" t="n">
        <v>3</v>
      </c>
      <c r="K62" s="28" t="n">
        <v>0</v>
      </c>
      <c r="L62" s="30" t="n">
        <v>0</v>
      </c>
      <c r="M62" s="28" t="n">
        <v>0.141514227642276</v>
      </c>
      <c r="N62" s="29" t="n">
        <v>17.78</v>
      </c>
      <c r="O62" s="28" t="n">
        <v>0.1</v>
      </c>
      <c r="P62" s="27" t="n">
        <v>224</v>
      </c>
      <c r="Q62" s="28" t="n">
        <v>0.398576512455516</v>
      </c>
      <c r="R62" s="31" t="n">
        <v>0.479509114234911</v>
      </c>
    </row>
    <row r="63" customFormat="false" ht="15" hidden="false" customHeight="false" outlineLevel="0" collapsed="false">
      <c r="A63" s="25" t="n">
        <v>4104055</v>
      </c>
      <c r="B63" s="26" t="s">
        <v>125</v>
      </c>
      <c r="C63" s="26" t="s">
        <v>71</v>
      </c>
      <c r="D63" s="27" t="n">
        <v>4027</v>
      </c>
      <c r="E63" s="27" t="n">
        <v>248</v>
      </c>
      <c r="F63" s="27" t="n">
        <v>120</v>
      </c>
      <c r="G63" s="28" t="n">
        <v>0.483870967741936</v>
      </c>
      <c r="H63" s="29" t="n">
        <v>1.09280303030303</v>
      </c>
      <c r="I63" s="27" t="n">
        <v>1</v>
      </c>
      <c r="J63" s="27" t="n">
        <v>3</v>
      </c>
      <c r="K63" s="28" t="n">
        <v>0.333333333333333</v>
      </c>
      <c r="L63" s="30" t="n">
        <v>0</v>
      </c>
      <c r="M63" s="28" t="n">
        <v>0.131114973926</v>
      </c>
      <c r="N63" s="29" t="n">
        <v>14.15</v>
      </c>
      <c r="O63" s="28" t="n">
        <v>0.0333333333333333</v>
      </c>
      <c r="P63" s="27" t="n">
        <v>173</v>
      </c>
      <c r="Q63" s="28" t="n">
        <v>0.328897338403042</v>
      </c>
      <c r="R63" s="31" t="n">
        <v>0.413520174695101</v>
      </c>
    </row>
    <row r="64" customFormat="false" ht="15" hidden="false" customHeight="false" outlineLevel="0" collapsed="false">
      <c r="A64" s="25" t="n">
        <v>4104204</v>
      </c>
      <c r="B64" s="26" t="s">
        <v>126</v>
      </c>
      <c r="C64" s="26" t="s">
        <v>69</v>
      </c>
      <c r="D64" s="27" t="n">
        <v>136327</v>
      </c>
      <c r="E64" s="27" t="n">
        <v>8119</v>
      </c>
      <c r="F64" s="27" t="n">
        <v>2467</v>
      </c>
      <c r="G64" s="28" t="n">
        <v>0.303855154575687</v>
      </c>
      <c r="H64" s="29" t="n">
        <v>1.04094513675352</v>
      </c>
      <c r="I64" s="27" t="n">
        <v>8</v>
      </c>
      <c r="J64" s="27" t="n">
        <v>30</v>
      </c>
      <c r="K64" s="28" t="n">
        <v>0.266666666666667</v>
      </c>
      <c r="L64" s="30" t="n">
        <v>10.7</v>
      </c>
      <c r="M64" s="28" t="n">
        <v>0.135974531824217</v>
      </c>
      <c r="N64" s="29" t="n">
        <v>11.42</v>
      </c>
      <c r="O64" s="28" t="n">
        <v>0.0401267159450897</v>
      </c>
      <c r="P64" s="27" t="n">
        <v>2739</v>
      </c>
      <c r="Q64" s="28" t="n">
        <v>0.155757748080751</v>
      </c>
      <c r="R64" s="31" t="n">
        <v>0.555496425062272</v>
      </c>
    </row>
    <row r="65" customFormat="false" ht="15" hidden="false" customHeight="false" outlineLevel="0" collapsed="false">
      <c r="A65" s="25" t="n">
        <v>4104253</v>
      </c>
      <c r="B65" s="26" t="s">
        <v>127</v>
      </c>
      <c r="C65" s="26" t="s">
        <v>86</v>
      </c>
      <c r="D65" s="27" t="n">
        <v>30160</v>
      </c>
      <c r="E65" s="27" t="n">
        <v>1911</v>
      </c>
      <c r="F65" s="27" t="n">
        <v>448</v>
      </c>
      <c r="G65" s="28" t="n">
        <v>0.234432234432234</v>
      </c>
      <c r="H65" s="29" t="n">
        <v>0.967406707605102</v>
      </c>
      <c r="I65" s="27" t="n">
        <v>0</v>
      </c>
      <c r="J65" s="27" t="n">
        <v>4</v>
      </c>
      <c r="K65" s="28" t="n">
        <v>0</v>
      </c>
      <c r="L65" s="30" t="n">
        <v>5.31</v>
      </c>
      <c r="M65" s="28" t="n">
        <v>0.140384615384615</v>
      </c>
      <c r="N65" s="29" t="n">
        <v>11.27</v>
      </c>
      <c r="O65" s="28" t="n">
        <v>0.0669291338582677</v>
      </c>
      <c r="P65" s="27" t="n">
        <v>836</v>
      </c>
      <c r="Q65" s="28" t="n">
        <v>0.209892041174994</v>
      </c>
      <c r="R65" s="31" t="n">
        <v>0.441871734359986</v>
      </c>
    </row>
    <row r="66" customFormat="false" ht="15" hidden="false" customHeight="false" outlineLevel="0" collapsed="false">
      <c r="A66" s="25" t="n">
        <v>4104303</v>
      </c>
      <c r="B66" s="26" t="s">
        <v>128</v>
      </c>
      <c r="C66" s="26" t="s">
        <v>129</v>
      </c>
      <c r="D66" s="27" t="n">
        <v>99432</v>
      </c>
      <c r="E66" s="27" t="n">
        <v>6305</v>
      </c>
      <c r="F66" s="27" t="n">
        <v>2022</v>
      </c>
      <c r="G66" s="28" t="n">
        <v>0.320697858842189</v>
      </c>
      <c r="H66" s="29" t="n">
        <v>1.13979591836735</v>
      </c>
      <c r="I66" s="27" t="n">
        <v>11</v>
      </c>
      <c r="J66" s="27" t="n">
        <v>31</v>
      </c>
      <c r="K66" s="28" t="n">
        <v>0.354838709677419</v>
      </c>
      <c r="L66" s="30" t="n">
        <v>11.97</v>
      </c>
      <c r="M66" s="28" t="n">
        <v>0.128127765709228</v>
      </c>
      <c r="N66" s="29" t="n">
        <v>11.98</v>
      </c>
      <c r="O66" s="28" t="n">
        <v>0.081081081081081</v>
      </c>
      <c r="P66" s="27" t="n">
        <v>2409</v>
      </c>
      <c r="Q66" s="28" t="n">
        <v>0.186527293844367</v>
      </c>
      <c r="R66" s="31" t="n">
        <v>0.625920172109148</v>
      </c>
    </row>
    <row r="67" customFormat="false" ht="15" hidden="false" customHeight="false" outlineLevel="0" collapsed="false">
      <c r="A67" s="25" t="n">
        <v>4104105</v>
      </c>
      <c r="B67" s="26" t="s">
        <v>130</v>
      </c>
      <c r="C67" s="26" t="s">
        <v>65</v>
      </c>
      <c r="D67" s="27" t="n">
        <v>7508</v>
      </c>
      <c r="E67" s="27" t="n">
        <v>580</v>
      </c>
      <c r="F67" s="27" t="n">
        <v>128</v>
      </c>
      <c r="G67" s="28" t="n">
        <v>0.220689655172414</v>
      </c>
      <c r="H67" s="29" t="n">
        <v>1.159670781893</v>
      </c>
      <c r="I67" s="27" t="n">
        <v>1</v>
      </c>
      <c r="J67" s="27" t="n">
        <v>4</v>
      </c>
      <c r="K67" s="28" t="n">
        <v>0.25</v>
      </c>
      <c r="L67" s="30" t="n">
        <v>18.02</v>
      </c>
      <c r="M67" s="28" t="n">
        <v>0.161827384123601</v>
      </c>
      <c r="N67" s="29" t="n">
        <v>15.45</v>
      </c>
      <c r="O67" s="28" t="n">
        <v>0.023076923076923</v>
      </c>
      <c r="P67" s="27" t="n">
        <v>449</v>
      </c>
      <c r="Q67" s="28" t="n">
        <v>0.379864636209814</v>
      </c>
      <c r="R67" s="31" t="n">
        <v>0.444917327656317</v>
      </c>
    </row>
    <row r="68" customFormat="false" ht="15" hidden="false" customHeight="false" outlineLevel="0" collapsed="false">
      <c r="A68" s="25" t="n">
        <v>4104428</v>
      </c>
      <c r="B68" s="26" t="s">
        <v>131</v>
      </c>
      <c r="C68" s="26" t="s">
        <v>65</v>
      </c>
      <c r="D68" s="27" t="n">
        <v>14973</v>
      </c>
      <c r="E68" s="27" t="n">
        <v>1097</v>
      </c>
      <c r="F68" s="27" t="n">
        <v>255</v>
      </c>
      <c r="G68" s="28" t="n">
        <v>0.232452142206016</v>
      </c>
      <c r="H68" s="29" t="n">
        <v>1.10575635876841</v>
      </c>
      <c r="I68" s="27" t="n">
        <v>2</v>
      </c>
      <c r="J68" s="27" t="n">
        <v>6</v>
      </c>
      <c r="K68" s="28" t="n">
        <v>0.333333333333333</v>
      </c>
      <c r="L68" s="30" t="n">
        <v>9.26</v>
      </c>
      <c r="M68" s="28" t="n">
        <v>0.149669404928872</v>
      </c>
      <c r="N68" s="29" t="n">
        <v>13.02</v>
      </c>
      <c r="O68" s="28" t="n">
        <v>0.0813953488372093</v>
      </c>
      <c r="P68" s="27" t="n">
        <v>628</v>
      </c>
      <c r="Q68" s="28" t="n">
        <v>0.279111111111111</v>
      </c>
      <c r="R68" s="31" t="n">
        <v>0.533648895003161</v>
      </c>
    </row>
    <row r="69" customFormat="false" ht="15" hidden="false" customHeight="false" outlineLevel="0" collapsed="false">
      <c r="A69" s="25" t="n">
        <v>4104451</v>
      </c>
      <c r="B69" s="26" t="s">
        <v>132</v>
      </c>
      <c r="C69" s="26" t="s">
        <v>65</v>
      </c>
      <c r="D69" s="27" t="n">
        <v>10933</v>
      </c>
      <c r="E69" s="27" t="n">
        <v>725</v>
      </c>
      <c r="F69" s="27" t="n">
        <v>229</v>
      </c>
      <c r="G69" s="28" t="n">
        <v>0.315862068965517</v>
      </c>
      <c r="H69" s="29" t="n">
        <v>1.18621973929237</v>
      </c>
      <c r="I69" s="27" t="n">
        <v>1</v>
      </c>
      <c r="J69" s="27" t="n">
        <v>3</v>
      </c>
      <c r="K69" s="28" t="n">
        <v>0.333333333333333</v>
      </c>
      <c r="L69" s="30" t="n">
        <v>13.25</v>
      </c>
      <c r="M69" s="28" t="n">
        <v>0.147352053416263</v>
      </c>
      <c r="N69" s="29" t="n">
        <v>16.19</v>
      </c>
      <c r="O69" s="28" t="n">
        <v>0.0909090909090909</v>
      </c>
      <c r="P69" s="27" t="n">
        <v>472</v>
      </c>
      <c r="Q69" s="28" t="n">
        <v>0.299302473050095</v>
      </c>
      <c r="R69" s="31" t="n">
        <v>0.37596339246527</v>
      </c>
    </row>
    <row r="70" customFormat="false" ht="15" hidden="false" customHeight="false" outlineLevel="0" collapsed="false">
      <c r="A70" s="25" t="n">
        <v>4104501</v>
      </c>
      <c r="B70" s="26" t="s">
        <v>133</v>
      </c>
      <c r="C70" s="26" t="s">
        <v>86</v>
      </c>
      <c r="D70" s="27" t="n">
        <v>20481</v>
      </c>
      <c r="E70" s="27" t="n">
        <v>1293</v>
      </c>
      <c r="F70" s="27" t="n">
        <v>590</v>
      </c>
      <c r="G70" s="28" t="n">
        <v>0.45630317092034</v>
      </c>
      <c r="H70" s="29" t="n">
        <v>1.04180194805195</v>
      </c>
      <c r="I70" s="27" t="n">
        <v>2</v>
      </c>
      <c r="J70" s="27" t="n">
        <v>7</v>
      </c>
      <c r="K70" s="28" t="n">
        <v>0.285714285714286</v>
      </c>
      <c r="L70" s="30" t="n">
        <v>8.2</v>
      </c>
      <c r="M70" s="28" t="n">
        <v>0.120306625653044</v>
      </c>
      <c r="N70" s="29" t="n">
        <v>13.33</v>
      </c>
      <c r="O70" s="28" t="n">
        <v>0.0136054421768707</v>
      </c>
      <c r="P70" s="27" t="n">
        <v>291</v>
      </c>
      <c r="Q70" s="28" t="n">
        <v>0.113583138173302</v>
      </c>
      <c r="R70" s="31" t="n">
        <v>0.528743421658723</v>
      </c>
    </row>
    <row r="71" customFormat="false" ht="15" hidden="false" customHeight="false" outlineLevel="0" collapsed="false">
      <c r="A71" s="25" t="n">
        <v>4104600</v>
      </c>
      <c r="B71" s="26" t="s">
        <v>134</v>
      </c>
      <c r="C71" s="26" t="s">
        <v>65</v>
      </c>
      <c r="D71" s="27" t="n">
        <v>14648</v>
      </c>
      <c r="E71" s="27" t="n">
        <v>963</v>
      </c>
      <c r="F71" s="27" t="n">
        <v>340</v>
      </c>
      <c r="G71" s="28" t="n">
        <v>0.353063343717549</v>
      </c>
      <c r="H71" s="29" t="n">
        <v>1.14470284237726</v>
      </c>
      <c r="I71" s="27" t="n">
        <v>1</v>
      </c>
      <c r="J71" s="27" t="n">
        <v>4</v>
      </c>
      <c r="K71" s="28" t="n">
        <v>0.25</v>
      </c>
      <c r="L71" s="30" t="n">
        <v>15.63</v>
      </c>
      <c r="M71" s="28" t="n">
        <v>0.132099945385036</v>
      </c>
      <c r="N71" s="29" t="n">
        <v>14.27</v>
      </c>
      <c r="O71" s="28" t="n">
        <v>0</v>
      </c>
      <c r="P71" s="27" t="n">
        <v>554</v>
      </c>
      <c r="Q71" s="28" t="n">
        <v>0.283375959079284</v>
      </c>
      <c r="R71" s="31" t="n">
        <v>0.451480529326906</v>
      </c>
    </row>
    <row r="72" customFormat="false" ht="15" hidden="false" customHeight="false" outlineLevel="0" collapsed="false">
      <c r="A72" s="25" t="n">
        <v>4104659</v>
      </c>
      <c r="B72" s="26" t="s">
        <v>135</v>
      </c>
      <c r="C72" s="26" t="s">
        <v>86</v>
      </c>
      <c r="D72" s="27" t="n">
        <v>23283</v>
      </c>
      <c r="E72" s="27" t="n">
        <v>1772</v>
      </c>
      <c r="F72" s="27" t="n">
        <v>273</v>
      </c>
      <c r="G72" s="28" t="n">
        <v>0.154063205417607</v>
      </c>
      <c r="H72" s="29" t="n">
        <v>1.08531431590069</v>
      </c>
      <c r="I72" s="27" t="n">
        <v>4</v>
      </c>
      <c r="J72" s="27" t="n">
        <v>8</v>
      </c>
      <c r="K72" s="28" t="n">
        <v>0.5</v>
      </c>
      <c r="L72" s="30" t="n">
        <v>8.67</v>
      </c>
      <c r="M72" s="28" t="n">
        <v>0.16260791135163</v>
      </c>
      <c r="N72" s="29" t="n">
        <v>14.77</v>
      </c>
      <c r="O72" s="28" t="n">
        <v>0.0388349514563106</v>
      </c>
      <c r="P72" s="27" t="n">
        <v>795</v>
      </c>
      <c r="Q72" s="28" t="n">
        <v>0.21492295214923</v>
      </c>
      <c r="R72" s="31" t="n">
        <v>0.703166333797707</v>
      </c>
    </row>
    <row r="73" customFormat="false" ht="15" hidden="false" customHeight="false" outlineLevel="0" collapsed="false">
      <c r="A73" s="25" t="n">
        <v>4104709</v>
      </c>
      <c r="B73" s="26" t="s">
        <v>136</v>
      </c>
      <c r="C73" s="26" t="s">
        <v>65</v>
      </c>
      <c r="D73" s="27" t="n">
        <v>16905</v>
      </c>
      <c r="E73" s="27" t="n">
        <v>1121</v>
      </c>
      <c r="F73" s="27" t="n">
        <v>281</v>
      </c>
      <c r="G73" s="28" t="n">
        <v>0.250669045495094</v>
      </c>
      <c r="H73" s="29" t="n">
        <v>1.07494356659142</v>
      </c>
      <c r="I73" s="27" t="n">
        <v>2</v>
      </c>
      <c r="J73" s="27" t="n">
        <v>5</v>
      </c>
      <c r="K73" s="28" t="n">
        <v>0.4</v>
      </c>
      <c r="L73" s="30" t="n">
        <v>9.9</v>
      </c>
      <c r="M73" s="28" t="n">
        <v>0.131026323572907</v>
      </c>
      <c r="N73" s="29" t="n">
        <v>14.14</v>
      </c>
      <c r="O73" s="28" t="n">
        <v>0.050632911392405</v>
      </c>
      <c r="P73" s="27" t="n">
        <v>554</v>
      </c>
      <c r="Q73" s="28" t="n">
        <v>0.24644128113879</v>
      </c>
      <c r="R73" s="31" t="n">
        <v>0.426471700133727</v>
      </c>
    </row>
    <row r="74" customFormat="false" ht="15" hidden="false" customHeight="false" outlineLevel="0" collapsed="false">
      <c r="A74" s="25" t="n">
        <v>4104808</v>
      </c>
      <c r="B74" s="26" t="s">
        <v>137</v>
      </c>
      <c r="C74" s="26" t="s">
        <v>138</v>
      </c>
      <c r="D74" s="27" t="n">
        <v>348051</v>
      </c>
      <c r="E74" s="27" t="n">
        <v>23119</v>
      </c>
      <c r="F74" s="27" t="n">
        <v>5285</v>
      </c>
      <c r="G74" s="28" t="n">
        <v>0.228599852934816</v>
      </c>
      <c r="H74" s="29" t="n">
        <v>1.12267287234043</v>
      </c>
      <c r="I74" s="27" t="n">
        <v>46</v>
      </c>
      <c r="J74" s="27" t="n">
        <v>102</v>
      </c>
      <c r="K74" s="28" t="n">
        <v>0.450980392156863</v>
      </c>
      <c r="L74" s="30" t="n">
        <v>7.09</v>
      </c>
      <c r="M74" s="28" t="n">
        <v>0.129636174008981</v>
      </c>
      <c r="N74" s="29" t="n">
        <v>13.61</v>
      </c>
      <c r="O74" s="28" t="n">
        <v>0.024749868351764</v>
      </c>
      <c r="P74" s="27" t="n">
        <v>6125</v>
      </c>
      <c r="Q74" s="28" t="n">
        <v>0.131711932563491</v>
      </c>
      <c r="R74" s="31" t="n">
        <v>0.688696600297326</v>
      </c>
    </row>
    <row r="75" customFormat="false" ht="15" hidden="false" customHeight="false" outlineLevel="0" collapsed="false">
      <c r="A75" s="25" t="n">
        <v>4104907</v>
      </c>
      <c r="B75" s="26" t="s">
        <v>139</v>
      </c>
      <c r="C75" s="26" t="s">
        <v>129</v>
      </c>
      <c r="D75" s="27" t="n">
        <v>73075</v>
      </c>
      <c r="E75" s="27" t="n">
        <v>5223</v>
      </c>
      <c r="F75" s="27" t="n">
        <v>850</v>
      </c>
      <c r="G75" s="28" t="n">
        <v>0.162741719318399</v>
      </c>
      <c r="H75" s="29" t="n">
        <v>1.11549021344434</v>
      </c>
      <c r="I75" s="27" t="n">
        <v>8</v>
      </c>
      <c r="J75" s="27" t="n">
        <v>20</v>
      </c>
      <c r="K75" s="28" t="n">
        <v>0.4</v>
      </c>
      <c r="L75" s="30" t="n">
        <v>8.88</v>
      </c>
      <c r="M75" s="28" t="n">
        <v>0.154512487170715</v>
      </c>
      <c r="N75" s="29" t="n">
        <v>13.32</v>
      </c>
      <c r="O75" s="28" t="n">
        <v>0.0439189189189189</v>
      </c>
      <c r="P75" s="27" t="n">
        <v>2993</v>
      </c>
      <c r="Q75" s="28" t="n">
        <v>0.275979714153988</v>
      </c>
      <c r="R75" s="31" t="n">
        <v>0.613282796141849</v>
      </c>
    </row>
    <row r="76" customFormat="false" ht="15" hidden="false" customHeight="false" outlineLevel="0" collapsed="false">
      <c r="A76" s="25" t="n">
        <v>4105003</v>
      </c>
      <c r="B76" s="26" t="s">
        <v>140</v>
      </c>
      <c r="C76" s="26" t="s">
        <v>65</v>
      </c>
      <c r="D76" s="27" t="n">
        <v>10446</v>
      </c>
      <c r="E76" s="27" t="n">
        <v>707</v>
      </c>
      <c r="F76" s="27" t="n">
        <v>145</v>
      </c>
      <c r="G76" s="28" t="n">
        <v>0.205091937765205</v>
      </c>
      <c r="H76" s="29" t="n">
        <v>1.01960784313726</v>
      </c>
      <c r="I76" s="27" t="n">
        <v>1</v>
      </c>
      <c r="J76" s="27" t="n">
        <v>2</v>
      </c>
      <c r="K76" s="28" t="n">
        <v>0.5</v>
      </c>
      <c r="L76" s="30" t="n">
        <v>0</v>
      </c>
      <c r="M76" s="28" t="n">
        <v>0.131820792647904</v>
      </c>
      <c r="N76" s="29" t="n">
        <v>11.1</v>
      </c>
      <c r="O76" s="28" t="n">
        <v>0.0467289719626168</v>
      </c>
      <c r="P76" s="27" t="n">
        <v>303</v>
      </c>
      <c r="Q76" s="28" t="n">
        <v>0.212482468443198</v>
      </c>
      <c r="R76" s="31" t="n">
        <v>0.430805355764891</v>
      </c>
    </row>
    <row r="77" customFormat="false" ht="15" hidden="false" customHeight="false" outlineLevel="0" collapsed="false">
      <c r="A77" s="25" t="n">
        <v>4104402</v>
      </c>
      <c r="B77" s="26" t="s">
        <v>141</v>
      </c>
      <c r="C77" s="26" t="s">
        <v>65</v>
      </c>
      <c r="D77" s="27" t="n">
        <v>15244</v>
      </c>
      <c r="E77" s="27" t="n">
        <v>944</v>
      </c>
      <c r="F77" s="27" t="n">
        <v>195</v>
      </c>
      <c r="G77" s="28" t="n">
        <v>0.20656779661017</v>
      </c>
      <c r="H77" s="29" t="n">
        <v>1.03093281778637</v>
      </c>
      <c r="I77" s="27" t="n">
        <v>1</v>
      </c>
      <c r="J77" s="27" t="n">
        <v>3</v>
      </c>
      <c r="K77" s="28" t="n">
        <v>0.333333333333333</v>
      </c>
      <c r="L77" s="30" t="n">
        <v>10.36</v>
      </c>
      <c r="M77" s="28" t="n">
        <v>0.135725531356599</v>
      </c>
      <c r="N77" s="29" t="n">
        <v>11.87</v>
      </c>
      <c r="O77" s="28" t="n">
        <v>0.029126213592233</v>
      </c>
      <c r="P77" s="27" t="n">
        <v>658</v>
      </c>
      <c r="Q77" s="28" t="n">
        <v>0.332155477031802</v>
      </c>
      <c r="R77" s="31" t="n">
        <v>0.258783314859356</v>
      </c>
    </row>
    <row r="78" customFormat="false" ht="15" hidden="false" customHeight="false" outlineLevel="0" collapsed="false">
      <c r="A78" s="25" t="n">
        <v>4105102</v>
      </c>
      <c r="B78" s="26" t="s">
        <v>142</v>
      </c>
      <c r="C78" s="26" t="s">
        <v>65</v>
      </c>
      <c r="D78" s="27" t="n">
        <v>10832</v>
      </c>
      <c r="E78" s="27" t="n">
        <v>647</v>
      </c>
      <c r="F78" s="27" t="n">
        <v>98</v>
      </c>
      <c r="G78" s="28" t="n">
        <v>0.151468315301391</v>
      </c>
      <c r="H78" s="29" t="n">
        <v>1.04331590739358</v>
      </c>
      <c r="I78" s="27" t="n">
        <v>4</v>
      </c>
      <c r="J78" s="27" t="n">
        <v>6</v>
      </c>
      <c r="K78" s="28" t="n">
        <v>0.666666666666667</v>
      </c>
      <c r="L78" s="30" t="n">
        <v>0</v>
      </c>
      <c r="M78" s="28" t="n">
        <v>0.123615214180207</v>
      </c>
      <c r="N78" s="29" t="n">
        <v>9.69</v>
      </c>
      <c r="O78" s="28" t="n">
        <v>0</v>
      </c>
      <c r="P78" s="27" t="n">
        <v>326</v>
      </c>
      <c r="Q78" s="28" t="n">
        <v>0.238653001464129</v>
      </c>
      <c r="R78" s="31" t="n">
        <v>0.519110512834481</v>
      </c>
    </row>
    <row r="79" customFormat="false" ht="15" hidden="false" customHeight="false" outlineLevel="0" collapsed="false">
      <c r="A79" s="25" t="n">
        <v>4105201</v>
      </c>
      <c r="B79" s="26" t="s">
        <v>143</v>
      </c>
      <c r="C79" s="26" t="s">
        <v>65</v>
      </c>
      <c r="D79" s="27" t="n">
        <v>16134</v>
      </c>
      <c r="E79" s="27" t="n">
        <v>1096</v>
      </c>
      <c r="F79" s="27" t="n">
        <v>195</v>
      </c>
      <c r="G79" s="28" t="n">
        <v>0.177919708029197</v>
      </c>
      <c r="H79" s="29" t="n">
        <v>0.993368700265252</v>
      </c>
      <c r="I79" s="27" t="n">
        <v>0</v>
      </c>
      <c r="J79" s="27" t="n">
        <v>4</v>
      </c>
      <c r="K79" s="28" t="n">
        <v>0</v>
      </c>
      <c r="L79" s="30" t="n">
        <v>0</v>
      </c>
      <c r="M79" s="28" t="n">
        <v>0.14020081814801</v>
      </c>
      <c r="N79" s="29" t="n">
        <v>12.83</v>
      </c>
      <c r="O79" s="28" t="n">
        <v>0.032520325203252</v>
      </c>
      <c r="P79" s="27" t="n">
        <v>1054</v>
      </c>
      <c r="Q79" s="28" t="n">
        <v>0.46411272567151</v>
      </c>
      <c r="R79" s="31" t="n">
        <v>0.367289149174286</v>
      </c>
    </row>
    <row r="80" customFormat="false" ht="15" hidden="false" customHeight="false" outlineLevel="0" collapsed="false">
      <c r="A80" s="25" t="n">
        <v>4105300</v>
      </c>
      <c r="B80" s="26" t="s">
        <v>144</v>
      </c>
      <c r="C80" s="26" t="s">
        <v>65</v>
      </c>
      <c r="D80" s="27" t="n">
        <v>11087</v>
      </c>
      <c r="E80" s="27" t="n">
        <v>663</v>
      </c>
      <c r="F80" s="27" t="n">
        <v>296</v>
      </c>
      <c r="G80" s="28" t="n">
        <v>0.446455505279035</v>
      </c>
      <c r="H80" s="29" t="n">
        <v>1.1448948948949</v>
      </c>
      <c r="I80" s="27" t="n">
        <v>0</v>
      </c>
      <c r="J80" s="27" t="n">
        <v>3</v>
      </c>
      <c r="K80" s="28" t="n">
        <v>0</v>
      </c>
      <c r="L80" s="30" t="n">
        <v>9.17</v>
      </c>
      <c r="M80" s="28" t="n">
        <v>0.120140705330567</v>
      </c>
      <c r="N80" s="29" t="n">
        <v>9.29</v>
      </c>
      <c r="O80" s="28" t="n">
        <v>0.025</v>
      </c>
      <c r="P80" s="27" t="n">
        <v>138</v>
      </c>
      <c r="Q80" s="28" t="n">
        <v>0.103216155572177</v>
      </c>
      <c r="R80" s="31" t="n">
        <v>0.523352596213473</v>
      </c>
    </row>
    <row r="81" customFormat="false" ht="15" hidden="false" customHeight="false" outlineLevel="0" collapsed="false">
      <c r="A81" s="25" t="n">
        <v>4105409</v>
      </c>
      <c r="B81" s="26" t="s">
        <v>145</v>
      </c>
      <c r="C81" s="26" t="s">
        <v>86</v>
      </c>
      <c r="D81" s="27" t="n">
        <v>21085</v>
      </c>
      <c r="E81" s="27" t="n">
        <v>1435</v>
      </c>
      <c r="F81" s="27" t="n">
        <v>503</v>
      </c>
      <c r="G81" s="28" t="n">
        <v>0.350522648083624</v>
      </c>
      <c r="H81" s="29" t="n">
        <v>1.10666666666667</v>
      </c>
      <c r="I81" s="27" t="n">
        <v>3</v>
      </c>
      <c r="J81" s="27" t="n">
        <v>8</v>
      </c>
      <c r="K81" s="28" t="n">
        <v>0.375</v>
      </c>
      <c r="L81" s="30" t="n">
        <v>7.55</v>
      </c>
      <c r="M81" s="28" t="n">
        <v>0.131610149395305</v>
      </c>
      <c r="N81" s="29" t="n">
        <v>14.13</v>
      </c>
      <c r="O81" s="28" t="n">
        <v>0.027906976744186</v>
      </c>
      <c r="P81" s="27" t="n">
        <v>604</v>
      </c>
      <c r="Q81" s="28" t="n">
        <v>0.213729653220099</v>
      </c>
      <c r="R81" s="31" t="n">
        <v>0.505110765873447</v>
      </c>
    </row>
    <row r="82" customFormat="false" ht="15" hidden="false" customHeight="false" outlineLevel="0" collapsed="false">
      <c r="A82" s="25" t="n">
        <v>4105508</v>
      </c>
      <c r="B82" s="26" t="s">
        <v>146</v>
      </c>
      <c r="C82" s="26" t="s">
        <v>129</v>
      </c>
      <c r="D82" s="27" t="n">
        <v>79527</v>
      </c>
      <c r="E82" s="27" t="n">
        <v>5041</v>
      </c>
      <c r="F82" s="27" t="n">
        <v>1793</v>
      </c>
      <c r="G82" s="28" t="n">
        <v>0.355683396151557</v>
      </c>
      <c r="H82" s="29" t="n">
        <v>1.11400908911282</v>
      </c>
      <c r="I82" s="27" t="n">
        <v>8</v>
      </c>
      <c r="J82" s="27" t="n">
        <v>21</v>
      </c>
      <c r="K82" s="28" t="n">
        <v>0.380952380952381</v>
      </c>
      <c r="L82" s="30" t="n">
        <v>10.76</v>
      </c>
      <c r="M82" s="28" t="n">
        <v>0.127277528386586</v>
      </c>
      <c r="N82" s="29" t="n">
        <v>12.21</v>
      </c>
      <c r="O82" s="28" t="n">
        <v>0.0397350993377483</v>
      </c>
      <c r="P82" s="27" t="n">
        <v>1201</v>
      </c>
      <c r="Q82" s="28" t="n">
        <v>0.117722015291119</v>
      </c>
      <c r="R82" s="31" t="n">
        <v>0.568670802798773</v>
      </c>
    </row>
    <row r="83" customFormat="false" ht="15" hidden="false" customHeight="false" outlineLevel="0" collapsed="false">
      <c r="A83" s="25" t="n">
        <v>4105607</v>
      </c>
      <c r="B83" s="26" t="s">
        <v>147</v>
      </c>
      <c r="C83" s="26" t="s">
        <v>65</v>
      </c>
      <c r="D83" s="27" t="n">
        <v>11467</v>
      </c>
      <c r="E83" s="27" t="n">
        <v>788</v>
      </c>
      <c r="F83" s="27" t="n">
        <v>280</v>
      </c>
      <c r="G83" s="28" t="n">
        <v>0.355329949238579</v>
      </c>
      <c r="H83" s="29" t="n">
        <v>1.17227979274611</v>
      </c>
      <c r="I83" s="27" t="n">
        <v>2</v>
      </c>
      <c r="J83" s="27" t="n">
        <v>4</v>
      </c>
      <c r="K83" s="28" t="n">
        <v>0.5</v>
      </c>
      <c r="L83" s="30" t="n">
        <v>6.9</v>
      </c>
      <c r="M83" s="28" t="n">
        <v>0.134647248626493</v>
      </c>
      <c r="N83" s="29" t="n">
        <v>15.17</v>
      </c>
      <c r="O83" s="28" t="n">
        <v>0</v>
      </c>
      <c r="P83" s="27" t="n">
        <v>269</v>
      </c>
      <c r="Q83" s="28" t="n">
        <v>0.171119592875318</v>
      </c>
      <c r="R83" s="31" t="n">
        <v>0.509627999151312</v>
      </c>
    </row>
    <row r="84" customFormat="false" ht="15" hidden="false" customHeight="false" outlineLevel="0" collapsed="false">
      <c r="A84" s="25" t="n">
        <v>4105706</v>
      </c>
      <c r="B84" s="26" t="s">
        <v>148</v>
      </c>
      <c r="C84" s="26" t="s">
        <v>65</v>
      </c>
      <c r="D84" s="27" t="n">
        <v>15070</v>
      </c>
      <c r="E84" s="27" t="n">
        <v>1091</v>
      </c>
      <c r="F84" s="27" t="n">
        <v>257</v>
      </c>
      <c r="G84" s="28" t="n">
        <v>0.235563703024748</v>
      </c>
      <c r="H84" s="29" t="n">
        <v>1.28199162401117</v>
      </c>
      <c r="I84" s="27" t="n">
        <v>3</v>
      </c>
      <c r="J84" s="27" t="n">
        <v>7</v>
      </c>
      <c r="K84" s="28" t="n">
        <v>0.428571428571429</v>
      </c>
      <c r="L84" s="30" t="n">
        <v>23.26</v>
      </c>
      <c r="M84" s="28" t="n">
        <v>0.142601194426012</v>
      </c>
      <c r="N84" s="29" t="n">
        <v>15.59</v>
      </c>
      <c r="O84" s="28" t="n">
        <v>0.0526315789473684</v>
      </c>
      <c r="P84" s="27" t="n">
        <v>631</v>
      </c>
      <c r="Q84" s="28" t="n">
        <v>0.286167800453515</v>
      </c>
      <c r="R84" s="31" t="n">
        <v>0.488296599254641</v>
      </c>
    </row>
    <row r="85" customFormat="false" ht="15" hidden="false" customHeight="false" outlineLevel="0" collapsed="false">
      <c r="A85" s="25" t="n">
        <v>4105805</v>
      </c>
      <c r="B85" s="26" t="s">
        <v>149</v>
      </c>
      <c r="C85" s="26" t="s">
        <v>138</v>
      </c>
      <c r="D85" s="27" t="n">
        <v>232212</v>
      </c>
      <c r="E85" s="27" t="n">
        <v>14801</v>
      </c>
      <c r="F85" s="27" t="n">
        <v>3929</v>
      </c>
      <c r="G85" s="28" t="n">
        <v>0.265455036821836</v>
      </c>
      <c r="H85" s="29" t="n">
        <v>1.12892483349191</v>
      </c>
      <c r="I85" s="27" t="n">
        <v>14</v>
      </c>
      <c r="J85" s="27" t="n">
        <v>60</v>
      </c>
      <c r="K85" s="28" t="n">
        <v>0.233333333333333</v>
      </c>
      <c r="L85" s="30" t="n">
        <v>8.21</v>
      </c>
      <c r="M85" s="28" t="n">
        <v>0.144833169689766</v>
      </c>
      <c r="N85" s="29" t="n">
        <v>12.73</v>
      </c>
      <c r="O85" s="28" t="n">
        <v>0.056998556998557</v>
      </c>
      <c r="P85" s="27" t="n">
        <v>6643</v>
      </c>
      <c r="Q85" s="28" t="n">
        <v>0.208840265333711</v>
      </c>
      <c r="R85" s="31" t="n">
        <v>0.495676049455175</v>
      </c>
    </row>
    <row r="86" customFormat="false" ht="15" hidden="false" customHeight="false" outlineLevel="0" collapsed="false">
      <c r="A86" s="25" t="n">
        <v>4105904</v>
      </c>
      <c r="B86" s="26" t="s">
        <v>150</v>
      </c>
      <c r="C86" s="26" t="s">
        <v>86</v>
      </c>
      <c r="D86" s="27" t="n">
        <v>22896</v>
      </c>
      <c r="E86" s="27" t="n">
        <v>1302</v>
      </c>
      <c r="F86" s="27" t="n">
        <v>298</v>
      </c>
      <c r="G86" s="28" t="n">
        <v>0.228878648233487</v>
      </c>
      <c r="H86" s="29" t="n">
        <v>1.1234809878479</v>
      </c>
      <c r="I86" s="27" t="n">
        <v>4</v>
      </c>
      <c r="J86" s="27" t="n">
        <v>9</v>
      </c>
      <c r="K86" s="28" t="n">
        <v>0.444444444444444</v>
      </c>
      <c r="L86" s="30" t="n">
        <v>13.89</v>
      </c>
      <c r="M86" s="28" t="n">
        <v>0.111416841369672</v>
      </c>
      <c r="N86" s="29" t="n">
        <v>12.19</v>
      </c>
      <c r="O86" s="28" t="n">
        <v>0</v>
      </c>
      <c r="P86" s="27" t="n">
        <v>340</v>
      </c>
      <c r="Q86" s="28" t="n">
        <v>0.131223465843304</v>
      </c>
      <c r="R86" s="31" t="n">
        <v>0.532216889610719</v>
      </c>
    </row>
    <row r="87" customFormat="false" ht="15" hidden="false" customHeight="false" outlineLevel="0" collapsed="false">
      <c r="A87" s="25" t="n">
        <v>4106001</v>
      </c>
      <c r="B87" s="26" t="s">
        <v>151</v>
      </c>
      <c r="C87" s="26" t="s">
        <v>65</v>
      </c>
      <c r="D87" s="27" t="n">
        <v>8320</v>
      </c>
      <c r="E87" s="27" t="n">
        <v>517</v>
      </c>
      <c r="F87" s="27" t="n">
        <v>141</v>
      </c>
      <c r="G87" s="28" t="n">
        <v>0.272727272727273</v>
      </c>
      <c r="H87" s="29" t="n">
        <v>1.02820512820513</v>
      </c>
      <c r="I87" s="27" t="n">
        <v>1</v>
      </c>
      <c r="J87" s="27" t="n">
        <v>4</v>
      </c>
      <c r="K87" s="28" t="n">
        <v>0.25</v>
      </c>
      <c r="L87" s="30" t="n">
        <v>0</v>
      </c>
      <c r="M87" s="28" t="n">
        <v>0.140625</v>
      </c>
      <c r="N87" s="29" t="n">
        <v>13.82</v>
      </c>
      <c r="O87" s="28" t="n">
        <v>0</v>
      </c>
      <c r="P87" s="27" t="n">
        <v>427</v>
      </c>
      <c r="Q87" s="28" t="n">
        <v>0.382273948075201</v>
      </c>
      <c r="R87" s="31" t="n">
        <v>0.39471389492093</v>
      </c>
    </row>
    <row r="88" customFormat="false" ht="15" hidden="false" customHeight="false" outlineLevel="0" collapsed="false">
      <c r="A88" s="25" t="n">
        <v>4106100</v>
      </c>
      <c r="B88" s="26" t="s">
        <v>152</v>
      </c>
      <c r="C88" s="26" t="s">
        <v>71</v>
      </c>
      <c r="D88" s="27" t="n">
        <v>3461</v>
      </c>
      <c r="E88" s="27" t="n">
        <v>210</v>
      </c>
      <c r="F88" s="27" t="n">
        <v>88</v>
      </c>
      <c r="G88" s="28" t="n">
        <v>0.419047619047619</v>
      </c>
      <c r="H88" s="29" t="n">
        <v>1.19777777777778</v>
      </c>
      <c r="I88" s="27" t="n">
        <v>1</v>
      </c>
      <c r="J88" s="27" t="n">
        <v>2</v>
      </c>
      <c r="K88" s="28" t="n">
        <v>0.5</v>
      </c>
      <c r="L88" s="30" t="n">
        <v>0</v>
      </c>
      <c r="M88" s="28" t="n">
        <v>0.130020225368391</v>
      </c>
      <c r="N88" s="29" t="n">
        <v>13</v>
      </c>
      <c r="O88" s="28" t="n">
        <v>0.0444444444444444</v>
      </c>
      <c r="P88" s="27" t="n">
        <v>147</v>
      </c>
      <c r="Q88" s="28" t="n">
        <v>0.333333333333333</v>
      </c>
      <c r="R88" s="31" t="n">
        <v>0.408474050392979</v>
      </c>
    </row>
    <row r="89" customFormat="false" ht="15" hidden="false" customHeight="false" outlineLevel="0" collapsed="false">
      <c r="A89" s="25" t="n">
        <v>4106209</v>
      </c>
      <c r="B89" s="26" t="s">
        <v>153</v>
      </c>
      <c r="C89" s="26" t="s">
        <v>65</v>
      </c>
      <c r="D89" s="27" t="n">
        <v>19128</v>
      </c>
      <c r="E89" s="27" t="n">
        <v>1243</v>
      </c>
      <c r="F89" s="27" t="n">
        <v>296</v>
      </c>
      <c r="G89" s="28" t="n">
        <v>0.238133547868061</v>
      </c>
      <c r="H89" s="29" t="n">
        <v>1.07116788321168</v>
      </c>
      <c r="I89" s="27" t="n">
        <v>0</v>
      </c>
      <c r="J89" s="27" t="n">
        <v>5</v>
      </c>
      <c r="K89" s="28" t="n">
        <v>0</v>
      </c>
      <c r="L89" s="30" t="n">
        <v>12.82</v>
      </c>
      <c r="M89" s="28" t="n">
        <v>0.143245503973233</v>
      </c>
      <c r="N89" s="29" t="n">
        <v>11.76</v>
      </c>
      <c r="O89" s="28" t="n">
        <v>0.0352112676056338</v>
      </c>
      <c r="P89" s="27" t="n">
        <v>545</v>
      </c>
      <c r="Q89" s="28" t="n">
        <v>0.207777354174609</v>
      </c>
      <c r="R89" s="31" t="n">
        <v>0.458211816584137</v>
      </c>
    </row>
    <row r="90" customFormat="false" ht="15" hidden="false" customHeight="false" outlineLevel="0" collapsed="false">
      <c r="A90" s="25" t="n">
        <v>4106308</v>
      </c>
      <c r="B90" s="26" t="s">
        <v>154</v>
      </c>
      <c r="C90" s="26" t="s">
        <v>65</v>
      </c>
      <c r="D90" s="27" t="n">
        <v>17470</v>
      </c>
      <c r="E90" s="27" t="n">
        <v>1114</v>
      </c>
      <c r="F90" s="27" t="n">
        <v>538</v>
      </c>
      <c r="G90" s="28" t="n">
        <v>0.48294434470377</v>
      </c>
      <c r="H90" s="29" t="n">
        <v>1.07425097698654</v>
      </c>
      <c r="I90" s="27" t="n">
        <v>1</v>
      </c>
      <c r="J90" s="27" t="n">
        <v>6</v>
      </c>
      <c r="K90" s="28" t="n">
        <v>0.166666666666667</v>
      </c>
      <c r="L90" s="30" t="n">
        <v>9.01</v>
      </c>
      <c r="M90" s="28" t="n">
        <v>0.131825987406983</v>
      </c>
      <c r="N90" s="29" t="n">
        <v>13.39</v>
      </c>
      <c r="O90" s="28" t="n">
        <v>0.0305676855895196</v>
      </c>
      <c r="P90" s="27" t="n">
        <v>451</v>
      </c>
      <c r="Q90" s="28" t="n">
        <v>0.193396226415094</v>
      </c>
      <c r="R90" s="31" t="n">
        <v>0.487834545431482</v>
      </c>
    </row>
    <row r="91" customFormat="false" ht="15" hidden="false" customHeight="false" outlineLevel="0" collapsed="false">
      <c r="A91" s="25" t="n">
        <v>4106407</v>
      </c>
      <c r="B91" s="26" t="s">
        <v>155</v>
      </c>
      <c r="C91" s="26" t="s">
        <v>86</v>
      </c>
      <c r="D91" s="27" t="n">
        <v>45206</v>
      </c>
      <c r="E91" s="27" t="n">
        <v>2269</v>
      </c>
      <c r="F91" s="27" t="n">
        <v>669</v>
      </c>
      <c r="G91" s="28" t="n">
        <v>0.294843543411194</v>
      </c>
      <c r="H91" s="29" t="n">
        <v>1.11731731731732</v>
      </c>
      <c r="I91" s="27" t="n">
        <v>6</v>
      </c>
      <c r="J91" s="27" t="n">
        <v>17</v>
      </c>
      <c r="K91" s="28" t="n">
        <v>0.352941176470588</v>
      </c>
      <c r="L91" s="30" t="n">
        <v>13.27</v>
      </c>
      <c r="M91" s="28" t="n">
        <v>0.110494182188205</v>
      </c>
      <c r="N91" s="29" t="n">
        <v>9.89</v>
      </c>
      <c r="O91" s="28" t="n">
        <v>0.0555555555555555</v>
      </c>
      <c r="P91" s="27" t="n">
        <v>637</v>
      </c>
      <c r="Q91" s="28" t="n">
        <v>0.133459040435785</v>
      </c>
      <c r="R91" s="31" t="n">
        <v>0.577260436070808</v>
      </c>
    </row>
    <row r="92" customFormat="false" ht="15" hidden="false" customHeight="false" outlineLevel="0" collapsed="false">
      <c r="A92" s="25" t="n">
        <v>4106456</v>
      </c>
      <c r="B92" s="26" t="s">
        <v>156</v>
      </c>
      <c r="C92" s="26" t="s">
        <v>65</v>
      </c>
      <c r="D92" s="27" t="n">
        <v>5649</v>
      </c>
      <c r="E92" s="27" t="n">
        <v>452</v>
      </c>
      <c r="F92" s="27" t="n">
        <v>131</v>
      </c>
      <c r="G92" s="28" t="n">
        <v>0.289823008849558</v>
      </c>
      <c r="H92" s="29" t="n">
        <v>1.34857142857143</v>
      </c>
      <c r="I92" s="27" t="n">
        <v>0</v>
      </c>
      <c r="J92" s="27" t="n">
        <v>2</v>
      </c>
      <c r="K92" s="28" t="n">
        <v>0</v>
      </c>
      <c r="L92" s="30" t="n">
        <v>24.39</v>
      </c>
      <c r="M92" s="28" t="n">
        <v>0.154894671623296</v>
      </c>
      <c r="N92" s="29" t="n">
        <v>17.88</v>
      </c>
      <c r="O92" s="28" t="n">
        <v>0.0238095238095238</v>
      </c>
      <c r="P92" s="27" t="n">
        <v>419</v>
      </c>
      <c r="Q92" s="28" t="n">
        <v>0.464008859357697</v>
      </c>
      <c r="R92" s="31" t="n">
        <v>0.458679923014503</v>
      </c>
    </row>
    <row r="93" customFormat="false" ht="15" hidden="false" customHeight="false" outlineLevel="0" collapsed="false">
      <c r="A93" s="25" t="n">
        <v>4106506</v>
      </c>
      <c r="B93" s="26" t="s">
        <v>157</v>
      </c>
      <c r="C93" s="26" t="s">
        <v>86</v>
      </c>
      <c r="D93" s="27" t="n">
        <v>23331</v>
      </c>
      <c r="E93" s="27" t="n">
        <v>1465</v>
      </c>
      <c r="F93" s="27" t="n">
        <v>361</v>
      </c>
      <c r="G93" s="28" t="n">
        <v>0.24641638225256</v>
      </c>
      <c r="H93" s="29" t="n">
        <v>1.10696920583468</v>
      </c>
      <c r="I93" s="27" t="n">
        <v>4</v>
      </c>
      <c r="J93" s="27" t="n">
        <v>9</v>
      </c>
      <c r="K93" s="28" t="n">
        <v>0.444444444444444</v>
      </c>
      <c r="L93" s="30" t="n">
        <v>12.5</v>
      </c>
      <c r="M93" s="28" t="n">
        <v>0.132227508465132</v>
      </c>
      <c r="N93" s="29" t="n">
        <v>13.42</v>
      </c>
      <c r="O93" s="28" t="n">
        <v>0.01953125</v>
      </c>
      <c r="P93" s="27" t="n">
        <v>576</v>
      </c>
      <c r="Q93" s="28" t="n">
        <v>0.187134502923977</v>
      </c>
      <c r="R93" s="31" t="n">
        <v>0.515299324555706</v>
      </c>
    </row>
    <row r="94" customFormat="false" ht="15" hidden="false" customHeight="false" outlineLevel="0" collapsed="false">
      <c r="A94" s="25" t="n">
        <v>4106555</v>
      </c>
      <c r="B94" s="26" t="s">
        <v>158</v>
      </c>
      <c r="C94" s="26" t="s">
        <v>71</v>
      </c>
      <c r="D94" s="27" t="n">
        <v>3760</v>
      </c>
      <c r="E94" s="27" t="n">
        <v>219</v>
      </c>
      <c r="F94" s="27" t="n">
        <v>83</v>
      </c>
      <c r="G94" s="28" t="n">
        <v>0.378995433789954</v>
      </c>
      <c r="H94" s="29" t="n">
        <v>1.07391304347826</v>
      </c>
      <c r="I94" s="27" t="n">
        <v>0</v>
      </c>
      <c r="J94" s="27" t="n">
        <v>1</v>
      </c>
      <c r="K94" s="28" t="n">
        <v>0</v>
      </c>
      <c r="L94" s="30" t="n">
        <v>0</v>
      </c>
      <c r="M94" s="28" t="n">
        <v>0.122340425531915</v>
      </c>
      <c r="N94" s="29" t="n">
        <v>10.37</v>
      </c>
      <c r="O94" s="28" t="n">
        <v>0.03125</v>
      </c>
      <c r="P94" s="27" t="n">
        <v>121</v>
      </c>
      <c r="Q94" s="28" t="n">
        <v>0.280092592592593</v>
      </c>
      <c r="R94" s="31" t="n">
        <v>0.405228554503428</v>
      </c>
    </row>
    <row r="95" customFormat="false" ht="15" hidden="false" customHeight="false" outlineLevel="0" collapsed="false">
      <c r="A95" s="25" t="n">
        <v>4106803</v>
      </c>
      <c r="B95" s="26" t="s">
        <v>159</v>
      </c>
      <c r="C95" s="26" t="s">
        <v>65</v>
      </c>
      <c r="D95" s="27" t="n">
        <v>15978</v>
      </c>
      <c r="E95" s="27" t="n">
        <v>890</v>
      </c>
      <c r="F95" s="27" t="n">
        <v>184</v>
      </c>
      <c r="G95" s="28" t="n">
        <v>0.206741573033708</v>
      </c>
      <c r="H95" s="29" t="n">
        <v>1.10009960159363</v>
      </c>
      <c r="I95" s="27" t="n">
        <v>1</v>
      </c>
      <c r="J95" s="27" t="n">
        <v>4</v>
      </c>
      <c r="K95" s="28" t="n">
        <v>0.25</v>
      </c>
      <c r="L95" s="30" t="n">
        <v>25.51</v>
      </c>
      <c r="M95" s="28" t="n">
        <v>0.125672800100138</v>
      </c>
      <c r="N95" s="29" t="n">
        <v>12.45</v>
      </c>
      <c r="O95" s="28" t="n">
        <v>0.0151515151515151</v>
      </c>
      <c r="P95" s="27" t="n">
        <v>396</v>
      </c>
      <c r="Q95" s="28" t="n">
        <v>0.206680584551148</v>
      </c>
      <c r="R95" s="31" t="n">
        <v>0.365829753848321</v>
      </c>
    </row>
    <row r="96" customFormat="false" ht="15" hidden="false" customHeight="false" outlineLevel="0" collapsed="false">
      <c r="A96" s="25" t="n">
        <v>4106571</v>
      </c>
      <c r="B96" s="26" t="s">
        <v>160</v>
      </c>
      <c r="C96" s="26" t="s">
        <v>71</v>
      </c>
      <c r="D96" s="27" t="n">
        <v>4133</v>
      </c>
      <c r="E96" s="27" t="n">
        <v>253</v>
      </c>
      <c r="F96" s="27" t="n">
        <v>106</v>
      </c>
      <c r="G96" s="28" t="n">
        <v>0.41897233201581</v>
      </c>
      <c r="H96" s="29" t="n">
        <v>1.12834224598931</v>
      </c>
      <c r="I96" s="27" t="n">
        <v>1</v>
      </c>
      <c r="J96" s="27" t="n">
        <v>3</v>
      </c>
      <c r="K96" s="28" t="n">
        <v>0.333333333333333</v>
      </c>
      <c r="L96" s="30" t="n">
        <v>23.26</v>
      </c>
      <c r="M96" s="28" t="n">
        <v>0.135736752963949</v>
      </c>
      <c r="N96" s="29" t="n">
        <v>8.47</v>
      </c>
      <c r="O96" s="28" t="n">
        <v>0</v>
      </c>
      <c r="P96" s="27" t="n">
        <v>108</v>
      </c>
      <c r="Q96" s="28" t="n">
        <v>0.199630314232902</v>
      </c>
      <c r="R96" s="31" t="n">
        <v>0.470794749481951</v>
      </c>
    </row>
    <row r="97" customFormat="false" ht="15" hidden="false" customHeight="false" outlineLevel="0" collapsed="false">
      <c r="A97" s="25" t="n">
        <v>4106605</v>
      </c>
      <c r="B97" s="26" t="s">
        <v>161</v>
      </c>
      <c r="C97" s="26" t="s">
        <v>86</v>
      </c>
      <c r="D97" s="27" t="n">
        <v>23831</v>
      </c>
      <c r="E97" s="27" t="n">
        <v>1361</v>
      </c>
      <c r="F97" s="27" t="n">
        <v>515</v>
      </c>
      <c r="G97" s="28" t="n">
        <v>0.378398236590742</v>
      </c>
      <c r="H97" s="29" t="n">
        <v>1.06842653699201</v>
      </c>
      <c r="I97" s="27" t="n">
        <v>4</v>
      </c>
      <c r="J97" s="27" t="n">
        <v>8</v>
      </c>
      <c r="K97" s="28" t="n">
        <v>0.5</v>
      </c>
      <c r="L97" s="30" t="n">
        <v>13.99</v>
      </c>
      <c r="M97" s="28" t="n">
        <v>0.12080903025471</v>
      </c>
      <c r="N97" s="29" t="n">
        <v>10.74</v>
      </c>
      <c r="O97" s="28" t="n">
        <v>0</v>
      </c>
      <c r="P97" s="27" t="n">
        <v>556</v>
      </c>
      <c r="Q97" s="28" t="n">
        <v>0.194541637508747</v>
      </c>
      <c r="R97" s="31" t="n">
        <v>0.47838679110937</v>
      </c>
    </row>
    <row r="98" customFormat="false" ht="15" hidden="false" customHeight="false" outlineLevel="0" collapsed="false">
      <c r="A98" s="25" t="n">
        <v>4106704</v>
      </c>
      <c r="B98" s="26" t="s">
        <v>162</v>
      </c>
      <c r="C98" s="26" t="s">
        <v>71</v>
      </c>
      <c r="D98" s="27" t="n">
        <v>4494</v>
      </c>
      <c r="E98" s="27" t="n">
        <v>264</v>
      </c>
      <c r="F98" s="27" t="n">
        <v>117</v>
      </c>
      <c r="G98" s="28" t="n">
        <v>0.443181818181818</v>
      </c>
      <c r="H98" s="29" t="n">
        <v>1.04472271914132</v>
      </c>
      <c r="I98" s="27" t="n">
        <v>0</v>
      </c>
      <c r="J98" s="27" t="n">
        <v>2</v>
      </c>
      <c r="K98" s="28" t="n">
        <v>0</v>
      </c>
      <c r="L98" s="30" t="n">
        <v>45.45</v>
      </c>
      <c r="M98" s="28" t="n">
        <v>0.124388072986204</v>
      </c>
      <c r="N98" s="29" t="n">
        <v>10.24</v>
      </c>
      <c r="O98" s="28" t="n">
        <v>0</v>
      </c>
      <c r="P98" s="27" t="n">
        <v>141</v>
      </c>
      <c r="Q98" s="28" t="n">
        <v>0.265037593984962</v>
      </c>
      <c r="R98" s="31" t="n">
        <v>0.37703563540403</v>
      </c>
    </row>
    <row r="99" customFormat="false" ht="15" hidden="false" customHeight="false" outlineLevel="0" collapsed="false">
      <c r="A99" s="25" t="n">
        <v>4106852</v>
      </c>
      <c r="B99" s="26" t="s">
        <v>163</v>
      </c>
      <c r="C99" s="26" t="s">
        <v>71</v>
      </c>
      <c r="D99" s="27" t="n">
        <v>2892</v>
      </c>
      <c r="E99" s="27" t="n">
        <v>173</v>
      </c>
      <c r="F99" s="27" t="n">
        <v>70</v>
      </c>
      <c r="G99" s="28" t="n">
        <v>0.404624277456647</v>
      </c>
      <c r="H99" s="29" t="n">
        <v>1.17711171662125</v>
      </c>
      <c r="I99" s="27" t="n">
        <v>0</v>
      </c>
      <c r="J99" s="27" t="n">
        <v>1</v>
      </c>
      <c r="K99" s="28" t="n">
        <v>0</v>
      </c>
      <c r="L99" s="30" t="n">
        <v>0</v>
      </c>
      <c r="M99" s="28" t="n">
        <v>0.126901798063624</v>
      </c>
      <c r="N99" s="29" t="n">
        <v>12.79</v>
      </c>
      <c r="O99" s="28" t="n">
        <v>1</v>
      </c>
      <c r="P99" s="27" t="n">
        <v>108</v>
      </c>
      <c r="Q99" s="28" t="n">
        <v>0.306818181818182</v>
      </c>
      <c r="R99" s="31" t="n">
        <v>0.434606056562365</v>
      </c>
    </row>
    <row r="100" customFormat="false" ht="15" hidden="false" customHeight="false" outlineLevel="0" collapsed="false">
      <c r="A100" s="25" t="n">
        <v>4106902</v>
      </c>
      <c r="B100" s="26" t="s">
        <v>164</v>
      </c>
      <c r="C100" s="26" t="s">
        <v>165</v>
      </c>
      <c r="D100" s="27" t="n">
        <v>1773718</v>
      </c>
      <c r="E100" s="27" t="n">
        <v>85003</v>
      </c>
      <c r="F100" s="27" t="n">
        <v>17725</v>
      </c>
      <c r="G100" s="28" t="n">
        <v>0.208522052162865</v>
      </c>
      <c r="H100" s="29" t="n">
        <v>1.15219217201411</v>
      </c>
      <c r="I100" s="27" t="n">
        <v>379</v>
      </c>
      <c r="J100" s="27" t="n">
        <v>604</v>
      </c>
      <c r="K100" s="28" t="n">
        <v>0.627483443708609</v>
      </c>
      <c r="L100" s="30" t="n">
        <v>7.1</v>
      </c>
      <c r="M100" s="28" t="n">
        <v>0.114111713361425</v>
      </c>
      <c r="N100" s="29" t="n">
        <v>10.37</v>
      </c>
      <c r="O100" s="28" t="n">
        <v>0.039521185635569</v>
      </c>
      <c r="P100" s="27" t="n">
        <v>23579</v>
      </c>
      <c r="Q100" s="28" t="n">
        <v>0.127146839797894</v>
      </c>
      <c r="R100" s="31" t="n">
        <v>0.833165724748377</v>
      </c>
    </row>
    <row r="101" customFormat="false" ht="15" hidden="false" customHeight="false" outlineLevel="0" collapsed="false">
      <c r="A101" s="25" t="n">
        <v>4107009</v>
      </c>
      <c r="B101" s="26" t="s">
        <v>166</v>
      </c>
      <c r="C101" s="26" t="s">
        <v>65</v>
      </c>
      <c r="D101" s="27" t="n">
        <v>13647</v>
      </c>
      <c r="E101" s="27" t="n">
        <v>900</v>
      </c>
      <c r="F101" s="27" t="n">
        <v>101</v>
      </c>
      <c r="G101" s="28" t="n">
        <v>0.112222222222222</v>
      </c>
      <c r="H101" s="29" t="n">
        <v>1.04927211646137</v>
      </c>
      <c r="I101" s="27" t="n">
        <v>2</v>
      </c>
      <c r="J101" s="27" t="n">
        <v>3</v>
      </c>
      <c r="K101" s="28" t="n">
        <v>0.666666666666667</v>
      </c>
      <c r="L101" s="30" t="n">
        <v>11.36</v>
      </c>
      <c r="M101" s="28" t="n">
        <v>0.130871253755404</v>
      </c>
      <c r="N101" s="29" t="n">
        <v>11.65</v>
      </c>
      <c r="O101" s="28" t="n">
        <v>0</v>
      </c>
      <c r="P101" s="27" t="n">
        <v>567</v>
      </c>
      <c r="Q101" s="28" t="n">
        <v>0.314127423822715</v>
      </c>
      <c r="R101" s="31" t="n">
        <v>0.372745114687394</v>
      </c>
    </row>
    <row r="102" customFormat="false" ht="15" hidden="false" customHeight="false" outlineLevel="0" collapsed="false">
      <c r="A102" s="25" t="n">
        <v>4107157</v>
      </c>
      <c r="B102" s="26" t="s">
        <v>167</v>
      </c>
      <c r="C102" s="26" t="s">
        <v>71</v>
      </c>
      <c r="D102" s="27" t="n">
        <v>4557</v>
      </c>
      <c r="E102" s="27" t="n">
        <v>277</v>
      </c>
      <c r="F102" s="27" t="n">
        <v>72</v>
      </c>
      <c r="G102" s="28" t="n">
        <v>0.259927797833935</v>
      </c>
      <c r="H102" s="29" t="n">
        <v>1.13848396501458</v>
      </c>
      <c r="I102" s="27" t="n">
        <v>0</v>
      </c>
      <c r="J102" s="27" t="n">
        <v>1</v>
      </c>
      <c r="K102" s="28" t="n">
        <v>0</v>
      </c>
      <c r="L102" s="30" t="n">
        <v>40.82</v>
      </c>
      <c r="M102" s="28" t="n">
        <v>0.150537634408602</v>
      </c>
      <c r="N102" s="29" t="n">
        <v>12.07</v>
      </c>
      <c r="O102" s="28" t="n">
        <v>0.0652173913043478</v>
      </c>
      <c r="P102" s="27" t="n">
        <v>165</v>
      </c>
      <c r="Q102" s="28" t="n">
        <v>0.265700483091787</v>
      </c>
      <c r="R102" s="31" t="n">
        <v>0.388062762036787</v>
      </c>
    </row>
    <row r="103" customFormat="false" ht="15" hidden="false" customHeight="false" outlineLevel="0" collapsed="false">
      <c r="A103" s="25" t="n">
        <v>4107108</v>
      </c>
      <c r="B103" s="26" t="s">
        <v>168</v>
      </c>
      <c r="C103" s="26" t="s">
        <v>65</v>
      </c>
      <c r="D103" s="27" t="n">
        <v>5142</v>
      </c>
      <c r="E103" s="27" t="n">
        <v>233</v>
      </c>
      <c r="F103" s="27" t="n">
        <v>112</v>
      </c>
      <c r="G103" s="28" t="n">
        <v>0.48068669527897</v>
      </c>
      <c r="H103" s="29" t="n">
        <v>1.03891708967851</v>
      </c>
      <c r="I103" s="27" t="n">
        <v>1</v>
      </c>
      <c r="J103" s="27" t="n">
        <v>2</v>
      </c>
      <c r="K103" s="28" t="n">
        <v>0.5</v>
      </c>
      <c r="L103" s="30" t="n">
        <v>0</v>
      </c>
      <c r="M103" s="28" t="n">
        <v>0.114935822637106</v>
      </c>
      <c r="N103" s="29" t="n">
        <v>8.17</v>
      </c>
      <c r="O103" s="28" t="n">
        <v>0</v>
      </c>
      <c r="P103" s="27" t="n">
        <v>141</v>
      </c>
      <c r="Q103" s="28" t="n">
        <v>0.274853801169591</v>
      </c>
      <c r="R103" s="31" t="n">
        <v>0.406273334425882</v>
      </c>
    </row>
    <row r="104" customFormat="false" ht="15" hidden="false" customHeight="false" outlineLevel="0" collapsed="false">
      <c r="A104" s="25" t="n">
        <v>4107124</v>
      </c>
      <c r="B104" s="26" t="s">
        <v>169</v>
      </c>
      <c r="C104" s="26" t="s">
        <v>71</v>
      </c>
      <c r="D104" s="27" t="n">
        <v>3171</v>
      </c>
      <c r="E104" s="27" t="n">
        <v>215</v>
      </c>
      <c r="F104" s="27" t="n">
        <v>47</v>
      </c>
      <c r="G104" s="28" t="n">
        <v>0.218604651162791</v>
      </c>
      <c r="H104" s="29" t="n">
        <v>1.18673218673219</v>
      </c>
      <c r="I104" s="27" t="n">
        <v>0</v>
      </c>
      <c r="J104" s="27" t="n">
        <v>1</v>
      </c>
      <c r="K104" s="28" t="n">
        <v>0</v>
      </c>
      <c r="L104" s="30" t="n">
        <v>51.28</v>
      </c>
      <c r="M104" s="28" t="n">
        <v>0.128350678019552</v>
      </c>
      <c r="N104" s="29" t="n">
        <v>11.67</v>
      </c>
      <c r="O104" s="28" t="n">
        <v>0.125</v>
      </c>
      <c r="P104" s="27" t="n">
        <v>178</v>
      </c>
      <c r="Q104" s="28" t="n">
        <v>0.430992736077482</v>
      </c>
      <c r="R104" s="31" t="n">
        <v>0.361969151431133</v>
      </c>
    </row>
    <row r="105" customFormat="false" ht="15" hidden="false" customHeight="false" outlineLevel="0" collapsed="false">
      <c r="A105" s="25" t="n">
        <v>4107207</v>
      </c>
      <c r="B105" s="26" t="s">
        <v>170</v>
      </c>
      <c r="C105" s="26" t="s">
        <v>86</v>
      </c>
      <c r="D105" s="27" t="n">
        <v>44869</v>
      </c>
      <c r="E105" s="27" t="n">
        <v>3063</v>
      </c>
      <c r="F105" s="27" t="n">
        <v>1164</v>
      </c>
      <c r="G105" s="28" t="n">
        <v>0.38001958863859</v>
      </c>
      <c r="H105" s="29" t="n">
        <v>1.11189899688689</v>
      </c>
      <c r="I105" s="27" t="n">
        <v>5</v>
      </c>
      <c r="J105" s="27" t="n">
        <v>13</v>
      </c>
      <c r="K105" s="28" t="n">
        <v>0.384615384615385</v>
      </c>
      <c r="L105" s="30" t="n">
        <v>4.66</v>
      </c>
      <c r="M105" s="28" t="n">
        <v>0.128864026387929</v>
      </c>
      <c r="N105" s="29" t="n">
        <v>14.42</v>
      </c>
      <c r="O105" s="28" t="n">
        <v>0.0319148936170212</v>
      </c>
      <c r="P105" s="27" t="n">
        <v>828</v>
      </c>
      <c r="Q105" s="28" t="n">
        <v>0.135316228141853</v>
      </c>
      <c r="R105" s="31" t="n">
        <v>0.626059024916391</v>
      </c>
    </row>
    <row r="106" customFormat="false" ht="15" hidden="false" customHeight="false" outlineLevel="0" collapsed="false">
      <c r="A106" s="25" t="n">
        <v>4107256</v>
      </c>
      <c r="B106" s="26" t="s">
        <v>171</v>
      </c>
      <c r="C106" s="26" t="s">
        <v>65</v>
      </c>
      <c r="D106" s="27" t="n">
        <v>9161</v>
      </c>
      <c r="E106" s="27" t="n">
        <v>590</v>
      </c>
      <c r="F106" s="27" t="n">
        <v>219</v>
      </c>
      <c r="G106" s="28" t="n">
        <v>0.371186440677966</v>
      </c>
      <c r="H106" s="29" t="n">
        <v>1.12913907284768</v>
      </c>
      <c r="I106" s="27" t="n">
        <v>2</v>
      </c>
      <c r="J106" s="27" t="n">
        <v>4</v>
      </c>
      <c r="K106" s="28" t="n">
        <v>0.5</v>
      </c>
      <c r="L106" s="30" t="n">
        <v>0</v>
      </c>
      <c r="M106" s="28" t="n">
        <v>0.131863333697195</v>
      </c>
      <c r="N106" s="29" t="n">
        <v>10.92</v>
      </c>
      <c r="O106" s="28" t="n">
        <v>0.0909090909090909</v>
      </c>
      <c r="P106" s="27" t="n">
        <v>168</v>
      </c>
      <c r="Q106" s="28" t="n">
        <v>0.140116763969975</v>
      </c>
      <c r="R106" s="31" t="n">
        <v>0.616990335191526</v>
      </c>
    </row>
    <row r="107" customFormat="false" ht="15" hidden="false" customHeight="false" outlineLevel="0" collapsed="false">
      <c r="A107" s="25" t="n">
        <v>4107306</v>
      </c>
      <c r="B107" s="26" t="s">
        <v>172</v>
      </c>
      <c r="C107" s="26" t="s">
        <v>65</v>
      </c>
      <c r="D107" s="27" t="n">
        <v>6327</v>
      </c>
      <c r="E107" s="27" t="n">
        <v>353</v>
      </c>
      <c r="F107" s="27" t="n">
        <v>146</v>
      </c>
      <c r="G107" s="28" t="n">
        <v>0.413597733711048</v>
      </c>
      <c r="H107" s="29" t="n">
        <v>1.01451378809869</v>
      </c>
      <c r="I107" s="27" t="n">
        <v>1</v>
      </c>
      <c r="J107" s="27" t="n">
        <v>4</v>
      </c>
      <c r="K107" s="28" t="n">
        <v>0.25</v>
      </c>
      <c r="L107" s="30" t="n">
        <v>33.33</v>
      </c>
      <c r="M107" s="28" t="n">
        <v>0.108898372056267</v>
      </c>
      <c r="N107" s="29" t="n">
        <v>9.17</v>
      </c>
      <c r="O107" s="28" t="n">
        <v>0</v>
      </c>
      <c r="P107" s="27" t="n">
        <v>148</v>
      </c>
      <c r="Q107" s="28" t="n">
        <v>0.209631728045326</v>
      </c>
      <c r="R107" s="31" t="n">
        <v>0.392806165319598</v>
      </c>
    </row>
    <row r="108" customFormat="false" ht="15" hidden="false" customHeight="false" outlineLevel="0" collapsed="false">
      <c r="A108" s="25" t="n">
        <v>4128633</v>
      </c>
      <c r="B108" s="26" t="s">
        <v>173</v>
      </c>
      <c r="C108" s="26" t="s">
        <v>65</v>
      </c>
      <c r="D108" s="27" t="n">
        <v>5697</v>
      </c>
      <c r="E108" s="27" t="n">
        <v>409</v>
      </c>
      <c r="F108" s="27" t="n">
        <v>47</v>
      </c>
      <c r="G108" s="28" t="n">
        <v>0.114914425427873</v>
      </c>
      <c r="H108" s="29" t="n">
        <v>1.16454081632653</v>
      </c>
      <c r="I108" s="27" t="n">
        <v>0</v>
      </c>
      <c r="J108" s="27" t="n">
        <v>1</v>
      </c>
      <c r="K108" s="28" t="n">
        <v>0</v>
      </c>
      <c r="L108" s="30" t="n">
        <v>0</v>
      </c>
      <c r="M108" s="28" t="n">
        <v>0.137616289275057</v>
      </c>
      <c r="N108" s="29" t="n">
        <v>12.29</v>
      </c>
      <c r="O108" s="28" t="n">
        <v>0.0555555555555555</v>
      </c>
      <c r="P108" s="27" t="n">
        <v>386</v>
      </c>
      <c r="Q108" s="28" t="n">
        <v>0.495507060333761</v>
      </c>
      <c r="R108" s="31" t="n">
        <v>0.36976031245245</v>
      </c>
    </row>
    <row r="109" customFormat="false" ht="15" hidden="false" customHeight="false" outlineLevel="0" collapsed="false">
      <c r="A109" s="25" t="n">
        <v>4107405</v>
      </c>
      <c r="B109" s="26" t="s">
        <v>174</v>
      </c>
      <c r="C109" s="26" t="s">
        <v>65</v>
      </c>
      <c r="D109" s="27" t="n">
        <v>5999</v>
      </c>
      <c r="E109" s="27" t="n">
        <v>346</v>
      </c>
      <c r="F109" s="27" t="n">
        <v>77</v>
      </c>
      <c r="G109" s="28" t="n">
        <v>0.222543352601156</v>
      </c>
      <c r="H109" s="29" t="n">
        <v>1.13427109974425</v>
      </c>
      <c r="I109" s="27" t="n">
        <v>1</v>
      </c>
      <c r="J109" s="27" t="n">
        <v>2</v>
      </c>
      <c r="K109" s="28" t="n">
        <v>0.5</v>
      </c>
      <c r="L109" s="30" t="n">
        <v>0</v>
      </c>
      <c r="M109" s="28" t="n">
        <v>0.130355059176529</v>
      </c>
      <c r="N109" s="29" t="n">
        <v>14.67</v>
      </c>
      <c r="O109" s="28" t="n">
        <v>0</v>
      </c>
      <c r="P109" s="27" t="n">
        <v>180</v>
      </c>
      <c r="Q109" s="28" t="n">
        <v>0.239043824701195</v>
      </c>
      <c r="R109" s="31" t="n">
        <v>0.46431656554856</v>
      </c>
    </row>
    <row r="110" customFormat="false" ht="15" hidden="false" customHeight="false" outlineLevel="0" collapsed="false">
      <c r="A110" s="25" t="n">
        <v>4107504</v>
      </c>
      <c r="B110" s="26" t="s">
        <v>175</v>
      </c>
      <c r="C110" s="26" t="s">
        <v>65</v>
      </c>
      <c r="D110" s="27" t="n">
        <v>12454</v>
      </c>
      <c r="E110" s="27" t="n">
        <v>661</v>
      </c>
      <c r="F110" s="27" t="n">
        <v>350</v>
      </c>
      <c r="G110" s="28" t="n">
        <v>0.529500756429652</v>
      </c>
      <c r="H110" s="29" t="n">
        <v>1.10096818810512</v>
      </c>
      <c r="I110" s="27" t="n">
        <v>2</v>
      </c>
      <c r="J110" s="27" t="n">
        <v>8</v>
      </c>
      <c r="K110" s="28" t="n">
        <v>0.25</v>
      </c>
      <c r="L110" s="30" t="n">
        <v>7.25</v>
      </c>
      <c r="M110" s="28" t="n">
        <v>0.116107274771158</v>
      </c>
      <c r="N110" s="29" t="n">
        <v>9.56</v>
      </c>
      <c r="O110" s="28" t="n">
        <v>0.0138888888888888</v>
      </c>
      <c r="P110" s="27" t="n">
        <v>427</v>
      </c>
      <c r="Q110" s="28" t="n">
        <v>0.305436337625179</v>
      </c>
      <c r="R110" s="31" t="n">
        <v>0.439223185348222</v>
      </c>
    </row>
    <row r="111" customFormat="false" ht="15" hidden="false" customHeight="false" outlineLevel="0" collapsed="false">
      <c r="A111" s="25" t="n">
        <v>4107538</v>
      </c>
      <c r="B111" s="26" t="s">
        <v>176</v>
      </c>
      <c r="C111" s="26" t="s">
        <v>71</v>
      </c>
      <c r="D111" s="27" t="n">
        <v>4575</v>
      </c>
      <c r="E111" s="27" t="n">
        <v>303</v>
      </c>
      <c r="F111" s="27" t="n">
        <v>166</v>
      </c>
      <c r="G111" s="28" t="n">
        <v>0.547854785478548</v>
      </c>
      <c r="H111" s="29" t="n">
        <v>1.16840277777778</v>
      </c>
      <c r="I111" s="27" t="n">
        <v>0</v>
      </c>
      <c r="J111" s="27" t="n">
        <v>1</v>
      </c>
      <c r="K111" s="28" t="n">
        <v>0</v>
      </c>
      <c r="L111" s="30" t="n">
        <v>0</v>
      </c>
      <c r="M111" s="28" t="n">
        <v>0.125901639344262</v>
      </c>
      <c r="N111" s="29" t="n">
        <v>16.17</v>
      </c>
      <c r="O111" s="28" t="n">
        <v>0.0119047619047619</v>
      </c>
      <c r="P111" s="27" t="n">
        <v>63</v>
      </c>
      <c r="Q111" s="28" t="n">
        <v>0.106239460370995</v>
      </c>
      <c r="R111" s="31" t="n">
        <v>0.540005082306919</v>
      </c>
    </row>
    <row r="112" customFormat="false" ht="15" hidden="false" customHeight="false" outlineLevel="0" collapsed="false">
      <c r="A112" s="25" t="n">
        <v>4107520</v>
      </c>
      <c r="B112" s="26" t="s">
        <v>177</v>
      </c>
      <c r="C112" s="26" t="s">
        <v>71</v>
      </c>
      <c r="D112" s="27" t="n">
        <v>1849</v>
      </c>
      <c r="E112" s="27" t="n">
        <v>89</v>
      </c>
      <c r="F112" s="27" t="n">
        <v>53</v>
      </c>
      <c r="G112" s="28" t="n">
        <v>0.595505617977528</v>
      </c>
      <c r="H112" s="29" t="n">
        <v>1.05803571428571</v>
      </c>
      <c r="I112" s="27" t="n">
        <v>0</v>
      </c>
      <c r="J112" s="27" t="n">
        <v>1</v>
      </c>
      <c r="K112" s="28" t="n">
        <v>0</v>
      </c>
      <c r="L112" s="30" t="n">
        <v>0</v>
      </c>
      <c r="M112" s="28" t="n">
        <v>0.121146565711195</v>
      </c>
      <c r="N112" s="29" t="n">
        <v>6.49</v>
      </c>
      <c r="O112" s="28" t="n">
        <v>0.0476190476190476</v>
      </c>
      <c r="P112" s="27" t="n">
        <v>61</v>
      </c>
      <c r="Q112" s="28" t="n">
        <v>0.290476190476191</v>
      </c>
      <c r="R112" s="31" t="n">
        <v>0.439396237064133</v>
      </c>
    </row>
    <row r="113" customFormat="false" ht="15" hidden="false" customHeight="false" outlineLevel="0" collapsed="false">
      <c r="A113" s="25" t="n">
        <v>4107546</v>
      </c>
      <c r="B113" s="26" t="s">
        <v>178</v>
      </c>
      <c r="C113" s="26" t="s">
        <v>71</v>
      </c>
      <c r="D113" s="27" t="n">
        <v>4797</v>
      </c>
      <c r="E113" s="27" t="n">
        <v>368</v>
      </c>
      <c r="F113" s="27" t="n">
        <v>66</v>
      </c>
      <c r="G113" s="28" t="n">
        <v>0.179347826086957</v>
      </c>
      <c r="H113" s="29" t="n">
        <v>1.0558583106267</v>
      </c>
      <c r="I113" s="27" t="n">
        <v>0</v>
      </c>
      <c r="J113" s="27" t="n">
        <v>1</v>
      </c>
      <c r="K113" s="28" t="n">
        <v>0</v>
      </c>
      <c r="L113" s="30" t="n">
        <v>0</v>
      </c>
      <c r="M113" s="28" t="n">
        <v>0.153012299353763</v>
      </c>
      <c r="N113" s="29" t="n">
        <v>11.88</v>
      </c>
      <c r="O113" s="28" t="n">
        <v>0.0476190476190476</v>
      </c>
      <c r="P113" s="27" t="n">
        <v>325</v>
      </c>
      <c r="Q113" s="28" t="n">
        <v>0.440976933514247</v>
      </c>
      <c r="R113" s="31" t="n">
        <v>0.362900258429702</v>
      </c>
    </row>
    <row r="114" customFormat="false" ht="15" hidden="false" customHeight="false" outlineLevel="0" collapsed="false">
      <c r="A114" s="25" t="n">
        <v>4107553</v>
      </c>
      <c r="B114" s="26" t="s">
        <v>179</v>
      </c>
      <c r="C114" s="26" t="s">
        <v>71</v>
      </c>
      <c r="D114" s="27" t="n">
        <v>3039</v>
      </c>
      <c r="E114" s="27" t="n">
        <v>161</v>
      </c>
      <c r="F114" s="27" t="n">
        <v>37</v>
      </c>
      <c r="G114" s="28" t="n">
        <v>0.229813664596273</v>
      </c>
      <c r="H114" s="29" t="n">
        <v>1.06297229219144</v>
      </c>
      <c r="I114" s="27" t="n">
        <v>0</v>
      </c>
      <c r="J114" s="27" t="n">
        <v>1</v>
      </c>
      <c r="K114" s="28" t="n">
        <v>0</v>
      </c>
      <c r="L114" s="30" t="n">
        <v>0</v>
      </c>
      <c r="M114" s="28" t="n">
        <v>0.130635077328068</v>
      </c>
      <c r="N114" s="29" t="n">
        <v>9.21</v>
      </c>
      <c r="O114" s="28" t="n">
        <v>0.0606060606060606</v>
      </c>
      <c r="P114" s="27" t="n">
        <v>91</v>
      </c>
      <c r="Q114" s="28" t="n">
        <v>0.244623655913979</v>
      </c>
      <c r="R114" s="31" t="n">
        <v>0.46010057848568</v>
      </c>
    </row>
    <row r="115" customFormat="false" ht="15" hidden="false" customHeight="false" outlineLevel="0" collapsed="false">
      <c r="A115" s="25" t="n">
        <v>4107603</v>
      </c>
      <c r="B115" s="26" t="s">
        <v>180</v>
      </c>
      <c r="C115" s="26" t="s">
        <v>65</v>
      </c>
      <c r="D115" s="27" t="n">
        <v>16389</v>
      </c>
      <c r="E115" s="27" t="n">
        <v>1105</v>
      </c>
      <c r="F115" s="27" t="n">
        <v>323</v>
      </c>
      <c r="G115" s="28" t="n">
        <v>0.292307692307692</v>
      </c>
      <c r="H115" s="29" t="n">
        <v>1.13197105151128</v>
      </c>
      <c r="I115" s="27" t="n">
        <v>7</v>
      </c>
      <c r="J115" s="27" t="n">
        <v>12</v>
      </c>
      <c r="K115" s="28" t="n">
        <v>0.583333333333333</v>
      </c>
      <c r="L115" s="30" t="n">
        <v>10</v>
      </c>
      <c r="M115" s="28" t="n">
        <v>0.14332784184514</v>
      </c>
      <c r="N115" s="29" t="n">
        <v>14.52</v>
      </c>
      <c r="O115" s="28" t="n">
        <v>0.111111111111111</v>
      </c>
      <c r="P115" s="27" t="n">
        <v>779</v>
      </c>
      <c r="Q115" s="28" t="n">
        <v>0.336355785837651</v>
      </c>
      <c r="R115" s="31" t="n">
        <v>0.423726313061679</v>
      </c>
    </row>
    <row r="116" customFormat="false" ht="15" hidden="false" customHeight="false" outlineLevel="0" collapsed="false">
      <c r="A116" s="25" t="n">
        <v>4107652</v>
      </c>
      <c r="B116" s="26" t="s">
        <v>181</v>
      </c>
      <c r="C116" s="26" t="s">
        <v>69</v>
      </c>
      <c r="D116" s="27" t="n">
        <v>148873</v>
      </c>
      <c r="E116" s="27" t="n">
        <v>11090</v>
      </c>
      <c r="F116" s="27" t="n">
        <v>1781</v>
      </c>
      <c r="G116" s="28" t="n">
        <v>0.160595130748422</v>
      </c>
      <c r="H116" s="29" t="n">
        <v>1.07189861077261</v>
      </c>
      <c r="I116" s="27" t="n">
        <v>7</v>
      </c>
      <c r="J116" s="27" t="n">
        <v>20</v>
      </c>
      <c r="K116" s="28" t="n">
        <v>0.35</v>
      </c>
      <c r="L116" s="30" t="n">
        <v>9.92</v>
      </c>
      <c r="M116" s="28" t="n">
        <v>0.165362423004843</v>
      </c>
      <c r="N116" s="29" t="n">
        <v>12.91</v>
      </c>
      <c r="O116" s="28" t="n">
        <v>0.0546697038724373</v>
      </c>
      <c r="P116" s="27" t="n">
        <v>3274</v>
      </c>
      <c r="Q116" s="28" t="n">
        <v>0.138805274091661</v>
      </c>
      <c r="R116" s="31" t="n">
        <v>0.531341069429404</v>
      </c>
    </row>
    <row r="117" customFormat="false" ht="15" hidden="false" customHeight="false" outlineLevel="0" collapsed="false">
      <c r="A117" s="25" t="n">
        <v>4107736</v>
      </c>
      <c r="B117" s="26" t="s">
        <v>182</v>
      </c>
      <c r="C117" s="26" t="s">
        <v>65</v>
      </c>
      <c r="D117" s="27" t="n">
        <v>6255</v>
      </c>
      <c r="E117" s="27" t="n">
        <v>394</v>
      </c>
      <c r="F117" s="27" t="n">
        <v>94</v>
      </c>
      <c r="G117" s="28" t="n">
        <v>0.238578680203046</v>
      </c>
      <c r="H117" s="29" t="n">
        <v>0.973404255319149</v>
      </c>
      <c r="I117" s="27" t="n">
        <v>1</v>
      </c>
      <c r="J117" s="27" t="n">
        <v>2</v>
      </c>
      <c r="K117" s="28" t="n">
        <v>0.5</v>
      </c>
      <c r="L117" s="30" t="n">
        <v>0</v>
      </c>
      <c r="M117" s="28" t="n">
        <v>0.150279776179057</v>
      </c>
      <c r="N117" s="29" t="n">
        <v>9.91</v>
      </c>
      <c r="O117" s="28" t="n">
        <v>0.043859649122807</v>
      </c>
      <c r="P117" s="27" t="n">
        <v>371</v>
      </c>
      <c r="Q117" s="28" t="n">
        <v>0.43698468786808</v>
      </c>
      <c r="R117" s="31" t="n">
        <v>0.427383883869827</v>
      </c>
    </row>
    <row r="118" customFormat="false" ht="15" hidden="false" customHeight="false" outlineLevel="0" collapsed="false">
      <c r="A118" s="25" t="n">
        <v>4107702</v>
      </c>
      <c r="B118" s="26" t="s">
        <v>183</v>
      </c>
      <c r="C118" s="26" t="s">
        <v>71</v>
      </c>
      <c r="D118" s="27" t="n">
        <v>4492</v>
      </c>
      <c r="E118" s="27" t="n">
        <v>281</v>
      </c>
      <c r="F118" s="27" t="n">
        <v>154</v>
      </c>
      <c r="G118" s="28" t="n">
        <v>0.548042704626335</v>
      </c>
      <c r="H118" s="29" t="n">
        <v>1.10079051383399</v>
      </c>
      <c r="I118" s="27" t="n">
        <v>1</v>
      </c>
      <c r="J118" s="27" t="n">
        <v>4</v>
      </c>
      <c r="K118" s="28" t="n">
        <v>0.25</v>
      </c>
      <c r="L118" s="30" t="n">
        <v>18.52</v>
      </c>
      <c r="M118" s="28" t="n">
        <v>0.112644701691897</v>
      </c>
      <c r="N118" s="29" t="n">
        <v>14.47</v>
      </c>
      <c r="O118" s="28" t="n">
        <v>0</v>
      </c>
      <c r="P118" s="27" t="n">
        <v>215</v>
      </c>
      <c r="Q118" s="28" t="n">
        <v>0.395948434622468</v>
      </c>
      <c r="R118" s="31" t="n">
        <v>0.412279041858181</v>
      </c>
    </row>
    <row r="119" customFormat="false" ht="15" hidden="false" customHeight="false" outlineLevel="0" collapsed="false">
      <c r="A119" s="25" t="n">
        <v>4107751</v>
      </c>
      <c r="B119" s="26" t="s">
        <v>184</v>
      </c>
      <c r="C119" s="26" t="s">
        <v>65</v>
      </c>
      <c r="D119" s="27" t="n">
        <v>8062</v>
      </c>
      <c r="E119" s="27" t="n">
        <v>433</v>
      </c>
      <c r="F119" s="27" t="n">
        <v>127</v>
      </c>
      <c r="G119" s="28" t="n">
        <v>0.293302540415704</v>
      </c>
      <c r="H119" s="29" t="n">
        <v>1.08375378405651</v>
      </c>
      <c r="I119" s="27" t="n">
        <v>0</v>
      </c>
      <c r="J119" s="27" t="n">
        <v>1</v>
      </c>
      <c r="K119" s="28" t="n">
        <v>0</v>
      </c>
      <c r="L119" s="30" t="n">
        <v>0</v>
      </c>
      <c r="M119" s="28" t="n">
        <v>0.122922351773753</v>
      </c>
      <c r="N119" s="29" t="n">
        <v>10.3</v>
      </c>
      <c r="O119" s="28" t="n">
        <v>0.0329670329670329</v>
      </c>
      <c r="P119" s="27" t="n">
        <v>343</v>
      </c>
      <c r="Q119" s="28" t="n">
        <v>0.370010787486516</v>
      </c>
      <c r="R119" s="31" t="n">
        <v>0.457745661954521</v>
      </c>
    </row>
    <row r="120" customFormat="false" ht="15" hidden="false" customHeight="false" outlineLevel="0" collapsed="false">
      <c r="A120" s="25" t="n">
        <v>4107850</v>
      </c>
      <c r="B120" s="26" t="s">
        <v>185</v>
      </c>
      <c r="C120" s="26" t="s">
        <v>71</v>
      </c>
      <c r="D120" s="27" t="n">
        <v>4364</v>
      </c>
      <c r="E120" s="27" t="n">
        <v>268</v>
      </c>
      <c r="F120" s="27" t="n">
        <v>83</v>
      </c>
      <c r="G120" s="28" t="n">
        <v>0.309701492537313</v>
      </c>
      <c r="H120" s="29" t="n">
        <v>1.20526315789474</v>
      </c>
      <c r="I120" s="27" t="n">
        <v>1</v>
      </c>
      <c r="J120" s="27" t="n">
        <v>2</v>
      </c>
      <c r="K120" s="28" t="n">
        <v>0.5</v>
      </c>
      <c r="L120" s="30" t="n">
        <v>13.33</v>
      </c>
      <c r="M120" s="28" t="n">
        <v>0.130614115490376</v>
      </c>
      <c r="N120" s="29" t="n">
        <v>15.35</v>
      </c>
      <c r="O120" s="28" t="n">
        <v>0.0336134453781512</v>
      </c>
      <c r="P120" s="27" t="n">
        <v>176</v>
      </c>
      <c r="Q120" s="28" t="n">
        <v>0.304498269896194</v>
      </c>
      <c r="R120" s="31" t="n">
        <v>0.419435513870489</v>
      </c>
    </row>
    <row r="121" customFormat="false" ht="15" hidden="false" customHeight="false" outlineLevel="0" collapsed="false">
      <c r="A121" s="25" t="n">
        <v>4107801</v>
      </c>
      <c r="B121" s="26" t="s">
        <v>186</v>
      </c>
      <c r="C121" s="26" t="s">
        <v>71</v>
      </c>
      <c r="D121" s="27" t="n">
        <v>4792</v>
      </c>
      <c r="E121" s="27" t="n">
        <v>251</v>
      </c>
      <c r="F121" s="27" t="n">
        <v>120</v>
      </c>
      <c r="G121" s="28" t="n">
        <v>0.47808764940239</v>
      </c>
      <c r="H121" s="29" t="n">
        <v>1.16981132075472</v>
      </c>
      <c r="I121" s="27" t="n">
        <v>1</v>
      </c>
      <c r="J121" s="27" t="n">
        <v>2</v>
      </c>
      <c r="K121" s="28" t="n">
        <v>0.5</v>
      </c>
      <c r="L121" s="30" t="n">
        <v>0</v>
      </c>
      <c r="M121" s="28" t="n">
        <v>0.110601001669449</v>
      </c>
      <c r="N121" s="29" t="n">
        <v>9.39</v>
      </c>
      <c r="O121" s="28" t="n">
        <v>0</v>
      </c>
      <c r="P121" s="27" t="n">
        <v>90</v>
      </c>
      <c r="Q121" s="28" t="n">
        <v>0.174418604651163</v>
      </c>
      <c r="R121" s="31" t="n">
        <v>0.413510147915643</v>
      </c>
    </row>
    <row r="122" customFormat="false" ht="15" hidden="false" customHeight="false" outlineLevel="0" collapsed="false">
      <c r="A122" s="25" t="n">
        <v>4107900</v>
      </c>
      <c r="B122" s="26" t="s">
        <v>187</v>
      </c>
      <c r="C122" s="26" t="s">
        <v>65</v>
      </c>
      <c r="D122" s="27" t="n">
        <v>10458</v>
      </c>
      <c r="E122" s="27" t="n">
        <v>745</v>
      </c>
      <c r="F122" s="27" t="n">
        <v>374</v>
      </c>
      <c r="G122" s="28" t="n">
        <v>0.502013422818792</v>
      </c>
      <c r="H122" s="29" t="n">
        <v>1.08763586956522</v>
      </c>
      <c r="I122" s="27" t="n">
        <v>1</v>
      </c>
      <c r="J122" s="27" t="n">
        <v>4</v>
      </c>
      <c r="K122" s="28" t="n">
        <v>0.25</v>
      </c>
      <c r="L122" s="30" t="n">
        <v>0</v>
      </c>
      <c r="M122" s="28" t="n">
        <v>0.140753490151081</v>
      </c>
      <c r="N122" s="29" t="n">
        <v>14.15</v>
      </c>
      <c r="O122" s="28" t="n">
        <v>0.03125</v>
      </c>
      <c r="P122" s="27" t="n">
        <v>162</v>
      </c>
      <c r="Q122" s="28" t="n">
        <v>0.105675146771037</v>
      </c>
      <c r="R122" s="31" t="n">
        <v>0.437772565128184</v>
      </c>
    </row>
    <row r="123" customFormat="false" ht="15" hidden="false" customHeight="false" outlineLevel="0" collapsed="false">
      <c r="A123" s="25" t="n">
        <v>4108007</v>
      </c>
      <c r="B123" s="26" t="s">
        <v>188</v>
      </c>
      <c r="C123" s="26" t="s">
        <v>65</v>
      </c>
      <c r="D123" s="27" t="n">
        <v>11446</v>
      </c>
      <c r="E123" s="27" t="n">
        <v>720</v>
      </c>
      <c r="F123" s="27" t="n">
        <v>261</v>
      </c>
      <c r="G123" s="28" t="n">
        <v>0.3625</v>
      </c>
      <c r="H123" s="29" t="n">
        <v>1.01835486063902</v>
      </c>
      <c r="I123" s="27" t="n">
        <v>2</v>
      </c>
      <c r="J123" s="27" t="n">
        <v>7</v>
      </c>
      <c r="K123" s="28" t="n">
        <v>0.285714285714286</v>
      </c>
      <c r="L123" s="30" t="n">
        <v>6.76</v>
      </c>
      <c r="M123" s="28" t="n">
        <v>0.128516512318714</v>
      </c>
      <c r="N123" s="29" t="n">
        <v>10.48</v>
      </c>
      <c r="O123" s="28" t="n">
        <v>0.0215827338129496</v>
      </c>
      <c r="P123" s="27" t="n">
        <v>641</v>
      </c>
      <c r="Q123" s="28" t="n">
        <v>0.434576271186441</v>
      </c>
      <c r="R123" s="31" t="n">
        <v>0.489597572471546</v>
      </c>
    </row>
    <row r="124" customFormat="false" ht="15" hidden="false" customHeight="false" outlineLevel="0" collapsed="false">
      <c r="A124" s="25" t="n">
        <v>4108106</v>
      </c>
      <c r="B124" s="26" t="s">
        <v>189</v>
      </c>
      <c r="C124" s="26" t="s">
        <v>71</v>
      </c>
      <c r="D124" s="27" t="n">
        <v>2652</v>
      </c>
      <c r="E124" s="27" t="n">
        <v>172</v>
      </c>
      <c r="F124" s="27" t="n">
        <v>94</v>
      </c>
      <c r="G124" s="28" t="n">
        <v>0.546511627906977</v>
      </c>
      <c r="H124" s="29" t="n">
        <v>1.11111111111111</v>
      </c>
      <c r="I124" s="27" t="n">
        <v>0</v>
      </c>
      <c r="J124" s="27" t="n">
        <v>1</v>
      </c>
      <c r="K124" s="28" t="n">
        <v>0</v>
      </c>
      <c r="L124" s="30" t="n">
        <v>0</v>
      </c>
      <c r="M124" s="28" t="n">
        <v>0.1289592760181</v>
      </c>
      <c r="N124" s="29" t="n">
        <v>13.95</v>
      </c>
      <c r="O124" s="28" t="n">
        <v>0</v>
      </c>
      <c r="P124" s="27" t="n">
        <v>61</v>
      </c>
      <c r="Q124" s="28" t="n">
        <v>0.182634730538922</v>
      </c>
      <c r="R124" s="31" t="n">
        <v>0.468014406250685</v>
      </c>
    </row>
    <row r="125" customFormat="false" ht="15" hidden="false" customHeight="false" outlineLevel="0" collapsed="false">
      <c r="A125" s="25" t="n">
        <v>4108205</v>
      </c>
      <c r="B125" s="26" t="s">
        <v>190</v>
      </c>
      <c r="C125" s="26" t="s">
        <v>65</v>
      </c>
      <c r="D125" s="27" t="n">
        <v>7635</v>
      </c>
      <c r="E125" s="27" t="n">
        <v>470</v>
      </c>
      <c r="F125" s="27" t="n">
        <v>204</v>
      </c>
      <c r="G125" s="28" t="n">
        <v>0.434042553191489</v>
      </c>
      <c r="H125" s="29" t="n">
        <v>1.05454545454545</v>
      </c>
      <c r="I125" s="27" t="n">
        <v>2</v>
      </c>
      <c r="J125" s="27" t="n">
        <v>4</v>
      </c>
      <c r="K125" s="28" t="n">
        <v>0.5</v>
      </c>
      <c r="L125" s="30" t="n">
        <v>0</v>
      </c>
      <c r="M125" s="28" t="n">
        <v>0.108055009823183</v>
      </c>
      <c r="N125" s="29" t="n">
        <v>10.48</v>
      </c>
      <c r="O125" s="28" t="n">
        <v>0.333333333333333</v>
      </c>
      <c r="P125" s="27" t="n">
        <v>135</v>
      </c>
      <c r="Q125" s="28" t="n">
        <v>0.152027027027027</v>
      </c>
      <c r="R125" s="31" t="n">
        <v>0.431384801606407</v>
      </c>
    </row>
    <row r="126" customFormat="false" ht="15" hidden="false" customHeight="false" outlineLevel="0" collapsed="false">
      <c r="A126" s="25" t="n">
        <v>4108304</v>
      </c>
      <c r="B126" s="26" t="s">
        <v>191</v>
      </c>
      <c r="C126" s="26" t="s">
        <v>138</v>
      </c>
      <c r="D126" s="27" t="n">
        <v>285415</v>
      </c>
      <c r="E126" s="27" t="n">
        <v>18300</v>
      </c>
      <c r="F126" s="27" t="n">
        <v>4900</v>
      </c>
      <c r="G126" s="28" t="n">
        <v>0.26775956284153</v>
      </c>
      <c r="H126" s="29" t="n">
        <v>1.10630429827005</v>
      </c>
      <c r="I126" s="27" t="n">
        <v>29</v>
      </c>
      <c r="J126" s="27" t="n">
        <v>73</v>
      </c>
      <c r="K126" s="28" t="n">
        <v>0.397260273972603</v>
      </c>
      <c r="L126" s="30" t="n">
        <v>9.14</v>
      </c>
      <c r="M126" s="28" t="n">
        <v>0.13832839899795</v>
      </c>
      <c r="N126" s="29" t="n">
        <v>14.08</v>
      </c>
      <c r="O126" s="28" t="n">
        <v>0.0381944444444444</v>
      </c>
      <c r="P126" s="27" t="n">
        <v>9447</v>
      </c>
      <c r="Q126" s="28" t="n">
        <v>0.247368421052632</v>
      </c>
      <c r="R126" s="31" t="n">
        <v>0.599420209960127</v>
      </c>
    </row>
    <row r="127" customFormat="false" ht="15" hidden="false" customHeight="false" outlineLevel="0" collapsed="false">
      <c r="A127" s="25" t="n">
        <v>4108452</v>
      </c>
      <c r="B127" s="26" t="s">
        <v>192</v>
      </c>
      <c r="C127" s="26" t="s">
        <v>71</v>
      </c>
      <c r="D127" s="27" t="n">
        <v>4926</v>
      </c>
      <c r="E127" s="27" t="n">
        <v>352</v>
      </c>
      <c r="F127" s="27" t="n">
        <v>104</v>
      </c>
      <c r="G127" s="28" t="n">
        <v>0.295454545454545</v>
      </c>
      <c r="H127" s="29" t="n">
        <v>1.00137741046832</v>
      </c>
      <c r="I127" s="27" t="n">
        <v>1</v>
      </c>
      <c r="J127" s="27" t="n">
        <v>3</v>
      </c>
      <c r="K127" s="28" t="n">
        <v>0.333333333333333</v>
      </c>
      <c r="L127" s="30" t="n">
        <v>0</v>
      </c>
      <c r="M127" s="28" t="n">
        <v>0.147381242387333</v>
      </c>
      <c r="N127" s="29" t="n">
        <v>15.23</v>
      </c>
      <c r="O127" s="28" t="n">
        <v>0</v>
      </c>
      <c r="P127" s="27" t="n">
        <v>275</v>
      </c>
      <c r="Q127" s="28" t="n">
        <v>0.376712328767123</v>
      </c>
      <c r="R127" s="31" t="n">
        <v>0.444404179624968</v>
      </c>
    </row>
    <row r="128" customFormat="false" ht="15" hidden="false" customHeight="false" outlineLevel="0" collapsed="false">
      <c r="A128" s="25" t="n">
        <v>4108320</v>
      </c>
      <c r="B128" s="26" t="s">
        <v>193</v>
      </c>
      <c r="C128" s="26" t="s">
        <v>65</v>
      </c>
      <c r="D128" s="27" t="n">
        <v>8116</v>
      </c>
      <c r="E128" s="27" t="n">
        <v>591</v>
      </c>
      <c r="F128" s="27" t="n">
        <v>130</v>
      </c>
      <c r="G128" s="28" t="n">
        <v>0.219966159052453</v>
      </c>
      <c r="H128" s="29" t="n">
        <v>1.06428571428572</v>
      </c>
      <c r="I128" s="27" t="n">
        <v>0</v>
      </c>
      <c r="J128" s="27" t="n">
        <v>2</v>
      </c>
      <c r="K128" s="28" t="n">
        <v>0</v>
      </c>
      <c r="L128" s="30" t="n">
        <v>25.64</v>
      </c>
      <c r="M128" s="28" t="n">
        <v>0.137999014292755</v>
      </c>
      <c r="N128" s="29" t="n">
        <v>14.91</v>
      </c>
      <c r="O128" s="28" t="n">
        <v>0.0166666666666666</v>
      </c>
      <c r="P128" s="27" t="n">
        <v>270</v>
      </c>
      <c r="Q128" s="28" t="n">
        <v>0.234375</v>
      </c>
      <c r="R128" s="31" t="n">
        <v>0.383028441132922</v>
      </c>
    </row>
    <row r="129" customFormat="false" ht="15" hidden="false" customHeight="false" outlineLevel="0" collapsed="false">
      <c r="A129" s="25" t="n">
        <v>4108403</v>
      </c>
      <c r="B129" s="26" t="s">
        <v>194</v>
      </c>
      <c r="C129" s="26" t="s">
        <v>129</v>
      </c>
      <c r="D129" s="27" t="n">
        <v>96666</v>
      </c>
      <c r="E129" s="27" t="n">
        <v>6254</v>
      </c>
      <c r="F129" s="27" t="n">
        <v>2554</v>
      </c>
      <c r="G129" s="28" t="n">
        <v>0.40837863767189</v>
      </c>
      <c r="H129" s="29" t="n">
        <v>1.08591037545418</v>
      </c>
      <c r="I129" s="27" t="n">
        <v>10</v>
      </c>
      <c r="J129" s="27" t="n">
        <v>30</v>
      </c>
      <c r="K129" s="28" t="n">
        <v>0.333333333333333</v>
      </c>
      <c r="L129" s="30" t="n">
        <v>9.4</v>
      </c>
      <c r="M129" s="28" t="n">
        <v>0.128121573252229</v>
      </c>
      <c r="N129" s="29" t="n">
        <v>13.1</v>
      </c>
      <c r="O129" s="28" t="n">
        <v>0.045045045045045</v>
      </c>
      <c r="P129" s="27" t="n">
        <v>1665</v>
      </c>
      <c r="Q129" s="28" t="n">
        <v>0.132352941176471</v>
      </c>
      <c r="R129" s="31" t="n">
        <v>0.61733054856709</v>
      </c>
    </row>
    <row r="130" customFormat="false" ht="15" hidden="false" customHeight="false" outlineLevel="0" collapsed="false">
      <c r="A130" s="25" t="n">
        <v>4108502</v>
      </c>
      <c r="B130" s="26" t="s">
        <v>195</v>
      </c>
      <c r="C130" s="26" t="s">
        <v>65</v>
      </c>
      <c r="D130" s="27" t="n">
        <v>11062</v>
      </c>
      <c r="E130" s="27" t="n">
        <v>880</v>
      </c>
      <c r="F130" s="27" t="n">
        <v>88</v>
      </c>
      <c r="G130" s="28" t="n">
        <v>0.1</v>
      </c>
      <c r="H130" s="29" t="n">
        <v>1.11901840490798</v>
      </c>
      <c r="I130" s="27" t="n">
        <v>1</v>
      </c>
      <c r="J130" s="27" t="n">
        <v>4</v>
      </c>
      <c r="K130" s="28" t="n">
        <v>0.25</v>
      </c>
      <c r="L130" s="30" t="n">
        <v>5.05</v>
      </c>
      <c r="M130" s="28" t="n">
        <v>0.147351292713795</v>
      </c>
      <c r="N130" s="29" t="n">
        <v>15.28</v>
      </c>
      <c r="O130" s="28" t="n">
        <v>0.0348258706467661</v>
      </c>
      <c r="P130" s="27" t="n">
        <v>818</v>
      </c>
      <c r="Q130" s="28" t="n">
        <v>0.46689497716895</v>
      </c>
      <c r="R130" s="31" t="n">
        <v>0.440652542662683</v>
      </c>
    </row>
    <row r="131" customFormat="false" ht="15" hidden="false" customHeight="false" outlineLevel="0" collapsed="false">
      <c r="A131" s="25" t="n">
        <v>4108551</v>
      </c>
      <c r="B131" s="26" t="s">
        <v>196</v>
      </c>
      <c r="C131" s="26" t="s">
        <v>71</v>
      </c>
      <c r="D131" s="27" t="n">
        <v>2977</v>
      </c>
      <c r="E131" s="27" t="n">
        <v>139</v>
      </c>
      <c r="F131" s="27" t="n">
        <v>48</v>
      </c>
      <c r="G131" s="28" t="n">
        <v>0.345323741007194</v>
      </c>
      <c r="H131" s="29" t="n">
        <v>1.07588075880759</v>
      </c>
      <c r="I131" s="27" t="n">
        <v>1</v>
      </c>
      <c r="J131" s="27" t="n">
        <v>2</v>
      </c>
      <c r="K131" s="28" t="n">
        <v>0.5</v>
      </c>
      <c r="L131" s="30" t="n">
        <v>0</v>
      </c>
      <c r="M131" s="28" t="n">
        <v>0.123950285522338</v>
      </c>
      <c r="N131" s="29" t="n">
        <v>10.75</v>
      </c>
      <c r="O131" s="28" t="n">
        <v>0.0149253731343283</v>
      </c>
      <c r="P131" s="27" t="n">
        <v>104</v>
      </c>
      <c r="Q131" s="28" t="n">
        <v>0.342105263157895</v>
      </c>
      <c r="R131" s="31" t="n">
        <v>0.382597988995205</v>
      </c>
    </row>
    <row r="132" customFormat="false" ht="15" hidden="false" customHeight="false" outlineLevel="0" collapsed="false">
      <c r="A132" s="25" t="n">
        <v>4108601</v>
      </c>
      <c r="B132" s="26" t="s">
        <v>197</v>
      </c>
      <c r="C132" s="26" t="s">
        <v>86</v>
      </c>
      <c r="D132" s="27" t="n">
        <v>28437</v>
      </c>
      <c r="E132" s="27" t="n">
        <v>1670</v>
      </c>
      <c r="F132" s="27" t="n">
        <v>632</v>
      </c>
      <c r="G132" s="28" t="n">
        <v>0.378443113772455</v>
      </c>
      <c r="H132" s="29" t="n">
        <v>1.11829474872953</v>
      </c>
      <c r="I132" s="27" t="n">
        <v>6</v>
      </c>
      <c r="J132" s="27" t="n">
        <v>13</v>
      </c>
      <c r="K132" s="28" t="n">
        <v>0.461538461538462</v>
      </c>
      <c r="L132" s="30" t="n">
        <v>8.98</v>
      </c>
      <c r="M132" s="28" t="n">
        <v>0.124556036150086</v>
      </c>
      <c r="N132" s="29" t="n">
        <v>10.48</v>
      </c>
      <c r="O132" s="28" t="n">
        <v>0.0175438596491228</v>
      </c>
      <c r="P132" s="27" t="n">
        <v>972</v>
      </c>
      <c r="Q132" s="28" t="n">
        <v>0.275666477595009</v>
      </c>
      <c r="R132" s="31" t="n">
        <v>0.476109692000496</v>
      </c>
    </row>
    <row r="133" customFormat="false" ht="15" hidden="false" customHeight="false" outlineLevel="0" collapsed="false">
      <c r="A133" s="25" t="n">
        <v>4108650</v>
      </c>
      <c r="B133" s="26" t="s">
        <v>198</v>
      </c>
      <c r="C133" s="26" t="s">
        <v>65</v>
      </c>
      <c r="D133" s="27" t="n">
        <v>6566</v>
      </c>
      <c r="E133" s="27" t="n">
        <v>478</v>
      </c>
      <c r="F133" s="27" t="n">
        <v>113</v>
      </c>
      <c r="G133" s="28" t="n">
        <v>0.236401673640167</v>
      </c>
      <c r="H133" s="29" t="n">
        <v>1.06944444444444</v>
      </c>
      <c r="I133" s="27" t="n">
        <v>1</v>
      </c>
      <c r="J133" s="27" t="n">
        <v>2</v>
      </c>
      <c r="K133" s="28" t="n">
        <v>0.5</v>
      </c>
      <c r="L133" s="30" t="n">
        <v>18.52</v>
      </c>
      <c r="M133" s="28" t="n">
        <v>0.142552543405422</v>
      </c>
      <c r="N133" s="29" t="n">
        <v>15.53</v>
      </c>
      <c r="O133" s="28" t="n">
        <v>0.0185185185185185</v>
      </c>
      <c r="P133" s="27" t="n">
        <v>446</v>
      </c>
      <c r="Q133" s="28" t="n">
        <v>0.471458773784355</v>
      </c>
      <c r="R133" s="31" t="n">
        <v>0.404061254213576</v>
      </c>
    </row>
    <row r="134" customFormat="false" ht="15" hidden="false" customHeight="false" outlineLevel="0" collapsed="false">
      <c r="A134" s="25" t="n">
        <v>4108700</v>
      </c>
      <c r="B134" s="26" t="s">
        <v>199</v>
      </c>
      <c r="C134" s="26" t="s">
        <v>65</v>
      </c>
      <c r="D134" s="27" t="n">
        <v>5641</v>
      </c>
      <c r="E134" s="27" t="n">
        <v>369</v>
      </c>
      <c r="F134" s="27" t="n">
        <v>151</v>
      </c>
      <c r="G134" s="28" t="n">
        <v>0.409214092140921</v>
      </c>
      <c r="H134" s="29" t="n">
        <v>1.20827389443652</v>
      </c>
      <c r="I134" s="27" t="n">
        <v>0</v>
      </c>
      <c r="J134" s="27" t="n">
        <v>2</v>
      </c>
      <c r="K134" s="28" t="n">
        <v>0</v>
      </c>
      <c r="L134" s="30" t="n">
        <v>23.81</v>
      </c>
      <c r="M134" s="28" t="n">
        <v>0.124268746676121</v>
      </c>
      <c r="N134" s="29" t="n">
        <v>13.3</v>
      </c>
      <c r="O134" s="28" t="n">
        <v>0.0263157894736842</v>
      </c>
      <c r="P134" s="27" t="n">
        <v>328</v>
      </c>
      <c r="Q134" s="28" t="n">
        <v>0.448700410396717</v>
      </c>
      <c r="R134" s="31" t="n">
        <v>0.359643625163437</v>
      </c>
    </row>
    <row r="135" customFormat="false" ht="15" hidden="false" customHeight="false" outlineLevel="0" collapsed="false">
      <c r="A135" s="25" t="n">
        <v>4108908</v>
      </c>
      <c r="B135" s="26" t="s">
        <v>200</v>
      </c>
      <c r="C135" s="26" t="s">
        <v>65</v>
      </c>
      <c r="D135" s="27" t="n">
        <v>6587</v>
      </c>
      <c r="E135" s="27" t="n">
        <v>468</v>
      </c>
      <c r="F135" s="27" t="n">
        <v>125</v>
      </c>
      <c r="G135" s="28" t="n">
        <v>0.267094017094017</v>
      </c>
      <c r="H135" s="29" t="n">
        <v>1.15202702702703</v>
      </c>
      <c r="I135" s="27" t="n">
        <v>1</v>
      </c>
      <c r="J135" s="27" t="n">
        <v>2</v>
      </c>
      <c r="K135" s="28" t="n">
        <v>0.5</v>
      </c>
      <c r="L135" s="30" t="n">
        <v>38.46</v>
      </c>
      <c r="M135" s="28" t="n">
        <v>0.134810991346592</v>
      </c>
      <c r="N135" s="29" t="n">
        <v>15.03</v>
      </c>
      <c r="O135" s="28" t="n">
        <v>0.0255102040816326</v>
      </c>
      <c r="P135" s="27" t="n">
        <v>233</v>
      </c>
      <c r="Q135" s="28" t="n">
        <v>0.257174392935982</v>
      </c>
      <c r="R135" s="31" t="n">
        <v>0.452539066487684</v>
      </c>
    </row>
    <row r="136" customFormat="false" ht="15" hidden="false" customHeight="false" outlineLevel="0" collapsed="false">
      <c r="A136" s="25" t="n">
        <v>4108809</v>
      </c>
      <c r="B136" s="26" t="s">
        <v>201</v>
      </c>
      <c r="C136" s="26" t="s">
        <v>86</v>
      </c>
      <c r="D136" s="27" t="n">
        <v>32097</v>
      </c>
      <c r="E136" s="27" t="n">
        <v>2246</v>
      </c>
      <c r="F136" s="27" t="n">
        <v>720</v>
      </c>
      <c r="G136" s="28" t="n">
        <v>0.320569902048086</v>
      </c>
      <c r="H136" s="29" t="n">
        <v>1.09845349597038</v>
      </c>
      <c r="I136" s="27" t="n">
        <v>3</v>
      </c>
      <c r="J136" s="27" t="n">
        <v>14</v>
      </c>
      <c r="K136" s="28" t="n">
        <v>0.214285714285714</v>
      </c>
      <c r="L136" s="30" t="n">
        <v>4.45</v>
      </c>
      <c r="M136" s="28" t="n">
        <v>0.143035174626912</v>
      </c>
      <c r="N136" s="29" t="n">
        <v>13.77</v>
      </c>
      <c r="O136" s="28" t="n">
        <v>0.0309734513274336</v>
      </c>
      <c r="P136" s="27" t="n">
        <v>772</v>
      </c>
      <c r="Q136" s="28" t="n">
        <v>0.170194003527337</v>
      </c>
      <c r="R136" s="31" t="n">
        <v>0.462481922247842</v>
      </c>
    </row>
    <row r="137" customFormat="false" ht="15" hidden="false" customHeight="false" outlineLevel="0" collapsed="false">
      <c r="A137" s="25" t="n">
        <v>4108957</v>
      </c>
      <c r="B137" s="26" t="s">
        <v>202</v>
      </c>
      <c r="C137" s="26" t="s">
        <v>65</v>
      </c>
      <c r="D137" s="27" t="n">
        <v>7856</v>
      </c>
      <c r="E137" s="27" t="n">
        <v>498</v>
      </c>
      <c r="F137" s="27" t="n">
        <v>33</v>
      </c>
      <c r="G137" s="28" t="n">
        <v>0.0662650602409638</v>
      </c>
      <c r="H137" s="29" t="n">
        <v>1.07664233576642</v>
      </c>
      <c r="I137" s="27" t="n">
        <v>1</v>
      </c>
      <c r="J137" s="27" t="n">
        <v>3</v>
      </c>
      <c r="K137" s="28" t="n">
        <v>0.333333333333333</v>
      </c>
      <c r="L137" s="30" t="n">
        <v>28.17</v>
      </c>
      <c r="M137" s="28" t="n">
        <v>0.139511201629328</v>
      </c>
      <c r="N137" s="29" t="n">
        <v>12.98</v>
      </c>
      <c r="O137" s="28" t="n">
        <v>0.0526315789473684</v>
      </c>
      <c r="P137" s="27" t="n">
        <v>276</v>
      </c>
      <c r="Q137" s="28" t="n">
        <v>0.264621284755513</v>
      </c>
      <c r="R137" s="31" t="n">
        <v>0.407419319802463</v>
      </c>
    </row>
    <row r="138" customFormat="false" ht="15" hidden="false" customHeight="false" outlineLevel="0" collapsed="false">
      <c r="A138" s="25" t="n">
        <v>4109005</v>
      </c>
      <c r="B138" s="26" t="s">
        <v>203</v>
      </c>
      <c r="C138" s="26" t="s">
        <v>71</v>
      </c>
      <c r="D138" s="27" t="n">
        <v>4626</v>
      </c>
      <c r="E138" s="27" t="n">
        <v>296</v>
      </c>
      <c r="F138" s="27" t="n">
        <v>125</v>
      </c>
      <c r="G138" s="28" t="n">
        <v>0.422297297297297</v>
      </c>
      <c r="H138" s="29" t="n">
        <v>1.07929515418502</v>
      </c>
      <c r="I138" s="27" t="n">
        <v>0</v>
      </c>
      <c r="J138" s="27" t="n">
        <v>1</v>
      </c>
      <c r="K138" s="28" t="n">
        <v>0</v>
      </c>
      <c r="L138" s="30" t="n">
        <v>0</v>
      </c>
      <c r="M138" s="28" t="n">
        <v>0.147211413748379</v>
      </c>
      <c r="N138" s="29" t="n">
        <v>15.35</v>
      </c>
      <c r="O138" s="28" t="n">
        <v>0</v>
      </c>
      <c r="P138" s="27" t="n">
        <v>133</v>
      </c>
      <c r="Q138" s="28" t="n">
        <v>0.206201550387597</v>
      </c>
      <c r="R138" s="31" t="n">
        <v>0.432120298017711</v>
      </c>
    </row>
    <row r="139" customFormat="false" ht="15" hidden="false" customHeight="false" outlineLevel="0" collapsed="false">
      <c r="A139" s="25" t="n">
        <v>4109104</v>
      </c>
      <c r="B139" s="26" t="s">
        <v>204</v>
      </c>
      <c r="C139" s="26" t="s">
        <v>71</v>
      </c>
      <c r="D139" s="27" t="n">
        <v>2191</v>
      </c>
      <c r="E139" s="27" t="n">
        <v>113</v>
      </c>
      <c r="F139" s="27" t="n">
        <v>73</v>
      </c>
      <c r="G139" s="28" t="n">
        <v>0.646017699115044</v>
      </c>
      <c r="H139" s="29" t="n">
        <v>1.03846153846154</v>
      </c>
      <c r="I139" s="27" t="n">
        <v>0</v>
      </c>
      <c r="J139" s="27" t="n">
        <v>1</v>
      </c>
      <c r="K139" s="28" t="n">
        <v>0</v>
      </c>
      <c r="L139" s="30" t="n">
        <v>55.56</v>
      </c>
      <c r="M139" s="28" t="n">
        <v>0.118667275216796</v>
      </c>
      <c r="N139" s="29" t="n">
        <v>11.87</v>
      </c>
      <c r="O139" s="28" t="n">
        <v>0.0666666666666666</v>
      </c>
      <c r="P139" s="27" t="n">
        <v>49</v>
      </c>
      <c r="Q139" s="28" t="n">
        <v>0.200819672131148</v>
      </c>
      <c r="R139" s="31" t="n">
        <v>0.410181320857485</v>
      </c>
    </row>
    <row r="140" customFormat="false" ht="15" hidden="false" customHeight="false" outlineLevel="0" collapsed="false">
      <c r="A140" s="25" t="n">
        <v>4109203</v>
      </c>
      <c r="B140" s="26" t="s">
        <v>205</v>
      </c>
      <c r="C140" s="26" t="s">
        <v>71</v>
      </c>
      <c r="D140" s="27" t="n">
        <v>4748</v>
      </c>
      <c r="E140" s="27" t="n">
        <v>273</v>
      </c>
      <c r="F140" s="27" t="n">
        <v>100</v>
      </c>
      <c r="G140" s="28" t="n">
        <v>0.366300366300366</v>
      </c>
      <c r="H140" s="29" t="n">
        <v>1.19542253521127</v>
      </c>
      <c r="I140" s="27" t="n">
        <v>0</v>
      </c>
      <c r="J140" s="27" t="n">
        <v>2</v>
      </c>
      <c r="K140" s="28" t="n">
        <v>0</v>
      </c>
      <c r="L140" s="30" t="n">
        <v>0</v>
      </c>
      <c r="M140" s="28" t="n">
        <v>0.119629317607414</v>
      </c>
      <c r="N140" s="29" t="n">
        <v>11.58</v>
      </c>
      <c r="O140" s="28" t="n">
        <v>0</v>
      </c>
      <c r="P140" s="27" t="n">
        <v>129</v>
      </c>
      <c r="Q140" s="28" t="n">
        <v>0.230357142857143</v>
      </c>
      <c r="R140" s="31" t="n">
        <v>0.318707206608658</v>
      </c>
    </row>
    <row r="141" customFormat="false" ht="15" hidden="false" customHeight="false" outlineLevel="0" collapsed="false">
      <c r="A141" s="25" t="n">
        <v>4109302</v>
      </c>
      <c r="B141" s="26" t="s">
        <v>206</v>
      </c>
      <c r="C141" s="26" t="s">
        <v>65</v>
      </c>
      <c r="D141" s="27" t="n">
        <v>13735</v>
      </c>
      <c r="E141" s="27" t="n">
        <v>903</v>
      </c>
      <c r="F141" s="27" t="n">
        <v>268</v>
      </c>
      <c r="G141" s="28" t="n">
        <v>0.296788482834995</v>
      </c>
      <c r="H141" s="29" t="n">
        <v>1.08401400233372</v>
      </c>
      <c r="I141" s="27" t="n">
        <v>1</v>
      </c>
      <c r="J141" s="27" t="n">
        <v>7</v>
      </c>
      <c r="K141" s="28" t="n">
        <v>0.142857142857143</v>
      </c>
      <c r="L141" s="30" t="n">
        <v>5.24</v>
      </c>
      <c r="M141" s="28" t="n">
        <v>0.124790680742628</v>
      </c>
      <c r="N141" s="29" t="n">
        <v>12.09</v>
      </c>
      <c r="O141" s="28" t="n">
        <v>0.0198019801980198</v>
      </c>
      <c r="P141" s="27" t="n">
        <v>300</v>
      </c>
      <c r="Q141" s="28" t="n">
        <v>0.165745856353591</v>
      </c>
      <c r="R141" s="31" t="n">
        <v>0.477251461059705</v>
      </c>
    </row>
    <row r="142" customFormat="false" ht="15" hidden="false" customHeight="false" outlineLevel="0" collapsed="false">
      <c r="A142" s="25" t="n">
        <v>4109401</v>
      </c>
      <c r="B142" s="26" t="s">
        <v>207</v>
      </c>
      <c r="C142" s="26" t="s">
        <v>69</v>
      </c>
      <c r="D142" s="27" t="n">
        <v>182093</v>
      </c>
      <c r="E142" s="27" t="n">
        <v>12791</v>
      </c>
      <c r="F142" s="27" t="n">
        <v>2947</v>
      </c>
      <c r="G142" s="28" t="n">
        <v>0.230396372449378</v>
      </c>
      <c r="H142" s="29" t="n">
        <v>1.14244345307975</v>
      </c>
      <c r="I142" s="27" t="n">
        <v>22</v>
      </c>
      <c r="J142" s="27" t="n">
        <v>48</v>
      </c>
      <c r="K142" s="28" t="n">
        <v>0.458333333333333</v>
      </c>
      <c r="L142" s="30" t="n">
        <v>9.89</v>
      </c>
      <c r="M142" s="28" t="n">
        <v>0.140334883823101</v>
      </c>
      <c r="N142" s="29" t="n">
        <v>14.27</v>
      </c>
      <c r="O142" s="28" t="n">
        <v>0.0644599303135888</v>
      </c>
      <c r="P142" s="27" t="n">
        <v>6158</v>
      </c>
      <c r="Q142" s="28" t="n">
        <v>0.237055857104362</v>
      </c>
      <c r="R142" s="31" t="n">
        <v>0.632105808957352</v>
      </c>
    </row>
    <row r="143" customFormat="false" ht="15" hidden="false" customHeight="false" outlineLevel="0" collapsed="false">
      <c r="A143" s="25" t="n">
        <v>4109500</v>
      </c>
      <c r="B143" s="26" t="s">
        <v>208</v>
      </c>
      <c r="C143" s="26" t="s">
        <v>65</v>
      </c>
      <c r="D143" s="27" t="n">
        <v>7430</v>
      </c>
      <c r="E143" s="27" t="n">
        <v>538</v>
      </c>
      <c r="F143" s="27" t="n">
        <v>89</v>
      </c>
      <c r="G143" s="28" t="n">
        <v>0.16542750929368</v>
      </c>
      <c r="H143" s="29" t="n">
        <v>1.16837209302326</v>
      </c>
      <c r="I143" s="27" t="n">
        <v>0</v>
      </c>
      <c r="J143" s="27" t="n">
        <v>1</v>
      </c>
      <c r="K143" s="28" t="n">
        <v>0</v>
      </c>
      <c r="L143" s="30" t="n">
        <v>0</v>
      </c>
      <c r="M143" s="28" t="n">
        <v>0.144683714670256</v>
      </c>
      <c r="N143" s="29" t="n">
        <v>13.19</v>
      </c>
      <c r="O143" s="28" t="n">
        <v>0.0144927536231884</v>
      </c>
      <c r="P143" s="27" t="n">
        <v>630</v>
      </c>
      <c r="Q143" s="28" t="n">
        <v>0.611650485436893</v>
      </c>
      <c r="R143" s="31" t="n">
        <v>0.336767853363384</v>
      </c>
    </row>
    <row r="144" customFormat="false" ht="15" hidden="false" customHeight="false" outlineLevel="0" collapsed="false">
      <c r="A144" s="25" t="n">
        <v>4109609</v>
      </c>
      <c r="B144" s="26" t="s">
        <v>209</v>
      </c>
      <c r="C144" s="26" t="s">
        <v>86</v>
      </c>
      <c r="D144" s="27" t="n">
        <v>42062</v>
      </c>
      <c r="E144" s="27" t="n">
        <v>2591</v>
      </c>
      <c r="F144" s="27" t="n">
        <v>1246</v>
      </c>
      <c r="G144" s="28" t="n">
        <v>0.480895407178696</v>
      </c>
      <c r="H144" s="29" t="n">
        <v>1.18931174089069</v>
      </c>
      <c r="I144" s="27" t="n">
        <v>6</v>
      </c>
      <c r="J144" s="27" t="n">
        <v>13</v>
      </c>
      <c r="K144" s="28" t="n">
        <v>0.461538461538462</v>
      </c>
      <c r="L144" s="30" t="n">
        <v>11.17</v>
      </c>
      <c r="M144" s="28" t="n">
        <v>0.146807094289382</v>
      </c>
      <c r="N144" s="29" t="n">
        <v>12.22</v>
      </c>
      <c r="O144" s="28" t="n">
        <v>0.030716723549488</v>
      </c>
      <c r="P144" s="27" t="n">
        <v>1799</v>
      </c>
      <c r="Q144" s="28" t="n">
        <v>0.313852058618283</v>
      </c>
      <c r="R144" s="31" t="n">
        <v>0.4772245005849</v>
      </c>
    </row>
    <row r="145" customFormat="false" ht="15" hidden="false" customHeight="false" outlineLevel="0" collapsed="false">
      <c r="A145" s="25" t="n">
        <v>4109658</v>
      </c>
      <c r="B145" s="26" t="s">
        <v>210</v>
      </c>
      <c r="C145" s="26" t="s">
        <v>71</v>
      </c>
      <c r="D145" s="27" t="n">
        <v>4941</v>
      </c>
      <c r="E145" s="27" t="n">
        <v>349</v>
      </c>
      <c r="F145" s="27" t="n">
        <v>82</v>
      </c>
      <c r="G145" s="28" t="n">
        <v>0.234957020057307</v>
      </c>
      <c r="H145" s="29" t="n">
        <v>1.1271676300578</v>
      </c>
      <c r="I145" s="27" t="n">
        <v>0</v>
      </c>
      <c r="J145" s="27" t="n">
        <v>1</v>
      </c>
      <c r="K145" s="28" t="n">
        <v>0</v>
      </c>
      <c r="L145" s="30" t="n">
        <v>13.7</v>
      </c>
      <c r="M145" s="28" t="n">
        <v>0.140052620926938</v>
      </c>
      <c r="N145" s="29" t="n">
        <v>12.75</v>
      </c>
      <c r="O145" s="28" t="n">
        <v>0.037037037037037</v>
      </c>
      <c r="P145" s="27" t="n">
        <v>235</v>
      </c>
      <c r="Q145" s="28" t="n">
        <v>0.323691460055096</v>
      </c>
      <c r="R145" s="31" t="n">
        <v>0.483997682073088</v>
      </c>
    </row>
    <row r="146" customFormat="false" ht="15" hidden="false" customHeight="false" outlineLevel="0" collapsed="false">
      <c r="A146" s="25" t="n">
        <v>4109708</v>
      </c>
      <c r="B146" s="26" t="s">
        <v>211</v>
      </c>
      <c r="C146" s="26" t="s">
        <v>86</v>
      </c>
      <c r="D146" s="27" t="n">
        <v>28830</v>
      </c>
      <c r="E146" s="27" t="n">
        <v>1870</v>
      </c>
      <c r="F146" s="27" t="n">
        <v>645</v>
      </c>
      <c r="G146" s="28" t="n">
        <v>0.344919786096257</v>
      </c>
      <c r="H146" s="29" t="n">
        <v>1.14144385026738</v>
      </c>
      <c r="I146" s="27" t="n">
        <v>3</v>
      </c>
      <c r="J146" s="27" t="n">
        <v>11</v>
      </c>
      <c r="K146" s="28" t="n">
        <v>0.272727272727273</v>
      </c>
      <c r="L146" s="30" t="n">
        <v>8.33</v>
      </c>
      <c r="M146" s="28" t="n">
        <v>0.129725979882067</v>
      </c>
      <c r="N146" s="29" t="n">
        <v>12.7</v>
      </c>
      <c r="O146" s="28" t="n">
        <v>0.0284463894967177</v>
      </c>
      <c r="P146" s="27" t="n">
        <v>694</v>
      </c>
      <c r="Q146" s="28" t="n">
        <v>0.188331071913161</v>
      </c>
      <c r="R146" s="31" t="n">
        <v>0.449540253935259</v>
      </c>
    </row>
    <row r="147" customFormat="false" ht="15" hidden="false" customHeight="false" outlineLevel="0" collapsed="false">
      <c r="A147" s="25" t="n">
        <v>4109757</v>
      </c>
      <c r="B147" s="26" t="s">
        <v>212</v>
      </c>
      <c r="C147" s="26" t="s">
        <v>65</v>
      </c>
      <c r="D147" s="27" t="n">
        <v>6218</v>
      </c>
      <c r="E147" s="27" t="n">
        <v>438</v>
      </c>
      <c r="F147" s="27" t="n">
        <v>164</v>
      </c>
      <c r="G147" s="28" t="n">
        <v>0.374429223744292</v>
      </c>
      <c r="H147" s="29" t="n">
        <v>1.28896473265074</v>
      </c>
      <c r="I147" s="27" t="n">
        <v>1</v>
      </c>
      <c r="J147" s="27" t="n">
        <v>3</v>
      </c>
      <c r="K147" s="28" t="n">
        <v>0.333333333333333</v>
      </c>
      <c r="L147" s="30" t="n">
        <v>0</v>
      </c>
      <c r="M147" s="28" t="n">
        <v>0.141363782566742</v>
      </c>
      <c r="N147" s="29" t="n">
        <v>13.35</v>
      </c>
      <c r="O147" s="28" t="n">
        <v>0.0769230769230769</v>
      </c>
      <c r="P147" s="27" t="n">
        <v>312</v>
      </c>
      <c r="Q147" s="28" t="n">
        <v>0.343234323432343</v>
      </c>
      <c r="R147" s="31" t="n">
        <v>0.431307311407172</v>
      </c>
    </row>
    <row r="148" customFormat="false" ht="15" hidden="false" customHeight="false" outlineLevel="0" collapsed="false">
      <c r="A148" s="25" t="n">
        <v>4109807</v>
      </c>
      <c r="B148" s="26" t="s">
        <v>213</v>
      </c>
      <c r="C148" s="26" t="s">
        <v>86</v>
      </c>
      <c r="D148" s="27" t="n">
        <v>51603</v>
      </c>
      <c r="E148" s="27" t="n">
        <v>2954</v>
      </c>
      <c r="F148" s="27" t="n">
        <v>1203</v>
      </c>
      <c r="G148" s="28" t="n">
        <v>0.407244414353419</v>
      </c>
      <c r="H148" s="29" t="n">
        <v>1.18270918665887</v>
      </c>
      <c r="I148" s="27" t="n">
        <v>7</v>
      </c>
      <c r="J148" s="27" t="n">
        <v>25</v>
      </c>
      <c r="K148" s="28" t="n">
        <v>0.28</v>
      </c>
      <c r="L148" s="30" t="n">
        <v>19.23</v>
      </c>
      <c r="M148" s="28" t="n">
        <v>0.132472918241188</v>
      </c>
      <c r="N148" s="29" t="n">
        <v>12.13</v>
      </c>
      <c r="O148" s="28" t="n">
        <v>0.0476190476190476</v>
      </c>
      <c r="P148" s="27" t="n">
        <v>1507</v>
      </c>
      <c r="Q148" s="28" t="n">
        <v>0.235174781523096</v>
      </c>
      <c r="R148" s="31" t="n">
        <v>0.547648513900719</v>
      </c>
    </row>
    <row r="149" customFormat="false" ht="15" hidden="false" customHeight="false" outlineLevel="0" collapsed="false">
      <c r="A149" s="25" t="n">
        <v>4109906</v>
      </c>
      <c r="B149" s="26" t="s">
        <v>214</v>
      </c>
      <c r="C149" s="26" t="s">
        <v>65</v>
      </c>
      <c r="D149" s="27" t="n">
        <v>8991</v>
      </c>
      <c r="E149" s="27" t="n">
        <v>585</v>
      </c>
      <c r="F149" s="27" t="n">
        <v>165</v>
      </c>
      <c r="G149" s="28" t="n">
        <v>0.282051282051282</v>
      </c>
      <c r="H149" s="29" t="n">
        <v>1.22740247383444</v>
      </c>
      <c r="I149" s="27" t="n">
        <v>1</v>
      </c>
      <c r="J149" s="27" t="n">
        <v>3</v>
      </c>
      <c r="K149" s="28" t="n">
        <v>0.333333333333333</v>
      </c>
      <c r="L149" s="30" t="n">
        <v>28.04</v>
      </c>
      <c r="M149" s="28" t="n">
        <v>0.116894672450228</v>
      </c>
      <c r="N149" s="29" t="n">
        <v>14.57</v>
      </c>
      <c r="O149" s="28" t="n">
        <v>0.0196078431372549</v>
      </c>
      <c r="P149" s="27" t="n">
        <v>363</v>
      </c>
      <c r="Q149" s="28" t="n">
        <v>0.323241317898486</v>
      </c>
      <c r="R149" s="31" t="n">
        <v>0.406441782579361</v>
      </c>
    </row>
    <row r="150" customFormat="false" ht="15" hidden="false" customHeight="false" outlineLevel="0" collapsed="false">
      <c r="A150" s="25" t="n">
        <v>4110003</v>
      </c>
      <c r="B150" s="26" t="s">
        <v>215</v>
      </c>
      <c r="C150" s="26" t="s">
        <v>65</v>
      </c>
      <c r="D150" s="27" t="n">
        <v>5338</v>
      </c>
      <c r="E150" s="27" t="n">
        <v>341</v>
      </c>
      <c r="F150" s="27" t="n">
        <v>188</v>
      </c>
      <c r="G150" s="28" t="n">
        <v>0.551319648093842</v>
      </c>
      <c r="H150" s="29" t="n">
        <v>1.08528198074278</v>
      </c>
      <c r="I150" s="27" t="n">
        <v>0</v>
      </c>
      <c r="J150" s="27" t="n">
        <v>1</v>
      </c>
      <c r="K150" s="28" t="n">
        <v>0</v>
      </c>
      <c r="L150" s="30" t="n">
        <v>0</v>
      </c>
      <c r="M150" s="28" t="n">
        <v>0.136193330835519</v>
      </c>
      <c r="N150" s="29" t="n">
        <v>8.06</v>
      </c>
      <c r="O150" s="28" t="n">
        <v>0</v>
      </c>
      <c r="P150" s="27" t="n">
        <v>146</v>
      </c>
      <c r="Q150" s="28" t="n">
        <v>0.198639455782313</v>
      </c>
      <c r="R150" s="31" t="n">
        <v>0.574392432840311</v>
      </c>
    </row>
    <row r="151" customFormat="false" ht="15" hidden="false" customHeight="false" outlineLevel="0" collapsed="false">
      <c r="A151" s="25" t="n">
        <v>4110052</v>
      </c>
      <c r="B151" s="26" t="s">
        <v>216</v>
      </c>
      <c r="C151" s="26" t="s">
        <v>71</v>
      </c>
      <c r="D151" s="27" t="n">
        <v>2144</v>
      </c>
      <c r="E151" s="27" t="n">
        <v>104</v>
      </c>
      <c r="F151" s="27" t="n">
        <v>65</v>
      </c>
      <c r="G151" s="28" t="n">
        <v>0.625</v>
      </c>
      <c r="H151" s="29" t="n">
        <v>1.06584362139918</v>
      </c>
      <c r="I151" s="27" t="n">
        <v>0</v>
      </c>
      <c r="J151" s="27" t="n">
        <v>1</v>
      </c>
      <c r="K151" s="28" t="n">
        <v>0</v>
      </c>
      <c r="L151" s="30" t="n">
        <v>0</v>
      </c>
      <c r="M151" s="28" t="n">
        <v>0.113339552238806</v>
      </c>
      <c r="N151" s="29" t="n">
        <v>7.93</v>
      </c>
      <c r="O151" s="28" t="n">
        <v>0</v>
      </c>
      <c r="P151" s="27" t="n">
        <v>44</v>
      </c>
      <c r="Q151" s="28" t="n">
        <v>0.2</v>
      </c>
      <c r="R151" s="31" t="n">
        <v>0.417576582651086</v>
      </c>
    </row>
    <row r="152" customFormat="false" ht="15" hidden="false" customHeight="false" outlineLevel="0" collapsed="false">
      <c r="A152" s="25" t="n">
        <v>4110078</v>
      </c>
      <c r="B152" s="26" t="s">
        <v>217</v>
      </c>
      <c r="C152" s="26" t="s">
        <v>65</v>
      </c>
      <c r="D152" s="27" t="n">
        <v>14249</v>
      </c>
      <c r="E152" s="27" t="n">
        <v>1144</v>
      </c>
      <c r="F152" s="27" t="n">
        <v>160</v>
      </c>
      <c r="G152" s="28" t="n">
        <v>0.13986013986014</v>
      </c>
      <c r="H152" s="29" t="n">
        <v>0.912082745651152</v>
      </c>
      <c r="I152" s="27" t="n">
        <v>1</v>
      </c>
      <c r="J152" s="27" t="n">
        <v>4</v>
      </c>
      <c r="K152" s="28" t="n">
        <v>0.25</v>
      </c>
      <c r="L152" s="30" t="n">
        <v>6.13</v>
      </c>
      <c r="M152" s="28" t="n">
        <v>0.14927363323742</v>
      </c>
      <c r="N152" s="29" t="n">
        <v>13.4</v>
      </c>
      <c r="O152" s="28" t="n">
        <v>0.0428571428571428</v>
      </c>
      <c r="P152" s="27" t="n">
        <v>542</v>
      </c>
      <c r="Q152" s="28" t="n">
        <v>0.230148619957537</v>
      </c>
      <c r="R152" s="31" t="n">
        <v>0.416895588323205</v>
      </c>
    </row>
    <row r="153" customFormat="false" ht="15" hidden="false" customHeight="false" outlineLevel="0" collapsed="false">
      <c r="A153" s="25" t="n">
        <v>4110102</v>
      </c>
      <c r="B153" s="26" t="s">
        <v>218</v>
      </c>
      <c r="C153" s="26" t="s">
        <v>86</v>
      </c>
      <c r="D153" s="27" t="n">
        <v>29924</v>
      </c>
      <c r="E153" s="27" t="n">
        <v>2192</v>
      </c>
      <c r="F153" s="27" t="n">
        <v>528</v>
      </c>
      <c r="G153" s="28" t="n">
        <v>0.240875912408759</v>
      </c>
      <c r="H153" s="29" t="n">
        <v>1.16370023419204</v>
      </c>
      <c r="I153" s="27" t="n">
        <v>2</v>
      </c>
      <c r="J153" s="27" t="n">
        <v>8</v>
      </c>
      <c r="K153" s="28" t="n">
        <v>0.25</v>
      </c>
      <c r="L153" s="30" t="n">
        <v>9.03</v>
      </c>
      <c r="M153" s="28" t="n">
        <v>0.1426948268948</v>
      </c>
      <c r="N153" s="29" t="n">
        <v>15.17</v>
      </c>
      <c r="O153" s="28" t="n">
        <v>0.0386904761904761</v>
      </c>
      <c r="P153" s="27" t="n">
        <v>941</v>
      </c>
      <c r="Q153" s="28" t="n">
        <v>0.213766469786461</v>
      </c>
      <c r="R153" s="31" t="n">
        <v>0.498007595984684</v>
      </c>
    </row>
    <row r="154" customFormat="false" ht="15" hidden="false" customHeight="false" outlineLevel="0" collapsed="false">
      <c r="A154" s="25" t="n">
        <v>4110300</v>
      </c>
      <c r="B154" s="26" t="s">
        <v>219</v>
      </c>
      <c r="C154" s="26" t="s">
        <v>71</v>
      </c>
      <c r="D154" s="27" t="n">
        <v>2536</v>
      </c>
      <c r="E154" s="27" t="n">
        <v>146</v>
      </c>
      <c r="F154" s="27" t="n">
        <v>95</v>
      </c>
      <c r="G154" s="28" t="n">
        <v>0.650684931506849</v>
      </c>
      <c r="H154" s="29" t="n">
        <v>0.952095808383234</v>
      </c>
      <c r="I154" s="27" t="n">
        <v>0</v>
      </c>
      <c r="J154" s="27" t="n">
        <v>1</v>
      </c>
      <c r="K154" s="28" t="n">
        <v>0</v>
      </c>
      <c r="L154" s="30" t="n">
        <v>0</v>
      </c>
      <c r="M154" s="28" t="n">
        <v>0.131703470031546</v>
      </c>
      <c r="N154" s="29" t="n">
        <v>12.22</v>
      </c>
      <c r="O154" s="28" t="n">
        <v>0</v>
      </c>
      <c r="P154" s="27" t="n">
        <v>106</v>
      </c>
      <c r="Q154" s="28" t="n">
        <v>0.33974358974359</v>
      </c>
      <c r="R154" s="31" t="n">
        <v>0.366684950144138</v>
      </c>
    </row>
    <row r="155" customFormat="false" ht="15" hidden="false" customHeight="false" outlineLevel="0" collapsed="false">
      <c r="A155" s="25" t="n">
        <v>4110201</v>
      </c>
      <c r="B155" s="26" t="s">
        <v>220</v>
      </c>
      <c r="C155" s="26" t="s">
        <v>65</v>
      </c>
      <c r="D155" s="27" t="n">
        <v>9670</v>
      </c>
      <c r="E155" s="27" t="n">
        <v>681</v>
      </c>
      <c r="F155" s="27" t="n">
        <v>173</v>
      </c>
      <c r="G155" s="28" t="n">
        <v>0.254038179148311</v>
      </c>
      <c r="H155" s="29" t="n">
        <v>1.12975543478261</v>
      </c>
      <c r="I155" s="27" t="n">
        <v>0</v>
      </c>
      <c r="J155" s="27" t="n">
        <v>2</v>
      </c>
      <c r="K155" s="28" t="n">
        <v>0</v>
      </c>
      <c r="L155" s="30" t="n">
        <v>5.92</v>
      </c>
      <c r="M155" s="28" t="n">
        <v>0.152223371251293</v>
      </c>
      <c r="N155" s="29" t="n">
        <v>15.2</v>
      </c>
      <c r="O155" s="28" t="n">
        <v>0.0080645161290322</v>
      </c>
      <c r="P155" s="27" t="n">
        <v>649</v>
      </c>
      <c r="Q155" s="28" t="n">
        <v>0.454481792717087</v>
      </c>
      <c r="R155" s="31" t="n">
        <v>0.413763556257582</v>
      </c>
    </row>
    <row r="156" customFormat="false" ht="15" hidden="false" customHeight="false" outlineLevel="0" collapsed="false">
      <c r="A156" s="25" t="n">
        <v>4110409</v>
      </c>
      <c r="B156" s="26" t="s">
        <v>221</v>
      </c>
      <c r="C156" s="26" t="s">
        <v>71</v>
      </c>
      <c r="D156" s="27" t="n">
        <v>4448</v>
      </c>
      <c r="E156" s="27" t="n">
        <v>254</v>
      </c>
      <c r="F156" s="27" t="n">
        <v>159</v>
      </c>
      <c r="G156" s="28" t="n">
        <v>0.625984251968504</v>
      </c>
      <c r="H156" s="29" t="n">
        <v>1.18100358422939</v>
      </c>
      <c r="I156" s="27" t="n">
        <v>0</v>
      </c>
      <c r="J156" s="27" t="n">
        <v>1</v>
      </c>
      <c r="K156" s="28" t="n">
        <v>0</v>
      </c>
      <c r="L156" s="30" t="n">
        <v>0</v>
      </c>
      <c r="M156" s="28" t="n">
        <v>0.12544964028777</v>
      </c>
      <c r="N156" s="29" t="n">
        <v>10.34</v>
      </c>
      <c r="O156" s="28" t="n">
        <v>0.0238095238095238</v>
      </c>
      <c r="P156" s="27" t="n">
        <v>91</v>
      </c>
      <c r="Q156" s="28" t="n">
        <v>0.16636197440585</v>
      </c>
      <c r="R156" s="31" t="n">
        <v>0.509281995157404</v>
      </c>
    </row>
    <row r="157" customFormat="false" ht="15" hidden="false" customHeight="false" outlineLevel="0" collapsed="false">
      <c r="A157" s="25" t="n">
        <v>4110508</v>
      </c>
      <c r="B157" s="26" t="s">
        <v>222</v>
      </c>
      <c r="C157" s="26" t="s">
        <v>65</v>
      </c>
      <c r="D157" s="27" t="n">
        <v>14142</v>
      </c>
      <c r="E157" s="27" t="n">
        <v>1009</v>
      </c>
      <c r="F157" s="27" t="n">
        <v>122</v>
      </c>
      <c r="G157" s="28" t="n">
        <v>0.120911793855302</v>
      </c>
      <c r="H157" s="29" t="n">
        <v>1.14457228614307</v>
      </c>
      <c r="I157" s="27" t="n">
        <v>2</v>
      </c>
      <c r="J157" s="27" t="n">
        <v>4</v>
      </c>
      <c r="K157" s="28" t="n">
        <v>0.5</v>
      </c>
      <c r="L157" s="30" t="n">
        <v>14.35</v>
      </c>
      <c r="M157" s="28" t="n">
        <v>0.141352001131382</v>
      </c>
      <c r="N157" s="29" t="n">
        <v>12.8</v>
      </c>
      <c r="O157" s="28" t="n">
        <v>0.0198019801980198</v>
      </c>
      <c r="P157" s="27" t="n">
        <v>412</v>
      </c>
      <c r="Q157" s="28" t="n">
        <v>0.206619859578736</v>
      </c>
      <c r="R157" s="31" t="n">
        <v>0.427374091023048</v>
      </c>
    </row>
    <row r="158" customFormat="false" ht="15" hidden="false" customHeight="false" outlineLevel="0" collapsed="false">
      <c r="A158" s="25" t="n">
        <v>4110607</v>
      </c>
      <c r="B158" s="26" t="s">
        <v>223</v>
      </c>
      <c r="C158" s="26" t="s">
        <v>65</v>
      </c>
      <c r="D158" s="27" t="n">
        <v>15746</v>
      </c>
      <c r="E158" s="27" t="n">
        <v>1061</v>
      </c>
      <c r="F158" s="27" t="n">
        <v>359</v>
      </c>
      <c r="G158" s="28" t="n">
        <v>0.338360037700283</v>
      </c>
      <c r="H158" s="29" t="n">
        <v>1.11133810010215</v>
      </c>
      <c r="I158" s="27" t="n">
        <v>3</v>
      </c>
      <c r="J158" s="27" t="n">
        <v>9</v>
      </c>
      <c r="K158" s="28" t="n">
        <v>0.333333333333333</v>
      </c>
      <c r="L158" s="30" t="n">
        <v>9.48</v>
      </c>
      <c r="M158" s="28" t="n">
        <v>0.124349041026292</v>
      </c>
      <c r="N158" s="29" t="n">
        <v>10.48</v>
      </c>
      <c r="O158" s="28" t="n">
        <v>0</v>
      </c>
      <c r="P158" s="27" t="n">
        <v>441</v>
      </c>
      <c r="Q158" s="28" t="n">
        <v>0.212019230769231</v>
      </c>
      <c r="R158" s="31" t="n">
        <v>0.484037696060304</v>
      </c>
    </row>
    <row r="159" customFormat="false" ht="15" hidden="false" customHeight="false" outlineLevel="0" collapsed="false">
      <c r="A159" s="25" t="n">
        <v>4110656</v>
      </c>
      <c r="B159" s="26" t="s">
        <v>224</v>
      </c>
      <c r="C159" s="26" t="s">
        <v>71</v>
      </c>
      <c r="D159" s="27" t="n">
        <v>2343</v>
      </c>
      <c r="E159" s="27" t="n">
        <v>133</v>
      </c>
      <c r="F159" s="27" t="n">
        <v>62</v>
      </c>
      <c r="G159" s="28" t="n">
        <v>0.466165413533835</v>
      </c>
      <c r="H159" s="29" t="n">
        <v>1.0625</v>
      </c>
      <c r="I159" s="27" t="n">
        <v>0</v>
      </c>
      <c r="J159" s="27" t="n">
        <v>1</v>
      </c>
      <c r="K159" s="28" t="n">
        <v>0</v>
      </c>
      <c r="L159" s="30" t="n">
        <v>0</v>
      </c>
      <c r="M159" s="28" t="n">
        <v>0.116090482287665</v>
      </c>
      <c r="N159" s="29" t="n">
        <v>11.52</v>
      </c>
      <c r="O159" s="28" t="n">
        <v>0</v>
      </c>
      <c r="P159" s="27" t="n">
        <v>61</v>
      </c>
      <c r="Q159" s="28" t="n">
        <v>0.231060606060606</v>
      </c>
      <c r="R159" s="31" t="n">
        <v>0.428291952171737</v>
      </c>
    </row>
    <row r="160" customFormat="false" ht="15" hidden="false" customHeight="false" outlineLevel="0" collapsed="false">
      <c r="A160" s="25" t="n">
        <v>4110706</v>
      </c>
      <c r="B160" s="26" t="s">
        <v>225</v>
      </c>
      <c r="C160" s="26" t="s">
        <v>86</v>
      </c>
      <c r="D160" s="27" t="n">
        <v>59250</v>
      </c>
      <c r="E160" s="27" t="n">
        <v>3514</v>
      </c>
      <c r="F160" s="27" t="n">
        <v>969</v>
      </c>
      <c r="G160" s="28" t="n">
        <v>0.275754126351736</v>
      </c>
      <c r="H160" s="29" t="n">
        <v>1.09580291970803</v>
      </c>
      <c r="I160" s="27" t="n">
        <v>5</v>
      </c>
      <c r="J160" s="27" t="n">
        <v>20</v>
      </c>
      <c r="K160" s="28" t="n">
        <v>0.25</v>
      </c>
      <c r="L160" s="30" t="n">
        <v>5.36</v>
      </c>
      <c r="M160" s="28" t="n">
        <v>0.129485232067511</v>
      </c>
      <c r="N160" s="29" t="n">
        <v>12.93</v>
      </c>
      <c r="O160" s="28" t="n">
        <v>0.0368663594470046</v>
      </c>
      <c r="P160" s="27" t="n">
        <v>1796</v>
      </c>
      <c r="Q160" s="28" t="n">
        <v>0.244653316986787</v>
      </c>
      <c r="R160" s="31" t="n">
        <v>0.484228036928765</v>
      </c>
    </row>
    <row r="161" customFormat="false" ht="15" hidden="false" customHeight="false" outlineLevel="0" collapsed="false">
      <c r="A161" s="25" t="n">
        <v>4110805</v>
      </c>
      <c r="B161" s="26" t="s">
        <v>226</v>
      </c>
      <c r="C161" s="26" t="s">
        <v>65</v>
      </c>
      <c r="D161" s="27" t="n">
        <v>10684</v>
      </c>
      <c r="E161" s="27" t="n">
        <v>653</v>
      </c>
      <c r="F161" s="27" t="n">
        <v>243</v>
      </c>
      <c r="G161" s="28" t="n">
        <v>0.372128637059724</v>
      </c>
      <c r="H161" s="29" t="n">
        <v>1.12184571016583</v>
      </c>
      <c r="I161" s="27" t="n">
        <v>1</v>
      </c>
      <c r="J161" s="27" t="n">
        <v>5</v>
      </c>
      <c r="K161" s="28" t="n">
        <v>0.2</v>
      </c>
      <c r="L161" s="30" t="n">
        <v>23.26</v>
      </c>
      <c r="M161" s="28" t="n">
        <v>0.129820292025459</v>
      </c>
      <c r="N161" s="29" t="n">
        <v>11.51</v>
      </c>
      <c r="O161" s="28" t="n">
        <v>0.0229007633587786</v>
      </c>
      <c r="P161" s="27" t="n">
        <v>409</v>
      </c>
      <c r="Q161" s="28" t="n">
        <v>0.298976608187135</v>
      </c>
      <c r="R161" s="31" t="n">
        <v>0.448052814537788</v>
      </c>
    </row>
    <row r="162" customFormat="false" ht="15" hidden="false" customHeight="false" outlineLevel="0" collapsed="false">
      <c r="A162" s="25" t="n">
        <v>4110904</v>
      </c>
      <c r="B162" s="26" t="s">
        <v>227</v>
      </c>
      <c r="C162" s="26" t="s">
        <v>71</v>
      </c>
      <c r="D162" s="27" t="n">
        <v>4481</v>
      </c>
      <c r="E162" s="27" t="n">
        <v>290</v>
      </c>
      <c r="F162" s="27" t="n">
        <v>119</v>
      </c>
      <c r="G162" s="28" t="n">
        <v>0.410344827586207</v>
      </c>
      <c r="H162" s="29" t="n">
        <v>1.01582278481013</v>
      </c>
      <c r="I162" s="27" t="n">
        <v>1</v>
      </c>
      <c r="J162" s="27" t="n">
        <v>2</v>
      </c>
      <c r="K162" s="28" t="n">
        <v>0.5</v>
      </c>
      <c r="L162" s="30" t="n">
        <v>0</v>
      </c>
      <c r="M162" s="28" t="n">
        <v>0.141039946440527</v>
      </c>
      <c r="N162" s="29" t="n">
        <v>12.72</v>
      </c>
      <c r="O162" s="28" t="n">
        <v>0</v>
      </c>
      <c r="P162" s="27" t="n">
        <v>124</v>
      </c>
      <c r="Q162" s="28" t="n">
        <v>0.201298701298701</v>
      </c>
      <c r="R162" s="31" t="n">
        <v>0.391997114140786</v>
      </c>
    </row>
    <row r="163" customFormat="false" ht="15" hidden="false" customHeight="false" outlineLevel="0" collapsed="false">
      <c r="A163" s="25" t="n">
        <v>4110953</v>
      </c>
      <c r="B163" s="26" t="s">
        <v>228</v>
      </c>
      <c r="C163" s="26" t="s">
        <v>65</v>
      </c>
      <c r="D163" s="27" t="n">
        <v>11485</v>
      </c>
      <c r="E163" s="27" t="n">
        <v>820</v>
      </c>
      <c r="F163" s="27" t="n">
        <v>476</v>
      </c>
      <c r="G163" s="28" t="n">
        <v>0.580487804878049</v>
      </c>
      <c r="H163" s="29" t="n">
        <v>1.13983050847458</v>
      </c>
      <c r="I163" s="27" t="n">
        <v>0</v>
      </c>
      <c r="J163" s="27" t="n">
        <v>5</v>
      </c>
      <c r="K163" s="28" t="n">
        <v>0</v>
      </c>
      <c r="L163" s="30" t="n">
        <v>14.49</v>
      </c>
      <c r="M163" s="28" t="n">
        <v>0.143839791031781</v>
      </c>
      <c r="N163" s="29" t="n">
        <v>13.32</v>
      </c>
      <c r="O163" s="28" t="n">
        <v>0.0144927536231884</v>
      </c>
      <c r="P163" s="27" t="n">
        <v>235</v>
      </c>
      <c r="Q163" s="28" t="n">
        <v>0.141395908543923</v>
      </c>
      <c r="R163" s="31" t="n">
        <v>0.633639453603797</v>
      </c>
    </row>
    <row r="164" customFormat="false" ht="15" hidden="false" customHeight="false" outlineLevel="0" collapsed="false">
      <c r="A164" s="25" t="n">
        <v>4111001</v>
      </c>
      <c r="B164" s="26" t="s">
        <v>229</v>
      </c>
      <c r="C164" s="26" t="s">
        <v>65</v>
      </c>
      <c r="D164" s="27" t="n">
        <v>5908</v>
      </c>
      <c r="E164" s="27" t="n">
        <v>328</v>
      </c>
      <c r="F164" s="27" t="n">
        <v>152</v>
      </c>
      <c r="G164" s="28" t="n">
        <v>0.463414634146342</v>
      </c>
      <c r="H164" s="29" t="n">
        <v>0.967095851216023</v>
      </c>
      <c r="I164" s="27" t="n">
        <v>0</v>
      </c>
      <c r="J164" s="27" t="n">
        <v>1</v>
      </c>
      <c r="K164" s="28" t="n">
        <v>0</v>
      </c>
      <c r="L164" s="30" t="n">
        <v>0</v>
      </c>
      <c r="M164" s="28" t="n">
        <v>0.118314150304672</v>
      </c>
      <c r="N164" s="29" t="n">
        <v>9.82</v>
      </c>
      <c r="O164" s="28" t="n">
        <v>0</v>
      </c>
      <c r="P164" s="27" t="n">
        <v>227</v>
      </c>
      <c r="Q164" s="28" t="n">
        <v>0.342383107088989</v>
      </c>
      <c r="R164" s="31" t="n">
        <v>0.399170427612399</v>
      </c>
    </row>
    <row r="165" customFormat="false" ht="15" hidden="false" customHeight="false" outlineLevel="0" collapsed="false">
      <c r="A165" s="25" t="n">
        <v>4111100</v>
      </c>
      <c r="B165" s="26" t="s">
        <v>230</v>
      </c>
      <c r="C165" s="26" t="s">
        <v>65</v>
      </c>
      <c r="D165" s="27" t="n">
        <v>6111</v>
      </c>
      <c r="E165" s="27" t="n">
        <v>332</v>
      </c>
      <c r="F165" s="27" t="n">
        <v>186</v>
      </c>
      <c r="G165" s="28" t="n">
        <v>0.560240963855422</v>
      </c>
      <c r="H165" s="29" t="n">
        <v>1.14224137931035</v>
      </c>
      <c r="I165" s="27" t="n">
        <v>0</v>
      </c>
      <c r="J165" s="27" t="n">
        <v>2</v>
      </c>
      <c r="K165" s="28" t="n">
        <v>0</v>
      </c>
      <c r="L165" s="30" t="n">
        <v>14.08</v>
      </c>
      <c r="M165" s="28" t="n">
        <v>0.113892979872361</v>
      </c>
      <c r="N165" s="29" t="n">
        <v>9.33</v>
      </c>
      <c r="O165" s="28" t="n">
        <v>0</v>
      </c>
      <c r="P165" s="27" t="n">
        <v>32</v>
      </c>
      <c r="Q165" s="28" t="n">
        <v>0.048411497730711</v>
      </c>
      <c r="R165" s="31" t="n">
        <v>0.413901737955634</v>
      </c>
    </row>
    <row r="166" customFormat="false" ht="15" hidden="false" customHeight="false" outlineLevel="0" collapsed="false">
      <c r="A166" s="25" t="n">
        <v>4111209</v>
      </c>
      <c r="B166" s="26" t="s">
        <v>231</v>
      </c>
      <c r="C166" s="26" t="s">
        <v>65</v>
      </c>
      <c r="D166" s="27" t="n">
        <v>12344</v>
      </c>
      <c r="E166" s="27" t="n">
        <v>845</v>
      </c>
      <c r="F166" s="27" t="n">
        <v>298</v>
      </c>
      <c r="G166" s="28" t="n">
        <v>0.352662721893491</v>
      </c>
      <c r="H166" s="29" t="n">
        <v>1.14204902576996</v>
      </c>
      <c r="I166" s="27" t="n">
        <v>1</v>
      </c>
      <c r="J166" s="27" t="n">
        <v>4</v>
      </c>
      <c r="K166" s="28" t="n">
        <v>0.25</v>
      </c>
      <c r="L166" s="30" t="n">
        <v>18.87</v>
      </c>
      <c r="M166" s="28" t="n">
        <v>0.128888528839922</v>
      </c>
      <c r="N166" s="29" t="n">
        <v>11.67</v>
      </c>
      <c r="O166" s="28" t="n">
        <v>0.0192307692307692</v>
      </c>
      <c r="P166" s="27" t="n">
        <v>387</v>
      </c>
      <c r="Q166" s="28" t="n">
        <v>0.228994082840237</v>
      </c>
      <c r="R166" s="31" t="n">
        <v>0.526107840177866</v>
      </c>
    </row>
    <row r="167" customFormat="false" ht="15" hidden="false" customHeight="false" outlineLevel="0" collapsed="false">
      <c r="A167" s="25" t="n">
        <v>4111258</v>
      </c>
      <c r="B167" s="26" t="s">
        <v>232</v>
      </c>
      <c r="C167" s="26" t="s">
        <v>86</v>
      </c>
      <c r="D167" s="27" t="n">
        <v>31217</v>
      </c>
      <c r="E167" s="27" t="n">
        <v>2370</v>
      </c>
      <c r="F167" s="27" t="n">
        <v>309</v>
      </c>
      <c r="G167" s="28" t="n">
        <v>0.130379746835443</v>
      </c>
      <c r="H167" s="29" t="n">
        <v>0.975303643724696</v>
      </c>
      <c r="I167" s="27" t="n">
        <v>2</v>
      </c>
      <c r="J167" s="27" t="n">
        <v>3</v>
      </c>
      <c r="K167" s="28" t="n">
        <v>0.666666666666667</v>
      </c>
      <c r="L167" s="30" t="n">
        <v>1.89</v>
      </c>
      <c r="M167" s="28" t="n">
        <v>0.158247108947048</v>
      </c>
      <c r="N167" s="29" t="n">
        <v>16.02</v>
      </c>
      <c r="O167" s="28" t="n">
        <v>0.0304568527918781</v>
      </c>
      <c r="P167" s="27" t="n">
        <v>1825</v>
      </c>
      <c r="Q167" s="28" t="n">
        <v>0.369283690813436</v>
      </c>
      <c r="R167" s="31" t="n">
        <v>0.348940411140931</v>
      </c>
    </row>
    <row r="168" customFormat="false" ht="15" hidden="false" customHeight="false" outlineLevel="0" collapsed="false">
      <c r="A168" s="25" t="n">
        <v>4111308</v>
      </c>
      <c r="B168" s="26" t="s">
        <v>233</v>
      </c>
      <c r="C168" s="26" t="s">
        <v>71</v>
      </c>
      <c r="D168" s="27" t="n">
        <v>3572</v>
      </c>
      <c r="E168" s="27" t="n">
        <v>216</v>
      </c>
      <c r="F168" s="27" t="n">
        <v>86</v>
      </c>
      <c r="G168" s="28" t="n">
        <v>0.398148148148148</v>
      </c>
      <c r="H168" s="29" t="n">
        <v>1.07515657620042</v>
      </c>
      <c r="I168" s="27" t="n">
        <v>0</v>
      </c>
      <c r="J168" s="27" t="n">
        <v>1</v>
      </c>
      <c r="K168" s="28" t="n">
        <v>0</v>
      </c>
      <c r="L168" s="30" t="n">
        <v>22.22</v>
      </c>
      <c r="M168" s="28" t="n">
        <v>0.134098544232923</v>
      </c>
      <c r="N168" s="29" t="n">
        <v>11.2</v>
      </c>
      <c r="O168" s="28" t="n">
        <v>0</v>
      </c>
      <c r="P168" s="27" t="n">
        <v>162</v>
      </c>
      <c r="Q168" s="28" t="n">
        <v>0.361607142857143</v>
      </c>
      <c r="R168" s="31" t="n">
        <v>0.402749618021306</v>
      </c>
    </row>
    <row r="169" customFormat="false" ht="15" hidden="false" customHeight="false" outlineLevel="0" collapsed="false">
      <c r="A169" s="25" t="n">
        <v>4111506</v>
      </c>
      <c r="B169" s="26" t="s">
        <v>234</v>
      </c>
      <c r="C169" s="26" t="s">
        <v>86</v>
      </c>
      <c r="D169" s="27" t="n">
        <v>32720</v>
      </c>
      <c r="E169" s="27" t="n">
        <v>1748</v>
      </c>
      <c r="F169" s="27" t="n">
        <v>664</v>
      </c>
      <c r="G169" s="28" t="n">
        <v>0.379862700228833</v>
      </c>
      <c r="H169" s="29" t="n">
        <v>1.16282018767436</v>
      </c>
      <c r="I169" s="27" t="n">
        <v>5</v>
      </c>
      <c r="J169" s="27" t="n">
        <v>16</v>
      </c>
      <c r="K169" s="28" t="n">
        <v>0.3125</v>
      </c>
      <c r="L169" s="30" t="n">
        <v>23.05</v>
      </c>
      <c r="M169" s="28" t="n">
        <v>0.120507334963325</v>
      </c>
      <c r="N169" s="29" t="n">
        <v>11.43</v>
      </c>
      <c r="O169" s="28" t="n">
        <v>0.0526315789473684</v>
      </c>
      <c r="P169" s="27" t="n">
        <v>423</v>
      </c>
      <c r="Q169" s="28" t="n">
        <v>0.114293434206971</v>
      </c>
      <c r="R169" s="31" t="n">
        <v>0.460640466102781</v>
      </c>
    </row>
    <row r="170" customFormat="false" ht="15" hidden="false" customHeight="false" outlineLevel="0" collapsed="false">
      <c r="A170" s="25" t="n">
        <v>4111407</v>
      </c>
      <c r="B170" s="26" t="s">
        <v>235</v>
      </c>
      <c r="C170" s="26" t="s">
        <v>65</v>
      </c>
      <c r="D170" s="27" t="n">
        <v>13229</v>
      </c>
      <c r="E170" s="27" t="n">
        <v>942</v>
      </c>
      <c r="F170" s="27" t="n">
        <v>147</v>
      </c>
      <c r="G170" s="28" t="n">
        <v>0.156050955414013</v>
      </c>
      <c r="H170" s="29" t="n">
        <v>1.08095238095238</v>
      </c>
      <c r="I170" s="27" t="n">
        <v>1</v>
      </c>
      <c r="J170" s="27" t="n">
        <v>2</v>
      </c>
      <c r="K170" s="28" t="n">
        <v>0.5</v>
      </c>
      <c r="L170" s="30" t="n">
        <v>10.15</v>
      </c>
      <c r="M170" s="28" t="n">
        <v>0.142867941643359</v>
      </c>
      <c r="N170" s="29" t="n">
        <v>15.87</v>
      </c>
      <c r="O170" s="28" t="n">
        <v>0</v>
      </c>
      <c r="P170" s="27" t="n">
        <v>692</v>
      </c>
      <c r="Q170" s="28" t="n">
        <v>0.367889420521</v>
      </c>
      <c r="R170" s="31" t="n">
        <v>0.403491065903464</v>
      </c>
    </row>
    <row r="171" customFormat="false" ht="15" hidden="false" customHeight="false" outlineLevel="0" collapsed="false">
      <c r="A171" s="25" t="n">
        <v>4111555</v>
      </c>
      <c r="B171" s="26" t="s">
        <v>236</v>
      </c>
      <c r="C171" s="26" t="s">
        <v>65</v>
      </c>
      <c r="D171" s="27" t="n">
        <v>6831</v>
      </c>
      <c r="E171" s="27" t="n">
        <v>375</v>
      </c>
      <c r="F171" s="27" t="n">
        <v>147</v>
      </c>
      <c r="G171" s="28" t="n">
        <v>0.392</v>
      </c>
      <c r="H171" s="29" t="n">
        <v>1.05666666666667</v>
      </c>
      <c r="I171" s="27" t="n">
        <v>1</v>
      </c>
      <c r="J171" s="27" t="n">
        <v>3</v>
      </c>
      <c r="K171" s="28" t="n">
        <v>0.333333333333333</v>
      </c>
      <c r="L171" s="30" t="n">
        <v>22.73</v>
      </c>
      <c r="M171" s="28" t="n">
        <v>0.131752305665349</v>
      </c>
      <c r="N171" s="29" t="n">
        <v>10.25</v>
      </c>
      <c r="O171" s="28" t="n">
        <v>0.0625</v>
      </c>
      <c r="P171" s="27" t="n">
        <v>213</v>
      </c>
      <c r="Q171" s="28" t="n">
        <v>0.252969121140143</v>
      </c>
      <c r="R171" s="31" t="n">
        <v>0.498684293573569</v>
      </c>
    </row>
    <row r="172" customFormat="false" ht="15" hidden="false" customHeight="false" outlineLevel="0" collapsed="false">
      <c r="A172" s="25" t="n">
        <v>4111605</v>
      </c>
      <c r="B172" s="26" t="s">
        <v>237</v>
      </c>
      <c r="C172" s="26" t="s">
        <v>71</v>
      </c>
      <c r="D172" s="27" t="n">
        <v>2708</v>
      </c>
      <c r="E172" s="27" t="n">
        <v>127</v>
      </c>
      <c r="F172" s="27" t="n">
        <v>78</v>
      </c>
      <c r="G172" s="28" t="n">
        <v>0.614173228346457</v>
      </c>
      <c r="H172" s="29" t="n">
        <v>2.21383647798742</v>
      </c>
      <c r="I172" s="27" t="n">
        <v>0</v>
      </c>
      <c r="J172" s="27" t="n">
        <v>1</v>
      </c>
      <c r="K172" s="28" t="n">
        <v>0</v>
      </c>
      <c r="L172" s="30" t="n">
        <v>29.41</v>
      </c>
      <c r="M172" s="28" t="n">
        <v>0.117429837518464</v>
      </c>
      <c r="N172" s="29" t="n">
        <v>10.34</v>
      </c>
      <c r="O172" s="28" t="n">
        <v>0.0833333333333333</v>
      </c>
      <c r="P172" s="27" t="n">
        <v>45</v>
      </c>
      <c r="Q172" s="28" t="n">
        <v>0.159010600706714</v>
      </c>
      <c r="R172" s="31" t="n">
        <v>0.519968115841428</v>
      </c>
    </row>
    <row r="173" customFormat="false" ht="15" hidden="false" customHeight="false" outlineLevel="0" collapsed="false">
      <c r="A173" s="25" t="n">
        <v>4111704</v>
      </c>
      <c r="B173" s="26" t="s">
        <v>238</v>
      </c>
      <c r="C173" s="26" t="s">
        <v>65</v>
      </c>
      <c r="D173" s="27" t="n">
        <v>5427</v>
      </c>
      <c r="E173" s="27" t="n">
        <v>304</v>
      </c>
      <c r="F173" s="27" t="n">
        <v>95</v>
      </c>
      <c r="G173" s="28" t="n">
        <v>0.3125</v>
      </c>
      <c r="H173" s="29" t="n">
        <v>1.05532503457815</v>
      </c>
      <c r="I173" s="27" t="n">
        <v>1</v>
      </c>
      <c r="J173" s="27" t="n">
        <v>2</v>
      </c>
      <c r="K173" s="28" t="n">
        <v>0.5</v>
      </c>
      <c r="L173" s="30" t="n">
        <v>0</v>
      </c>
      <c r="M173" s="28" t="n">
        <v>0.13322277501382</v>
      </c>
      <c r="N173" s="29" t="n">
        <v>14</v>
      </c>
      <c r="O173" s="28" t="n">
        <v>0</v>
      </c>
      <c r="P173" s="27" t="n">
        <v>189</v>
      </c>
      <c r="Q173" s="28" t="n">
        <v>0.298107255520505</v>
      </c>
      <c r="R173" s="31" t="n">
        <v>0.38335700909208</v>
      </c>
    </row>
    <row r="174" customFormat="false" ht="15" hidden="false" customHeight="false" outlineLevel="0" collapsed="false">
      <c r="A174" s="25" t="n">
        <v>4111803</v>
      </c>
      <c r="B174" s="26" t="s">
        <v>239</v>
      </c>
      <c r="C174" s="26" t="s">
        <v>86</v>
      </c>
      <c r="D174" s="27" t="n">
        <v>40375</v>
      </c>
      <c r="E174" s="27" t="n">
        <v>2747</v>
      </c>
      <c r="F174" s="27" t="n">
        <v>1095</v>
      </c>
      <c r="G174" s="28" t="n">
        <v>0.398616672733892</v>
      </c>
      <c r="H174" s="29" t="n">
        <v>1.09314092953523</v>
      </c>
      <c r="I174" s="27" t="n">
        <v>6</v>
      </c>
      <c r="J174" s="27" t="n">
        <v>18</v>
      </c>
      <c r="K174" s="28" t="n">
        <v>0.333333333333333</v>
      </c>
      <c r="L174" s="30" t="n">
        <v>5.26</v>
      </c>
      <c r="M174" s="28" t="n">
        <v>0.132160990712074</v>
      </c>
      <c r="N174" s="29" t="n">
        <v>12.93</v>
      </c>
      <c r="O174" s="28" t="n">
        <v>0.0354609929078014</v>
      </c>
      <c r="P174" s="27" t="n">
        <v>1555</v>
      </c>
      <c r="Q174" s="28" t="n">
        <v>0.286741655910013</v>
      </c>
      <c r="R174" s="31" t="n">
        <v>0.568182814437195</v>
      </c>
    </row>
    <row r="175" customFormat="false" ht="15" hidden="false" customHeight="false" outlineLevel="0" collapsed="false">
      <c r="A175" s="25" t="n">
        <v>4111902</v>
      </c>
      <c r="B175" s="26" t="s">
        <v>240</v>
      </c>
      <c r="C175" s="26" t="s">
        <v>65</v>
      </c>
      <c r="D175" s="27" t="n">
        <v>15122</v>
      </c>
      <c r="E175" s="27" t="n">
        <v>1031</v>
      </c>
      <c r="F175" s="27" t="n">
        <v>270</v>
      </c>
      <c r="G175" s="28" t="n">
        <v>0.26188166828322</v>
      </c>
      <c r="H175" s="29" t="n">
        <v>1.14827418570734</v>
      </c>
      <c r="I175" s="27" t="n">
        <v>3</v>
      </c>
      <c r="J175" s="27" t="n">
        <v>6</v>
      </c>
      <c r="K175" s="28" t="n">
        <v>0.5</v>
      </c>
      <c r="L175" s="30" t="n">
        <v>11.76</v>
      </c>
      <c r="M175" s="28" t="n">
        <v>0.136026980558127</v>
      </c>
      <c r="N175" s="29" t="n">
        <v>13.95</v>
      </c>
      <c r="O175" s="28" t="n">
        <v>0</v>
      </c>
      <c r="P175" s="27" t="n">
        <v>368</v>
      </c>
      <c r="Q175" s="28" t="n">
        <v>0.173095014111007</v>
      </c>
      <c r="R175" s="31" t="n">
        <v>0.685877412111173</v>
      </c>
    </row>
    <row r="176" customFormat="false" ht="15" hidden="false" customHeight="false" outlineLevel="0" collapsed="false">
      <c r="A176" s="25" t="n">
        <v>4112009</v>
      </c>
      <c r="B176" s="26" t="s">
        <v>241</v>
      </c>
      <c r="C176" s="26" t="s">
        <v>86</v>
      </c>
      <c r="D176" s="27" t="n">
        <v>35141</v>
      </c>
      <c r="E176" s="27" t="n">
        <v>2498</v>
      </c>
      <c r="F176" s="27" t="n">
        <v>400</v>
      </c>
      <c r="G176" s="28" t="n">
        <v>0.160128102481986</v>
      </c>
      <c r="H176" s="29" t="n">
        <v>1.03574824111048</v>
      </c>
      <c r="I176" s="27" t="n">
        <v>4</v>
      </c>
      <c r="J176" s="27" t="n">
        <v>10</v>
      </c>
      <c r="K176" s="28" t="n">
        <v>0.4</v>
      </c>
      <c r="L176" s="30" t="n">
        <v>3.77</v>
      </c>
      <c r="M176" s="28" t="n">
        <v>0.149654250021343</v>
      </c>
      <c r="N176" s="29" t="n">
        <v>14.09</v>
      </c>
      <c r="O176" s="28" t="n">
        <v>0.04</v>
      </c>
      <c r="P176" s="27" t="n">
        <v>1123</v>
      </c>
      <c r="Q176" s="28" t="n">
        <v>0.216335966095165</v>
      </c>
      <c r="R176" s="31" t="n">
        <v>0.560468956982928</v>
      </c>
    </row>
    <row r="177" customFormat="false" ht="15" hidden="false" customHeight="false" outlineLevel="0" collapsed="false">
      <c r="A177" s="25" t="n">
        <v>4112108</v>
      </c>
      <c r="B177" s="26" t="s">
        <v>242</v>
      </c>
      <c r="C177" s="26" t="s">
        <v>86</v>
      </c>
      <c r="D177" s="27" t="n">
        <v>21408</v>
      </c>
      <c r="E177" s="27" t="n">
        <v>1216</v>
      </c>
      <c r="F177" s="27" t="n">
        <v>396</v>
      </c>
      <c r="G177" s="28" t="n">
        <v>0.325657894736842</v>
      </c>
      <c r="H177" s="29" t="n">
        <v>1.29411764705882</v>
      </c>
      <c r="I177" s="27" t="n">
        <v>5</v>
      </c>
      <c r="J177" s="27" t="n">
        <v>10</v>
      </c>
      <c r="K177" s="28" t="n">
        <v>0.5</v>
      </c>
      <c r="L177" s="30" t="n">
        <v>8.51</v>
      </c>
      <c r="M177" s="28" t="n">
        <v>0.11276158445441</v>
      </c>
      <c r="N177" s="29" t="n">
        <v>11.58</v>
      </c>
      <c r="O177" s="28" t="n">
        <v>0.0163934426229508</v>
      </c>
      <c r="P177" s="27" t="n">
        <v>531</v>
      </c>
      <c r="Q177" s="28" t="n">
        <v>0.217355710192386</v>
      </c>
      <c r="R177" s="31" t="n">
        <v>0.524607368951945</v>
      </c>
    </row>
    <row r="178" customFormat="false" ht="15" hidden="false" customHeight="false" outlineLevel="0" collapsed="false">
      <c r="A178" s="25" t="n">
        <v>4112207</v>
      </c>
      <c r="B178" s="26" t="s">
        <v>243</v>
      </c>
      <c r="C178" s="26" t="s">
        <v>65</v>
      </c>
      <c r="D178" s="27" t="n">
        <v>5870</v>
      </c>
      <c r="E178" s="27" t="n">
        <v>305</v>
      </c>
      <c r="F178" s="27" t="n">
        <v>129</v>
      </c>
      <c r="G178" s="28" t="n">
        <v>0.422950819672131</v>
      </c>
      <c r="H178" s="29" t="n">
        <v>1.05697151424288</v>
      </c>
      <c r="I178" s="27" t="n">
        <v>0</v>
      </c>
      <c r="J178" s="27" t="n">
        <v>2</v>
      </c>
      <c r="K178" s="28" t="n">
        <v>0</v>
      </c>
      <c r="L178" s="30" t="n">
        <v>0</v>
      </c>
      <c r="M178" s="28" t="n">
        <v>0.113628620102215</v>
      </c>
      <c r="N178" s="29" t="n">
        <v>11.07</v>
      </c>
      <c r="O178" s="28" t="n">
        <v>0.0588235294117647</v>
      </c>
      <c r="P178" s="27" t="n">
        <v>125</v>
      </c>
      <c r="Q178" s="28" t="n">
        <v>0.194099378881988</v>
      </c>
      <c r="R178" s="31" t="n">
        <v>0.41589879779989</v>
      </c>
    </row>
    <row r="179" customFormat="false" ht="15" hidden="false" customHeight="false" outlineLevel="0" collapsed="false">
      <c r="A179" s="25" t="n">
        <v>4112306</v>
      </c>
      <c r="B179" s="26" t="s">
        <v>244</v>
      </c>
      <c r="C179" s="26" t="s">
        <v>71</v>
      </c>
      <c r="D179" s="27" t="n">
        <v>4972</v>
      </c>
      <c r="E179" s="27" t="n">
        <v>322</v>
      </c>
      <c r="F179" s="27" t="n">
        <v>98</v>
      </c>
      <c r="G179" s="28" t="n">
        <v>0.304347826086957</v>
      </c>
      <c r="H179" s="29" t="n">
        <v>0.932618683001531</v>
      </c>
      <c r="I179" s="27" t="n">
        <v>0</v>
      </c>
      <c r="J179" s="27" t="n">
        <v>1</v>
      </c>
      <c r="K179" s="28" t="n">
        <v>0</v>
      </c>
      <c r="L179" s="30" t="n">
        <v>36.36</v>
      </c>
      <c r="M179" s="28" t="n">
        <v>0.131335478680611</v>
      </c>
      <c r="N179" s="29" t="n">
        <v>9.65</v>
      </c>
      <c r="O179" s="28" t="n">
        <v>0.0483870967741935</v>
      </c>
      <c r="P179" s="27" t="n">
        <v>183</v>
      </c>
      <c r="Q179" s="28" t="n">
        <v>0.282843894899536</v>
      </c>
      <c r="R179" s="31" t="n">
        <v>0.376622626259433</v>
      </c>
    </row>
    <row r="180" customFormat="false" ht="15" hidden="false" customHeight="false" outlineLevel="0" collapsed="false">
      <c r="A180" s="25" t="n">
        <v>4112405</v>
      </c>
      <c r="B180" s="26" t="s">
        <v>245</v>
      </c>
      <c r="C180" s="26" t="s">
        <v>65</v>
      </c>
      <c r="D180" s="27" t="n">
        <v>9144</v>
      </c>
      <c r="E180" s="27" t="n">
        <v>462</v>
      </c>
      <c r="F180" s="27" t="n">
        <v>204</v>
      </c>
      <c r="G180" s="28" t="n">
        <v>0.441558441558442</v>
      </c>
      <c r="H180" s="29" t="n">
        <v>1.05714285714286</v>
      </c>
      <c r="I180" s="27" t="n">
        <v>0</v>
      </c>
      <c r="J180" s="27" t="n">
        <v>2</v>
      </c>
      <c r="K180" s="28" t="n">
        <v>0</v>
      </c>
      <c r="L180" s="30" t="n">
        <v>21.74</v>
      </c>
      <c r="M180" s="28" t="n">
        <v>0.111001749781277</v>
      </c>
      <c r="N180" s="29" t="n">
        <v>9.08</v>
      </c>
      <c r="O180" s="28" t="n">
        <v>0.0392156862745098</v>
      </c>
      <c r="P180" s="27" t="n">
        <v>243</v>
      </c>
      <c r="Q180" s="28" t="n">
        <v>0.25418410041841</v>
      </c>
      <c r="R180" s="31" t="n">
        <v>0.507650713948279</v>
      </c>
    </row>
    <row r="181" customFormat="false" ht="15" hidden="false" customHeight="false" outlineLevel="0" collapsed="false">
      <c r="A181" s="25" t="n">
        <v>4112504</v>
      </c>
      <c r="B181" s="26" t="s">
        <v>246</v>
      </c>
      <c r="C181" s="26" t="s">
        <v>65</v>
      </c>
      <c r="D181" s="27" t="n">
        <v>12004</v>
      </c>
      <c r="E181" s="27" t="n">
        <v>663</v>
      </c>
      <c r="F181" s="27" t="n">
        <v>230</v>
      </c>
      <c r="G181" s="28" t="n">
        <v>0.346907993966818</v>
      </c>
      <c r="H181" s="29" t="n">
        <v>1.01154107264087</v>
      </c>
      <c r="I181" s="27" t="n">
        <v>1</v>
      </c>
      <c r="J181" s="27" t="n">
        <v>4</v>
      </c>
      <c r="K181" s="28" t="n">
        <v>0.25</v>
      </c>
      <c r="L181" s="30" t="n">
        <v>7.41</v>
      </c>
      <c r="M181" s="28" t="n">
        <v>0.122709096967677</v>
      </c>
      <c r="N181" s="29" t="n">
        <v>11.75</v>
      </c>
      <c r="O181" s="28" t="n">
        <v>0.0333333333333333</v>
      </c>
      <c r="P181" s="27" t="n">
        <v>366</v>
      </c>
      <c r="Q181" s="28" t="n">
        <v>0.265025343953657</v>
      </c>
      <c r="R181" s="31" t="n">
        <v>0.400157725727889</v>
      </c>
    </row>
    <row r="182" customFormat="false" ht="15" hidden="false" customHeight="false" outlineLevel="0" collapsed="false">
      <c r="A182" s="25" t="n">
        <v>4112603</v>
      </c>
      <c r="B182" s="26" t="s">
        <v>247</v>
      </c>
      <c r="C182" s="26" t="s">
        <v>71</v>
      </c>
      <c r="D182" s="27" t="n">
        <v>1343</v>
      </c>
      <c r="E182" s="27" t="n">
        <v>72</v>
      </c>
      <c r="F182" s="27" t="n">
        <v>39</v>
      </c>
      <c r="G182" s="28" t="n">
        <v>0.541666666666667</v>
      </c>
      <c r="H182" s="29" t="n">
        <v>1.05687203791469</v>
      </c>
      <c r="I182" s="27" t="n">
        <v>0</v>
      </c>
      <c r="J182" s="27" t="n">
        <v>1</v>
      </c>
      <c r="K182" s="28" t="n">
        <v>0</v>
      </c>
      <c r="L182" s="30" t="n">
        <v>0</v>
      </c>
      <c r="M182" s="28" t="n">
        <v>0.15711094564408</v>
      </c>
      <c r="N182" s="29" t="n">
        <v>10.42</v>
      </c>
      <c r="O182" s="28" t="n">
        <v>0</v>
      </c>
      <c r="P182" s="27" t="n">
        <v>49</v>
      </c>
      <c r="Q182" s="28" t="n">
        <v>0.296969696969697</v>
      </c>
      <c r="R182" s="31" t="n">
        <v>0.473569479731527</v>
      </c>
    </row>
    <row r="183" customFormat="false" ht="15" hidden="false" customHeight="false" outlineLevel="0" collapsed="false">
      <c r="A183" s="25" t="n">
        <v>4112702</v>
      </c>
      <c r="B183" s="26" t="s">
        <v>248</v>
      </c>
      <c r="C183" s="26" t="s">
        <v>65</v>
      </c>
      <c r="D183" s="27" t="n">
        <v>11813</v>
      </c>
      <c r="E183" s="27" t="n">
        <v>762</v>
      </c>
      <c r="F183" s="27" t="n">
        <v>206</v>
      </c>
      <c r="G183" s="28" t="n">
        <v>0.270341207349081</v>
      </c>
      <c r="H183" s="29" t="n">
        <v>1.06960408684547</v>
      </c>
      <c r="I183" s="27" t="n">
        <v>2</v>
      </c>
      <c r="J183" s="27" t="n">
        <v>4</v>
      </c>
      <c r="K183" s="28" t="n">
        <v>0.5</v>
      </c>
      <c r="L183" s="30" t="n">
        <v>18.87</v>
      </c>
      <c r="M183" s="28" t="n">
        <v>0.132565817319902</v>
      </c>
      <c r="N183" s="29" t="n">
        <v>12.95</v>
      </c>
      <c r="O183" s="28" t="n">
        <v>0.0232558139534883</v>
      </c>
      <c r="P183" s="27" t="n">
        <v>408</v>
      </c>
      <c r="Q183" s="28" t="n">
        <v>0.258719086873811</v>
      </c>
      <c r="R183" s="31" t="n">
        <v>0.414489004330711</v>
      </c>
    </row>
    <row r="184" customFormat="false" ht="15" hidden="false" customHeight="false" outlineLevel="0" collapsed="false">
      <c r="A184" s="25" t="n">
        <v>4112751</v>
      </c>
      <c r="B184" s="26" t="s">
        <v>249</v>
      </c>
      <c r="C184" s="26" t="s">
        <v>65</v>
      </c>
      <c r="D184" s="27" t="n">
        <v>10506</v>
      </c>
      <c r="E184" s="27" t="n">
        <v>509</v>
      </c>
      <c r="F184" s="27" t="n">
        <v>165</v>
      </c>
      <c r="G184" s="28" t="n">
        <v>0.324165029469548</v>
      </c>
      <c r="H184" s="29" t="n">
        <v>0.808997050147493</v>
      </c>
      <c r="I184" s="27" t="n">
        <v>3</v>
      </c>
      <c r="J184" s="27" t="n">
        <v>5</v>
      </c>
      <c r="K184" s="28" t="n">
        <v>0.6</v>
      </c>
      <c r="L184" s="30" t="n">
        <v>9.62</v>
      </c>
      <c r="M184" s="28" t="n">
        <v>0.129069103369503</v>
      </c>
      <c r="N184" s="29" t="n">
        <v>9.23</v>
      </c>
      <c r="O184" s="28" t="n">
        <v>0.0666666666666666</v>
      </c>
      <c r="P184" s="27" t="n">
        <v>267</v>
      </c>
      <c r="Q184" s="28" t="n">
        <v>0.2225</v>
      </c>
      <c r="R184" s="31" t="n">
        <v>0.429095724821619</v>
      </c>
    </row>
    <row r="185" customFormat="false" ht="15" hidden="false" customHeight="false" outlineLevel="0" collapsed="false">
      <c r="A185" s="25" t="n">
        <v>4112801</v>
      </c>
      <c r="B185" s="26" t="s">
        <v>250</v>
      </c>
      <c r="C185" s="26" t="s">
        <v>65</v>
      </c>
      <c r="D185" s="27" t="n">
        <v>11945</v>
      </c>
      <c r="E185" s="27" t="n">
        <v>816</v>
      </c>
      <c r="F185" s="27" t="n">
        <v>348</v>
      </c>
      <c r="G185" s="28" t="n">
        <v>0.426470588235294</v>
      </c>
      <c r="H185" s="29" t="n">
        <v>1.15947467166979</v>
      </c>
      <c r="I185" s="27" t="n">
        <v>2</v>
      </c>
      <c r="J185" s="27" t="n">
        <v>6</v>
      </c>
      <c r="K185" s="28" t="n">
        <v>0.333333333333333</v>
      </c>
      <c r="L185" s="30" t="n">
        <v>17.44</v>
      </c>
      <c r="M185" s="28" t="n">
        <v>0.13386354123064</v>
      </c>
      <c r="N185" s="29" t="n">
        <v>14.99</v>
      </c>
      <c r="O185" s="28" t="n">
        <v>0.0434782608695652</v>
      </c>
      <c r="P185" s="27" t="n">
        <v>295</v>
      </c>
      <c r="Q185" s="28" t="n">
        <v>0.176858513189448</v>
      </c>
      <c r="R185" s="31" t="n">
        <v>0.64728460670942</v>
      </c>
    </row>
    <row r="186" customFormat="false" ht="15" hidden="false" customHeight="false" outlineLevel="0" collapsed="false">
      <c r="A186" s="25" t="n">
        <v>4112900</v>
      </c>
      <c r="B186" s="26" t="s">
        <v>251</v>
      </c>
      <c r="C186" s="26" t="s">
        <v>71</v>
      </c>
      <c r="D186" s="27" t="n">
        <v>3333</v>
      </c>
      <c r="E186" s="27" t="n">
        <v>222</v>
      </c>
      <c r="F186" s="27" t="n">
        <v>66</v>
      </c>
      <c r="G186" s="28" t="n">
        <v>0.297297297297297</v>
      </c>
      <c r="H186" s="29" t="n">
        <v>1.07990314769976</v>
      </c>
      <c r="I186" s="27" t="n">
        <v>1</v>
      </c>
      <c r="J186" s="27" t="n">
        <v>2</v>
      </c>
      <c r="K186" s="28" t="n">
        <v>0.5</v>
      </c>
      <c r="L186" s="30" t="n">
        <v>23.26</v>
      </c>
      <c r="M186" s="28" t="n">
        <v>0.123912391239124</v>
      </c>
      <c r="N186" s="29" t="n">
        <v>10.2</v>
      </c>
      <c r="O186" s="28" t="n">
        <v>0.133333333333333</v>
      </c>
      <c r="P186" s="27" t="n">
        <v>164</v>
      </c>
      <c r="Q186" s="28" t="n">
        <v>0.366071428571429</v>
      </c>
      <c r="R186" s="31" t="n">
        <v>0.399641476840327</v>
      </c>
    </row>
    <row r="187" customFormat="false" ht="15" hidden="false" customHeight="false" outlineLevel="0" collapsed="false">
      <c r="A187" s="25" t="n">
        <v>4112959</v>
      </c>
      <c r="B187" s="26" t="s">
        <v>252</v>
      </c>
      <c r="C187" s="26" t="s">
        <v>65</v>
      </c>
      <c r="D187" s="27" t="n">
        <v>7771</v>
      </c>
      <c r="E187" s="27" t="n">
        <v>516</v>
      </c>
      <c r="F187" s="27" t="n">
        <v>152</v>
      </c>
      <c r="G187" s="28" t="n">
        <v>0.294573643410853</v>
      </c>
      <c r="H187" s="29" t="n">
        <v>1.13865546218487</v>
      </c>
      <c r="I187" s="27" t="n">
        <v>1</v>
      </c>
      <c r="J187" s="27" t="n">
        <v>5</v>
      </c>
      <c r="K187" s="28" t="n">
        <v>0.2</v>
      </c>
      <c r="L187" s="30" t="n">
        <v>0</v>
      </c>
      <c r="M187" s="28" t="n">
        <v>0.122506755887273</v>
      </c>
      <c r="N187" s="29" t="n">
        <v>11.45</v>
      </c>
      <c r="O187" s="28" t="n">
        <v>0.0465116279069767</v>
      </c>
      <c r="P187" s="27" t="n">
        <v>254</v>
      </c>
      <c r="Q187" s="28" t="n">
        <v>0.253493013972056</v>
      </c>
      <c r="R187" s="31" t="n">
        <v>0.432685216371317</v>
      </c>
    </row>
    <row r="188" customFormat="false" ht="15" hidden="false" customHeight="false" outlineLevel="0" collapsed="false">
      <c r="A188" s="25" t="n">
        <v>4113007</v>
      </c>
      <c r="B188" s="26" t="s">
        <v>253</v>
      </c>
      <c r="C188" s="26" t="s">
        <v>65</v>
      </c>
      <c r="D188" s="27" t="n">
        <v>6690</v>
      </c>
      <c r="E188" s="27" t="n">
        <v>394</v>
      </c>
      <c r="F188" s="27" t="n">
        <v>146</v>
      </c>
      <c r="G188" s="28" t="n">
        <v>0.370558375634518</v>
      </c>
      <c r="H188" s="29" t="n">
        <v>1.104</v>
      </c>
      <c r="I188" s="27" t="n">
        <v>1</v>
      </c>
      <c r="J188" s="27" t="n">
        <v>2</v>
      </c>
      <c r="K188" s="28" t="n">
        <v>0.5</v>
      </c>
      <c r="L188" s="30" t="n">
        <v>0</v>
      </c>
      <c r="M188" s="28" t="n">
        <v>0.130792227204783</v>
      </c>
      <c r="N188" s="29" t="n">
        <v>9.57</v>
      </c>
      <c r="O188" s="28" t="n">
        <v>0</v>
      </c>
      <c r="P188" s="27" t="n">
        <v>119</v>
      </c>
      <c r="Q188" s="28" t="n">
        <v>0.145654834761322</v>
      </c>
      <c r="R188" s="31" t="n">
        <v>0.596673154393052</v>
      </c>
    </row>
    <row r="189" customFormat="false" ht="15" hidden="false" customHeight="false" outlineLevel="0" collapsed="false">
      <c r="A189" s="25" t="n">
        <v>4113106</v>
      </c>
      <c r="B189" s="26" t="s">
        <v>254</v>
      </c>
      <c r="C189" s="26" t="s">
        <v>71</v>
      </c>
      <c r="D189" s="27" t="n">
        <v>4582</v>
      </c>
      <c r="E189" s="27" t="n">
        <v>232</v>
      </c>
      <c r="F189" s="27" t="n">
        <v>136</v>
      </c>
      <c r="G189" s="28" t="n">
        <v>0.586206896551724</v>
      </c>
      <c r="H189" s="29" t="n">
        <v>1.04466019417476</v>
      </c>
      <c r="I189" s="27" t="n">
        <v>1</v>
      </c>
      <c r="J189" s="27" t="n">
        <v>4</v>
      </c>
      <c r="K189" s="28" t="n">
        <v>0.25</v>
      </c>
      <c r="L189" s="30" t="n">
        <v>20</v>
      </c>
      <c r="M189" s="28" t="n">
        <v>0.11239633347883</v>
      </c>
      <c r="N189" s="29" t="n">
        <v>9.6</v>
      </c>
      <c r="O189" s="28" t="n">
        <v>0.0566037735849056</v>
      </c>
      <c r="P189" s="27" t="n">
        <v>153</v>
      </c>
      <c r="Q189" s="28" t="n">
        <v>0.3</v>
      </c>
      <c r="R189" s="31" t="n">
        <v>0.39997718056376</v>
      </c>
    </row>
    <row r="190" customFormat="false" ht="15" hidden="false" customHeight="false" outlineLevel="0" collapsed="false">
      <c r="A190" s="25" t="n">
        <v>4113205</v>
      </c>
      <c r="B190" s="26" t="s">
        <v>255</v>
      </c>
      <c r="C190" s="26" t="s">
        <v>86</v>
      </c>
      <c r="D190" s="27" t="n">
        <v>45003</v>
      </c>
      <c r="E190" s="27" t="n">
        <v>2543</v>
      </c>
      <c r="F190" s="27" t="n">
        <v>589</v>
      </c>
      <c r="G190" s="28" t="n">
        <v>0.231616201337004</v>
      </c>
      <c r="H190" s="29" t="n">
        <v>1.06666666666667</v>
      </c>
      <c r="I190" s="27" t="n">
        <v>5</v>
      </c>
      <c r="J190" s="27" t="n">
        <v>13</v>
      </c>
      <c r="K190" s="28" t="n">
        <v>0.384615384615385</v>
      </c>
      <c r="L190" s="30" t="n">
        <v>14.84</v>
      </c>
      <c r="M190" s="28" t="n">
        <v>0.131991200586628</v>
      </c>
      <c r="N190" s="29" t="n">
        <v>11.84</v>
      </c>
      <c r="O190" s="28" t="n">
        <v>0.0412371134020618</v>
      </c>
      <c r="P190" s="27" t="n">
        <v>1121</v>
      </c>
      <c r="Q190" s="28" t="n">
        <v>0.206483698655369</v>
      </c>
      <c r="R190" s="31" t="n">
        <v>0.522238352798991</v>
      </c>
    </row>
    <row r="191" customFormat="false" ht="15" hidden="false" customHeight="false" outlineLevel="0" collapsed="false">
      <c r="A191" s="25" t="n">
        <v>4113254</v>
      </c>
      <c r="B191" s="26" t="s">
        <v>256</v>
      </c>
      <c r="C191" s="26" t="s">
        <v>65</v>
      </c>
      <c r="D191" s="27" t="n">
        <v>5600</v>
      </c>
      <c r="E191" s="27" t="n">
        <v>437</v>
      </c>
      <c r="F191" s="27" t="n">
        <v>90</v>
      </c>
      <c r="G191" s="28" t="n">
        <v>0.205949656750572</v>
      </c>
      <c r="H191" s="29" t="n">
        <v>1.11347517730496</v>
      </c>
      <c r="I191" s="27" t="n">
        <v>1</v>
      </c>
      <c r="J191" s="27" t="n">
        <v>3</v>
      </c>
      <c r="K191" s="28" t="n">
        <v>0.333333333333333</v>
      </c>
      <c r="L191" s="30" t="n">
        <v>10.87</v>
      </c>
      <c r="M191" s="28" t="n">
        <v>0.151071428571429</v>
      </c>
      <c r="N191" s="29" t="n">
        <v>15.71</v>
      </c>
      <c r="O191" s="28" t="n">
        <v>0.0789473684210526</v>
      </c>
      <c r="P191" s="27" t="n">
        <v>397</v>
      </c>
      <c r="Q191" s="28" t="n">
        <v>0.461091753774681</v>
      </c>
      <c r="R191" s="31" t="n">
        <v>0.319866626217917</v>
      </c>
    </row>
    <row r="192" customFormat="false" ht="15" hidden="false" customHeight="false" outlineLevel="0" collapsed="false">
      <c r="A192" s="25" t="n">
        <v>4113304</v>
      </c>
      <c r="B192" s="26" t="s">
        <v>257</v>
      </c>
      <c r="C192" s="26" t="s">
        <v>86</v>
      </c>
      <c r="D192" s="27" t="n">
        <v>32227</v>
      </c>
      <c r="E192" s="27" t="n">
        <v>2278</v>
      </c>
      <c r="F192" s="27" t="n">
        <v>842</v>
      </c>
      <c r="G192" s="28" t="n">
        <v>0.369622475856014</v>
      </c>
      <c r="H192" s="29" t="n">
        <v>1.18490054249548</v>
      </c>
      <c r="I192" s="27" t="n">
        <v>3</v>
      </c>
      <c r="J192" s="27" t="n">
        <v>12</v>
      </c>
      <c r="K192" s="28" t="n">
        <v>0.25</v>
      </c>
      <c r="L192" s="30" t="n">
        <v>12.22</v>
      </c>
      <c r="M192" s="28" t="n">
        <v>0.13727619697769</v>
      </c>
      <c r="N192" s="29" t="n">
        <v>15.95</v>
      </c>
      <c r="O192" s="28" t="n">
        <v>0.025531914893617</v>
      </c>
      <c r="P192" s="27" t="n">
        <v>701</v>
      </c>
      <c r="Q192" s="28" t="n">
        <v>0.154167583021773</v>
      </c>
      <c r="R192" s="31" t="n">
        <v>0.47675243585116</v>
      </c>
    </row>
    <row r="193" customFormat="false" ht="15" hidden="false" customHeight="false" outlineLevel="0" collapsed="false">
      <c r="A193" s="25" t="n">
        <v>4113403</v>
      </c>
      <c r="B193" s="26" t="s">
        <v>258</v>
      </c>
      <c r="C193" s="26" t="s">
        <v>71</v>
      </c>
      <c r="D193" s="27" t="n">
        <v>3752</v>
      </c>
      <c r="E193" s="27" t="n">
        <v>207</v>
      </c>
      <c r="F193" s="27" t="n">
        <v>126</v>
      </c>
      <c r="G193" s="28" t="n">
        <v>0.608695652173913</v>
      </c>
      <c r="H193" s="29" t="n">
        <v>1.04319654427646</v>
      </c>
      <c r="I193" s="27" t="n">
        <v>0</v>
      </c>
      <c r="J193" s="27" t="n">
        <v>3</v>
      </c>
      <c r="K193" s="28" t="n">
        <v>0</v>
      </c>
      <c r="L193" s="30" t="n">
        <v>46.51</v>
      </c>
      <c r="M193" s="28" t="n">
        <v>0.123400852878465</v>
      </c>
      <c r="N193" s="29" t="n">
        <v>10.13</v>
      </c>
      <c r="O193" s="28" t="n">
        <v>0</v>
      </c>
      <c r="P193" s="27" t="n">
        <v>92</v>
      </c>
      <c r="Q193" s="28" t="n">
        <v>0.211009174311927</v>
      </c>
      <c r="R193" s="31" t="n">
        <v>0.445232278671915</v>
      </c>
    </row>
    <row r="194" customFormat="false" ht="15" hidden="false" customHeight="false" outlineLevel="0" collapsed="false">
      <c r="A194" s="25" t="n">
        <v>4113429</v>
      </c>
      <c r="B194" s="26" t="s">
        <v>259</v>
      </c>
      <c r="C194" s="26" t="s">
        <v>71</v>
      </c>
      <c r="D194" s="27" t="n">
        <v>3938</v>
      </c>
      <c r="E194" s="27" t="n">
        <v>214</v>
      </c>
      <c r="F194" s="27" t="n">
        <v>78</v>
      </c>
      <c r="G194" s="28" t="n">
        <v>0.364485981308411</v>
      </c>
      <c r="H194" s="29" t="n">
        <v>1.01440329218107</v>
      </c>
      <c r="I194" s="27" t="n">
        <v>0</v>
      </c>
      <c r="J194" s="27" t="n">
        <v>2</v>
      </c>
      <c r="K194" s="28" t="n">
        <v>0</v>
      </c>
      <c r="L194" s="30" t="n">
        <v>0</v>
      </c>
      <c r="M194" s="28" t="n">
        <v>0.123412899949213</v>
      </c>
      <c r="N194" s="29" t="n">
        <v>7.11</v>
      </c>
      <c r="O194" s="28" t="n">
        <v>0.0285714285714285</v>
      </c>
      <c r="P194" s="27" t="n">
        <v>134</v>
      </c>
      <c r="Q194" s="28" t="n">
        <v>0.293859649122807</v>
      </c>
      <c r="R194" s="31" t="n">
        <v>0.371905472246795</v>
      </c>
    </row>
    <row r="195" customFormat="false" ht="15" hidden="false" customHeight="false" outlineLevel="0" collapsed="false">
      <c r="A195" s="25" t="n">
        <v>4113452</v>
      </c>
      <c r="B195" s="26" t="s">
        <v>260</v>
      </c>
      <c r="C195" s="26" t="s">
        <v>65</v>
      </c>
      <c r="D195" s="27" t="n">
        <v>5175</v>
      </c>
      <c r="E195" s="27" t="n">
        <v>360</v>
      </c>
      <c r="F195" s="27" t="n">
        <v>123</v>
      </c>
      <c r="G195" s="28" t="n">
        <v>0.341666666666667</v>
      </c>
      <c r="H195" s="29" t="n">
        <v>1.21142857142857</v>
      </c>
      <c r="I195" s="27" t="n">
        <v>1</v>
      </c>
      <c r="J195" s="27" t="n">
        <v>2</v>
      </c>
      <c r="K195" s="28" t="n">
        <v>0.5</v>
      </c>
      <c r="L195" s="30" t="n">
        <v>31.25</v>
      </c>
      <c r="M195" s="28" t="n">
        <v>0.135265700483092</v>
      </c>
      <c r="N195" s="29" t="n">
        <v>16.62</v>
      </c>
      <c r="O195" s="28" t="n">
        <v>0</v>
      </c>
      <c r="P195" s="27" t="n">
        <v>273</v>
      </c>
      <c r="Q195" s="28" t="n">
        <v>0.374485596707819</v>
      </c>
      <c r="R195" s="31" t="n">
        <v>0.44178966317647</v>
      </c>
    </row>
    <row r="196" customFormat="false" ht="15" hidden="false" customHeight="false" outlineLevel="0" collapsed="false">
      <c r="A196" s="25" t="n">
        <v>4113502</v>
      </c>
      <c r="B196" s="26" t="s">
        <v>261</v>
      </c>
      <c r="C196" s="26" t="s">
        <v>86</v>
      </c>
      <c r="D196" s="27" t="n">
        <v>23225</v>
      </c>
      <c r="E196" s="27" t="n">
        <v>1489</v>
      </c>
      <c r="F196" s="27" t="n">
        <v>681</v>
      </c>
      <c r="G196" s="28" t="n">
        <v>0.457353928811283</v>
      </c>
      <c r="H196" s="29" t="n">
        <v>1.13134517766498</v>
      </c>
      <c r="I196" s="27" t="n">
        <v>4</v>
      </c>
      <c r="J196" s="27" t="n">
        <v>10</v>
      </c>
      <c r="K196" s="28" t="n">
        <v>0.4</v>
      </c>
      <c r="L196" s="30" t="n">
        <v>3.1</v>
      </c>
      <c r="M196" s="28" t="n">
        <v>0.135715823466093</v>
      </c>
      <c r="N196" s="29" t="n">
        <v>14.08</v>
      </c>
      <c r="O196" s="28" t="n">
        <v>0.0404040404040404</v>
      </c>
      <c r="P196" s="27" t="n">
        <v>552</v>
      </c>
      <c r="Q196" s="28" t="n">
        <v>0.179863147605083</v>
      </c>
      <c r="R196" s="31" t="n">
        <v>0.488254228499923</v>
      </c>
    </row>
    <row r="197" customFormat="false" ht="15" hidden="false" customHeight="false" outlineLevel="0" collapsed="false">
      <c r="A197" s="25" t="n">
        <v>4113601</v>
      </c>
      <c r="B197" s="26" t="s">
        <v>262</v>
      </c>
      <c r="C197" s="26" t="s">
        <v>71</v>
      </c>
      <c r="D197" s="27" t="n">
        <v>4601</v>
      </c>
      <c r="E197" s="27" t="n">
        <v>234</v>
      </c>
      <c r="F197" s="27" t="n">
        <v>127</v>
      </c>
      <c r="G197" s="28" t="n">
        <v>0.542735042735043</v>
      </c>
      <c r="H197" s="29" t="n">
        <v>1.08170515097691</v>
      </c>
      <c r="I197" s="27" t="n">
        <v>0</v>
      </c>
      <c r="J197" s="27" t="n">
        <v>1</v>
      </c>
      <c r="K197" s="28" t="n">
        <v>0</v>
      </c>
      <c r="L197" s="30" t="n">
        <v>20.83</v>
      </c>
      <c r="M197" s="28" t="n">
        <v>0.122364703325364</v>
      </c>
      <c r="N197" s="29" t="n">
        <v>8.48</v>
      </c>
      <c r="O197" s="28" t="n">
        <v>0</v>
      </c>
      <c r="P197" s="27" t="n">
        <v>128</v>
      </c>
      <c r="Q197" s="28" t="n">
        <v>0.241509433962264</v>
      </c>
      <c r="R197" s="31" t="n">
        <v>0.454204951818163</v>
      </c>
    </row>
    <row r="198" customFormat="false" ht="15" hidden="false" customHeight="false" outlineLevel="0" collapsed="false">
      <c r="A198" s="25" t="n">
        <v>4113700</v>
      </c>
      <c r="B198" s="26" t="s">
        <v>263</v>
      </c>
      <c r="C198" s="26" t="s">
        <v>264</v>
      </c>
      <c r="D198" s="27" t="n">
        <v>555965</v>
      </c>
      <c r="E198" s="27" t="n">
        <v>30194</v>
      </c>
      <c r="F198" s="27" t="n">
        <v>2282</v>
      </c>
      <c r="G198" s="28" t="n">
        <v>0.075577929389945</v>
      </c>
      <c r="H198" s="29" t="n">
        <v>1.15297815025442</v>
      </c>
      <c r="I198" s="27" t="n">
        <v>152</v>
      </c>
      <c r="J198" s="27" t="n">
        <v>187</v>
      </c>
      <c r="K198" s="28" t="n">
        <v>0.812834224598931</v>
      </c>
      <c r="L198" s="30" t="n">
        <v>11.84</v>
      </c>
      <c r="M198" s="28" t="n">
        <v>0.120187421870082</v>
      </c>
      <c r="N198" s="29" t="n">
        <v>11</v>
      </c>
      <c r="O198" s="28" t="n">
        <v>0.0480859010270775</v>
      </c>
      <c r="P198" s="27" t="n">
        <v>12581</v>
      </c>
      <c r="Q198" s="28" t="n">
        <v>0.196722593154348</v>
      </c>
      <c r="R198" s="31" t="n">
        <v>0.628658284030034</v>
      </c>
    </row>
    <row r="199" customFormat="false" ht="15" hidden="false" customHeight="false" outlineLevel="0" collapsed="false">
      <c r="A199" s="25" t="n">
        <v>4113734</v>
      </c>
      <c r="B199" s="26" t="s">
        <v>265</v>
      </c>
      <c r="C199" s="26" t="s">
        <v>65</v>
      </c>
      <c r="D199" s="27" t="n">
        <v>6690</v>
      </c>
      <c r="E199" s="27" t="n">
        <v>445</v>
      </c>
      <c r="F199" s="27" t="n">
        <v>101</v>
      </c>
      <c r="G199" s="28" t="n">
        <v>0.226966292134831</v>
      </c>
      <c r="H199" s="29" t="n">
        <v>1.04587155963303</v>
      </c>
      <c r="I199" s="27" t="n">
        <v>0</v>
      </c>
      <c r="J199" s="27" t="n">
        <v>2</v>
      </c>
      <c r="K199" s="28" t="n">
        <v>0</v>
      </c>
      <c r="L199" s="30" t="n">
        <v>0</v>
      </c>
      <c r="M199" s="28" t="n">
        <v>0.146636771300448</v>
      </c>
      <c r="N199" s="29" t="n">
        <v>11.96</v>
      </c>
      <c r="O199" s="28" t="n">
        <v>0.0355555555555555</v>
      </c>
      <c r="P199" s="27" t="n">
        <v>329</v>
      </c>
      <c r="Q199" s="28" t="n">
        <v>0.357997823721436</v>
      </c>
      <c r="R199" s="31" t="n">
        <v>0.48213184735749</v>
      </c>
    </row>
    <row r="200" customFormat="false" ht="15" hidden="false" customHeight="false" outlineLevel="0" collapsed="false">
      <c r="A200" s="25" t="n">
        <v>4113759</v>
      </c>
      <c r="B200" s="26" t="s">
        <v>266</v>
      </c>
      <c r="C200" s="26" t="s">
        <v>71</v>
      </c>
      <c r="D200" s="27" t="n">
        <v>4872</v>
      </c>
      <c r="E200" s="27" t="n">
        <v>239</v>
      </c>
      <c r="F200" s="27" t="n">
        <v>103</v>
      </c>
      <c r="G200" s="28" t="n">
        <v>0.430962343096234</v>
      </c>
      <c r="H200" s="29" t="n">
        <v>0.994764397905759</v>
      </c>
      <c r="I200" s="27" t="n">
        <v>0</v>
      </c>
      <c r="J200" s="27" t="n">
        <v>2</v>
      </c>
      <c r="K200" s="28" t="n">
        <v>0</v>
      </c>
      <c r="L200" s="30" t="n">
        <v>0</v>
      </c>
      <c r="M200" s="28" t="n">
        <v>0.117610837438424</v>
      </c>
      <c r="N200" s="29" t="n">
        <v>9.03</v>
      </c>
      <c r="O200" s="28" t="n">
        <v>0.037037037037037</v>
      </c>
      <c r="P200" s="27" t="n">
        <v>180</v>
      </c>
      <c r="Q200" s="28" t="n">
        <v>0.344827586206897</v>
      </c>
      <c r="R200" s="31" t="n">
        <v>0.394886506053637</v>
      </c>
    </row>
    <row r="201" customFormat="false" ht="15" hidden="false" customHeight="false" outlineLevel="0" collapsed="false">
      <c r="A201" s="25" t="n">
        <v>4113809</v>
      </c>
      <c r="B201" s="26" t="s">
        <v>267</v>
      </c>
      <c r="C201" s="26" t="s">
        <v>71</v>
      </c>
      <c r="D201" s="27" t="n">
        <v>4813</v>
      </c>
      <c r="E201" s="27" t="n">
        <v>273</v>
      </c>
      <c r="F201" s="27" t="n">
        <v>141</v>
      </c>
      <c r="G201" s="28" t="n">
        <v>0.516483516483517</v>
      </c>
      <c r="H201" s="29" t="n">
        <v>1.09421487603306</v>
      </c>
      <c r="I201" s="27" t="n">
        <v>1</v>
      </c>
      <c r="J201" s="27" t="n">
        <v>3</v>
      </c>
      <c r="K201" s="28" t="n">
        <v>0.333333333333333</v>
      </c>
      <c r="L201" s="30" t="n">
        <v>44.44</v>
      </c>
      <c r="M201" s="28" t="n">
        <v>0.125701225846665</v>
      </c>
      <c r="N201" s="29" t="n">
        <v>10.18</v>
      </c>
      <c r="O201" s="28" t="n">
        <v>0.03125</v>
      </c>
      <c r="P201" s="27" t="n">
        <v>171</v>
      </c>
      <c r="Q201" s="28" t="n">
        <v>0.302120141342756</v>
      </c>
      <c r="R201" s="31" t="n">
        <v>0.41357468049912</v>
      </c>
    </row>
    <row r="202" customFormat="false" ht="15" hidden="false" customHeight="false" outlineLevel="0" collapsed="false">
      <c r="A202" s="25" t="n">
        <v>4113908</v>
      </c>
      <c r="B202" s="26" t="s">
        <v>268</v>
      </c>
      <c r="C202" s="26" t="s">
        <v>65</v>
      </c>
      <c r="D202" s="27" t="n">
        <v>13428</v>
      </c>
      <c r="E202" s="27" t="n">
        <v>810</v>
      </c>
      <c r="F202" s="27" t="n">
        <v>153</v>
      </c>
      <c r="G202" s="28" t="n">
        <v>0.188888888888889</v>
      </c>
      <c r="H202" s="29" t="n">
        <v>1.09491733006736</v>
      </c>
      <c r="I202" s="27" t="n">
        <v>1</v>
      </c>
      <c r="J202" s="27" t="n">
        <v>3</v>
      </c>
      <c r="K202" s="28" t="n">
        <v>0.333333333333333</v>
      </c>
      <c r="L202" s="30" t="n">
        <v>0</v>
      </c>
      <c r="M202" s="28" t="n">
        <v>0.121611557938636</v>
      </c>
      <c r="N202" s="29" t="n">
        <v>11.92</v>
      </c>
      <c r="O202" s="28" t="n">
        <v>0.0084745762711864</v>
      </c>
      <c r="P202" s="27" t="n">
        <v>258</v>
      </c>
      <c r="Q202" s="28" t="n">
        <v>0.156838905775076</v>
      </c>
      <c r="R202" s="31" t="n">
        <v>0.53625280952931</v>
      </c>
    </row>
    <row r="203" customFormat="false" ht="15" hidden="false" customHeight="false" outlineLevel="0" collapsed="false">
      <c r="A203" s="25" t="n">
        <v>4114005</v>
      </c>
      <c r="B203" s="26" t="s">
        <v>269</v>
      </c>
      <c r="C203" s="26" t="s">
        <v>65</v>
      </c>
      <c r="D203" s="27" t="n">
        <v>13452</v>
      </c>
      <c r="E203" s="27" t="n">
        <v>772</v>
      </c>
      <c r="F203" s="27" t="n">
        <v>221</v>
      </c>
      <c r="G203" s="28" t="n">
        <v>0.286269430051814</v>
      </c>
      <c r="H203" s="29" t="n">
        <v>1.10485781990521</v>
      </c>
      <c r="I203" s="27" t="n">
        <v>1</v>
      </c>
      <c r="J203" s="27" t="n">
        <v>4</v>
      </c>
      <c r="K203" s="28" t="n">
        <v>0.25</v>
      </c>
      <c r="L203" s="30" t="n">
        <v>0</v>
      </c>
      <c r="M203" s="28" t="n">
        <v>0.125483199524234</v>
      </c>
      <c r="N203" s="29" t="n">
        <v>10.33</v>
      </c>
      <c r="O203" s="28" t="n">
        <v>0.15</v>
      </c>
      <c r="P203" s="27" t="n">
        <v>507</v>
      </c>
      <c r="Q203" s="28" t="n">
        <v>0.312384473197782</v>
      </c>
      <c r="R203" s="31" t="n">
        <v>0.379428490564677</v>
      </c>
    </row>
    <row r="204" customFormat="false" ht="15" hidden="false" customHeight="false" outlineLevel="0" collapsed="false">
      <c r="A204" s="25" t="n">
        <v>4114104</v>
      </c>
      <c r="B204" s="26" t="s">
        <v>270</v>
      </c>
      <c r="C204" s="26" t="s">
        <v>86</v>
      </c>
      <c r="D204" s="27" t="n">
        <v>31457</v>
      </c>
      <c r="E204" s="27" t="n">
        <v>2321</v>
      </c>
      <c r="F204" s="27" t="n">
        <v>845</v>
      </c>
      <c r="G204" s="28" t="n">
        <v>0.364067212408445</v>
      </c>
      <c r="H204" s="29" t="n">
        <v>1.08523521192361</v>
      </c>
      <c r="I204" s="27" t="n">
        <v>3</v>
      </c>
      <c r="J204" s="27" t="n">
        <v>7</v>
      </c>
      <c r="K204" s="28" t="n">
        <v>0.428571428571429</v>
      </c>
      <c r="L204" s="30" t="n">
        <v>9.46</v>
      </c>
      <c r="M204" s="28" t="n">
        <v>0.136503798836507</v>
      </c>
      <c r="N204" s="29" t="n">
        <v>12.72</v>
      </c>
      <c r="O204" s="28" t="n">
        <v>0.0185185185185185</v>
      </c>
      <c r="P204" s="27" t="n">
        <v>549</v>
      </c>
      <c r="Q204" s="28" t="n">
        <v>0.120978404583517</v>
      </c>
      <c r="R204" s="31" t="n">
        <v>0.467491134493988</v>
      </c>
    </row>
    <row r="205" customFormat="false" ht="15" hidden="false" customHeight="false" outlineLevel="0" collapsed="false">
      <c r="A205" s="25" t="n">
        <v>4114203</v>
      </c>
      <c r="B205" s="26" t="s">
        <v>271</v>
      </c>
      <c r="C205" s="26" t="s">
        <v>86</v>
      </c>
      <c r="D205" s="27" t="n">
        <v>36716</v>
      </c>
      <c r="E205" s="27" t="n">
        <v>2261</v>
      </c>
      <c r="F205" s="27" t="n">
        <v>936</v>
      </c>
      <c r="G205" s="28" t="n">
        <v>0.413976116762494</v>
      </c>
      <c r="H205" s="29" t="n">
        <v>1.08711190529372</v>
      </c>
      <c r="I205" s="27" t="n">
        <v>3</v>
      </c>
      <c r="J205" s="27" t="n">
        <v>12</v>
      </c>
      <c r="K205" s="28" t="n">
        <v>0.25</v>
      </c>
      <c r="L205" s="30" t="n">
        <v>12.22</v>
      </c>
      <c r="M205" s="28" t="n">
        <v>0.121935940734285</v>
      </c>
      <c r="N205" s="29" t="n">
        <v>12.15</v>
      </c>
      <c r="O205" s="28" t="n">
        <v>0</v>
      </c>
      <c r="P205" s="27" t="n">
        <v>408</v>
      </c>
      <c r="Q205" s="28" t="n">
        <v>0.0890829694323144</v>
      </c>
      <c r="R205" s="31" t="n">
        <v>0.594735167441845</v>
      </c>
    </row>
    <row r="206" customFormat="false" ht="15" hidden="false" customHeight="false" outlineLevel="0" collapsed="false">
      <c r="A206" s="25" t="n">
        <v>4114302</v>
      </c>
      <c r="B206" s="26" t="s">
        <v>272</v>
      </c>
      <c r="C206" s="26" t="s">
        <v>86</v>
      </c>
      <c r="D206" s="27" t="n">
        <v>27439</v>
      </c>
      <c r="E206" s="27" t="n">
        <v>1769</v>
      </c>
      <c r="F206" s="27" t="n">
        <v>502</v>
      </c>
      <c r="G206" s="28" t="n">
        <v>0.283776144714528</v>
      </c>
      <c r="H206" s="29" t="n">
        <v>1.07445997458704</v>
      </c>
      <c r="I206" s="27" t="n">
        <v>1</v>
      </c>
      <c r="J206" s="27" t="n">
        <v>6</v>
      </c>
      <c r="K206" s="28" t="n">
        <v>0.166666666666667</v>
      </c>
      <c r="L206" s="30" t="n">
        <v>11.8</v>
      </c>
      <c r="M206" s="28" t="n">
        <v>0.14340901636357</v>
      </c>
      <c r="N206" s="29" t="n">
        <v>13.16</v>
      </c>
      <c r="O206" s="28" t="n">
        <v>0.169230769230769</v>
      </c>
      <c r="P206" s="27" t="n">
        <v>802</v>
      </c>
      <c r="Q206" s="28" t="n">
        <v>0.215071064628587</v>
      </c>
      <c r="R206" s="31" t="n">
        <v>0.462308991933146</v>
      </c>
    </row>
    <row r="207" customFormat="false" ht="15" hidden="false" customHeight="false" outlineLevel="0" collapsed="false">
      <c r="A207" s="25" t="n">
        <v>4114351</v>
      </c>
      <c r="B207" s="26" t="s">
        <v>273</v>
      </c>
      <c r="C207" s="26" t="s">
        <v>71</v>
      </c>
      <c r="D207" s="27" t="n">
        <v>2770</v>
      </c>
      <c r="E207" s="27" t="n">
        <v>168</v>
      </c>
      <c r="F207" s="27" t="n">
        <v>45</v>
      </c>
      <c r="G207" s="28" t="n">
        <v>0.267857142857143</v>
      </c>
      <c r="H207" s="29" t="n">
        <v>0.967123287671233</v>
      </c>
      <c r="I207" s="27" t="n">
        <v>0</v>
      </c>
      <c r="J207" s="27" t="n">
        <v>1</v>
      </c>
      <c r="K207" s="28" t="n">
        <v>0</v>
      </c>
      <c r="L207" s="30" t="n">
        <v>0</v>
      </c>
      <c r="M207" s="28" t="n">
        <v>0.131768953068592</v>
      </c>
      <c r="N207" s="29" t="n">
        <v>13.72</v>
      </c>
      <c r="O207" s="28" t="n">
        <v>0</v>
      </c>
      <c r="P207" s="27" t="n">
        <v>55</v>
      </c>
      <c r="Q207" s="28" t="n">
        <v>0.154494382022472</v>
      </c>
      <c r="R207" s="31" t="n">
        <v>0.414858451883686</v>
      </c>
    </row>
    <row r="208" customFormat="false" ht="15" hidden="false" customHeight="false" outlineLevel="0" collapsed="false">
      <c r="A208" s="25" t="n">
        <v>4114401</v>
      </c>
      <c r="B208" s="26" t="s">
        <v>274</v>
      </c>
      <c r="C208" s="26" t="s">
        <v>65</v>
      </c>
      <c r="D208" s="27" t="n">
        <v>16603</v>
      </c>
      <c r="E208" s="27" t="n">
        <v>1168</v>
      </c>
      <c r="F208" s="27" t="n">
        <v>387</v>
      </c>
      <c r="G208" s="28" t="n">
        <v>0.331335616438356</v>
      </c>
      <c r="H208" s="29" t="n">
        <v>1.0905737704918</v>
      </c>
      <c r="I208" s="27" t="n">
        <v>1</v>
      </c>
      <c r="J208" s="27" t="n">
        <v>4</v>
      </c>
      <c r="K208" s="28" t="n">
        <v>0.25</v>
      </c>
      <c r="L208" s="30" t="n">
        <v>29.17</v>
      </c>
      <c r="M208" s="28" t="n">
        <v>0.146961392519424</v>
      </c>
      <c r="N208" s="29" t="n">
        <v>13.91</v>
      </c>
      <c r="O208" s="28" t="n">
        <v>0.0153846153846153</v>
      </c>
      <c r="P208" s="27" t="n">
        <v>638</v>
      </c>
      <c r="Q208" s="28" t="n">
        <v>0.263418662262593</v>
      </c>
      <c r="R208" s="31" t="n">
        <v>0.488755276249661</v>
      </c>
    </row>
    <row r="209" customFormat="false" ht="15" hidden="false" customHeight="false" outlineLevel="0" collapsed="false">
      <c r="A209" s="25" t="n">
        <v>4114500</v>
      </c>
      <c r="B209" s="26" t="s">
        <v>275</v>
      </c>
      <c r="C209" s="26" t="s">
        <v>65</v>
      </c>
      <c r="D209" s="27" t="n">
        <v>14240</v>
      </c>
      <c r="E209" s="27" t="n">
        <v>1003</v>
      </c>
      <c r="F209" s="27" t="n">
        <v>229</v>
      </c>
      <c r="G209" s="28" t="n">
        <v>0.228315054835494</v>
      </c>
      <c r="H209" s="29" t="n">
        <v>1.05391467416784</v>
      </c>
      <c r="I209" s="27" t="n">
        <v>2</v>
      </c>
      <c r="J209" s="27" t="n">
        <v>4</v>
      </c>
      <c r="K209" s="28" t="n">
        <v>0.5</v>
      </c>
      <c r="L209" s="30" t="n">
        <v>0</v>
      </c>
      <c r="M209" s="28" t="n">
        <v>0.149789325842697</v>
      </c>
      <c r="N209" s="29" t="n">
        <v>15.59</v>
      </c>
      <c r="O209" s="28" t="n">
        <v>0.0384615384615384</v>
      </c>
      <c r="P209" s="27" t="n">
        <v>600</v>
      </c>
      <c r="Q209" s="28" t="n">
        <v>0.287769784172662</v>
      </c>
      <c r="R209" s="31" t="n">
        <v>0.467424147666881</v>
      </c>
    </row>
    <row r="210" customFormat="false" ht="15" hidden="false" customHeight="false" outlineLevel="0" collapsed="false">
      <c r="A210" s="25" t="n">
        <v>4114609</v>
      </c>
      <c r="B210" s="26" t="s">
        <v>276</v>
      </c>
      <c r="C210" s="26" t="s">
        <v>86</v>
      </c>
      <c r="D210" s="27" t="n">
        <v>55836</v>
      </c>
      <c r="E210" s="27" t="n">
        <v>3634</v>
      </c>
      <c r="F210" s="27" t="n">
        <v>1198</v>
      </c>
      <c r="G210" s="28" t="n">
        <v>0.329664281783159</v>
      </c>
      <c r="H210" s="29" t="n">
        <v>1.15349172066235</v>
      </c>
      <c r="I210" s="27" t="n">
        <v>9</v>
      </c>
      <c r="J210" s="27" t="n">
        <v>20</v>
      </c>
      <c r="K210" s="28" t="n">
        <v>0.45</v>
      </c>
      <c r="L210" s="30" t="n">
        <v>8.06</v>
      </c>
      <c r="M210" s="28" t="n">
        <v>0.12438211906297</v>
      </c>
      <c r="N210" s="29" t="n">
        <v>13.11</v>
      </c>
      <c r="O210" s="28" t="n">
        <v>0.0300546448087431</v>
      </c>
      <c r="P210" s="27" t="n">
        <v>721</v>
      </c>
      <c r="Q210" s="28" t="n">
        <v>0.099668233342549</v>
      </c>
      <c r="R210" s="31" t="n">
        <v>0.636931713981989</v>
      </c>
    </row>
    <row r="211" customFormat="false" ht="15" hidden="false" customHeight="false" outlineLevel="0" collapsed="false">
      <c r="A211" s="25" t="n">
        <v>4114708</v>
      </c>
      <c r="B211" s="26" t="s">
        <v>277</v>
      </c>
      <c r="C211" s="26" t="s">
        <v>65</v>
      </c>
      <c r="D211" s="27" t="n">
        <v>5865</v>
      </c>
      <c r="E211" s="27" t="n">
        <v>337</v>
      </c>
      <c r="F211" s="27" t="n">
        <v>108</v>
      </c>
      <c r="G211" s="28" t="n">
        <v>0.320474777448071</v>
      </c>
      <c r="H211" s="29" t="n">
        <v>1.12156295224313</v>
      </c>
      <c r="I211" s="27" t="n">
        <v>1</v>
      </c>
      <c r="J211" s="27" t="n">
        <v>3</v>
      </c>
      <c r="K211" s="28" t="n">
        <v>0.333333333333333</v>
      </c>
      <c r="L211" s="30" t="n">
        <v>0</v>
      </c>
      <c r="M211" s="28" t="n">
        <v>0.117817561807332</v>
      </c>
      <c r="N211" s="29" t="n">
        <v>10.74</v>
      </c>
      <c r="O211" s="28" t="n">
        <v>0</v>
      </c>
      <c r="P211" s="27" t="n">
        <v>189</v>
      </c>
      <c r="Q211" s="28" t="n">
        <v>0.274310595065312</v>
      </c>
      <c r="R211" s="31" t="n">
        <v>0.414093818511857</v>
      </c>
    </row>
    <row r="212" customFormat="false" ht="15" hidden="false" customHeight="false" outlineLevel="0" collapsed="false">
      <c r="A212" s="25" t="n">
        <v>4114807</v>
      </c>
      <c r="B212" s="26" t="s">
        <v>278</v>
      </c>
      <c r="C212" s="26" t="s">
        <v>86</v>
      </c>
      <c r="D212" s="27" t="n">
        <v>41851</v>
      </c>
      <c r="E212" s="27" t="n">
        <v>2628</v>
      </c>
      <c r="F212" s="27" t="n">
        <v>867</v>
      </c>
      <c r="G212" s="28" t="n">
        <v>0.329908675799087</v>
      </c>
      <c r="H212" s="29" t="n">
        <v>1.12320969518913</v>
      </c>
      <c r="I212" s="27" t="n">
        <v>4</v>
      </c>
      <c r="J212" s="27" t="n">
        <v>9</v>
      </c>
      <c r="K212" s="28" t="n">
        <v>0.444444444444444</v>
      </c>
      <c r="L212" s="30" t="n">
        <v>16.33</v>
      </c>
      <c r="M212" s="28" t="n">
        <v>0.130128312346181</v>
      </c>
      <c r="N212" s="29" t="n">
        <v>13.36</v>
      </c>
      <c r="O212" s="28" t="n">
        <v>0.0528169014084507</v>
      </c>
      <c r="P212" s="27" t="n">
        <v>901</v>
      </c>
      <c r="Q212" s="28" t="n">
        <v>0.166543438077634</v>
      </c>
      <c r="R212" s="31" t="n">
        <v>0.558040950696286</v>
      </c>
    </row>
    <row r="213" customFormat="false" ht="15" hidden="false" customHeight="false" outlineLevel="0" collapsed="false">
      <c r="A213" s="25" t="n">
        <v>4114906</v>
      </c>
      <c r="B213" s="26" t="s">
        <v>279</v>
      </c>
      <c r="C213" s="26" t="s">
        <v>65</v>
      </c>
      <c r="D213" s="27" t="n">
        <v>8677</v>
      </c>
      <c r="E213" s="27" t="n">
        <v>536</v>
      </c>
      <c r="F213" s="27" t="n">
        <v>115</v>
      </c>
      <c r="G213" s="28" t="n">
        <v>0.21455223880597</v>
      </c>
      <c r="H213" s="29" t="n">
        <v>1.06615120274914</v>
      </c>
      <c r="I213" s="27" t="n">
        <v>1</v>
      </c>
      <c r="J213" s="27" t="n">
        <v>3</v>
      </c>
      <c r="K213" s="28" t="n">
        <v>0.333333333333333</v>
      </c>
      <c r="L213" s="30" t="n">
        <v>8</v>
      </c>
      <c r="M213" s="28" t="n">
        <v>0.134147746917137</v>
      </c>
      <c r="N213" s="29" t="n">
        <v>11.76</v>
      </c>
      <c r="O213" s="28" t="n">
        <v>0</v>
      </c>
      <c r="P213" s="27" t="n">
        <v>394</v>
      </c>
      <c r="Q213" s="28" t="n">
        <v>0.339070567986231</v>
      </c>
      <c r="R213" s="31" t="n">
        <v>0.437627535927602</v>
      </c>
    </row>
    <row r="214" customFormat="false" ht="15" hidden="false" customHeight="false" outlineLevel="0" collapsed="false">
      <c r="A214" s="25" t="n">
        <v>4115002</v>
      </c>
      <c r="B214" s="26" t="s">
        <v>280</v>
      </c>
      <c r="C214" s="26" t="s">
        <v>65</v>
      </c>
      <c r="D214" s="27" t="n">
        <v>7253</v>
      </c>
      <c r="E214" s="27" t="n">
        <v>454</v>
      </c>
      <c r="F214" s="27" t="n">
        <v>203</v>
      </c>
      <c r="G214" s="28" t="n">
        <v>0.447136563876652</v>
      </c>
      <c r="H214" s="29" t="n">
        <v>1.12748171368861</v>
      </c>
      <c r="I214" s="27" t="n">
        <v>0</v>
      </c>
      <c r="J214" s="27" t="n">
        <v>2</v>
      </c>
      <c r="K214" s="28" t="n">
        <v>0</v>
      </c>
      <c r="L214" s="30" t="n">
        <v>12.82</v>
      </c>
      <c r="M214" s="28" t="n">
        <v>0.131945401902661</v>
      </c>
      <c r="N214" s="29" t="n">
        <v>12.68</v>
      </c>
      <c r="O214" s="28" t="n">
        <v>0.032258064516129</v>
      </c>
      <c r="P214" s="27" t="n">
        <v>187</v>
      </c>
      <c r="Q214" s="28" t="n">
        <v>0.202162162162162</v>
      </c>
      <c r="R214" s="31" t="n">
        <v>0.397964002452708</v>
      </c>
    </row>
    <row r="215" customFormat="false" ht="15" hidden="false" customHeight="false" outlineLevel="0" collapsed="false">
      <c r="A215" s="25" t="n">
        <v>4115101</v>
      </c>
      <c r="B215" s="26" t="s">
        <v>281</v>
      </c>
      <c r="C215" s="26" t="s">
        <v>65</v>
      </c>
      <c r="D215" s="27" t="n">
        <v>9847</v>
      </c>
      <c r="E215" s="27" t="n">
        <v>652</v>
      </c>
      <c r="F215" s="27" t="n">
        <v>159</v>
      </c>
      <c r="G215" s="28" t="n">
        <v>0.243865030674847</v>
      </c>
      <c r="H215" s="29" t="n">
        <v>1.02092352092352</v>
      </c>
      <c r="I215" s="27" t="n">
        <v>0</v>
      </c>
      <c r="J215" s="27" t="n">
        <v>2</v>
      </c>
      <c r="K215" s="28" t="n">
        <v>0</v>
      </c>
      <c r="L215" s="30" t="n">
        <v>13.7</v>
      </c>
      <c r="M215" s="28" t="n">
        <v>0.140753528993602</v>
      </c>
      <c r="N215" s="29" t="n">
        <v>11.58</v>
      </c>
      <c r="O215" s="28" t="n">
        <v>0.0294117647058823</v>
      </c>
      <c r="P215" s="27" t="n">
        <v>441</v>
      </c>
      <c r="Q215" s="28" t="n">
        <v>0.326666666666667</v>
      </c>
      <c r="R215" s="31" t="n">
        <v>0.406252767918288</v>
      </c>
    </row>
    <row r="216" customFormat="false" ht="15" hidden="false" customHeight="false" outlineLevel="0" collapsed="false">
      <c r="A216" s="25" t="n">
        <v>4115200</v>
      </c>
      <c r="B216" s="26" t="s">
        <v>282</v>
      </c>
      <c r="C216" s="26" t="s">
        <v>138</v>
      </c>
      <c r="D216" s="27" t="n">
        <v>409657</v>
      </c>
      <c r="E216" s="27" t="n">
        <v>21680</v>
      </c>
      <c r="F216" s="27" t="n">
        <v>6614</v>
      </c>
      <c r="G216" s="28" t="n">
        <v>0.305073800738007</v>
      </c>
      <c r="H216" s="29" t="n">
        <v>1.17522943837</v>
      </c>
      <c r="I216" s="27" t="n">
        <v>63</v>
      </c>
      <c r="J216" s="27" t="n">
        <v>125</v>
      </c>
      <c r="K216" s="28" t="n">
        <v>0.504</v>
      </c>
      <c r="L216" s="30" t="n">
        <v>7.29</v>
      </c>
      <c r="M216" s="28" t="n">
        <v>0.111180817122617</v>
      </c>
      <c r="N216" s="29" t="n">
        <v>11.36</v>
      </c>
      <c r="O216" s="28" t="n">
        <v>0.0370751802265705</v>
      </c>
      <c r="P216" s="27" t="n">
        <v>5145</v>
      </c>
      <c r="Q216" s="28" t="n">
        <v>0.114772017489069</v>
      </c>
      <c r="R216" s="31" t="n">
        <v>0.671675410367447</v>
      </c>
    </row>
    <row r="217" customFormat="false" ht="15" hidden="false" customHeight="false" outlineLevel="0" collapsed="false">
      <c r="A217" s="25" t="n">
        <v>4115309</v>
      </c>
      <c r="B217" s="26" t="s">
        <v>283</v>
      </c>
      <c r="C217" s="26" t="s">
        <v>65</v>
      </c>
      <c r="D217" s="27" t="n">
        <v>6371</v>
      </c>
      <c r="E217" s="27" t="n">
        <v>437</v>
      </c>
      <c r="F217" s="27" t="n">
        <v>184</v>
      </c>
      <c r="G217" s="28" t="n">
        <v>0.421052631578947</v>
      </c>
      <c r="H217" s="29" t="n">
        <v>1.14354644149578</v>
      </c>
      <c r="I217" s="27" t="n">
        <v>1</v>
      </c>
      <c r="J217" s="27" t="n">
        <v>2</v>
      </c>
      <c r="K217" s="28" t="n">
        <v>0.5</v>
      </c>
      <c r="L217" s="30" t="n">
        <v>11.9</v>
      </c>
      <c r="M217" s="28" t="n">
        <v>0.130120860147544</v>
      </c>
      <c r="N217" s="29" t="n">
        <v>14.44</v>
      </c>
      <c r="O217" s="28" t="n">
        <v>0.176470588235294</v>
      </c>
      <c r="P217" s="27" t="n">
        <v>146</v>
      </c>
      <c r="Q217" s="28" t="n">
        <v>0.169570267131243</v>
      </c>
      <c r="R217" s="31" t="n">
        <v>0.479986861063246</v>
      </c>
    </row>
    <row r="218" customFormat="false" ht="15" hidden="false" customHeight="false" outlineLevel="0" collapsed="false">
      <c r="A218" s="25" t="n">
        <v>4115358</v>
      </c>
      <c r="B218" s="26" t="s">
        <v>284</v>
      </c>
      <c r="C218" s="26" t="s">
        <v>65</v>
      </c>
      <c r="D218" s="27" t="n">
        <v>6555</v>
      </c>
      <c r="E218" s="27" t="n">
        <v>357</v>
      </c>
      <c r="F218" s="27" t="n">
        <v>131</v>
      </c>
      <c r="G218" s="28" t="n">
        <v>0.366946778711485</v>
      </c>
      <c r="H218" s="29" t="n">
        <v>1.01758014477766</v>
      </c>
      <c r="I218" s="27" t="n">
        <v>1</v>
      </c>
      <c r="J218" s="27" t="n">
        <v>2</v>
      </c>
      <c r="K218" s="28" t="n">
        <v>0.5</v>
      </c>
      <c r="L218" s="30" t="n">
        <v>13.16</v>
      </c>
      <c r="M218" s="28" t="n">
        <v>0.147520976353928</v>
      </c>
      <c r="N218" s="29" t="n">
        <v>11.14</v>
      </c>
      <c r="O218" s="28" t="n">
        <v>0</v>
      </c>
      <c r="P218" s="27" t="n">
        <v>89</v>
      </c>
      <c r="Q218" s="28" t="n">
        <v>0.107617896009674</v>
      </c>
      <c r="R218" s="31" t="n">
        <v>0.50687367860632</v>
      </c>
    </row>
    <row r="219" customFormat="false" ht="15" hidden="false" customHeight="false" outlineLevel="0" collapsed="false">
      <c r="A219" s="25" t="n">
        <v>4115408</v>
      </c>
      <c r="B219" s="26" t="s">
        <v>285</v>
      </c>
      <c r="C219" s="26" t="s">
        <v>65</v>
      </c>
      <c r="D219" s="27" t="n">
        <v>15901</v>
      </c>
      <c r="E219" s="27" t="n">
        <v>1080</v>
      </c>
      <c r="F219" s="27" t="n">
        <v>259</v>
      </c>
      <c r="G219" s="28" t="n">
        <v>0.239814814814815</v>
      </c>
      <c r="H219" s="29" t="n">
        <v>1.05306319343946</v>
      </c>
      <c r="I219" s="27" t="n">
        <v>2</v>
      </c>
      <c r="J219" s="27" t="n">
        <v>4</v>
      </c>
      <c r="K219" s="28" t="n">
        <v>0.5</v>
      </c>
      <c r="L219" s="30" t="n">
        <v>4.78</v>
      </c>
      <c r="M219" s="28" t="n">
        <v>0.130369159172379</v>
      </c>
      <c r="N219" s="29" t="n">
        <v>13.33</v>
      </c>
      <c r="O219" s="28" t="n">
        <v>0.0418250950570342</v>
      </c>
      <c r="P219" s="27" t="n">
        <v>543</v>
      </c>
      <c r="Q219" s="28" t="n">
        <v>0.246930422919509</v>
      </c>
      <c r="R219" s="31" t="n">
        <v>0.524091647425799</v>
      </c>
    </row>
    <row r="220" customFormat="false" ht="15" hidden="false" customHeight="false" outlineLevel="0" collapsed="false">
      <c r="A220" s="25" t="n">
        <v>4115457</v>
      </c>
      <c r="B220" s="26" t="s">
        <v>286</v>
      </c>
      <c r="C220" s="26" t="s">
        <v>71</v>
      </c>
      <c r="D220" s="27" t="n">
        <v>4504</v>
      </c>
      <c r="E220" s="27" t="n">
        <v>307</v>
      </c>
      <c r="F220" s="27" t="n">
        <v>77</v>
      </c>
      <c r="G220" s="28" t="n">
        <v>0.250814332247557</v>
      </c>
      <c r="H220" s="29" t="n">
        <v>1.03697996918336</v>
      </c>
      <c r="I220" s="27" t="n">
        <v>1</v>
      </c>
      <c r="J220" s="27" t="n">
        <v>2</v>
      </c>
      <c r="K220" s="28" t="n">
        <v>0.5</v>
      </c>
      <c r="L220" s="30" t="n">
        <v>0</v>
      </c>
      <c r="M220" s="28" t="n">
        <v>0.144094138543517</v>
      </c>
      <c r="N220" s="29" t="n">
        <v>11.55</v>
      </c>
      <c r="O220" s="28" t="n">
        <v>0</v>
      </c>
      <c r="P220" s="27" t="n">
        <v>236</v>
      </c>
      <c r="Q220" s="28" t="n">
        <v>0.376395534290271</v>
      </c>
      <c r="R220" s="31" t="n">
        <v>0.457936686905581</v>
      </c>
    </row>
    <row r="221" customFormat="false" ht="15" hidden="false" customHeight="false" outlineLevel="0" collapsed="false">
      <c r="A221" s="25" t="n">
        <v>4115507</v>
      </c>
      <c r="B221" s="26" t="s">
        <v>287</v>
      </c>
      <c r="C221" s="26" t="s">
        <v>71</v>
      </c>
      <c r="D221" s="27" t="n">
        <v>4699</v>
      </c>
      <c r="E221" s="27" t="n">
        <v>273</v>
      </c>
      <c r="F221" s="27" t="n">
        <v>107</v>
      </c>
      <c r="G221" s="28" t="n">
        <v>0.391941391941392</v>
      </c>
      <c r="H221" s="29" t="n">
        <v>1.01172529313233</v>
      </c>
      <c r="I221" s="27" t="n">
        <v>1</v>
      </c>
      <c r="J221" s="27" t="n">
        <v>3</v>
      </c>
      <c r="K221" s="28" t="n">
        <v>0.333333333333333</v>
      </c>
      <c r="L221" s="30" t="n">
        <v>21.28</v>
      </c>
      <c r="M221" s="28" t="n">
        <v>0.12704830815067</v>
      </c>
      <c r="N221" s="29" t="n">
        <v>13.41</v>
      </c>
      <c r="O221" s="28" t="n">
        <v>0</v>
      </c>
      <c r="P221" s="27" t="n">
        <v>133</v>
      </c>
      <c r="Q221" s="28" t="n">
        <v>0.230103806228374</v>
      </c>
      <c r="R221" s="31" t="n">
        <v>0.426608604261943</v>
      </c>
    </row>
    <row r="222" customFormat="false" ht="15" hidden="false" customHeight="false" outlineLevel="0" collapsed="false">
      <c r="A222" s="25" t="n">
        <v>4115606</v>
      </c>
      <c r="B222" s="26" t="s">
        <v>288</v>
      </c>
      <c r="C222" s="26" t="s">
        <v>65</v>
      </c>
      <c r="D222" s="27" t="n">
        <v>18450</v>
      </c>
      <c r="E222" s="27" t="n">
        <v>1364</v>
      </c>
      <c r="F222" s="27" t="n">
        <v>602</v>
      </c>
      <c r="G222" s="28" t="n">
        <v>0.441348973607038</v>
      </c>
      <c r="H222" s="29" t="n">
        <v>1.18566904196358</v>
      </c>
      <c r="I222" s="27" t="n">
        <v>2</v>
      </c>
      <c r="J222" s="27" t="n">
        <v>8</v>
      </c>
      <c r="K222" s="28" t="n">
        <v>0.25</v>
      </c>
      <c r="L222" s="30" t="n">
        <v>3.42</v>
      </c>
      <c r="M222" s="28" t="n">
        <v>0.136910569105691</v>
      </c>
      <c r="N222" s="29" t="n">
        <v>14.04</v>
      </c>
      <c r="O222" s="28" t="n">
        <v>0.0206185567010309</v>
      </c>
      <c r="P222" s="27" t="n">
        <v>193</v>
      </c>
      <c r="Q222" s="28" t="n">
        <v>0.0720149253731343</v>
      </c>
      <c r="R222" s="31" t="n">
        <v>0.639773958334607</v>
      </c>
    </row>
    <row r="223" customFormat="false" ht="15" hidden="false" customHeight="false" outlineLevel="0" collapsed="false">
      <c r="A223" s="25" t="n">
        <v>4115705</v>
      </c>
      <c r="B223" s="26" t="s">
        <v>289</v>
      </c>
      <c r="C223" s="26" t="s">
        <v>86</v>
      </c>
      <c r="D223" s="27" t="n">
        <v>39259</v>
      </c>
      <c r="E223" s="27" t="n">
        <v>2293</v>
      </c>
      <c r="F223" s="27" t="n">
        <v>855</v>
      </c>
      <c r="G223" s="28" t="n">
        <v>0.372873964238988</v>
      </c>
      <c r="H223" s="29" t="n">
        <v>1.28081035453011</v>
      </c>
      <c r="I223" s="27" t="n">
        <v>3</v>
      </c>
      <c r="J223" s="27" t="n">
        <v>16</v>
      </c>
      <c r="K223" s="28" t="n">
        <v>0.1875</v>
      </c>
      <c r="L223" s="30" t="n">
        <v>15.41</v>
      </c>
      <c r="M223" s="28" t="n">
        <v>0.135790519371354</v>
      </c>
      <c r="N223" s="29" t="n">
        <v>12.97</v>
      </c>
      <c r="O223" s="28" t="n">
        <v>0.0344827586206896</v>
      </c>
      <c r="P223" s="27" t="n">
        <v>1057</v>
      </c>
      <c r="Q223" s="28" t="n">
        <v>0.21726618705036</v>
      </c>
      <c r="R223" s="31" t="n">
        <v>0.454941034570066</v>
      </c>
    </row>
    <row r="224" customFormat="false" ht="15" hidden="false" customHeight="false" outlineLevel="0" collapsed="false">
      <c r="A224" s="25" t="n">
        <v>4115739</v>
      </c>
      <c r="B224" s="26" t="s">
        <v>290</v>
      </c>
      <c r="C224" s="26" t="s">
        <v>71</v>
      </c>
      <c r="D224" s="27" t="n">
        <v>3267</v>
      </c>
      <c r="E224" s="27" t="n">
        <v>206</v>
      </c>
      <c r="F224" s="27" t="n">
        <v>71</v>
      </c>
      <c r="G224" s="28" t="n">
        <v>0.344660194174757</v>
      </c>
      <c r="H224" s="29" t="n">
        <v>1.27664974619289</v>
      </c>
      <c r="I224" s="27" t="n">
        <v>0</v>
      </c>
      <c r="J224" s="27" t="n">
        <v>1</v>
      </c>
      <c r="K224" s="28" t="n">
        <v>0</v>
      </c>
      <c r="L224" s="30" t="n">
        <v>54.05</v>
      </c>
      <c r="M224" s="28" t="n">
        <v>0.120599938781757</v>
      </c>
      <c r="N224" s="29" t="n">
        <v>8.88</v>
      </c>
      <c r="O224" s="28" t="n">
        <v>0.0344827586206896</v>
      </c>
      <c r="P224" s="27" t="n">
        <v>153</v>
      </c>
      <c r="Q224" s="28" t="n">
        <v>0.392307692307692</v>
      </c>
      <c r="R224" s="31" t="n">
        <v>0.377074790509339</v>
      </c>
    </row>
    <row r="225" customFormat="false" ht="15" hidden="false" customHeight="false" outlineLevel="0" collapsed="false">
      <c r="A225" s="25" t="n">
        <v>4115754</v>
      </c>
      <c r="B225" s="26" t="s">
        <v>291</v>
      </c>
      <c r="C225" s="26" t="s">
        <v>65</v>
      </c>
      <c r="D225" s="27" t="n">
        <v>9383</v>
      </c>
      <c r="E225" s="27" t="n">
        <v>741</v>
      </c>
      <c r="F225" s="27" t="n">
        <v>198</v>
      </c>
      <c r="G225" s="28" t="n">
        <v>0.267206477732794</v>
      </c>
      <c r="H225" s="29" t="n">
        <v>1.16265060240964</v>
      </c>
      <c r="I225" s="27" t="n">
        <v>2</v>
      </c>
      <c r="J225" s="27" t="n">
        <v>4</v>
      </c>
      <c r="K225" s="28" t="n">
        <v>0.5</v>
      </c>
      <c r="L225" s="30" t="n">
        <v>0</v>
      </c>
      <c r="M225" s="28" t="n">
        <v>0.159224128743472</v>
      </c>
      <c r="N225" s="29" t="n">
        <v>13.43</v>
      </c>
      <c r="O225" s="28" t="n">
        <v>0</v>
      </c>
      <c r="P225" s="27" t="n">
        <v>489</v>
      </c>
      <c r="Q225" s="28" t="n">
        <v>0.325349301397206</v>
      </c>
      <c r="R225" s="31" t="n">
        <v>0.440085308040039</v>
      </c>
    </row>
    <row r="226" customFormat="false" ht="15" hidden="false" customHeight="false" outlineLevel="0" collapsed="false">
      <c r="A226" s="25" t="n">
        <v>4115804</v>
      </c>
      <c r="B226" s="26" t="s">
        <v>292</v>
      </c>
      <c r="C226" s="26" t="s">
        <v>86</v>
      </c>
      <c r="D226" s="27" t="n">
        <v>54369</v>
      </c>
      <c r="E226" s="27" t="n">
        <v>3596</v>
      </c>
      <c r="F226" s="27" t="n">
        <v>1317</v>
      </c>
      <c r="G226" s="28" t="n">
        <v>0.366240266963293</v>
      </c>
      <c r="H226" s="29" t="n">
        <v>1.22048836873284</v>
      </c>
      <c r="I226" s="27" t="n">
        <v>5</v>
      </c>
      <c r="J226" s="27" t="n">
        <v>13</v>
      </c>
      <c r="K226" s="28" t="n">
        <v>0.384615384615385</v>
      </c>
      <c r="L226" s="30" t="n">
        <v>13.85</v>
      </c>
      <c r="M226" s="28" t="n">
        <v>0.127296805164708</v>
      </c>
      <c r="N226" s="29" t="n">
        <v>14.16</v>
      </c>
      <c r="O226" s="28" t="n">
        <v>0.0156006240249609</v>
      </c>
      <c r="P226" s="27" t="n">
        <v>763</v>
      </c>
      <c r="Q226" s="28" t="n">
        <v>0.105693309322621</v>
      </c>
      <c r="R226" s="31" t="n">
        <v>0.696641785849118</v>
      </c>
    </row>
    <row r="227" customFormat="false" ht="15" hidden="false" customHeight="false" outlineLevel="0" collapsed="false">
      <c r="A227" s="25" t="n">
        <v>4115853</v>
      </c>
      <c r="B227" s="26" t="s">
        <v>293</v>
      </c>
      <c r="C227" s="26" t="s">
        <v>65</v>
      </c>
      <c r="D227" s="27" t="n">
        <v>5931</v>
      </c>
      <c r="E227" s="27" t="n">
        <v>326</v>
      </c>
      <c r="F227" s="27" t="n">
        <v>154</v>
      </c>
      <c r="G227" s="28" t="n">
        <v>0.47239263803681</v>
      </c>
      <c r="H227" s="29" t="n">
        <v>1.08567931456548</v>
      </c>
      <c r="I227" s="27" t="n">
        <v>0</v>
      </c>
      <c r="J227" s="27" t="n">
        <v>3</v>
      </c>
      <c r="K227" s="28" t="n">
        <v>0</v>
      </c>
      <c r="L227" s="30" t="n">
        <v>0</v>
      </c>
      <c r="M227" s="28" t="n">
        <v>0.137750800876749</v>
      </c>
      <c r="N227" s="29" t="n">
        <v>9.95</v>
      </c>
      <c r="O227" s="28" t="n">
        <v>0</v>
      </c>
      <c r="P227" s="27" t="n">
        <v>64</v>
      </c>
      <c r="Q227" s="28" t="n">
        <v>0.0882758620689655</v>
      </c>
      <c r="R227" s="31" t="n">
        <v>0.511620691923626</v>
      </c>
    </row>
    <row r="228" customFormat="false" ht="15" hidden="false" customHeight="false" outlineLevel="0" collapsed="false">
      <c r="A228" s="25" t="n">
        <v>4115903</v>
      </c>
      <c r="B228" s="26" t="s">
        <v>294</v>
      </c>
      <c r="C228" s="26" t="s">
        <v>71</v>
      </c>
      <c r="D228" s="27" t="n">
        <v>2238</v>
      </c>
      <c r="E228" s="27" t="n">
        <v>171</v>
      </c>
      <c r="F228" s="27" t="n">
        <v>85</v>
      </c>
      <c r="G228" s="28" t="n">
        <v>0.497076023391813</v>
      </c>
      <c r="H228" s="29" t="n">
        <v>1.00625</v>
      </c>
      <c r="I228" s="27" t="n">
        <v>0</v>
      </c>
      <c r="J228" s="27" t="n">
        <v>3</v>
      </c>
      <c r="K228" s="28" t="n">
        <v>0</v>
      </c>
      <c r="L228" s="30" t="n">
        <v>0</v>
      </c>
      <c r="M228" s="28" t="n">
        <v>0.142984807864164</v>
      </c>
      <c r="N228" s="29" t="n">
        <v>12.96</v>
      </c>
      <c r="O228" s="28" t="n">
        <v>0</v>
      </c>
      <c r="P228" s="27" t="n">
        <v>95</v>
      </c>
      <c r="Q228" s="28" t="n">
        <v>0.28023598820059</v>
      </c>
      <c r="R228" s="31" t="n">
        <v>0.483629220040209</v>
      </c>
    </row>
    <row r="229" customFormat="false" ht="15" hidden="false" customHeight="false" outlineLevel="0" collapsed="false">
      <c r="A229" s="25" t="n">
        <v>4116000</v>
      </c>
      <c r="B229" s="26" t="s">
        <v>295</v>
      </c>
      <c r="C229" s="26" t="s">
        <v>71</v>
      </c>
      <c r="D229" s="27" t="n">
        <v>1966</v>
      </c>
      <c r="E229" s="27" t="n">
        <v>94</v>
      </c>
      <c r="F229" s="27" t="n">
        <v>49</v>
      </c>
      <c r="G229" s="28" t="n">
        <v>0.521276595744681</v>
      </c>
      <c r="H229" s="29" t="n">
        <v>1.18340611353712</v>
      </c>
      <c r="I229" s="27" t="n">
        <v>0</v>
      </c>
      <c r="J229" s="27" t="n">
        <v>1</v>
      </c>
      <c r="K229" s="28" t="n">
        <v>0</v>
      </c>
      <c r="L229" s="30" t="n">
        <v>0</v>
      </c>
      <c r="M229" s="28" t="n">
        <v>0.11648016276704</v>
      </c>
      <c r="N229" s="29" t="n">
        <v>3.56</v>
      </c>
      <c r="O229" s="28" t="n">
        <v>0</v>
      </c>
      <c r="P229" s="27" t="n">
        <v>47</v>
      </c>
      <c r="Q229" s="28" t="n">
        <v>0.213636363636364</v>
      </c>
      <c r="R229" s="31" t="n">
        <v>0.431173166315015</v>
      </c>
    </row>
    <row r="230" customFormat="false" ht="15" hidden="false" customHeight="false" outlineLevel="0" collapsed="false">
      <c r="A230" s="25" t="n">
        <v>4116059</v>
      </c>
      <c r="B230" s="26" t="s">
        <v>296</v>
      </c>
      <c r="C230" s="26" t="s">
        <v>65</v>
      </c>
      <c r="D230" s="27" t="n">
        <v>11064</v>
      </c>
      <c r="E230" s="27" t="n">
        <v>633</v>
      </c>
      <c r="F230" s="27" t="n">
        <v>233</v>
      </c>
      <c r="G230" s="28" t="n">
        <v>0.368088467614534</v>
      </c>
      <c r="H230" s="29" t="n">
        <v>1.16974169741697</v>
      </c>
      <c r="I230" s="27" t="n">
        <v>1</v>
      </c>
      <c r="J230" s="27" t="n">
        <v>4</v>
      </c>
      <c r="K230" s="28" t="n">
        <v>0.25</v>
      </c>
      <c r="L230" s="30" t="n">
        <v>7.52</v>
      </c>
      <c r="M230" s="28" t="n">
        <v>0.122469269703543</v>
      </c>
      <c r="N230" s="29" t="n">
        <v>11.12</v>
      </c>
      <c r="O230" s="28" t="n">
        <v>0.0238095238095238</v>
      </c>
      <c r="P230" s="27" t="n">
        <v>305</v>
      </c>
      <c r="Q230" s="28" t="n">
        <v>0.23533950617284</v>
      </c>
      <c r="R230" s="31" t="n">
        <v>0.488000404273752</v>
      </c>
    </row>
    <row r="231" customFormat="false" ht="15" hidden="false" customHeight="false" outlineLevel="0" collapsed="false">
      <c r="A231" s="25" t="n">
        <v>4116109</v>
      </c>
      <c r="B231" s="26" t="s">
        <v>297</v>
      </c>
      <c r="C231" s="26" t="s">
        <v>65</v>
      </c>
      <c r="D231" s="27" t="n">
        <v>11175</v>
      </c>
      <c r="E231" s="27" t="n">
        <v>617</v>
      </c>
      <c r="F231" s="27" t="n">
        <v>248</v>
      </c>
      <c r="G231" s="28" t="n">
        <v>0.40194489465154</v>
      </c>
      <c r="H231" s="29" t="n">
        <v>1.09516616314199</v>
      </c>
      <c r="I231" s="27" t="n">
        <v>0</v>
      </c>
      <c r="J231" s="27" t="n">
        <v>5</v>
      </c>
      <c r="K231" s="28" t="n">
        <v>0</v>
      </c>
      <c r="L231" s="30" t="n">
        <v>16.13</v>
      </c>
      <c r="M231" s="28" t="n">
        <v>0.118478747203579</v>
      </c>
      <c r="N231" s="29" t="n">
        <v>10.65</v>
      </c>
      <c r="O231" s="28" t="n">
        <v>0.0303030303030303</v>
      </c>
      <c r="P231" s="27" t="n">
        <v>411</v>
      </c>
      <c r="Q231" s="28" t="n">
        <v>0.324132492113565</v>
      </c>
      <c r="R231" s="31" t="n">
        <v>0.42655626933417</v>
      </c>
    </row>
    <row r="232" customFormat="false" ht="15" hidden="false" customHeight="false" outlineLevel="0" collapsed="false">
      <c r="A232" s="25" t="n">
        <v>4116208</v>
      </c>
      <c r="B232" s="26" t="s">
        <v>298</v>
      </c>
      <c r="C232" s="26" t="s">
        <v>65</v>
      </c>
      <c r="D232" s="27" t="n">
        <v>18309</v>
      </c>
      <c r="E232" s="27" t="n">
        <v>1170</v>
      </c>
      <c r="F232" s="27" t="n">
        <v>169</v>
      </c>
      <c r="G232" s="28" t="n">
        <v>0.144444444444444</v>
      </c>
      <c r="H232" s="29" t="n">
        <v>1.12956277577216</v>
      </c>
      <c r="I232" s="27" t="n">
        <v>2</v>
      </c>
      <c r="J232" s="27" t="n">
        <v>3</v>
      </c>
      <c r="K232" s="28" t="n">
        <v>0.666666666666667</v>
      </c>
      <c r="L232" s="30" t="n">
        <v>4.55</v>
      </c>
      <c r="M232" s="28" t="n">
        <v>0.136162543011634</v>
      </c>
      <c r="N232" s="29" t="n">
        <v>11.14</v>
      </c>
      <c r="O232" s="28" t="n">
        <v>0.0303030303030303</v>
      </c>
      <c r="P232" s="27" t="n">
        <v>716</v>
      </c>
      <c r="Q232" s="28" t="n">
        <v>0.295990078544853</v>
      </c>
      <c r="R232" s="31" t="n">
        <v>0.391755017063348</v>
      </c>
    </row>
    <row r="233" customFormat="false" ht="15" hidden="false" customHeight="false" outlineLevel="0" collapsed="false">
      <c r="A233" s="25" t="n">
        <v>4116307</v>
      </c>
      <c r="B233" s="26" t="s">
        <v>299</v>
      </c>
      <c r="C233" s="26" t="s">
        <v>71</v>
      </c>
      <c r="D233" s="27" t="n">
        <v>3951</v>
      </c>
      <c r="E233" s="27" t="n">
        <v>243</v>
      </c>
      <c r="F233" s="27" t="n">
        <v>115</v>
      </c>
      <c r="G233" s="28" t="n">
        <v>0.473251028806584</v>
      </c>
      <c r="H233" s="29" t="n">
        <v>1.17118997912317</v>
      </c>
      <c r="I233" s="27" t="n">
        <v>0</v>
      </c>
      <c r="J233" s="27" t="n">
        <v>1</v>
      </c>
      <c r="K233" s="28" t="n">
        <v>0</v>
      </c>
      <c r="L233" s="30" t="n">
        <v>0</v>
      </c>
      <c r="M233" s="28" t="n">
        <v>0.121235130346748</v>
      </c>
      <c r="N233" s="29" t="n">
        <v>11.64</v>
      </c>
      <c r="O233" s="28" t="n">
        <v>0</v>
      </c>
      <c r="P233" s="27" t="n">
        <v>125</v>
      </c>
      <c r="Q233" s="28" t="n">
        <v>0.245098039215686</v>
      </c>
      <c r="R233" s="31" t="n">
        <v>0.396484910991143</v>
      </c>
    </row>
    <row r="234" customFormat="false" ht="15" hidden="false" customHeight="false" outlineLevel="0" collapsed="false">
      <c r="A234" s="25" t="n">
        <v>4116406</v>
      </c>
      <c r="B234" s="26" t="s">
        <v>300</v>
      </c>
      <c r="C234" s="26" t="s">
        <v>71</v>
      </c>
      <c r="D234" s="27" t="n">
        <v>3669</v>
      </c>
      <c r="E234" s="27" t="n">
        <v>212</v>
      </c>
      <c r="F234" s="27" t="n">
        <v>83</v>
      </c>
      <c r="G234" s="28" t="n">
        <v>0.391509433962264</v>
      </c>
      <c r="H234" s="29" t="n">
        <v>1.05084745762712</v>
      </c>
      <c r="I234" s="27" t="n">
        <v>0</v>
      </c>
      <c r="J234" s="27" t="n">
        <v>2</v>
      </c>
      <c r="K234" s="28" t="n">
        <v>0</v>
      </c>
      <c r="L234" s="30" t="n">
        <v>0</v>
      </c>
      <c r="M234" s="28" t="n">
        <v>0.128645407467975</v>
      </c>
      <c r="N234" s="29" t="n">
        <v>15.26</v>
      </c>
      <c r="O234" s="28" t="n">
        <v>0.0588235294117647</v>
      </c>
      <c r="P234" s="27" t="n">
        <v>77</v>
      </c>
      <c r="Q234" s="28" t="n">
        <v>0.166666666666667</v>
      </c>
      <c r="R234" s="31" t="n">
        <v>0.396647397894998</v>
      </c>
    </row>
    <row r="235" customFormat="false" ht="15" hidden="false" customHeight="false" outlineLevel="0" collapsed="false">
      <c r="A235" s="25" t="n">
        <v>4116505</v>
      </c>
      <c r="B235" s="26" t="s">
        <v>301</v>
      </c>
      <c r="C235" s="26" t="s">
        <v>71</v>
      </c>
      <c r="D235" s="27" t="n">
        <v>1323</v>
      </c>
      <c r="E235" s="27" t="n">
        <v>75</v>
      </c>
      <c r="F235" s="27" t="n">
        <v>45</v>
      </c>
      <c r="G235" s="28" t="n">
        <v>0.6</v>
      </c>
      <c r="H235" s="29" t="n">
        <v>1.18181818181818</v>
      </c>
      <c r="I235" s="27" t="n">
        <v>0</v>
      </c>
      <c r="J235" s="27" t="n">
        <v>1</v>
      </c>
      <c r="K235" s="28" t="n">
        <v>0</v>
      </c>
      <c r="L235" s="30" t="n">
        <v>0</v>
      </c>
      <c r="M235" s="28" t="n">
        <v>0.133030990173847</v>
      </c>
      <c r="N235" s="29" t="n">
        <v>12.09</v>
      </c>
      <c r="O235" s="28" t="n">
        <v>0</v>
      </c>
      <c r="P235" s="27" t="n">
        <v>37</v>
      </c>
      <c r="Q235" s="28" t="n">
        <v>0.225609756097561</v>
      </c>
      <c r="R235" s="31" t="n">
        <v>0.419301763196141</v>
      </c>
    </row>
    <row r="236" customFormat="false" ht="15" hidden="false" customHeight="false" outlineLevel="0" collapsed="false">
      <c r="A236" s="25" t="n">
        <v>4116604</v>
      </c>
      <c r="B236" s="26" t="s">
        <v>302</v>
      </c>
      <c r="C236" s="26" t="s">
        <v>71</v>
      </c>
      <c r="D236" s="27" t="n">
        <v>3280</v>
      </c>
      <c r="E236" s="27" t="n">
        <v>175</v>
      </c>
      <c r="F236" s="27" t="n">
        <v>92</v>
      </c>
      <c r="G236" s="28" t="n">
        <v>0.525714285714286</v>
      </c>
      <c r="H236" s="29" t="n">
        <v>1.01990049751244</v>
      </c>
      <c r="I236" s="27" t="n">
        <v>1</v>
      </c>
      <c r="J236" s="27" t="n">
        <v>2</v>
      </c>
      <c r="K236" s="28" t="n">
        <v>0.5</v>
      </c>
      <c r="L236" s="30" t="n">
        <v>0</v>
      </c>
      <c r="M236" s="28" t="n">
        <v>0.122560975609756</v>
      </c>
      <c r="N236" s="29" t="n">
        <v>13.41</v>
      </c>
      <c r="O236" s="28" t="n">
        <v>0</v>
      </c>
      <c r="P236" s="27" t="n">
        <v>115</v>
      </c>
      <c r="Q236" s="28" t="n">
        <v>0.310810810810811</v>
      </c>
      <c r="R236" s="31" t="n">
        <v>0.453636699639402</v>
      </c>
    </row>
    <row r="237" customFormat="false" ht="15" hidden="false" customHeight="false" outlineLevel="0" collapsed="false">
      <c r="A237" s="25" t="n">
        <v>4116703</v>
      </c>
      <c r="B237" s="26" t="s">
        <v>303</v>
      </c>
      <c r="C237" s="26" t="s">
        <v>65</v>
      </c>
      <c r="D237" s="27" t="n">
        <v>13765</v>
      </c>
      <c r="E237" s="27" t="n">
        <v>857</v>
      </c>
      <c r="F237" s="27" t="n">
        <v>293</v>
      </c>
      <c r="G237" s="28" t="n">
        <v>0.341890315052509</v>
      </c>
      <c r="H237" s="29" t="n">
        <v>0.871351351351351</v>
      </c>
      <c r="I237" s="27" t="n">
        <v>1</v>
      </c>
      <c r="J237" s="27" t="n">
        <v>4</v>
      </c>
      <c r="K237" s="28" t="n">
        <v>0.25</v>
      </c>
      <c r="L237" s="30" t="n">
        <v>13.7</v>
      </c>
      <c r="M237" s="28" t="n">
        <v>0.134398837631675</v>
      </c>
      <c r="N237" s="29" t="n">
        <v>11.19</v>
      </c>
      <c r="O237" s="28" t="n">
        <v>0.0181818181818181</v>
      </c>
      <c r="P237" s="27" t="n">
        <v>259</v>
      </c>
      <c r="Q237" s="28" t="n">
        <v>0.139172487909726</v>
      </c>
      <c r="R237" s="31" t="n">
        <v>0.512017070287251</v>
      </c>
    </row>
    <row r="238" customFormat="false" ht="15" hidden="false" customHeight="false" outlineLevel="0" collapsed="false">
      <c r="A238" s="25" t="n">
        <v>4116802</v>
      </c>
      <c r="B238" s="26" t="s">
        <v>304</v>
      </c>
      <c r="C238" s="26" t="s">
        <v>65</v>
      </c>
      <c r="D238" s="27" t="n">
        <v>6790</v>
      </c>
      <c r="E238" s="27" t="n">
        <v>418</v>
      </c>
      <c r="F238" s="27" t="n">
        <v>150</v>
      </c>
      <c r="G238" s="28" t="n">
        <v>0.358851674641148</v>
      </c>
      <c r="H238" s="29" t="n">
        <v>1.16268486916951</v>
      </c>
      <c r="I238" s="27" t="n">
        <v>1</v>
      </c>
      <c r="J238" s="27" t="n">
        <v>3</v>
      </c>
      <c r="K238" s="28" t="n">
        <v>0.333333333333333</v>
      </c>
      <c r="L238" s="30" t="n">
        <v>10.75</v>
      </c>
      <c r="M238" s="28" t="n">
        <v>0.129455081001473</v>
      </c>
      <c r="N238" s="29" t="n">
        <v>14.73</v>
      </c>
      <c r="O238" s="28" t="n">
        <v>0</v>
      </c>
      <c r="P238" s="27" t="n">
        <v>322</v>
      </c>
      <c r="Q238" s="28" t="n">
        <v>0.374854481955763</v>
      </c>
      <c r="R238" s="31" t="n">
        <v>0.416287905377903</v>
      </c>
    </row>
    <row r="239" customFormat="false" ht="15" hidden="false" customHeight="false" outlineLevel="0" collapsed="false">
      <c r="A239" s="25" t="n">
        <v>4116901</v>
      </c>
      <c r="B239" s="26" t="s">
        <v>305</v>
      </c>
      <c r="C239" s="26" t="s">
        <v>86</v>
      </c>
      <c r="D239" s="27" t="n">
        <v>26585</v>
      </c>
      <c r="E239" s="27" t="n">
        <v>1528</v>
      </c>
      <c r="F239" s="27" t="n">
        <v>489</v>
      </c>
      <c r="G239" s="28" t="n">
        <v>0.320026178010471</v>
      </c>
      <c r="H239" s="29" t="n">
        <v>1.13341684935797</v>
      </c>
      <c r="I239" s="27" t="n">
        <v>4</v>
      </c>
      <c r="J239" s="27" t="n">
        <v>11</v>
      </c>
      <c r="K239" s="28" t="n">
        <v>0.363636363636364</v>
      </c>
      <c r="L239" s="30" t="n">
        <v>7.02</v>
      </c>
      <c r="M239" s="28" t="n">
        <v>0.12010532255031</v>
      </c>
      <c r="N239" s="29" t="n">
        <v>11.4</v>
      </c>
      <c r="O239" s="28" t="n">
        <v>0.0112994350282485</v>
      </c>
      <c r="P239" s="27" t="n">
        <v>734</v>
      </c>
      <c r="Q239" s="28" t="n">
        <v>0.23503041946846</v>
      </c>
      <c r="R239" s="31" t="n">
        <v>0.468112771759115</v>
      </c>
    </row>
    <row r="240" customFormat="false" ht="15" hidden="false" customHeight="false" outlineLevel="0" collapsed="false">
      <c r="A240" s="25" t="n">
        <v>4116950</v>
      </c>
      <c r="B240" s="26" t="s">
        <v>306</v>
      </c>
      <c r="C240" s="26" t="s">
        <v>65</v>
      </c>
      <c r="D240" s="27" t="n">
        <v>5597</v>
      </c>
      <c r="E240" s="27" t="n">
        <v>359</v>
      </c>
      <c r="F240" s="27" t="n">
        <v>82</v>
      </c>
      <c r="G240" s="28" t="n">
        <v>0.228412256267409</v>
      </c>
      <c r="H240" s="29" t="n">
        <v>1.08488063660477</v>
      </c>
      <c r="I240" s="27" t="n">
        <v>1</v>
      </c>
      <c r="J240" s="27" t="n">
        <v>2</v>
      </c>
      <c r="K240" s="28" t="n">
        <v>0.5</v>
      </c>
      <c r="L240" s="30" t="n">
        <v>27.03</v>
      </c>
      <c r="M240" s="28" t="n">
        <v>0.134715025906736</v>
      </c>
      <c r="N240" s="29" t="n">
        <v>14.29</v>
      </c>
      <c r="O240" s="28" t="n">
        <v>0.0925925925925925</v>
      </c>
      <c r="P240" s="27" t="n">
        <v>113</v>
      </c>
      <c r="Q240" s="28" t="n">
        <v>0.15521978021978</v>
      </c>
      <c r="R240" s="31" t="n">
        <v>0.449443088003142</v>
      </c>
    </row>
    <row r="241" customFormat="false" ht="15" hidden="false" customHeight="false" outlineLevel="0" collapsed="false">
      <c r="A241" s="25" t="n">
        <v>4117008</v>
      </c>
      <c r="B241" s="26" t="s">
        <v>307</v>
      </c>
      <c r="C241" s="26" t="s">
        <v>65</v>
      </c>
      <c r="D241" s="27" t="n">
        <v>7225</v>
      </c>
      <c r="E241" s="27" t="n">
        <v>360</v>
      </c>
      <c r="F241" s="27" t="n">
        <v>183</v>
      </c>
      <c r="G241" s="28" t="n">
        <v>0.508333333333333</v>
      </c>
      <c r="H241" s="29" t="n">
        <v>0.963282937365011</v>
      </c>
      <c r="I241" s="27" t="n">
        <v>2</v>
      </c>
      <c r="J241" s="27" t="n">
        <v>4</v>
      </c>
      <c r="K241" s="28" t="n">
        <v>0.5</v>
      </c>
      <c r="L241" s="30" t="n">
        <v>15.15</v>
      </c>
      <c r="M241" s="28" t="n">
        <v>0.128166089965398</v>
      </c>
      <c r="N241" s="29" t="n">
        <v>10.1</v>
      </c>
      <c r="O241" s="28" t="n">
        <v>0.166666666666667</v>
      </c>
      <c r="P241" s="27" t="n">
        <v>194</v>
      </c>
      <c r="Q241" s="28" t="n">
        <v>0.242197253433209</v>
      </c>
      <c r="R241" s="31" t="n">
        <v>0.420487901617766</v>
      </c>
    </row>
    <row r="242" customFormat="false" ht="15" hidden="false" customHeight="false" outlineLevel="0" collapsed="false">
      <c r="A242" s="25" t="n">
        <v>4117057</v>
      </c>
      <c r="B242" s="26" t="s">
        <v>308</v>
      </c>
      <c r="C242" s="26" t="s">
        <v>65</v>
      </c>
      <c r="D242" s="27" t="n">
        <v>12074</v>
      </c>
      <c r="E242" s="27" t="n">
        <v>1016</v>
      </c>
      <c r="F242" s="27" t="n">
        <v>165</v>
      </c>
      <c r="G242" s="28" t="n">
        <v>0.16240157480315</v>
      </c>
      <c r="H242" s="29" t="n">
        <v>0.955647240845797</v>
      </c>
      <c r="I242" s="27" t="n">
        <v>1</v>
      </c>
      <c r="J242" s="27" t="n">
        <v>3</v>
      </c>
      <c r="K242" s="28" t="n">
        <v>0.333333333333333</v>
      </c>
      <c r="L242" s="30" t="n">
        <v>16.95</v>
      </c>
      <c r="M242" s="28" t="n">
        <v>0.160593009773066</v>
      </c>
      <c r="N242" s="29" t="n">
        <v>16.07</v>
      </c>
      <c r="O242" s="28" t="n">
        <v>0.0272727272727272</v>
      </c>
      <c r="P242" s="27" t="n">
        <v>807</v>
      </c>
      <c r="Q242" s="28" t="n">
        <v>0.408814589665654</v>
      </c>
      <c r="R242" s="31" t="n">
        <v>0.430358538898012</v>
      </c>
    </row>
    <row r="243" customFormat="false" ht="15" hidden="false" customHeight="false" outlineLevel="0" collapsed="false">
      <c r="A243" s="25" t="n">
        <v>4117107</v>
      </c>
      <c r="B243" s="26" t="s">
        <v>309</v>
      </c>
      <c r="C243" s="26" t="s">
        <v>65</v>
      </c>
      <c r="D243" s="27" t="n">
        <v>12923</v>
      </c>
      <c r="E243" s="27" t="n">
        <v>810</v>
      </c>
      <c r="F243" s="27" t="n">
        <v>374</v>
      </c>
      <c r="G243" s="28" t="n">
        <v>0.461728395061728</v>
      </c>
      <c r="H243" s="29" t="n">
        <v>1.11202830188679</v>
      </c>
      <c r="I243" s="27" t="n">
        <v>2</v>
      </c>
      <c r="J243" s="27" t="n">
        <v>6</v>
      </c>
      <c r="K243" s="28" t="n">
        <v>0.333333333333333</v>
      </c>
      <c r="L243" s="30" t="n">
        <v>0</v>
      </c>
      <c r="M243" s="28" t="n">
        <v>0.131238876421883</v>
      </c>
      <c r="N243" s="29" t="n">
        <v>13.93</v>
      </c>
      <c r="O243" s="28" t="n">
        <v>0.0327868852459016</v>
      </c>
      <c r="P243" s="27" t="n">
        <v>362</v>
      </c>
      <c r="Q243" s="28" t="n">
        <v>0.213066509711595</v>
      </c>
      <c r="R243" s="31" t="n">
        <v>0.517519167063536</v>
      </c>
    </row>
    <row r="244" customFormat="false" ht="15" hidden="false" customHeight="false" outlineLevel="0" collapsed="false">
      <c r="A244" s="25" t="n">
        <v>4117206</v>
      </c>
      <c r="B244" s="26" t="s">
        <v>310</v>
      </c>
      <c r="C244" s="26" t="s">
        <v>65</v>
      </c>
      <c r="D244" s="27" t="n">
        <v>5833</v>
      </c>
      <c r="E244" s="27" t="n">
        <v>325</v>
      </c>
      <c r="F244" s="27" t="n">
        <v>144</v>
      </c>
      <c r="G244" s="28" t="n">
        <v>0.443076923076923</v>
      </c>
      <c r="H244" s="29" t="n">
        <v>1.11780821917808</v>
      </c>
      <c r="I244" s="27" t="n">
        <v>1</v>
      </c>
      <c r="J244" s="27" t="n">
        <v>2</v>
      </c>
      <c r="K244" s="28" t="n">
        <v>0.5</v>
      </c>
      <c r="L244" s="30" t="n">
        <v>14.93</v>
      </c>
      <c r="M244" s="28" t="n">
        <v>0.125150008571918</v>
      </c>
      <c r="N244" s="29" t="n">
        <v>10.46</v>
      </c>
      <c r="O244" s="28" t="n">
        <v>0</v>
      </c>
      <c r="P244" s="27" t="n">
        <v>156</v>
      </c>
      <c r="Q244" s="28" t="n">
        <v>0.227405247813411</v>
      </c>
      <c r="R244" s="31" t="n">
        <v>0.431476157540825</v>
      </c>
    </row>
    <row r="245" customFormat="false" ht="15" hidden="false" customHeight="false" outlineLevel="0" collapsed="false">
      <c r="A245" s="25" t="n">
        <v>4117255</v>
      </c>
      <c r="B245" s="26" t="s">
        <v>311</v>
      </c>
      <c r="C245" s="26" t="s">
        <v>65</v>
      </c>
      <c r="D245" s="27" t="n">
        <v>12699</v>
      </c>
      <c r="E245" s="27" t="n">
        <v>916</v>
      </c>
      <c r="F245" s="27" t="n">
        <v>289</v>
      </c>
      <c r="G245" s="28" t="n">
        <v>0.315502183406114</v>
      </c>
      <c r="H245" s="29" t="n">
        <v>0.893428063943162</v>
      </c>
      <c r="I245" s="27" t="n">
        <v>0</v>
      </c>
      <c r="J245" s="27" t="n">
        <v>3</v>
      </c>
      <c r="K245" s="28" t="n">
        <v>0</v>
      </c>
      <c r="L245" s="30" t="n">
        <v>7.46</v>
      </c>
      <c r="M245" s="28" t="n">
        <v>0.133002598629813</v>
      </c>
      <c r="N245" s="29" t="n">
        <v>10.08</v>
      </c>
      <c r="O245" s="28" t="n">
        <v>0</v>
      </c>
      <c r="P245" s="27" t="n">
        <v>252</v>
      </c>
      <c r="Q245" s="28" t="n">
        <v>0.144329896907216</v>
      </c>
      <c r="R245" s="31" t="n">
        <v>0.451063157014869</v>
      </c>
    </row>
    <row r="246" customFormat="false" ht="15" hidden="false" customHeight="false" outlineLevel="0" collapsed="false">
      <c r="A246" s="25" t="n">
        <v>4117214</v>
      </c>
      <c r="B246" s="26" t="s">
        <v>312</v>
      </c>
      <c r="C246" s="26" t="s">
        <v>71</v>
      </c>
      <c r="D246" s="27" t="n">
        <v>4184</v>
      </c>
      <c r="E246" s="27" t="n">
        <v>268</v>
      </c>
      <c r="F246" s="27" t="n">
        <v>119</v>
      </c>
      <c r="G246" s="28" t="n">
        <v>0.444029850746269</v>
      </c>
      <c r="H246" s="29" t="n">
        <v>1.06679035250464</v>
      </c>
      <c r="I246" s="27" t="n">
        <v>1</v>
      </c>
      <c r="J246" s="27" t="n">
        <v>2</v>
      </c>
      <c r="K246" s="28" t="n">
        <v>0.5</v>
      </c>
      <c r="L246" s="30" t="n">
        <v>40.82</v>
      </c>
      <c r="M246" s="28" t="n">
        <v>0.128824091778203</v>
      </c>
      <c r="N246" s="29" t="n">
        <v>12.67</v>
      </c>
      <c r="O246" s="28" t="n">
        <v>0.0793650793650793</v>
      </c>
      <c r="P246" s="27" t="n">
        <v>201</v>
      </c>
      <c r="Q246" s="28" t="n">
        <v>0.358928571428571</v>
      </c>
      <c r="R246" s="31" t="n">
        <v>0.386987265845214</v>
      </c>
    </row>
    <row r="247" customFormat="false" ht="15" hidden="false" customHeight="false" outlineLevel="0" collapsed="false">
      <c r="A247" s="25" t="n">
        <v>4117222</v>
      </c>
      <c r="B247" s="26" t="s">
        <v>313</v>
      </c>
      <c r="C247" s="26" t="s">
        <v>65</v>
      </c>
      <c r="D247" s="27" t="n">
        <v>8322</v>
      </c>
      <c r="E247" s="27" t="n">
        <v>524</v>
      </c>
      <c r="F247" s="27" t="n">
        <v>235</v>
      </c>
      <c r="G247" s="28" t="n">
        <v>0.448473282442748</v>
      </c>
      <c r="H247" s="29" t="n">
        <v>1.30566037735849</v>
      </c>
      <c r="I247" s="27" t="n">
        <v>1</v>
      </c>
      <c r="J247" s="27" t="n">
        <v>3</v>
      </c>
      <c r="K247" s="28" t="n">
        <v>0.333333333333333</v>
      </c>
      <c r="L247" s="30" t="n">
        <v>0</v>
      </c>
      <c r="M247" s="28" t="n">
        <v>0.127373227589522</v>
      </c>
      <c r="N247" s="29" t="n">
        <v>11.66</v>
      </c>
      <c r="O247" s="28" t="n">
        <v>0.0476190476190476</v>
      </c>
      <c r="P247" s="27" t="n">
        <v>145</v>
      </c>
      <c r="Q247" s="28" t="n">
        <v>0.135009310986965</v>
      </c>
      <c r="R247" s="31" t="n">
        <v>0.511196397189833</v>
      </c>
    </row>
    <row r="248" customFormat="false" ht="15" hidden="false" customHeight="false" outlineLevel="0" collapsed="false">
      <c r="A248" s="25" t="n">
        <v>4117271</v>
      </c>
      <c r="B248" s="26" t="s">
        <v>314</v>
      </c>
      <c r="C248" s="26" t="s">
        <v>65</v>
      </c>
      <c r="D248" s="27" t="n">
        <v>6848</v>
      </c>
      <c r="E248" s="27" t="n">
        <v>386</v>
      </c>
      <c r="F248" s="27" t="n">
        <v>160</v>
      </c>
      <c r="G248" s="28" t="n">
        <v>0.414507772020725</v>
      </c>
      <c r="H248" s="29" t="n">
        <v>1.12247191011236</v>
      </c>
      <c r="I248" s="27" t="n">
        <v>1</v>
      </c>
      <c r="J248" s="27" t="n">
        <v>4</v>
      </c>
      <c r="K248" s="28" t="n">
        <v>0.25</v>
      </c>
      <c r="L248" s="30" t="n">
        <v>11.63</v>
      </c>
      <c r="M248" s="28" t="n">
        <v>0.129964953271028</v>
      </c>
      <c r="N248" s="29" t="n">
        <v>13</v>
      </c>
      <c r="O248" s="28" t="n">
        <v>0.0519480519480519</v>
      </c>
      <c r="P248" s="27" t="n">
        <v>215</v>
      </c>
      <c r="Q248" s="28" t="n">
        <v>0.264452644526445</v>
      </c>
      <c r="R248" s="31" t="n">
        <v>0.362029783476815</v>
      </c>
    </row>
    <row r="249" customFormat="false" ht="15" hidden="false" customHeight="false" outlineLevel="0" collapsed="false">
      <c r="A249" s="25" t="n">
        <v>4117297</v>
      </c>
      <c r="B249" s="26" t="s">
        <v>315</v>
      </c>
      <c r="C249" s="26" t="s">
        <v>71</v>
      </c>
      <c r="D249" s="27" t="n">
        <v>3125</v>
      </c>
      <c r="E249" s="27" t="n">
        <v>168</v>
      </c>
      <c r="F249" s="27" t="n">
        <v>54</v>
      </c>
      <c r="G249" s="28" t="n">
        <v>0.321428571428571</v>
      </c>
      <c r="H249" s="29" t="n">
        <v>1.15804597701149</v>
      </c>
      <c r="I249" s="27" t="n">
        <v>1</v>
      </c>
      <c r="J249" s="27" t="n">
        <v>2</v>
      </c>
      <c r="K249" s="28" t="n">
        <v>0.5</v>
      </c>
      <c r="L249" s="30" t="n">
        <v>47.62</v>
      </c>
      <c r="M249" s="28" t="n">
        <v>0.11136</v>
      </c>
      <c r="N249" s="29" t="n">
        <v>11.84</v>
      </c>
      <c r="O249" s="28" t="n">
        <v>0</v>
      </c>
      <c r="P249" s="27" t="n">
        <v>85</v>
      </c>
      <c r="Q249" s="28" t="n">
        <v>0.238095238095238</v>
      </c>
      <c r="R249" s="31" t="n">
        <v>0.458092375127266</v>
      </c>
    </row>
    <row r="250" customFormat="false" ht="15" hidden="false" customHeight="false" outlineLevel="0" collapsed="false">
      <c r="A250" s="25" t="n">
        <v>4117305</v>
      </c>
      <c r="B250" s="26" t="s">
        <v>316</v>
      </c>
      <c r="C250" s="26" t="s">
        <v>86</v>
      </c>
      <c r="D250" s="27" t="n">
        <v>24192</v>
      </c>
      <c r="E250" s="27" t="n">
        <v>1733</v>
      </c>
      <c r="F250" s="27" t="n">
        <v>321</v>
      </c>
      <c r="G250" s="28" t="n">
        <v>0.185227928447778</v>
      </c>
      <c r="H250" s="29" t="n">
        <v>1.10172798216277</v>
      </c>
      <c r="I250" s="27" t="n">
        <v>2</v>
      </c>
      <c r="J250" s="27" t="n">
        <v>6</v>
      </c>
      <c r="K250" s="28" t="n">
        <v>0.333333333333333</v>
      </c>
      <c r="L250" s="30" t="n">
        <v>5.75</v>
      </c>
      <c r="M250" s="28" t="n">
        <v>0.148313492063492</v>
      </c>
      <c r="N250" s="29" t="n">
        <v>13.97</v>
      </c>
      <c r="O250" s="28" t="n">
        <v>0.034375</v>
      </c>
      <c r="P250" s="27" t="n">
        <v>1357</v>
      </c>
      <c r="Q250" s="28" t="n">
        <v>0.382361228515075</v>
      </c>
      <c r="R250" s="31" t="n">
        <v>0.67350889755949</v>
      </c>
    </row>
    <row r="251" customFormat="false" ht="15" hidden="false" customHeight="false" outlineLevel="0" collapsed="false">
      <c r="A251" s="25" t="n">
        <v>4117404</v>
      </c>
      <c r="B251" s="26" t="s">
        <v>317</v>
      </c>
      <c r="C251" s="26" t="s">
        <v>71</v>
      </c>
      <c r="D251" s="27" t="n">
        <v>3187</v>
      </c>
      <c r="E251" s="27" t="n">
        <v>157</v>
      </c>
      <c r="F251" s="27" t="n">
        <v>77</v>
      </c>
      <c r="G251" s="28" t="n">
        <v>0.490445859872611</v>
      </c>
      <c r="H251" s="29" t="n">
        <v>1.13144329896907</v>
      </c>
      <c r="I251" s="27" t="n">
        <v>0</v>
      </c>
      <c r="J251" s="27" t="n">
        <v>1</v>
      </c>
      <c r="K251" s="28" t="n">
        <v>0</v>
      </c>
      <c r="L251" s="30" t="n">
        <v>0</v>
      </c>
      <c r="M251" s="28" t="n">
        <v>0.121744587386257</v>
      </c>
      <c r="N251" s="29" t="n">
        <v>11.92</v>
      </c>
      <c r="O251" s="28" t="n">
        <v>0</v>
      </c>
      <c r="P251" s="27" t="n">
        <v>56</v>
      </c>
      <c r="Q251" s="28" t="n">
        <v>0.160458452722063</v>
      </c>
      <c r="R251" s="31" t="n">
        <v>0.432539578584225</v>
      </c>
    </row>
    <row r="252" customFormat="false" ht="15" hidden="false" customHeight="false" outlineLevel="0" collapsed="false">
      <c r="A252" s="25" t="n">
        <v>4117453</v>
      </c>
      <c r="B252" s="26" t="s">
        <v>318</v>
      </c>
      <c r="C252" s="26" t="s">
        <v>65</v>
      </c>
      <c r="D252" s="27" t="n">
        <v>6785</v>
      </c>
      <c r="E252" s="27" t="n">
        <v>454</v>
      </c>
      <c r="F252" s="27" t="n">
        <v>206</v>
      </c>
      <c r="G252" s="28" t="n">
        <v>0.45374449339207</v>
      </c>
      <c r="H252" s="29" t="n">
        <v>1.04021739130435</v>
      </c>
      <c r="I252" s="27" t="n">
        <v>0</v>
      </c>
      <c r="J252" s="27" t="n">
        <v>1</v>
      </c>
      <c r="K252" s="28" t="n">
        <v>0</v>
      </c>
      <c r="L252" s="30" t="n">
        <v>27.03</v>
      </c>
      <c r="M252" s="28" t="n">
        <v>0.135593220338983</v>
      </c>
      <c r="N252" s="29" t="n">
        <v>12.82</v>
      </c>
      <c r="O252" s="28" t="n">
        <v>0</v>
      </c>
      <c r="P252" s="27" t="n">
        <v>121</v>
      </c>
      <c r="Q252" s="28" t="n">
        <v>0.129689174705252</v>
      </c>
      <c r="R252" s="31" t="n">
        <v>0.475477204101866</v>
      </c>
    </row>
    <row r="253" customFormat="false" ht="15" hidden="false" customHeight="false" outlineLevel="0" collapsed="false">
      <c r="A253" s="25" t="n">
        <v>4117503</v>
      </c>
      <c r="B253" s="26" t="s">
        <v>319</v>
      </c>
      <c r="C253" s="26" t="s">
        <v>86</v>
      </c>
      <c r="D253" s="27" t="n">
        <v>45962</v>
      </c>
      <c r="E253" s="27" t="n">
        <v>3271</v>
      </c>
      <c r="F253" s="27" t="n">
        <v>1159</v>
      </c>
      <c r="G253" s="28" t="n">
        <v>0.354325894221951</v>
      </c>
      <c r="H253" s="29" t="n">
        <v>1.09982734264637</v>
      </c>
      <c r="I253" s="27" t="n">
        <v>3</v>
      </c>
      <c r="J253" s="27" t="n">
        <v>10</v>
      </c>
      <c r="K253" s="28" t="n">
        <v>0.3</v>
      </c>
      <c r="L253" s="30" t="n">
        <v>11.13</v>
      </c>
      <c r="M253" s="28" t="n">
        <v>0.138614507636743</v>
      </c>
      <c r="N253" s="29" t="n">
        <v>13.08</v>
      </c>
      <c r="O253" s="28" t="n">
        <v>0.0231213872832369</v>
      </c>
      <c r="P253" s="27" t="n">
        <v>1305</v>
      </c>
      <c r="Q253" s="28" t="n">
        <v>0.195096426969652</v>
      </c>
      <c r="R253" s="31" t="n">
        <v>0.430688897760879</v>
      </c>
    </row>
    <row r="254" customFormat="false" ht="15" hidden="false" customHeight="false" outlineLevel="0" collapsed="false">
      <c r="A254" s="25" t="n">
        <v>4117602</v>
      </c>
      <c r="B254" s="26" t="s">
        <v>320</v>
      </c>
      <c r="C254" s="26" t="s">
        <v>86</v>
      </c>
      <c r="D254" s="27" t="n">
        <v>48247</v>
      </c>
      <c r="E254" s="27" t="n">
        <v>3747</v>
      </c>
      <c r="F254" s="27" t="n">
        <v>881</v>
      </c>
      <c r="G254" s="28" t="n">
        <v>0.235121430477716</v>
      </c>
      <c r="H254" s="29" t="n">
        <v>1.04554276102989</v>
      </c>
      <c r="I254" s="27" t="n">
        <v>5</v>
      </c>
      <c r="J254" s="27" t="n">
        <v>19</v>
      </c>
      <c r="K254" s="28" t="n">
        <v>0.263157894736842</v>
      </c>
      <c r="L254" s="30" t="n">
        <v>16.03</v>
      </c>
      <c r="M254" s="28" t="n">
        <v>0.160196488900864</v>
      </c>
      <c r="N254" s="29" t="n">
        <v>16.81</v>
      </c>
      <c r="O254" s="28" t="n">
        <v>0.0347826086956521</v>
      </c>
      <c r="P254" s="27" t="n">
        <v>2032</v>
      </c>
      <c r="Q254" s="28" t="n">
        <v>0.264136227739503</v>
      </c>
      <c r="R254" s="31" t="n">
        <v>0.528652745968086</v>
      </c>
    </row>
    <row r="255" customFormat="false" ht="15" hidden="false" customHeight="false" outlineLevel="0" collapsed="false">
      <c r="A255" s="25" t="n">
        <v>4117701</v>
      </c>
      <c r="B255" s="26" t="s">
        <v>321</v>
      </c>
      <c r="C255" s="26" t="s">
        <v>86</v>
      </c>
      <c r="D255" s="27" t="n">
        <v>33855</v>
      </c>
      <c r="E255" s="27" t="n">
        <v>2171</v>
      </c>
      <c r="F255" s="27" t="n">
        <v>553</v>
      </c>
      <c r="G255" s="28" t="n">
        <v>0.254721326577614</v>
      </c>
      <c r="H255" s="29" t="n">
        <v>1.13241409498796</v>
      </c>
      <c r="I255" s="27" t="n">
        <v>5</v>
      </c>
      <c r="J255" s="27" t="n">
        <v>10</v>
      </c>
      <c r="K255" s="28" t="n">
        <v>0.5</v>
      </c>
      <c r="L255" s="30" t="n">
        <v>9.32</v>
      </c>
      <c r="M255" s="28" t="n">
        <v>0.134957908728401</v>
      </c>
      <c r="N255" s="29" t="n">
        <v>13.71</v>
      </c>
      <c r="O255" s="28" t="n">
        <v>0.0294117647058823</v>
      </c>
      <c r="P255" s="27" t="n">
        <v>592</v>
      </c>
      <c r="Q255" s="28" t="n">
        <v>0.133453561767358</v>
      </c>
      <c r="R255" s="31" t="n">
        <v>0.538420960498952</v>
      </c>
    </row>
    <row r="256" customFormat="false" ht="15" hidden="false" customHeight="false" outlineLevel="0" collapsed="false">
      <c r="A256" s="25" t="n">
        <v>4117800</v>
      </c>
      <c r="B256" s="26" t="s">
        <v>322</v>
      </c>
      <c r="C256" s="26" t="s">
        <v>65</v>
      </c>
      <c r="D256" s="27" t="n">
        <v>13033</v>
      </c>
      <c r="E256" s="27" t="n">
        <v>902</v>
      </c>
      <c r="F256" s="27" t="n">
        <v>162</v>
      </c>
      <c r="G256" s="28" t="n">
        <v>0.17960088691796</v>
      </c>
      <c r="H256" s="29" t="n">
        <v>1.16132536664856</v>
      </c>
      <c r="I256" s="27" t="n">
        <v>2</v>
      </c>
      <c r="J256" s="27" t="n">
        <v>4</v>
      </c>
      <c r="K256" s="28" t="n">
        <v>0.5</v>
      </c>
      <c r="L256" s="30" t="n">
        <v>10.31</v>
      </c>
      <c r="M256" s="28" t="n">
        <v>0.141256809637075</v>
      </c>
      <c r="N256" s="29" t="n">
        <v>12.2</v>
      </c>
      <c r="O256" s="28" t="n">
        <v>0.032258064516129</v>
      </c>
      <c r="P256" s="27" t="n">
        <v>733</v>
      </c>
      <c r="Q256" s="28" t="n">
        <v>0.400109170305677</v>
      </c>
      <c r="R256" s="31" t="n">
        <v>0.392476013896396</v>
      </c>
    </row>
    <row r="257" customFormat="false" ht="15" hidden="false" customHeight="false" outlineLevel="0" collapsed="false">
      <c r="A257" s="25" t="n">
        <v>4117909</v>
      </c>
      <c r="B257" s="26" t="s">
        <v>323</v>
      </c>
      <c r="C257" s="26" t="s">
        <v>86</v>
      </c>
      <c r="D257" s="27" t="n">
        <v>35011</v>
      </c>
      <c r="E257" s="27" t="n">
        <v>2435</v>
      </c>
      <c r="F257" s="27" t="n">
        <v>1025</v>
      </c>
      <c r="G257" s="28" t="n">
        <v>0.420944558521561</v>
      </c>
      <c r="H257" s="29" t="n">
        <v>1.17096910706729</v>
      </c>
      <c r="I257" s="27" t="n">
        <v>5</v>
      </c>
      <c r="J257" s="27" t="n">
        <v>12</v>
      </c>
      <c r="K257" s="28" t="n">
        <v>0.416666666666667</v>
      </c>
      <c r="L257" s="30" t="n">
        <v>9.45</v>
      </c>
      <c r="M257" s="28" t="n">
        <v>0.134986147210877</v>
      </c>
      <c r="N257" s="29" t="n">
        <v>15.37</v>
      </c>
      <c r="O257" s="28" t="n">
        <v>0.0242290748898678</v>
      </c>
      <c r="P257" s="27" t="n">
        <v>483</v>
      </c>
      <c r="Q257" s="28" t="n">
        <v>0.0987932092452444</v>
      </c>
      <c r="R257" s="31" t="n">
        <v>0.723374552470137</v>
      </c>
    </row>
    <row r="258" customFormat="false" ht="15" hidden="false" customHeight="false" outlineLevel="0" collapsed="false">
      <c r="A258" s="25" t="n">
        <v>4118006</v>
      </c>
      <c r="B258" s="26" t="s">
        <v>324</v>
      </c>
      <c r="C258" s="26" t="s">
        <v>65</v>
      </c>
      <c r="D258" s="27" t="n">
        <v>13245</v>
      </c>
      <c r="E258" s="27" t="n">
        <v>904</v>
      </c>
      <c r="F258" s="27" t="n">
        <v>355</v>
      </c>
      <c r="G258" s="28" t="n">
        <v>0.392699115044248</v>
      </c>
      <c r="H258" s="29" t="n">
        <v>1.16194790486976</v>
      </c>
      <c r="I258" s="27" t="n">
        <v>3</v>
      </c>
      <c r="J258" s="27" t="n">
        <v>6</v>
      </c>
      <c r="K258" s="28" t="n">
        <v>0.5</v>
      </c>
      <c r="L258" s="30" t="n">
        <v>31.58</v>
      </c>
      <c r="M258" s="28" t="n">
        <v>0.133333333333333</v>
      </c>
      <c r="N258" s="29" t="n">
        <v>13.21</v>
      </c>
      <c r="O258" s="28" t="n">
        <v>0.0070921985815602</v>
      </c>
      <c r="P258" s="27" t="n">
        <v>190</v>
      </c>
      <c r="Q258" s="28" t="n">
        <v>0.10567296996663</v>
      </c>
      <c r="R258" s="31" t="n">
        <v>0.577436559667302</v>
      </c>
    </row>
    <row r="259" customFormat="false" ht="15" hidden="false" customHeight="false" outlineLevel="0" collapsed="false">
      <c r="A259" s="25" t="n">
        <v>4118105</v>
      </c>
      <c r="B259" s="26" t="s">
        <v>325</v>
      </c>
      <c r="C259" s="26" t="s">
        <v>65</v>
      </c>
      <c r="D259" s="27" t="n">
        <v>9557</v>
      </c>
      <c r="E259" s="27" t="n">
        <v>578</v>
      </c>
      <c r="F259" s="27" t="n">
        <v>215</v>
      </c>
      <c r="G259" s="28" t="n">
        <v>0.3719723183391</v>
      </c>
      <c r="H259" s="29" t="n">
        <v>1.12927756653992</v>
      </c>
      <c r="I259" s="27" t="n">
        <v>2</v>
      </c>
      <c r="J259" s="27" t="n">
        <v>5</v>
      </c>
      <c r="K259" s="28" t="n">
        <v>0.4</v>
      </c>
      <c r="L259" s="30" t="n">
        <v>16.95</v>
      </c>
      <c r="M259" s="28" t="n">
        <v>0.137595479753061</v>
      </c>
      <c r="N259" s="29" t="n">
        <v>12.97</v>
      </c>
      <c r="O259" s="28" t="n">
        <v>0.0202020202020202</v>
      </c>
      <c r="P259" s="27" t="n">
        <v>273</v>
      </c>
      <c r="Q259" s="28" t="n">
        <v>0.224137931034483</v>
      </c>
      <c r="R259" s="31" t="n">
        <v>0.502663897180177</v>
      </c>
    </row>
    <row r="260" customFormat="false" ht="15" hidden="false" customHeight="false" outlineLevel="0" collapsed="false">
      <c r="A260" s="25" t="n">
        <v>4118204</v>
      </c>
      <c r="B260" s="26" t="s">
        <v>326</v>
      </c>
      <c r="C260" s="26" t="s">
        <v>69</v>
      </c>
      <c r="D260" s="27" t="n">
        <v>145829</v>
      </c>
      <c r="E260" s="27" t="n">
        <v>10180</v>
      </c>
      <c r="F260" s="27" t="n">
        <v>1969</v>
      </c>
      <c r="G260" s="28" t="n">
        <v>0.193418467583497</v>
      </c>
      <c r="H260" s="29" t="n">
        <v>1.15356871678056</v>
      </c>
      <c r="I260" s="27" t="n">
        <v>23</v>
      </c>
      <c r="J260" s="27" t="n">
        <v>49</v>
      </c>
      <c r="K260" s="28" t="n">
        <v>0.469387755102041</v>
      </c>
      <c r="L260" s="30" t="n">
        <v>9.41</v>
      </c>
      <c r="M260" s="28" t="n">
        <v>0.144498007940807</v>
      </c>
      <c r="N260" s="29" t="n">
        <v>14.54</v>
      </c>
      <c r="O260" s="28" t="n">
        <v>0.0341047503045067</v>
      </c>
      <c r="P260" s="27" t="n">
        <v>4679</v>
      </c>
      <c r="Q260" s="28" t="n">
        <v>0.224919482766909</v>
      </c>
      <c r="R260" s="31" t="n">
        <v>0.611478727076827</v>
      </c>
    </row>
    <row r="261" customFormat="false" ht="15" hidden="false" customHeight="false" outlineLevel="0" collapsed="false">
      <c r="A261" s="25" t="n">
        <v>4118303</v>
      </c>
      <c r="B261" s="26" t="s">
        <v>327</v>
      </c>
      <c r="C261" s="26" t="s">
        <v>71</v>
      </c>
      <c r="D261" s="27" t="n">
        <v>2398</v>
      </c>
      <c r="E261" s="27" t="n">
        <v>138</v>
      </c>
      <c r="F261" s="27" t="n">
        <v>71</v>
      </c>
      <c r="G261" s="28" t="n">
        <v>0.514492753623188</v>
      </c>
      <c r="H261" s="29" t="n">
        <v>1.08011049723757</v>
      </c>
      <c r="I261" s="27" t="n">
        <v>0</v>
      </c>
      <c r="J261" s="27" t="n">
        <v>1</v>
      </c>
      <c r="K261" s="28" t="n">
        <v>0</v>
      </c>
      <c r="L261" s="30" t="n">
        <v>0</v>
      </c>
      <c r="M261" s="28" t="n">
        <v>0.150959132610509</v>
      </c>
      <c r="N261" s="29" t="n">
        <v>12.51</v>
      </c>
      <c r="O261" s="28" t="n">
        <v>0.0833333333333333</v>
      </c>
      <c r="P261" s="27" t="n">
        <v>95</v>
      </c>
      <c r="Q261" s="28" t="n">
        <v>0.303514376996805</v>
      </c>
      <c r="R261" s="31" t="n">
        <v>0.344670248208187</v>
      </c>
    </row>
    <row r="262" customFormat="false" ht="15" hidden="false" customHeight="false" outlineLevel="0" collapsed="false">
      <c r="A262" s="25" t="n">
        <v>4118402</v>
      </c>
      <c r="B262" s="26" t="s">
        <v>328</v>
      </c>
      <c r="C262" s="26" t="s">
        <v>129</v>
      </c>
      <c r="D262" s="27" t="n">
        <v>92001</v>
      </c>
      <c r="E262" s="27" t="n">
        <v>5686</v>
      </c>
      <c r="F262" s="27" t="n">
        <v>1332</v>
      </c>
      <c r="G262" s="28" t="n">
        <v>0.23425958494548</v>
      </c>
      <c r="H262" s="29" t="n">
        <v>1.1279098873592</v>
      </c>
      <c r="I262" s="27" t="n">
        <v>15</v>
      </c>
      <c r="J262" s="27" t="n">
        <v>29</v>
      </c>
      <c r="K262" s="28" t="n">
        <v>0.517241379310345</v>
      </c>
      <c r="L262" s="30" t="n">
        <v>9.23</v>
      </c>
      <c r="M262" s="28" t="n">
        <v>0.130270323148661</v>
      </c>
      <c r="N262" s="29" t="n">
        <v>12.34</v>
      </c>
      <c r="O262" s="28" t="n">
        <v>0.0302197802197802</v>
      </c>
      <c r="P262" s="27" t="n">
        <v>2205</v>
      </c>
      <c r="Q262" s="28" t="n">
        <v>0.187197554970711</v>
      </c>
      <c r="R262" s="31" t="n">
        <v>0.571904652493266</v>
      </c>
    </row>
    <row r="263" customFormat="false" ht="15" hidden="false" customHeight="false" outlineLevel="0" collapsed="false">
      <c r="A263" s="25" t="n">
        <v>4118451</v>
      </c>
      <c r="B263" s="26" t="s">
        <v>329</v>
      </c>
      <c r="C263" s="26" t="s">
        <v>65</v>
      </c>
      <c r="D263" s="27" t="n">
        <v>5733</v>
      </c>
      <c r="E263" s="27" t="n">
        <v>399</v>
      </c>
      <c r="F263" s="27" t="n">
        <v>257</v>
      </c>
      <c r="G263" s="28" t="n">
        <v>0.644110275689223</v>
      </c>
      <c r="H263" s="29" t="n">
        <v>1.10704607046071</v>
      </c>
      <c r="I263" s="27" t="n">
        <v>0</v>
      </c>
      <c r="J263" s="27" t="n">
        <v>2</v>
      </c>
      <c r="K263" s="28" t="n">
        <v>0</v>
      </c>
      <c r="L263" s="30" t="n">
        <v>0</v>
      </c>
      <c r="M263" s="28" t="n">
        <v>0.1287284144427</v>
      </c>
      <c r="N263" s="29" t="n">
        <v>10.47</v>
      </c>
      <c r="O263" s="28" t="n">
        <v>0</v>
      </c>
      <c r="P263" s="27" t="n">
        <v>118</v>
      </c>
      <c r="Q263" s="28" t="n">
        <v>0.151476251604621</v>
      </c>
      <c r="R263" s="31" t="n">
        <v>0.518289114507144</v>
      </c>
    </row>
    <row r="264" customFormat="false" ht="15" hidden="false" customHeight="false" outlineLevel="0" collapsed="false">
      <c r="A264" s="25" t="n">
        <v>4118501</v>
      </c>
      <c r="B264" s="26" t="s">
        <v>330</v>
      </c>
      <c r="C264" s="26" t="s">
        <v>129</v>
      </c>
      <c r="D264" s="27" t="n">
        <v>91836</v>
      </c>
      <c r="E264" s="27" t="n">
        <v>5897</v>
      </c>
      <c r="F264" s="27" t="n">
        <v>1960</v>
      </c>
      <c r="G264" s="28" t="n">
        <v>0.332372392742072</v>
      </c>
      <c r="H264" s="29" t="n">
        <v>1.15515942756716</v>
      </c>
      <c r="I264" s="27" t="n">
        <v>15</v>
      </c>
      <c r="J264" s="27" t="n">
        <v>39</v>
      </c>
      <c r="K264" s="28" t="n">
        <v>0.384615384615385</v>
      </c>
      <c r="L264" s="30" t="n">
        <v>5.94</v>
      </c>
      <c r="M264" s="28" t="n">
        <v>0.130112374232327</v>
      </c>
      <c r="N264" s="29" t="n">
        <v>14.46</v>
      </c>
      <c r="O264" s="28" t="n">
        <v>0.0221518987341772</v>
      </c>
      <c r="P264" s="27" t="n">
        <v>1474</v>
      </c>
      <c r="Q264" s="28" t="n">
        <v>0.122404916126889</v>
      </c>
      <c r="R264" s="31" t="n">
        <v>0.687079657627193</v>
      </c>
    </row>
    <row r="265" customFormat="false" ht="15" hidden="false" customHeight="false" outlineLevel="0" collapsed="false">
      <c r="A265" s="25" t="n">
        <v>4118600</v>
      </c>
      <c r="B265" s="26" t="s">
        <v>331</v>
      </c>
      <c r="C265" s="26" t="s">
        <v>65</v>
      </c>
      <c r="D265" s="27" t="n">
        <v>5666</v>
      </c>
      <c r="E265" s="27" t="n">
        <v>322</v>
      </c>
      <c r="F265" s="27" t="n">
        <v>122</v>
      </c>
      <c r="G265" s="28" t="n">
        <v>0.37888198757764</v>
      </c>
      <c r="H265" s="29" t="n">
        <v>1.06721536351166</v>
      </c>
      <c r="I265" s="27" t="n">
        <v>0</v>
      </c>
      <c r="J265" s="27" t="n">
        <v>2</v>
      </c>
      <c r="K265" s="28" t="n">
        <v>0</v>
      </c>
      <c r="L265" s="30" t="n">
        <v>36.36</v>
      </c>
      <c r="M265" s="28" t="n">
        <v>0.128662195552418</v>
      </c>
      <c r="N265" s="29" t="n">
        <v>11.12</v>
      </c>
      <c r="O265" s="28" t="n">
        <v>0.0131578947368421</v>
      </c>
      <c r="P265" s="27" t="n">
        <v>128</v>
      </c>
      <c r="Q265" s="28" t="n">
        <v>0.181303116147309</v>
      </c>
      <c r="R265" s="31" t="n">
        <v>0.426669503020145</v>
      </c>
    </row>
    <row r="266" customFormat="false" ht="15" hidden="false" customHeight="false" outlineLevel="0" collapsed="false">
      <c r="A266" s="25" t="n">
        <v>4118709</v>
      </c>
      <c r="B266" s="26" t="s">
        <v>332</v>
      </c>
      <c r="C266" s="26" t="s">
        <v>65</v>
      </c>
      <c r="D266" s="27" t="n">
        <v>6343</v>
      </c>
      <c r="E266" s="27" t="n">
        <v>318</v>
      </c>
      <c r="F266" s="27" t="n">
        <v>93</v>
      </c>
      <c r="G266" s="28" t="n">
        <v>0.292452830188679</v>
      </c>
      <c r="H266" s="29" t="n">
        <v>1.18875502008032</v>
      </c>
      <c r="I266" s="27" t="n">
        <v>1</v>
      </c>
      <c r="J266" s="27" t="n">
        <v>2</v>
      </c>
      <c r="K266" s="28" t="n">
        <v>0.5</v>
      </c>
      <c r="L266" s="30" t="n">
        <v>15.15</v>
      </c>
      <c r="M266" s="28" t="n">
        <v>0.117767617846445</v>
      </c>
      <c r="N266" s="29" t="n">
        <v>13.24</v>
      </c>
      <c r="O266" s="28" t="n">
        <v>0.0128205128205128</v>
      </c>
      <c r="P266" s="27" t="n">
        <v>108</v>
      </c>
      <c r="Q266" s="28" t="n">
        <v>0.156976744186047</v>
      </c>
      <c r="R266" s="31" t="n">
        <v>0.390718923071943</v>
      </c>
    </row>
    <row r="267" customFormat="false" ht="15" hidden="false" customHeight="false" outlineLevel="0" collapsed="false">
      <c r="A267" s="25" t="n">
        <v>4118808</v>
      </c>
      <c r="B267" s="26" t="s">
        <v>333</v>
      </c>
      <c r="C267" s="26" t="s">
        <v>65</v>
      </c>
      <c r="D267" s="27" t="n">
        <v>13346</v>
      </c>
      <c r="E267" s="27" t="n">
        <v>851</v>
      </c>
      <c r="F267" s="27" t="n">
        <v>335</v>
      </c>
      <c r="G267" s="28" t="n">
        <v>0.393654524089307</v>
      </c>
      <c r="H267" s="29" t="n">
        <v>1.04986149584488</v>
      </c>
      <c r="I267" s="27" t="n">
        <v>2</v>
      </c>
      <c r="J267" s="27" t="n">
        <v>5</v>
      </c>
      <c r="K267" s="28" t="n">
        <v>0.4</v>
      </c>
      <c r="L267" s="30" t="n">
        <v>6.33</v>
      </c>
      <c r="M267" s="28" t="n">
        <v>0.135246515809981</v>
      </c>
      <c r="N267" s="29" t="n">
        <v>12.06</v>
      </c>
      <c r="O267" s="28" t="n">
        <v>0.0555555555555555</v>
      </c>
      <c r="P267" s="27" t="n">
        <v>448</v>
      </c>
      <c r="Q267" s="28" t="n">
        <v>0.253824362606232</v>
      </c>
      <c r="R267" s="31" t="n">
        <v>0.433505412137992</v>
      </c>
    </row>
    <row r="268" customFormat="false" ht="15" hidden="false" customHeight="false" outlineLevel="0" collapsed="false">
      <c r="A268" s="25" t="n">
        <v>4118857</v>
      </c>
      <c r="B268" s="26" t="s">
        <v>334</v>
      </c>
      <c r="C268" s="26" t="s">
        <v>65</v>
      </c>
      <c r="D268" s="27" t="n">
        <v>7189</v>
      </c>
      <c r="E268" s="27" t="n">
        <v>497</v>
      </c>
      <c r="F268" s="27" t="n">
        <v>176</v>
      </c>
      <c r="G268" s="28" t="n">
        <v>0.354124748490946</v>
      </c>
      <c r="H268" s="29" t="n">
        <v>1.13178294573643</v>
      </c>
      <c r="I268" s="27" t="n">
        <v>0</v>
      </c>
      <c r="J268" s="27" t="n">
        <v>3</v>
      </c>
      <c r="K268" s="28" t="n">
        <v>0</v>
      </c>
      <c r="L268" s="30" t="n">
        <v>0</v>
      </c>
      <c r="M268" s="28" t="n">
        <v>0.125608568646543</v>
      </c>
      <c r="N268" s="29" t="n">
        <v>14.05</v>
      </c>
      <c r="O268" s="28" t="n">
        <v>0.0178571428571428</v>
      </c>
      <c r="P268" s="27" t="n">
        <v>202</v>
      </c>
      <c r="Q268" s="28" t="n">
        <v>0.213756613756614</v>
      </c>
      <c r="R268" s="31" t="n">
        <v>0.458401521960922</v>
      </c>
    </row>
    <row r="269" customFormat="false" ht="15" hidden="false" customHeight="false" outlineLevel="0" collapsed="false">
      <c r="A269" s="25" t="n">
        <v>4118907</v>
      </c>
      <c r="B269" s="26" t="s">
        <v>335</v>
      </c>
      <c r="C269" s="26" t="s">
        <v>65</v>
      </c>
      <c r="D269" s="27" t="n">
        <v>11878</v>
      </c>
      <c r="E269" s="27" t="n">
        <v>741</v>
      </c>
      <c r="F269" s="27" t="n">
        <v>252</v>
      </c>
      <c r="G269" s="28" t="n">
        <v>0.340080971659919</v>
      </c>
      <c r="H269" s="29" t="n">
        <v>1.17566643882433</v>
      </c>
      <c r="I269" s="27" t="n">
        <v>2</v>
      </c>
      <c r="J269" s="27" t="n">
        <v>5</v>
      </c>
      <c r="K269" s="28" t="n">
        <v>0.4</v>
      </c>
      <c r="L269" s="30" t="n">
        <v>6.54</v>
      </c>
      <c r="M269" s="28" t="n">
        <v>0.123168883650446</v>
      </c>
      <c r="N269" s="29" t="n">
        <v>10.94</v>
      </c>
      <c r="O269" s="28" t="n">
        <v>0</v>
      </c>
      <c r="P269" s="27" t="n">
        <v>207</v>
      </c>
      <c r="Q269" s="28" t="n">
        <v>0.13855421686747</v>
      </c>
      <c r="R269" s="31" t="n">
        <v>0.431021615980356</v>
      </c>
    </row>
    <row r="270" customFormat="false" ht="15" hidden="false" customHeight="false" outlineLevel="0" collapsed="false">
      <c r="A270" s="25" t="n">
        <v>4119004</v>
      </c>
      <c r="B270" s="26" t="s">
        <v>336</v>
      </c>
      <c r="C270" s="26" t="s">
        <v>65</v>
      </c>
      <c r="D270" s="27" t="n">
        <v>6221</v>
      </c>
      <c r="E270" s="27" t="n">
        <v>381</v>
      </c>
      <c r="F270" s="27" t="n">
        <v>140</v>
      </c>
      <c r="G270" s="28" t="n">
        <v>0.36745406824147</v>
      </c>
      <c r="H270" s="29" t="n">
        <v>1.11242603550296</v>
      </c>
      <c r="I270" s="27" t="n">
        <v>1</v>
      </c>
      <c r="J270" s="27" t="n">
        <v>3</v>
      </c>
      <c r="K270" s="28" t="n">
        <v>0.333333333333333</v>
      </c>
      <c r="L270" s="30" t="n">
        <v>0</v>
      </c>
      <c r="M270" s="28" t="n">
        <v>0.108664201896801</v>
      </c>
      <c r="N270" s="29" t="n">
        <v>13.98</v>
      </c>
      <c r="O270" s="28" t="n">
        <v>0</v>
      </c>
      <c r="P270" s="27" t="n">
        <v>113</v>
      </c>
      <c r="Q270" s="28" t="n">
        <v>0.160739687055477</v>
      </c>
      <c r="R270" s="31" t="n">
        <v>0.3125625367588</v>
      </c>
    </row>
    <row r="271" customFormat="false" ht="15" hidden="false" customHeight="false" outlineLevel="0" collapsed="false">
      <c r="A271" s="25" t="n">
        <v>4119103</v>
      </c>
      <c r="B271" s="26" t="s">
        <v>337</v>
      </c>
      <c r="C271" s="26" t="s">
        <v>65</v>
      </c>
      <c r="D271" s="27" t="n">
        <v>13655</v>
      </c>
      <c r="E271" s="27" t="n">
        <v>1010</v>
      </c>
      <c r="F271" s="27" t="n">
        <v>347</v>
      </c>
      <c r="G271" s="28" t="n">
        <v>0.343564356435644</v>
      </c>
      <c r="H271" s="29" t="n">
        <v>1.10313447927199</v>
      </c>
      <c r="I271" s="27" t="n">
        <v>1</v>
      </c>
      <c r="J271" s="27" t="n">
        <v>5</v>
      </c>
      <c r="K271" s="28" t="n">
        <v>0.2</v>
      </c>
      <c r="L271" s="30" t="n">
        <v>0</v>
      </c>
      <c r="M271" s="28" t="n">
        <v>0.144855364335408</v>
      </c>
      <c r="N271" s="29" t="n">
        <v>14.43</v>
      </c>
      <c r="O271" s="28" t="n">
        <v>0.0052631578947368</v>
      </c>
      <c r="P271" s="27" t="n">
        <v>322</v>
      </c>
      <c r="Q271" s="28" t="n">
        <v>0.159090909090909</v>
      </c>
      <c r="R271" s="31" t="n">
        <v>0.571887009292471</v>
      </c>
    </row>
    <row r="272" customFormat="false" ht="15" hidden="false" customHeight="false" outlineLevel="0" collapsed="false">
      <c r="A272" s="25" t="n">
        <v>4119152</v>
      </c>
      <c r="B272" s="26" t="s">
        <v>338</v>
      </c>
      <c r="C272" s="26" t="s">
        <v>69</v>
      </c>
      <c r="D272" s="27" t="n">
        <v>127019</v>
      </c>
      <c r="E272" s="27" t="n">
        <v>6847</v>
      </c>
      <c r="F272" s="27" t="n">
        <v>2373</v>
      </c>
      <c r="G272" s="28" t="n">
        <v>0.346575142398131</v>
      </c>
      <c r="H272" s="29" t="n">
        <v>1.21464721643346</v>
      </c>
      <c r="I272" s="27" t="n">
        <v>17</v>
      </c>
      <c r="J272" s="27" t="n">
        <v>38</v>
      </c>
      <c r="K272" s="28" t="n">
        <v>0.447368421052632</v>
      </c>
      <c r="L272" s="30" t="n">
        <v>10.53</v>
      </c>
      <c r="M272" s="28" t="n">
        <v>0.13222431289807</v>
      </c>
      <c r="N272" s="29" t="n">
        <v>11.69</v>
      </c>
      <c r="O272" s="28" t="n">
        <v>0.0378378378378378</v>
      </c>
      <c r="P272" s="27" t="n">
        <v>2807</v>
      </c>
      <c r="Q272" s="28" t="n">
        <v>0.183993183009963</v>
      </c>
      <c r="R272" s="31" t="n">
        <v>0.604869864046681</v>
      </c>
    </row>
    <row r="273" customFormat="false" ht="15" hidden="false" customHeight="false" outlineLevel="0" collapsed="false">
      <c r="A273" s="25" t="n">
        <v>4119251</v>
      </c>
      <c r="B273" s="26" t="s">
        <v>339</v>
      </c>
      <c r="C273" s="26" t="s">
        <v>71</v>
      </c>
      <c r="D273" s="27" t="n">
        <v>2761</v>
      </c>
      <c r="E273" s="27" t="n">
        <v>164</v>
      </c>
      <c r="F273" s="27" t="n">
        <v>77</v>
      </c>
      <c r="G273" s="28" t="n">
        <v>0.469512195121951</v>
      </c>
      <c r="H273" s="29" t="n">
        <v>1.05397727272727</v>
      </c>
      <c r="I273" s="27" t="n">
        <v>1</v>
      </c>
      <c r="J273" s="27" t="n">
        <v>2</v>
      </c>
      <c r="K273" s="28" t="n">
        <v>0.5</v>
      </c>
      <c r="L273" s="30" t="n">
        <v>0</v>
      </c>
      <c r="M273" s="28" t="n">
        <v>0.127490039840637</v>
      </c>
      <c r="N273" s="29" t="n">
        <v>9.05</v>
      </c>
      <c r="O273" s="28" t="n">
        <v>0</v>
      </c>
      <c r="P273" s="27" t="n">
        <v>111</v>
      </c>
      <c r="Q273" s="28" t="n">
        <v>0.328402366863905</v>
      </c>
      <c r="R273" s="31" t="n">
        <v>0.420648918468574</v>
      </c>
    </row>
    <row r="274" customFormat="false" ht="15" hidden="false" customHeight="false" outlineLevel="0" collapsed="false">
      <c r="A274" s="25" t="n">
        <v>4119202</v>
      </c>
      <c r="B274" s="26" t="s">
        <v>340</v>
      </c>
      <c r="C274" s="26" t="s">
        <v>65</v>
      </c>
      <c r="D274" s="27" t="n">
        <v>6566</v>
      </c>
      <c r="E274" s="27" t="n">
        <v>384</v>
      </c>
      <c r="F274" s="27" t="n">
        <v>166</v>
      </c>
      <c r="G274" s="28" t="n">
        <v>0.432291666666667</v>
      </c>
      <c r="H274" s="29" t="n">
        <v>1.09866017052375</v>
      </c>
      <c r="I274" s="27" t="n">
        <v>0</v>
      </c>
      <c r="J274" s="27" t="n">
        <v>3</v>
      </c>
      <c r="K274" s="28" t="n">
        <v>0</v>
      </c>
      <c r="L274" s="30" t="n">
        <v>0</v>
      </c>
      <c r="M274" s="28" t="n">
        <v>0.125038074931465</v>
      </c>
      <c r="N274" s="29" t="n">
        <v>10.81</v>
      </c>
      <c r="O274" s="28" t="n">
        <v>0.0405405405405405</v>
      </c>
      <c r="P274" s="27" t="n">
        <v>277</v>
      </c>
      <c r="Q274" s="28" t="n">
        <v>0.349306431273644</v>
      </c>
      <c r="R274" s="31" t="n">
        <v>0.390476069217043</v>
      </c>
    </row>
    <row r="275" customFormat="false" ht="15" hidden="false" customHeight="false" outlineLevel="0" collapsed="false">
      <c r="A275" s="25" t="n">
        <v>4119301</v>
      </c>
      <c r="B275" s="26" t="s">
        <v>341</v>
      </c>
      <c r="C275" s="26" t="s">
        <v>86</v>
      </c>
      <c r="D275" s="27" t="n">
        <v>29886</v>
      </c>
      <c r="E275" s="27" t="n">
        <v>2386</v>
      </c>
      <c r="F275" s="27" t="n">
        <v>427</v>
      </c>
      <c r="G275" s="28" t="n">
        <v>0.178960603520536</v>
      </c>
      <c r="H275" s="29" t="n">
        <v>1.08378088077336</v>
      </c>
      <c r="I275" s="27" t="n">
        <v>3</v>
      </c>
      <c r="J275" s="27" t="n">
        <v>9</v>
      </c>
      <c r="K275" s="28" t="n">
        <v>0.333333333333333</v>
      </c>
      <c r="L275" s="30" t="n">
        <v>14.71</v>
      </c>
      <c r="M275" s="28" t="n">
        <v>0.15575854915345</v>
      </c>
      <c r="N275" s="29" t="n">
        <v>16.83</v>
      </c>
      <c r="O275" s="28" t="n">
        <v>0.106796116504854</v>
      </c>
      <c r="P275" s="27" t="n">
        <v>1604</v>
      </c>
      <c r="Q275" s="28" t="n">
        <v>0.333264076459589</v>
      </c>
      <c r="R275" s="31" t="n">
        <v>0.431491842284128</v>
      </c>
    </row>
    <row r="276" customFormat="false" ht="15" hidden="false" customHeight="false" outlineLevel="0" collapsed="false">
      <c r="A276" s="25" t="n">
        <v>4119400</v>
      </c>
      <c r="B276" s="26" t="s">
        <v>342</v>
      </c>
      <c r="C276" s="26" t="s">
        <v>86</v>
      </c>
      <c r="D276" s="27" t="n">
        <v>23651</v>
      </c>
      <c r="E276" s="27" t="n">
        <v>1586</v>
      </c>
      <c r="F276" s="27" t="n">
        <v>273</v>
      </c>
      <c r="G276" s="28" t="n">
        <v>0.172131147540984</v>
      </c>
      <c r="H276" s="29" t="n">
        <v>1.05226881102815</v>
      </c>
      <c r="I276" s="27" t="n">
        <v>2</v>
      </c>
      <c r="J276" s="27" t="n">
        <v>5</v>
      </c>
      <c r="K276" s="28" t="n">
        <v>0.4</v>
      </c>
      <c r="L276" s="30" t="n">
        <v>5.93</v>
      </c>
      <c r="M276" s="28" t="n">
        <v>0.147224218849097</v>
      </c>
      <c r="N276" s="29" t="n">
        <v>13.19</v>
      </c>
      <c r="O276" s="28" t="n">
        <v>0.0306122448979591</v>
      </c>
      <c r="P276" s="27" t="n">
        <v>840</v>
      </c>
      <c r="Q276" s="28" t="n">
        <v>0.251046025104603</v>
      </c>
      <c r="R276" s="31" t="n">
        <v>0.508348137351018</v>
      </c>
    </row>
    <row r="277" customFormat="false" ht="15" hidden="false" customHeight="false" outlineLevel="0" collapsed="false">
      <c r="A277" s="25" t="n">
        <v>4119509</v>
      </c>
      <c r="B277" s="26" t="s">
        <v>343</v>
      </c>
      <c r="C277" s="26" t="s">
        <v>69</v>
      </c>
      <c r="D277" s="27" t="n">
        <v>118730</v>
      </c>
      <c r="E277" s="27" t="n">
        <v>7896</v>
      </c>
      <c r="F277" s="27" t="n">
        <v>1529</v>
      </c>
      <c r="G277" s="28" t="n">
        <v>0.193642350557244</v>
      </c>
      <c r="H277" s="29" t="n">
        <v>0.992041712403952</v>
      </c>
      <c r="I277" s="27" t="n">
        <v>4</v>
      </c>
      <c r="J277" s="27" t="n">
        <v>22</v>
      </c>
      <c r="K277" s="28" t="n">
        <v>0.181818181818182</v>
      </c>
      <c r="L277" s="30" t="n">
        <v>6.97</v>
      </c>
      <c r="M277" s="28" t="n">
        <v>0.153457424408321</v>
      </c>
      <c r="N277" s="29" t="n">
        <v>12.48</v>
      </c>
      <c r="O277" s="28" t="n">
        <v>0.0602409638554216</v>
      </c>
      <c r="P277" s="27" t="n">
        <v>4118</v>
      </c>
      <c r="Q277" s="28" t="n">
        <v>0.240214664877793</v>
      </c>
      <c r="R277" s="31" t="n">
        <v>0.433210659680456</v>
      </c>
    </row>
    <row r="278" customFormat="false" ht="15" hidden="false" customHeight="false" outlineLevel="0" collapsed="false">
      <c r="A278" s="25" t="n">
        <v>4119608</v>
      </c>
      <c r="B278" s="26" t="s">
        <v>344</v>
      </c>
      <c r="C278" s="26" t="s">
        <v>86</v>
      </c>
      <c r="D278" s="27" t="n">
        <v>33567</v>
      </c>
      <c r="E278" s="27" t="n">
        <v>2220</v>
      </c>
      <c r="F278" s="27" t="n">
        <v>573</v>
      </c>
      <c r="G278" s="28" t="n">
        <v>0.258108108108108</v>
      </c>
      <c r="H278" s="29" t="n">
        <v>1.11584553928096</v>
      </c>
      <c r="I278" s="27" t="n">
        <v>2</v>
      </c>
      <c r="J278" s="27" t="n">
        <v>8</v>
      </c>
      <c r="K278" s="28" t="n">
        <v>0.25</v>
      </c>
      <c r="L278" s="30" t="n">
        <v>10.64</v>
      </c>
      <c r="M278" s="28" t="n">
        <v>0.134238984717133</v>
      </c>
      <c r="N278" s="29" t="n">
        <v>13.32</v>
      </c>
      <c r="O278" s="28" t="n">
        <v>0.027906976744186</v>
      </c>
      <c r="P278" s="27" t="n">
        <v>1297</v>
      </c>
      <c r="Q278" s="28" t="n">
        <v>0.290026833631485</v>
      </c>
      <c r="R278" s="31" t="n">
        <v>0.507363615155097</v>
      </c>
    </row>
    <row r="279" customFormat="false" ht="15" hidden="false" customHeight="false" outlineLevel="0" collapsed="false">
      <c r="A279" s="25" t="n">
        <v>4119657</v>
      </c>
      <c r="B279" s="26" t="s">
        <v>345</v>
      </c>
      <c r="C279" s="26" t="s">
        <v>71</v>
      </c>
      <c r="D279" s="27" t="n">
        <v>3046</v>
      </c>
      <c r="E279" s="27" t="n">
        <v>181</v>
      </c>
      <c r="F279" s="27" t="n">
        <v>94</v>
      </c>
      <c r="G279" s="28" t="n">
        <v>0.519337016574586</v>
      </c>
      <c r="H279" s="29" t="n">
        <v>1.03456790123457</v>
      </c>
      <c r="I279" s="27" t="n">
        <v>0</v>
      </c>
      <c r="J279" s="27" t="n">
        <v>1</v>
      </c>
      <c r="K279" s="28" t="n">
        <v>0</v>
      </c>
      <c r="L279" s="30" t="n">
        <v>0</v>
      </c>
      <c r="M279" s="28" t="n">
        <v>0.132961260669731</v>
      </c>
      <c r="N279" s="29" t="n">
        <v>9.52</v>
      </c>
      <c r="O279" s="28" t="n">
        <v>0</v>
      </c>
      <c r="P279" s="27" t="n">
        <v>91</v>
      </c>
      <c r="Q279" s="28" t="n">
        <v>0.241379310344828</v>
      </c>
      <c r="R279" s="31" t="n">
        <v>0.429110089404607</v>
      </c>
    </row>
    <row r="280" customFormat="false" ht="15" hidden="false" customHeight="false" outlineLevel="0" collapsed="false">
      <c r="A280" s="25" t="n">
        <v>4119707</v>
      </c>
      <c r="B280" s="26" t="s">
        <v>346</v>
      </c>
      <c r="C280" s="26" t="s">
        <v>71</v>
      </c>
      <c r="D280" s="27" t="n">
        <v>4070</v>
      </c>
      <c r="E280" s="27" t="n">
        <v>271</v>
      </c>
      <c r="F280" s="27" t="n">
        <v>136</v>
      </c>
      <c r="G280" s="28" t="n">
        <v>0.501845018450185</v>
      </c>
      <c r="H280" s="29" t="n">
        <v>1.20423892100193</v>
      </c>
      <c r="I280" s="27" t="n">
        <v>0</v>
      </c>
      <c r="J280" s="27" t="n">
        <v>2</v>
      </c>
      <c r="K280" s="28" t="n">
        <v>0</v>
      </c>
      <c r="L280" s="30" t="n">
        <v>37.04</v>
      </c>
      <c r="M280" s="28" t="n">
        <v>0.127518427518428</v>
      </c>
      <c r="N280" s="29" t="n">
        <v>16.22</v>
      </c>
      <c r="O280" s="28" t="n">
        <v>0.0208333333333333</v>
      </c>
      <c r="P280" s="27" t="n">
        <v>209</v>
      </c>
      <c r="Q280" s="28" t="n">
        <v>0.385608856088561</v>
      </c>
      <c r="R280" s="31" t="n">
        <v>0.42306562404301</v>
      </c>
    </row>
    <row r="281" customFormat="false" ht="15" hidden="false" customHeight="false" outlineLevel="0" collapsed="false">
      <c r="A281" s="25" t="n">
        <v>4119806</v>
      </c>
      <c r="B281" s="26" t="s">
        <v>347</v>
      </c>
      <c r="C281" s="26" t="s">
        <v>65</v>
      </c>
      <c r="D281" s="27" t="n">
        <v>14374</v>
      </c>
      <c r="E281" s="27" t="n">
        <v>899</v>
      </c>
      <c r="F281" s="27" t="n">
        <v>303</v>
      </c>
      <c r="G281" s="28" t="n">
        <v>0.337041156840934</v>
      </c>
      <c r="H281" s="29" t="n">
        <v>1.00127388535032</v>
      </c>
      <c r="I281" s="27" t="n">
        <v>1</v>
      </c>
      <c r="J281" s="27" t="n">
        <v>3</v>
      </c>
      <c r="K281" s="28" t="n">
        <v>0.333333333333333</v>
      </c>
      <c r="L281" s="30" t="n">
        <v>20.98</v>
      </c>
      <c r="M281" s="28" t="n">
        <v>0.109224989564491</v>
      </c>
      <c r="N281" s="29" t="n">
        <v>8.7</v>
      </c>
      <c r="O281" s="28" t="n">
        <v>0.0172413793103448</v>
      </c>
      <c r="P281" s="27" t="n">
        <v>305</v>
      </c>
      <c r="Q281" s="28" t="n">
        <v>0.179834905660377</v>
      </c>
      <c r="R281" s="31" t="n">
        <v>0.474818940114263</v>
      </c>
    </row>
    <row r="282" customFormat="false" ht="15" hidden="false" customHeight="false" outlineLevel="0" collapsed="false">
      <c r="A282" s="25" t="n">
        <v>4119905</v>
      </c>
      <c r="B282" s="26" t="s">
        <v>348</v>
      </c>
      <c r="C282" s="26" t="s">
        <v>138</v>
      </c>
      <c r="D282" s="27" t="n">
        <v>358371</v>
      </c>
      <c r="E282" s="27" t="n">
        <v>22756</v>
      </c>
      <c r="F282" s="27" t="n">
        <v>4698</v>
      </c>
      <c r="G282" s="28" t="n">
        <v>0.20645104587801</v>
      </c>
      <c r="H282" s="29" t="n">
        <v>1.08734689023665</v>
      </c>
      <c r="I282" s="27" t="n">
        <v>37</v>
      </c>
      <c r="J282" s="27" t="n">
        <v>105</v>
      </c>
      <c r="K282" s="28" t="n">
        <v>0.352380952380952</v>
      </c>
      <c r="L282" s="30" t="n">
        <v>9.08</v>
      </c>
      <c r="M282" s="28" t="n">
        <v>0.140787061453075</v>
      </c>
      <c r="N282" s="29" t="n">
        <v>13.01</v>
      </c>
      <c r="O282" s="28" t="n">
        <v>0.0213592233009708</v>
      </c>
      <c r="P282" s="27" t="n">
        <v>8465</v>
      </c>
      <c r="Q282" s="28" t="n">
        <v>0.175081180582846</v>
      </c>
      <c r="R282" s="31" t="n">
        <v>0.594994538951176</v>
      </c>
    </row>
    <row r="283" customFormat="false" ht="15" hidden="false" customHeight="false" outlineLevel="0" collapsed="false">
      <c r="A283" s="25" t="n">
        <v>4119954</v>
      </c>
      <c r="B283" s="26" t="s">
        <v>349</v>
      </c>
      <c r="C283" s="26" t="s">
        <v>86</v>
      </c>
      <c r="D283" s="27" t="n">
        <v>30425</v>
      </c>
      <c r="E283" s="27" t="n">
        <v>1760</v>
      </c>
      <c r="F283" s="27" t="n">
        <v>602</v>
      </c>
      <c r="G283" s="28" t="n">
        <v>0.342045454545455</v>
      </c>
      <c r="H283" s="29" t="n">
        <v>1.30157500645495</v>
      </c>
      <c r="I283" s="27" t="n">
        <v>2</v>
      </c>
      <c r="J283" s="27" t="n">
        <v>14</v>
      </c>
      <c r="K283" s="28" t="n">
        <v>0.142857142857143</v>
      </c>
      <c r="L283" s="30" t="n">
        <v>3</v>
      </c>
      <c r="M283" s="28" t="n">
        <v>0.127296631059984</v>
      </c>
      <c r="N283" s="29" t="n">
        <v>10.68</v>
      </c>
      <c r="O283" s="28" t="n">
        <v>0.0495867768595041</v>
      </c>
      <c r="P283" s="27" t="n">
        <v>868</v>
      </c>
      <c r="Q283" s="28" t="n">
        <v>0.233899218539477</v>
      </c>
      <c r="R283" s="31" t="n">
        <v>0.447846534817188</v>
      </c>
    </row>
    <row r="284" customFormat="false" ht="15" hidden="false" customHeight="false" outlineLevel="0" collapsed="false">
      <c r="A284" s="25" t="n">
        <v>4120002</v>
      </c>
      <c r="B284" s="26" t="s">
        <v>350</v>
      </c>
      <c r="C284" s="26" t="s">
        <v>65</v>
      </c>
      <c r="D284" s="27" t="n">
        <v>11624</v>
      </c>
      <c r="E284" s="27" t="n">
        <v>577</v>
      </c>
      <c r="F284" s="27" t="n">
        <v>171</v>
      </c>
      <c r="G284" s="28" t="n">
        <v>0.296360485268631</v>
      </c>
      <c r="H284" s="29" t="n">
        <v>1.24542682926829</v>
      </c>
      <c r="I284" s="27" t="n">
        <v>3</v>
      </c>
      <c r="J284" s="27" t="n">
        <v>6</v>
      </c>
      <c r="K284" s="28" t="n">
        <v>0.5</v>
      </c>
      <c r="L284" s="30" t="n">
        <v>7.94</v>
      </c>
      <c r="M284" s="28" t="n">
        <v>0.112869924294563</v>
      </c>
      <c r="N284" s="29" t="n">
        <v>9.64</v>
      </c>
      <c r="O284" s="28" t="n">
        <v>0.0405405405405405</v>
      </c>
      <c r="P284" s="27" t="n">
        <v>339</v>
      </c>
      <c r="Q284" s="28" t="n">
        <v>0.26883425852498</v>
      </c>
      <c r="R284" s="31" t="n">
        <v>0.368867480932547</v>
      </c>
    </row>
    <row r="285" customFormat="false" ht="15" hidden="false" customHeight="false" outlineLevel="0" collapsed="false">
      <c r="A285" s="25" t="n">
        <v>4120101</v>
      </c>
      <c r="B285" s="26" t="s">
        <v>351</v>
      </c>
      <c r="C285" s="26" t="s">
        <v>71</v>
      </c>
      <c r="D285" s="27" t="n">
        <v>4098</v>
      </c>
      <c r="E285" s="27" t="n">
        <v>238</v>
      </c>
      <c r="F285" s="27" t="n">
        <v>47</v>
      </c>
      <c r="G285" s="28" t="n">
        <v>0.197478991596639</v>
      </c>
      <c r="H285" s="29" t="n">
        <v>1.1643109540636</v>
      </c>
      <c r="I285" s="27" t="n">
        <v>2</v>
      </c>
      <c r="J285" s="27" t="n">
        <v>3</v>
      </c>
      <c r="K285" s="28" t="n">
        <v>0.666666666666667</v>
      </c>
      <c r="L285" s="30" t="n">
        <v>0</v>
      </c>
      <c r="M285" s="28" t="n">
        <v>0.138116154221572</v>
      </c>
      <c r="N285" s="29" t="n">
        <v>13.42</v>
      </c>
      <c r="O285" s="28" t="n">
        <v>0.05</v>
      </c>
      <c r="P285" s="27" t="n">
        <v>99</v>
      </c>
      <c r="Q285" s="28" t="n">
        <v>0.196819085487078</v>
      </c>
      <c r="R285" s="31" t="n">
        <v>0.519925483106021</v>
      </c>
    </row>
    <row r="286" customFormat="false" ht="15" hidden="false" customHeight="false" outlineLevel="0" collapsed="false">
      <c r="A286" s="25" t="n">
        <v>4120150</v>
      </c>
      <c r="B286" s="26" t="s">
        <v>352</v>
      </c>
      <c r="C286" s="26" t="s">
        <v>71</v>
      </c>
      <c r="D286" s="27" t="n">
        <v>3110</v>
      </c>
      <c r="E286" s="27" t="n">
        <v>204</v>
      </c>
      <c r="F286" s="27" t="n">
        <v>55</v>
      </c>
      <c r="G286" s="28" t="n">
        <v>0.269607843137255</v>
      </c>
      <c r="H286" s="29" t="n">
        <v>1.0831234256927</v>
      </c>
      <c r="I286" s="27" t="n">
        <v>0</v>
      </c>
      <c r="J286" s="27" t="n">
        <v>1</v>
      </c>
      <c r="K286" s="28" t="n">
        <v>0</v>
      </c>
      <c r="L286" s="30" t="n">
        <v>19.61</v>
      </c>
      <c r="M286" s="28" t="n">
        <v>0.127652733118971</v>
      </c>
      <c r="N286" s="29" t="n">
        <v>13.5</v>
      </c>
      <c r="O286" s="28" t="n">
        <v>0.0344827586206896</v>
      </c>
      <c r="P286" s="27" t="n">
        <v>136</v>
      </c>
      <c r="Q286" s="28" t="n">
        <v>0.325358851674641</v>
      </c>
      <c r="R286" s="31" t="n">
        <v>0.537354837293183</v>
      </c>
    </row>
    <row r="287" customFormat="false" ht="15" hidden="false" customHeight="false" outlineLevel="0" collapsed="false">
      <c r="A287" s="25" t="n">
        <v>4120200</v>
      </c>
      <c r="B287" s="26" t="s">
        <v>353</v>
      </c>
      <c r="C287" s="26" t="s">
        <v>71</v>
      </c>
      <c r="D287" s="27" t="n">
        <v>3182</v>
      </c>
      <c r="E287" s="27" t="n">
        <v>188</v>
      </c>
      <c r="F287" s="27" t="n">
        <v>107</v>
      </c>
      <c r="G287" s="28" t="n">
        <v>0.569148936170213</v>
      </c>
      <c r="H287" s="29" t="n">
        <v>1.20608899297424</v>
      </c>
      <c r="I287" s="27" t="n">
        <v>0</v>
      </c>
      <c r="J287" s="27" t="n">
        <v>1</v>
      </c>
      <c r="K287" s="28" t="n">
        <v>0</v>
      </c>
      <c r="L287" s="30" t="n">
        <v>29.41</v>
      </c>
      <c r="M287" s="28" t="n">
        <v>0.13419233186675</v>
      </c>
      <c r="N287" s="29" t="n">
        <v>8.8</v>
      </c>
      <c r="O287" s="28" t="n">
        <v>0</v>
      </c>
      <c r="P287" s="27" t="n">
        <v>100</v>
      </c>
      <c r="Q287" s="28" t="n">
        <v>0.253164556962025</v>
      </c>
      <c r="R287" s="31" t="n">
        <v>0.525944781825206</v>
      </c>
    </row>
    <row r="288" customFormat="false" ht="15" hidden="false" customHeight="false" outlineLevel="0" collapsed="false">
      <c r="A288" s="25" t="n">
        <v>4120309</v>
      </c>
      <c r="B288" s="26" t="s">
        <v>354</v>
      </c>
      <c r="C288" s="26" t="s">
        <v>71</v>
      </c>
      <c r="D288" s="27" t="n">
        <v>3562</v>
      </c>
      <c r="E288" s="27" t="n">
        <v>220</v>
      </c>
      <c r="F288" s="27" t="n">
        <v>70</v>
      </c>
      <c r="G288" s="28" t="n">
        <v>0.318181818181818</v>
      </c>
      <c r="H288" s="29" t="n">
        <v>1.21730382293763</v>
      </c>
      <c r="I288" s="27" t="n">
        <v>0</v>
      </c>
      <c r="J288" s="27" t="n">
        <v>1</v>
      </c>
      <c r="K288" s="28" t="n">
        <v>0</v>
      </c>
      <c r="L288" s="30" t="n">
        <v>0</v>
      </c>
      <c r="M288" s="28" t="n">
        <v>0.139528354856822</v>
      </c>
      <c r="N288" s="29" t="n">
        <v>14.32</v>
      </c>
      <c r="O288" s="28" t="n">
        <v>0</v>
      </c>
      <c r="P288" s="27" t="n">
        <v>110</v>
      </c>
      <c r="Q288" s="28" t="n">
        <v>0.233050847457627</v>
      </c>
      <c r="R288" s="31" t="n">
        <v>0.412446293803041</v>
      </c>
    </row>
    <row r="289" customFormat="false" ht="15" hidden="false" customHeight="false" outlineLevel="0" collapsed="false">
      <c r="A289" s="25" t="n">
        <v>4120333</v>
      </c>
      <c r="B289" s="26" t="s">
        <v>355</v>
      </c>
      <c r="C289" s="26" t="s">
        <v>71</v>
      </c>
      <c r="D289" s="27" t="n">
        <v>3709</v>
      </c>
      <c r="E289" s="27" t="n">
        <v>250</v>
      </c>
      <c r="F289" s="27" t="n">
        <v>117</v>
      </c>
      <c r="G289" s="28" t="n">
        <v>0.468</v>
      </c>
      <c r="H289" s="29" t="n">
        <v>1.12804878048781</v>
      </c>
      <c r="I289" s="27" t="n">
        <v>1</v>
      </c>
      <c r="J289" s="27" t="n">
        <v>3</v>
      </c>
      <c r="K289" s="28" t="n">
        <v>0.333333333333333</v>
      </c>
      <c r="L289" s="30" t="n">
        <v>52.63</v>
      </c>
      <c r="M289" s="28" t="n">
        <v>0.132650310056619</v>
      </c>
      <c r="N289" s="29" t="n">
        <v>14.02</v>
      </c>
      <c r="O289" s="28" t="n">
        <v>0</v>
      </c>
      <c r="P289" s="27" t="n">
        <v>128</v>
      </c>
      <c r="Q289" s="28" t="n">
        <v>0.256513026052104</v>
      </c>
      <c r="R289" s="31" t="n">
        <v>0.527166615889125</v>
      </c>
    </row>
    <row r="290" customFormat="false" ht="15" hidden="false" customHeight="false" outlineLevel="0" collapsed="false">
      <c r="A290" s="25" t="n">
        <v>4120358</v>
      </c>
      <c r="B290" s="26" t="s">
        <v>356</v>
      </c>
      <c r="C290" s="26" t="s">
        <v>65</v>
      </c>
      <c r="D290" s="27" t="n">
        <v>5737</v>
      </c>
      <c r="E290" s="27" t="n">
        <v>379</v>
      </c>
      <c r="F290" s="27" t="n">
        <v>144</v>
      </c>
      <c r="G290" s="28" t="n">
        <v>0.379947229551451</v>
      </c>
      <c r="H290" s="29" t="n">
        <v>1.18544935805991</v>
      </c>
      <c r="I290" s="27" t="n">
        <v>1</v>
      </c>
      <c r="J290" s="27" t="n">
        <v>3</v>
      </c>
      <c r="K290" s="28" t="n">
        <v>0.333333333333333</v>
      </c>
      <c r="L290" s="30" t="n">
        <v>15.15</v>
      </c>
      <c r="M290" s="28" t="n">
        <v>0.122189297542269</v>
      </c>
      <c r="N290" s="29" t="n">
        <v>12.03</v>
      </c>
      <c r="O290" s="28" t="n">
        <v>0</v>
      </c>
      <c r="P290" s="27" t="n">
        <v>141</v>
      </c>
      <c r="Q290" s="28" t="n">
        <v>0.196927374301676</v>
      </c>
      <c r="R290" s="31" t="n">
        <v>0.500234124437634</v>
      </c>
    </row>
    <row r="291" customFormat="false" ht="15" hidden="false" customHeight="false" outlineLevel="0" collapsed="false">
      <c r="A291" s="25" t="n">
        <v>4120408</v>
      </c>
      <c r="B291" s="26" t="s">
        <v>357</v>
      </c>
      <c r="C291" s="26" t="s">
        <v>71</v>
      </c>
      <c r="D291" s="27" t="n">
        <v>4336</v>
      </c>
      <c r="E291" s="27" t="n">
        <v>280</v>
      </c>
      <c r="F291" s="27" t="n">
        <v>113</v>
      </c>
      <c r="G291" s="28" t="n">
        <v>0.403571428571429</v>
      </c>
      <c r="H291" s="29" t="n">
        <v>1.17399617590822</v>
      </c>
      <c r="I291" s="27" t="n">
        <v>0</v>
      </c>
      <c r="J291" s="27" t="n">
        <v>2</v>
      </c>
      <c r="K291" s="28" t="n">
        <v>0</v>
      </c>
      <c r="L291" s="30" t="n">
        <v>39.22</v>
      </c>
      <c r="M291" s="28" t="n">
        <v>0.120618081180812</v>
      </c>
      <c r="N291" s="29" t="n">
        <v>8.53</v>
      </c>
      <c r="O291" s="28" t="n">
        <v>0.0689655172413793</v>
      </c>
      <c r="P291" s="27" t="n">
        <v>75</v>
      </c>
      <c r="Q291" s="28" t="n">
        <v>0.14018691588785</v>
      </c>
      <c r="R291" s="31" t="n">
        <v>0.398182317716304</v>
      </c>
    </row>
    <row r="292" customFormat="false" ht="15" hidden="false" customHeight="false" outlineLevel="0" collapsed="false">
      <c r="A292" s="25" t="n">
        <v>4120507</v>
      </c>
      <c r="B292" s="26" t="s">
        <v>358</v>
      </c>
      <c r="C292" s="26" t="s">
        <v>65</v>
      </c>
      <c r="D292" s="27" t="n">
        <v>10082</v>
      </c>
      <c r="E292" s="27" t="n">
        <v>490</v>
      </c>
      <c r="F292" s="27" t="n">
        <v>170</v>
      </c>
      <c r="G292" s="28" t="n">
        <v>0.346938775510204</v>
      </c>
      <c r="H292" s="29" t="n">
        <v>1.06427915518825</v>
      </c>
      <c r="I292" s="27" t="n">
        <v>3</v>
      </c>
      <c r="J292" s="27" t="n">
        <v>6</v>
      </c>
      <c r="K292" s="28" t="n">
        <v>0.5</v>
      </c>
      <c r="L292" s="30" t="n">
        <v>0</v>
      </c>
      <c r="M292" s="28" t="n">
        <v>0.108014282880381</v>
      </c>
      <c r="N292" s="29" t="n">
        <v>9.92</v>
      </c>
      <c r="O292" s="28" t="n">
        <v>0</v>
      </c>
      <c r="P292" s="27" t="n">
        <v>273</v>
      </c>
      <c r="Q292" s="28" t="n">
        <v>0.261244019138756</v>
      </c>
      <c r="R292" s="31" t="n">
        <v>0.415208506712437</v>
      </c>
    </row>
    <row r="293" customFormat="false" ht="15" hidden="false" customHeight="false" outlineLevel="0" collapsed="false">
      <c r="A293" s="25" t="n">
        <v>4120606</v>
      </c>
      <c r="B293" s="26" t="s">
        <v>359</v>
      </c>
      <c r="C293" s="26" t="s">
        <v>86</v>
      </c>
      <c r="D293" s="27" t="n">
        <v>49393</v>
      </c>
      <c r="E293" s="27" t="n">
        <v>3046</v>
      </c>
      <c r="F293" s="27" t="n">
        <v>733</v>
      </c>
      <c r="G293" s="28" t="n">
        <v>0.24064346684176</v>
      </c>
      <c r="H293" s="29" t="n">
        <v>1.07481031866464</v>
      </c>
      <c r="I293" s="27" t="n">
        <v>4</v>
      </c>
      <c r="J293" s="27" t="n">
        <v>13</v>
      </c>
      <c r="K293" s="28" t="n">
        <v>0.307692307692308</v>
      </c>
      <c r="L293" s="30" t="n">
        <v>7.89</v>
      </c>
      <c r="M293" s="28" t="n">
        <v>0.13341971534428</v>
      </c>
      <c r="N293" s="29" t="n">
        <v>12.27</v>
      </c>
      <c r="O293" s="28" t="n">
        <v>0.0374707259953161</v>
      </c>
      <c r="P293" s="27" t="n">
        <v>1691</v>
      </c>
      <c r="Q293" s="28" t="n">
        <v>0.26701405337123</v>
      </c>
      <c r="R293" s="31" t="n">
        <v>0.444803108243619</v>
      </c>
    </row>
    <row r="294" customFormat="false" ht="15" hidden="false" customHeight="false" outlineLevel="0" collapsed="false">
      <c r="A294" s="25" t="n">
        <v>4120655</v>
      </c>
      <c r="B294" s="26" t="s">
        <v>360</v>
      </c>
      <c r="C294" s="26" t="s">
        <v>71</v>
      </c>
      <c r="D294" s="27" t="n">
        <v>4201</v>
      </c>
      <c r="E294" s="27" t="n">
        <v>281</v>
      </c>
      <c r="F294" s="27" t="n">
        <v>137</v>
      </c>
      <c r="G294" s="28" t="n">
        <v>0.487544483985765</v>
      </c>
      <c r="H294" s="29" t="n">
        <v>1.13051823416507</v>
      </c>
      <c r="I294" s="27" t="n">
        <v>0</v>
      </c>
      <c r="J294" s="27" t="n">
        <v>2</v>
      </c>
      <c r="K294" s="28" t="n">
        <v>0</v>
      </c>
      <c r="L294" s="30" t="n">
        <v>0</v>
      </c>
      <c r="M294" s="28" t="n">
        <v>0.124018090930731</v>
      </c>
      <c r="N294" s="29" t="n">
        <v>10.47</v>
      </c>
      <c r="O294" s="28" t="n">
        <v>0.0350877192982456</v>
      </c>
      <c r="P294" s="27" t="n">
        <v>109</v>
      </c>
      <c r="Q294" s="28" t="n">
        <v>0.201478743068392</v>
      </c>
      <c r="R294" s="31" t="n">
        <v>0.496764258849415</v>
      </c>
    </row>
    <row r="295" customFormat="false" ht="15" hidden="false" customHeight="false" outlineLevel="0" collapsed="false">
      <c r="A295" s="25" t="n">
        <v>4120705</v>
      </c>
      <c r="B295" s="26" t="s">
        <v>361</v>
      </c>
      <c r="C295" s="26" t="s">
        <v>65</v>
      </c>
      <c r="D295" s="27" t="n">
        <v>8099</v>
      </c>
      <c r="E295" s="27" t="n">
        <v>458</v>
      </c>
      <c r="F295" s="27" t="n">
        <v>175</v>
      </c>
      <c r="G295" s="28" t="n">
        <v>0.382096069868996</v>
      </c>
      <c r="H295" s="29" t="n">
        <v>1.11658291457286</v>
      </c>
      <c r="I295" s="27" t="n">
        <v>2</v>
      </c>
      <c r="J295" s="27" t="n">
        <v>4</v>
      </c>
      <c r="K295" s="28" t="n">
        <v>0.5</v>
      </c>
      <c r="L295" s="30" t="n">
        <v>0</v>
      </c>
      <c r="M295" s="28" t="n">
        <v>0.122854673416471</v>
      </c>
      <c r="N295" s="29" t="n">
        <v>13.33</v>
      </c>
      <c r="O295" s="28" t="n">
        <v>0.03125</v>
      </c>
      <c r="P295" s="27" t="n">
        <v>244</v>
      </c>
      <c r="Q295" s="28" t="n">
        <v>0.250770811921891</v>
      </c>
      <c r="R295" s="31" t="n">
        <v>0.447680877249672</v>
      </c>
    </row>
    <row r="296" customFormat="false" ht="15" hidden="false" customHeight="false" outlineLevel="0" collapsed="false">
      <c r="A296" s="25" t="n">
        <v>4120804</v>
      </c>
      <c r="B296" s="26" t="s">
        <v>362</v>
      </c>
      <c r="C296" s="26" t="s">
        <v>86</v>
      </c>
      <c r="D296" s="27" t="n">
        <v>24191</v>
      </c>
      <c r="E296" s="27" t="n">
        <v>1474</v>
      </c>
      <c r="F296" s="27" t="n">
        <v>482</v>
      </c>
      <c r="G296" s="28" t="n">
        <v>0.327001356852103</v>
      </c>
      <c r="H296" s="29" t="n">
        <v>1.09985815602837</v>
      </c>
      <c r="I296" s="27" t="n">
        <v>2</v>
      </c>
      <c r="J296" s="27" t="n">
        <v>11</v>
      </c>
      <c r="K296" s="28" t="n">
        <v>0.181818181818182</v>
      </c>
      <c r="L296" s="30" t="n">
        <v>3.42</v>
      </c>
      <c r="M296" s="28" t="n">
        <v>0.145715348683395</v>
      </c>
      <c r="N296" s="29" t="n">
        <v>12.24</v>
      </c>
      <c r="O296" s="28" t="n">
        <v>0.0233644859813084</v>
      </c>
      <c r="P296" s="27" t="n">
        <v>492</v>
      </c>
      <c r="Q296" s="28" t="n">
        <v>0.154328732747804</v>
      </c>
      <c r="R296" s="31" t="n">
        <v>0.720594667566375</v>
      </c>
    </row>
    <row r="297" customFormat="false" ht="15" hidden="false" customHeight="false" outlineLevel="0" collapsed="false">
      <c r="A297" s="25" t="n">
        <v>4120853</v>
      </c>
      <c r="B297" s="26" t="s">
        <v>363</v>
      </c>
      <c r="C297" s="26" t="s">
        <v>71</v>
      </c>
      <c r="D297" s="27" t="n">
        <v>4480</v>
      </c>
      <c r="E297" s="27" t="n">
        <v>290</v>
      </c>
      <c r="F297" s="27" t="n">
        <v>176</v>
      </c>
      <c r="G297" s="28" t="n">
        <v>0.606896551724138</v>
      </c>
      <c r="H297" s="29" t="n">
        <v>1.24712643678161</v>
      </c>
      <c r="I297" s="27" t="n">
        <v>0</v>
      </c>
      <c r="J297" s="27" t="n">
        <v>2</v>
      </c>
      <c r="K297" s="28" t="n">
        <v>0</v>
      </c>
      <c r="L297" s="30" t="n">
        <v>21.74</v>
      </c>
      <c r="M297" s="28" t="n">
        <v>0.116517857142857</v>
      </c>
      <c r="N297" s="29" t="n">
        <v>10.71</v>
      </c>
      <c r="O297" s="28" t="n">
        <v>0</v>
      </c>
      <c r="P297" s="27" t="n">
        <v>17</v>
      </c>
      <c r="Q297" s="28" t="n">
        <v>0.0302491103202846</v>
      </c>
      <c r="R297" s="31" t="n">
        <v>0.595615477133677</v>
      </c>
    </row>
    <row r="298" customFormat="false" ht="15" hidden="false" customHeight="false" outlineLevel="0" collapsed="false">
      <c r="A298" s="25" t="n">
        <v>4120903</v>
      </c>
      <c r="B298" s="26" t="s">
        <v>364</v>
      </c>
      <c r="C298" s="26" t="s">
        <v>86</v>
      </c>
      <c r="D298" s="27" t="n">
        <v>30738</v>
      </c>
      <c r="E298" s="27" t="n">
        <v>2227</v>
      </c>
      <c r="F298" s="27" t="n">
        <v>627</v>
      </c>
      <c r="G298" s="28" t="n">
        <v>0.281544678940278</v>
      </c>
      <c r="H298" s="29" t="n">
        <v>1.06264185201997</v>
      </c>
      <c r="I298" s="27" t="n">
        <v>3</v>
      </c>
      <c r="J298" s="27" t="n">
        <v>12</v>
      </c>
      <c r="K298" s="28" t="n">
        <v>0.25</v>
      </c>
      <c r="L298" s="30" t="n">
        <v>22.08</v>
      </c>
      <c r="M298" s="28" t="n">
        <v>0.143340490597957</v>
      </c>
      <c r="N298" s="29" t="n">
        <v>14.74</v>
      </c>
      <c r="O298" s="28" t="n">
        <v>0.053030303030303</v>
      </c>
      <c r="P298" s="27" t="n">
        <v>1522</v>
      </c>
      <c r="Q298" s="28" t="n">
        <v>0.340263805052537</v>
      </c>
      <c r="R298" s="31" t="n">
        <v>0.452948243102466</v>
      </c>
    </row>
    <row r="299" customFormat="false" ht="15" hidden="false" customHeight="false" outlineLevel="0" collapsed="false">
      <c r="A299" s="25" t="n">
        <v>4121000</v>
      </c>
      <c r="B299" s="26" t="s">
        <v>365</v>
      </c>
      <c r="C299" s="26" t="s">
        <v>65</v>
      </c>
      <c r="D299" s="27" t="n">
        <v>10685</v>
      </c>
      <c r="E299" s="27" t="n">
        <v>731</v>
      </c>
      <c r="F299" s="27" t="n">
        <v>274</v>
      </c>
      <c r="G299" s="28" t="n">
        <v>0.374829001367989</v>
      </c>
      <c r="H299" s="29" t="n">
        <v>1.11802853437095</v>
      </c>
      <c r="I299" s="27" t="n">
        <v>1</v>
      </c>
      <c r="J299" s="27" t="n">
        <v>4</v>
      </c>
      <c r="K299" s="28" t="n">
        <v>0.25</v>
      </c>
      <c r="L299" s="30" t="n">
        <v>6.71</v>
      </c>
      <c r="M299" s="28" t="n">
        <v>0.144314459522695</v>
      </c>
      <c r="N299" s="29" t="n">
        <v>11.79</v>
      </c>
      <c r="O299" s="28" t="n">
        <v>0</v>
      </c>
      <c r="P299" s="27" t="n">
        <v>481</v>
      </c>
      <c r="Q299" s="28" t="n">
        <v>0.31458469587966</v>
      </c>
      <c r="R299" s="31" t="n">
        <v>0.411125119823469</v>
      </c>
    </row>
    <row r="300" customFormat="false" ht="15" hidden="false" customHeight="false" outlineLevel="0" collapsed="false">
      <c r="A300" s="25" t="n">
        <v>4121109</v>
      </c>
      <c r="B300" s="26" t="s">
        <v>366</v>
      </c>
      <c r="C300" s="26" t="s">
        <v>65</v>
      </c>
      <c r="D300" s="27" t="n">
        <v>5001</v>
      </c>
      <c r="E300" s="27" t="n">
        <v>320</v>
      </c>
      <c r="F300" s="27" t="n">
        <v>120</v>
      </c>
      <c r="G300" s="28" t="n">
        <v>0.375</v>
      </c>
      <c r="H300" s="29" t="n">
        <v>1.1140625</v>
      </c>
      <c r="I300" s="27" t="n">
        <v>0</v>
      </c>
      <c r="J300" s="27" t="n">
        <v>1</v>
      </c>
      <c r="K300" s="28" t="n">
        <v>0</v>
      </c>
      <c r="L300" s="30" t="n">
        <v>17.54</v>
      </c>
      <c r="M300" s="28" t="n">
        <v>0.127974405118976</v>
      </c>
      <c r="N300" s="29" t="n">
        <v>11</v>
      </c>
      <c r="O300" s="28" t="n">
        <v>0</v>
      </c>
      <c r="P300" s="27" t="n">
        <v>162</v>
      </c>
      <c r="Q300" s="28" t="n">
        <v>0.260032102728732</v>
      </c>
      <c r="R300" s="31" t="n">
        <v>0.434387736898993</v>
      </c>
    </row>
    <row r="301" customFormat="false" ht="15" hidden="false" customHeight="false" outlineLevel="0" collapsed="false">
      <c r="A301" s="25" t="n">
        <v>4121208</v>
      </c>
      <c r="B301" s="26" t="s">
        <v>367</v>
      </c>
      <c r="C301" s="26" t="s">
        <v>65</v>
      </c>
      <c r="D301" s="27" t="n">
        <v>18398</v>
      </c>
      <c r="E301" s="27" t="n">
        <v>1179</v>
      </c>
      <c r="F301" s="27" t="n">
        <v>229</v>
      </c>
      <c r="G301" s="28" t="n">
        <v>0.194232400339271</v>
      </c>
      <c r="H301" s="29" t="n">
        <v>1.16338500209468</v>
      </c>
      <c r="I301" s="27" t="n">
        <v>1</v>
      </c>
      <c r="J301" s="27" t="n">
        <v>3</v>
      </c>
      <c r="K301" s="28" t="n">
        <v>0.333333333333333</v>
      </c>
      <c r="L301" s="30" t="n">
        <v>9.39</v>
      </c>
      <c r="M301" s="28" t="n">
        <v>0.129742363300359</v>
      </c>
      <c r="N301" s="29" t="n">
        <v>11.52</v>
      </c>
      <c r="O301" s="28" t="n">
        <v>0.0275229357798165</v>
      </c>
      <c r="P301" s="27" t="n">
        <v>450</v>
      </c>
      <c r="Q301" s="28" t="n">
        <v>0.190920661858294</v>
      </c>
      <c r="R301" s="31" t="n">
        <v>0.430276735196931</v>
      </c>
    </row>
    <row r="302" customFormat="false" ht="15" hidden="false" customHeight="false" outlineLevel="0" collapsed="false">
      <c r="A302" s="25" t="n">
        <v>4121257</v>
      </c>
      <c r="B302" s="26" t="s">
        <v>368</v>
      </c>
      <c r="C302" s="26" t="s">
        <v>71</v>
      </c>
      <c r="D302" s="27" t="n">
        <v>4221</v>
      </c>
      <c r="E302" s="27" t="n">
        <v>332</v>
      </c>
      <c r="F302" s="27" t="n">
        <v>136</v>
      </c>
      <c r="G302" s="28" t="n">
        <v>0.409638554216867</v>
      </c>
      <c r="H302" s="29" t="n">
        <v>1.15423728813559</v>
      </c>
      <c r="I302" s="27" t="n">
        <v>0</v>
      </c>
      <c r="J302" s="27" t="n">
        <v>1</v>
      </c>
      <c r="K302" s="28" t="n">
        <v>0</v>
      </c>
      <c r="L302" s="30" t="n">
        <v>16.95</v>
      </c>
      <c r="M302" s="28" t="n">
        <v>0.139777303956408</v>
      </c>
      <c r="N302" s="29" t="n">
        <v>12.79</v>
      </c>
      <c r="O302" s="28" t="n">
        <v>0</v>
      </c>
      <c r="P302" s="27" t="n">
        <v>106</v>
      </c>
      <c r="Q302" s="28" t="n">
        <v>0.166666666666667</v>
      </c>
      <c r="R302" s="31" t="n">
        <v>0.399982897023432</v>
      </c>
    </row>
    <row r="303" customFormat="false" ht="15" hidden="false" customHeight="false" outlineLevel="0" collapsed="false">
      <c r="A303" s="25" t="n">
        <v>4121307</v>
      </c>
      <c r="B303" s="26" t="s">
        <v>369</v>
      </c>
      <c r="C303" s="26" t="s">
        <v>71</v>
      </c>
      <c r="D303" s="27" t="n">
        <v>3512</v>
      </c>
      <c r="E303" s="27" t="n">
        <v>163</v>
      </c>
      <c r="F303" s="27" t="n">
        <v>84</v>
      </c>
      <c r="G303" s="28" t="n">
        <v>0.515337423312884</v>
      </c>
      <c r="H303" s="29" t="n">
        <v>1.07377049180328</v>
      </c>
      <c r="I303" s="27" t="n">
        <v>0</v>
      </c>
      <c r="J303" s="27" t="n">
        <v>1</v>
      </c>
      <c r="K303" s="28" t="n">
        <v>0</v>
      </c>
      <c r="L303" s="30" t="n">
        <v>0</v>
      </c>
      <c r="M303" s="28" t="n">
        <v>0.104214123006834</v>
      </c>
      <c r="N303" s="29" t="n">
        <v>11.39</v>
      </c>
      <c r="O303" s="28" t="n">
        <v>0</v>
      </c>
      <c r="P303" s="27" t="n">
        <v>107</v>
      </c>
      <c r="Q303" s="28" t="n">
        <v>0.311046511627907</v>
      </c>
      <c r="R303" s="31" t="n">
        <v>0.388191586768386</v>
      </c>
    </row>
    <row r="304" customFormat="false" ht="15" hidden="false" customHeight="false" outlineLevel="0" collapsed="false">
      <c r="A304" s="25" t="n">
        <v>4121356</v>
      </c>
      <c r="B304" s="26" t="s">
        <v>370</v>
      </c>
      <c r="C304" s="26" t="s">
        <v>71</v>
      </c>
      <c r="D304" s="27" t="n">
        <v>2618</v>
      </c>
      <c r="E304" s="27" t="n">
        <v>157</v>
      </c>
      <c r="F304" s="27" t="n">
        <v>54</v>
      </c>
      <c r="G304" s="28" t="n">
        <v>0.343949044585987</v>
      </c>
      <c r="H304" s="29" t="n">
        <v>0.903225806451613</v>
      </c>
      <c r="I304" s="27" t="n">
        <v>0</v>
      </c>
      <c r="J304" s="27" t="n">
        <v>1</v>
      </c>
      <c r="K304" s="28" t="n">
        <v>0</v>
      </c>
      <c r="L304" s="30" t="n">
        <v>0</v>
      </c>
      <c r="M304" s="28" t="n">
        <v>0.130252100840336</v>
      </c>
      <c r="N304" s="29" t="n">
        <v>8.79</v>
      </c>
      <c r="O304" s="28" t="n">
        <v>0</v>
      </c>
      <c r="P304" s="27" t="n">
        <v>68</v>
      </c>
      <c r="Q304" s="28" t="n">
        <v>0.211180124223603</v>
      </c>
      <c r="R304" s="31" t="n">
        <v>0.519778691400214</v>
      </c>
    </row>
    <row r="305" customFormat="false" ht="15" hidden="false" customHeight="false" outlineLevel="0" collapsed="false">
      <c r="A305" s="25" t="n">
        <v>4121406</v>
      </c>
      <c r="B305" s="26" t="s">
        <v>371</v>
      </c>
      <c r="C305" s="26" t="s">
        <v>65</v>
      </c>
      <c r="D305" s="27" t="n">
        <v>19247</v>
      </c>
      <c r="E305" s="27" t="n">
        <v>1161</v>
      </c>
      <c r="F305" s="27" t="n">
        <v>457</v>
      </c>
      <c r="G305" s="28" t="n">
        <v>0.393626184323859</v>
      </c>
      <c r="H305" s="29" t="n">
        <v>1.08302354399009</v>
      </c>
      <c r="I305" s="27" t="n">
        <v>3</v>
      </c>
      <c r="J305" s="27" t="n">
        <v>7</v>
      </c>
      <c r="K305" s="28" t="n">
        <v>0.428571428571429</v>
      </c>
      <c r="L305" s="30" t="n">
        <v>4.83</v>
      </c>
      <c r="M305" s="28" t="n">
        <v>0.12578583675378</v>
      </c>
      <c r="N305" s="29" t="n">
        <v>12.47</v>
      </c>
      <c r="O305" s="28" t="n">
        <v>0</v>
      </c>
      <c r="P305" s="27" t="n">
        <v>292</v>
      </c>
      <c r="Q305" s="28" t="n">
        <v>0.124096897577561</v>
      </c>
      <c r="R305" s="31" t="n">
        <v>0.487129998750929</v>
      </c>
    </row>
    <row r="306" customFormat="false" ht="15" hidden="false" customHeight="false" outlineLevel="0" collapsed="false">
      <c r="A306" s="25" t="n">
        <v>4121505</v>
      </c>
      <c r="B306" s="26" t="s">
        <v>372</v>
      </c>
      <c r="C306" s="26" t="s">
        <v>65</v>
      </c>
      <c r="D306" s="27" t="n">
        <v>14514</v>
      </c>
      <c r="E306" s="27" t="n">
        <v>910</v>
      </c>
      <c r="F306" s="27" t="n">
        <v>209</v>
      </c>
      <c r="G306" s="28" t="n">
        <v>0.22967032967033</v>
      </c>
      <c r="H306" s="29" t="n">
        <v>1.14651639344262</v>
      </c>
      <c r="I306" s="27" t="n">
        <v>1</v>
      </c>
      <c r="J306" s="27" t="n">
        <v>4</v>
      </c>
      <c r="K306" s="28" t="n">
        <v>0.25</v>
      </c>
      <c r="L306" s="30" t="n">
        <v>5.38</v>
      </c>
      <c r="M306" s="28" t="n">
        <v>0.134490836433788</v>
      </c>
      <c r="N306" s="29" t="n">
        <v>11.51</v>
      </c>
      <c r="O306" s="28" t="n">
        <v>0.018450184501845</v>
      </c>
      <c r="P306" s="27" t="n">
        <v>660</v>
      </c>
      <c r="Q306" s="28" t="n">
        <v>0.341261633919338</v>
      </c>
      <c r="R306" s="31" t="n">
        <v>0.406545143556634</v>
      </c>
    </row>
    <row r="307" customFormat="false" ht="15" hidden="false" customHeight="false" outlineLevel="0" collapsed="false">
      <c r="A307" s="25" t="n">
        <v>4121604</v>
      </c>
      <c r="B307" s="26" t="s">
        <v>373</v>
      </c>
      <c r="C307" s="26" t="s">
        <v>65</v>
      </c>
      <c r="D307" s="27" t="n">
        <v>6845</v>
      </c>
      <c r="E307" s="27" t="n">
        <v>449</v>
      </c>
      <c r="F307" s="27" t="n">
        <v>142</v>
      </c>
      <c r="G307" s="28" t="n">
        <v>0.316258351893096</v>
      </c>
      <c r="H307" s="29" t="n">
        <v>0.963455149501661</v>
      </c>
      <c r="I307" s="27" t="n">
        <v>0</v>
      </c>
      <c r="J307" s="27" t="n">
        <v>1</v>
      </c>
      <c r="K307" s="28" t="n">
        <v>0</v>
      </c>
      <c r="L307" s="30" t="n">
        <v>0</v>
      </c>
      <c r="M307" s="28" t="n">
        <v>0.131921110299489</v>
      </c>
      <c r="N307" s="29" t="n">
        <v>12.71</v>
      </c>
      <c r="O307" s="28" t="n">
        <v>0</v>
      </c>
      <c r="P307" s="27" t="n">
        <v>80</v>
      </c>
      <c r="Q307" s="28" t="n">
        <v>0.087719298245614</v>
      </c>
      <c r="R307" s="31" t="n">
        <v>0.481084649222907</v>
      </c>
    </row>
    <row r="308" customFormat="false" ht="15" hidden="false" customHeight="false" outlineLevel="0" collapsed="false">
      <c r="A308" s="25" t="n">
        <v>4121703</v>
      </c>
      <c r="B308" s="26" t="s">
        <v>374</v>
      </c>
      <c r="C308" s="26" t="s">
        <v>86</v>
      </c>
      <c r="D308" s="27" t="n">
        <v>24573</v>
      </c>
      <c r="E308" s="27" t="n">
        <v>1719</v>
      </c>
      <c r="F308" s="27" t="n">
        <v>386</v>
      </c>
      <c r="G308" s="28" t="n">
        <v>0.224549156486329</v>
      </c>
      <c r="H308" s="29" t="n">
        <v>1.14835948644793</v>
      </c>
      <c r="I308" s="27" t="n">
        <v>2</v>
      </c>
      <c r="J308" s="27" t="n">
        <v>7</v>
      </c>
      <c r="K308" s="28" t="n">
        <v>0.285714285714286</v>
      </c>
      <c r="L308" s="30" t="n">
        <v>11.53</v>
      </c>
      <c r="M308" s="28" t="n">
        <v>0.14263622675294</v>
      </c>
      <c r="N308" s="29" t="n">
        <v>13.75</v>
      </c>
      <c r="O308" s="28" t="n">
        <v>0.0206185567010309</v>
      </c>
      <c r="P308" s="27" t="n">
        <v>1266</v>
      </c>
      <c r="Q308" s="28" t="n">
        <v>0.370826010544815</v>
      </c>
      <c r="R308" s="31" t="n">
        <v>0.411071334344546</v>
      </c>
    </row>
    <row r="309" customFormat="false" ht="15" hidden="false" customHeight="false" outlineLevel="0" collapsed="false">
      <c r="A309" s="25" t="n">
        <v>4121752</v>
      </c>
      <c r="B309" s="26" t="s">
        <v>375</v>
      </c>
      <c r="C309" s="26" t="s">
        <v>65</v>
      </c>
      <c r="D309" s="27" t="n">
        <v>6553</v>
      </c>
      <c r="E309" s="27" t="n">
        <v>544</v>
      </c>
      <c r="F309" s="27" t="n">
        <v>146</v>
      </c>
      <c r="G309" s="28" t="n">
        <v>0.268382352941176</v>
      </c>
      <c r="H309" s="29" t="n">
        <v>1.11552680221812</v>
      </c>
      <c r="I309" s="27" t="n">
        <v>1</v>
      </c>
      <c r="J309" s="27" t="n">
        <v>4</v>
      </c>
      <c r="K309" s="28" t="n">
        <v>0.25</v>
      </c>
      <c r="L309" s="30" t="n">
        <v>9.8</v>
      </c>
      <c r="M309" s="28" t="n">
        <v>0.165115214405616</v>
      </c>
      <c r="N309" s="29" t="n">
        <v>14.34</v>
      </c>
      <c r="O309" s="28" t="n">
        <v>0</v>
      </c>
      <c r="P309" s="27" t="n">
        <v>383</v>
      </c>
      <c r="Q309" s="28" t="n">
        <v>0.341050756901158</v>
      </c>
      <c r="R309" s="31" t="n">
        <v>0.438525624533576</v>
      </c>
    </row>
    <row r="310" customFormat="false" ht="15" hidden="false" customHeight="false" outlineLevel="0" collapsed="false">
      <c r="A310" s="25" t="n">
        <v>4121802</v>
      </c>
      <c r="B310" s="26" t="s">
        <v>376</v>
      </c>
      <c r="C310" s="26" t="s">
        <v>65</v>
      </c>
      <c r="D310" s="27" t="n">
        <v>12364</v>
      </c>
      <c r="E310" s="27" t="n">
        <v>746</v>
      </c>
      <c r="F310" s="27" t="n">
        <v>159</v>
      </c>
      <c r="G310" s="28" t="n">
        <v>0.21313672922252</v>
      </c>
      <c r="H310" s="29" t="n">
        <v>1.12657388999337</v>
      </c>
      <c r="I310" s="27" t="n">
        <v>2</v>
      </c>
      <c r="J310" s="27" t="n">
        <v>3</v>
      </c>
      <c r="K310" s="28" t="n">
        <v>0.666666666666667</v>
      </c>
      <c r="L310" s="30" t="n">
        <v>12.35</v>
      </c>
      <c r="M310" s="28" t="n">
        <v>0.122047880944678</v>
      </c>
      <c r="N310" s="29" t="n">
        <v>10.27</v>
      </c>
      <c r="O310" s="28" t="n">
        <v>0.037037037037037</v>
      </c>
      <c r="P310" s="27" t="n">
        <v>369</v>
      </c>
      <c r="Q310" s="28" t="n">
        <v>0.238064516129032</v>
      </c>
      <c r="R310" s="31" t="n">
        <v>0.463783669958343</v>
      </c>
    </row>
    <row r="311" customFormat="false" ht="15" hidden="false" customHeight="false" outlineLevel="0" collapsed="false">
      <c r="A311" s="25" t="n">
        <v>4121901</v>
      </c>
      <c r="B311" s="26" t="s">
        <v>377</v>
      </c>
      <c r="C311" s="26" t="s">
        <v>65</v>
      </c>
      <c r="D311" s="27" t="n">
        <v>13060</v>
      </c>
      <c r="E311" s="27" t="n">
        <v>790</v>
      </c>
      <c r="F311" s="27" t="n">
        <v>175</v>
      </c>
      <c r="G311" s="28" t="n">
        <v>0.221518987341772</v>
      </c>
      <c r="H311" s="29" t="n">
        <v>1.13494809688581</v>
      </c>
      <c r="I311" s="27" t="n">
        <v>3</v>
      </c>
      <c r="J311" s="27" t="n">
        <v>7</v>
      </c>
      <c r="K311" s="28" t="n">
        <v>0.428571428571429</v>
      </c>
      <c r="L311" s="30" t="n">
        <v>24.24</v>
      </c>
      <c r="M311" s="28" t="n">
        <v>0.132771822358346</v>
      </c>
      <c r="N311" s="29" t="n">
        <v>12.94</v>
      </c>
      <c r="O311" s="28" t="n">
        <v>0.0769230769230769</v>
      </c>
      <c r="P311" s="27" t="n">
        <v>568</v>
      </c>
      <c r="Q311" s="28" t="n">
        <v>0.341756919374248</v>
      </c>
      <c r="R311" s="31" t="n">
        <v>0.282589978665162</v>
      </c>
    </row>
    <row r="312" customFormat="false" ht="15" hidden="false" customHeight="false" outlineLevel="0" collapsed="false">
      <c r="A312" s="25" t="n">
        <v>4122008</v>
      </c>
      <c r="B312" s="26" t="s">
        <v>378</v>
      </c>
      <c r="C312" s="26" t="s">
        <v>65</v>
      </c>
      <c r="D312" s="27" t="n">
        <v>14025</v>
      </c>
      <c r="E312" s="27" t="n">
        <v>899</v>
      </c>
      <c r="F312" s="27" t="n">
        <v>149</v>
      </c>
      <c r="G312" s="28" t="n">
        <v>0.165739710789766</v>
      </c>
      <c r="H312" s="29" t="n">
        <v>1.10823909531502</v>
      </c>
      <c r="I312" s="27" t="n">
        <v>0</v>
      </c>
      <c r="J312" s="27" t="n">
        <v>2</v>
      </c>
      <c r="K312" s="28" t="n">
        <v>0</v>
      </c>
      <c r="L312" s="30" t="n">
        <v>30.12</v>
      </c>
      <c r="M312" s="28" t="n">
        <v>0.132406417112299</v>
      </c>
      <c r="N312" s="29" t="n">
        <v>12.05</v>
      </c>
      <c r="O312" s="28" t="n">
        <v>0.0409356725146198</v>
      </c>
      <c r="P312" s="27" t="n">
        <v>321</v>
      </c>
      <c r="Q312" s="28" t="n">
        <v>0.17550574084199</v>
      </c>
      <c r="R312" s="31" t="n">
        <v>0.468197068409376</v>
      </c>
    </row>
    <row r="313" customFormat="false" ht="15" hidden="false" customHeight="false" outlineLevel="0" collapsed="false">
      <c r="A313" s="25" t="n">
        <v>4122107</v>
      </c>
      <c r="B313" s="26" t="s">
        <v>379</v>
      </c>
      <c r="C313" s="26" t="s">
        <v>71</v>
      </c>
      <c r="D313" s="27" t="n">
        <v>3197</v>
      </c>
      <c r="E313" s="27" t="n">
        <v>160</v>
      </c>
      <c r="F313" s="27" t="n">
        <v>47</v>
      </c>
      <c r="G313" s="28" t="n">
        <v>0.29375</v>
      </c>
      <c r="H313" s="29" t="n">
        <v>1.05913978494624</v>
      </c>
      <c r="I313" s="27" t="n">
        <v>1</v>
      </c>
      <c r="J313" s="27" t="n">
        <v>2</v>
      </c>
      <c r="K313" s="28" t="n">
        <v>0.5</v>
      </c>
      <c r="L313" s="30" t="n">
        <v>0</v>
      </c>
      <c r="M313" s="28" t="n">
        <v>0.116359086643729</v>
      </c>
      <c r="N313" s="29" t="n">
        <v>12.51</v>
      </c>
      <c r="O313" s="28" t="n">
        <v>0</v>
      </c>
      <c r="P313" s="27" t="n">
        <v>101</v>
      </c>
      <c r="Q313" s="28" t="n">
        <v>0.290229885057471</v>
      </c>
      <c r="R313" s="31" t="n">
        <v>0.382356753171235</v>
      </c>
    </row>
    <row r="314" customFormat="false" ht="15" hidden="false" customHeight="false" outlineLevel="0" collapsed="false">
      <c r="A314" s="25" t="n">
        <v>4122156</v>
      </c>
      <c r="B314" s="26" t="s">
        <v>380</v>
      </c>
      <c r="C314" s="26" t="s">
        <v>65</v>
      </c>
      <c r="D314" s="27" t="n">
        <v>13929</v>
      </c>
      <c r="E314" s="27" t="n">
        <v>998</v>
      </c>
      <c r="F314" s="27" t="n">
        <v>186</v>
      </c>
      <c r="G314" s="28" t="n">
        <v>0.186372745490982</v>
      </c>
      <c r="H314" s="29" t="n">
        <v>1.15355979525361</v>
      </c>
      <c r="I314" s="27" t="n">
        <v>1</v>
      </c>
      <c r="J314" s="27" t="n">
        <v>3</v>
      </c>
      <c r="K314" s="28" t="n">
        <v>0.333333333333333</v>
      </c>
      <c r="L314" s="30" t="n">
        <v>21.19</v>
      </c>
      <c r="M314" s="28" t="n">
        <v>0.154282432335415</v>
      </c>
      <c r="N314" s="29" t="n">
        <v>14.5</v>
      </c>
      <c r="O314" s="28" t="n">
        <v>0.03690036900369</v>
      </c>
      <c r="P314" s="27" t="n">
        <v>886</v>
      </c>
      <c r="Q314" s="28" t="n">
        <v>0.428226196230063</v>
      </c>
      <c r="R314" s="31" t="n">
        <v>0.413904729695443</v>
      </c>
    </row>
    <row r="315" customFormat="false" ht="15" hidden="false" customHeight="false" outlineLevel="0" collapsed="false">
      <c r="A315" s="25" t="n">
        <v>4122172</v>
      </c>
      <c r="B315" s="26" t="s">
        <v>381</v>
      </c>
      <c r="C315" s="26" t="s">
        <v>71</v>
      </c>
      <c r="D315" s="27" t="n">
        <v>3808</v>
      </c>
      <c r="E315" s="27" t="n">
        <v>252</v>
      </c>
      <c r="F315" s="27" t="n">
        <v>50</v>
      </c>
      <c r="G315" s="28" t="n">
        <v>0.198412698412698</v>
      </c>
      <c r="H315" s="29" t="n">
        <v>1.1396933560477</v>
      </c>
      <c r="I315" s="27" t="n">
        <v>1</v>
      </c>
      <c r="J315" s="27" t="n">
        <v>2</v>
      </c>
      <c r="K315" s="28" t="n">
        <v>0.5</v>
      </c>
      <c r="L315" s="30" t="n">
        <v>0</v>
      </c>
      <c r="M315" s="28" t="n">
        <v>0.154149159663866</v>
      </c>
      <c r="N315" s="29" t="n">
        <v>12.08</v>
      </c>
      <c r="O315" s="28" t="n">
        <v>0.2</v>
      </c>
      <c r="P315" s="27" t="n">
        <v>244</v>
      </c>
      <c r="Q315" s="28" t="n">
        <v>0.446886446886447</v>
      </c>
      <c r="R315" s="31" t="n">
        <v>0.232358627954237</v>
      </c>
    </row>
    <row r="316" customFormat="false" ht="15" hidden="false" customHeight="false" outlineLevel="0" collapsed="false">
      <c r="A316" s="25" t="n">
        <v>4122206</v>
      </c>
      <c r="B316" s="26" t="s">
        <v>382</v>
      </c>
      <c r="C316" s="26" t="s">
        <v>86</v>
      </c>
      <c r="D316" s="27" t="n">
        <v>37558</v>
      </c>
      <c r="E316" s="27" t="n">
        <v>2560</v>
      </c>
      <c r="F316" s="27" t="n">
        <v>312</v>
      </c>
      <c r="G316" s="28" t="n">
        <v>0.121875</v>
      </c>
      <c r="H316" s="29" t="n">
        <v>1.17409270571326</v>
      </c>
      <c r="I316" s="27" t="n">
        <v>4</v>
      </c>
      <c r="J316" s="27" t="n">
        <v>8</v>
      </c>
      <c r="K316" s="28" t="n">
        <v>0.5</v>
      </c>
      <c r="L316" s="30" t="n">
        <v>1.73</v>
      </c>
      <c r="M316" s="28" t="n">
        <v>0.148197454603547</v>
      </c>
      <c r="N316" s="29" t="n">
        <v>13.47</v>
      </c>
      <c r="O316" s="28" t="n">
        <v>0.0289389067524115</v>
      </c>
      <c r="P316" s="27" t="n">
        <v>1696</v>
      </c>
      <c r="Q316" s="28" t="n">
        <v>0.310395314787701</v>
      </c>
      <c r="R316" s="31" t="n">
        <v>0.47507288021277</v>
      </c>
    </row>
    <row r="317" customFormat="false" ht="15" hidden="false" customHeight="false" outlineLevel="0" collapsed="false">
      <c r="A317" s="25" t="n">
        <v>4122305</v>
      </c>
      <c r="B317" s="26" t="s">
        <v>383</v>
      </c>
      <c r="C317" s="26" t="s">
        <v>86</v>
      </c>
      <c r="D317" s="27" t="n">
        <v>31324</v>
      </c>
      <c r="E317" s="27" t="n">
        <v>1930</v>
      </c>
      <c r="F317" s="27" t="n">
        <v>644</v>
      </c>
      <c r="G317" s="28" t="n">
        <v>0.333678756476684</v>
      </c>
      <c r="H317" s="29" t="n">
        <v>1.17679961089494</v>
      </c>
      <c r="I317" s="27" t="n">
        <v>3</v>
      </c>
      <c r="J317" s="27" t="n">
        <v>10</v>
      </c>
      <c r="K317" s="28" t="n">
        <v>0.3</v>
      </c>
      <c r="L317" s="30" t="n">
        <v>5.95</v>
      </c>
      <c r="M317" s="28" t="n">
        <v>0.131273145192185</v>
      </c>
      <c r="N317" s="29" t="n">
        <v>10.5</v>
      </c>
      <c r="O317" s="28" t="n">
        <v>0.0481927710843373</v>
      </c>
      <c r="P317" s="27" t="n">
        <v>533</v>
      </c>
      <c r="Q317" s="28" t="n">
        <v>0.132258064516129</v>
      </c>
      <c r="R317" s="31" t="n">
        <v>0.508722999120142</v>
      </c>
    </row>
    <row r="318" customFormat="false" ht="15" hidden="false" customHeight="false" outlineLevel="0" collapsed="false">
      <c r="A318" s="25" t="n">
        <v>4122404</v>
      </c>
      <c r="B318" s="26" t="s">
        <v>384</v>
      </c>
      <c r="C318" s="26" t="s">
        <v>129</v>
      </c>
      <c r="D318" s="27" t="n">
        <v>71670</v>
      </c>
      <c r="E318" s="27" t="n">
        <v>4918</v>
      </c>
      <c r="F318" s="27" t="n">
        <v>896</v>
      </c>
      <c r="G318" s="28" t="n">
        <v>0.182187881252542</v>
      </c>
      <c r="H318" s="29" t="n">
        <v>1.13693731594447</v>
      </c>
      <c r="I318" s="27" t="n">
        <v>13</v>
      </c>
      <c r="J318" s="27" t="n">
        <v>22</v>
      </c>
      <c r="K318" s="28" t="n">
        <v>0.590909090909091</v>
      </c>
      <c r="L318" s="30" t="n">
        <v>12.23</v>
      </c>
      <c r="M318" s="28" t="n">
        <v>0.132663597041998</v>
      </c>
      <c r="N318" s="29" t="n">
        <v>13.14</v>
      </c>
      <c r="O318" s="28" t="n">
        <v>0.038235294117647</v>
      </c>
      <c r="P318" s="27" t="n">
        <v>1368</v>
      </c>
      <c r="Q318" s="28" t="n">
        <v>0.139038520174815</v>
      </c>
      <c r="R318" s="31" t="n">
        <v>0.60285433910674</v>
      </c>
    </row>
    <row r="319" customFormat="false" ht="15" hidden="false" customHeight="false" outlineLevel="0" collapsed="false">
      <c r="A319" s="25" t="n">
        <v>4122503</v>
      </c>
      <c r="B319" s="26" t="s">
        <v>385</v>
      </c>
      <c r="C319" s="26" t="s">
        <v>65</v>
      </c>
      <c r="D319" s="27" t="n">
        <v>11251</v>
      </c>
      <c r="E319" s="27" t="n">
        <v>737</v>
      </c>
      <c r="F319" s="27" t="n">
        <v>193</v>
      </c>
      <c r="G319" s="28" t="n">
        <v>0.261872455902307</v>
      </c>
      <c r="H319" s="29" t="n">
        <v>1.11228070175439</v>
      </c>
      <c r="I319" s="27" t="n">
        <v>1</v>
      </c>
      <c r="J319" s="27" t="n">
        <v>3</v>
      </c>
      <c r="K319" s="28" t="n">
        <v>0.333333333333333</v>
      </c>
      <c r="L319" s="30" t="n">
        <v>6.06</v>
      </c>
      <c r="M319" s="28" t="n">
        <v>0.126655408408142</v>
      </c>
      <c r="N319" s="29" t="n">
        <v>14.13</v>
      </c>
      <c r="O319" s="28" t="n">
        <v>0.009009009009009</v>
      </c>
      <c r="P319" s="27" t="n">
        <v>379</v>
      </c>
      <c r="Q319" s="28" t="n">
        <v>0.255390835579515</v>
      </c>
      <c r="R319" s="31" t="n">
        <v>0.450567369781323</v>
      </c>
    </row>
    <row r="320" customFormat="false" ht="15" hidden="false" customHeight="false" outlineLevel="0" collapsed="false">
      <c r="A320" s="25" t="n">
        <v>4122602</v>
      </c>
      <c r="B320" s="26" t="s">
        <v>386</v>
      </c>
      <c r="C320" s="26" t="s">
        <v>65</v>
      </c>
      <c r="D320" s="27" t="n">
        <v>9097</v>
      </c>
      <c r="E320" s="27" t="n">
        <v>540</v>
      </c>
      <c r="F320" s="27" t="n">
        <v>181</v>
      </c>
      <c r="G320" s="28" t="n">
        <v>0.335185185185185</v>
      </c>
      <c r="H320" s="29" t="n">
        <v>1.06165540540541</v>
      </c>
      <c r="I320" s="27" t="n">
        <v>2</v>
      </c>
      <c r="J320" s="27" t="n">
        <v>3</v>
      </c>
      <c r="K320" s="28" t="n">
        <v>0.666666666666667</v>
      </c>
      <c r="L320" s="30" t="n">
        <v>8.7</v>
      </c>
      <c r="M320" s="28" t="n">
        <v>0.130152797625591</v>
      </c>
      <c r="N320" s="29" t="n">
        <v>14.4</v>
      </c>
      <c r="O320" s="28" t="n">
        <v>0</v>
      </c>
      <c r="P320" s="27" t="n">
        <v>253</v>
      </c>
      <c r="Q320" s="28" t="n">
        <v>0.221153846153846</v>
      </c>
      <c r="R320" s="31" t="n">
        <v>0.519616022067142</v>
      </c>
    </row>
    <row r="321" customFormat="false" ht="15" hidden="false" customHeight="false" outlineLevel="0" collapsed="false">
      <c r="A321" s="25" t="n">
        <v>4122651</v>
      </c>
      <c r="B321" s="26" t="s">
        <v>387</v>
      </c>
      <c r="C321" s="26" t="s">
        <v>65</v>
      </c>
      <c r="D321" s="27" t="n">
        <v>5435</v>
      </c>
      <c r="E321" s="27" t="n">
        <v>293</v>
      </c>
      <c r="F321" s="27" t="n">
        <v>124</v>
      </c>
      <c r="G321" s="28" t="n">
        <v>0.42320819112628</v>
      </c>
      <c r="H321" s="29" t="n">
        <v>1.1587982832618</v>
      </c>
      <c r="I321" s="27" t="n">
        <v>0</v>
      </c>
      <c r="J321" s="27" t="n">
        <v>1</v>
      </c>
      <c r="K321" s="28" t="n">
        <v>0</v>
      </c>
      <c r="L321" s="30" t="n">
        <v>0</v>
      </c>
      <c r="M321" s="28" t="n">
        <v>0.128610855565777</v>
      </c>
      <c r="N321" s="29" t="n">
        <v>10.67</v>
      </c>
      <c r="O321" s="28" t="n">
        <v>0.0263157894736842</v>
      </c>
      <c r="P321" s="27" t="n">
        <v>212</v>
      </c>
      <c r="Q321" s="28" t="n">
        <v>0.34248788368336</v>
      </c>
      <c r="R321" s="31" t="n">
        <v>0.3468983292844</v>
      </c>
    </row>
    <row r="322" customFormat="false" ht="15" hidden="false" customHeight="false" outlineLevel="0" collapsed="false">
      <c r="A322" s="25" t="n">
        <v>4122701</v>
      </c>
      <c r="B322" s="26" t="s">
        <v>388</v>
      </c>
      <c r="C322" s="26" t="s">
        <v>65</v>
      </c>
      <c r="D322" s="27" t="n">
        <v>8822</v>
      </c>
      <c r="E322" s="27" t="n">
        <v>562</v>
      </c>
      <c r="F322" s="27" t="n">
        <v>243</v>
      </c>
      <c r="G322" s="28" t="n">
        <v>0.432384341637011</v>
      </c>
      <c r="H322" s="29" t="n">
        <v>1.15767634854772</v>
      </c>
      <c r="I322" s="27" t="n">
        <v>2</v>
      </c>
      <c r="J322" s="27" t="n">
        <v>5</v>
      </c>
      <c r="K322" s="28" t="n">
        <v>0.4</v>
      </c>
      <c r="L322" s="30" t="n">
        <v>0</v>
      </c>
      <c r="M322" s="28" t="n">
        <v>0.136590342326003</v>
      </c>
      <c r="N322" s="29" t="n">
        <v>12.7</v>
      </c>
      <c r="O322" s="28" t="n">
        <v>0.115384615384615</v>
      </c>
      <c r="P322" s="27" t="n">
        <v>166</v>
      </c>
      <c r="Q322" s="28" t="n">
        <v>0.138218151540383</v>
      </c>
      <c r="R322" s="31" t="n">
        <v>0.647425583961213</v>
      </c>
    </row>
    <row r="323" customFormat="false" ht="15" hidden="false" customHeight="false" outlineLevel="0" collapsed="false">
      <c r="A323" s="25" t="n">
        <v>4122800</v>
      </c>
      <c r="B323" s="26" t="s">
        <v>389</v>
      </c>
      <c r="C323" s="26" t="s">
        <v>71</v>
      </c>
      <c r="D323" s="27" t="n">
        <v>4075</v>
      </c>
      <c r="E323" s="27" t="n">
        <v>252</v>
      </c>
      <c r="F323" s="27" t="n">
        <v>124</v>
      </c>
      <c r="G323" s="28" t="n">
        <v>0.492063492063492</v>
      </c>
      <c r="H323" s="29" t="n">
        <v>1.13663366336634</v>
      </c>
      <c r="I323" s="27" t="n">
        <v>1</v>
      </c>
      <c r="J323" s="27" t="n">
        <v>2</v>
      </c>
      <c r="K323" s="28" t="n">
        <v>0.5</v>
      </c>
      <c r="L323" s="30" t="n">
        <v>0</v>
      </c>
      <c r="M323" s="28" t="n">
        <v>0.123926380368098</v>
      </c>
      <c r="N323" s="29" t="n">
        <v>13.01</v>
      </c>
      <c r="O323" s="28" t="n">
        <v>0</v>
      </c>
      <c r="P323" s="27" t="n">
        <v>77</v>
      </c>
      <c r="Q323" s="28" t="n">
        <v>0.14638783269962</v>
      </c>
      <c r="R323" s="31" t="n">
        <v>0.405080797582324</v>
      </c>
    </row>
    <row r="324" customFormat="false" ht="15" hidden="false" customHeight="false" outlineLevel="0" collapsed="false">
      <c r="A324" s="25" t="n">
        <v>4122909</v>
      </c>
      <c r="B324" s="26" t="s">
        <v>390</v>
      </c>
      <c r="C324" s="26" t="s">
        <v>65</v>
      </c>
      <c r="D324" s="27" t="n">
        <v>5192</v>
      </c>
      <c r="E324" s="27" t="n">
        <v>321</v>
      </c>
      <c r="F324" s="27" t="n">
        <v>116</v>
      </c>
      <c r="G324" s="28" t="n">
        <v>0.361370716510903</v>
      </c>
      <c r="H324" s="29" t="n">
        <v>1.06477093206951</v>
      </c>
      <c r="I324" s="27" t="n">
        <v>1</v>
      </c>
      <c r="J324" s="27" t="n">
        <v>3</v>
      </c>
      <c r="K324" s="28" t="n">
        <v>0.333333333333333</v>
      </c>
      <c r="L324" s="30" t="n">
        <v>0</v>
      </c>
      <c r="M324" s="28" t="n">
        <v>0.121918335901387</v>
      </c>
      <c r="N324" s="29" t="n">
        <v>9.44</v>
      </c>
      <c r="O324" s="28" t="n">
        <v>0.0697674418604651</v>
      </c>
      <c r="P324" s="27" t="n">
        <v>163</v>
      </c>
      <c r="Q324" s="28" t="n">
        <v>0.252713178294574</v>
      </c>
      <c r="R324" s="31" t="n">
        <v>0.345190710422876</v>
      </c>
    </row>
    <row r="325" customFormat="false" ht="15" hidden="false" customHeight="false" outlineLevel="0" collapsed="false">
      <c r="A325" s="25" t="n">
        <v>4123006</v>
      </c>
      <c r="B325" s="26" t="s">
        <v>391</v>
      </c>
      <c r="C325" s="26" t="s">
        <v>65</v>
      </c>
      <c r="D325" s="27" t="n">
        <v>15223</v>
      </c>
      <c r="E325" s="27" t="n">
        <v>1022</v>
      </c>
      <c r="F325" s="27" t="n">
        <v>267</v>
      </c>
      <c r="G325" s="28" t="n">
        <v>0.261252446183953</v>
      </c>
      <c r="H325" s="29" t="n">
        <v>0.961012658227848</v>
      </c>
      <c r="I325" s="27" t="n">
        <v>1</v>
      </c>
      <c r="J325" s="27" t="n">
        <v>4</v>
      </c>
      <c r="K325" s="28" t="n">
        <v>0.25</v>
      </c>
      <c r="L325" s="30" t="n">
        <v>5.32</v>
      </c>
      <c r="M325" s="28" t="n">
        <v>0.129737896603823</v>
      </c>
      <c r="N325" s="29" t="n">
        <v>11.23</v>
      </c>
      <c r="O325" s="28" t="n">
        <v>0.0127795527156549</v>
      </c>
      <c r="P325" s="27" t="n">
        <v>350</v>
      </c>
      <c r="Q325" s="28" t="n">
        <v>0.173353145121347</v>
      </c>
      <c r="R325" s="31" t="n">
        <v>0.395547864978128</v>
      </c>
    </row>
    <row r="326" customFormat="false" ht="15" hidden="false" customHeight="false" outlineLevel="0" collapsed="false">
      <c r="A326" s="25" t="n">
        <v>4123105</v>
      </c>
      <c r="B326" s="26" t="s">
        <v>392</v>
      </c>
      <c r="C326" s="26" t="s">
        <v>71</v>
      </c>
      <c r="D326" s="27" t="n">
        <v>3394</v>
      </c>
      <c r="E326" s="27" t="n">
        <v>192</v>
      </c>
      <c r="F326" s="27" t="n">
        <v>102</v>
      </c>
      <c r="G326" s="28" t="n">
        <v>0.53125</v>
      </c>
      <c r="H326" s="29" t="n">
        <v>1.09713024282561</v>
      </c>
      <c r="I326" s="27" t="n">
        <v>0</v>
      </c>
      <c r="J326" s="27" t="n">
        <v>1</v>
      </c>
      <c r="K326" s="28" t="n">
        <v>0</v>
      </c>
      <c r="L326" s="30" t="n">
        <v>26.32</v>
      </c>
      <c r="M326" s="28" t="n">
        <v>0.13347083087802</v>
      </c>
      <c r="N326" s="29" t="n">
        <v>11.49</v>
      </c>
      <c r="O326" s="28" t="n">
        <v>0.142857142857143</v>
      </c>
      <c r="P326" s="27" t="n">
        <v>140</v>
      </c>
      <c r="Q326" s="28" t="n">
        <v>0.336538461538462</v>
      </c>
      <c r="R326" s="31" t="n">
        <v>0.363818354985758</v>
      </c>
    </row>
    <row r="327" customFormat="false" ht="15" hidden="false" customHeight="false" outlineLevel="0" collapsed="false">
      <c r="A327" s="25" t="n">
        <v>4123204</v>
      </c>
      <c r="B327" s="26" t="s">
        <v>393</v>
      </c>
      <c r="C327" s="26" t="s">
        <v>71</v>
      </c>
      <c r="D327" s="27" t="n">
        <v>3365</v>
      </c>
      <c r="E327" s="27" t="n">
        <v>196</v>
      </c>
      <c r="F327" s="27" t="n">
        <v>88</v>
      </c>
      <c r="G327" s="28" t="n">
        <v>0.448979591836735</v>
      </c>
      <c r="H327" s="29" t="n">
        <v>1.01650943396226</v>
      </c>
      <c r="I327" s="27" t="n">
        <v>1</v>
      </c>
      <c r="J327" s="27" t="n">
        <v>2</v>
      </c>
      <c r="K327" s="28" t="n">
        <v>0.5</v>
      </c>
      <c r="L327" s="30" t="n">
        <v>29.41</v>
      </c>
      <c r="M327" s="28" t="n">
        <v>0.126002971768202</v>
      </c>
      <c r="N327" s="29" t="n">
        <v>15.75</v>
      </c>
      <c r="O327" s="28" t="n">
        <v>0</v>
      </c>
      <c r="P327" s="27" t="n">
        <v>116</v>
      </c>
      <c r="Q327" s="28" t="n">
        <v>0.271028037383178</v>
      </c>
      <c r="R327" s="31" t="n">
        <v>0.402119303552447</v>
      </c>
    </row>
    <row r="328" customFormat="false" ht="15" hidden="false" customHeight="false" outlineLevel="0" collapsed="false">
      <c r="A328" s="25" t="n">
        <v>4123303</v>
      </c>
      <c r="B328" s="26" t="s">
        <v>394</v>
      </c>
      <c r="C328" s="26" t="s">
        <v>65</v>
      </c>
      <c r="D328" s="27" t="n">
        <v>8613</v>
      </c>
      <c r="E328" s="27" t="n">
        <v>516</v>
      </c>
      <c r="F328" s="27" t="n">
        <v>259</v>
      </c>
      <c r="G328" s="28" t="n">
        <v>0.501937984496124</v>
      </c>
      <c r="H328" s="29" t="n">
        <v>1.0972972972973</v>
      </c>
      <c r="I328" s="27" t="n">
        <v>2</v>
      </c>
      <c r="J328" s="27" t="n">
        <v>6</v>
      </c>
      <c r="K328" s="28" t="n">
        <v>0.333333333333333</v>
      </c>
      <c r="L328" s="30" t="n">
        <v>10.42</v>
      </c>
      <c r="M328" s="28" t="n">
        <v>0.128874956461163</v>
      </c>
      <c r="N328" s="29" t="n">
        <v>11.49</v>
      </c>
      <c r="O328" s="28" t="n">
        <v>0.0384615384615384</v>
      </c>
      <c r="P328" s="27" t="n">
        <v>327</v>
      </c>
      <c r="Q328" s="28" t="n">
        <v>0.298630136986301</v>
      </c>
      <c r="R328" s="31" t="n">
        <v>0.398289184726045</v>
      </c>
    </row>
    <row r="329" customFormat="false" ht="15" hidden="false" customHeight="false" outlineLevel="0" collapsed="false">
      <c r="A329" s="25" t="n">
        <v>4123402</v>
      </c>
      <c r="B329" s="26" t="s">
        <v>395</v>
      </c>
      <c r="C329" s="26" t="s">
        <v>65</v>
      </c>
      <c r="D329" s="27" t="n">
        <v>11378</v>
      </c>
      <c r="E329" s="27" t="n">
        <v>624</v>
      </c>
      <c r="F329" s="27" t="n">
        <v>324</v>
      </c>
      <c r="G329" s="28" t="n">
        <v>0.519230769230769</v>
      </c>
      <c r="H329" s="29" t="n">
        <v>1.02692867540029</v>
      </c>
      <c r="I329" s="27" t="n">
        <v>2</v>
      </c>
      <c r="J329" s="27" t="n">
        <v>4</v>
      </c>
      <c r="K329" s="28" t="n">
        <v>0.5</v>
      </c>
      <c r="L329" s="30" t="n">
        <v>16.13</v>
      </c>
      <c r="M329" s="28" t="n">
        <v>0.120759360168747</v>
      </c>
      <c r="N329" s="29" t="n">
        <v>9.49</v>
      </c>
      <c r="O329" s="28" t="n">
        <v>0</v>
      </c>
      <c r="P329" s="27" t="n">
        <v>193</v>
      </c>
      <c r="Q329" s="28" t="n">
        <v>0.143708116157856</v>
      </c>
      <c r="R329" s="31" t="n">
        <v>0.460492011021118</v>
      </c>
    </row>
    <row r="330" customFormat="false" ht="15" hidden="false" customHeight="false" outlineLevel="0" collapsed="false">
      <c r="A330" s="25" t="n">
        <v>4123501</v>
      </c>
      <c r="B330" s="26" t="s">
        <v>396</v>
      </c>
      <c r="C330" s="26" t="s">
        <v>86</v>
      </c>
      <c r="D330" s="27" t="n">
        <v>25492</v>
      </c>
      <c r="E330" s="27" t="n">
        <v>1692</v>
      </c>
      <c r="F330" s="27" t="n">
        <v>865</v>
      </c>
      <c r="G330" s="28" t="n">
        <v>0.511229314420804</v>
      </c>
      <c r="H330" s="29" t="n">
        <v>1.21162579473206</v>
      </c>
      <c r="I330" s="27" t="n">
        <v>1</v>
      </c>
      <c r="J330" s="27" t="n">
        <v>9</v>
      </c>
      <c r="K330" s="28" t="n">
        <v>0.111111111111111</v>
      </c>
      <c r="L330" s="30" t="n">
        <v>2.92</v>
      </c>
      <c r="M330" s="28" t="n">
        <v>0.129570061195669</v>
      </c>
      <c r="N330" s="29" t="n">
        <v>13.93</v>
      </c>
      <c r="O330" s="28" t="n">
        <v>0.032</v>
      </c>
      <c r="P330" s="27" t="n">
        <v>516</v>
      </c>
      <c r="Q330" s="28" t="n">
        <v>0.151943462897527</v>
      </c>
      <c r="R330" s="31" t="n">
        <v>0.541305306181732</v>
      </c>
    </row>
    <row r="331" customFormat="false" ht="15" hidden="false" customHeight="false" outlineLevel="0" collapsed="false">
      <c r="A331" s="25" t="n">
        <v>4123600</v>
      </c>
      <c r="B331" s="26" t="s">
        <v>397</v>
      </c>
      <c r="C331" s="26" t="s">
        <v>71</v>
      </c>
      <c r="D331" s="27" t="n">
        <v>1748</v>
      </c>
      <c r="E331" s="27" t="n">
        <v>99</v>
      </c>
      <c r="F331" s="27" t="n">
        <v>60</v>
      </c>
      <c r="G331" s="28" t="n">
        <v>0.606060606060606</v>
      </c>
      <c r="H331" s="29" t="n">
        <v>1</v>
      </c>
      <c r="I331" s="27" t="n">
        <v>0</v>
      </c>
      <c r="J331" s="27" t="n">
        <v>2</v>
      </c>
      <c r="K331" s="28" t="n">
        <v>0</v>
      </c>
      <c r="L331" s="30" t="n">
        <v>0</v>
      </c>
      <c r="M331" s="28" t="n">
        <v>0.113844393592677</v>
      </c>
      <c r="N331" s="29" t="n">
        <v>14.3</v>
      </c>
      <c r="O331" s="28" t="n">
        <v>0</v>
      </c>
      <c r="P331" s="27" t="n">
        <v>53</v>
      </c>
      <c r="Q331" s="28" t="n">
        <v>0.251184834123223</v>
      </c>
      <c r="R331" s="31" t="n">
        <v>0.417382813403051</v>
      </c>
    </row>
    <row r="332" customFormat="false" ht="15" hidden="false" customHeight="false" outlineLevel="0" collapsed="false">
      <c r="A332" s="25" t="n">
        <v>4123709</v>
      </c>
      <c r="B332" s="26" t="s">
        <v>398</v>
      </c>
      <c r="C332" s="26" t="s">
        <v>65</v>
      </c>
      <c r="D332" s="27" t="n">
        <v>8912</v>
      </c>
      <c r="E332" s="27" t="n">
        <v>525</v>
      </c>
      <c r="F332" s="27" t="n">
        <v>178</v>
      </c>
      <c r="G332" s="28" t="n">
        <v>0.339047619047619</v>
      </c>
      <c r="H332" s="29" t="n">
        <v>1.15165441176471</v>
      </c>
      <c r="I332" s="27" t="n">
        <v>2</v>
      </c>
      <c r="J332" s="27" t="n">
        <v>4</v>
      </c>
      <c r="K332" s="28" t="n">
        <v>0.5</v>
      </c>
      <c r="L332" s="30" t="n">
        <v>39.6</v>
      </c>
      <c r="M332" s="28" t="n">
        <v>0.122082585278276</v>
      </c>
      <c r="N332" s="29" t="n">
        <v>10.55</v>
      </c>
      <c r="O332" s="28" t="n">
        <v>0</v>
      </c>
      <c r="P332" s="27" t="n">
        <v>143</v>
      </c>
      <c r="Q332" s="28" t="n">
        <v>0.132776230269267</v>
      </c>
      <c r="R332" s="31" t="n">
        <v>0.392908973311158</v>
      </c>
    </row>
    <row r="333" customFormat="false" ht="15" hidden="false" customHeight="false" outlineLevel="0" collapsed="false">
      <c r="A333" s="25" t="n">
        <v>4123808</v>
      </c>
      <c r="B333" s="26" t="s">
        <v>399</v>
      </c>
      <c r="C333" s="26" t="s">
        <v>65</v>
      </c>
      <c r="D333" s="27" t="n">
        <v>14070</v>
      </c>
      <c r="E333" s="27" t="n">
        <v>877</v>
      </c>
      <c r="F333" s="27" t="n">
        <v>248</v>
      </c>
      <c r="G333" s="28" t="n">
        <v>0.282782212086659</v>
      </c>
      <c r="H333" s="29" t="n">
        <v>0.893155258764608</v>
      </c>
      <c r="I333" s="27" t="n">
        <v>2</v>
      </c>
      <c r="J333" s="27" t="n">
        <v>5</v>
      </c>
      <c r="K333" s="28" t="n">
        <v>0.4</v>
      </c>
      <c r="L333" s="30" t="n">
        <v>6.1</v>
      </c>
      <c r="M333" s="28" t="n">
        <v>0.12771855010661</v>
      </c>
      <c r="N333" s="29" t="n">
        <v>10.09</v>
      </c>
      <c r="O333" s="28" t="n">
        <v>0.0606060606060606</v>
      </c>
      <c r="P333" s="27" t="n">
        <v>228</v>
      </c>
      <c r="Q333" s="28" t="n">
        <v>0.125205930807249</v>
      </c>
      <c r="R333" s="31" t="n">
        <v>0.436512497178011</v>
      </c>
    </row>
    <row r="334" customFormat="false" ht="15" hidden="false" customHeight="false" outlineLevel="0" collapsed="false">
      <c r="A334" s="25" t="n">
        <v>4123824</v>
      </c>
      <c r="B334" s="26" t="s">
        <v>400</v>
      </c>
      <c r="C334" s="26" t="s">
        <v>71</v>
      </c>
      <c r="D334" s="27" t="n">
        <v>3644</v>
      </c>
      <c r="E334" s="27" t="n">
        <v>230</v>
      </c>
      <c r="F334" s="27" t="n">
        <v>52</v>
      </c>
      <c r="G334" s="28" t="n">
        <v>0.226086956521739</v>
      </c>
      <c r="H334" s="29" t="n">
        <v>1.18526315789474</v>
      </c>
      <c r="I334" s="27" t="n">
        <v>0</v>
      </c>
      <c r="J334" s="27" t="n">
        <v>1</v>
      </c>
      <c r="K334" s="28" t="n">
        <v>0</v>
      </c>
      <c r="L334" s="30" t="n">
        <v>0</v>
      </c>
      <c r="M334" s="28" t="n">
        <v>0.130351262349067</v>
      </c>
      <c r="N334" s="29" t="n">
        <v>15.64</v>
      </c>
      <c r="O334" s="28" t="n">
        <v>0.0465116279069767</v>
      </c>
      <c r="P334" s="27" t="n">
        <v>88</v>
      </c>
      <c r="Q334" s="28" t="n">
        <v>0.196868008948546</v>
      </c>
      <c r="R334" s="31" t="n">
        <v>0.420017166627564</v>
      </c>
    </row>
    <row r="335" customFormat="false" ht="15" hidden="false" customHeight="false" outlineLevel="0" collapsed="false">
      <c r="A335" s="25" t="n">
        <v>4123857</v>
      </c>
      <c r="B335" s="26" t="s">
        <v>401</v>
      </c>
      <c r="C335" s="26" t="s">
        <v>65</v>
      </c>
      <c r="D335" s="27" t="n">
        <v>9934</v>
      </c>
      <c r="E335" s="27" t="n">
        <v>633</v>
      </c>
      <c r="F335" s="27" t="n">
        <v>170</v>
      </c>
      <c r="G335" s="28" t="n">
        <v>0.268562401263823</v>
      </c>
      <c r="H335" s="29" t="n">
        <v>1.00638750887154</v>
      </c>
      <c r="I335" s="27" t="n">
        <v>1</v>
      </c>
      <c r="J335" s="27" t="n">
        <v>3</v>
      </c>
      <c r="K335" s="28" t="n">
        <v>0.333333333333333</v>
      </c>
      <c r="L335" s="30" t="n">
        <v>9.43</v>
      </c>
      <c r="M335" s="28" t="n">
        <v>0.141836118381317</v>
      </c>
      <c r="N335" s="29" t="n">
        <v>13.89</v>
      </c>
      <c r="O335" s="28" t="n">
        <v>0.0256410256410256</v>
      </c>
      <c r="P335" s="27" t="n">
        <v>588</v>
      </c>
      <c r="Q335" s="28" t="n">
        <v>0.4375</v>
      </c>
      <c r="R335" s="31" t="n">
        <v>0.402168792981911</v>
      </c>
    </row>
    <row r="336" customFormat="false" ht="15" hidden="false" customHeight="false" outlineLevel="0" collapsed="false">
      <c r="A336" s="25" t="n">
        <v>4123907</v>
      </c>
      <c r="B336" s="26" t="s">
        <v>402</v>
      </c>
      <c r="C336" s="26" t="s">
        <v>65</v>
      </c>
      <c r="D336" s="27" t="n">
        <v>11066</v>
      </c>
      <c r="E336" s="27" t="n">
        <v>635</v>
      </c>
      <c r="F336" s="27" t="n">
        <v>208</v>
      </c>
      <c r="G336" s="28" t="n">
        <v>0.32755905511811</v>
      </c>
      <c r="H336" s="29" t="n">
        <v>1.06858924395947</v>
      </c>
      <c r="I336" s="27" t="n">
        <v>3</v>
      </c>
      <c r="J336" s="27" t="n">
        <v>6</v>
      </c>
      <c r="K336" s="28" t="n">
        <v>0.5</v>
      </c>
      <c r="L336" s="30" t="n">
        <v>22.9</v>
      </c>
      <c r="M336" s="28" t="n">
        <v>0.115940719320441</v>
      </c>
      <c r="N336" s="29" t="n">
        <v>12.56</v>
      </c>
      <c r="O336" s="28" t="n">
        <v>0</v>
      </c>
      <c r="P336" s="27" t="n">
        <v>506</v>
      </c>
      <c r="Q336" s="28" t="n">
        <v>0.394388152766952</v>
      </c>
      <c r="R336" s="31" t="n">
        <v>0.43952394625254</v>
      </c>
    </row>
    <row r="337" customFormat="false" ht="15" hidden="false" customHeight="false" outlineLevel="0" collapsed="false">
      <c r="A337" s="25" t="n">
        <v>4123956</v>
      </c>
      <c r="B337" s="26" t="s">
        <v>403</v>
      </c>
      <c r="C337" s="26" t="s">
        <v>71</v>
      </c>
      <c r="D337" s="27" t="n">
        <v>3356</v>
      </c>
      <c r="E337" s="27" t="n">
        <v>221</v>
      </c>
      <c r="F337" s="27" t="n">
        <v>95</v>
      </c>
      <c r="G337" s="28" t="n">
        <v>0.429864253393665</v>
      </c>
      <c r="H337" s="29" t="n">
        <v>1.05679513184584</v>
      </c>
      <c r="I337" s="27" t="n">
        <v>1</v>
      </c>
      <c r="J337" s="27" t="n">
        <v>3</v>
      </c>
      <c r="K337" s="28" t="n">
        <v>0.333333333333333</v>
      </c>
      <c r="L337" s="30" t="n">
        <v>25.64</v>
      </c>
      <c r="M337" s="28" t="n">
        <v>0.146901072705602</v>
      </c>
      <c r="N337" s="29" t="n">
        <v>10.43</v>
      </c>
      <c r="O337" s="28" t="n">
        <v>0.0454545454545454</v>
      </c>
      <c r="P337" s="27" t="n">
        <v>167</v>
      </c>
      <c r="Q337" s="28" t="n">
        <v>0.342213114754098</v>
      </c>
      <c r="R337" s="31" t="n">
        <v>0.396896511646898</v>
      </c>
    </row>
    <row r="338" customFormat="false" ht="15" hidden="false" customHeight="false" outlineLevel="0" collapsed="false">
      <c r="A338" s="25" t="n">
        <v>4124020</v>
      </c>
      <c r="B338" s="26" t="s">
        <v>404</v>
      </c>
      <c r="C338" s="26" t="s">
        <v>65</v>
      </c>
      <c r="D338" s="27" t="n">
        <v>13174</v>
      </c>
      <c r="E338" s="27" t="n">
        <v>1055</v>
      </c>
      <c r="F338" s="27" t="n">
        <v>352</v>
      </c>
      <c r="G338" s="28" t="n">
        <v>0.333649289099526</v>
      </c>
      <c r="H338" s="29" t="n">
        <v>1.13161953727506</v>
      </c>
      <c r="I338" s="27" t="n">
        <v>1</v>
      </c>
      <c r="J338" s="27" t="n">
        <v>5</v>
      </c>
      <c r="K338" s="28" t="n">
        <v>0.2</v>
      </c>
      <c r="L338" s="30" t="n">
        <v>0</v>
      </c>
      <c r="M338" s="28" t="n">
        <v>0.14763928950964</v>
      </c>
      <c r="N338" s="29" t="n">
        <v>15.03</v>
      </c>
      <c r="O338" s="28" t="n">
        <v>0.0357142857142857</v>
      </c>
      <c r="P338" s="27" t="n">
        <v>491</v>
      </c>
      <c r="Q338" s="28" t="n">
        <v>0.238002908385846</v>
      </c>
      <c r="R338" s="31" t="n">
        <v>0.545002218714545</v>
      </c>
    </row>
    <row r="339" customFormat="false" ht="15" hidden="false" customHeight="false" outlineLevel="0" collapsed="false">
      <c r="A339" s="25" t="n">
        <v>4124053</v>
      </c>
      <c r="B339" s="26" t="s">
        <v>405</v>
      </c>
      <c r="C339" s="26" t="s">
        <v>86</v>
      </c>
      <c r="D339" s="27" t="n">
        <v>24262</v>
      </c>
      <c r="E339" s="27" t="n">
        <v>1549</v>
      </c>
      <c r="F339" s="27" t="n">
        <v>506</v>
      </c>
      <c r="G339" s="28" t="n">
        <v>0.326662362814719</v>
      </c>
      <c r="H339" s="29" t="n">
        <v>1.06627438835553</v>
      </c>
      <c r="I339" s="27" t="n">
        <v>2</v>
      </c>
      <c r="J339" s="27" t="n">
        <v>6</v>
      </c>
      <c r="K339" s="28" t="n">
        <v>0.333333333333333</v>
      </c>
      <c r="L339" s="30" t="n">
        <v>25.08</v>
      </c>
      <c r="M339" s="28" t="n">
        <v>0.133088780809496</v>
      </c>
      <c r="N339" s="29" t="n">
        <v>11.42</v>
      </c>
      <c r="O339" s="28" t="n">
        <v>0.0588235294117647</v>
      </c>
      <c r="P339" s="27" t="n">
        <v>479</v>
      </c>
      <c r="Q339" s="28" t="n">
        <v>0.15001565925462</v>
      </c>
      <c r="R339" s="31" t="n">
        <v>0.44390151239057</v>
      </c>
    </row>
    <row r="340" customFormat="false" ht="15" hidden="false" customHeight="false" outlineLevel="0" collapsed="false">
      <c r="A340" s="25" t="n">
        <v>4124004</v>
      </c>
      <c r="B340" s="26" t="s">
        <v>406</v>
      </c>
      <c r="C340" s="26" t="s">
        <v>65</v>
      </c>
      <c r="D340" s="27" t="n">
        <v>5514</v>
      </c>
      <c r="E340" s="27" t="n">
        <v>336</v>
      </c>
      <c r="F340" s="27" t="n">
        <v>123</v>
      </c>
      <c r="G340" s="28" t="n">
        <v>0.366071428571429</v>
      </c>
      <c r="H340" s="29" t="n">
        <v>1.0963503649635</v>
      </c>
      <c r="I340" s="27" t="n">
        <v>1</v>
      </c>
      <c r="J340" s="27" t="n">
        <v>2</v>
      </c>
      <c r="K340" s="28" t="n">
        <v>0.5</v>
      </c>
      <c r="L340" s="30" t="n">
        <v>0</v>
      </c>
      <c r="M340" s="28" t="n">
        <v>0.124229234675372</v>
      </c>
      <c r="N340" s="29" t="n">
        <v>8.52</v>
      </c>
      <c r="O340" s="28" t="n">
        <v>0</v>
      </c>
      <c r="P340" s="27" t="n">
        <v>180</v>
      </c>
      <c r="Q340" s="28" t="n">
        <v>0.258992805755396</v>
      </c>
      <c r="R340" s="31" t="n">
        <v>0.379471813367311</v>
      </c>
    </row>
    <row r="341" customFormat="false" ht="15" hidden="false" customHeight="false" outlineLevel="0" collapsed="false">
      <c r="A341" s="25" t="n">
        <v>4124103</v>
      </c>
      <c r="B341" s="26" t="s">
        <v>407</v>
      </c>
      <c r="C341" s="26" t="s">
        <v>86</v>
      </c>
      <c r="D341" s="27" t="n">
        <v>44369</v>
      </c>
      <c r="E341" s="27" t="n">
        <v>2832</v>
      </c>
      <c r="F341" s="27" t="n">
        <v>541</v>
      </c>
      <c r="G341" s="28" t="n">
        <v>0.191031073446328</v>
      </c>
      <c r="H341" s="29" t="n">
        <v>1.16475816099812</v>
      </c>
      <c r="I341" s="27" t="n">
        <v>7</v>
      </c>
      <c r="J341" s="27" t="n">
        <v>19</v>
      </c>
      <c r="K341" s="28" t="n">
        <v>0.368421052631579</v>
      </c>
      <c r="L341" s="30" t="n">
        <v>6.72</v>
      </c>
      <c r="M341" s="28" t="n">
        <v>0.131871351619374</v>
      </c>
      <c r="N341" s="29" t="n">
        <v>12.87</v>
      </c>
      <c r="O341" s="28" t="n">
        <v>0.0239043824701195</v>
      </c>
      <c r="P341" s="27" t="n">
        <v>1391</v>
      </c>
      <c r="Q341" s="28" t="n">
        <v>0.244421015638728</v>
      </c>
      <c r="R341" s="31" t="n">
        <v>0.457397207701044</v>
      </c>
    </row>
    <row r="342" customFormat="false" ht="15" hidden="false" customHeight="false" outlineLevel="0" collapsed="false">
      <c r="A342" s="25" t="n">
        <v>4124202</v>
      </c>
      <c r="B342" s="26" t="s">
        <v>408</v>
      </c>
      <c r="C342" s="26" t="s">
        <v>71</v>
      </c>
      <c r="D342" s="27" t="n">
        <v>2493</v>
      </c>
      <c r="E342" s="27" t="n">
        <v>148</v>
      </c>
      <c r="F342" s="27" t="n">
        <v>76</v>
      </c>
      <c r="G342" s="28" t="n">
        <v>0.513513513513514</v>
      </c>
      <c r="H342" s="29" t="n">
        <v>1.18055555555556</v>
      </c>
      <c r="I342" s="27" t="n">
        <v>1</v>
      </c>
      <c r="J342" s="27" t="n">
        <v>2</v>
      </c>
      <c r="K342" s="28" t="n">
        <v>0.5</v>
      </c>
      <c r="L342" s="30" t="n">
        <v>0</v>
      </c>
      <c r="M342" s="28" t="n">
        <v>0.115523465703971</v>
      </c>
      <c r="N342" s="29" t="n">
        <v>11.23</v>
      </c>
      <c r="O342" s="28" t="n">
        <v>0.125</v>
      </c>
      <c r="P342" s="27" t="n">
        <v>92</v>
      </c>
      <c r="Q342" s="28" t="n">
        <v>0.304635761589404</v>
      </c>
      <c r="R342" s="31" t="n">
        <v>0.369746643244614</v>
      </c>
    </row>
    <row r="343" customFormat="false" ht="15" hidden="false" customHeight="false" outlineLevel="0" collapsed="false">
      <c r="A343" s="25" t="n">
        <v>4124301</v>
      </c>
      <c r="B343" s="26" t="s">
        <v>409</v>
      </c>
      <c r="C343" s="26" t="s">
        <v>71</v>
      </c>
      <c r="D343" s="27" t="n">
        <v>2125</v>
      </c>
      <c r="E343" s="27" t="n">
        <v>91</v>
      </c>
      <c r="F343" s="27" t="n">
        <v>54</v>
      </c>
      <c r="G343" s="28" t="n">
        <v>0.593406593406593</v>
      </c>
      <c r="H343" s="29" t="n">
        <v>1.08730158730159</v>
      </c>
      <c r="I343" s="27" t="n">
        <v>1</v>
      </c>
      <c r="J343" s="27" t="n">
        <v>2</v>
      </c>
      <c r="K343" s="28" t="n">
        <v>0.5</v>
      </c>
      <c r="L343" s="30" t="n">
        <v>0</v>
      </c>
      <c r="M343" s="28" t="n">
        <v>0.118588235294118</v>
      </c>
      <c r="N343" s="29" t="n">
        <v>12.24</v>
      </c>
      <c r="O343" s="28" t="n">
        <v>0.0555555555555555</v>
      </c>
      <c r="P343" s="27" t="n">
        <v>55</v>
      </c>
      <c r="Q343" s="28" t="n">
        <v>0.252293577981651</v>
      </c>
      <c r="R343" s="31" t="n">
        <v>0.419316244001654</v>
      </c>
    </row>
    <row r="344" customFormat="false" ht="15" hidden="false" customHeight="false" outlineLevel="0" collapsed="false">
      <c r="A344" s="25" t="n">
        <v>4124400</v>
      </c>
      <c r="B344" s="26" t="s">
        <v>410</v>
      </c>
      <c r="C344" s="26" t="s">
        <v>86</v>
      </c>
      <c r="D344" s="27" t="n">
        <v>23673</v>
      </c>
      <c r="E344" s="27" t="n">
        <v>1609</v>
      </c>
      <c r="F344" s="27" t="n">
        <v>499</v>
      </c>
      <c r="G344" s="28" t="n">
        <v>0.310130515848353</v>
      </c>
      <c r="H344" s="29" t="n">
        <v>0.872631251941597</v>
      </c>
      <c r="I344" s="27" t="n">
        <v>2</v>
      </c>
      <c r="J344" s="27" t="n">
        <v>8</v>
      </c>
      <c r="K344" s="28" t="n">
        <v>0.25</v>
      </c>
      <c r="L344" s="30" t="n">
        <v>3.88</v>
      </c>
      <c r="M344" s="28" t="n">
        <v>0.135977696109492</v>
      </c>
      <c r="N344" s="29" t="n">
        <v>11.28</v>
      </c>
      <c r="O344" s="28" t="n">
        <v>0.0510948905109489</v>
      </c>
      <c r="P344" s="27" t="n">
        <v>522</v>
      </c>
      <c r="Q344" s="28" t="n">
        <v>0.163687676387582</v>
      </c>
      <c r="R344" s="31" t="n">
        <v>0.472282528336562</v>
      </c>
    </row>
    <row r="345" customFormat="false" ht="15" hidden="false" customHeight="false" outlineLevel="0" collapsed="false">
      <c r="A345" s="25" t="n">
        <v>4124509</v>
      </c>
      <c r="B345" s="26" t="s">
        <v>411</v>
      </c>
      <c r="C345" s="26" t="s">
        <v>65</v>
      </c>
      <c r="D345" s="27" t="n">
        <v>6181</v>
      </c>
      <c r="E345" s="27" t="n">
        <v>455</v>
      </c>
      <c r="F345" s="27" t="n">
        <v>184</v>
      </c>
      <c r="G345" s="28" t="n">
        <v>0.404395604395604</v>
      </c>
      <c r="H345" s="29" t="n">
        <v>1.12781065088757</v>
      </c>
      <c r="I345" s="27" t="n">
        <v>1</v>
      </c>
      <c r="J345" s="27" t="n">
        <v>2</v>
      </c>
      <c r="K345" s="28" t="n">
        <v>0.5</v>
      </c>
      <c r="L345" s="30" t="n">
        <v>11.11</v>
      </c>
      <c r="M345" s="28" t="n">
        <v>0.136709270344604</v>
      </c>
      <c r="N345" s="29" t="n">
        <v>14.72</v>
      </c>
      <c r="O345" s="28" t="n">
        <v>0.0352112676056338</v>
      </c>
      <c r="P345" s="27" t="n">
        <v>67</v>
      </c>
      <c r="Q345" s="28" t="n">
        <v>0.0762229806598407</v>
      </c>
      <c r="R345" s="31" t="n">
        <v>0.707621002023935</v>
      </c>
    </row>
    <row r="346" customFormat="false" ht="15" hidden="false" customHeight="false" outlineLevel="0" collapsed="false">
      <c r="A346" s="25" t="n">
        <v>4126207</v>
      </c>
      <c r="B346" s="26" t="s">
        <v>412</v>
      </c>
      <c r="C346" s="26" t="s">
        <v>65</v>
      </c>
      <c r="D346" s="27" t="n">
        <v>6695</v>
      </c>
      <c r="E346" s="27" t="n">
        <v>412</v>
      </c>
      <c r="F346" s="27" t="n">
        <v>118</v>
      </c>
      <c r="G346" s="28" t="n">
        <v>0.286407766990291</v>
      </c>
      <c r="H346" s="29" t="n">
        <v>1.19760479041916</v>
      </c>
      <c r="I346" s="27" t="n">
        <v>1</v>
      </c>
      <c r="J346" s="27" t="n">
        <v>2</v>
      </c>
      <c r="K346" s="28" t="n">
        <v>0.5</v>
      </c>
      <c r="L346" s="30" t="n">
        <v>0</v>
      </c>
      <c r="M346" s="28" t="n">
        <v>0.124719940253921</v>
      </c>
      <c r="N346" s="29" t="n">
        <v>13.29</v>
      </c>
      <c r="O346" s="28" t="n">
        <v>0.03125</v>
      </c>
      <c r="P346" s="27" t="n">
        <v>307</v>
      </c>
      <c r="Q346" s="28" t="n">
        <v>0.367664670658683</v>
      </c>
      <c r="R346" s="31" t="n">
        <v>0.397292223833179</v>
      </c>
    </row>
    <row r="347" customFormat="false" ht="15" hidden="false" customHeight="false" outlineLevel="0" collapsed="false">
      <c r="A347" s="25" t="n">
        <v>4126256</v>
      </c>
      <c r="B347" s="26" t="s">
        <v>413</v>
      </c>
      <c r="C347" s="26" t="s">
        <v>69</v>
      </c>
      <c r="D347" s="27" t="n">
        <v>118455</v>
      </c>
      <c r="E347" s="27" t="n">
        <v>8567</v>
      </c>
      <c r="F347" s="27" t="n">
        <v>1184</v>
      </c>
      <c r="G347" s="28" t="n">
        <v>0.13820473911521</v>
      </c>
      <c r="H347" s="29" t="n">
        <v>0.926318281351719</v>
      </c>
      <c r="I347" s="27" t="n">
        <v>14</v>
      </c>
      <c r="J347" s="27" t="n">
        <v>27</v>
      </c>
      <c r="K347" s="28" t="n">
        <v>0.518518518518519</v>
      </c>
      <c r="L347" s="30" t="n">
        <v>10.78</v>
      </c>
      <c r="M347" s="28" t="n">
        <v>0.142644886243721</v>
      </c>
      <c r="N347" s="29" t="n">
        <v>12.6</v>
      </c>
      <c r="O347" s="28" t="n">
        <v>0.026595744680851</v>
      </c>
      <c r="P347" s="27" t="n">
        <v>1025</v>
      </c>
      <c r="Q347" s="28" t="n">
        <v>0.0589148177951488</v>
      </c>
      <c r="R347" s="31" t="n">
        <v>0.451571067306848</v>
      </c>
    </row>
    <row r="348" customFormat="false" ht="15" hidden="false" customHeight="false" outlineLevel="0" collapsed="false">
      <c r="A348" s="25" t="n">
        <v>4126272</v>
      </c>
      <c r="B348" s="26" t="s">
        <v>414</v>
      </c>
      <c r="C348" s="26" t="s">
        <v>65</v>
      </c>
      <c r="D348" s="27" t="n">
        <v>6108</v>
      </c>
      <c r="E348" s="27" t="n">
        <v>445</v>
      </c>
      <c r="F348" s="27" t="n">
        <v>125</v>
      </c>
      <c r="G348" s="28" t="n">
        <v>0.280898876404494</v>
      </c>
      <c r="H348" s="29" t="n">
        <v>1.10867293625914</v>
      </c>
      <c r="I348" s="27" t="n">
        <v>1</v>
      </c>
      <c r="J348" s="27" t="n">
        <v>2</v>
      </c>
      <c r="K348" s="28" t="n">
        <v>0.5</v>
      </c>
      <c r="L348" s="30" t="n">
        <v>23.81</v>
      </c>
      <c r="M348" s="28" t="n">
        <v>0.156679764243615</v>
      </c>
      <c r="N348" s="29" t="n">
        <v>15.55</v>
      </c>
      <c r="O348" s="28" t="n">
        <v>0</v>
      </c>
      <c r="P348" s="27" t="n">
        <v>223</v>
      </c>
      <c r="Q348" s="28" t="n">
        <v>0.247228381374723</v>
      </c>
      <c r="R348" s="31" t="n">
        <v>0.637059547970948</v>
      </c>
    </row>
    <row r="349" customFormat="false" ht="15" hidden="false" customHeight="false" outlineLevel="0" collapsed="false">
      <c r="A349" s="25" t="n">
        <v>4124608</v>
      </c>
      <c r="B349" s="26" t="s">
        <v>415</v>
      </c>
      <c r="C349" s="26" t="s">
        <v>65</v>
      </c>
      <c r="D349" s="27" t="n">
        <v>6587</v>
      </c>
      <c r="E349" s="27" t="n">
        <v>419</v>
      </c>
      <c r="F349" s="27" t="n">
        <v>217</v>
      </c>
      <c r="G349" s="28" t="n">
        <v>0.517899761336516</v>
      </c>
      <c r="H349" s="29" t="n">
        <v>1.04287369640788</v>
      </c>
      <c r="I349" s="27" t="n">
        <v>0</v>
      </c>
      <c r="J349" s="27" t="n">
        <v>2</v>
      </c>
      <c r="K349" s="28" t="n">
        <v>0</v>
      </c>
      <c r="L349" s="30" t="n">
        <v>0</v>
      </c>
      <c r="M349" s="28" t="n">
        <v>0.131015636860483</v>
      </c>
      <c r="N349" s="29" t="n">
        <v>11.23</v>
      </c>
      <c r="O349" s="28" t="n">
        <v>0</v>
      </c>
      <c r="P349" s="27" t="n">
        <v>281</v>
      </c>
      <c r="Q349" s="28" t="n">
        <v>0.32004555808656</v>
      </c>
      <c r="R349" s="31" t="n">
        <v>0.531279433152283</v>
      </c>
    </row>
    <row r="350" customFormat="false" ht="15" hidden="false" customHeight="false" outlineLevel="0" collapsed="false">
      <c r="A350" s="25" t="n">
        <v>4124707</v>
      </c>
      <c r="B350" s="26" t="s">
        <v>416</v>
      </c>
      <c r="C350" s="26" t="s">
        <v>65</v>
      </c>
      <c r="D350" s="27" t="n">
        <v>10830</v>
      </c>
      <c r="E350" s="27" t="n">
        <v>735</v>
      </c>
      <c r="F350" s="27" t="n">
        <v>73</v>
      </c>
      <c r="G350" s="28" t="n">
        <v>0.0993197278911564</v>
      </c>
      <c r="H350" s="29" t="n">
        <v>1.04865220249836</v>
      </c>
      <c r="I350" s="27" t="n">
        <v>2</v>
      </c>
      <c r="J350" s="27" t="n">
        <v>4</v>
      </c>
      <c r="K350" s="28" t="n">
        <v>0.5</v>
      </c>
      <c r="L350" s="30" t="n">
        <v>0</v>
      </c>
      <c r="M350" s="28" t="n">
        <v>0.140443213296399</v>
      </c>
      <c r="N350" s="29" t="n">
        <v>11.73</v>
      </c>
      <c r="O350" s="28" t="n">
        <v>0.0909090909090909</v>
      </c>
      <c r="P350" s="27" t="n">
        <v>407</v>
      </c>
      <c r="Q350" s="28" t="n">
        <v>0.274258760107817</v>
      </c>
      <c r="R350" s="31" t="n">
        <v>0.356163000645656</v>
      </c>
    </row>
    <row r="351" customFormat="false" ht="15" hidden="false" customHeight="false" outlineLevel="0" collapsed="false">
      <c r="A351" s="25" t="n">
        <v>4124806</v>
      </c>
      <c r="B351" s="26" t="s">
        <v>417</v>
      </c>
      <c r="C351" s="26" t="s">
        <v>65</v>
      </c>
      <c r="D351" s="27" t="n">
        <v>11886</v>
      </c>
      <c r="E351" s="27" t="n">
        <v>790</v>
      </c>
      <c r="F351" s="27" t="n">
        <v>277</v>
      </c>
      <c r="G351" s="28" t="n">
        <v>0.350632911392405</v>
      </c>
      <c r="H351" s="29" t="n">
        <v>1.09454796411318</v>
      </c>
      <c r="I351" s="27" t="n">
        <v>1</v>
      </c>
      <c r="J351" s="27" t="n">
        <v>3</v>
      </c>
      <c r="K351" s="28" t="n">
        <v>0.333333333333333</v>
      </c>
      <c r="L351" s="30" t="n">
        <v>6.25</v>
      </c>
      <c r="M351" s="28" t="n">
        <v>0.121908127208481</v>
      </c>
      <c r="N351" s="29" t="n">
        <v>12.03</v>
      </c>
      <c r="O351" s="28" t="n">
        <v>0.0272727272727272</v>
      </c>
      <c r="P351" s="27" t="n">
        <v>234</v>
      </c>
      <c r="Q351" s="28" t="n">
        <v>0.149520766773163</v>
      </c>
      <c r="R351" s="31" t="n">
        <v>0.554070902808634</v>
      </c>
    </row>
    <row r="352" customFormat="false" ht="15" hidden="false" customHeight="false" outlineLevel="0" collapsed="false">
      <c r="A352" s="25" t="n">
        <v>4124905</v>
      </c>
      <c r="B352" s="26" t="s">
        <v>418</v>
      </c>
      <c r="C352" s="26" t="s">
        <v>65</v>
      </c>
      <c r="D352" s="27" t="n">
        <v>5586</v>
      </c>
      <c r="E352" s="27" t="n">
        <v>369</v>
      </c>
      <c r="F352" s="27" t="n">
        <v>173</v>
      </c>
      <c r="G352" s="28" t="n">
        <v>0.468834688346883</v>
      </c>
      <c r="H352" s="29" t="n">
        <v>1.11081081081081</v>
      </c>
      <c r="I352" s="27" t="n">
        <v>0</v>
      </c>
      <c r="J352" s="27" t="n">
        <v>2</v>
      </c>
      <c r="K352" s="28" t="n">
        <v>0</v>
      </c>
      <c r="L352" s="30" t="n">
        <v>13.7</v>
      </c>
      <c r="M352" s="28" t="n">
        <v>0.132474042248478</v>
      </c>
      <c r="N352" s="29" t="n">
        <v>9.67</v>
      </c>
      <c r="O352" s="28" t="n">
        <v>0.0103092783505154</v>
      </c>
      <c r="P352" s="27" t="n">
        <v>292</v>
      </c>
      <c r="Q352" s="28" t="n">
        <v>0.39142091152815</v>
      </c>
      <c r="R352" s="31" t="n">
        <v>0.38550964982546</v>
      </c>
    </row>
    <row r="353" customFormat="false" ht="15" hidden="false" customHeight="false" outlineLevel="0" collapsed="false">
      <c r="A353" s="25" t="n">
        <v>4125001</v>
      </c>
      <c r="B353" s="26" t="s">
        <v>419</v>
      </c>
      <c r="C353" s="26" t="s">
        <v>65</v>
      </c>
      <c r="D353" s="27" t="n">
        <v>10667</v>
      </c>
      <c r="E353" s="27" t="n">
        <v>573</v>
      </c>
      <c r="F353" s="27" t="n">
        <v>298</v>
      </c>
      <c r="G353" s="28" t="n">
        <v>0.520069808027923</v>
      </c>
      <c r="H353" s="29" t="n">
        <v>1.07996702390767</v>
      </c>
      <c r="I353" s="27" t="n">
        <v>1</v>
      </c>
      <c r="J353" s="27" t="n">
        <v>5</v>
      </c>
      <c r="K353" s="28" t="n">
        <v>0.2</v>
      </c>
      <c r="L353" s="30" t="n">
        <v>17.54</v>
      </c>
      <c r="M353" s="28" t="n">
        <v>0.113715196400113</v>
      </c>
      <c r="N353" s="29" t="n">
        <v>11.25</v>
      </c>
      <c r="O353" s="28" t="n">
        <v>0</v>
      </c>
      <c r="P353" s="27" t="n">
        <v>345</v>
      </c>
      <c r="Q353" s="28" t="n">
        <v>0.293367346938776</v>
      </c>
      <c r="R353" s="31" t="n">
        <v>0.426742425149666</v>
      </c>
    </row>
    <row r="354" customFormat="false" ht="15" hidden="false" customHeight="false" outlineLevel="0" collapsed="false">
      <c r="A354" s="25" t="n">
        <v>4125100</v>
      </c>
      <c r="B354" s="26" t="s">
        <v>420</v>
      </c>
      <c r="C354" s="26" t="s">
        <v>65</v>
      </c>
      <c r="D354" s="27" t="n">
        <v>13726</v>
      </c>
      <c r="E354" s="27" t="n">
        <v>908</v>
      </c>
      <c r="F354" s="27" t="n">
        <v>123</v>
      </c>
      <c r="G354" s="28" t="n">
        <v>0.135462555066079</v>
      </c>
      <c r="H354" s="29" t="n">
        <v>1.0790450928382</v>
      </c>
      <c r="I354" s="27" t="n">
        <v>1</v>
      </c>
      <c r="J354" s="27" t="n">
        <v>3</v>
      </c>
      <c r="K354" s="28" t="n">
        <v>0.333333333333333</v>
      </c>
      <c r="L354" s="30" t="n">
        <v>4.93</v>
      </c>
      <c r="M354" s="28" t="n">
        <v>0.137330613434358</v>
      </c>
      <c r="N354" s="29" t="n">
        <v>11.29</v>
      </c>
      <c r="O354" s="28" t="n">
        <v>0.0390625</v>
      </c>
      <c r="P354" s="27" t="n">
        <v>360</v>
      </c>
      <c r="Q354" s="28" t="n">
        <v>0.19845644983462</v>
      </c>
      <c r="R354" s="31" t="n">
        <v>0.42347802208546</v>
      </c>
    </row>
    <row r="355" customFormat="false" ht="15" hidden="false" customHeight="false" outlineLevel="0" collapsed="false">
      <c r="A355" s="25" t="n">
        <v>4125209</v>
      </c>
      <c r="B355" s="26" t="s">
        <v>421</v>
      </c>
      <c r="C355" s="26" t="s">
        <v>65</v>
      </c>
      <c r="D355" s="27" t="n">
        <v>9378</v>
      </c>
      <c r="E355" s="27" t="n">
        <v>559</v>
      </c>
      <c r="F355" s="27" t="n">
        <v>234</v>
      </c>
      <c r="G355" s="28" t="n">
        <v>0.418604651162791</v>
      </c>
      <c r="H355" s="29" t="n">
        <v>1.09314140558848</v>
      </c>
      <c r="I355" s="27" t="n">
        <v>1</v>
      </c>
      <c r="J355" s="27" t="n">
        <v>3</v>
      </c>
      <c r="K355" s="28" t="n">
        <v>0.333333333333333</v>
      </c>
      <c r="L355" s="30" t="n">
        <v>0</v>
      </c>
      <c r="M355" s="28" t="n">
        <v>0.125933034762209</v>
      </c>
      <c r="N355" s="29" t="n">
        <v>13.86</v>
      </c>
      <c r="O355" s="28" t="n">
        <v>0.0202020202020202</v>
      </c>
      <c r="P355" s="27" t="n">
        <v>170</v>
      </c>
      <c r="Q355" s="28" t="n">
        <v>0.147826086956522</v>
      </c>
      <c r="R355" s="31" t="n">
        <v>0.501135190678148</v>
      </c>
    </row>
    <row r="356" customFormat="false" ht="15" hidden="false" customHeight="false" outlineLevel="0" collapsed="false">
      <c r="A356" s="25" t="n">
        <v>4125308</v>
      </c>
      <c r="B356" s="26" t="s">
        <v>422</v>
      </c>
      <c r="C356" s="26" t="s">
        <v>65</v>
      </c>
      <c r="D356" s="27" t="n">
        <v>5168</v>
      </c>
      <c r="E356" s="27" t="n">
        <v>243</v>
      </c>
      <c r="F356" s="27" t="n">
        <v>111</v>
      </c>
      <c r="G356" s="28" t="n">
        <v>0.45679012345679</v>
      </c>
      <c r="H356" s="29" t="n">
        <v>1.10689655172414</v>
      </c>
      <c r="I356" s="27" t="n">
        <v>0</v>
      </c>
      <c r="J356" s="27" t="n">
        <v>1</v>
      </c>
      <c r="K356" s="28" t="n">
        <v>0</v>
      </c>
      <c r="L356" s="30" t="n">
        <v>0</v>
      </c>
      <c r="M356" s="28" t="n">
        <v>0.112229102167183</v>
      </c>
      <c r="N356" s="29" t="n">
        <v>8.13</v>
      </c>
      <c r="O356" s="28" t="n">
        <v>0.105263157894737</v>
      </c>
      <c r="P356" s="27" t="n">
        <v>70</v>
      </c>
      <c r="Q356" s="28" t="n">
        <v>0.135135135135135</v>
      </c>
      <c r="R356" s="31" t="n">
        <v>0.451822255931056</v>
      </c>
    </row>
    <row r="357" customFormat="false" ht="15" hidden="false" customHeight="false" outlineLevel="0" collapsed="false">
      <c r="A357" s="25" t="n">
        <v>4125357</v>
      </c>
      <c r="B357" s="26" t="s">
        <v>423</v>
      </c>
      <c r="C357" s="26" t="s">
        <v>65</v>
      </c>
      <c r="D357" s="27" t="n">
        <v>6504</v>
      </c>
      <c r="E357" s="27" t="n">
        <v>413</v>
      </c>
      <c r="F357" s="27" t="n">
        <v>169</v>
      </c>
      <c r="G357" s="28" t="n">
        <v>0.409200968523002</v>
      </c>
      <c r="H357" s="29" t="n">
        <v>1.06957708049113</v>
      </c>
      <c r="I357" s="27" t="n">
        <v>0</v>
      </c>
      <c r="J357" s="27" t="n">
        <v>1</v>
      </c>
      <c r="K357" s="28" t="n">
        <v>0</v>
      </c>
      <c r="L357" s="30" t="n">
        <v>11.36</v>
      </c>
      <c r="M357" s="28" t="n">
        <v>0.11269987699877</v>
      </c>
      <c r="N357" s="29" t="n">
        <v>10.3</v>
      </c>
      <c r="O357" s="28" t="n">
        <v>0.0357142857142857</v>
      </c>
      <c r="P357" s="27" t="n">
        <v>108</v>
      </c>
      <c r="Q357" s="28" t="n">
        <v>0.134831460674157</v>
      </c>
      <c r="R357" s="31" t="n">
        <v>0.290591390872337</v>
      </c>
    </row>
    <row r="358" customFormat="false" ht="15" hidden="false" customHeight="false" outlineLevel="0" collapsed="false">
      <c r="A358" s="25" t="n">
        <v>4125407</v>
      </c>
      <c r="B358" s="26" t="s">
        <v>424</v>
      </c>
      <c r="C358" s="26" t="s">
        <v>65</v>
      </c>
      <c r="D358" s="27" t="n">
        <v>6040</v>
      </c>
      <c r="E358" s="27" t="n">
        <v>391</v>
      </c>
      <c r="F358" s="27" t="n">
        <v>93</v>
      </c>
      <c r="G358" s="28" t="n">
        <v>0.237851662404092</v>
      </c>
      <c r="H358" s="29" t="n">
        <v>1.07610146862483</v>
      </c>
      <c r="I358" s="27" t="n">
        <v>0</v>
      </c>
      <c r="J358" s="27" t="n">
        <v>1</v>
      </c>
      <c r="K358" s="28" t="n">
        <v>0</v>
      </c>
      <c r="L358" s="30" t="n">
        <v>30.77</v>
      </c>
      <c r="M358" s="28" t="n">
        <v>0.124006622516556</v>
      </c>
      <c r="N358" s="29" t="n">
        <v>10.93</v>
      </c>
      <c r="O358" s="28" t="n">
        <v>0.0204081632653061</v>
      </c>
      <c r="P358" s="27" t="n">
        <v>241</v>
      </c>
      <c r="Q358" s="28" t="n">
        <v>0.306226175349428</v>
      </c>
      <c r="R358" s="31" t="n">
        <v>0.36626397246278</v>
      </c>
    </row>
    <row r="359" customFormat="false" ht="15" hidden="false" customHeight="false" outlineLevel="0" collapsed="false">
      <c r="A359" s="25" t="n">
        <v>4125456</v>
      </c>
      <c r="B359" s="26" t="s">
        <v>425</v>
      </c>
      <c r="C359" s="26" t="s">
        <v>71</v>
      </c>
      <c r="D359" s="27" t="n">
        <v>3957</v>
      </c>
      <c r="E359" s="27" t="n">
        <v>270</v>
      </c>
      <c r="F359" s="27" t="n">
        <v>102</v>
      </c>
      <c r="G359" s="28" t="n">
        <v>0.377777777777778</v>
      </c>
      <c r="H359" s="29" t="n">
        <v>0.984014209591474</v>
      </c>
      <c r="I359" s="27" t="n">
        <v>0</v>
      </c>
      <c r="J359" s="27" t="n">
        <v>1</v>
      </c>
      <c r="K359" s="28" t="n">
        <v>0</v>
      </c>
      <c r="L359" s="30" t="n">
        <v>17.86</v>
      </c>
      <c r="M359" s="28" t="n">
        <v>0.142279504675259</v>
      </c>
      <c r="N359" s="29" t="n">
        <v>13.65</v>
      </c>
      <c r="O359" s="28" t="n">
        <v>0</v>
      </c>
      <c r="P359" s="27" t="n">
        <v>146</v>
      </c>
      <c r="Q359" s="28" t="n">
        <v>0.263063063063063</v>
      </c>
      <c r="R359" s="31" t="n">
        <v>0.385307431022024</v>
      </c>
    </row>
    <row r="360" customFormat="false" ht="15" hidden="false" customHeight="false" outlineLevel="0" collapsed="false">
      <c r="A360" s="25" t="n">
        <v>4125506</v>
      </c>
      <c r="B360" s="26" t="s">
        <v>426</v>
      </c>
      <c r="C360" s="26" t="s">
        <v>138</v>
      </c>
      <c r="D360" s="27" t="n">
        <v>329628</v>
      </c>
      <c r="E360" s="27" t="n">
        <v>21137</v>
      </c>
      <c r="F360" s="27" t="n">
        <v>3447</v>
      </c>
      <c r="G360" s="28" t="n">
        <v>0.163078961063538</v>
      </c>
      <c r="H360" s="29" t="n">
        <v>1.10679343202314</v>
      </c>
      <c r="I360" s="27" t="n">
        <v>37</v>
      </c>
      <c r="J360" s="27" t="n">
        <v>82</v>
      </c>
      <c r="K360" s="28" t="n">
        <v>0.451219512195122</v>
      </c>
      <c r="L360" s="30" t="n">
        <v>9.19</v>
      </c>
      <c r="M360" s="28" t="n">
        <v>0.142633514143216</v>
      </c>
      <c r="N360" s="29" t="n">
        <v>12.92</v>
      </c>
      <c r="O360" s="28" t="n">
        <v>0.0656544932293803</v>
      </c>
      <c r="P360" s="27" t="n">
        <v>6404</v>
      </c>
      <c r="Q360" s="28" t="n">
        <v>0.141684550543154</v>
      </c>
      <c r="R360" s="31" t="n">
        <v>0.694160408347026</v>
      </c>
    </row>
    <row r="361" customFormat="false" ht="15" hidden="false" customHeight="false" outlineLevel="0" collapsed="false">
      <c r="A361" s="25" t="n">
        <v>4125555</v>
      </c>
      <c r="B361" s="26" t="s">
        <v>427</v>
      </c>
      <c r="C361" s="26" t="s">
        <v>71</v>
      </c>
      <c r="D361" s="27" t="n">
        <v>2138</v>
      </c>
      <c r="E361" s="27" t="n">
        <v>108</v>
      </c>
      <c r="F361" s="27" t="n">
        <v>68</v>
      </c>
      <c r="G361" s="28" t="n">
        <v>0.62962962962963</v>
      </c>
      <c r="H361" s="29" t="n">
        <v>0.991935483870968</v>
      </c>
      <c r="I361" s="27" t="n">
        <v>0</v>
      </c>
      <c r="J361" s="27" t="n">
        <v>1</v>
      </c>
      <c r="K361" s="28" t="n">
        <v>0</v>
      </c>
      <c r="L361" s="30" t="n">
        <v>0</v>
      </c>
      <c r="M361" s="28" t="n">
        <v>0.11599625818522</v>
      </c>
      <c r="N361" s="29" t="n">
        <v>11.69</v>
      </c>
      <c r="O361" s="28" t="n">
        <v>0</v>
      </c>
      <c r="P361" s="27" t="n">
        <v>35</v>
      </c>
      <c r="Q361" s="28" t="n">
        <v>0.150214592274678</v>
      </c>
      <c r="R361" s="31" t="n">
        <v>0.450625806372627</v>
      </c>
    </row>
    <row r="362" customFormat="false" ht="15" hidden="false" customHeight="false" outlineLevel="0" collapsed="false">
      <c r="A362" s="25" t="n">
        <v>4125605</v>
      </c>
      <c r="B362" s="26" t="s">
        <v>428</v>
      </c>
      <c r="C362" s="26" t="s">
        <v>86</v>
      </c>
      <c r="D362" s="27" t="n">
        <v>42366</v>
      </c>
      <c r="E362" s="27" t="n">
        <v>2728</v>
      </c>
      <c r="F362" s="27" t="n">
        <v>847</v>
      </c>
      <c r="G362" s="28" t="n">
        <v>0.310483870967742</v>
      </c>
      <c r="H362" s="29" t="n">
        <v>1.10295652173913</v>
      </c>
      <c r="I362" s="27" t="n">
        <v>4</v>
      </c>
      <c r="J362" s="27" t="n">
        <v>16</v>
      </c>
      <c r="K362" s="28" t="n">
        <v>0.25</v>
      </c>
      <c r="L362" s="30" t="n">
        <v>15.25</v>
      </c>
      <c r="M362" s="28" t="n">
        <v>0.135722041259501</v>
      </c>
      <c r="N362" s="29" t="n">
        <v>12.27</v>
      </c>
      <c r="O362" s="28" t="n">
        <v>0.0198675496688741</v>
      </c>
      <c r="P362" s="27" t="n">
        <v>1198</v>
      </c>
      <c r="Q362" s="28" t="n">
        <v>0.214772319827895</v>
      </c>
      <c r="R362" s="31" t="n">
        <v>0.527050758717067</v>
      </c>
    </row>
    <row r="363" customFormat="false" ht="15" hidden="false" customHeight="false" outlineLevel="0" collapsed="false">
      <c r="A363" s="25" t="n">
        <v>4125704</v>
      </c>
      <c r="B363" s="26" t="s">
        <v>429</v>
      </c>
      <c r="C363" s="26" t="s">
        <v>86</v>
      </c>
      <c r="D363" s="27" t="n">
        <v>29122</v>
      </c>
      <c r="E363" s="27" t="n">
        <v>2022</v>
      </c>
      <c r="F363" s="27" t="n">
        <v>747</v>
      </c>
      <c r="G363" s="28" t="n">
        <v>0.369436201780415</v>
      </c>
      <c r="H363" s="29" t="n">
        <v>1.16599597585513</v>
      </c>
      <c r="I363" s="27" t="n">
        <v>3</v>
      </c>
      <c r="J363" s="27" t="n">
        <v>9</v>
      </c>
      <c r="K363" s="28" t="n">
        <v>0.333333333333333</v>
      </c>
      <c r="L363" s="30" t="n">
        <v>9.26</v>
      </c>
      <c r="M363" s="28" t="n">
        <v>0.136529084540897</v>
      </c>
      <c r="N363" s="29" t="n">
        <v>13.74</v>
      </c>
      <c r="O363" s="28" t="n">
        <v>0.0344827586206896</v>
      </c>
      <c r="P363" s="27" t="n">
        <v>689</v>
      </c>
      <c r="Q363" s="28" t="n">
        <v>0.167680700900462</v>
      </c>
      <c r="R363" s="31" t="n">
        <v>0.557464468084178</v>
      </c>
    </row>
    <row r="364" customFormat="false" ht="15" hidden="false" customHeight="false" outlineLevel="0" collapsed="false">
      <c r="A364" s="25" t="n">
        <v>4125753</v>
      </c>
      <c r="B364" s="26" t="s">
        <v>430</v>
      </c>
      <c r="C364" s="26" t="s">
        <v>65</v>
      </c>
      <c r="D364" s="27" t="n">
        <v>5784</v>
      </c>
      <c r="E364" s="27" t="n">
        <v>380</v>
      </c>
      <c r="F364" s="27" t="n">
        <v>172</v>
      </c>
      <c r="G364" s="28" t="n">
        <v>0.452631578947368</v>
      </c>
      <c r="H364" s="29" t="n">
        <v>1.16991643454039</v>
      </c>
      <c r="I364" s="27" t="n">
        <v>1</v>
      </c>
      <c r="J364" s="27" t="n">
        <v>4</v>
      </c>
      <c r="K364" s="28" t="n">
        <v>0.25</v>
      </c>
      <c r="L364" s="30" t="n">
        <v>22.73</v>
      </c>
      <c r="M364" s="28" t="n">
        <v>0.124135546334716</v>
      </c>
      <c r="N364" s="29" t="n">
        <v>11.76</v>
      </c>
      <c r="O364" s="28" t="n">
        <v>0</v>
      </c>
      <c r="P364" s="27" t="n">
        <v>269</v>
      </c>
      <c r="Q364" s="28" t="n">
        <v>0.356763925729443</v>
      </c>
      <c r="R364" s="31" t="n">
        <v>0.427189082539242</v>
      </c>
    </row>
    <row r="365" customFormat="false" ht="15" hidden="false" customHeight="false" outlineLevel="0" collapsed="false">
      <c r="A365" s="25" t="n">
        <v>4125803</v>
      </c>
      <c r="B365" s="26" t="s">
        <v>431</v>
      </c>
      <c r="C365" s="26" t="s">
        <v>65</v>
      </c>
      <c r="D365" s="27" t="n">
        <v>8690</v>
      </c>
      <c r="E365" s="27" t="n">
        <v>484</v>
      </c>
      <c r="F365" s="27" t="n">
        <v>233</v>
      </c>
      <c r="G365" s="28" t="n">
        <v>0.481404958677686</v>
      </c>
      <c r="H365" s="29" t="n">
        <v>1.06457564575646</v>
      </c>
      <c r="I365" s="27" t="n">
        <v>1</v>
      </c>
      <c r="J365" s="27" t="n">
        <v>4</v>
      </c>
      <c r="K365" s="28" t="n">
        <v>0.25</v>
      </c>
      <c r="L365" s="30" t="n">
        <v>49.02</v>
      </c>
      <c r="M365" s="28" t="n">
        <v>0.124741081703107</v>
      </c>
      <c r="N365" s="29" t="n">
        <v>10.36</v>
      </c>
      <c r="O365" s="28" t="n">
        <v>0.0209790209790209</v>
      </c>
      <c r="P365" s="27" t="n">
        <v>303</v>
      </c>
      <c r="Q365" s="28" t="n">
        <v>0.301792828685259</v>
      </c>
      <c r="R365" s="31" t="n">
        <v>0.480377889451978</v>
      </c>
    </row>
    <row r="366" customFormat="false" ht="15" hidden="false" customHeight="false" outlineLevel="0" collapsed="false">
      <c r="A366" s="25" t="n">
        <v>4125902</v>
      </c>
      <c r="B366" s="26" t="s">
        <v>432</v>
      </c>
      <c r="C366" s="26" t="s">
        <v>71</v>
      </c>
      <c r="D366" s="27" t="n">
        <v>2661</v>
      </c>
      <c r="E366" s="27" t="n">
        <v>157</v>
      </c>
      <c r="F366" s="27" t="n">
        <v>84</v>
      </c>
      <c r="G366" s="28" t="n">
        <v>0.535031847133758</v>
      </c>
      <c r="H366" s="29" t="n">
        <v>1.09969788519638</v>
      </c>
      <c r="I366" s="27" t="n">
        <v>1</v>
      </c>
      <c r="J366" s="27" t="n">
        <v>3</v>
      </c>
      <c r="K366" s="28" t="n">
        <v>0.333333333333333</v>
      </c>
      <c r="L366" s="30" t="n">
        <v>33.33</v>
      </c>
      <c r="M366" s="28" t="n">
        <v>0.124389327320556</v>
      </c>
      <c r="N366" s="29" t="n">
        <v>12.03</v>
      </c>
      <c r="O366" s="28" t="n">
        <v>0.08</v>
      </c>
      <c r="P366" s="27" t="n">
        <v>38</v>
      </c>
      <c r="Q366" s="28" t="n">
        <v>0.116923076923077</v>
      </c>
      <c r="R366" s="31" t="n">
        <v>0.514365592703369</v>
      </c>
    </row>
    <row r="367" customFormat="false" ht="15" hidden="false" customHeight="false" outlineLevel="0" collapsed="false">
      <c r="A367" s="25" t="n">
        <v>4126009</v>
      </c>
      <c r="B367" s="26" t="s">
        <v>433</v>
      </c>
      <c r="C367" s="26" t="s">
        <v>65</v>
      </c>
      <c r="D367" s="27" t="n">
        <v>8063</v>
      </c>
      <c r="E367" s="27" t="n">
        <v>472</v>
      </c>
      <c r="F367" s="27" t="n">
        <v>106</v>
      </c>
      <c r="G367" s="28" t="n">
        <v>0.224576271186441</v>
      </c>
      <c r="H367" s="29" t="n">
        <v>1.12665406427221</v>
      </c>
      <c r="I367" s="27" t="n">
        <v>3</v>
      </c>
      <c r="J367" s="27" t="n">
        <v>4</v>
      </c>
      <c r="K367" s="28" t="n">
        <v>0.75</v>
      </c>
      <c r="L367" s="30" t="n">
        <v>0</v>
      </c>
      <c r="M367" s="28" t="n">
        <v>0.131216668733722</v>
      </c>
      <c r="N367" s="29" t="n">
        <v>11.16</v>
      </c>
      <c r="O367" s="28" t="n">
        <v>0.0555555555555555</v>
      </c>
      <c r="P367" s="27" t="n">
        <v>349</v>
      </c>
      <c r="Q367" s="28" t="n">
        <v>0.35395537525355</v>
      </c>
      <c r="R367" s="31" t="n">
        <v>0.35364729502353</v>
      </c>
    </row>
    <row r="368" customFormat="false" ht="15" hidden="false" customHeight="false" outlineLevel="0" collapsed="false">
      <c r="A368" s="25" t="n">
        <v>4126108</v>
      </c>
      <c r="B368" s="26" t="s">
        <v>434</v>
      </c>
      <c r="C368" s="26" t="s">
        <v>65</v>
      </c>
      <c r="D368" s="27" t="n">
        <v>5232</v>
      </c>
      <c r="E368" s="27" t="n">
        <v>292</v>
      </c>
      <c r="F368" s="27" t="n">
        <v>121</v>
      </c>
      <c r="G368" s="28" t="n">
        <v>0.414383561643836</v>
      </c>
      <c r="H368" s="29" t="n">
        <v>1.15151515151515</v>
      </c>
      <c r="I368" s="27" t="n">
        <v>1</v>
      </c>
      <c r="J368" s="27" t="n">
        <v>3</v>
      </c>
      <c r="K368" s="28" t="n">
        <v>0.333333333333333</v>
      </c>
      <c r="L368" s="30" t="n">
        <v>0</v>
      </c>
      <c r="M368" s="28" t="n">
        <v>0.132454128440367</v>
      </c>
      <c r="N368" s="29" t="n">
        <v>10.51</v>
      </c>
      <c r="O368" s="28" t="n">
        <v>0.0909090909090909</v>
      </c>
      <c r="P368" s="27" t="n">
        <v>132</v>
      </c>
      <c r="Q368" s="28" t="n">
        <v>0.200303490136571</v>
      </c>
      <c r="R368" s="31" t="n">
        <v>0.449789298328</v>
      </c>
    </row>
    <row r="369" customFormat="false" ht="15" hidden="false" customHeight="false" outlineLevel="0" collapsed="false">
      <c r="A369" s="25" t="n">
        <v>4126306</v>
      </c>
      <c r="B369" s="26" t="s">
        <v>435</v>
      </c>
      <c r="C369" s="26" t="s">
        <v>65</v>
      </c>
      <c r="D369" s="27" t="n">
        <v>17270</v>
      </c>
      <c r="E369" s="27" t="n">
        <v>1215</v>
      </c>
      <c r="F369" s="27" t="n">
        <v>365</v>
      </c>
      <c r="G369" s="28" t="n">
        <v>0.300411522633745</v>
      </c>
      <c r="H369" s="29" t="n">
        <v>1.11282660332542</v>
      </c>
      <c r="I369" s="27" t="n">
        <v>2</v>
      </c>
      <c r="J369" s="27" t="n">
        <v>7</v>
      </c>
      <c r="K369" s="28" t="n">
        <v>0.285714285714286</v>
      </c>
      <c r="L369" s="30" t="n">
        <v>22.42</v>
      </c>
      <c r="M369" s="28" t="n">
        <v>0.146265199768384</v>
      </c>
      <c r="N369" s="29" t="n">
        <v>13.38</v>
      </c>
      <c r="O369" s="28" t="n">
        <v>0.0263736263736263</v>
      </c>
      <c r="P369" s="27" t="n">
        <v>587</v>
      </c>
      <c r="Q369" s="28" t="n">
        <v>0.233306836248013</v>
      </c>
      <c r="R369" s="31" t="n">
        <v>0.531976228236251</v>
      </c>
    </row>
    <row r="370" customFormat="false" ht="15" hidden="false" customHeight="false" outlineLevel="0" collapsed="false">
      <c r="A370" s="25" t="n">
        <v>4126355</v>
      </c>
      <c r="B370" s="26" t="s">
        <v>436</v>
      </c>
      <c r="C370" s="26" t="s">
        <v>65</v>
      </c>
      <c r="D370" s="27" t="n">
        <v>5007</v>
      </c>
      <c r="E370" s="27" t="n">
        <v>276</v>
      </c>
      <c r="F370" s="27" t="n">
        <v>109</v>
      </c>
      <c r="G370" s="28" t="n">
        <v>0.394927536231884</v>
      </c>
      <c r="H370" s="29" t="n">
        <v>1.08566721581549</v>
      </c>
      <c r="I370" s="27" t="n">
        <v>0</v>
      </c>
      <c r="J370" s="27" t="n">
        <v>1</v>
      </c>
      <c r="K370" s="28" t="n">
        <v>0</v>
      </c>
      <c r="L370" s="30" t="n">
        <v>21.74</v>
      </c>
      <c r="M370" s="28" t="n">
        <v>0.121230277611344</v>
      </c>
      <c r="N370" s="29" t="n">
        <v>13.38</v>
      </c>
      <c r="O370" s="28" t="n">
        <v>0.0232558139534883</v>
      </c>
      <c r="P370" s="27" t="n">
        <v>59</v>
      </c>
      <c r="Q370" s="28" t="n">
        <v>0.103327495621716</v>
      </c>
      <c r="R370" s="31" t="n">
        <v>0.445848568789496</v>
      </c>
    </row>
    <row r="371" customFormat="false" ht="15" hidden="false" customHeight="false" outlineLevel="0" collapsed="false">
      <c r="A371" s="25" t="n">
        <v>4126405</v>
      </c>
      <c r="B371" s="26" t="s">
        <v>437</v>
      </c>
      <c r="C371" s="26" t="s">
        <v>65</v>
      </c>
      <c r="D371" s="27" t="n">
        <v>5616</v>
      </c>
      <c r="E371" s="27" t="n">
        <v>266</v>
      </c>
      <c r="F371" s="27" t="n">
        <v>154</v>
      </c>
      <c r="G371" s="28" t="n">
        <v>0.578947368421053</v>
      </c>
      <c r="H371" s="29" t="n">
        <v>1.06231003039514</v>
      </c>
      <c r="I371" s="27" t="n">
        <v>0</v>
      </c>
      <c r="J371" s="27" t="n">
        <v>3</v>
      </c>
      <c r="K371" s="28" t="n">
        <v>0</v>
      </c>
      <c r="L371" s="30" t="n">
        <v>0</v>
      </c>
      <c r="M371" s="28" t="n">
        <v>0.117165242165242</v>
      </c>
      <c r="N371" s="29" t="n">
        <v>9.26</v>
      </c>
      <c r="O371" s="28" t="n">
        <v>0.0303030303030303</v>
      </c>
      <c r="P371" s="27" t="n">
        <v>102</v>
      </c>
      <c r="Q371" s="28" t="n">
        <v>0.172881355932203</v>
      </c>
      <c r="R371" s="31" t="n">
        <v>0.485675415222754</v>
      </c>
    </row>
    <row r="372" customFormat="false" ht="15" hidden="false" customHeight="false" outlineLevel="0" collapsed="false">
      <c r="A372" s="25" t="n">
        <v>4126504</v>
      </c>
      <c r="B372" s="26" t="s">
        <v>438</v>
      </c>
      <c r="C372" s="26" t="s">
        <v>65</v>
      </c>
      <c r="D372" s="27" t="n">
        <v>15930</v>
      </c>
      <c r="E372" s="27" t="n">
        <v>899</v>
      </c>
      <c r="F372" s="27" t="n">
        <v>29</v>
      </c>
      <c r="G372" s="28" t="n">
        <v>0.032258064516129</v>
      </c>
      <c r="H372" s="29" t="n">
        <v>1.19560669456067</v>
      </c>
      <c r="I372" s="27" t="n">
        <v>5</v>
      </c>
      <c r="J372" s="27" t="n">
        <v>6</v>
      </c>
      <c r="K372" s="28" t="n">
        <v>0.833333333333333</v>
      </c>
      <c r="L372" s="30" t="n">
        <v>12.27</v>
      </c>
      <c r="M372" s="28" t="n">
        <v>0.120025109855618</v>
      </c>
      <c r="N372" s="29" t="n">
        <v>10.55</v>
      </c>
      <c r="O372" s="28" t="n">
        <v>0.0149253731343283</v>
      </c>
      <c r="P372" s="27" t="n">
        <v>327</v>
      </c>
      <c r="Q372" s="28" t="n">
        <v>0.175429184549356</v>
      </c>
      <c r="R372" s="31" t="n">
        <v>0.500425789689079</v>
      </c>
    </row>
    <row r="373" customFormat="false" ht="15" hidden="false" customHeight="false" outlineLevel="0" collapsed="false">
      <c r="A373" s="25" t="n">
        <v>4126603</v>
      </c>
      <c r="B373" s="26" t="s">
        <v>439</v>
      </c>
      <c r="C373" s="26" t="s">
        <v>86</v>
      </c>
      <c r="D373" s="27" t="n">
        <v>22811</v>
      </c>
      <c r="E373" s="27" t="n">
        <v>1450</v>
      </c>
      <c r="F373" s="27" t="n">
        <v>557</v>
      </c>
      <c r="G373" s="28" t="n">
        <v>0.384137931034483</v>
      </c>
      <c r="H373" s="29" t="n">
        <v>1.13004791238878</v>
      </c>
      <c r="I373" s="27" t="n">
        <v>1</v>
      </c>
      <c r="J373" s="27" t="n">
        <v>7</v>
      </c>
      <c r="K373" s="28" t="n">
        <v>0.142857142857143</v>
      </c>
      <c r="L373" s="30" t="n">
        <v>6.43</v>
      </c>
      <c r="M373" s="28" t="n">
        <v>0.128096093989742</v>
      </c>
      <c r="N373" s="29" t="n">
        <v>11.7</v>
      </c>
      <c r="O373" s="28" t="n">
        <v>0.0864197530864197</v>
      </c>
      <c r="P373" s="27" t="n">
        <v>521</v>
      </c>
      <c r="Q373" s="28" t="n">
        <v>0.176072997634336</v>
      </c>
      <c r="R373" s="31" t="n">
        <v>0.506315682864422</v>
      </c>
    </row>
    <row r="374" customFormat="false" ht="15" hidden="false" customHeight="false" outlineLevel="0" collapsed="false">
      <c r="A374" s="25" t="n">
        <v>4126652</v>
      </c>
      <c r="B374" s="26" t="s">
        <v>440</v>
      </c>
      <c r="C374" s="26" t="s">
        <v>71</v>
      </c>
      <c r="D374" s="27" t="n">
        <v>3440</v>
      </c>
      <c r="E374" s="27" t="n">
        <v>209</v>
      </c>
      <c r="F374" s="27" t="n">
        <v>0</v>
      </c>
      <c r="G374" s="28" t="n">
        <v>0</v>
      </c>
      <c r="H374" s="29" t="n">
        <v>1.06265060240964</v>
      </c>
      <c r="I374" s="27" t="n">
        <v>1</v>
      </c>
      <c r="J374" s="27" t="n">
        <v>1</v>
      </c>
      <c r="K374" s="28" t="n">
        <v>1</v>
      </c>
      <c r="L374" s="30" t="n">
        <v>0</v>
      </c>
      <c r="M374" s="28" t="n">
        <v>0.120639534883721</v>
      </c>
      <c r="N374" s="29" t="n">
        <v>12.79</v>
      </c>
      <c r="O374" s="28" t="n">
        <v>0</v>
      </c>
      <c r="P374" s="27" t="n">
        <v>75</v>
      </c>
      <c r="Q374" s="28" t="n">
        <v>0.182038834951456</v>
      </c>
      <c r="R374" s="31" t="n">
        <v>0.454827763494396</v>
      </c>
    </row>
    <row r="375" customFormat="false" ht="15" hidden="false" customHeight="false" outlineLevel="0" collapsed="false">
      <c r="A375" s="25" t="n">
        <v>4126678</v>
      </c>
      <c r="B375" s="26" t="s">
        <v>441</v>
      </c>
      <c r="C375" s="26" t="s">
        <v>65</v>
      </c>
      <c r="D375" s="27" t="n">
        <v>10707</v>
      </c>
      <c r="E375" s="27" t="n">
        <v>761</v>
      </c>
      <c r="F375" s="27" t="n">
        <v>128</v>
      </c>
      <c r="G375" s="28" t="n">
        <v>0.168199737187911</v>
      </c>
      <c r="H375" s="29" t="n">
        <v>1.18243243243243</v>
      </c>
      <c r="I375" s="27" t="n">
        <v>1</v>
      </c>
      <c r="J375" s="27" t="n">
        <v>3</v>
      </c>
      <c r="K375" s="28" t="n">
        <v>0.333333333333333</v>
      </c>
      <c r="L375" s="30" t="n">
        <v>0</v>
      </c>
      <c r="M375" s="28" t="n">
        <v>0.152050060707948</v>
      </c>
      <c r="N375" s="29" t="n">
        <v>15.5</v>
      </c>
      <c r="O375" s="28" t="n">
        <v>0.0275229357798165</v>
      </c>
      <c r="P375" s="27" t="n">
        <v>382</v>
      </c>
      <c r="Q375" s="28" t="n">
        <v>0.244558258642766</v>
      </c>
      <c r="R375" s="31" t="n">
        <v>0.424711209077638</v>
      </c>
    </row>
    <row r="376" customFormat="false" ht="15" hidden="false" customHeight="false" outlineLevel="0" collapsed="false">
      <c r="A376" s="25" t="n">
        <v>4126702</v>
      </c>
      <c r="B376" s="26" t="s">
        <v>442</v>
      </c>
      <c r="C376" s="26" t="s">
        <v>71</v>
      </c>
      <c r="D376" s="27" t="n">
        <v>4880</v>
      </c>
      <c r="E376" s="27" t="n">
        <v>317</v>
      </c>
      <c r="F376" s="27" t="n">
        <v>101</v>
      </c>
      <c r="G376" s="28" t="n">
        <v>0.318611987381704</v>
      </c>
      <c r="H376" s="29" t="n">
        <v>1.02113821138211</v>
      </c>
      <c r="I376" s="27" t="n">
        <v>1</v>
      </c>
      <c r="J376" s="27" t="n">
        <v>2</v>
      </c>
      <c r="K376" s="28" t="n">
        <v>0.5</v>
      </c>
      <c r="L376" s="30" t="n">
        <v>0</v>
      </c>
      <c r="M376" s="28" t="n">
        <v>0.126024590163934</v>
      </c>
      <c r="N376" s="29" t="n">
        <v>11.07</v>
      </c>
      <c r="O376" s="28" t="n">
        <v>0.0256410256410256</v>
      </c>
      <c r="P376" s="27" t="n">
        <v>148</v>
      </c>
      <c r="Q376" s="28" t="n">
        <v>0.239870340356564</v>
      </c>
      <c r="R376" s="31" t="n">
        <v>0.470545173374072</v>
      </c>
    </row>
    <row r="377" customFormat="false" ht="15" hidden="false" customHeight="false" outlineLevel="0" collapsed="false">
      <c r="A377" s="25" t="n">
        <v>4126801</v>
      </c>
      <c r="B377" s="26" t="s">
        <v>443</v>
      </c>
      <c r="C377" s="26" t="s">
        <v>65</v>
      </c>
      <c r="D377" s="27" t="n">
        <v>15869</v>
      </c>
      <c r="E377" s="27" t="n">
        <v>986</v>
      </c>
      <c r="F377" s="27" t="n">
        <v>381</v>
      </c>
      <c r="G377" s="28" t="n">
        <v>0.386409736308316</v>
      </c>
      <c r="H377" s="29" t="n">
        <v>1.02832343535861</v>
      </c>
      <c r="I377" s="27" t="n">
        <v>2</v>
      </c>
      <c r="J377" s="27" t="n">
        <v>5</v>
      </c>
      <c r="K377" s="28" t="n">
        <v>0.4</v>
      </c>
      <c r="L377" s="30" t="n">
        <v>11.83</v>
      </c>
      <c r="M377" s="28" t="n">
        <v>0.137941899300523</v>
      </c>
      <c r="N377" s="29" t="n">
        <v>11.28</v>
      </c>
      <c r="O377" s="28" t="n">
        <v>0.029585798816568</v>
      </c>
      <c r="P377" s="27" t="n">
        <v>339</v>
      </c>
      <c r="Q377" s="28" t="n">
        <v>0.163531114327062</v>
      </c>
      <c r="R377" s="31" t="n">
        <v>0.541604165205979</v>
      </c>
    </row>
    <row r="378" customFormat="false" ht="15" hidden="false" customHeight="false" outlineLevel="0" collapsed="false">
      <c r="A378" s="25" t="n">
        <v>4126900</v>
      </c>
      <c r="B378" s="26" t="s">
        <v>444</v>
      </c>
      <c r="C378" s="26" t="s">
        <v>65</v>
      </c>
      <c r="D378" s="27" t="n">
        <v>5745</v>
      </c>
      <c r="E378" s="27" t="n">
        <v>327</v>
      </c>
      <c r="F378" s="27" t="n">
        <v>119</v>
      </c>
      <c r="G378" s="28" t="n">
        <v>0.363914373088685</v>
      </c>
      <c r="H378" s="29" t="n">
        <v>1.0231884057971</v>
      </c>
      <c r="I378" s="27" t="n">
        <v>0</v>
      </c>
      <c r="J378" s="27" t="n">
        <v>2</v>
      </c>
      <c r="K378" s="28" t="n">
        <v>0</v>
      </c>
      <c r="L378" s="30" t="n">
        <v>0</v>
      </c>
      <c r="M378" s="28" t="n">
        <v>0.120104438642298</v>
      </c>
      <c r="N378" s="29" t="n">
        <v>11.31</v>
      </c>
      <c r="O378" s="28" t="n">
        <v>0</v>
      </c>
      <c r="P378" s="27" t="n">
        <v>165</v>
      </c>
      <c r="Q378" s="28" t="n">
        <v>0.240524781341108</v>
      </c>
      <c r="R378" s="31" t="n">
        <v>0.415865054663001</v>
      </c>
    </row>
    <row r="379" customFormat="false" ht="15" hidden="false" customHeight="false" outlineLevel="0" collapsed="false">
      <c r="A379" s="25" t="n">
        <v>4127007</v>
      </c>
      <c r="B379" s="26" t="s">
        <v>445</v>
      </c>
      <c r="C379" s="26" t="s">
        <v>65</v>
      </c>
      <c r="D379" s="27" t="n">
        <v>9547</v>
      </c>
      <c r="E379" s="27" t="n">
        <v>639</v>
      </c>
      <c r="F379" s="27" t="n">
        <v>126</v>
      </c>
      <c r="G379" s="28" t="n">
        <v>0.197183098591549</v>
      </c>
      <c r="H379" s="29" t="n">
        <v>1.13856812933025</v>
      </c>
      <c r="I379" s="27" t="n">
        <v>1</v>
      </c>
      <c r="J379" s="27" t="n">
        <v>4</v>
      </c>
      <c r="K379" s="28" t="n">
        <v>0.25</v>
      </c>
      <c r="L379" s="30" t="n">
        <v>8</v>
      </c>
      <c r="M379" s="28" t="n">
        <v>0.136063684927202</v>
      </c>
      <c r="N379" s="29" t="n">
        <v>14.56</v>
      </c>
      <c r="O379" s="28" t="n">
        <v>0.03125</v>
      </c>
      <c r="P379" s="27" t="n">
        <v>485</v>
      </c>
      <c r="Q379" s="28" t="n">
        <v>0.372790161414297</v>
      </c>
      <c r="R379" s="31" t="n">
        <v>0.443751105578145</v>
      </c>
    </row>
    <row r="380" customFormat="false" ht="15" hidden="false" customHeight="false" outlineLevel="0" collapsed="false">
      <c r="A380" s="25" t="n">
        <v>4127106</v>
      </c>
      <c r="B380" s="26" t="s">
        <v>446</v>
      </c>
      <c r="C380" s="26" t="s">
        <v>129</v>
      </c>
      <c r="D380" s="27" t="n">
        <v>75042</v>
      </c>
      <c r="E380" s="27" t="n">
        <v>5110</v>
      </c>
      <c r="F380" s="27" t="n">
        <v>1176</v>
      </c>
      <c r="G380" s="28" t="n">
        <v>0.23013698630137</v>
      </c>
      <c r="H380" s="29" t="n">
        <v>1.12233415010437</v>
      </c>
      <c r="I380" s="27" t="n">
        <v>9</v>
      </c>
      <c r="J380" s="27" t="n">
        <v>25</v>
      </c>
      <c r="K380" s="28" t="n">
        <v>0.36</v>
      </c>
      <c r="L380" s="30" t="n">
        <v>9.62</v>
      </c>
      <c r="M380" s="28" t="n">
        <v>0.146837770848325</v>
      </c>
      <c r="N380" s="29" t="n">
        <v>13.89</v>
      </c>
      <c r="O380" s="28" t="n">
        <v>0.0294117647058823</v>
      </c>
      <c r="P380" s="27" t="n">
        <v>984</v>
      </c>
      <c r="Q380" s="28" t="n">
        <v>0.0918424491319768</v>
      </c>
      <c r="R380" s="31" t="n">
        <v>0.607306126153505</v>
      </c>
    </row>
    <row r="381" customFormat="false" ht="15" hidden="false" customHeight="false" outlineLevel="0" collapsed="false">
      <c r="A381" s="25" t="n">
        <v>4127205</v>
      </c>
      <c r="B381" s="26" t="s">
        <v>447</v>
      </c>
      <c r="C381" s="26" t="s">
        <v>65</v>
      </c>
      <c r="D381" s="27" t="n">
        <v>17568</v>
      </c>
      <c r="E381" s="27" t="n">
        <v>1098</v>
      </c>
      <c r="F381" s="27" t="n">
        <v>480</v>
      </c>
      <c r="G381" s="28" t="n">
        <v>0.437158469945355</v>
      </c>
      <c r="H381" s="29" t="n">
        <v>1.06990204808549</v>
      </c>
      <c r="I381" s="27" t="n">
        <v>1</v>
      </c>
      <c r="J381" s="27" t="n">
        <v>4</v>
      </c>
      <c r="K381" s="28" t="n">
        <v>0.25</v>
      </c>
      <c r="L381" s="30" t="n">
        <v>12.4</v>
      </c>
      <c r="M381" s="28" t="n">
        <v>0.127846083788707</v>
      </c>
      <c r="N381" s="29" t="n">
        <v>11.95</v>
      </c>
      <c r="O381" s="28" t="n">
        <v>0.0275862068965517</v>
      </c>
      <c r="P381" s="27" t="n">
        <v>269</v>
      </c>
      <c r="Q381" s="28" t="n">
        <v>0.118606701940035</v>
      </c>
      <c r="R381" s="31" t="n">
        <v>0.496645092797615</v>
      </c>
    </row>
    <row r="382" customFormat="false" ht="15" hidden="false" customHeight="false" outlineLevel="0" collapsed="false">
      <c r="A382" s="25" t="n">
        <v>4127304</v>
      </c>
      <c r="B382" s="26" t="s">
        <v>448</v>
      </c>
      <c r="C382" s="26" t="s">
        <v>65</v>
      </c>
      <c r="D382" s="27" t="n">
        <v>14842</v>
      </c>
      <c r="E382" s="27" t="n">
        <v>875</v>
      </c>
      <c r="F382" s="27" t="n">
        <v>342</v>
      </c>
      <c r="G382" s="28" t="n">
        <v>0.390857142857143</v>
      </c>
      <c r="H382" s="29" t="n">
        <v>1.15594059405941</v>
      </c>
      <c r="I382" s="27" t="n">
        <v>2</v>
      </c>
      <c r="J382" s="27" t="n">
        <v>6</v>
      </c>
      <c r="K382" s="28" t="n">
        <v>0.333333333333333</v>
      </c>
      <c r="L382" s="30" t="n">
        <v>5.56</v>
      </c>
      <c r="M382" s="28" t="n">
        <v>0.136100256030185</v>
      </c>
      <c r="N382" s="29" t="n">
        <v>10.91</v>
      </c>
      <c r="O382" s="28" t="n">
        <v>0.0397350993377483</v>
      </c>
      <c r="P382" s="27" t="n">
        <v>432</v>
      </c>
      <c r="Q382" s="28" t="n">
        <v>0.231635388739946</v>
      </c>
      <c r="R382" s="31" t="n">
        <v>0.425394265756175</v>
      </c>
    </row>
    <row r="383" customFormat="false" ht="15" hidden="false" customHeight="false" outlineLevel="0" collapsed="false">
      <c r="A383" s="25" t="n">
        <v>4127403</v>
      </c>
      <c r="B383" s="26" t="s">
        <v>449</v>
      </c>
      <c r="C383" s="26" t="s">
        <v>65</v>
      </c>
      <c r="D383" s="27" t="n">
        <v>18119</v>
      </c>
      <c r="E383" s="27" t="n">
        <v>1254</v>
      </c>
      <c r="F383" s="27" t="n">
        <v>445</v>
      </c>
      <c r="G383" s="28" t="n">
        <v>0.354864433811802</v>
      </c>
      <c r="H383" s="29" t="n">
        <v>1.07234927234927</v>
      </c>
      <c r="I383" s="27" t="n">
        <v>1</v>
      </c>
      <c r="J383" s="27" t="n">
        <v>4</v>
      </c>
      <c r="K383" s="28" t="n">
        <v>0.25</v>
      </c>
      <c r="L383" s="30" t="n">
        <v>4.15</v>
      </c>
      <c r="M383" s="28" t="n">
        <v>0.132733594569237</v>
      </c>
      <c r="N383" s="29" t="n">
        <v>12.53</v>
      </c>
      <c r="O383" s="28" t="n">
        <v>0.0792079207920792</v>
      </c>
      <c r="P383" s="27" t="n">
        <v>323</v>
      </c>
      <c r="Q383" s="28" t="n">
        <v>0.132757912042746</v>
      </c>
      <c r="R383" s="31" t="n">
        <v>0.472463806171341</v>
      </c>
    </row>
    <row r="384" customFormat="false" ht="15" hidden="false" customHeight="false" outlineLevel="0" collapsed="false">
      <c r="A384" s="25" t="n">
        <v>4127502</v>
      </c>
      <c r="B384" s="26" t="s">
        <v>450</v>
      </c>
      <c r="C384" s="26" t="s">
        <v>65</v>
      </c>
      <c r="D384" s="27" t="n">
        <v>19961</v>
      </c>
      <c r="E384" s="27" t="n">
        <v>1432</v>
      </c>
      <c r="F384" s="27" t="n">
        <v>316</v>
      </c>
      <c r="G384" s="28" t="n">
        <v>0.220670391061453</v>
      </c>
      <c r="H384" s="29" t="n">
        <v>1.11295130838026</v>
      </c>
      <c r="I384" s="27" t="n">
        <v>2</v>
      </c>
      <c r="J384" s="27" t="n">
        <v>6</v>
      </c>
      <c r="K384" s="28" t="n">
        <v>0.333333333333333</v>
      </c>
      <c r="L384" s="30" t="n">
        <v>10.45</v>
      </c>
      <c r="M384" s="28" t="n">
        <v>0.151244927608837</v>
      </c>
      <c r="N384" s="29" t="n">
        <v>12.88</v>
      </c>
      <c r="O384" s="28" t="n">
        <v>0.0429184549356223</v>
      </c>
      <c r="P384" s="27" t="n">
        <v>1171</v>
      </c>
      <c r="Q384" s="28" t="n">
        <v>0.397353240583644</v>
      </c>
      <c r="R384" s="31" t="n">
        <v>0.560409088361693</v>
      </c>
    </row>
    <row r="385" customFormat="false" ht="15" hidden="false" customHeight="false" outlineLevel="0" collapsed="false">
      <c r="A385" s="25" t="n">
        <v>4127601</v>
      </c>
      <c r="B385" s="26" t="s">
        <v>451</v>
      </c>
      <c r="C385" s="26" t="s">
        <v>65</v>
      </c>
      <c r="D385" s="27" t="n">
        <v>17621</v>
      </c>
      <c r="E385" s="27" t="n">
        <v>1200</v>
      </c>
      <c r="F385" s="27" t="n">
        <v>286</v>
      </c>
      <c r="G385" s="28" t="n">
        <v>0.238333333333333</v>
      </c>
      <c r="H385" s="29" t="n">
        <v>1.11605723370429</v>
      </c>
      <c r="I385" s="27" t="n">
        <v>0</v>
      </c>
      <c r="J385" s="27" t="n">
        <v>3</v>
      </c>
      <c r="K385" s="28" t="n">
        <v>0</v>
      </c>
      <c r="L385" s="30" t="n">
        <v>33.82</v>
      </c>
      <c r="M385" s="28" t="n">
        <v>0.142784177969468</v>
      </c>
      <c r="N385" s="29" t="n">
        <v>11.69</v>
      </c>
      <c r="O385" s="28" t="n">
        <v>0.0290456431535269</v>
      </c>
      <c r="P385" s="27" t="n">
        <v>818</v>
      </c>
      <c r="Q385" s="28" t="n">
        <v>0.327855711422846</v>
      </c>
      <c r="R385" s="31" t="n">
        <v>0.417362719640287</v>
      </c>
    </row>
    <row r="386" customFormat="false" ht="15" hidden="false" customHeight="false" outlineLevel="0" collapsed="false">
      <c r="A386" s="25" t="n">
        <v>4127700</v>
      </c>
      <c r="B386" s="26" t="s">
        <v>452</v>
      </c>
      <c r="C386" s="26" t="s">
        <v>69</v>
      </c>
      <c r="D386" s="27" t="n">
        <v>150470</v>
      </c>
      <c r="E386" s="27" t="n">
        <v>9412</v>
      </c>
      <c r="F386" s="27" t="n">
        <v>3483</v>
      </c>
      <c r="G386" s="28" t="n">
        <v>0.370059498512537</v>
      </c>
      <c r="H386" s="29" t="n">
        <v>1.11574642126789</v>
      </c>
      <c r="I386" s="27" t="n">
        <v>11</v>
      </c>
      <c r="J386" s="27" t="n">
        <v>41</v>
      </c>
      <c r="K386" s="28" t="n">
        <v>0.268292682926829</v>
      </c>
      <c r="L386" s="30" t="n">
        <v>7.59</v>
      </c>
      <c r="M386" s="28" t="n">
        <v>0.129992689572672</v>
      </c>
      <c r="N386" s="29" t="n">
        <v>13.39</v>
      </c>
      <c r="O386" s="28" t="n">
        <v>0.035890218156228</v>
      </c>
      <c r="P386" s="27" t="n">
        <v>1500</v>
      </c>
      <c r="Q386" s="28" t="n">
        <v>0.0764448068494546</v>
      </c>
      <c r="R386" s="31" t="n">
        <v>0.693730536201786</v>
      </c>
    </row>
    <row r="387" customFormat="false" ht="15" hidden="false" customHeight="false" outlineLevel="0" collapsed="false">
      <c r="A387" s="25" t="n">
        <v>4127809</v>
      </c>
      <c r="B387" s="26" t="s">
        <v>453</v>
      </c>
      <c r="C387" s="26" t="s">
        <v>65</v>
      </c>
      <c r="D387" s="27" t="n">
        <v>8426</v>
      </c>
      <c r="E387" s="27" t="n">
        <v>469</v>
      </c>
      <c r="F387" s="27" t="n">
        <v>128</v>
      </c>
      <c r="G387" s="28" t="n">
        <v>0.272921108742004</v>
      </c>
      <c r="H387" s="29" t="n">
        <v>1.09297725024728</v>
      </c>
      <c r="I387" s="27" t="n">
        <v>2</v>
      </c>
      <c r="J387" s="27" t="n">
        <v>4</v>
      </c>
      <c r="K387" s="28" t="n">
        <v>0.5</v>
      </c>
      <c r="L387" s="30" t="n">
        <v>25.32</v>
      </c>
      <c r="M387" s="28" t="n">
        <v>0.119985758366959</v>
      </c>
      <c r="N387" s="29" t="n">
        <v>9.14</v>
      </c>
      <c r="O387" s="28" t="n">
        <v>0.0416666666666666</v>
      </c>
      <c r="P387" s="27" t="n">
        <v>256</v>
      </c>
      <c r="Q387" s="28" t="n">
        <v>0.254980079681275</v>
      </c>
      <c r="R387" s="31" t="n">
        <v>0.400019393881889</v>
      </c>
    </row>
    <row r="388" customFormat="false" ht="15" hidden="false" customHeight="false" outlineLevel="0" collapsed="false">
      <c r="A388" s="25" t="n">
        <v>4127858</v>
      </c>
      <c r="B388" s="26" t="s">
        <v>454</v>
      </c>
      <c r="C388" s="26" t="s">
        <v>65</v>
      </c>
      <c r="D388" s="27" t="n">
        <v>11135</v>
      </c>
      <c r="E388" s="27" t="n">
        <v>735</v>
      </c>
      <c r="F388" s="27" t="n">
        <v>238</v>
      </c>
      <c r="G388" s="28" t="n">
        <v>0.323809523809524</v>
      </c>
      <c r="H388" s="29" t="n">
        <v>1.11753118844386</v>
      </c>
      <c r="I388" s="27" t="n">
        <v>1</v>
      </c>
      <c r="J388" s="27" t="n">
        <v>3</v>
      </c>
      <c r="K388" s="28" t="n">
        <v>0.333333333333333</v>
      </c>
      <c r="L388" s="30" t="n">
        <v>14.08</v>
      </c>
      <c r="M388" s="28" t="n">
        <v>0.136775931746745</v>
      </c>
      <c r="N388" s="29" t="n">
        <v>13.56</v>
      </c>
      <c r="O388" s="28" t="n">
        <v>0.0289855072463768</v>
      </c>
      <c r="P388" s="27" t="n">
        <v>521</v>
      </c>
      <c r="Q388" s="28" t="n">
        <v>0.344804765056254</v>
      </c>
      <c r="R388" s="31" t="n">
        <v>0.447767499933108</v>
      </c>
    </row>
    <row r="389" customFormat="false" ht="15" hidden="false" customHeight="false" outlineLevel="0" collapsed="false">
      <c r="A389" s="25" t="n">
        <v>4127882</v>
      </c>
      <c r="B389" s="26" t="s">
        <v>455</v>
      </c>
      <c r="C389" s="26" t="s">
        <v>65</v>
      </c>
      <c r="D389" s="27" t="n">
        <v>6219</v>
      </c>
      <c r="E389" s="27" t="n">
        <v>533</v>
      </c>
      <c r="F389" s="27" t="n">
        <v>110</v>
      </c>
      <c r="G389" s="28" t="n">
        <v>0.206378986866792</v>
      </c>
      <c r="H389" s="29" t="n">
        <v>1.1785046728972</v>
      </c>
      <c r="I389" s="27" t="n">
        <v>1</v>
      </c>
      <c r="J389" s="27" t="n">
        <v>4</v>
      </c>
      <c r="K389" s="28" t="n">
        <v>0.25</v>
      </c>
      <c r="L389" s="30" t="n">
        <v>8.55</v>
      </c>
      <c r="M389" s="28" t="n">
        <v>0.172053384788551</v>
      </c>
      <c r="N389" s="29" t="n">
        <v>16.56</v>
      </c>
      <c r="O389" s="28" t="n">
        <v>0.0625</v>
      </c>
      <c r="P389" s="27" t="n">
        <v>486</v>
      </c>
      <c r="Q389" s="28" t="n">
        <v>0.450417052826691</v>
      </c>
      <c r="R389" s="31" t="n">
        <v>0.487600150701434</v>
      </c>
    </row>
    <row r="390" customFormat="false" ht="15" hidden="false" customHeight="false" outlineLevel="0" collapsed="false">
      <c r="A390" s="25" t="n">
        <v>4127908</v>
      </c>
      <c r="B390" s="26" t="s">
        <v>456</v>
      </c>
      <c r="C390" s="26" t="s">
        <v>65</v>
      </c>
      <c r="D390" s="27" t="n">
        <v>8067</v>
      </c>
      <c r="E390" s="27" t="n">
        <v>499</v>
      </c>
      <c r="F390" s="27" t="n">
        <v>180</v>
      </c>
      <c r="G390" s="28" t="n">
        <v>0.360721442885772</v>
      </c>
      <c r="H390" s="29" t="n">
        <v>1.15061963775024</v>
      </c>
      <c r="I390" s="27" t="n">
        <v>1</v>
      </c>
      <c r="J390" s="27" t="n">
        <v>5</v>
      </c>
      <c r="K390" s="28" t="n">
        <v>0.2</v>
      </c>
      <c r="L390" s="30" t="n">
        <v>11.11</v>
      </c>
      <c r="M390" s="28" t="n">
        <v>0.13003594892773</v>
      </c>
      <c r="N390" s="29" t="n">
        <v>11.03</v>
      </c>
      <c r="O390" s="28" t="n">
        <v>0</v>
      </c>
      <c r="P390" s="27" t="n">
        <v>195</v>
      </c>
      <c r="Q390" s="28" t="n">
        <v>0.190058479532164</v>
      </c>
      <c r="R390" s="31" t="n">
        <v>0.335283654700404</v>
      </c>
    </row>
    <row r="391" customFormat="false" ht="15" hidden="false" customHeight="false" outlineLevel="0" collapsed="false">
      <c r="A391" s="25" t="n">
        <v>4127957</v>
      </c>
      <c r="B391" s="26" t="s">
        <v>457</v>
      </c>
      <c r="C391" s="26" t="s">
        <v>65</v>
      </c>
      <c r="D391" s="27" t="n">
        <v>8077</v>
      </c>
      <c r="E391" s="27" t="n">
        <v>455</v>
      </c>
      <c r="F391" s="27" t="n">
        <v>194</v>
      </c>
      <c r="G391" s="28" t="n">
        <v>0.426373626373626</v>
      </c>
      <c r="H391" s="29" t="n">
        <v>1.05613305613306</v>
      </c>
      <c r="I391" s="27" t="n">
        <v>1</v>
      </c>
      <c r="J391" s="27" t="n">
        <v>5</v>
      </c>
      <c r="K391" s="28" t="n">
        <v>0.2</v>
      </c>
      <c r="L391" s="30" t="n">
        <v>0</v>
      </c>
      <c r="M391" s="28" t="n">
        <v>0.119103627584499</v>
      </c>
      <c r="N391" s="29" t="n">
        <v>10.03</v>
      </c>
      <c r="O391" s="28" t="n">
        <v>0</v>
      </c>
      <c r="P391" s="27" t="n">
        <v>118</v>
      </c>
      <c r="Q391" s="28" t="n">
        <v>0.127567567567568</v>
      </c>
      <c r="R391" s="31" t="n">
        <v>0.489513879495309</v>
      </c>
    </row>
    <row r="392" customFormat="false" ht="15" hidden="false" customHeight="false" outlineLevel="0" collapsed="false">
      <c r="A392" s="25" t="n">
        <v>4127965</v>
      </c>
      <c r="B392" s="26" t="s">
        <v>458</v>
      </c>
      <c r="C392" s="26" t="s">
        <v>65</v>
      </c>
      <c r="D392" s="27" t="n">
        <v>14231</v>
      </c>
      <c r="E392" s="27" t="n">
        <v>999</v>
      </c>
      <c r="F392" s="27" t="n">
        <v>286</v>
      </c>
      <c r="G392" s="28" t="n">
        <v>0.286286286286286</v>
      </c>
      <c r="H392" s="29" t="n">
        <v>1.17720907774022</v>
      </c>
      <c r="I392" s="27" t="n">
        <v>1</v>
      </c>
      <c r="J392" s="27" t="n">
        <v>3</v>
      </c>
      <c r="K392" s="28" t="n">
        <v>0.333333333333333</v>
      </c>
      <c r="L392" s="30" t="n">
        <v>0</v>
      </c>
      <c r="M392" s="28" t="n">
        <v>0.145527369826435</v>
      </c>
      <c r="N392" s="29" t="n">
        <v>14.55</v>
      </c>
      <c r="O392" s="28" t="n">
        <v>0.0311111111111111</v>
      </c>
      <c r="P392" s="27" t="n">
        <v>474</v>
      </c>
      <c r="Q392" s="28" t="n">
        <v>0.233497536945813</v>
      </c>
      <c r="R392" s="31" t="n">
        <v>0.47992488139153</v>
      </c>
    </row>
    <row r="393" customFormat="false" ht="15" hidden="false" customHeight="false" outlineLevel="0" collapsed="false">
      <c r="A393" s="25" t="n">
        <v>4128005</v>
      </c>
      <c r="B393" s="26" t="s">
        <v>459</v>
      </c>
      <c r="C393" s="26" t="s">
        <v>86</v>
      </c>
      <c r="D393" s="27" t="n">
        <v>24749</v>
      </c>
      <c r="E393" s="27" t="n">
        <v>1545</v>
      </c>
      <c r="F393" s="27" t="n">
        <v>611</v>
      </c>
      <c r="G393" s="28" t="n">
        <v>0.39546925566343</v>
      </c>
      <c r="H393" s="29" t="n">
        <v>1.09823677581864</v>
      </c>
      <c r="I393" s="27" t="n">
        <v>3</v>
      </c>
      <c r="J393" s="27" t="n">
        <v>10</v>
      </c>
      <c r="K393" s="28" t="n">
        <v>0.3</v>
      </c>
      <c r="L393" s="30" t="n">
        <v>3.04</v>
      </c>
      <c r="M393" s="28" t="n">
        <v>0.12832841730979</v>
      </c>
      <c r="N393" s="29" t="n">
        <v>12</v>
      </c>
      <c r="O393" s="28" t="n">
        <v>0.0384615384615384</v>
      </c>
      <c r="P393" s="27" t="n">
        <v>626</v>
      </c>
      <c r="Q393" s="28" t="n">
        <v>0.200127877237852</v>
      </c>
      <c r="R393" s="31" t="n">
        <v>0.620215696134368</v>
      </c>
    </row>
    <row r="394" customFormat="false" ht="15" hidden="false" customHeight="false" outlineLevel="0" collapsed="false">
      <c r="A394" s="25" t="n">
        <v>4128104</v>
      </c>
      <c r="B394" s="26" t="s">
        <v>460</v>
      </c>
      <c r="C394" s="26" t="s">
        <v>69</v>
      </c>
      <c r="D394" s="27" t="n">
        <v>117095</v>
      </c>
      <c r="E394" s="27" t="n">
        <v>7514</v>
      </c>
      <c r="F394" s="27" t="n">
        <v>1884</v>
      </c>
      <c r="G394" s="28" t="n">
        <v>0.250731966994943</v>
      </c>
      <c r="H394" s="29" t="n">
        <v>1.12599756526444</v>
      </c>
      <c r="I394" s="27" t="n">
        <v>14</v>
      </c>
      <c r="J394" s="27" t="n">
        <v>37</v>
      </c>
      <c r="K394" s="28" t="n">
        <v>0.378378378378378</v>
      </c>
      <c r="L394" s="30" t="n">
        <v>14.61</v>
      </c>
      <c r="M394" s="28" t="n">
        <v>0.126273538579786</v>
      </c>
      <c r="N394" s="29" t="n">
        <v>12.93</v>
      </c>
      <c r="O394" s="28" t="n">
        <v>0.0194986072423398</v>
      </c>
      <c r="P394" s="27" t="n">
        <v>2318</v>
      </c>
      <c r="Q394" s="28" t="n">
        <v>0.153398186751373</v>
      </c>
      <c r="R394" s="31" t="n">
        <v>0.54299762993637</v>
      </c>
    </row>
    <row r="395" customFormat="false" ht="15" hidden="false" customHeight="false" outlineLevel="0" collapsed="false">
      <c r="A395" s="25" t="n">
        <v>4128203</v>
      </c>
      <c r="B395" s="26" t="s">
        <v>461</v>
      </c>
      <c r="C395" s="26" t="s">
        <v>86</v>
      </c>
      <c r="D395" s="27" t="n">
        <v>55033</v>
      </c>
      <c r="E395" s="27" t="n">
        <v>3552</v>
      </c>
      <c r="F395" s="27" t="n">
        <v>1085</v>
      </c>
      <c r="G395" s="28" t="n">
        <v>0.305461711711712</v>
      </c>
      <c r="H395" s="29" t="n">
        <v>1.12002220063827</v>
      </c>
      <c r="I395" s="27" t="n">
        <v>8</v>
      </c>
      <c r="J395" s="27" t="n">
        <v>22</v>
      </c>
      <c r="K395" s="28" t="n">
        <v>0.363636363636364</v>
      </c>
      <c r="L395" s="30" t="n">
        <v>6.39</v>
      </c>
      <c r="M395" s="28" t="n">
        <v>0.130957788962986</v>
      </c>
      <c r="N395" s="29" t="n">
        <v>13.65</v>
      </c>
      <c r="O395" s="28" t="n">
        <v>0.0277777777777777</v>
      </c>
      <c r="P395" s="27" t="n">
        <v>1442</v>
      </c>
      <c r="Q395" s="28" t="n">
        <v>0.200640044524837</v>
      </c>
      <c r="R395" s="31" t="n">
        <v>0.519331662575669</v>
      </c>
    </row>
    <row r="396" customFormat="false" ht="15" hidden="false" customHeight="false" outlineLevel="0" collapsed="false">
      <c r="A396" s="25" t="n">
        <v>4128302</v>
      </c>
      <c r="B396" s="26" t="s">
        <v>462</v>
      </c>
      <c r="C396" s="26" t="s">
        <v>71</v>
      </c>
      <c r="D396" s="27" t="n">
        <v>2136</v>
      </c>
      <c r="E396" s="27" t="n">
        <v>116</v>
      </c>
      <c r="F396" s="27" t="n">
        <v>65</v>
      </c>
      <c r="G396" s="28" t="n">
        <v>0.560344827586207</v>
      </c>
      <c r="H396" s="29" t="n">
        <v>0.955223880597015</v>
      </c>
      <c r="I396" s="27" t="n">
        <v>0</v>
      </c>
      <c r="J396" s="27" t="n">
        <v>1</v>
      </c>
      <c r="K396" s="28" t="n">
        <v>0</v>
      </c>
      <c r="L396" s="30" t="n">
        <v>0</v>
      </c>
      <c r="M396" s="28" t="n">
        <v>0.125468164794008</v>
      </c>
      <c r="N396" s="29" t="n">
        <v>8.43</v>
      </c>
      <c r="O396" s="28" t="n">
        <v>0</v>
      </c>
      <c r="P396" s="27" t="n">
        <v>50</v>
      </c>
      <c r="Q396" s="28" t="n">
        <v>0.205761316872428</v>
      </c>
      <c r="R396" s="31" t="n">
        <v>0.421164462316371</v>
      </c>
    </row>
    <row r="397" customFormat="false" ht="15" hidden="false" customHeight="false" outlineLevel="0" collapsed="false">
      <c r="A397" s="25" t="n">
        <v>4128401</v>
      </c>
      <c r="B397" s="26" t="s">
        <v>463</v>
      </c>
      <c r="C397" s="26" t="s">
        <v>65</v>
      </c>
      <c r="D397" s="27" t="n">
        <v>10406</v>
      </c>
      <c r="E397" s="27" t="n">
        <v>493</v>
      </c>
      <c r="F397" s="27" t="n">
        <v>142</v>
      </c>
      <c r="G397" s="28" t="n">
        <v>0.288032454361055</v>
      </c>
      <c r="H397" s="29" t="n">
        <v>1.07095709570957</v>
      </c>
      <c r="I397" s="27" t="n">
        <v>3</v>
      </c>
      <c r="J397" s="27" t="n">
        <v>8</v>
      </c>
      <c r="K397" s="28" t="n">
        <v>0.375</v>
      </c>
      <c r="L397" s="30" t="n">
        <v>0</v>
      </c>
      <c r="M397" s="28" t="n">
        <v>0.116471266576975</v>
      </c>
      <c r="N397" s="29" t="n">
        <v>8.46</v>
      </c>
      <c r="O397" s="28" t="n">
        <v>0</v>
      </c>
      <c r="P397" s="27" t="n">
        <v>339</v>
      </c>
      <c r="Q397" s="28" t="n">
        <v>0.308462238398544</v>
      </c>
      <c r="R397" s="31" t="n">
        <v>0.407368723465101</v>
      </c>
    </row>
    <row r="398" customFormat="false" ht="15" hidden="false" customHeight="false" outlineLevel="0" collapsed="false">
      <c r="A398" s="25" t="n">
        <v>4128534</v>
      </c>
      <c r="B398" s="26" t="s">
        <v>464</v>
      </c>
      <c r="C398" s="26" t="s">
        <v>65</v>
      </c>
      <c r="D398" s="27" t="n">
        <v>9681</v>
      </c>
      <c r="E398" s="27" t="n">
        <v>674</v>
      </c>
      <c r="F398" s="27" t="n">
        <v>174</v>
      </c>
      <c r="G398" s="28" t="n">
        <v>0.258160237388724</v>
      </c>
      <c r="H398" s="29" t="n">
        <v>1.04552129221733</v>
      </c>
      <c r="I398" s="27" t="n">
        <v>1</v>
      </c>
      <c r="J398" s="27" t="n">
        <v>3</v>
      </c>
      <c r="K398" s="28" t="n">
        <v>0.333333333333333</v>
      </c>
      <c r="L398" s="30" t="n">
        <v>25</v>
      </c>
      <c r="M398" s="28" t="n">
        <v>0.14068794546018</v>
      </c>
      <c r="N398" s="29" t="n">
        <v>13.74</v>
      </c>
      <c r="O398" s="28" t="n">
        <v>0</v>
      </c>
      <c r="P398" s="27" t="n">
        <v>302</v>
      </c>
      <c r="Q398" s="28" t="n">
        <v>0.221407624633431</v>
      </c>
      <c r="R398" s="31" t="n">
        <v>0.468242243445458</v>
      </c>
    </row>
    <row r="399" customFormat="false" ht="15" hidden="false" customHeight="false" outlineLevel="0" collapsed="false">
      <c r="A399" s="25" t="n">
        <v>4128559</v>
      </c>
      <c r="B399" s="26" t="s">
        <v>465</v>
      </c>
      <c r="C399" s="26" t="s">
        <v>65</v>
      </c>
      <c r="D399" s="27" t="n">
        <v>8215</v>
      </c>
      <c r="E399" s="27" t="n">
        <v>496</v>
      </c>
      <c r="F399" s="27" t="n">
        <v>151</v>
      </c>
      <c r="G399" s="28" t="n">
        <v>0.304435483870968</v>
      </c>
      <c r="H399" s="29" t="n">
        <v>1.07184466019418</v>
      </c>
      <c r="I399" s="27" t="n">
        <v>0</v>
      </c>
      <c r="J399" s="27" t="n">
        <v>1</v>
      </c>
      <c r="K399" s="28" t="n">
        <v>0</v>
      </c>
      <c r="L399" s="30" t="n">
        <v>0</v>
      </c>
      <c r="M399" s="28" t="n">
        <v>0.1253804017042</v>
      </c>
      <c r="N399" s="29" t="n">
        <v>11.44</v>
      </c>
      <c r="O399" s="28" t="n">
        <v>0.03125</v>
      </c>
      <c r="P399" s="27" t="n">
        <v>174</v>
      </c>
      <c r="Q399" s="28" t="n">
        <v>0.170755642787046</v>
      </c>
      <c r="R399" s="31" t="n">
        <v>0.381672753036828</v>
      </c>
    </row>
    <row r="400" customFormat="false" ht="15" hidden="false" customHeight="false" outlineLevel="0" collapsed="false">
      <c r="A400" s="25" t="n">
        <v>4128609</v>
      </c>
      <c r="B400" s="26" t="s">
        <v>466</v>
      </c>
      <c r="C400" s="26" t="s">
        <v>65</v>
      </c>
      <c r="D400" s="27" t="n">
        <v>7932</v>
      </c>
      <c r="E400" s="27" t="n">
        <v>442</v>
      </c>
      <c r="F400" s="27" t="n">
        <v>157</v>
      </c>
      <c r="G400" s="28" t="n">
        <v>0.355203619909502</v>
      </c>
      <c r="H400" s="29" t="n">
        <v>1.09713701431493</v>
      </c>
      <c r="I400" s="27" t="n">
        <v>1</v>
      </c>
      <c r="J400" s="27" t="n">
        <v>3</v>
      </c>
      <c r="K400" s="28" t="n">
        <v>0.333333333333333</v>
      </c>
      <c r="L400" s="30" t="n">
        <v>11.49</v>
      </c>
      <c r="M400" s="28" t="n">
        <v>0.123298033282905</v>
      </c>
      <c r="N400" s="29" t="n">
        <v>12.73</v>
      </c>
      <c r="O400" s="28" t="n">
        <v>0.0129870129870129</v>
      </c>
      <c r="P400" s="27" t="n">
        <v>139</v>
      </c>
      <c r="Q400" s="28" t="n">
        <v>0.146469968387777</v>
      </c>
      <c r="R400" s="31" t="n">
        <v>0.485625945722112</v>
      </c>
    </row>
    <row r="401" customFormat="false" ht="15" hidden="false" customHeight="false" outlineLevel="0" collapsed="false">
      <c r="A401" s="25" t="n">
        <v>4128658</v>
      </c>
      <c r="B401" s="26" t="s">
        <v>467</v>
      </c>
      <c r="C401" s="26" t="s">
        <v>71</v>
      </c>
      <c r="D401" s="27" t="n">
        <v>3811</v>
      </c>
      <c r="E401" s="27" t="n">
        <v>237</v>
      </c>
      <c r="F401" s="27" t="n">
        <v>84</v>
      </c>
      <c r="G401" s="28" t="n">
        <v>0.354430379746835</v>
      </c>
      <c r="H401" s="29" t="n">
        <v>1.1362763915547</v>
      </c>
      <c r="I401" s="27" t="n">
        <v>0</v>
      </c>
      <c r="J401" s="27" t="n">
        <v>1</v>
      </c>
      <c r="K401" s="28" t="n">
        <v>0</v>
      </c>
      <c r="L401" s="30" t="n">
        <v>19.23</v>
      </c>
      <c r="M401" s="28" t="n">
        <v>0.13670952505904</v>
      </c>
      <c r="N401" s="29" t="n">
        <v>14.17</v>
      </c>
      <c r="O401" s="28" t="n">
        <v>0</v>
      </c>
      <c r="P401" s="27" t="n">
        <v>115</v>
      </c>
      <c r="Q401" s="28" t="n">
        <v>0.226377952755906</v>
      </c>
      <c r="R401" s="31" t="n">
        <v>0.445553021256557</v>
      </c>
    </row>
    <row r="402" customFormat="false" ht="15" hidden="false" customHeight="false" outlineLevel="0" collapsed="false">
      <c r="A402" s="25" t="n">
        <v>4128708</v>
      </c>
      <c r="B402" s="26" t="s">
        <v>468</v>
      </c>
      <c r="C402" s="26" t="s">
        <v>65</v>
      </c>
      <c r="D402" s="27" t="n">
        <v>9706</v>
      </c>
      <c r="E402" s="27" t="n">
        <v>740</v>
      </c>
      <c r="F402" s="27" t="n">
        <v>173</v>
      </c>
      <c r="G402" s="28" t="n">
        <v>0.233783783783784</v>
      </c>
      <c r="H402" s="29" t="n">
        <v>0.743823146944083</v>
      </c>
      <c r="I402" s="27" t="n">
        <v>1</v>
      </c>
      <c r="J402" s="27" t="n">
        <v>3</v>
      </c>
      <c r="K402" s="28" t="n">
        <v>0.333333333333333</v>
      </c>
      <c r="L402" s="30" t="n">
        <v>0</v>
      </c>
      <c r="M402" s="28" t="n">
        <v>0.158458685349269</v>
      </c>
      <c r="N402" s="29" t="n">
        <v>12.98</v>
      </c>
      <c r="O402" s="28" t="n">
        <v>0.0677966101694915</v>
      </c>
      <c r="P402" s="27" t="n">
        <v>288</v>
      </c>
      <c r="Q402" s="28" t="n">
        <v>0.168519602106495</v>
      </c>
      <c r="R402" s="31" t="n">
        <v>0.551580331520972</v>
      </c>
    </row>
    <row r="403" customFormat="false" ht="15" hidden="false" customHeight="false" outlineLevel="0" collapsed="false">
      <c r="A403" s="25" t="n">
        <v>4128500</v>
      </c>
      <c r="B403" s="26" t="s">
        <v>469</v>
      </c>
      <c r="C403" s="26" t="s">
        <v>65</v>
      </c>
      <c r="D403" s="27" t="n">
        <v>19188</v>
      </c>
      <c r="E403" s="27" t="n">
        <v>1312</v>
      </c>
      <c r="F403" s="27" t="n">
        <v>333</v>
      </c>
      <c r="G403" s="28" t="n">
        <v>0.253810975609756</v>
      </c>
      <c r="H403" s="29" t="n">
        <v>1.1525358110724</v>
      </c>
      <c r="I403" s="27" t="n">
        <v>3</v>
      </c>
      <c r="J403" s="27" t="n">
        <v>5</v>
      </c>
      <c r="K403" s="28" t="n">
        <v>0.6</v>
      </c>
      <c r="L403" s="30" t="n">
        <v>6.54</v>
      </c>
      <c r="M403" s="28" t="n">
        <v>0.134615384615385</v>
      </c>
      <c r="N403" s="29" t="n">
        <v>14.07</v>
      </c>
      <c r="O403" s="28" t="n">
        <v>0.086092715231788</v>
      </c>
      <c r="P403" s="27" t="n">
        <v>648</v>
      </c>
      <c r="Q403" s="28" t="n">
        <v>0.245733788395904</v>
      </c>
      <c r="R403" s="31" t="n">
        <v>0.492197198534923</v>
      </c>
    </row>
    <row r="404" customFormat="false" ht="15" hidden="false" customHeight="false" outlineLevel="0" collapsed="false">
      <c r="A404" s="25" t="n">
        <v>4128807</v>
      </c>
      <c r="B404" s="26" t="s">
        <v>470</v>
      </c>
      <c r="C404" s="26" t="s">
        <v>65</v>
      </c>
      <c r="D404" s="27" t="n">
        <v>5798</v>
      </c>
      <c r="E404" s="27" t="n">
        <v>360</v>
      </c>
      <c r="F404" s="27" t="n">
        <v>157</v>
      </c>
      <c r="G404" s="28" t="n">
        <v>0.436111111111111</v>
      </c>
      <c r="H404" s="29" t="n">
        <v>1.12430939226519</v>
      </c>
      <c r="I404" s="27" t="n">
        <v>0</v>
      </c>
      <c r="J404" s="27" t="n">
        <v>3</v>
      </c>
      <c r="K404" s="28" t="n">
        <v>0</v>
      </c>
      <c r="L404" s="30" t="n">
        <v>0</v>
      </c>
      <c r="M404" s="28" t="n">
        <v>0.124870645050017</v>
      </c>
      <c r="N404" s="29" t="n">
        <v>11.9</v>
      </c>
      <c r="O404" s="28" t="n">
        <v>0</v>
      </c>
      <c r="P404" s="27" t="n">
        <v>179</v>
      </c>
      <c r="Q404" s="28" t="n">
        <v>0.244870041039672</v>
      </c>
      <c r="R404" s="31" t="n">
        <v>0.336517607650211</v>
      </c>
    </row>
    <row r="406" customFormat="false" ht="15" hidden="false" customHeight="false" outlineLevel="0" collapsed="false">
      <c r="A406" s="32" t="s">
        <v>471</v>
      </c>
    </row>
    <row r="407" customFormat="false" ht="15" hidden="false" customHeight="false" outlineLevel="0" collapsed="false">
      <c r="A407" s="32" t="s">
        <v>472</v>
      </c>
    </row>
  </sheetData>
  <mergeCells count="4">
    <mergeCell ref="A4:E4"/>
    <mergeCell ref="F4:K4"/>
    <mergeCell ref="L4:N4"/>
    <mergeCell ref="O4: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C12"/>
    <pageSetUpPr fitToPage="true"/>
  </sheetPr>
  <dimension ref="A1:K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10" min="4" style="0" width="13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9" t="s">
        <v>473</v>
      </c>
    </row>
    <row r="2" customFormat="false" ht="15" hidden="false" customHeight="false" outlineLevel="0" collapsed="false">
      <c r="A2" s="2" t="s">
        <v>474</v>
      </c>
    </row>
    <row r="4" customFormat="false" ht="15" hidden="false" customHeight="false" outlineLevel="0" collapsed="false">
      <c r="A4" s="20" t="s">
        <v>46</v>
      </c>
      <c r="B4" s="20"/>
      <c r="C4" s="20"/>
      <c r="D4" s="21" t="s">
        <v>475</v>
      </c>
      <c r="E4" s="21"/>
      <c r="F4" s="21"/>
      <c r="G4" s="21" t="s">
        <v>476</v>
      </c>
      <c r="H4" s="21"/>
      <c r="I4" s="21"/>
      <c r="J4" s="21" t="s">
        <v>477</v>
      </c>
      <c r="K4" s="21"/>
    </row>
    <row r="5" customFormat="false" ht="43.5" hidden="false" customHeight="true" outlineLevel="0" collapsed="false">
      <c r="A5" s="33" t="s">
        <v>47</v>
      </c>
      <c r="B5" s="33" t="s">
        <v>46</v>
      </c>
      <c r="C5" s="33" t="s">
        <v>48</v>
      </c>
      <c r="D5" s="33" t="s">
        <v>52</v>
      </c>
      <c r="E5" s="33" t="s">
        <v>478</v>
      </c>
      <c r="F5" s="33" t="s">
        <v>56</v>
      </c>
      <c r="G5" s="33" t="s">
        <v>479</v>
      </c>
      <c r="H5" s="33" t="s">
        <v>480</v>
      </c>
      <c r="I5" s="33" t="s">
        <v>481</v>
      </c>
      <c r="J5" s="33" t="s">
        <v>482</v>
      </c>
      <c r="K5" s="33" t="s">
        <v>483</v>
      </c>
    </row>
    <row r="6" customFormat="false" ht="15" hidden="false" customHeight="false" outlineLevel="0" collapsed="false">
      <c r="A6" s="26" t="n">
        <v>4100103</v>
      </c>
      <c r="B6" s="26" t="s">
        <v>64</v>
      </c>
      <c r="C6" s="26" t="s">
        <v>65</v>
      </c>
      <c r="D6" s="28" t="n">
        <v>0.321276595744681</v>
      </c>
      <c r="E6" s="29" t="n">
        <v>1.08315098468271</v>
      </c>
      <c r="F6" s="28" t="n">
        <v>0.5</v>
      </c>
      <c r="G6" s="30" t="n">
        <v>50.6248600223964</v>
      </c>
      <c r="H6" s="30" t="n">
        <v>76.916682959753</v>
      </c>
      <c r="I6" s="30" t="n">
        <v>50</v>
      </c>
      <c r="J6" s="34" t="n">
        <f aca="false">(2*G6+H6+I6)/4</f>
        <v>57.0416007511364</v>
      </c>
      <c r="K6" s="35" t="n">
        <f aca="false">(J6-MIN(J$6:J$404))/(MAX(J$6:J$404)-MIN(J$6:J$404))*100</f>
        <v>49.2606778185101</v>
      </c>
    </row>
    <row r="7" customFormat="false" ht="15" hidden="false" customHeight="false" outlineLevel="0" collapsed="false">
      <c r="A7" s="26" t="n">
        <v>4100202</v>
      </c>
      <c r="B7" s="26" t="s">
        <v>66</v>
      </c>
      <c r="C7" s="26" t="s">
        <v>65</v>
      </c>
      <c r="D7" s="28" t="n">
        <v>0.148614609571788</v>
      </c>
      <c r="E7" s="29" t="n">
        <v>0.990142387732749</v>
      </c>
      <c r="F7" s="28" t="n">
        <v>0.5</v>
      </c>
      <c r="G7" s="30" t="n">
        <v>77.160281055283</v>
      </c>
      <c r="H7" s="30" t="n">
        <v>83.2437410201007</v>
      </c>
      <c r="I7" s="30" t="n">
        <v>50</v>
      </c>
      <c r="J7" s="34" t="n">
        <f aca="false">(2*G7+H7+I7)/4</f>
        <v>71.8910757826667</v>
      </c>
      <c r="K7" s="35" t="n">
        <f aca="false">(J7-MIN(J$6:J$404))/(MAX(J$6:J$404)-MIN(J$6:J$404))*100</f>
        <v>74.2810667460311</v>
      </c>
    </row>
    <row r="8" customFormat="false" ht="15" hidden="false" customHeight="false" outlineLevel="0" collapsed="false">
      <c r="A8" s="26" t="n">
        <v>4100301</v>
      </c>
      <c r="B8" s="26" t="s">
        <v>67</v>
      </c>
      <c r="C8" s="26" t="s">
        <v>65</v>
      </c>
      <c r="D8" s="28" t="n">
        <v>0.148725212464589</v>
      </c>
      <c r="E8" s="29" t="n">
        <v>1.1059379217274</v>
      </c>
      <c r="F8" s="28" t="n">
        <v>0.5</v>
      </c>
      <c r="G8" s="30" t="n">
        <v>77.143283137021</v>
      </c>
      <c r="H8" s="30" t="n">
        <v>75.3665652456157</v>
      </c>
      <c r="I8" s="30" t="n">
        <v>50</v>
      </c>
      <c r="J8" s="34" t="n">
        <f aca="false">(2*G8+H8+I8)/4</f>
        <v>69.9132828799144</v>
      </c>
      <c r="K8" s="35" t="n">
        <f aca="false">(J8-MIN(J$6:J$404))/(MAX(J$6:J$404)-MIN(J$6:J$404))*100</f>
        <v>70.9486157644388</v>
      </c>
    </row>
    <row r="9" customFormat="false" ht="15" hidden="false" customHeight="false" outlineLevel="0" collapsed="false">
      <c r="A9" s="26" t="n">
        <v>4100400</v>
      </c>
      <c r="B9" s="26" t="s">
        <v>68</v>
      </c>
      <c r="C9" s="26" t="s">
        <v>69</v>
      </c>
      <c r="D9" s="28" t="n">
        <v>0.112156383628589</v>
      </c>
      <c r="E9" s="29" t="n">
        <v>0.747343378271213</v>
      </c>
      <c r="F9" s="28" t="n">
        <v>0.166666666666667</v>
      </c>
      <c r="G9" s="30" t="n">
        <v>82.7633347265537</v>
      </c>
      <c r="H9" s="30" t="n">
        <v>99.7605306528321</v>
      </c>
      <c r="I9" s="30" t="n">
        <v>83.3333333333333</v>
      </c>
      <c r="J9" s="34" t="n">
        <f aca="false">(2*G9+H9+I9)/4</f>
        <v>87.1551333598182</v>
      </c>
      <c r="K9" s="35" t="n">
        <f aca="false">(J9-MIN(J$6:J$404))/(MAX(J$6:J$404)-MIN(J$6:J$404))*100</f>
        <v>100</v>
      </c>
    </row>
    <row r="10" customFormat="false" ht="15" hidden="false" customHeight="false" outlineLevel="0" collapsed="false">
      <c r="A10" s="26" t="n">
        <v>4100459</v>
      </c>
      <c r="B10" s="26" t="s">
        <v>70</v>
      </c>
      <c r="C10" s="26" t="s">
        <v>71</v>
      </c>
      <c r="D10" s="28" t="n">
        <v>0.253588516746412</v>
      </c>
      <c r="E10" s="29" t="n">
        <v>1.09850107066381</v>
      </c>
      <c r="F10" s="28" t="n">
        <v>0.5</v>
      </c>
      <c r="G10" s="30" t="n">
        <v>61.0274490052884</v>
      </c>
      <c r="H10" s="30" t="n">
        <v>75.8724688933265</v>
      </c>
      <c r="I10" s="30" t="n">
        <v>50</v>
      </c>
      <c r="J10" s="34" t="n">
        <f aca="false">(2*G10+H10+I10)/4</f>
        <v>61.9818417259758</v>
      </c>
      <c r="K10" s="35" t="n">
        <f aca="false">(J10-MIN(J$6:J$404))/(MAX(J$6:J$404)-MIN(J$6:J$404))*100</f>
        <v>57.5846589911575</v>
      </c>
    </row>
    <row r="11" customFormat="false" ht="15" hidden="false" customHeight="false" outlineLevel="0" collapsed="false">
      <c r="A11" s="26" t="n">
        <v>4128625</v>
      </c>
      <c r="B11" s="26" t="s">
        <v>72</v>
      </c>
      <c r="C11" s="26" t="s">
        <v>71</v>
      </c>
      <c r="D11" s="28" t="n">
        <v>0.44390243902439</v>
      </c>
      <c r="E11" s="29" t="n">
        <v>1.21100917431193</v>
      </c>
      <c r="F11" s="28" t="n">
        <v>0.5</v>
      </c>
      <c r="G11" s="30" t="n">
        <v>31.7792041078306</v>
      </c>
      <c r="H11" s="30" t="n">
        <v>68.2189258082266</v>
      </c>
      <c r="I11" s="30" t="n">
        <v>50</v>
      </c>
      <c r="J11" s="34" t="n">
        <f aca="false">(2*G11+H11+I11)/4</f>
        <v>45.4443335059719</v>
      </c>
      <c r="K11" s="35" t="n">
        <f aca="false">(J11-MIN(J$6:J$404))/(MAX(J$6:J$404)-MIN(J$6:J$404))*100</f>
        <v>29.720045146022</v>
      </c>
    </row>
    <row r="12" customFormat="false" ht="15" hidden="false" customHeight="false" outlineLevel="0" collapsed="false">
      <c r="A12" s="26" t="n">
        <v>4100608</v>
      </c>
      <c r="B12" s="26" t="s">
        <v>73</v>
      </c>
      <c r="C12" s="26" t="s">
        <v>65</v>
      </c>
      <c r="D12" s="28" t="n">
        <v>0.286474973375932</v>
      </c>
      <c r="E12" s="29" t="n">
        <v>1.07124284971399</v>
      </c>
      <c r="F12" s="28" t="n">
        <v>0.166666666666667</v>
      </c>
      <c r="G12" s="30" t="n">
        <v>55.9733198811726</v>
      </c>
      <c r="H12" s="30" t="n">
        <v>77.7267528221992</v>
      </c>
      <c r="I12" s="30" t="n">
        <v>83.3333333333333</v>
      </c>
      <c r="J12" s="34" t="n">
        <f aca="false">(2*G12+H12+I12)/4</f>
        <v>68.2516814794694</v>
      </c>
      <c r="K12" s="35" t="n">
        <f aca="false">(J12-MIN(J$6:J$404))/(MAX(J$6:J$404)-MIN(J$6:J$404))*100</f>
        <v>68.1489266714997</v>
      </c>
    </row>
    <row r="13" customFormat="false" ht="15" hidden="false" customHeight="false" outlineLevel="0" collapsed="false">
      <c r="A13" s="26" t="n">
        <v>4100707</v>
      </c>
      <c r="B13" s="26" t="s">
        <v>74</v>
      </c>
      <c r="C13" s="26" t="s">
        <v>65</v>
      </c>
      <c r="D13" s="28" t="n">
        <v>0.366043613707165</v>
      </c>
      <c r="E13" s="29" t="n">
        <v>1.10761979575805</v>
      </c>
      <c r="F13" s="28" t="n">
        <v>0.166666666666667</v>
      </c>
      <c r="G13" s="30" t="n">
        <v>43.7448762092146</v>
      </c>
      <c r="H13" s="30" t="n">
        <v>75.2521530838251</v>
      </c>
      <c r="I13" s="30" t="n">
        <v>83.3333333333333</v>
      </c>
      <c r="J13" s="34" t="n">
        <f aca="false">(2*G13+H13+I13)/4</f>
        <v>61.5188097088969</v>
      </c>
      <c r="K13" s="35" t="n">
        <f aca="false">(J13-MIN(J$6:J$404))/(MAX(J$6:J$404)-MIN(J$6:J$404))*100</f>
        <v>56.8044804913379</v>
      </c>
    </row>
    <row r="14" customFormat="false" ht="15" hidden="false" customHeight="false" outlineLevel="0" collapsed="false">
      <c r="A14" s="26" t="n">
        <v>4100509</v>
      </c>
      <c r="B14" s="26" t="s">
        <v>75</v>
      </c>
      <c r="C14" s="26" t="s">
        <v>65</v>
      </c>
      <c r="D14" s="28" t="n">
        <v>0.18595825426945</v>
      </c>
      <c r="E14" s="29" t="n">
        <v>1.14882274544647</v>
      </c>
      <c r="F14" s="28" t="n">
        <v>0.9</v>
      </c>
      <c r="G14" s="30" t="n">
        <v>71.4211525017477</v>
      </c>
      <c r="H14" s="30" t="n">
        <v>72.4492567550433</v>
      </c>
      <c r="I14" s="30" t="n">
        <v>10</v>
      </c>
      <c r="J14" s="34" t="n">
        <f aca="false">(2*G14+H14+I14)/4</f>
        <v>56.3228904396347</v>
      </c>
      <c r="K14" s="35" t="n">
        <f aca="false">(J14-MIN(J$6:J$404))/(MAX(J$6:J$404)-MIN(J$6:J$404))*100</f>
        <v>48.0496982059776</v>
      </c>
    </row>
    <row r="15" customFormat="false" ht="15" hidden="false" customHeight="false" outlineLevel="0" collapsed="false">
      <c r="A15" s="26" t="n">
        <v>4100806</v>
      </c>
      <c r="B15" s="26" t="s">
        <v>76</v>
      </c>
      <c r="C15" s="26" t="s">
        <v>65</v>
      </c>
      <c r="D15" s="28" t="n">
        <v>0.384083044982699</v>
      </c>
      <c r="E15" s="29" t="n">
        <v>1.0893470790378</v>
      </c>
      <c r="F15" s="28" t="n">
        <v>0.25</v>
      </c>
      <c r="G15" s="30" t="n">
        <v>40.9725004552905</v>
      </c>
      <c r="H15" s="30" t="n">
        <v>76.4951837648654</v>
      </c>
      <c r="I15" s="30" t="n">
        <v>75</v>
      </c>
      <c r="J15" s="34" t="n">
        <f aca="false">(2*G15+H15+I15)/4</f>
        <v>58.3600461688616</v>
      </c>
      <c r="K15" s="35" t="n">
        <f aca="false">(J15-MIN(J$6:J$404))/(MAX(J$6:J$404)-MIN(J$6:J$404))*100</f>
        <v>51.4821716464836</v>
      </c>
    </row>
    <row r="16" customFormat="false" ht="15" hidden="false" customHeight="false" outlineLevel="0" collapsed="false">
      <c r="A16" s="26" t="n">
        <v>4100905</v>
      </c>
      <c r="B16" s="26" t="s">
        <v>77</v>
      </c>
      <c r="C16" s="26" t="s">
        <v>71</v>
      </c>
      <c r="D16" s="28" t="n">
        <v>0.382636655948553</v>
      </c>
      <c r="E16" s="29" t="n">
        <v>1.10790273556231</v>
      </c>
      <c r="F16" s="28" t="n">
        <v>0</v>
      </c>
      <c r="G16" s="30" t="n">
        <v>41.1947876121171</v>
      </c>
      <c r="H16" s="30" t="n">
        <v>75.2329056526431</v>
      </c>
      <c r="I16" s="30" t="n">
        <v>100</v>
      </c>
      <c r="J16" s="34" t="n">
        <f aca="false">(2*G16+H16+I16)/4</f>
        <v>64.4056202192193</v>
      </c>
      <c r="K16" s="35" t="n">
        <f aca="false">(J16-MIN(J$6:J$404))/(MAX(J$6:J$404)-MIN(J$6:J$404))*100</f>
        <v>61.6685663647413</v>
      </c>
    </row>
    <row r="17" customFormat="false" ht="15" hidden="false" customHeight="false" outlineLevel="0" collapsed="false">
      <c r="A17" s="26" t="n">
        <v>4101002</v>
      </c>
      <c r="B17" s="26" t="s">
        <v>78</v>
      </c>
      <c r="C17" s="26" t="s">
        <v>65</v>
      </c>
      <c r="D17" s="28" t="n">
        <v>0.258595988538682</v>
      </c>
      <c r="E17" s="29" t="n">
        <v>1.14901960784314</v>
      </c>
      <c r="F17" s="28" t="n">
        <v>0.333333333333333</v>
      </c>
      <c r="G17" s="30" t="n">
        <v>60.2578796561605</v>
      </c>
      <c r="H17" s="30" t="n">
        <v>72.4358648767174</v>
      </c>
      <c r="I17" s="30" t="n">
        <v>66.6666666666667</v>
      </c>
      <c r="J17" s="34" t="n">
        <f aca="false">(2*G17+H17+I17)/4</f>
        <v>64.9045727139262</v>
      </c>
      <c r="K17" s="35" t="n">
        <f aca="false">(J17-MIN(J$6:J$404))/(MAX(J$6:J$404)-MIN(J$6:J$404))*100</f>
        <v>62.5092685072356</v>
      </c>
    </row>
    <row r="18" customFormat="false" ht="15" hidden="false" customHeight="false" outlineLevel="0" collapsed="false">
      <c r="A18" s="26" t="n">
        <v>4101051</v>
      </c>
      <c r="B18" s="26" t="s">
        <v>79</v>
      </c>
      <c r="C18" s="26" t="s">
        <v>71</v>
      </c>
      <c r="D18" s="28" t="n">
        <v>0.541666666666667</v>
      </c>
      <c r="E18" s="29" t="n">
        <v>1.03825136612022</v>
      </c>
      <c r="F18" s="28" t="n">
        <v>0</v>
      </c>
      <c r="G18" s="30" t="n">
        <v>16.7543859649123</v>
      </c>
      <c r="H18" s="30" t="n">
        <v>79.9710510810698</v>
      </c>
      <c r="I18" s="30" t="n">
        <v>100</v>
      </c>
      <c r="J18" s="34" t="n">
        <f aca="false">(2*G18+H18+I18)/4</f>
        <v>53.3699557527236</v>
      </c>
      <c r="K18" s="35" t="n">
        <f aca="false">(J18-MIN(J$6:J$404))/(MAX(J$6:J$404)-MIN(J$6:J$404))*100</f>
        <v>43.0741974433442</v>
      </c>
    </row>
    <row r="19" customFormat="false" ht="15" hidden="false" customHeight="false" outlineLevel="0" collapsed="false">
      <c r="A19" s="26" t="n">
        <v>4101101</v>
      </c>
      <c r="B19" s="26" t="s">
        <v>80</v>
      </c>
      <c r="C19" s="26" t="s">
        <v>65</v>
      </c>
      <c r="D19" s="28" t="n">
        <v>0.405228758169935</v>
      </c>
      <c r="E19" s="29" t="n">
        <v>1.10442105263158</v>
      </c>
      <c r="F19" s="28" t="n">
        <v>0.25</v>
      </c>
      <c r="G19" s="30" t="n">
        <v>37.7227382180943</v>
      </c>
      <c r="H19" s="30" t="n">
        <v>75.469752683701</v>
      </c>
      <c r="I19" s="30" t="n">
        <v>75</v>
      </c>
      <c r="J19" s="34" t="n">
        <f aca="false">(2*G19+H19+I19)/4</f>
        <v>56.4788072799724</v>
      </c>
      <c r="K19" s="35" t="n">
        <f aca="false">(J19-MIN(J$6:J$404))/(MAX(J$6:J$404)-MIN(J$6:J$404))*100</f>
        <v>48.3124078288643</v>
      </c>
    </row>
    <row r="20" customFormat="false" ht="15" hidden="false" customHeight="false" outlineLevel="0" collapsed="false">
      <c r="A20" s="26" t="n">
        <v>4101200</v>
      </c>
      <c r="B20" s="26" t="s">
        <v>81</v>
      </c>
      <c r="C20" s="26" t="s">
        <v>65</v>
      </c>
      <c r="D20" s="28" t="n">
        <v>0.0666049953746531</v>
      </c>
      <c r="E20" s="29" t="n">
        <v>1.10380348652932</v>
      </c>
      <c r="F20" s="28" t="n">
        <v>0.75</v>
      </c>
      <c r="G20" s="30" t="n">
        <v>89.7638638687375</v>
      </c>
      <c r="H20" s="30" t="n">
        <v>75.5117636021886</v>
      </c>
      <c r="I20" s="30" t="n">
        <v>25</v>
      </c>
      <c r="J20" s="34" t="n">
        <f aca="false">(2*G20+H20+I20)/4</f>
        <v>70.0098728349159</v>
      </c>
      <c r="K20" s="35" t="n">
        <f aca="false">(J20-MIN(J$6:J$404))/(MAX(J$6:J$404)-MIN(J$6:J$404))*100</f>
        <v>71.1113634868665</v>
      </c>
    </row>
    <row r="21" customFormat="false" ht="15" hidden="false" customHeight="false" outlineLevel="0" collapsed="false">
      <c r="A21" s="26" t="n">
        <v>4101309</v>
      </c>
      <c r="B21" s="26" t="s">
        <v>82</v>
      </c>
      <c r="C21" s="26" t="s">
        <v>65</v>
      </c>
      <c r="D21" s="28" t="n">
        <v>0.130769230769231</v>
      </c>
      <c r="E21" s="29" t="n">
        <v>1.16308040770102</v>
      </c>
      <c r="F21" s="28" t="n">
        <v>0</v>
      </c>
      <c r="G21" s="30" t="n">
        <v>79.9028340080972</v>
      </c>
      <c r="H21" s="30" t="n">
        <v>71.4793565539049</v>
      </c>
      <c r="I21" s="30" t="n">
        <v>100</v>
      </c>
      <c r="J21" s="34" t="n">
        <f aca="false">(2*G21+H21+I21)/4</f>
        <v>82.8212561425248</v>
      </c>
      <c r="K21" s="35" t="n">
        <f aca="false">(J21-MIN(J$6:J$404))/(MAX(J$6:J$404)-MIN(J$6:J$404))*100</f>
        <v>92.6977018843723</v>
      </c>
    </row>
    <row r="22" customFormat="false" ht="15" hidden="false" customHeight="false" outlineLevel="0" collapsed="false">
      <c r="A22" s="26" t="n">
        <v>4101408</v>
      </c>
      <c r="B22" s="26" t="s">
        <v>83</v>
      </c>
      <c r="C22" s="26" t="s">
        <v>69</v>
      </c>
      <c r="D22" s="28" t="n">
        <v>0.353868194842407</v>
      </c>
      <c r="E22" s="29" t="n">
        <v>1.10723559962229</v>
      </c>
      <c r="F22" s="28" t="n">
        <v>0.414634146341463</v>
      </c>
      <c r="G22" s="30" t="n">
        <v>45.6160458452722</v>
      </c>
      <c r="H22" s="30" t="n">
        <v>75.2782886383574</v>
      </c>
      <c r="I22" s="30" t="n">
        <v>58.5365853658537</v>
      </c>
      <c r="J22" s="34" t="n">
        <f aca="false">(2*G22+H22+I22)/4</f>
        <v>56.2617414236889</v>
      </c>
      <c r="K22" s="35" t="n">
        <f aca="false">(J22-MIN(J$6:J$404))/(MAX(J$6:J$404)-MIN(J$6:J$404))*100</f>
        <v>47.9466661352646</v>
      </c>
    </row>
    <row r="23" customFormat="false" ht="15" hidden="false" customHeight="false" outlineLevel="0" collapsed="false">
      <c r="A23" s="26" t="n">
        <v>4101507</v>
      </c>
      <c r="B23" s="26" t="s">
        <v>84</v>
      </c>
      <c r="C23" s="26" t="s">
        <v>69</v>
      </c>
      <c r="D23" s="28" t="n">
        <v>0.275038199749965</v>
      </c>
      <c r="E23" s="29" t="n">
        <v>1.08726567550097</v>
      </c>
      <c r="F23" s="28" t="n">
        <v>0.549019607843137</v>
      </c>
      <c r="G23" s="30" t="n">
        <v>57.7309714068474</v>
      </c>
      <c r="H23" s="30" t="n">
        <v>76.6367745581512</v>
      </c>
      <c r="I23" s="30" t="n">
        <v>45.0980392156863</v>
      </c>
      <c r="J23" s="34" t="n">
        <f aca="false">(2*G23+H23+I23)/4</f>
        <v>59.2991891468831</v>
      </c>
      <c r="K23" s="35" t="n">
        <f aca="false">(J23-MIN(J$6:J$404))/(MAX(J$6:J$404)-MIN(J$6:J$404))*100</f>
        <v>53.0645658064626</v>
      </c>
    </row>
    <row r="24" customFormat="false" ht="15" hidden="false" customHeight="false" outlineLevel="0" collapsed="false">
      <c r="A24" s="26" t="n">
        <v>4101606</v>
      </c>
      <c r="B24" s="26" t="s">
        <v>85</v>
      </c>
      <c r="C24" s="26" t="s">
        <v>86</v>
      </c>
      <c r="D24" s="28" t="n">
        <v>0.177679067184897</v>
      </c>
      <c r="E24" s="29" t="n">
        <v>1.12710730532513</v>
      </c>
      <c r="F24" s="28" t="n">
        <v>0.6</v>
      </c>
      <c r="G24" s="30" t="n">
        <v>72.6935328326369</v>
      </c>
      <c r="H24" s="30" t="n">
        <v>73.9264841830374</v>
      </c>
      <c r="I24" s="30" t="n">
        <v>40</v>
      </c>
      <c r="J24" s="34" t="n">
        <f aca="false">(2*G24+H24+I24)/4</f>
        <v>64.8283874620778</v>
      </c>
      <c r="K24" s="35" t="n">
        <f aca="false">(J24-MIN(J$6:J$404))/(MAX(J$6:J$404)-MIN(J$6:J$404))*100</f>
        <v>62.3809013678086</v>
      </c>
    </row>
    <row r="25" customFormat="false" ht="15" hidden="false" customHeight="false" outlineLevel="0" collapsed="false">
      <c r="A25" s="26" t="n">
        <v>4101655</v>
      </c>
      <c r="B25" s="26" t="s">
        <v>87</v>
      </c>
      <c r="C25" s="26" t="s">
        <v>71</v>
      </c>
      <c r="D25" s="28" t="n">
        <v>0.395604395604396</v>
      </c>
      <c r="E25" s="29" t="n">
        <v>1.14087759815243</v>
      </c>
      <c r="F25" s="28" t="n">
        <v>0</v>
      </c>
      <c r="G25" s="30" t="n">
        <v>39.2018507807982</v>
      </c>
      <c r="H25" s="30" t="n">
        <v>72.9897380640396</v>
      </c>
      <c r="I25" s="30" t="n">
        <v>100</v>
      </c>
      <c r="J25" s="34" t="n">
        <f aca="false">(2*G25+H25+I25)/4</f>
        <v>62.848359906409</v>
      </c>
      <c r="K25" s="35" t="n">
        <f aca="false">(J25-MIN(J$6:J$404))/(MAX(J$6:J$404)-MIN(J$6:J$404))*100</f>
        <v>59.0446851430027</v>
      </c>
    </row>
    <row r="26" customFormat="false" ht="15" hidden="false" customHeight="false" outlineLevel="0" collapsed="false">
      <c r="A26" s="26" t="n">
        <v>4101705</v>
      </c>
      <c r="B26" s="26" t="s">
        <v>88</v>
      </c>
      <c r="C26" s="26" t="s">
        <v>65</v>
      </c>
      <c r="D26" s="28" t="n">
        <v>0.269876819708847</v>
      </c>
      <c r="E26" s="29" t="n">
        <v>1.05582655826558</v>
      </c>
      <c r="F26" s="28" t="n">
        <v>0.2</v>
      </c>
      <c r="G26" s="30" t="n">
        <v>58.5241940236931</v>
      </c>
      <c r="H26" s="30" t="n">
        <v>78.7754706210688</v>
      </c>
      <c r="I26" s="30" t="n">
        <v>80</v>
      </c>
      <c r="J26" s="34" t="n">
        <f aca="false">(2*G26+H26+I26)/4</f>
        <v>68.9559646671137</v>
      </c>
      <c r="K26" s="35" t="n">
        <f aca="false">(J26-MIN(J$6:J$404))/(MAX(J$6:J$404)-MIN(J$6:J$404))*100</f>
        <v>69.3355975290592</v>
      </c>
    </row>
    <row r="27" customFormat="false" ht="15" hidden="false" customHeight="false" outlineLevel="0" collapsed="false">
      <c r="A27" s="26" t="n">
        <v>4101804</v>
      </c>
      <c r="B27" s="26" t="s">
        <v>89</v>
      </c>
      <c r="C27" s="26" t="s">
        <v>69</v>
      </c>
      <c r="D27" s="28" t="n">
        <v>0.39424317617866</v>
      </c>
      <c r="E27" s="29" t="n">
        <v>1.14132186996239</v>
      </c>
      <c r="F27" s="28" t="n">
        <v>0.244897959183673</v>
      </c>
      <c r="G27" s="30" t="n">
        <v>39.4110487135954</v>
      </c>
      <c r="H27" s="30" t="n">
        <v>72.9595157660115</v>
      </c>
      <c r="I27" s="30" t="n">
        <v>75.5102040816327</v>
      </c>
      <c r="J27" s="34" t="n">
        <f aca="false">(2*G27+H27+I27)/4</f>
        <v>56.8229543187088</v>
      </c>
      <c r="K27" s="35" t="n">
        <f aca="false">(J27-MIN(J$6:J$404))/(MAX(J$6:J$404)-MIN(J$6:J$404))*100</f>
        <v>48.892272958046</v>
      </c>
    </row>
    <row r="28" customFormat="false" ht="15" hidden="false" customHeight="false" outlineLevel="0" collapsed="false">
      <c r="A28" s="26" t="n">
        <v>4101853</v>
      </c>
      <c r="B28" s="26" t="s">
        <v>90</v>
      </c>
      <c r="C28" s="26" t="s">
        <v>71</v>
      </c>
      <c r="D28" s="28" t="n">
        <v>0.433628318584071</v>
      </c>
      <c r="E28" s="29" t="n">
        <v>1.16271186440678</v>
      </c>
      <c r="F28" s="28" t="n">
        <v>0.5</v>
      </c>
      <c r="G28" s="30" t="n">
        <v>33.3581741965533</v>
      </c>
      <c r="H28" s="30" t="n">
        <v>71.5044272989422</v>
      </c>
      <c r="I28" s="30" t="n">
        <v>50</v>
      </c>
      <c r="J28" s="34" t="n">
        <f aca="false">(2*G28+H28+I28)/4</f>
        <v>47.0551939230122</v>
      </c>
      <c r="K28" s="35" t="n">
        <f aca="false">(J28-MIN(J$6:J$404))/(MAX(J$6:J$404)-MIN(J$6:J$404))*100</f>
        <v>32.4342390186483</v>
      </c>
    </row>
    <row r="29" customFormat="false" ht="15" hidden="false" customHeight="false" outlineLevel="0" collapsed="false">
      <c r="A29" s="26" t="n">
        <v>4101903</v>
      </c>
      <c r="B29" s="26" t="s">
        <v>91</v>
      </c>
      <c r="C29" s="26" t="s">
        <v>65</v>
      </c>
      <c r="D29" s="28" t="n">
        <v>0.404379562043796</v>
      </c>
      <c r="E29" s="29" t="n">
        <v>1.18632478632479</v>
      </c>
      <c r="F29" s="28" t="n">
        <v>0.333333333333333</v>
      </c>
      <c r="G29" s="30" t="n">
        <v>37.853246254322</v>
      </c>
      <c r="H29" s="30" t="n">
        <v>69.8981206472027</v>
      </c>
      <c r="I29" s="30" t="n">
        <v>66.6666666666667</v>
      </c>
      <c r="J29" s="34" t="n">
        <f aca="false">(2*G29+H29+I29)/4</f>
        <v>53.0678199556283</v>
      </c>
      <c r="K29" s="35" t="n">
        <f aca="false">(J29-MIN(J$6:J$404))/(MAX(J$6:J$404)-MIN(J$6:J$404))*100</f>
        <v>42.565118493671</v>
      </c>
    </row>
    <row r="30" customFormat="false" ht="15" hidden="false" customHeight="false" outlineLevel="0" collapsed="false">
      <c r="A30" s="26" t="n">
        <v>4102000</v>
      </c>
      <c r="B30" s="26" t="s">
        <v>92</v>
      </c>
      <c r="C30" s="26" t="s">
        <v>86</v>
      </c>
      <c r="D30" s="28" t="n">
        <v>0.369118318867063</v>
      </c>
      <c r="E30" s="29" t="n">
        <v>1.11721201255043</v>
      </c>
      <c r="F30" s="28" t="n">
        <v>0.444444444444444</v>
      </c>
      <c r="G30" s="30" t="n">
        <v>43.2723425741146</v>
      </c>
      <c r="H30" s="30" t="n">
        <v>74.599627246827</v>
      </c>
      <c r="I30" s="30" t="n">
        <v>55.5555555555556</v>
      </c>
      <c r="J30" s="34" t="n">
        <f aca="false">(2*G30+H30+I30)/4</f>
        <v>54.1749669876529</v>
      </c>
      <c r="K30" s="35" t="n">
        <f aca="false">(J30-MIN(J$6:J$404))/(MAX(J$6:J$404)-MIN(J$6:J$404))*100</f>
        <v>44.4305884367086</v>
      </c>
    </row>
    <row r="31" customFormat="false" ht="15" hidden="false" customHeight="false" outlineLevel="0" collapsed="false">
      <c r="A31" s="26" t="n">
        <v>4102109</v>
      </c>
      <c r="B31" s="26" t="s">
        <v>93</v>
      </c>
      <c r="C31" s="26" t="s">
        <v>86</v>
      </c>
      <c r="D31" s="28" t="n">
        <v>0.375984251968504</v>
      </c>
      <c r="E31" s="29" t="n">
        <v>1.08970727101039</v>
      </c>
      <c r="F31" s="28" t="n">
        <v>0.3</v>
      </c>
      <c r="G31" s="30" t="n">
        <v>42.2171570658931</v>
      </c>
      <c r="H31" s="30" t="n">
        <v>76.4706811317953</v>
      </c>
      <c r="I31" s="30" t="n">
        <v>70</v>
      </c>
      <c r="J31" s="34" t="n">
        <f aca="false">(2*G31+H31+I31)/4</f>
        <v>57.7262488158954</v>
      </c>
      <c r="K31" s="35" t="n">
        <f aca="false">(J31-MIN(J$6:J$404))/(MAX(J$6:J$404)-MIN(J$6:J$404))*100</f>
        <v>50.4142647852123</v>
      </c>
    </row>
    <row r="32" customFormat="false" ht="15" hidden="false" customHeight="false" outlineLevel="0" collapsed="false">
      <c r="A32" s="26" t="n">
        <v>4102208</v>
      </c>
      <c r="B32" s="26" t="s">
        <v>94</v>
      </c>
      <c r="C32" s="26" t="s">
        <v>71</v>
      </c>
      <c r="D32" s="28" t="n">
        <v>0.610526315789474</v>
      </c>
      <c r="E32" s="29" t="n">
        <v>1.20190023752969</v>
      </c>
      <c r="F32" s="28" t="n">
        <v>0</v>
      </c>
      <c r="G32" s="30" t="n">
        <v>6.17174515235458</v>
      </c>
      <c r="H32" s="30" t="n">
        <v>68.8385757522016</v>
      </c>
      <c r="I32" s="30" t="n">
        <v>100</v>
      </c>
      <c r="J32" s="34" t="n">
        <f aca="false">(2*G32+H32+I32)/4</f>
        <v>45.2955165142277</v>
      </c>
      <c r="K32" s="35" t="n">
        <f aca="false">(J32-MIN(J$6:J$404))/(MAX(J$6:J$404)-MIN(J$6:J$404))*100</f>
        <v>29.4692983011296</v>
      </c>
    </row>
    <row r="33" customFormat="false" ht="15" hidden="false" customHeight="false" outlineLevel="0" collapsed="false">
      <c r="A33" s="26" t="n">
        <v>4101150</v>
      </c>
      <c r="B33" s="26" t="s">
        <v>95</v>
      </c>
      <c r="C33" s="26" t="s">
        <v>71</v>
      </c>
      <c r="D33" s="28" t="n">
        <v>0.608490566037736</v>
      </c>
      <c r="E33" s="29" t="n">
        <v>1.140589569161</v>
      </c>
      <c r="F33" s="28" t="n">
        <v>0</v>
      </c>
      <c r="G33" s="30" t="n">
        <v>6.48460774577955</v>
      </c>
      <c r="H33" s="30" t="n">
        <v>73.0093316952908</v>
      </c>
      <c r="I33" s="30" t="n">
        <v>100</v>
      </c>
      <c r="J33" s="34" t="n">
        <f aca="false">(2*G33+H33+I33)/4</f>
        <v>46.4946367967125</v>
      </c>
      <c r="K33" s="35" t="n">
        <f aca="false">(J33-MIN(J$6:J$404))/(MAX(J$6:J$404)-MIN(J$6:J$404))*100</f>
        <v>31.489737123037</v>
      </c>
    </row>
    <row r="34" customFormat="false" ht="15" hidden="false" customHeight="false" outlineLevel="0" collapsed="false">
      <c r="A34" s="26" t="n">
        <v>4102307</v>
      </c>
      <c r="B34" s="26" t="s">
        <v>96</v>
      </c>
      <c r="C34" s="26" t="s">
        <v>65</v>
      </c>
      <c r="D34" s="28" t="n">
        <v>0.292067307692308</v>
      </c>
      <c r="E34" s="29" t="n">
        <v>1.20898641588297</v>
      </c>
      <c r="F34" s="28" t="n">
        <v>0.166666666666667</v>
      </c>
      <c r="G34" s="30" t="n">
        <v>55.1138663967611</v>
      </c>
      <c r="H34" s="30" t="n">
        <v>68.3565271745709</v>
      </c>
      <c r="I34" s="30" t="n">
        <v>83.3333333333333</v>
      </c>
      <c r="J34" s="34" t="n">
        <f aca="false">(2*G34+H34+I34)/4</f>
        <v>65.4793983253566</v>
      </c>
      <c r="K34" s="35" t="n">
        <f aca="false">(J34-MIN(J$6:J$404))/(MAX(J$6:J$404)-MIN(J$6:J$404))*100</f>
        <v>63.4778118619973</v>
      </c>
    </row>
    <row r="35" customFormat="false" ht="15" hidden="false" customHeight="false" outlineLevel="0" collapsed="false">
      <c r="A35" s="26" t="n">
        <v>4102406</v>
      </c>
      <c r="B35" s="26" t="s">
        <v>97</v>
      </c>
      <c r="C35" s="26" t="s">
        <v>86</v>
      </c>
      <c r="D35" s="28" t="n">
        <v>0.344091903719913</v>
      </c>
      <c r="E35" s="29" t="n">
        <v>1.14763014763015</v>
      </c>
      <c r="F35" s="28" t="n">
        <v>0.384615384615385</v>
      </c>
      <c r="G35" s="30" t="n">
        <v>47.1185074283082</v>
      </c>
      <c r="H35" s="30" t="n">
        <v>72.5303851224626</v>
      </c>
      <c r="I35" s="30" t="n">
        <v>61.5384615384615</v>
      </c>
      <c r="J35" s="34" t="n">
        <f aca="false">(2*G35+H35+I35)/4</f>
        <v>57.0764653793851</v>
      </c>
      <c r="K35" s="35" t="n">
        <f aca="false">(J35-MIN(J$6:J$404))/(MAX(J$6:J$404)-MIN(J$6:J$404))*100</f>
        <v>49.3194224244132</v>
      </c>
    </row>
    <row r="36" customFormat="false" ht="15" hidden="false" customHeight="false" outlineLevel="0" collapsed="false">
      <c r="A36" s="26" t="n">
        <v>4102505</v>
      </c>
      <c r="B36" s="26" t="s">
        <v>98</v>
      </c>
      <c r="C36" s="26" t="s">
        <v>65</v>
      </c>
      <c r="D36" s="28" t="n">
        <v>0.246575342465753</v>
      </c>
      <c r="E36" s="29" t="n">
        <v>1.07849293563579</v>
      </c>
      <c r="F36" s="28" t="n">
        <v>0.333333333333333</v>
      </c>
      <c r="G36" s="30" t="n">
        <v>62.1052631578947</v>
      </c>
      <c r="H36" s="30" t="n">
        <v>77.2335541709558</v>
      </c>
      <c r="I36" s="30" t="n">
        <v>66.6666666666667</v>
      </c>
      <c r="J36" s="34" t="n">
        <f aca="false">(2*G36+H36+I36)/4</f>
        <v>67.027686788353</v>
      </c>
      <c r="K36" s="35" t="n">
        <f aca="false">(J36-MIN(J$6:J$404))/(MAX(J$6:J$404)-MIN(J$6:J$404))*100</f>
        <v>66.0865761067876</v>
      </c>
    </row>
    <row r="37" customFormat="false" ht="15" hidden="false" customHeight="false" outlineLevel="0" collapsed="false">
      <c r="A37" s="26" t="n">
        <v>4102703</v>
      </c>
      <c r="B37" s="26" t="s">
        <v>99</v>
      </c>
      <c r="C37" s="26" t="s">
        <v>71</v>
      </c>
      <c r="D37" s="28" t="n">
        <v>0.487341772151899</v>
      </c>
      <c r="E37" s="29" t="n">
        <v>1.08150470219436</v>
      </c>
      <c r="F37" s="28" t="n">
        <v>0</v>
      </c>
      <c r="G37" s="30" t="n">
        <v>25.1032644903398</v>
      </c>
      <c r="H37" s="30" t="n">
        <v>77.0286739501467</v>
      </c>
      <c r="I37" s="30" t="n">
        <v>100</v>
      </c>
      <c r="J37" s="34" t="n">
        <f aca="false">(2*G37+H37+I37)/4</f>
        <v>56.8088007327066</v>
      </c>
      <c r="K37" s="35" t="n">
        <f aca="false">(J37-MIN(J$6:J$404))/(MAX(J$6:J$404)-MIN(J$6:J$404))*100</f>
        <v>48.8684250963713</v>
      </c>
    </row>
    <row r="38" customFormat="false" ht="15" hidden="false" customHeight="false" outlineLevel="0" collapsed="false">
      <c r="A38" s="26" t="n">
        <v>4102604</v>
      </c>
      <c r="B38" s="26" t="s">
        <v>100</v>
      </c>
      <c r="C38" s="26" t="s">
        <v>65</v>
      </c>
      <c r="D38" s="28" t="n">
        <v>0.302325581395349</v>
      </c>
      <c r="E38" s="29" t="n">
        <v>1.27507374631268</v>
      </c>
      <c r="F38" s="28" t="n">
        <v>0.333333333333333</v>
      </c>
      <c r="G38" s="30" t="n">
        <v>53.5373317013464</v>
      </c>
      <c r="H38" s="30" t="n">
        <v>63.860831180929</v>
      </c>
      <c r="I38" s="30" t="n">
        <v>66.6666666666667</v>
      </c>
      <c r="J38" s="34" t="n">
        <f aca="false">(2*G38+H38+I38)/4</f>
        <v>59.4005403125721</v>
      </c>
      <c r="K38" s="35" t="n">
        <f aca="false">(J38-MIN(J$6:J$404))/(MAX(J$6:J$404)-MIN(J$6:J$404))*100</f>
        <v>53.2353358558019</v>
      </c>
    </row>
    <row r="39" customFormat="false" ht="15" hidden="false" customHeight="false" outlineLevel="0" collapsed="false">
      <c r="A39" s="26" t="n">
        <v>4102752</v>
      </c>
      <c r="B39" s="26" t="s">
        <v>101</v>
      </c>
      <c r="C39" s="26" t="s">
        <v>71</v>
      </c>
      <c r="D39" s="28" t="n">
        <v>0.259574468085106</v>
      </c>
      <c r="E39" s="29" t="n">
        <v>0.841392649903288</v>
      </c>
      <c r="F39" s="28" t="n">
        <v>0.5</v>
      </c>
      <c r="G39" s="30" t="n">
        <v>60.1075027995521</v>
      </c>
      <c r="H39" s="30" t="n">
        <v>93.3626790384305</v>
      </c>
      <c r="I39" s="30" t="n">
        <v>50</v>
      </c>
      <c r="J39" s="34" t="n">
        <f aca="false">(2*G39+H39+I39)/4</f>
        <v>65.8944211593837</v>
      </c>
      <c r="K39" s="35" t="n">
        <f aca="false">(J39-MIN(J$6:J$404))/(MAX(J$6:J$404)-MIN(J$6:J$404))*100</f>
        <v>64.1770980454556</v>
      </c>
    </row>
    <row r="40" customFormat="false" ht="15" hidden="false" customHeight="false" outlineLevel="0" collapsed="false">
      <c r="A40" s="26" t="n">
        <v>4102802</v>
      </c>
      <c r="B40" s="26" t="s">
        <v>102</v>
      </c>
      <c r="C40" s="26" t="s">
        <v>65</v>
      </c>
      <c r="D40" s="28" t="n">
        <v>0.0758459743290548</v>
      </c>
      <c r="E40" s="29" t="n">
        <v>1.23630326508024</v>
      </c>
      <c r="F40" s="28" t="n">
        <v>0.833333333333333</v>
      </c>
      <c r="G40" s="30" t="n">
        <v>88.34367131364</v>
      </c>
      <c r="H40" s="30" t="n">
        <v>66.4982549657136</v>
      </c>
      <c r="I40" s="30" t="n">
        <v>16.6666666666667</v>
      </c>
      <c r="J40" s="34" t="n">
        <f aca="false">(2*G40+H40+I40)/4</f>
        <v>64.9630660649151</v>
      </c>
      <c r="K40" s="35" t="n">
        <f aca="false">(J40-MIN(J$6:J$404))/(MAX(J$6:J$404)-MIN(J$6:J$404))*100</f>
        <v>62.6078259571324</v>
      </c>
    </row>
    <row r="41" customFormat="false" ht="15" hidden="false" customHeight="false" outlineLevel="0" collapsed="false">
      <c r="A41" s="26" t="n">
        <v>4102901</v>
      </c>
      <c r="B41" s="26" t="s">
        <v>103</v>
      </c>
      <c r="C41" s="26" t="s">
        <v>65</v>
      </c>
      <c r="D41" s="28" t="n">
        <v>0.219633943427621</v>
      </c>
      <c r="E41" s="29" t="n">
        <v>1.18973214285714</v>
      </c>
      <c r="F41" s="28" t="n">
        <v>0.333333333333333</v>
      </c>
      <c r="G41" s="30" t="n">
        <v>66.2457307995446</v>
      </c>
      <c r="H41" s="30" t="n">
        <v>69.6663297878682</v>
      </c>
      <c r="I41" s="30" t="n">
        <v>66.6666666666667</v>
      </c>
      <c r="J41" s="34" t="n">
        <f aca="false">(2*G41+H41+I41)/4</f>
        <v>67.206114513406</v>
      </c>
      <c r="K41" s="35" t="n">
        <f aca="false">(J41-MIN(J$6:J$404))/(MAX(J$6:J$404)-MIN(J$6:J$404))*100</f>
        <v>66.3872150901052</v>
      </c>
    </row>
    <row r="42" customFormat="false" ht="15" hidden="false" customHeight="false" outlineLevel="0" collapsed="false">
      <c r="A42" s="26" t="n">
        <v>4103008</v>
      </c>
      <c r="B42" s="26" t="s">
        <v>104</v>
      </c>
      <c r="C42" s="26" t="s">
        <v>71</v>
      </c>
      <c r="D42" s="28" t="n">
        <v>0.471910112359551</v>
      </c>
      <c r="E42" s="29" t="n">
        <v>1.16037735849057</v>
      </c>
      <c r="F42" s="28" t="n">
        <v>0.25</v>
      </c>
      <c r="G42" s="30" t="n">
        <v>27.4748669426375</v>
      </c>
      <c r="H42" s="30" t="n">
        <v>71.6632357850228</v>
      </c>
      <c r="I42" s="30" t="n">
        <v>75</v>
      </c>
      <c r="J42" s="34" t="n">
        <f aca="false">(2*G42+H42+I42)/4</f>
        <v>50.4032424175745</v>
      </c>
      <c r="K42" s="35" t="n">
        <f aca="false">(J42-MIN(J$6:J$404))/(MAX(J$6:J$404)-MIN(J$6:J$404))*100</f>
        <v>38.0754805645129</v>
      </c>
    </row>
    <row r="43" customFormat="false" ht="15" hidden="false" customHeight="false" outlineLevel="0" collapsed="false">
      <c r="A43" s="26" t="n">
        <v>4103024</v>
      </c>
      <c r="B43" s="26" t="s">
        <v>105</v>
      </c>
      <c r="C43" s="26" t="s">
        <v>71</v>
      </c>
      <c r="D43" s="28" t="n">
        <v>0.597122302158273</v>
      </c>
      <c r="E43" s="29" t="n">
        <v>1.04411764705882</v>
      </c>
      <c r="F43" s="28" t="n">
        <v>0</v>
      </c>
      <c r="G43" s="30" t="n">
        <v>8.23173040514958</v>
      </c>
      <c r="H43" s="30" t="n">
        <v>79.5719879695508</v>
      </c>
      <c r="I43" s="30" t="n">
        <v>100</v>
      </c>
      <c r="J43" s="34" t="n">
        <f aca="false">(2*G43+H43+I43)/4</f>
        <v>49.0088621949625</v>
      </c>
      <c r="K43" s="35" t="n">
        <f aca="false">(J43-MIN(J$6:J$404))/(MAX(J$6:J$404)-MIN(J$6:J$404))*100</f>
        <v>35.7260415837735</v>
      </c>
    </row>
    <row r="44" customFormat="false" ht="15" hidden="false" customHeight="false" outlineLevel="0" collapsed="false">
      <c r="A44" s="26" t="n">
        <v>4103040</v>
      </c>
      <c r="B44" s="26" t="s">
        <v>106</v>
      </c>
      <c r="C44" s="26" t="s">
        <v>65</v>
      </c>
      <c r="D44" s="28" t="n">
        <v>0.263513513513514</v>
      </c>
      <c r="E44" s="29" t="n">
        <v>1.08656036446469</v>
      </c>
      <c r="F44" s="28" t="n">
        <v>0</v>
      </c>
      <c r="G44" s="30" t="n">
        <v>59.50213371266</v>
      </c>
      <c r="H44" s="30" t="n">
        <v>76.6847544656379</v>
      </c>
      <c r="I44" s="30" t="n">
        <v>100</v>
      </c>
      <c r="J44" s="34" t="n">
        <f aca="false">(2*G44+H44+I44)/4</f>
        <v>73.9222554727395</v>
      </c>
      <c r="K44" s="35" t="n">
        <f aca="false">(J44-MIN(J$6:J$404))/(MAX(J$6:J$404)-MIN(J$6:J$404))*100</f>
        <v>77.7034709535464</v>
      </c>
    </row>
    <row r="45" customFormat="false" ht="15" hidden="false" customHeight="false" outlineLevel="0" collapsed="false">
      <c r="A45" s="26" t="n">
        <v>4103057</v>
      </c>
      <c r="B45" s="26" t="s">
        <v>107</v>
      </c>
      <c r="C45" s="26" t="s">
        <v>65</v>
      </c>
      <c r="D45" s="28" t="n">
        <v>0.358381502890173</v>
      </c>
      <c r="E45" s="29" t="n">
        <v>1.16353887399464</v>
      </c>
      <c r="F45" s="28" t="n">
        <v>0.25</v>
      </c>
      <c r="G45" s="30" t="n">
        <v>44.9224216610892</v>
      </c>
      <c r="H45" s="30" t="n">
        <v>71.4481686535004</v>
      </c>
      <c r="I45" s="30" t="n">
        <v>75</v>
      </c>
      <c r="J45" s="34" t="n">
        <f aca="false">(2*G45+H45+I45)/4</f>
        <v>59.0732529939197</v>
      </c>
      <c r="K45" s="35" t="n">
        <f aca="false">(J45-MIN(J$6:J$404))/(MAX(J$6:J$404)-MIN(J$6:J$404))*100</f>
        <v>52.6838782462674</v>
      </c>
    </row>
    <row r="46" customFormat="false" ht="15" hidden="false" customHeight="false" outlineLevel="0" collapsed="false">
      <c r="A46" s="26" t="n">
        <v>4103107</v>
      </c>
      <c r="B46" s="26" t="s">
        <v>108</v>
      </c>
      <c r="C46" s="26" t="s">
        <v>65</v>
      </c>
      <c r="D46" s="28" t="n">
        <v>0.17208814270724</v>
      </c>
      <c r="E46" s="29" t="n">
        <v>1.17064676616915</v>
      </c>
      <c r="F46" s="28" t="n">
        <v>0.333333333333333</v>
      </c>
      <c r="G46" s="30" t="n">
        <v>73.5527696470978</v>
      </c>
      <c r="H46" s="30" t="n">
        <v>70.9646429585687</v>
      </c>
      <c r="I46" s="30" t="n">
        <v>66.6666666666667</v>
      </c>
      <c r="J46" s="34" t="n">
        <f aca="false">(2*G46+H46+I46)/4</f>
        <v>71.1842122298578</v>
      </c>
      <c r="K46" s="35" t="n">
        <f aca="false">(J46-MIN(J$6:J$404))/(MAX(J$6:J$404)-MIN(J$6:J$404))*100</f>
        <v>73.0900481428538</v>
      </c>
    </row>
    <row r="47" customFormat="false" ht="15" hidden="false" customHeight="false" outlineLevel="0" collapsed="false">
      <c r="A47" s="26" t="n">
        <v>4103156</v>
      </c>
      <c r="B47" s="26" t="s">
        <v>109</v>
      </c>
      <c r="C47" s="26" t="s">
        <v>71</v>
      </c>
      <c r="D47" s="28" t="n">
        <v>0.560311284046693</v>
      </c>
      <c r="E47" s="29" t="n">
        <v>1.13369963369963</v>
      </c>
      <c r="F47" s="28" t="n">
        <v>0.5</v>
      </c>
      <c r="G47" s="30" t="n">
        <v>13.8890026622978</v>
      </c>
      <c r="H47" s="30" t="n">
        <v>73.4780305373941</v>
      </c>
      <c r="I47" s="30" t="n">
        <v>50</v>
      </c>
      <c r="J47" s="34" t="n">
        <f aca="false">(2*G47+H47+I47)/4</f>
        <v>37.8140089654974</v>
      </c>
      <c r="K47" s="35" t="n">
        <f aca="false">(J47-MIN(J$6:J$404))/(MAX(J$6:J$404)-MIN(J$6:J$404))*100</f>
        <v>16.8634500650168</v>
      </c>
    </row>
    <row r="48" customFormat="false" ht="15" hidden="false" customHeight="false" outlineLevel="0" collapsed="false">
      <c r="A48" s="26" t="n">
        <v>4103206</v>
      </c>
      <c r="B48" s="26" t="s">
        <v>110</v>
      </c>
      <c r="C48" s="26" t="s">
        <v>65</v>
      </c>
      <c r="D48" s="28" t="n">
        <v>0.373873873873874</v>
      </c>
      <c r="E48" s="29" t="n">
        <v>1.02449414270501</v>
      </c>
      <c r="F48" s="28" t="n">
        <v>0.5</v>
      </c>
      <c r="G48" s="30" t="n">
        <v>42.5414888572783</v>
      </c>
      <c r="H48" s="30" t="n">
        <v>80.9069081324782</v>
      </c>
      <c r="I48" s="30" t="n">
        <v>50</v>
      </c>
      <c r="J48" s="34" t="n">
        <f aca="false">(2*G48+H48+I48)/4</f>
        <v>53.9974714617587</v>
      </c>
      <c r="K48" s="35" t="n">
        <f aca="false">(J48-MIN(J$6:J$404))/(MAX(J$6:J$404)-MIN(J$6:J$404))*100</f>
        <v>44.1315201476722</v>
      </c>
    </row>
    <row r="49" customFormat="false" ht="15" hidden="false" customHeight="false" outlineLevel="0" collapsed="false">
      <c r="A49" s="26" t="n">
        <v>4103222</v>
      </c>
      <c r="B49" s="26" t="s">
        <v>111</v>
      </c>
      <c r="C49" s="26" t="s">
        <v>71</v>
      </c>
      <c r="D49" s="28" t="n">
        <v>0.44390243902439</v>
      </c>
      <c r="E49" s="29" t="n">
        <v>1.20631067961165</v>
      </c>
      <c r="F49" s="28" t="n">
        <v>0.5</v>
      </c>
      <c r="G49" s="30" t="n">
        <v>31.7792041078306</v>
      </c>
      <c r="H49" s="30" t="n">
        <v>68.5385483994681</v>
      </c>
      <c r="I49" s="30" t="n">
        <v>50</v>
      </c>
      <c r="J49" s="34" t="n">
        <f aca="false">(2*G49+H49+I49)/4</f>
        <v>45.5242391537823</v>
      </c>
      <c r="K49" s="35" t="n">
        <f aca="false">(J49-MIN(J$6:J$404))/(MAX(J$6:J$404)-MIN(J$6:J$404))*100</f>
        <v>29.8546809079917</v>
      </c>
    </row>
    <row r="50" customFormat="false" ht="15" hidden="false" customHeight="false" outlineLevel="0" collapsed="false">
      <c r="A50" s="26" t="n">
        <v>4103305</v>
      </c>
      <c r="B50" s="26" t="s">
        <v>112</v>
      </c>
      <c r="C50" s="26" t="s">
        <v>65</v>
      </c>
      <c r="D50" s="28" t="n">
        <v>0.362162162162162</v>
      </c>
      <c r="E50" s="29" t="n">
        <v>1.03365906623236</v>
      </c>
      <c r="F50" s="28" t="n">
        <v>0.333333333333333</v>
      </c>
      <c r="G50" s="30" t="n">
        <v>44.3413940256046</v>
      </c>
      <c r="H50" s="30" t="n">
        <v>80.2834496009256</v>
      </c>
      <c r="I50" s="30" t="n">
        <v>66.6666666666667</v>
      </c>
      <c r="J50" s="34" t="n">
        <f aca="false">(2*G50+H50+I50)/4</f>
        <v>58.9082260797003</v>
      </c>
      <c r="K50" s="35" t="n">
        <f aca="false">(J50-MIN(J$6:J$404))/(MAX(J$6:J$404)-MIN(J$6:J$404))*100</f>
        <v>52.405818747968</v>
      </c>
    </row>
    <row r="51" customFormat="false" ht="15" hidden="false" customHeight="false" outlineLevel="0" collapsed="false">
      <c r="A51" s="26" t="n">
        <v>4103354</v>
      </c>
      <c r="B51" s="26" t="s">
        <v>113</v>
      </c>
      <c r="C51" s="26" t="s">
        <v>71</v>
      </c>
      <c r="D51" s="28" t="n">
        <v>0.519434628975265</v>
      </c>
      <c r="E51" s="29" t="n">
        <v>1.20689655172414</v>
      </c>
      <c r="F51" s="28" t="n">
        <v>0</v>
      </c>
      <c r="G51" s="30" t="n">
        <v>20.1710991259066</v>
      </c>
      <c r="H51" s="30" t="n">
        <v>68.4986935151541</v>
      </c>
      <c r="I51" s="30" t="n">
        <v>100</v>
      </c>
      <c r="J51" s="34" t="n">
        <f aca="false">(2*G51+H51+I51)/4</f>
        <v>52.2102229417418</v>
      </c>
      <c r="K51" s="35" t="n">
        <f aca="false">(J51-MIN(J$6:J$404))/(MAX(J$6:J$404)-MIN(J$6:J$404))*100</f>
        <v>41.1201239208016</v>
      </c>
    </row>
    <row r="52" customFormat="false" ht="15" hidden="false" customHeight="false" outlineLevel="0" collapsed="false">
      <c r="A52" s="26" t="n">
        <v>4103370</v>
      </c>
      <c r="B52" s="26" t="s">
        <v>114</v>
      </c>
      <c r="C52" s="26" t="s">
        <v>71</v>
      </c>
      <c r="D52" s="28" t="n">
        <v>0.394308943089431</v>
      </c>
      <c r="E52" s="29" t="n">
        <v>1.1468085106383</v>
      </c>
      <c r="F52" s="28" t="n">
        <v>0</v>
      </c>
      <c r="G52" s="30" t="n">
        <v>39.4009413778348</v>
      </c>
      <c r="H52" s="30" t="n">
        <v>72.5862782884971</v>
      </c>
      <c r="I52" s="30" t="n">
        <v>100</v>
      </c>
      <c r="J52" s="34" t="n">
        <f aca="false">(2*G52+H52+I52)/4</f>
        <v>62.8470402610417</v>
      </c>
      <c r="K52" s="35" t="n">
        <f aca="false">(J52-MIN(J$6:J$404))/(MAX(J$6:J$404)-MIN(J$6:J$404))*100</f>
        <v>59.0424616273386</v>
      </c>
    </row>
    <row r="53" customFormat="false" ht="15" hidden="false" customHeight="false" outlineLevel="0" collapsed="false">
      <c r="A53" s="26" t="n">
        <v>4103404</v>
      </c>
      <c r="B53" s="26" t="s">
        <v>115</v>
      </c>
      <c r="C53" s="26" t="s">
        <v>71</v>
      </c>
      <c r="D53" s="28" t="n">
        <v>0.369127516778524</v>
      </c>
      <c r="E53" s="29" t="n">
        <v>1.12621359223301</v>
      </c>
      <c r="F53" s="28" t="n">
        <v>0.5</v>
      </c>
      <c r="G53" s="30" t="n">
        <v>43.2709290003532</v>
      </c>
      <c r="H53" s="30" t="n">
        <v>73.9872804406797</v>
      </c>
      <c r="I53" s="30" t="n">
        <v>50</v>
      </c>
      <c r="J53" s="34" t="n">
        <f aca="false">(2*G53+H53+I53)/4</f>
        <v>52.6322846103465</v>
      </c>
      <c r="K53" s="35" t="n">
        <f aca="false">(J53-MIN(J$6:J$404))/(MAX(J$6:J$404)-MIN(J$6:J$404))*100</f>
        <v>41.83127007765</v>
      </c>
    </row>
    <row r="54" customFormat="false" ht="15" hidden="false" customHeight="false" outlineLevel="0" collapsed="false">
      <c r="A54" s="26" t="n">
        <v>4103453</v>
      </c>
      <c r="B54" s="26" t="s">
        <v>116</v>
      </c>
      <c r="C54" s="26" t="s">
        <v>65</v>
      </c>
      <c r="D54" s="28" t="n">
        <v>0.416607523066004</v>
      </c>
      <c r="E54" s="29" t="n">
        <v>1.16387699493967</v>
      </c>
      <c r="F54" s="28" t="n">
        <v>0.333333333333333</v>
      </c>
      <c r="G54" s="30" t="n">
        <v>35.9740017182773</v>
      </c>
      <c r="H54" s="30" t="n">
        <v>71.4251674372606</v>
      </c>
      <c r="I54" s="30" t="n">
        <v>66.6666666666667</v>
      </c>
      <c r="J54" s="34" t="n">
        <f aca="false">(2*G54+H54+I54)/4</f>
        <v>52.5099593851204</v>
      </c>
      <c r="K54" s="35" t="n">
        <f aca="false">(J54-MIN(J$6:J$404))/(MAX(J$6:J$404)-MIN(J$6:J$404))*100</f>
        <v>41.6251601172436</v>
      </c>
    </row>
    <row r="55" customFormat="false" ht="15" hidden="false" customHeight="false" outlineLevel="0" collapsed="false">
      <c r="A55" s="26" t="n">
        <v>4103479</v>
      </c>
      <c r="B55" s="26" t="s">
        <v>117</v>
      </c>
      <c r="C55" s="26" t="s">
        <v>71</v>
      </c>
      <c r="D55" s="28" t="n">
        <v>0.362989323843416</v>
      </c>
      <c r="E55" s="29" t="n">
        <v>1.10898661567878</v>
      </c>
      <c r="F55" s="28" t="n">
        <v>0</v>
      </c>
      <c r="G55" s="30" t="n">
        <v>44.2142723356434</v>
      </c>
      <c r="H55" s="30" t="n">
        <v>75.1591729800492</v>
      </c>
      <c r="I55" s="30" t="n">
        <v>100</v>
      </c>
      <c r="J55" s="34" t="n">
        <f aca="false">(2*G55+H55+I55)/4</f>
        <v>65.896929412834</v>
      </c>
      <c r="K55" s="35" t="n">
        <f aca="false">(J55-MIN(J$6:J$404))/(MAX(J$6:J$404)-MIN(J$6:J$404))*100</f>
        <v>64.1813242875768</v>
      </c>
    </row>
    <row r="56" customFormat="false" ht="15" hidden="false" customHeight="false" outlineLevel="0" collapsed="false">
      <c r="A56" s="26" t="n">
        <v>4103503</v>
      </c>
      <c r="B56" s="26" t="s">
        <v>118</v>
      </c>
      <c r="C56" s="26" t="s">
        <v>65</v>
      </c>
      <c r="D56" s="28" t="n">
        <v>0.440497335701599</v>
      </c>
      <c r="E56" s="29" t="n">
        <v>1.14811643835616</v>
      </c>
      <c r="F56" s="28" t="n">
        <v>0.333333333333333</v>
      </c>
      <c r="G56" s="30" t="n">
        <v>32.3025147237543</v>
      </c>
      <c r="H56" s="30" t="n">
        <v>72.4973044206929</v>
      </c>
      <c r="I56" s="30" t="n">
        <v>66.6666666666667</v>
      </c>
      <c r="J56" s="34" t="n">
        <f aca="false">(2*G56+H56+I56)/4</f>
        <v>50.9422501337171</v>
      </c>
      <c r="K56" s="35" t="n">
        <f aca="false">(J56-MIN(J$6:J$404))/(MAX(J$6:J$404)-MIN(J$6:J$404))*100</f>
        <v>38.9836731210974</v>
      </c>
    </row>
    <row r="57" customFormat="false" ht="15" hidden="false" customHeight="false" outlineLevel="0" collapsed="false">
      <c r="A57" s="26" t="n">
        <v>4103602</v>
      </c>
      <c r="B57" s="26" t="s">
        <v>119</v>
      </c>
      <c r="C57" s="26" t="s">
        <v>86</v>
      </c>
      <c r="D57" s="28" t="n">
        <v>0.138504155124654</v>
      </c>
      <c r="E57" s="29" t="n">
        <v>1.15687653886739</v>
      </c>
      <c r="F57" s="28" t="n">
        <v>0.75</v>
      </c>
      <c r="G57" s="30" t="n">
        <v>78.7140982650532</v>
      </c>
      <c r="H57" s="30" t="n">
        <v>71.9013846200873</v>
      </c>
      <c r="I57" s="30" t="n">
        <v>25</v>
      </c>
      <c r="J57" s="34" t="n">
        <f aca="false">(2*G57+H57+I57)/4</f>
        <v>63.5823952875484</v>
      </c>
      <c r="K57" s="35" t="n">
        <f aca="false">(J57-MIN(J$6:J$404))/(MAX(J$6:J$404)-MIN(J$6:J$404))*100</f>
        <v>60.281486490099</v>
      </c>
    </row>
    <row r="58" customFormat="false" ht="15" hidden="false" customHeight="false" outlineLevel="0" collapsed="false">
      <c r="A58" s="26" t="n">
        <v>4103701</v>
      </c>
      <c r="B58" s="26" t="s">
        <v>120</v>
      </c>
      <c r="C58" s="26" t="s">
        <v>69</v>
      </c>
      <c r="D58" s="28" t="n">
        <v>0.29080310880829</v>
      </c>
      <c r="E58" s="29" t="n">
        <v>1.07482840943002</v>
      </c>
      <c r="F58" s="28" t="n">
        <v>0.324324324324324</v>
      </c>
      <c r="G58" s="30" t="n">
        <v>55.3081538041996</v>
      </c>
      <c r="H58" s="30" t="n">
        <v>77.4828394072449</v>
      </c>
      <c r="I58" s="30" t="n">
        <v>67.5675675675676</v>
      </c>
      <c r="J58" s="34" t="n">
        <f aca="false">(2*G58+H58+I58)/4</f>
        <v>63.9166786458029</v>
      </c>
      <c r="K58" s="35" t="n">
        <f aca="false">(J58-MIN(J$6:J$404))/(MAX(J$6:J$404)-MIN(J$6:J$404))*100</f>
        <v>60.8447319663038</v>
      </c>
    </row>
    <row r="59" customFormat="false" ht="15" hidden="false" customHeight="false" outlineLevel="0" collapsed="false">
      <c r="A59" s="26" t="n">
        <v>4103800</v>
      </c>
      <c r="B59" s="26" t="s">
        <v>121</v>
      </c>
      <c r="C59" s="26" t="s">
        <v>65</v>
      </c>
      <c r="D59" s="28" t="n">
        <v>0.395309882747069</v>
      </c>
      <c r="E59" s="29" t="n">
        <v>0.970660146699266</v>
      </c>
      <c r="F59" s="28" t="n">
        <v>0.25</v>
      </c>
      <c r="G59" s="30" t="n">
        <v>39.2471127567663</v>
      </c>
      <c r="H59" s="30" t="n">
        <v>84.5690515204929</v>
      </c>
      <c r="I59" s="30" t="n">
        <v>75</v>
      </c>
      <c r="J59" s="34" t="n">
        <f aca="false">(2*G59+H59+I59)/4</f>
        <v>59.5158192585064</v>
      </c>
      <c r="K59" s="35" t="n">
        <f aca="false">(J59-MIN(J$6:J$404))/(MAX(J$6:J$404)-MIN(J$6:J$404))*100</f>
        <v>53.4295732989644</v>
      </c>
    </row>
    <row r="60" customFormat="false" ht="15" hidden="false" customHeight="false" outlineLevel="0" collapsed="false">
      <c r="A60" s="26" t="n">
        <v>4104006</v>
      </c>
      <c r="B60" s="26" t="s">
        <v>122</v>
      </c>
      <c r="C60" s="26" t="s">
        <v>86</v>
      </c>
      <c r="D60" s="28" t="n">
        <v>0.281725100837729</v>
      </c>
      <c r="E60" s="29" t="n">
        <v>1.15299180896849</v>
      </c>
      <c r="F60" s="28" t="n">
        <v>0.263157894736842</v>
      </c>
      <c r="G60" s="30" t="n">
        <v>56.7033002923069</v>
      </c>
      <c r="H60" s="30" t="n">
        <v>72.1656495635998</v>
      </c>
      <c r="I60" s="30" t="n">
        <v>73.6842105263158</v>
      </c>
      <c r="J60" s="34" t="n">
        <f aca="false">(2*G60+H60+I60)/4</f>
        <v>64.8141151686324</v>
      </c>
      <c r="K60" s="35" t="n">
        <f aca="false">(J60-MIN(J$6:J$404))/(MAX(J$6:J$404)-MIN(J$6:J$404))*100</f>
        <v>62.3568534918983</v>
      </c>
    </row>
    <row r="61" customFormat="false" ht="15" hidden="false" customHeight="false" outlineLevel="0" collapsed="false">
      <c r="A61" s="26" t="n">
        <v>4103909</v>
      </c>
      <c r="B61" s="26" t="s">
        <v>123</v>
      </c>
      <c r="C61" s="26" t="s">
        <v>65</v>
      </c>
      <c r="D61" s="28" t="n">
        <v>0.303589743589744</v>
      </c>
      <c r="E61" s="29" t="n">
        <v>1.14312886352829</v>
      </c>
      <c r="F61" s="28" t="n">
        <v>0.333333333333333</v>
      </c>
      <c r="G61" s="30" t="n">
        <v>53.3430499325236</v>
      </c>
      <c r="H61" s="30" t="n">
        <v>72.8365921483989</v>
      </c>
      <c r="I61" s="30" t="n">
        <v>66.6666666666667</v>
      </c>
      <c r="J61" s="34" t="n">
        <f aca="false">(2*G61+H61+I61)/4</f>
        <v>61.5473396700282</v>
      </c>
      <c r="K61" s="35" t="n">
        <f aca="false">(J61-MIN(J$6:J$404))/(MAX(J$6:J$404)-MIN(J$6:J$404))*100</f>
        <v>56.8525515997155</v>
      </c>
    </row>
    <row r="62" customFormat="false" ht="15" hidden="false" customHeight="false" outlineLevel="0" collapsed="false">
      <c r="A62" s="26" t="n">
        <v>4103958</v>
      </c>
      <c r="B62" s="26" t="s">
        <v>124</v>
      </c>
      <c r="C62" s="26" t="s">
        <v>71</v>
      </c>
      <c r="D62" s="28" t="n">
        <v>0.221014492753623</v>
      </c>
      <c r="E62" s="29" t="n">
        <v>1.22441651705566</v>
      </c>
      <c r="F62" s="28" t="n">
        <v>0</v>
      </c>
      <c r="G62" s="30" t="n">
        <v>66.0335621662853</v>
      </c>
      <c r="H62" s="30" t="n">
        <v>67.3068699471948</v>
      </c>
      <c r="I62" s="30" t="n">
        <v>100</v>
      </c>
      <c r="J62" s="34" t="n">
        <f aca="false">(2*G62+H62+I62)/4</f>
        <v>74.8434985699414</v>
      </c>
      <c r="K62" s="35" t="n">
        <f aca="false">(J62-MIN(J$6:J$404))/(MAX(J$6:J$404)-MIN(J$6:J$404))*100</f>
        <v>79.2557049914394</v>
      </c>
    </row>
    <row r="63" customFormat="false" ht="15" hidden="false" customHeight="false" outlineLevel="0" collapsed="false">
      <c r="A63" s="26" t="n">
        <v>4104055</v>
      </c>
      <c r="B63" s="26" t="s">
        <v>125</v>
      </c>
      <c r="C63" s="26" t="s">
        <v>71</v>
      </c>
      <c r="D63" s="28" t="n">
        <v>0.483870967741936</v>
      </c>
      <c r="E63" s="29" t="n">
        <v>1.09280303030303</v>
      </c>
      <c r="F63" s="28" t="n">
        <v>0.333333333333333</v>
      </c>
      <c r="G63" s="30" t="n">
        <v>25.6366723259762</v>
      </c>
      <c r="H63" s="30" t="n">
        <v>76.2600871713688</v>
      </c>
      <c r="I63" s="30" t="n">
        <v>66.6666666666667</v>
      </c>
      <c r="J63" s="34" t="n">
        <f aca="false">(2*G63+H63+I63)/4</f>
        <v>48.550024622497</v>
      </c>
      <c r="K63" s="35" t="n">
        <f aca="false">(J63-MIN(J$6:J$404))/(MAX(J$6:J$404)-MIN(J$6:J$404))*100</f>
        <v>34.9529304473009</v>
      </c>
    </row>
    <row r="64" customFormat="false" ht="15" hidden="false" customHeight="false" outlineLevel="0" collapsed="false">
      <c r="A64" s="26" t="n">
        <v>4104204</v>
      </c>
      <c r="B64" s="26" t="s">
        <v>126</v>
      </c>
      <c r="C64" s="26" t="s">
        <v>69</v>
      </c>
      <c r="D64" s="28" t="n">
        <v>0.303855154575687</v>
      </c>
      <c r="E64" s="29" t="n">
        <v>1.04094513675352</v>
      </c>
      <c r="F64" s="28" t="n">
        <v>0.266666666666667</v>
      </c>
      <c r="G64" s="30" t="n">
        <v>53.302260454684</v>
      </c>
      <c r="H64" s="30" t="n">
        <v>79.7878030399523</v>
      </c>
      <c r="I64" s="30" t="n">
        <v>73.3333333333333</v>
      </c>
      <c r="J64" s="34" t="n">
        <f aca="false">(2*G64+H64+I64)/4</f>
        <v>64.9314143206634</v>
      </c>
      <c r="K64" s="35" t="n">
        <f aca="false">(J64-MIN(J$6:J$404))/(MAX(J$6:J$404)-MIN(J$6:J$404))*100</f>
        <v>62.5544948494852</v>
      </c>
    </row>
    <row r="65" customFormat="false" ht="15" hidden="false" customHeight="false" outlineLevel="0" collapsed="false">
      <c r="A65" s="26" t="n">
        <v>4104253</v>
      </c>
      <c r="B65" s="26" t="s">
        <v>127</v>
      </c>
      <c r="C65" s="26" t="s">
        <v>86</v>
      </c>
      <c r="D65" s="28" t="n">
        <v>0.234432234432234</v>
      </c>
      <c r="E65" s="29" t="n">
        <v>0.967406707605102</v>
      </c>
      <c r="F65" s="28" t="n">
        <v>0</v>
      </c>
      <c r="G65" s="30" t="n">
        <v>63.9714671293619</v>
      </c>
      <c r="H65" s="30" t="n">
        <v>84.7903719007548</v>
      </c>
      <c r="I65" s="30" t="n">
        <v>100</v>
      </c>
      <c r="J65" s="34" t="n">
        <f aca="false">(2*G65+H65+I65)/4</f>
        <v>78.1833265398696</v>
      </c>
      <c r="K65" s="35" t="n">
        <f aca="false">(J65-MIN(J$6:J$404))/(MAX(J$6:J$404)-MIN(J$6:J$404))*100</f>
        <v>84.8830954938771</v>
      </c>
    </row>
    <row r="66" customFormat="false" ht="15" hidden="false" customHeight="false" outlineLevel="0" collapsed="false">
      <c r="A66" s="26" t="n">
        <v>4104303</v>
      </c>
      <c r="B66" s="26" t="s">
        <v>128</v>
      </c>
      <c r="C66" s="26" t="s">
        <v>129</v>
      </c>
      <c r="D66" s="28" t="n">
        <v>0.320697858842189</v>
      </c>
      <c r="E66" s="29" t="n">
        <v>1.13979591836735</v>
      </c>
      <c r="F66" s="28" t="n">
        <v>0.354838709677419</v>
      </c>
      <c r="G66" s="30" t="n">
        <v>50.7138027463584</v>
      </c>
      <c r="H66" s="30" t="n">
        <v>73.0633210555837</v>
      </c>
      <c r="I66" s="30" t="n">
        <v>64.5161290322581</v>
      </c>
      <c r="J66" s="34" t="n">
        <f aca="false">(2*G66+H66+I66)/4</f>
        <v>59.7517638951396</v>
      </c>
      <c r="K66" s="35" t="n">
        <f aca="false">(J66-MIN(J$6:J$404))/(MAX(J$6:J$404)-MIN(J$6:J$404))*100</f>
        <v>53.827124495986</v>
      </c>
    </row>
    <row r="67" customFormat="false" ht="15" hidden="false" customHeight="false" outlineLevel="0" collapsed="false">
      <c r="A67" s="26" t="n">
        <v>4104105</v>
      </c>
      <c r="B67" s="26" t="s">
        <v>130</v>
      </c>
      <c r="C67" s="26" t="s">
        <v>65</v>
      </c>
      <c r="D67" s="28" t="n">
        <v>0.220689655172414</v>
      </c>
      <c r="E67" s="29" t="n">
        <v>1.159670781893</v>
      </c>
      <c r="F67" s="28" t="n">
        <v>0.25</v>
      </c>
      <c r="G67" s="30" t="n">
        <v>66.0834845735027</v>
      </c>
      <c r="H67" s="30" t="n">
        <v>71.7113017843332</v>
      </c>
      <c r="I67" s="30" t="n">
        <v>75</v>
      </c>
      <c r="J67" s="34" t="n">
        <f aca="false">(2*G67+H67+I67)/4</f>
        <v>69.7195677328347</v>
      </c>
      <c r="K67" s="35" t="n">
        <f aca="false">(J67-MIN(J$6:J$404))/(MAX(J$6:J$404)-MIN(J$6:J$404))*100</f>
        <v>70.6222184803061</v>
      </c>
    </row>
    <row r="68" customFormat="false" ht="15" hidden="false" customHeight="false" outlineLevel="0" collapsed="false">
      <c r="A68" s="26" t="n">
        <v>4104428</v>
      </c>
      <c r="B68" s="26" t="s">
        <v>131</v>
      </c>
      <c r="C68" s="26" t="s">
        <v>65</v>
      </c>
      <c r="D68" s="28" t="n">
        <v>0.232452142206016</v>
      </c>
      <c r="E68" s="29" t="n">
        <v>1.10575635876841</v>
      </c>
      <c r="F68" s="28" t="n">
        <v>0.333333333333333</v>
      </c>
      <c r="G68" s="30" t="n">
        <v>64.2757760399175</v>
      </c>
      <c r="H68" s="30" t="n">
        <v>75.3789163553066</v>
      </c>
      <c r="I68" s="30" t="n">
        <v>66.6666666666667</v>
      </c>
      <c r="J68" s="34" t="n">
        <f aca="false">(2*G68+H68+I68)/4</f>
        <v>67.6492837754521</v>
      </c>
      <c r="K68" s="35" t="n">
        <f aca="false">(J68-MIN(J$6:J$404))/(MAX(J$6:J$404)-MIN(J$6:J$404))*100</f>
        <v>67.1339261538681</v>
      </c>
    </row>
    <row r="69" customFormat="false" ht="15" hidden="false" customHeight="false" outlineLevel="0" collapsed="false">
      <c r="A69" s="26" t="n">
        <v>4104451</v>
      </c>
      <c r="B69" s="26" t="s">
        <v>132</v>
      </c>
      <c r="C69" s="26" t="s">
        <v>65</v>
      </c>
      <c r="D69" s="28" t="n">
        <v>0.315862068965517</v>
      </c>
      <c r="E69" s="29" t="n">
        <v>1.18621973929237</v>
      </c>
      <c r="F69" s="28" t="n">
        <v>0.333333333333333</v>
      </c>
      <c r="G69" s="30" t="n">
        <v>51.4569872958258</v>
      </c>
      <c r="H69" s="30" t="n">
        <v>69.9052666390248</v>
      </c>
      <c r="I69" s="30" t="n">
        <v>66.6666666666667</v>
      </c>
      <c r="J69" s="34" t="n">
        <f aca="false">(2*G69+H69+I69)/4</f>
        <v>59.8714769743358</v>
      </c>
      <c r="K69" s="35" t="n">
        <f aca="false">(J69-MIN(J$6:J$404))/(MAX(J$6:J$404)-MIN(J$6:J$404))*100</f>
        <v>54.0288331621064</v>
      </c>
    </row>
    <row r="70" customFormat="false" ht="15" hidden="false" customHeight="false" outlineLevel="0" collapsed="false">
      <c r="A70" s="26" t="n">
        <v>4104501</v>
      </c>
      <c r="B70" s="26" t="s">
        <v>133</v>
      </c>
      <c r="C70" s="26" t="s">
        <v>86</v>
      </c>
      <c r="D70" s="28" t="n">
        <v>0.45630317092034</v>
      </c>
      <c r="E70" s="29" t="n">
        <v>1.04180194805195</v>
      </c>
      <c r="F70" s="28" t="n">
        <v>0.285714285714286</v>
      </c>
      <c r="G70" s="30" t="n">
        <v>29.873407416453</v>
      </c>
      <c r="H70" s="30" t="n">
        <v>79.7295170856461</v>
      </c>
      <c r="I70" s="30" t="n">
        <v>71.4285714285714</v>
      </c>
      <c r="J70" s="34" t="n">
        <f aca="false">(2*G70+H70+I70)/4</f>
        <v>52.7262258367809</v>
      </c>
      <c r="K70" s="35" t="n">
        <f aca="false">(J70-MIN(J$6:J$404))/(MAX(J$6:J$404)-MIN(J$6:J$404))*100</f>
        <v>41.9895548666223</v>
      </c>
    </row>
    <row r="71" customFormat="false" ht="15" hidden="false" customHeight="false" outlineLevel="0" collapsed="false">
      <c r="A71" s="26" t="n">
        <v>4104600</v>
      </c>
      <c r="B71" s="26" t="s">
        <v>134</v>
      </c>
      <c r="C71" s="26" t="s">
        <v>65</v>
      </c>
      <c r="D71" s="28" t="n">
        <v>0.353063343717549</v>
      </c>
      <c r="E71" s="29" t="n">
        <v>1.14470284237726</v>
      </c>
      <c r="F71" s="28" t="n">
        <v>0.25</v>
      </c>
      <c r="G71" s="30" t="n">
        <v>45.7397387549872</v>
      </c>
      <c r="H71" s="30" t="n">
        <v>72.7295197283242</v>
      </c>
      <c r="I71" s="30" t="n">
        <v>75</v>
      </c>
      <c r="J71" s="34" t="n">
        <f aca="false">(2*G71+H71+I71)/4</f>
        <v>59.8022493095746</v>
      </c>
      <c r="K71" s="35" t="n">
        <f aca="false">(J71-MIN(J$6:J$404))/(MAX(J$6:J$404)-MIN(J$6:J$404))*100</f>
        <v>53.9121890993911</v>
      </c>
    </row>
    <row r="72" customFormat="false" ht="15" hidden="false" customHeight="false" outlineLevel="0" collapsed="false">
      <c r="A72" s="26" t="n">
        <v>4104659</v>
      </c>
      <c r="B72" s="26" t="s">
        <v>135</v>
      </c>
      <c r="C72" s="26" t="s">
        <v>86</v>
      </c>
      <c r="D72" s="28" t="n">
        <v>0.154063205417607</v>
      </c>
      <c r="E72" s="29" t="n">
        <v>1.08531431590069</v>
      </c>
      <c r="F72" s="28" t="n">
        <v>0.5</v>
      </c>
      <c r="G72" s="30" t="n">
        <v>76.3229179042414</v>
      </c>
      <c r="H72" s="30" t="n">
        <v>76.7695189053673</v>
      </c>
      <c r="I72" s="30" t="n">
        <v>50</v>
      </c>
      <c r="J72" s="34" t="n">
        <f aca="false">(2*G72+H72+I72)/4</f>
        <v>69.8538386784625</v>
      </c>
      <c r="K72" s="35" t="n">
        <f aca="false">(J72-MIN(J$6:J$404))/(MAX(J$6:J$404)-MIN(J$6:J$404))*100</f>
        <v>70.8484561940396</v>
      </c>
    </row>
    <row r="73" customFormat="false" ht="15" hidden="false" customHeight="false" outlineLevel="0" collapsed="false">
      <c r="A73" s="26" t="n">
        <v>4104709</v>
      </c>
      <c r="B73" s="26" t="s">
        <v>136</v>
      </c>
      <c r="C73" s="26" t="s">
        <v>65</v>
      </c>
      <c r="D73" s="28" t="n">
        <v>0.250669045495094</v>
      </c>
      <c r="E73" s="29" t="n">
        <v>1.07494356659142</v>
      </c>
      <c r="F73" s="28" t="n">
        <v>0.4</v>
      </c>
      <c r="G73" s="30" t="n">
        <v>61.4761256397014</v>
      </c>
      <c r="H73" s="30" t="n">
        <v>77.4750056577836</v>
      </c>
      <c r="I73" s="30" t="n">
        <v>60</v>
      </c>
      <c r="J73" s="34" t="n">
        <f aca="false">(2*G73+H73+I73)/4</f>
        <v>65.1068142342966</v>
      </c>
      <c r="K73" s="35" t="n">
        <f aca="false">(J73-MIN(J$6:J$404))/(MAX(J$6:J$404)-MIN(J$6:J$404))*100</f>
        <v>62.8500321696691</v>
      </c>
    </row>
    <row r="74" customFormat="false" ht="15" hidden="false" customHeight="false" outlineLevel="0" collapsed="false">
      <c r="A74" s="26" t="n">
        <v>4104808</v>
      </c>
      <c r="B74" s="26" t="s">
        <v>137</v>
      </c>
      <c r="C74" s="26" t="s">
        <v>138</v>
      </c>
      <c r="D74" s="28" t="n">
        <v>0.228599852934816</v>
      </c>
      <c r="E74" s="29" t="n">
        <v>1.12267287234043</v>
      </c>
      <c r="F74" s="28" t="n">
        <v>0.450980392156863</v>
      </c>
      <c r="G74" s="30" t="n">
        <v>64.867812075281</v>
      </c>
      <c r="H74" s="30" t="n">
        <v>74.2281435551707</v>
      </c>
      <c r="I74" s="30" t="n">
        <v>54.9019607843137</v>
      </c>
      <c r="J74" s="34" t="n">
        <f aca="false">(2*G74+H74+I74)/4</f>
        <v>64.7164321225116</v>
      </c>
      <c r="K74" s="35" t="n">
        <f aca="false">(J74-MIN(J$6:J$404))/(MAX(J$6:J$404)-MIN(J$6:J$404))*100</f>
        <v>62.1922639828162</v>
      </c>
    </row>
    <row r="75" customFormat="false" ht="15" hidden="false" customHeight="false" outlineLevel="0" collapsed="false">
      <c r="A75" s="26" t="n">
        <v>4104907</v>
      </c>
      <c r="B75" s="26" t="s">
        <v>139</v>
      </c>
      <c r="C75" s="26" t="s">
        <v>129</v>
      </c>
      <c r="D75" s="28" t="n">
        <v>0.162741719318399</v>
      </c>
      <c r="E75" s="29" t="n">
        <v>1.11549021344434</v>
      </c>
      <c r="F75" s="28" t="n">
        <v>0.4</v>
      </c>
      <c r="G75" s="30" t="n">
        <v>74.9891673468565</v>
      </c>
      <c r="H75" s="30" t="n">
        <v>74.7167553755133</v>
      </c>
      <c r="I75" s="30" t="n">
        <v>60</v>
      </c>
      <c r="J75" s="34" t="n">
        <f aca="false">(2*G75+H75+I75)/4</f>
        <v>71.1737725173066</v>
      </c>
      <c r="K75" s="35" t="n">
        <f aca="false">(J75-MIN(J$6:J$404))/(MAX(J$6:J$404)-MIN(J$6:J$404))*100</f>
        <v>73.0724579137199</v>
      </c>
    </row>
    <row r="76" customFormat="false" ht="15" hidden="false" customHeight="false" outlineLevel="0" collapsed="false">
      <c r="A76" s="26" t="n">
        <v>4105003</v>
      </c>
      <c r="B76" s="26" t="s">
        <v>140</v>
      </c>
      <c r="C76" s="26" t="s">
        <v>65</v>
      </c>
      <c r="D76" s="28" t="n">
        <v>0.205091937765205</v>
      </c>
      <c r="E76" s="29" t="n">
        <v>1.01960784313726</v>
      </c>
      <c r="F76" s="28" t="n">
        <v>0.5</v>
      </c>
      <c r="G76" s="30" t="n">
        <v>68.4806074592422</v>
      </c>
      <c r="H76" s="30" t="n">
        <v>81.2393064491848</v>
      </c>
      <c r="I76" s="30" t="n">
        <v>50</v>
      </c>
      <c r="J76" s="34" t="n">
        <f aca="false">(2*G76+H76+I76)/4</f>
        <v>67.0501303419173</v>
      </c>
      <c r="K76" s="35" t="n">
        <f aca="false">(J76-MIN(J$6:J$404))/(MAX(J$6:J$404)-MIN(J$6:J$404))*100</f>
        <v>66.1243920186567</v>
      </c>
    </row>
    <row r="77" customFormat="false" ht="15" hidden="false" customHeight="false" outlineLevel="0" collapsed="false">
      <c r="A77" s="26" t="n">
        <v>4104402</v>
      </c>
      <c r="B77" s="26" t="s">
        <v>141</v>
      </c>
      <c r="C77" s="26" t="s">
        <v>65</v>
      </c>
      <c r="D77" s="28" t="n">
        <v>0.20656779661017</v>
      </c>
      <c r="E77" s="29" t="n">
        <v>1.03093281778637</v>
      </c>
      <c r="F77" s="28" t="n">
        <v>0.333333333333333</v>
      </c>
      <c r="G77" s="30" t="n">
        <v>68.2537912578055</v>
      </c>
      <c r="H77" s="30" t="n">
        <v>80.4689069970195</v>
      </c>
      <c r="I77" s="30" t="n">
        <v>66.6666666666667</v>
      </c>
      <c r="J77" s="34" t="n">
        <f aca="false">(2*G77+H77+I77)/4</f>
        <v>70.9107890448243</v>
      </c>
      <c r="K77" s="35" t="n">
        <f aca="false">(J77-MIN(J$6:J$404))/(MAX(J$6:J$404)-MIN(J$6:J$404))*100</f>
        <v>72.629348056365</v>
      </c>
    </row>
    <row r="78" customFormat="false" ht="15" hidden="false" customHeight="false" outlineLevel="0" collapsed="false">
      <c r="A78" s="26" t="n">
        <v>4105102</v>
      </c>
      <c r="B78" s="26" t="s">
        <v>142</v>
      </c>
      <c r="C78" s="26" t="s">
        <v>65</v>
      </c>
      <c r="D78" s="28" t="n">
        <v>0.151468315301391</v>
      </c>
      <c r="E78" s="29" t="n">
        <v>1.04331590739358</v>
      </c>
      <c r="F78" s="28" t="n">
        <v>0.666666666666667</v>
      </c>
      <c r="G78" s="30" t="n">
        <v>76.7217115431546</v>
      </c>
      <c r="H78" s="30" t="n">
        <v>79.6265275882274</v>
      </c>
      <c r="I78" s="30" t="n">
        <v>33.3333333333333</v>
      </c>
      <c r="J78" s="34" t="n">
        <f aca="false">(2*G78+H78+I78)/4</f>
        <v>66.6008210019675</v>
      </c>
      <c r="K78" s="35" t="n">
        <f aca="false">(J78-MIN(J$6:J$404))/(MAX(J$6:J$404)-MIN(J$6:J$404))*100</f>
        <v>65.3673353273971</v>
      </c>
    </row>
    <row r="79" customFormat="false" ht="15" hidden="false" customHeight="false" outlineLevel="0" collapsed="false">
      <c r="A79" s="26" t="n">
        <v>4105201</v>
      </c>
      <c r="B79" s="26" t="s">
        <v>143</v>
      </c>
      <c r="C79" s="26" t="s">
        <v>65</v>
      </c>
      <c r="D79" s="28" t="n">
        <v>0.177919708029197</v>
      </c>
      <c r="E79" s="29" t="n">
        <v>0.993368700265252</v>
      </c>
      <c r="F79" s="28" t="n">
        <v>0</v>
      </c>
      <c r="G79" s="30" t="n">
        <v>72.6565501344603</v>
      </c>
      <c r="H79" s="30" t="n">
        <v>83.0242659674348</v>
      </c>
      <c r="I79" s="30" t="n">
        <v>100</v>
      </c>
      <c r="J79" s="34" t="n">
        <f aca="false">(2*G79+H79+I79)/4</f>
        <v>82.0843415590888</v>
      </c>
      <c r="K79" s="35" t="n">
        <f aca="false">(J79-MIN(J$6:J$404))/(MAX(J$6:J$404)-MIN(J$6:J$404))*100</f>
        <v>91.4560492707425</v>
      </c>
    </row>
    <row r="80" customFormat="false" ht="15" hidden="false" customHeight="false" outlineLevel="0" collapsed="false">
      <c r="A80" s="26" t="n">
        <v>4105300</v>
      </c>
      <c r="B80" s="26" t="s">
        <v>144</v>
      </c>
      <c r="C80" s="26" t="s">
        <v>65</v>
      </c>
      <c r="D80" s="28" t="n">
        <v>0.446455505279035</v>
      </c>
      <c r="E80" s="29" t="n">
        <v>1.1448948948949</v>
      </c>
      <c r="F80" s="28" t="n">
        <v>0</v>
      </c>
      <c r="G80" s="30" t="n">
        <v>31.3868381360642</v>
      </c>
      <c r="H80" s="30" t="n">
        <v>72.7164550496864</v>
      </c>
      <c r="I80" s="30" t="n">
        <v>100</v>
      </c>
      <c r="J80" s="34" t="n">
        <f aca="false">(2*G80+H80+I80)/4</f>
        <v>58.8725328304537</v>
      </c>
      <c r="K80" s="35" t="n">
        <f aca="false">(J80-MIN(J$6:J$404))/(MAX(J$6:J$404)-MIN(J$6:J$404))*100</f>
        <v>52.3456779701734</v>
      </c>
    </row>
    <row r="81" customFormat="false" ht="15" hidden="false" customHeight="false" outlineLevel="0" collapsed="false">
      <c r="A81" s="26" t="n">
        <v>4105409</v>
      </c>
      <c r="B81" s="26" t="s">
        <v>145</v>
      </c>
      <c r="C81" s="26" t="s">
        <v>86</v>
      </c>
      <c r="D81" s="28" t="n">
        <v>0.350522648083624</v>
      </c>
      <c r="E81" s="29" t="n">
        <v>1.10666666666667</v>
      </c>
      <c r="F81" s="28" t="n">
        <v>0.375</v>
      </c>
      <c r="G81" s="30" t="n">
        <v>46.1302035576747</v>
      </c>
      <c r="H81" s="30" t="n">
        <v>75.3169912095249</v>
      </c>
      <c r="I81" s="30" t="n">
        <v>62.5</v>
      </c>
      <c r="J81" s="34" t="n">
        <f aca="false">(2*G81+H81+I81)/4</f>
        <v>57.5193495812186</v>
      </c>
      <c r="K81" s="35" t="n">
        <f aca="false">(J81-MIN(J$6:J$404))/(MAX(J$6:J$404)-MIN(J$6:J$404))*100</f>
        <v>50.0656531804634</v>
      </c>
    </row>
    <row r="82" customFormat="false" ht="15" hidden="false" customHeight="false" outlineLevel="0" collapsed="false">
      <c r="A82" s="26" t="n">
        <v>4105508</v>
      </c>
      <c r="B82" s="26" t="s">
        <v>146</v>
      </c>
      <c r="C82" s="26" t="s">
        <v>129</v>
      </c>
      <c r="D82" s="28" t="n">
        <v>0.355683396151557</v>
      </c>
      <c r="E82" s="29" t="n">
        <v>1.11400908911282</v>
      </c>
      <c r="F82" s="28" t="n">
        <v>0.380952380952381</v>
      </c>
      <c r="G82" s="30" t="n">
        <v>45.3370780651291</v>
      </c>
      <c r="H82" s="30" t="n">
        <v>74.8175112190308</v>
      </c>
      <c r="I82" s="30" t="n">
        <v>61.9047619047619</v>
      </c>
      <c r="J82" s="34" t="n">
        <f aca="false">(2*G82+H82+I82)/4</f>
        <v>56.8491073135127</v>
      </c>
      <c r="K82" s="35" t="n">
        <f aca="false">(J82-MIN(J$6:J$404))/(MAX(J$6:J$404)-MIN(J$6:J$404))*100</f>
        <v>48.9363390344713</v>
      </c>
    </row>
    <row r="83" customFormat="false" ht="15" hidden="false" customHeight="false" outlineLevel="0" collapsed="false">
      <c r="A83" s="26" t="n">
        <v>4105607</v>
      </c>
      <c r="B83" s="26" t="s">
        <v>147</v>
      </c>
      <c r="C83" s="26" t="s">
        <v>65</v>
      </c>
      <c r="D83" s="28" t="n">
        <v>0.355329949238579</v>
      </c>
      <c r="E83" s="29" t="n">
        <v>1.17227979274611</v>
      </c>
      <c r="F83" s="28" t="n">
        <v>0.5</v>
      </c>
      <c r="G83" s="30" t="n">
        <v>45.3913972749132</v>
      </c>
      <c r="H83" s="30" t="n">
        <v>70.8535537226772</v>
      </c>
      <c r="I83" s="30" t="n">
        <v>50</v>
      </c>
      <c r="J83" s="34" t="n">
        <f aca="false">(2*G83+H83+I83)/4</f>
        <v>52.9090870681259</v>
      </c>
      <c r="K83" s="35" t="n">
        <f aca="false">(J83-MIN(J$6:J$404))/(MAX(J$6:J$404)-MIN(J$6:J$404))*100</f>
        <v>42.2976640164948</v>
      </c>
    </row>
    <row r="84" customFormat="false" ht="15" hidden="false" customHeight="false" outlineLevel="0" collapsed="false">
      <c r="A84" s="26" t="n">
        <v>4105706</v>
      </c>
      <c r="B84" s="26" t="s">
        <v>148</v>
      </c>
      <c r="C84" s="26" t="s">
        <v>65</v>
      </c>
      <c r="D84" s="28" t="n">
        <v>0.235563703024748</v>
      </c>
      <c r="E84" s="29" t="n">
        <v>1.28199162401117</v>
      </c>
      <c r="F84" s="28" t="n">
        <v>0.428571428571429</v>
      </c>
      <c r="G84" s="30" t="n">
        <v>63.7975782719861</v>
      </c>
      <c r="H84" s="30" t="n">
        <v>63.3902315236066</v>
      </c>
      <c r="I84" s="30" t="n">
        <v>57.1428571428571</v>
      </c>
      <c r="J84" s="34" t="n">
        <f aca="false">(2*G84+H84+I84)/4</f>
        <v>62.032061302609</v>
      </c>
      <c r="K84" s="35" t="n">
        <f aca="false">(J84-MIN(J$6:J$404))/(MAX(J$6:J$404)-MIN(J$6:J$404))*100</f>
        <v>57.669275675348</v>
      </c>
    </row>
    <row r="85" customFormat="false" ht="15" hidden="false" customHeight="false" outlineLevel="0" collapsed="false">
      <c r="A85" s="26" t="n">
        <v>4105805</v>
      </c>
      <c r="B85" s="26" t="s">
        <v>149</v>
      </c>
      <c r="C85" s="26" t="s">
        <v>138</v>
      </c>
      <c r="D85" s="28" t="n">
        <v>0.265455036821836</v>
      </c>
      <c r="E85" s="29" t="n">
        <v>1.12892483349191</v>
      </c>
      <c r="F85" s="28" t="n">
        <v>0.233333333333333</v>
      </c>
      <c r="G85" s="30" t="n">
        <v>59.203752235802</v>
      </c>
      <c r="H85" s="30" t="n">
        <v>73.8028439324081</v>
      </c>
      <c r="I85" s="30" t="n">
        <v>76.6666666666667</v>
      </c>
      <c r="J85" s="34" t="n">
        <f aca="false">(2*G85+H85+I85)/4</f>
        <v>67.2192537676697</v>
      </c>
      <c r="K85" s="35" t="n">
        <f aca="false">(J85-MIN(J$6:J$404))/(MAX(J$6:J$404)-MIN(J$6:J$404))*100</f>
        <v>66.4093538695029</v>
      </c>
    </row>
    <row r="86" customFormat="false" ht="15" hidden="false" customHeight="false" outlineLevel="0" collapsed="false">
      <c r="A86" s="26" t="n">
        <v>4105904</v>
      </c>
      <c r="B86" s="26" t="s">
        <v>150</v>
      </c>
      <c r="C86" s="26" t="s">
        <v>86</v>
      </c>
      <c r="D86" s="28" t="n">
        <v>0.228878648233487</v>
      </c>
      <c r="E86" s="29" t="n">
        <v>1.1234809878479</v>
      </c>
      <c r="F86" s="28" t="n">
        <v>0.444444444444444</v>
      </c>
      <c r="G86" s="30" t="n">
        <v>64.8249656399062</v>
      </c>
      <c r="H86" s="30" t="n">
        <v>74.1731702096634</v>
      </c>
      <c r="I86" s="30" t="n">
        <v>55.5555555555556</v>
      </c>
      <c r="J86" s="34" t="n">
        <f aca="false">(2*G86+H86+I86)/4</f>
        <v>64.8446642612579</v>
      </c>
      <c r="K86" s="35" t="n">
        <f aca="false">(J86-MIN(J$6:J$404))/(MAX(J$6:J$404)-MIN(J$6:J$404))*100</f>
        <v>62.4083267040657</v>
      </c>
    </row>
    <row r="87" customFormat="false" ht="15" hidden="false" customHeight="false" outlineLevel="0" collapsed="false">
      <c r="A87" s="26" t="n">
        <v>4106001</v>
      </c>
      <c r="B87" s="26" t="s">
        <v>151</v>
      </c>
      <c r="C87" s="26" t="s">
        <v>65</v>
      </c>
      <c r="D87" s="28" t="n">
        <v>0.272727272727273</v>
      </c>
      <c r="E87" s="29" t="n">
        <v>1.02820512820513</v>
      </c>
      <c r="F87" s="28" t="n">
        <v>0.25</v>
      </c>
      <c r="G87" s="30" t="n">
        <v>58.0861244019139</v>
      </c>
      <c r="H87" s="30" t="n">
        <v>80.6544624286362</v>
      </c>
      <c r="I87" s="30" t="n">
        <v>75</v>
      </c>
      <c r="J87" s="34" t="n">
        <f aca="false">(2*G87+H87+I87)/4</f>
        <v>67.956677808116</v>
      </c>
      <c r="K87" s="35" t="n">
        <f aca="false">(J87-MIN(J$6:J$404))/(MAX(J$6:J$404)-MIN(J$6:J$404))*100</f>
        <v>67.6518648846933</v>
      </c>
    </row>
    <row r="88" customFormat="false" ht="15" hidden="false" customHeight="false" outlineLevel="0" collapsed="false">
      <c r="A88" s="26" t="n">
        <v>4106100</v>
      </c>
      <c r="B88" s="26" t="s">
        <v>152</v>
      </c>
      <c r="C88" s="26" t="s">
        <v>71</v>
      </c>
      <c r="D88" s="28" t="n">
        <v>0.419047619047619</v>
      </c>
      <c r="E88" s="29" t="n">
        <v>1.19777777777778</v>
      </c>
      <c r="F88" s="28" t="n">
        <v>0.5</v>
      </c>
      <c r="G88" s="30" t="n">
        <v>35.5989974937343</v>
      </c>
      <c r="H88" s="30" t="n">
        <v>69.1190126478988</v>
      </c>
      <c r="I88" s="30" t="n">
        <v>50</v>
      </c>
      <c r="J88" s="34" t="n">
        <f aca="false">(2*G88+H88+I88)/4</f>
        <v>47.5792519088419</v>
      </c>
      <c r="K88" s="35" t="n">
        <f aca="false">(J88-MIN(J$6:J$404))/(MAX(J$6:J$404)-MIN(J$6:J$404))*100</f>
        <v>33.3172422627488</v>
      </c>
    </row>
    <row r="89" customFormat="false" ht="15" hidden="false" customHeight="false" outlineLevel="0" collapsed="false">
      <c r="A89" s="26" t="n">
        <v>4106209</v>
      </c>
      <c r="B89" s="26" t="s">
        <v>153</v>
      </c>
      <c r="C89" s="26" t="s">
        <v>65</v>
      </c>
      <c r="D89" s="28" t="n">
        <v>0.238133547868061</v>
      </c>
      <c r="E89" s="29" t="n">
        <v>1.07116788321168</v>
      </c>
      <c r="F89" s="28" t="n">
        <v>0</v>
      </c>
      <c r="G89" s="30" t="n">
        <v>63.4026336960664</v>
      </c>
      <c r="H89" s="30" t="n">
        <v>77.7318525380131</v>
      </c>
      <c r="I89" s="30" t="n">
        <v>100</v>
      </c>
      <c r="J89" s="34" t="n">
        <f aca="false">(2*G89+H89+I89)/4</f>
        <v>76.1342799825365</v>
      </c>
      <c r="K89" s="35" t="n">
        <f aca="false">(J89-MIN(J$6:J$404))/(MAX(J$6:J$404)-MIN(J$6:J$404))*100</f>
        <v>81.4305867899522</v>
      </c>
    </row>
    <row r="90" customFormat="false" ht="15" hidden="false" customHeight="false" outlineLevel="0" collapsed="false">
      <c r="A90" s="26" t="n">
        <v>4106308</v>
      </c>
      <c r="B90" s="26" t="s">
        <v>154</v>
      </c>
      <c r="C90" s="26" t="s">
        <v>65</v>
      </c>
      <c r="D90" s="28" t="n">
        <v>0.48294434470377</v>
      </c>
      <c r="E90" s="29" t="n">
        <v>1.07425097698654</v>
      </c>
      <c r="F90" s="28" t="n">
        <v>0.166666666666667</v>
      </c>
      <c r="G90" s="30" t="n">
        <v>25.7790796560522</v>
      </c>
      <c r="H90" s="30" t="n">
        <v>77.5221201696221</v>
      </c>
      <c r="I90" s="30" t="n">
        <v>83.3333333333333</v>
      </c>
      <c r="J90" s="34" t="n">
        <f aca="false">(2*G90+H90+I90)/4</f>
        <v>53.103403203765</v>
      </c>
      <c r="K90" s="35" t="n">
        <f aca="false">(J90-MIN(J$6:J$404))/(MAX(J$6:J$404)-MIN(J$6:J$404))*100</f>
        <v>42.6250739268289</v>
      </c>
    </row>
    <row r="91" customFormat="false" ht="15" hidden="false" customHeight="false" outlineLevel="0" collapsed="false">
      <c r="A91" s="26" t="n">
        <v>4106407</v>
      </c>
      <c r="B91" s="26" t="s">
        <v>155</v>
      </c>
      <c r="C91" s="26" t="s">
        <v>86</v>
      </c>
      <c r="D91" s="28" t="n">
        <v>0.294843543411194</v>
      </c>
      <c r="E91" s="29" t="n">
        <v>1.11731731731732</v>
      </c>
      <c r="F91" s="28" t="n">
        <v>0.352941176470588</v>
      </c>
      <c r="G91" s="30" t="n">
        <v>54.6872028020691</v>
      </c>
      <c r="H91" s="30" t="n">
        <v>74.5924637222067</v>
      </c>
      <c r="I91" s="30" t="n">
        <v>64.7058823529412</v>
      </c>
      <c r="J91" s="34" t="n">
        <f aca="false">(2*G91+H91+I91)/4</f>
        <v>62.1681879198215</v>
      </c>
      <c r="K91" s="35" t="n">
        <f aca="false">(J91-MIN(J$6:J$404))/(MAX(J$6:J$404)-MIN(J$6:J$404))*100</f>
        <v>57.8986400736727</v>
      </c>
    </row>
    <row r="92" customFormat="false" ht="15" hidden="false" customHeight="false" outlineLevel="0" collapsed="false">
      <c r="A92" s="26" t="n">
        <v>4106456</v>
      </c>
      <c r="B92" s="26" t="s">
        <v>156</v>
      </c>
      <c r="C92" s="26" t="s">
        <v>65</v>
      </c>
      <c r="D92" s="28" t="n">
        <v>0.289823008849558</v>
      </c>
      <c r="E92" s="29" t="n">
        <v>1.34857142857143</v>
      </c>
      <c r="F92" s="28" t="n">
        <v>0</v>
      </c>
      <c r="G92" s="30" t="n">
        <v>55.4587796925943</v>
      </c>
      <c r="H92" s="30" t="n">
        <v>58.861034192246</v>
      </c>
      <c r="I92" s="30" t="n">
        <v>100</v>
      </c>
      <c r="J92" s="34" t="n">
        <f aca="false">(2*G92+H92+I92)/4</f>
        <v>67.4446483943587</v>
      </c>
      <c r="K92" s="35" t="n">
        <f aca="false">(J92-MIN(J$6:J$404))/(MAX(J$6:J$404)-MIN(J$6:J$404))*100</f>
        <v>66.7891289935364</v>
      </c>
    </row>
    <row r="93" customFormat="false" ht="15" hidden="false" customHeight="false" outlineLevel="0" collapsed="false">
      <c r="A93" s="26" t="n">
        <v>4106506</v>
      </c>
      <c r="B93" s="26" t="s">
        <v>157</v>
      </c>
      <c r="C93" s="26" t="s">
        <v>86</v>
      </c>
      <c r="D93" s="28" t="n">
        <v>0.24641638225256</v>
      </c>
      <c r="E93" s="29" t="n">
        <v>1.10696920583468</v>
      </c>
      <c r="F93" s="28" t="n">
        <v>0.444444444444444</v>
      </c>
      <c r="G93" s="30" t="n">
        <v>62.1296928327645</v>
      </c>
      <c r="H93" s="30" t="n">
        <v>75.2964105003824</v>
      </c>
      <c r="I93" s="30" t="n">
        <v>55.5555555555556</v>
      </c>
      <c r="J93" s="34" t="n">
        <f aca="false">(2*G93+H93+I93)/4</f>
        <v>63.7778379303667</v>
      </c>
      <c r="K93" s="35" t="n">
        <f aca="false">(J93-MIN(J$6:J$404))/(MAX(J$6:J$404)-MIN(J$6:J$404))*100</f>
        <v>60.6107944909512</v>
      </c>
    </row>
    <row r="94" customFormat="false" ht="15" hidden="false" customHeight="false" outlineLevel="0" collapsed="false">
      <c r="A94" s="26" t="n">
        <v>4106555</v>
      </c>
      <c r="B94" s="26" t="s">
        <v>158</v>
      </c>
      <c r="C94" s="26" t="s">
        <v>71</v>
      </c>
      <c r="D94" s="28" t="n">
        <v>0.378995433789954</v>
      </c>
      <c r="E94" s="29" t="n">
        <v>1.07391304347826</v>
      </c>
      <c r="F94" s="28" t="n">
        <v>0</v>
      </c>
      <c r="G94" s="30" t="n">
        <v>41.7543859649123</v>
      </c>
      <c r="H94" s="30" t="n">
        <v>77.5451086351784</v>
      </c>
      <c r="I94" s="30" t="n">
        <v>100</v>
      </c>
      <c r="J94" s="34" t="n">
        <f aca="false">(2*G94+H94+I94)/4</f>
        <v>65.2634701412507</v>
      </c>
      <c r="K94" s="35" t="n">
        <f aca="false">(J94-MIN(J$6:J$404))/(MAX(J$6:J$404)-MIN(J$6:J$404))*100</f>
        <v>63.1139870712036</v>
      </c>
    </row>
    <row r="95" customFormat="false" ht="15" hidden="false" customHeight="false" outlineLevel="0" collapsed="false">
      <c r="A95" s="26" t="n">
        <v>4106803</v>
      </c>
      <c r="B95" s="26" t="s">
        <v>159</v>
      </c>
      <c r="C95" s="26" t="s">
        <v>65</v>
      </c>
      <c r="D95" s="28" t="n">
        <v>0.206741573033708</v>
      </c>
      <c r="E95" s="29" t="n">
        <v>1.10009960159363</v>
      </c>
      <c r="F95" s="28" t="n">
        <v>0.25</v>
      </c>
      <c r="G95" s="30" t="n">
        <v>68.227084565346</v>
      </c>
      <c r="H95" s="30" t="n">
        <v>75.7637262788171</v>
      </c>
      <c r="I95" s="30" t="n">
        <v>75</v>
      </c>
      <c r="J95" s="34" t="n">
        <f aca="false">(2*G95+H95+I95)/4</f>
        <v>71.8044738523772</v>
      </c>
      <c r="K95" s="35" t="n">
        <f aca="false">(J95-MIN(J$6:J$404))/(MAX(J$6:J$404)-MIN(J$6:J$404))*100</f>
        <v>74.1351481884312</v>
      </c>
    </row>
    <row r="96" customFormat="false" ht="15" hidden="false" customHeight="false" outlineLevel="0" collapsed="false">
      <c r="A96" s="26" t="n">
        <v>4106571</v>
      </c>
      <c r="B96" s="26" t="s">
        <v>160</v>
      </c>
      <c r="C96" s="26" t="s">
        <v>71</v>
      </c>
      <c r="D96" s="28" t="n">
        <v>0.41897233201581</v>
      </c>
      <c r="E96" s="29" t="n">
        <v>1.12834224598931</v>
      </c>
      <c r="F96" s="28" t="n">
        <v>0.333333333333333</v>
      </c>
      <c r="G96" s="30" t="n">
        <v>35.6105679217807</v>
      </c>
      <c r="H96" s="30" t="n">
        <v>73.8424753758995</v>
      </c>
      <c r="I96" s="30" t="n">
        <v>66.6666666666667</v>
      </c>
      <c r="J96" s="34" t="n">
        <f aca="false">(2*G96+H96+I96)/4</f>
        <v>52.9325694715319</v>
      </c>
      <c r="K96" s="35" t="n">
        <f aca="false">(J96-MIN(J$6:J$404))/(MAX(J$6:J$404)-MIN(J$6:J$404))*100</f>
        <v>42.3372303220325</v>
      </c>
    </row>
    <row r="97" customFormat="false" ht="15" hidden="false" customHeight="false" outlineLevel="0" collapsed="false">
      <c r="A97" s="26" t="n">
        <v>4106605</v>
      </c>
      <c r="B97" s="26" t="s">
        <v>161</v>
      </c>
      <c r="C97" s="26" t="s">
        <v>86</v>
      </c>
      <c r="D97" s="28" t="n">
        <v>0.378398236590742</v>
      </c>
      <c r="E97" s="29" t="n">
        <v>1.06842653699201</v>
      </c>
      <c r="F97" s="28" t="n">
        <v>0.5</v>
      </c>
      <c r="G97" s="30" t="n">
        <v>41.8461657450017</v>
      </c>
      <c r="H97" s="30" t="n">
        <v>77.9183369842271</v>
      </c>
      <c r="I97" s="30" t="n">
        <v>50</v>
      </c>
      <c r="J97" s="34" t="n">
        <f aca="false">(2*G97+H97+I97)/4</f>
        <v>52.9026671185576</v>
      </c>
      <c r="K97" s="35" t="n">
        <f aca="false">(J97-MIN(J$6:J$404))/(MAX(J$6:J$404)-MIN(J$6:J$404))*100</f>
        <v>42.2868468236478</v>
      </c>
    </row>
    <row r="98" customFormat="false" ht="15" hidden="false" customHeight="false" outlineLevel="0" collapsed="false">
      <c r="A98" s="26" t="n">
        <v>4106704</v>
      </c>
      <c r="B98" s="26" t="s">
        <v>162</v>
      </c>
      <c r="C98" s="26" t="s">
        <v>71</v>
      </c>
      <c r="D98" s="28" t="n">
        <v>0.443181818181818</v>
      </c>
      <c r="E98" s="29" t="n">
        <v>1.04472271914132</v>
      </c>
      <c r="F98" s="28" t="n">
        <v>0</v>
      </c>
      <c r="G98" s="30" t="n">
        <v>31.8899521531101</v>
      </c>
      <c r="H98" s="30" t="n">
        <v>79.5308269766725</v>
      </c>
      <c r="I98" s="30" t="n">
        <v>100</v>
      </c>
      <c r="J98" s="34" t="n">
        <f aca="false">(2*G98+H98+I98)/4</f>
        <v>60.8276828207232</v>
      </c>
      <c r="K98" s="35" t="n">
        <f aca="false">(J98-MIN(J$6:J$404))/(MAX(J$6:J$404)-MIN(J$6:J$404))*100</f>
        <v>55.6399771332288</v>
      </c>
    </row>
    <row r="99" customFormat="false" ht="15" hidden="false" customHeight="false" outlineLevel="0" collapsed="false">
      <c r="A99" s="26" t="n">
        <v>4106852</v>
      </c>
      <c r="B99" s="26" t="s">
        <v>163</v>
      </c>
      <c r="C99" s="26" t="s">
        <v>71</v>
      </c>
      <c r="D99" s="28" t="n">
        <v>0.404624277456647</v>
      </c>
      <c r="E99" s="29" t="n">
        <v>1.17711171662125</v>
      </c>
      <c r="F99" s="28" t="n">
        <v>0</v>
      </c>
      <c r="G99" s="30" t="n">
        <v>37.8156373592942</v>
      </c>
      <c r="H99" s="30" t="n">
        <v>70.5248543991336</v>
      </c>
      <c r="I99" s="30" t="n">
        <v>100</v>
      </c>
      <c r="J99" s="34" t="n">
        <f aca="false">(2*G99+H99+I99)/4</f>
        <v>61.5390322794305</v>
      </c>
      <c r="K99" s="35" t="n">
        <f aca="false">(J99-MIN(J$6:J$404))/(MAX(J$6:J$404)-MIN(J$6:J$404))*100</f>
        <v>56.8385541928519</v>
      </c>
    </row>
    <row r="100" customFormat="false" ht="15" hidden="false" customHeight="false" outlineLevel="0" collapsed="false">
      <c r="A100" s="26" t="n">
        <v>4106902</v>
      </c>
      <c r="B100" s="26" t="s">
        <v>164</v>
      </c>
      <c r="C100" s="26" t="s">
        <v>165</v>
      </c>
      <c r="D100" s="28" t="n">
        <v>0.208522052162865</v>
      </c>
      <c r="E100" s="29" t="n">
        <v>1.15219217201411</v>
      </c>
      <c r="F100" s="28" t="n">
        <v>0.627483443708609</v>
      </c>
      <c r="G100" s="30" t="n">
        <v>67.9534530360229</v>
      </c>
      <c r="H100" s="30" t="n">
        <v>72.2200461420177</v>
      </c>
      <c r="I100" s="30" t="n">
        <v>37.2516556291391</v>
      </c>
      <c r="J100" s="34" t="n">
        <f aca="false">(2*G100+H100+I100)/4</f>
        <v>61.3446519608006</v>
      </c>
      <c r="K100" s="35" t="n">
        <f aca="false">(J100-MIN(J$6:J$404))/(MAX(J$6:J$404)-MIN(J$6:J$404))*100</f>
        <v>56.511036138399</v>
      </c>
    </row>
    <row r="101" customFormat="false" ht="15" hidden="false" customHeight="false" outlineLevel="0" collapsed="false">
      <c r="A101" s="26" t="n">
        <v>4107009</v>
      </c>
      <c r="B101" s="26" t="s">
        <v>166</v>
      </c>
      <c r="C101" s="26" t="s">
        <v>65</v>
      </c>
      <c r="D101" s="28" t="n">
        <v>0.112222222222222</v>
      </c>
      <c r="E101" s="29" t="n">
        <v>1.04927211646137</v>
      </c>
      <c r="F101" s="28" t="n">
        <v>0.666666666666667</v>
      </c>
      <c r="G101" s="30" t="n">
        <v>82.753216374269</v>
      </c>
      <c r="H101" s="30" t="n">
        <v>79.221346972378</v>
      </c>
      <c r="I101" s="30" t="n">
        <v>33.3333333333333</v>
      </c>
      <c r="J101" s="34" t="n">
        <f aca="false">(2*G101+H101+I101)/4</f>
        <v>69.5152782635624</v>
      </c>
      <c r="K101" s="35" t="n">
        <f aca="false">(J101-MIN(J$6:J$404))/(MAX(J$6:J$404)-MIN(J$6:J$404))*100</f>
        <v>70.2780041586458</v>
      </c>
    </row>
    <row r="102" customFormat="false" ht="15" hidden="false" customHeight="false" outlineLevel="0" collapsed="false">
      <c r="A102" s="26" t="n">
        <v>4107157</v>
      </c>
      <c r="B102" s="26" t="s">
        <v>167</v>
      </c>
      <c r="C102" s="26" t="s">
        <v>71</v>
      </c>
      <c r="D102" s="28" t="n">
        <v>0.259927797833935</v>
      </c>
      <c r="E102" s="29" t="n">
        <v>1.13848396501458</v>
      </c>
      <c r="F102" s="28" t="n">
        <v>0</v>
      </c>
      <c r="G102" s="30" t="n">
        <v>60.0532015960479</v>
      </c>
      <c r="H102" s="30" t="n">
        <v>73.1525687736189</v>
      </c>
      <c r="I102" s="30" t="n">
        <v>100</v>
      </c>
      <c r="J102" s="34" t="n">
        <f aca="false">(2*G102+H102+I102)/4</f>
        <v>73.3147429914287</v>
      </c>
      <c r="K102" s="35" t="n">
        <f aca="false">(J102-MIN(J$6:J$404))/(MAX(J$6:J$404)-MIN(J$6:J$404))*100</f>
        <v>76.6798523725228</v>
      </c>
    </row>
    <row r="103" customFormat="false" ht="15" hidden="false" customHeight="false" outlineLevel="0" collapsed="false">
      <c r="A103" s="26" t="n">
        <v>4107108</v>
      </c>
      <c r="B103" s="26" t="s">
        <v>168</v>
      </c>
      <c r="C103" s="26" t="s">
        <v>65</v>
      </c>
      <c r="D103" s="28" t="n">
        <v>0.48068669527897</v>
      </c>
      <c r="E103" s="29" t="n">
        <v>1.03891708967851</v>
      </c>
      <c r="F103" s="28" t="n">
        <v>0.5</v>
      </c>
      <c r="G103" s="30" t="n">
        <v>26.1260447255478</v>
      </c>
      <c r="H103" s="30" t="n">
        <v>79.9257641748742</v>
      </c>
      <c r="I103" s="30" t="n">
        <v>50</v>
      </c>
      <c r="J103" s="34" t="n">
        <f aca="false">(2*G103+H103+I103)/4</f>
        <v>45.5444634064924</v>
      </c>
      <c r="K103" s="35" t="n">
        <f aca="false">(J103-MIN(J$6:J$404))/(MAX(J$6:J$404)-MIN(J$6:J$404))*100</f>
        <v>29.8887574438626</v>
      </c>
    </row>
    <row r="104" customFormat="false" ht="15" hidden="false" customHeight="false" outlineLevel="0" collapsed="false">
      <c r="A104" s="26" t="n">
        <v>4107124</v>
      </c>
      <c r="B104" s="26" t="s">
        <v>169</v>
      </c>
      <c r="C104" s="26" t="s">
        <v>71</v>
      </c>
      <c r="D104" s="28" t="n">
        <v>0.218604651162791</v>
      </c>
      <c r="E104" s="29" t="n">
        <v>1.18673218673219</v>
      </c>
      <c r="F104" s="28" t="n">
        <v>0</v>
      </c>
      <c r="G104" s="30" t="n">
        <v>66.4039167686659</v>
      </c>
      <c r="H104" s="30" t="n">
        <v>69.8704065851056</v>
      </c>
      <c r="I104" s="30" t="n">
        <v>100</v>
      </c>
      <c r="J104" s="34" t="n">
        <f aca="false">(2*G104+H104+I104)/4</f>
        <v>75.6695600306093</v>
      </c>
      <c r="K104" s="35" t="n">
        <f aca="false">(J104-MIN(J$6:J$404))/(MAX(J$6:J$404)-MIN(J$6:J$404))*100</f>
        <v>80.6475642309118</v>
      </c>
    </row>
    <row r="105" customFormat="false" ht="15" hidden="false" customHeight="false" outlineLevel="0" collapsed="false">
      <c r="A105" s="26" t="n">
        <v>4107207</v>
      </c>
      <c r="B105" s="26" t="s">
        <v>170</v>
      </c>
      <c r="C105" s="26" t="s">
        <v>86</v>
      </c>
      <c r="D105" s="28" t="n">
        <v>0.38001958863859</v>
      </c>
      <c r="E105" s="29" t="n">
        <v>1.11189899688689</v>
      </c>
      <c r="F105" s="28" t="n">
        <v>0.384615384615385</v>
      </c>
      <c r="G105" s="30" t="n">
        <v>41.5969895355431</v>
      </c>
      <c r="H105" s="30" t="n">
        <v>74.9610536061216</v>
      </c>
      <c r="I105" s="30" t="n">
        <v>61.5384615384615</v>
      </c>
      <c r="J105" s="34" t="n">
        <f aca="false">(2*G105+H105+I105)/4</f>
        <v>54.9233735539173</v>
      </c>
      <c r="K105" s="35" t="n">
        <f aca="false">(J105-MIN(J$6:J$404))/(MAX(J$6:J$404)-MIN(J$6:J$404))*100</f>
        <v>45.6916042856922</v>
      </c>
    </row>
    <row r="106" customFormat="false" ht="15" hidden="false" customHeight="false" outlineLevel="0" collapsed="false">
      <c r="A106" s="26" t="n">
        <v>4107256</v>
      </c>
      <c r="B106" s="26" t="s">
        <v>171</v>
      </c>
      <c r="C106" s="26" t="s">
        <v>65</v>
      </c>
      <c r="D106" s="28" t="n">
        <v>0.371186440677966</v>
      </c>
      <c r="E106" s="29" t="n">
        <v>1.12913907284768</v>
      </c>
      <c r="F106" s="28" t="n">
        <v>0.5</v>
      </c>
      <c r="G106" s="30" t="n">
        <v>42.9545049063336</v>
      </c>
      <c r="H106" s="30" t="n">
        <v>73.788269958741</v>
      </c>
      <c r="I106" s="30" t="n">
        <v>50</v>
      </c>
      <c r="J106" s="34" t="n">
        <f aca="false">(2*G106+H106+I106)/4</f>
        <v>52.4243199428521</v>
      </c>
      <c r="K106" s="35" t="n">
        <f aca="false">(J106-MIN(J$6:J$404))/(MAX(J$6:J$404)-MIN(J$6:J$404))*100</f>
        <v>41.4808632886661</v>
      </c>
    </row>
    <row r="107" customFormat="false" ht="15" hidden="false" customHeight="false" outlineLevel="0" collapsed="false">
      <c r="A107" s="26" t="n">
        <v>4107306</v>
      </c>
      <c r="B107" s="26" t="s">
        <v>172</v>
      </c>
      <c r="C107" s="26" t="s">
        <v>65</v>
      </c>
      <c r="D107" s="28" t="n">
        <v>0.413597733711048</v>
      </c>
      <c r="E107" s="29" t="n">
        <v>1.01451378809869</v>
      </c>
      <c r="F107" s="28" t="n">
        <v>0.25</v>
      </c>
      <c r="G107" s="30" t="n">
        <v>36.4365588191442</v>
      </c>
      <c r="H107" s="30" t="n">
        <v>81.585837662949</v>
      </c>
      <c r="I107" s="30" t="n">
        <v>75</v>
      </c>
      <c r="J107" s="34" t="n">
        <f aca="false">(2*G107+H107+I107)/4</f>
        <v>57.3647388253094</v>
      </c>
      <c r="K107" s="35" t="n">
        <f aca="false">(J107-MIN(J$6:J$404))/(MAX(J$6:J$404)-MIN(J$6:J$404))*100</f>
        <v>49.8051442239506</v>
      </c>
    </row>
    <row r="108" customFormat="false" ht="15" hidden="false" customHeight="false" outlineLevel="0" collapsed="false">
      <c r="A108" s="26" t="n">
        <v>4128633</v>
      </c>
      <c r="B108" s="26" t="s">
        <v>173</v>
      </c>
      <c r="C108" s="26" t="s">
        <v>65</v>
      </c>
      <c r="D108" s="28" t="n">
        <v>0.114914425427873</v>
      </c>
      <c r="E108" s="29" t="n">
        <v>1.16454081632653</v>
      </c>
      <c r="F108" s="28" t="n">
        <v>0</v>
      </c>
      <c r="G108" s="30" t="n">
        <v>82.3394672500322</v>
      </c>
      <c r="H108" s="30" t="n">
        <v>71.3800099293083</v>
      </c>
      <c r="I108" s="30" t="n">
        <v>100</v>
      </c>
      <c r="J108" s="34" t="n">
        <f aca="false">(2*G108+H108+I108)/4</f>
        <v>84.0147361073432</v>
      </c>
      <c r="K108" s="35" t="n">
        <f aca="false">(J108-MIN(J$6:J$404))/(MAX(J$6:J$404)-MIN(J$6:J$404))*100</f>
        <v>94.7086371419187</v>
      </c>
    </row>
    <row r="109" customFormat="false" ht="15" hidden="false" customHeight="false" outlineLevel="0" collapsed="false">
      <c r="A109" s="26" t="n">
        <v>4107405</v>
      </c>
      <c r="B109" s="26" t="s">
        <v>174</v>
      </c>
      <c r="C109" s="26" t="s">
        <v>65</v>
      </c>
      <c r="D109" s="28" t="n">
        <v>0.222543352601156</v>
      </c>
      <c r="E109" s="29" t="n">
        <v>1.13427109974425</v>
      </c>
      <c r="F109" s="28" t="n">
        <v>0.5</v>
      </c>
      <c r="G109" s="30" t="n">
        <v>65.7986005476118</v>
      </c>
      <c r="H109" s="30" t="n">
        <v>73.4391556488101</v>
      </c>
      <c r="I109" s="30" t="n">
        <v>50</v>
      </c>
      <c r="J109" s="34" t="n">
        <f aca="false">(2*G109+H109+I109)/4</f>
        <v>63.7590891860084</v>
      </c>
      <c r="K109" s="35" t="n">
        <f aca="false">(J109-MIN(J$6:J$404))/(MAX(J$6:J$404)-MIN(J$6:J$404))*100</f>
        <v>60.5792040896237</v>
      </c>
    </row>
    <row r="110" customFormat="false" ht="15" hidden="false" customHeight="false" outlineLevel="0" collapsed="false">
      <c r="A110" s="26" t="n">
        <v>4107504</v>
      </c>
      <c r="B110" s="26" t="s">
        <v>175</v>
      </c>
      <c r="C110" s="26" t="s">
        <v>65</v>
      </c>
      <c r="D110" s="28" t="n">
        <v>0.529500756429652</v>
      </c>
      <c r="E110" s="29" t="n">
        <v>1.10096818810512</v>
      </c>
      <c r="F110" s="28" t="n">
        <v>0.25</v>
      </c>
      <c r="G110" s="30" t="n">
        <v>18.6240942750219</v>
      </c>
      <c r="H110" s="30" t="n">
        <v>75.7046392968728</v>
      </c>
      <c r="I110" s="30" t="n">
        <v>75</v>
      </c>
      <c r="J110" s="34" t="n">
        <f aca="false">(2*G110+H110+I110)/4</f>
        <v>46.9882069617292</v>
      </c>
      <c r="K110" s="35" t="n">
        <f aca="false">(J110-MIN(J$6:J$404))/(MAX(J$6:J$404)-MIN(J$6:J$404))*100</f>
        <v>32.321370393945</v>
      </c>
    </row>
    <row r="111" customFormat="false" ht="15" hidden="false" customHeight="false" outlineLevel="0" collapsed="false">
      <c r="A111" s="26" t="n">
        <v>4107538</v>
      </c>
      <c r="B111" s="26" t="s">
        <v>176</v>
      </c>
      <c r="C111" s="26" t="s">
        <v>71</v>
      </c>
      <c r="D111" s="28" t="n">
        <v>0.547854785478548</v>
      </c>
      <c r="E111" s="29" t="n">
        <v>1.16840277777778</v>
      </c>
      <c r="F111" s="28" t="n">
        <v>0</v>
      </c>
      <c r="G111" s="30" t="n">
        <v>15.8033698106653</v>
      </c>
      <c r="H111" s="30" t="n">
        <v>71.1172938457402</v>
      </c>
      <c r="I111" s="30" t="n">
        <v>100</v>
      </c>
      <c r="J111" s="34" t="n">
        <f aca="false">(2*G111+H111+I111)/4</f>
        <v>50.6810083667677</v>
      </c>
      <c r="K111" s="35" t="n">
        <f aca="false">(J111-MIN(J$6:J$404))/(MAX(J$6:J$404)-MIN(J$6:J$404))*100</f>
        <v>38.543497923031</v>
      </c>
    </row>
    <row r="112" customFormat="false" ht="15" hidden="false" customHeight="false" outlineLevel="0" collapsed="false">
      <c r="A112" s="26" t="n">
        <v>4107520</v>
      </c>
      <c r="B112" s="26" t="s">
        <v>177</v>
      </c>
      <c r="C112" s="26" t="s">
        <v>71</v>
      </c>
      <c r="D112" s="28" t="n">
        <v>0.595505617977528</v>
      </c>
      <c r="E112" s="29" t="n">
        <v>1.05803571428571</v>
      </c>
      <c r="F112" s="28" t="n">
        <v>0</v>
      </c>
      <c r="G112" s="30" t="n">
        <v>8.48018923713779</v>
      </c>
      <c r="H112" s="30" t="n">
        <v>78.6251892614729</v>
      </c>
      <c r="I112" s="30" t="n">
        <v>100</v>
      </c>
      <c r="J112" s="34" t="n">
        <f aca="false">(2*G112+H112+I112)/4</f>
        <v>48.8963919339371</v>
      </c>
      <c r="K112" s="35" t="n">
        <f aca="false">(J112-MIN(J$6:J$404))/(MAX(J$6:J$404)-MIN(J$6:J$404))*100</f>
        <v>35.5365365899835</v>
      </c>
    </row>
    <row r="113" customFormat="false" ht="15" hidden="false" customHeight="false" outlineLevel="0" collapsed="false">
      <c r="A113" s="26" t="n">
        <v>4107546</v>
      </c>
      <c r="B113" s="26" t="s">
        <v>178</v>
      </c>
      <c r="C113" s="26" t="s">
        <v>71</v>
      </c>
      <c r="D113" s="28" t="n">
        <v>0.179347826086957</v>
      </c>
      <c r="E113" s="29" t="n">
        <v>1.0558583106267</v>
      </c>
      <c r="F113" s="28" t="n">
        <v>0</v>
      </c>
      <c r="G113" s="30" t="n">
        <v>72.4370709382151</v>
      </c>
      <c r="H113" s="30" t="n">
        <v>78.7733106160912</v>
      </c>
      <c r="I113" s="30" t="n">
        <v>100</v>
      </c>
      <c r="J113" s="34" t="n">
        <f aca="false">(2*G113+H113+I113)/4</f>
        <v>80.9118631231304</v>
      </c>
      <c r="K113" s="35" t="n">
        <f aca="false">(J113-MIN(J$6:J$404))/(MAX(J$6:J$404)-MIN(J$6:J$404))*100</f>
        <v>89.4805002082657</v>
      </c>
    </row>
    <row r="114" customFormat="false" ht="15" hidden="false" customHeight="false" outlineLevel="0" collapsed="false">
      <c r="A114" s="26" t="n">
        <v>4107553</v>
      </c>
      <c r="B114" s="26" t="s">
        <v>179</v>
      </c>
      <c r="C114" s="26" t="s">
        <v>71</v>
      </c>
      <c r="D114" s="28" t="n">
        <v>0.229813664596273</v>
      </c>
      <c r="E114" s="29" t="n">
        <v>1.06297229219144</v>
      </c>
      <c r="F114" s="28" t="n">
        <v>0</v>
      </c>
      <c r="G114" s="30" t="n">
        <v>64.6812683883622</v>
      </c>
      <c r="H114" s="30" t="n">
        <v>78.2893706806838</v>
      </c>
      <c r="I114" s="30" t="n">
        <v>100</v>
      </c>
      <c r="J114" s="34" t="n">
        <f aca="false">(2*G114+H114+I114)/4</f>
        <v>76.9129768643521</v>
      </c>
      <c r="K114" s="35" t="n">
        <f aca="false">(J114-MIN(J$6:J$404))/(MAX(J$6:J$404)-MIN(J$6:J$404))*100</f>
        <v>82.7426398287502</v>
      </c>
    </row>
    <row r="115" customFormat="false" ht="15" hidden="false" customHeight="false" outlineLevel="0" collapsed="false">
      <c r="A115" s="26" t="n">
        <v>4107603</v>
      </c>
      <c r="B115" s="26" t="s">
        <v>180</v>
      </c>
      <c r="C115" s="26" t="s">
        <v>65</v>
      </c>
      <c r="D115" s="28" t="n">
        <v>0.292307692307692</v>
      </c>
      <c r="E115" s="29" t="n">
        <v>1.13197105151128</v>
      </c>
      <c r="F115" s="28" t="n">
        <v>0.583333333333333</v>
      </c>
      <c r="G115" s="30" t="n">
        <v>55.0769230769231</v>
      </c>
      <c r="H115" s="30" t="n">
        <v>73.5956200960633</v>
      </c>
      <c r="I115" s="30" t="n">
        <v>41.6666666666667</v>
      </c>
      <c r="J115" s="34" t="n">
        <f aca="false">(2*G115+H115+I115)/4</f>
        <v>56.354033229144</v>
      </c>
      <c r="K115" s="35" t="n">
        <f aca="false">(J115-MIN(J$6:J$404))/(MAX(J$6:J$404)-MIN(J$6:J$404))*100</f>
        <v>48.1021717583528</v>
      </c>
    </row>
    <row r="116" customFormat="false" ht="15" hidden="false" customHeight="false" outlineLevel="0" collapsed="false">
      <c r="A116" s="26" t="n">
        <v>4107652</v>
      </c>
      <c r="B116" s="26" t="s">
        <v>181</v>
      </c>
      <c r="C116" s="26" t="s">
        <v>69</v>
      </c>
      <c r="D116" s="28" t="n">
        <v>0.160595130748422</v>
      </c>
      <c r="E116" s="29" t="n">
        <v>1.07189861077261</v>
      </c>
      <c r="F116" s="28" t="n">
        <v>0.35</v>
      </c>
      <c r="G116" s="30" t="n">
        <v>75.3190641165583</v>
      </c>
      <c r="H116" s="30" t="n">
        <v>77.682143630924</v>
      </c>
      <c r="I116" s="30" t="n">
        <v>65</v>
      </c>
      <c r="J116" s="34" t="n">
        <f aca="false">(2*G116+H116+I116)/4</f>
        <v>73.3300679660102</v>
      </c>
      <c r="K116" s="35" t="n">
        <f aca="false">(J116-MIN(J$6:J$404))/(MAX(J$6:J$404)-MIN(J$6:J$404))*100</f>
        <v>76.7056739469232</v>
      </c>
    </row>
    <row r="117" customFormat="false" ht="15" hidden="false" customHeight="false" outlineLevel="0" collapsed="false">
      <c r="A117" s="26" t="n">
        <v>4107736</v>
      </c>
      <c r="B117" s="26" t="s">
        <v>182</v>
      </c>
      <c r="C117" s="26" t="s">
        <v>65</v>
      </c>
      <c r="D117" s="28" t="n">
        <v>0.238578680203046</v>
      </c>
      <c r="E117" s="29" t="n">
        <v>0.973404255319149</v>
      </c>
      <c r="F117" s="28" t="n">
        <v>0.5</v>
      </c>
      <c r="G117" s="30" t="n">
        <v>63.3342238845846</v>
      </c>
      <c r="H117" s="30" t="n">
        <v>84.3823791576012</v>
      </c>
      <c r="I117" s="30" t="n">
        <v>50</v>
      </c>
      <c r="J117" s="34" t="n">
        <f aca="false">(2*G117+H117+I117)/4</f>
        <v>65.2627067316926</v>
      </c>
      <c r="K117" s="35" t="n">
        <f aca="false">(J117-MIN(J$6:J$404))/(MAX(J$6:J$404)-MIN(J$6:J$404))*100</f>
        <v>63.1127007762998</v>
      </c>
    </row>
    <row r="118" customFormat="false" ht="15" hidden="false" customHeight="false" outlineLevel="0" collapsed="false">
      <c r="A118" s="26" t="n">
        <v>4107702</v>
      </c>
      <c r="B118" s="26" t="s">
        <v>183</v>
      </c>
      <c r="C118" s="26" t="s">
        <v>71</v>
      </c>
      <c r="D118" s="28" t="n">
        <v>0.548042704626335</v>
      </c>
      <c r="E118" s="29" t="n">
        <v>1.10079051383399</v>
      </c>
      <c r="F118" s="28" t="n">
        <v>0.25</v>
      </c>
      <c r="G118" s="30" t="n">
        <v>15.7744896047949</v>
      </c>
      <c r="H118" s="30" t="n">
        <v>75.7167258723734</v>
      </c>
      <c r="I118" s="30" t="n">
        <v>75</v>
      </c>
      <c r="J118" s="34" t="n">
        <f aca="false">(2*G118+H118+I118)/4</f>
        <v>45.5664262704908</v>
      </c>
      <c r="K118" s="35" t="n">
        <f aca="false">(J118-MIN(J$6:J$404))/(MAX(J$6:J$404)-MIN(J$6:J$404))*100</f>
        <v>29.9257634254232</v>
      </c>
    </row>
    <row r="119" customFormat="false" ht="15" hidden="false" customHeight="false" outlineLevel="0" collapsed="false">
      <c r="A119" s="26" t="n">
        <v>4107751</v>
      </c>
      <c r="B119" s="26" t="s">
        <v>184</v>
      </c>
      <c r="C119" s="26" t="s">
        <v>65</v>
      </c>
      <c r="D119" s="28" t="n">
        <v>0.293302540415704</v>
      </c>
      <c r="E119" s="29" t="n">
        <v>1.08375378405651</v>
      </c>
      <c r="F119" s="28" t="n">
        <v>0</v>
      </c>
      <c r="G119" s="30" t="n">
        <v>54.9240306308497</v>
      </c>
      <c r="H119" s="30" t="n">
        <v>76.875676571507</v>
      </c>
      <c r="I119" s="30" t="n">
        <v>100</v>
      </c>
      <c r="J119" s="34" t="n">
        <f aca="false">(2*G119+H119+I119)/4</f>
        <v>71.6809344583016</v>
      </c>
      <c r="K119" s="35" t="n">
        <f aca="false">(J119-MIN(J$6:J$404))/(MAX(J$6:J$404)-MIN(J$6:J$404))*100</f>
        <v>73.926992433357</v>
      </c>
    </row>
    <row r="120" customFormat="false" ht="15" hidden="false" customHeight="false" outlineLevel="0" collapsed="false">
      <c r="A120" s="26" t="n">
        <v>4107850</v>
      </c>
      <c r="B120" s="26" t="s">
        <v>185</v>
      </c>
      <c r="C120" s="26" t="s">
        <v>71</v>
      </c>
      <c r="D120" s="28" t="n">
        <v>0.309701492537313</v>
      </c>
      <c r="E120" s="29" t="n">
        <v>1.20526315789474</v>
      </c>
      <c r="F120" s="28" t="n">
        <v>0.5</v>
      </c>
      <c r="G120" s="30" t="n">
        <v>52.4037706205813</v>
      </c>
      <c r="H120" s="30" t="n">
        <v>68.6098077339783</v>
      </c>
      <c r="I120" s="30" t="n">
        <v>50</v>
      </c>
      <c r="J120" s="34" t="n">
        <f aca="false">(2*G120+H120+I120)/4</f>
        <v>55.8543372437852</v>
      </c>
      <c r="K120" s="35" t="n">
        <f aca="false">(J120-MIN(J$6:J$404))/(MAX(J$6:J$404)-MIN(J$6:J$404))*100</f>
        <v>47.2602168830019</v>
      </c>
    </row>
    <row r="121" customFormat="false" ht="15" hidden="false" customHeight="false" outlineLevel="0" collapsed="false">
      <c r="A121" s="26" t="n">
        <v>4107801</v>
      </c>
      <c r="B121" s="26" t="s">
        <v>186</v>
      </c>
      <c r="C121" s="26" t="s">
        <v>71</v>
      </c>
      <c r="D121" s="28" t="n">
        <v>0.47808764940239</v>
      </c>
      <c r="E121" s="29" t="n">
        <v>1.16981132075472</v>
      </c>
      <c r="F121" s="28" t="n">
        <v>0.5</v>
      </c>
      <c r="G121" s="30" t="n">
        <v>26.5254770392116</v>
      </c>
      <c r="H121" s="30" t="n">
        <v>71.0214754645599</v>
      </c>
      <c r="I121" s="30" t="n">
        <v>50</v>
      </c>
      <c r="J121" s="34" t="n">
        <f aca="false">(2*G121+H121+I121)/4</f>
        <v>43.5181073857458</v>
      </c>
      <c r="K121" s="35" t="n">
        <f aca="false">(J121-MIN(J$6:J$404))/(MAX(J$6:J$404)-MIN(J$6:J$404))*100</f>
        <v>26.4744808019576</v>
      </c>
    </row>
    <row r="122" customFormat="false" ht="15" hidden="false" customHeight="false" outlineLevel="0" collapsed="false">
      <c r="A122" s="26" t="n">
        <v>4107900</v>
      </c>
      <c r="B122" s="26" t="s">
        <v>187</v>
      </c>
      <c r="C122" s="26" t="s">
        <v>65</v>
      </c>
      <c r="D122" s="28" t="n">
        <v>0.502013422818792</v>
      </c>
      <c r="E122" s="29" t="n">
        <v>1.08763586956522</v>
      </c>
      <c r="F122" s="28" t="n">
        <v>0.25</v>
      </c>
      <c r="G122" s="30" t="n">
        <v>22.8484634404804</v>
      </c>
      <c r="H122" s="30" t="n">
        <v>76.6115915168529</v>
      </c>
      <c r="I122" s="30" t="n">
        <v>75</v>
      </c>
      <c r="J122" s="34" t="n">
        <f aca="false">(2*G122+H122+I122)/4</f>
        <v>49.3271295994534</v>
      </c>
      <c r="K122" s="35" t="n">
        <f aca="false">(J122-MIN(J$6:J$404))/(MAX(J$6:J$404)-MIN(J$6:J$404))*100</f>
        <v>36.2623012310948</v>
      </c>
    </row>
    <row r="123" customFormat="false" ht="15" hidden="false" customHeight="false" outlineLevel="0" collapsed="false">
      <c r="A123" s="26" t="n">
        <v>4108007</v>
      </c>
      <c r="B123" s="26" t="s">
        <v>188</v>
      </c>
      <c r="C123" s="26" t="s">
        <v>65</v>
      </c>
      <c r="D123" s="28" t="n">
        <v>0.3625</v>
      </c>
      <c r="E123" s="29" t="n">
        <v>1.01835486063902</v>
      </c>
      <c r="F123" s="28" t="n">
        <v>0.285714285714286</v>
      </c>
      <c r="G123" s="30" t="n">
        <v>44.2894736842105</v>
      </c>
      <c r="H123" s="30" t="n">
        <v>81.3245425808425</v>
      </c>
      <c r="I123" s="30" t="n">
        <v>71.4285714285714</v>
      </c>
      <c r="J123" s="34" t="n">
        <f aca="false">(2*G123+H123+I123)/4</f>
        <v>60.3330153444587</v>
      </c>
      <c r="K123" s="35" t="n">
        <f aca="false">(J123-MIN(J$6:J$404))/(MAX(J$6:J$404)-MIN(J$6:J$404))*100</f>
        <v>54.8064949650275</v>
      </c>
    </row>
    <row r="124" customFormat="false" ht="15" hidden="false" customHeight="false" outlineLevel="0" collapsed="false">
      <c r="A124" s="26" t="n">
        <v>4108106</v>
      </c>
      <c r="B124" s="26" t="s">
        <v>189</v>
      </c>
      <c r="C124" s="26" t="s">
        <v>71</v>
      </c>
      <c r="D124" s="28" t="n">
        <v>0.546511627906977</v>
      </c>
      <c r="E124" s="29" t="n">
        <v>1.11111111111111</v>
      </c>
      <c r="F124" s="28" t="n">
        <v>0</v>
      </c>
      <c r="G124" s="30" t="n">
        <v>16.0097919216646</v>
      </c>
      <c r="H124" s="30" t="n">
        <v>75.0146507918846</v>
      </c>
      <c r="I124" s="30" t="n">
        <v>100</v>
      </c>
      <c r="J124" s="34" t="n">
        <f aca="false">(2*G124+H124+I124)/4</f>
        <v>51.7585586588035</v>
      </c>
      <c r="K124" s="35" t="n">
        <f aca="false">(J124-MIN(J$6:J$404))/(MAX(J$6:J$404)-MIN(J$6:J$404))*100</f>
        <v>40.3590993054673</v>
      </c>
    </row>
    <row r="125" customFormat="false" ht="15" hidden="false" customHeight="false" outlineLevel="0" collapsed="false">
      <c r="A125" s="26" t="n">
        <v>4108205</v>
      </c>
      <c r="B125" s="26" t="s">
        <v>190</v>
      </c>
      <c r="C125" s="26" t="s">
        <v>65</v>
      </c>
      <c r="D125" s="28" t="n">
        <v>0.434042553191489</v>
      </c>
      <c r="E125" s="29" t="n">
        <v>1.05454545454545</v>
      </c>
      <c r="F125" s="28" t="n">
        <v>0.5</v>
      </c>
      <c r="G125" s="30" t="n">
        <v>33.2945128779395</v>
      </c>
      <c r="H125" s="30" t="n">
        <v>78.8626197436702</v>
      </c>
      <c r="I125" s="30" t="n">
        <v>50</v>
      </c>
      <c r="J125" s="34" t="n">
        <f aca="false">(2*G125+H125+I125)/4</f>
        <v>48.8629113748873</v>
      </c>
      <c r="K125" s="35" t="n">
        <f aca="false">(J125-MIN(J$6:J$404))/(MAX(J$6:J$404)-MIN(J$6:J$404))*100</f>
        <v>35.4801240496642</v>
      </c>
    </row>
    <row r="126" customFormat="false" ht="15" hidden="false" customHeight="false" outlineLevel="0" collapsed="false">
      <c r="A126" s="26" t="n">
        <v>4108304</v>
      </c>
      <c r="B126" s="26" t="s">
        <v>191</v>
      </c>
      <c r="C126" s="26" t="s">
        <v>138</v>
      </c>
      <c r="D126" s="28" t="n">
        <v>0.26775956284153</v>
      </c>
      <c r="E126" s="29" t="n">
        <v>1.10630429827005</v>
      </c>
      <c r="F126" s="28" t="n">
        <v>0.397260273972603</v>
      </c>
      <c r="G126" s="30" t="n">
        <v>58.849582973828</v>
      </c>
      <c r="H126" s="30" t="n">
        <v>75.3416418973085</v>
      </c>
      <c r="I126" s="30" t="n">
        <v>60.2739726027397</v>
      </c>
      <c r="J126" s="34" t="n">
        <f aca="false">(2*G126+H126+I126)/4</f>
        <v>63.3286951119261</v>
      </c>
      <c r="K126" s="35" t="n">
        <f aca="false">(J126-MIN(J$6:J$404))/(MAX(J$6:J$404)-MIN(J$6:J$404))*100</f>
        <v>59.854018377484</v>
      </c>
    </row>
    <row r="127" customFormat="false" ht="15" hidden="false" customHeight="false" outlineLevel="0" collapsed="false">
      <c r="A127" s="26" t="n">
        <v>4108452</v>
      </c>
      <c r="B127" s="26" t="s">
        <v>192</v>
      </c>
      <c r="C127" s="26" t="s">
        <v>71</v>
      </c>
      <c r="D127" s="28" t="n">
        <v>0.295454545454545</v>
      </c>
      <c r="E127" s="29" t="n">
        <v>1.00137741046832</v>
      </c>
      <c r="F127" s="28" t="n">
        <v>0.333333333333333</v>
      </c>
      <c r="G127" s="30" t="n">
        <v>54.5933014354067</v>
      </c>
      <c r="H127" s="30" t="n">
        <v>82.4794606902348</v>
      </c>
      <c r="I127" s="30" t="n">
        <v>66.6666666666667</v>
      </c>
      <c r="J127" s="34" t="n">
        <f aca="false">(2*G127+H127+I127)/4</f>
        <v>64.5831825569287</v>
      </c>
      <c r="K127" s="35" t="n">
        <f aca="false">(J127-MIN(J$6:J$404))/(MAX(J$6:J$404)-MIN(J$6:J$404))*100</f>
        <v>61.9677472272927</v>
      </c>
    </row>
    <row r="128" customFormat="false" ht="15" hidden="false" customHeight="false" outlineLevel="0" collapsed="false">
      <c r="A128" s="26" t="n">
        <v>4108320</v>
      </c>
      <c r="B128" s="26" t="s">
        <v>193</v>
      </c>
      <c r="C128" s="26" t="s">
        <v>65</v>
      </c>
      <c r="D128" s="28" t="n">
        <v>0.219966159052453</v>
      </c>
      <c r="E128" s="29" t="n">
        <v>1.06428571428572</v>
      </c>
      <c r="F128" s="28" t="n">
        <v>0</v>
      </c>
      <c r="G128" s="30" t="n">
        <v>66.1946745035177</v>
      </c>
      <c r="H128" s="30" t="n">
        <v>78.2000230491663</v>
      </c>
      <c r="I128" s="30" t="n">
        <v>100</v>
      </c>
      <c r="J128" s="34" t="n">
        <f aca="false">(2*G128+H128+I128)/4</f>
        <v>77.6473430140504</v>
      </c>
      <c r="K128" s="35" t="n">
        <f aca="false">(J128-MIN(J$6:J$404))/(MAX(J$6:J$404)-MIN(J$6:J$404))*100</f>
        <v>83.979998499117</v>
      </c>
    </row>
    <row r="129" customFormat="false" ht="15" hidden="false" customHeight="false" outlineLevel="0" collapsed="false">
      <c r="A129" s="26" t="n">
        <v>4108403</v>
      </c>
      <c r="B129" s="26" t="s">
        <v>194</v>
      </c>
      <c r="C129" s="26" t="s">
        <v>129</v>
      </c>
      <c r="D129" s="28" t="n">
        <v>0.40837863767189</v>
      </c>
      <c r="E129" s="29" t="n">
        <v>1.08591037545418</v>
      </c>
      <c r="F129" s="28" t="n">
        <v>0.333333333333333</v>
      </c>
      <c r="G129" s="30" t="n">
        <v>37.2386514735832</v>
      </c>
      <c r="H129" s="30" t="n">
        <v>76.7289710041405</v>
      </c>
      <c r="I129" s="30" t="n">
        <v>66.6666666666667</v>
      </c>
      <c r="J129" s="34" t="n">
        <f aca="false">(2*G129+H129+I129)/4</f>
        <v>54.4682351544934</v>
      </c>
      <c r="K129" s="35" t="n">
        <f aca="false">(J129-MIN(J$6:J$404))/(MAX(J$6:J$404)-MIN(J$6:J$404))*100</f>
        <v>44.9247260125373</v>
      </c>
    </row>
    <row r="130" customFormat="false" ht="15" hidden="false" customHeight="false" outlineLevel="0" collapsed="false">
      <c r="A130" s="26" t="n">
        <v>4108502</v>
      </c>
      <c r="B130" s="26" t="s">
        <v>195</v>
      </c>
      <c r="C130" s="26" t="s">
        <v>65</v>
      </c>
      <c r="D130" s="28" t="n">
        <v>0.1</v>
      </c>
      <c r="E130" s="29" t="n">
        <v>1.11901840490798</v>
      </c>
      <c r="F130" s="28" t="n">
        <v>0.25</v>
      </c>
      <c r="G130" s="30" t="n">
        <v>84.6315789473684</v>
      </c>
      <c r="H130" s="30" t="n">
        <v>74.4767445273712</v>
      </c>
      <c r="I130" s="30" t="n">
        <v>75</v>
      </c>
      <c r="J130" s="34" t="n">
        <f aca="false">(2*G130+H130+I130)/4</f>
        <v>79.684975605527</v>
      </c>
      <c r="K130" s="35" t="n">
        <f aca="false">(J130-MIN(J$6:J$404))/(MAX(J$6:J$404)-MIN(J$6:J$404))*100</f>
        <v>87.4132754211553</v>
      </c>
    </row>
    <row r="131" customFormat="false" ht="15" hidden="false" customHeight="false" outlineLevel="0" collapsed="false">
      <c r="A131" s="26" t="n">
        <v>4108551</v>
      </c>
      <c r="B131" s="26" t="s">
        <v>196</v>
      </c>
      <c r="C131" s="26" t="s">
        <v>71</v>
      </c>
      <c r="D131" s="28" t="n">
        <v>0.345323741007194</v>
      </c>
      <c r="E131" s="29" t="n">
        <v>1.07588075880759</v>
      </c>
      <c r="F131" s="28" t="n">
        <v>0.5</v>
      </c>
      <c r="G131" s="30" t="n">
        <v>46.9291934873154</v>
      </c>
      <c r="H131" s="30" t="n">
        <v>77.4112516634235</v>
      </c>
      <c r="I131" s="30" t="n">
        <v>50</v>
      </c>
      <c r="J131" s="34" t="n">
        <f aca="false">(2*G131+H131+I131)/4</f>
        <v>55.3174096595136</v>
      </c>
      <c r="K131" s="35" t="n">
        <f aca="false">(J131-MIN(J$6:J$404))/(MAX(J$6:J$404)-MIN(J$6:J$404))*100</f>
        <v>46.3555292118307</v>
      </c>
    </row>
    <row r="132" customFormat="false" ht="15" hidden="false" customHeight="false" outlineLevel="0" collapsed="false">
      <c r="A132" s="26" t="n">
        <v>4108601</v>
      </c>
      <c r="B132" s="26" t="s">
        <v>197</v>
      </c>
      <c r="C132" s="26" t="s">
        <v>86</v>
      </c>
      <c r="D132" s="28" t="n">
        <v>0.378443113772455</v>
      </c>
      <c r="E132" s="29" t="n">
        <v>1.11829474872953</v>
      </c>
      <c r="F132" s="28" t="n">
        <v>0.461538461538462</v>
      </c>
      <c r="G132" s="30" t="n">
        <v>41.8392688307595</v>
      </c>
      <c r="H132" s="30" t="n">
        <v>74.5259723923954</v>
      </c>
      <c r="I132" s="30" t="n">
        <v>53.8461538461539</v>
      </c>
      <c r="J132" s="34" t="n">
        <f aca="false">(2*G132+H132+I132)/4</f>
        <v>53.0126659750171</v>
      </c>
      <c r="K132" s="35" t="n">
        <f aca="false">(J132-MIN(J$6:J$404))/(MAX(J$6:J$404)-MIN(J$6:J$404))*100</f>
        <v>42.4721876632636</v>
      </c>
    </row>
    <row r="133" customFormat="false" ht="15" hidden="false" customHeight="false" outlineLevel="0" collapsed="false">
      <c r="A133" s="26" t="n">
        <v>4108650</v>
      </c>
      <c r="B133" s="26" t="s">
        <v>198</v>
      </c>
      <c r="C133" s="26" t="s">
        <v>65</v>
      </c>
      <c r="D133" s="28" t="n">
        <v>0.236401673640167</v>
      </c>
      <c r="E133" s="29" t="n">
        <v>1.06944444444444</v>
      </c>
      <c r="F133" s="28" t="n">
        <v>0.5</v>
      </c>
      <c r="G133" s="30" t="n">
        <v>63.6687954195111</v>
      </c>
      <c r="H133" s="30" t="n">
        <v>77.8490922072623</v>
      </c>
      <c r="I133" s="30" t="n">
        <v>50</v>
      </c>
      <c r="J133" s="34" t="n">
        <f aca="false">(2*G133+H133+I133)/4</f>
        <v>63.7966707615711</v>
      </c>
      <c r="K133" s="35" t="n">
        <f aca="false">(J133-MIN(J$6:J$404))/(MAX(J$6:J$404)-MIN(J$6:J$404))*100</f>
        <v>60.6425265730847</v>
      </c>
    </row>
    <row r="134" customFormat="false" ht="15" hidden="false" customHeight="false" outlineLevel="0" collapsed="false">
      <c r="A134" s="26" t="n">
        <v>4108700</v>
      </c>
      <c r="B134" s="26" t="s">
        <v>199</v>
      </c>
      <c r="C134" s="26" t="s">
        <v>65</v>
      </c>
      <c r="D134" s="28" t="n">
        <v>0.409214092140921</v>
      </c>
      <c r="E134" s="29" t="n">
        <v>1.20827389443652</v>
      </c>
      <c r="F134" s="28" t="n">
        <v>0</v>
      </c>
      <c r="G134" s="30" t="n">
        <v>37.1102553130795</v>
      </c>
      <c r="H134" s="30" t="n">
        <v>68.4049975817027</v>
      </c>
      <c r="I134" s="30" t="n">
        <v>100</v>
      </c>
      <c r="J134" s="34" t="n">
        <f aca="false">(2*G134+H134+I134)/4</f>
        <v>60.6563770519654</v>
      </c>
      <c r="K134" s="35" t="n">
        <f aca="false">(J134-MIN(J$6:J$404))/(MAX(J$6:J$404)-MIN(J$6:J$404))*100</f>
        <v>55.3513381779292</v>
      </c>
    </row>
    <row r="135" customFormat="false" ht="15" hidden="false" customHeight="false" outlineLevel="0" collapsed="false">
      <c r="A135" s="26" t="n">
        <v>4108908</v>
      </c>
      <c r="B135" s="26" t="s">
        <v>200</v>
      </c>
      <c r="C135" s="26" t="s">
        <v>65</v>
      </c>
      <c r="D135" s="28" t="n">
        <v>0.267094017094017</v>
      </c>
      <c r="E135" s="29" t="n">
        <v>1.15202702702703</v>
      </c>
      <c r="F135" s="28" t="n">
        <v>0.5</v>
      </c>
      <c r="G135" s="30" t="n">
        <v>58.9518668466037</v>
      </c>
      <c r="H135" s="30" t="n">
        <v>72.2312803930001</v>
      </c>
      <c r="I135" s="30" t="n">
        <v>50</v>
      </c>
      <c r="J135" s="34" t="n">
        <f aca="false">(2*G135+H135+I135)/4</f>
        <v>60.0337535215519</v>
      </c>
      <c r="K135" s="35" t="n">
        <f aca="false">(J135-MIN(J$6:J$404))/(MAX(J$6:J$404)-MIN(J$6:J$404))*100</f>
        <v>54.3022584728693</v>
      </c>
    </row>
    <row r="136" customFormat="false" ht="15" hidden="false" customHeight="false" outlineLevel="0" collapsed="false">
      <c r="A136" s="26" t="n">
        <v>4108809</v>
      </c>
      <c r="B136" s="26" t="s">
        <v>201</v>
      </c>
      <c r="C136" s="26" t="s">
        <v>86</v>
      </c>
      <c r="D136" s="28" t="n">
        <v>0.320569902048086</v>
      </c>
      <c r="E136" s="29" t="n">
        <v>1.09845349597038</v>
      </c>
      <c r="F136" s="28" t="n">
        <v>0.214285714285714</v>
      </c>
      <c r="G136" s="30" t="n">
        <v>50.7334676852416</v>
      </c>
      <c r="H136" s="30" t="n">
        <v>75.87570523768</v>
      </c>
      <c r="I136" s="30" t="n">
        <v>78.5714285714286</v>
      </c>
      <c r="J136" s="34" t="n">
        <f aca="false">(2*G136+H136+I136)/4</f>
        <v>63.9785172948979</v>
      </c>
      <c r="K136" s="35" t="n">
        <f aca="false">(J136-MIN(J$6:J$404))/(MAX(J$6:J$404)-MIN(J$6:J$404))*100</f>
        <v>60.948926023523</v>
      </c>
    </row>
    <row r="137" customFormat="false" ht="15" hidden="false" customHeight="false" outlineLevel="0" collapsed="false">
      <c r="A137" s="26" t="n">
        <v>4108957</v>
      </c>
      <c r="B137" s="26" t="s">
        <v>202</v>
      </c>
      <c r="C137" s="26" t="s">
        <v>65</v>
      </c>
      <c r="D137" s="28" t="n">
        <v>0.0662650602409638</v>
      </c>
      <c r="E137" s="29" t="n">
        <v>1.07664233576642</v>
      </c>
      <c r="F137" s="28" t="n">
        <v>0.333333333333333</v>
      </c>
      <c r="G137" s="30" t="n">
        <v>89.8161065313887</v>
      </c>
      <c r="H137" s="30" t="n">
        <v>77.3594441768686</v>
      </c>
      <c r="I137" s="30" t="n">
        <v>66.6666666666667</v>
      </c>
      <c r="J137" s="34" t="n">
        <f aca="false">(2*G137+H137+I137)/4</f>
        <v>80.9145809765782</v>
      </c>
      <c r="K137" s="35" t="n">
        <f aca="false">(J137-MIN(J$6:J$404))/(MAX(J$6:J$404)-MIN(J$6:J$404))*100</f>
        <v>89.4850796125994</v>
      </c>
    </row>
    <row r="138" customFormat="false" ht="15" hidden="false" customHeight="false" outlineLevel="0" collapsed="false">
      <c r="A138" s="26" t="n">
        <v>4109005</v>
      </c>
      <c r="B138" s="26" t="s">
        <v>203</v>
      </c>
      <c r="C138" s="26" t="s">
        <v>71</v>
      </c>
      <c r="D138" s="28" t="n">
        <v>0.422297297297297</v>
      </c>
      <c r="E138" s="29" t="n">
        <v>1.07929515418502</v>
      </c>
      <c r="F138" s="28" t="n">
        <v>0</v>
      </c>
      <c r="G138" s="30" t="n">
        <v>35.099573257468</v>
      </c>
      <c r="H138" s="30" t="n">
        <v>77.178981975433</v>
      </c>
      <c r="I138" s="30" t="n">
        <v>100</v>
      </c>
      <c r="J138" s="34" t="n">
        <f aca="false">(2*G138+H138+I138)/4</f>
        <v>61.8445321225922</v>
      </c>
      <c r="K138" s="35" t="n">
        <f aca="false">(J138-MIN(J$6:J$404))/(MAX(J$6:J$404)-MIN(J$6:J$404))*100</f>
        <v>57.3533013389277</v>
      </c>
    </row>
    <row r="139" customFormat="false" ht="15" hidden="false" customHeight="false" outlineLevel="0" collapsed="false">
      <c r="A139" s="26" t="n">
        <v>4109104</v>
      </c>
      <c r="B139" s="26" t="s">
        <v>204</v>
      </c>
      <c r="C139" s="26" t="s">
        <v>71</v>
      </c>
      <c r="D139" s="28" t="n">
        <v>0.646017699115044</v>
      </c>
      <c r="E139" s="29" t="n">
        <v>1.03846153846154</v>
      </c>
      <c r="F139" s="28" t="n">
        <v>0</v>
      </c>
      <c r="G139" s="30" t="n">
        <v>0.717279925477417</v>
      </c>
      <c r="H139" s="30" t="n">
        <v>79.9567537725432</v>
      </c>
      <c r="I139" s="30" t="n">
        <v>100</v>
      </c>
      <c r="J139" s="34" t="n">
        <f aca="false">(2*G139+H139+I139)/4</f>
        <v>45.3478284058745</v>
      </c>
      <c r="K139" s="35" t="n">
        <f aca="false">(J139-MIN(J$6:J$404))/(MAX(J$6:J$404)-MIN(J$6:J$404))*100</f>
        <v>29.5574403985276</v>
      </c>
    </row>
    <row r="140" customFormat="false" ht="15" hidden="false" customHeight="false" outlineLevel="0" collapsed="false">
      <c r="A140" s="26" t="n">
        <v>4109203</v>
      </c>
      <c r="B140" s="26" t="s">
        <v>205</v>
      </c>
      <c r="C140" s="26" t="s">
        <v>71</v>
      </c>
      <c r="D140" s="28" t="n">
        <v>0.366300366300366</v>
      </c>
      <c r="E140" s="29" t="n">
        <v>1.19542253521127</v>
      </c>
      <c r="F140" s="28" t="n">
        <v>0</v>
      </c>
      <c r="G140" s="30" t="n">
        <v>43.7054173896279</v>
      </c>
      <c r="H140" s="30" t="n">
        <v>69.2792317776695</v>
      </c>
      <c r="I140" s="30" t="n">
        <v>100</v>
      </c>
      <c r="J140" s="34" t="n">
        <f aca="false">(2*G140+H140+I140)/4</f>
        <v>64.1725166392313</v>
      </c>
      <c r="K140" s="35" t="n">
        <f aca="false">(J140-MIN(J$6:J$404))/(MAX(J$6:J$404)-MIN(J$6:J$404))*100</f>
        <v>61.2758021613392</v>
      </c>
    </row>
    <row r="141" customFormat="false" ht="15" hidden="false" customHeight="false" outlineLevel="0" collapsed="false">
      <c r="A141" s="26" t="n">
        <v>4109302</v>
      </c>
      <c r="B141" s="26" t="s">
        <v>206</v>
      </c>
      <c r="C141" s="26" t="s">
        <v>65</v>
      </c>
      <c r="D141" s="28" t="n">
        <v>0.296788482834995</v>
      </c>
      <c r="E141" s="29" t="n">
        <v>1.08401400233372</v>
      </c>
      <c r="F141" s="28" t="n">
        <v>0.142857142857143</v>
      </c>
      <c r="G141" s="30" t="n">
        <v>54.3882963222009</v>
      </c>
      <c r="H141" s="30" t="n">
        <v>76.8579748084196</v>
      </c>
      <c r="I141" s="30" t="n">
        <v>85.7142857142857</v>
      </c>
      <c r="J141" s="34" t="n">
        <f aca="false">(2*G141+H141+I141)/4</f>
        <v>67.8372132917768</v>
      </c>
      <c r="K141" s="35" t="n">
        <f aca="false">(J141-MIN(J$6:J$404))/(MAX(J$6:J$404)-MIN(J$6:J$404))*100</f>
        <v>67.4505750306413</v>
      </c>
    </row>
    <row r="142" customFormat="false" ht="15" hidden="false" customHeight="false" outlineLevel="0" collapsed="false">
      <c r="A142" s="26" t="n">
        <v>4109401</v>
      </c>
      <c r="B142" s="26" t="s">
        <v>207</v>
      </c>
      <c r="C142" s="26" t="s">
        <v>69</v>
      </c>
      <c r="D142" s="28" t="n">
        <v>0.230396372449378</v>
      </c>
      <c r="E142" s="29" t="n">
        <v>1.14244345307975</v>
      </c>
      <c r="F142" s="28" t="n">
        <v>0.458333333333333</v>
      </c>
      <c r="G142" s="30" t="n">
        <v>64.5917153919903</v>
      </c>
      <c r="H142" s="30" t="n">
        <v>72.8832182866838</v>
      </c>
      <c r="I142" s="30" t="n">
        <v>54.1666666666667</v>
      </c>
      <c r="J142" s="34" t="n">
        <f aca="false">(2*G142+H142+I142)/4</f>
        <v>64.0583289343328</v>
      </c>
      <c r="K142" s="35" t="n">
        <f aca="false">(J142-MIN(J$6:J$404))/(MAX(J$6:J$404)-MIN(J$6:J$404))*100</f>
        <v>61.0834033875619</v>
      </c>
    </row>
    <row r="143" customFormat="false" ht="15" hidden="false" customHeight="false" outlineLevel="0" collapsed="false">
      <c r="A143" s="26" t="n">
        <v>4109500</v>
      </c>
      <c r="B143" s="26" t="s">
        <v>208</v>
      </c>
      <c r="C143" s="26" t="s">
        <v>65</v>
      </c>
      <c r="D143" s="28" t="n">
        <v>0.16542750929368</v>
      </c>
      <c r="E143" s="29" t="n">
        <v>1.16837209302326</v>
      </c>
      <c r="F143" s="28" t="n">
        <v>0</v>
      </c>
      <c r="G143" s="30" t="n">
        <v>74.576403834866</v>
      </c>
      <c r="H143" s="30" t="n">
        <v>71.1193812250771</v>
      </c>
      <c r="I143" s="30" t="n">
        <v>100</v>
      </c>
      <c r="J143" s="34" t="n">
        <f aca="false">(2*G143+H143+I143)/4</f>
        <v>80.0680472237023</v>
      </c>
      <c r="K143" s="35" t="n">
        <f aca="false">(J143-MIN(J$6:J$404))/(MAX(J$6:J$404)-MIN(J$6:J$404))*100</f>
        <v>88.0587259070134</v>
      </c>
    </row>
    <row r="144" customFormat="false" ht="15" hidden="false" customHeight="false" outlineLevel="0" collapsed="false">
      <c r="A144" s="26" t="n">
        <v>4109609</v>
      </c>
      <c r="B144" s="26" t="s">
        <v>209</v>
      </c>
      <c r="C144" s="26" t="s">
        <v>86</v>
      </c>
      <c r="D144" s="28" t="n">
        <v>0.480895407178696</v>
      </c>
      <c r="E144" s="29" t="n">
        <v>1.18931174089069</v>
      </c>
      <c r="F144" s="28" t="n">
        <v>0.461538461538462</v>
      </c>
      <c r="G144" s="30" t="n">
        <v>26.093969002011</v>
      </c>
      <c r="H144" s="30" t="n">
        <v>69.694928301744</v>
      </c>
      <c r="I144" s="30" t="n">
        <v>53.8461538461539</v>
      </c>
      <c r="J144" s="34" t="n">
        <f aca="false">(2*G144+H144+I144)/4</f>
        <v>43.93225503798</v>
      </c>
      <c r="K144" s="35" t="n">
        <f aca="false">(J144-MIN(J$6:J$404))/(MAX(J$6:J$404)-MIN(J$6:J$404))*100</f>
        <v>27.1722923616469</v>
      </c>
    </row>
    <row r="145" customFormat="false" ht="15" hidden="false" customHeight="false" outlineLevel="0" collapsed="false">
      <c r="A145" s="26" t="n">
        <v>4109658</v>
      </c>
      <c r="B145" s="26" t="s">
        <v>210</v>
      </c>
      <c r="C145" s="26" t="s">
        <v>71</v>
      </c>
      <c r="D145" s="28" t="n">
        <v>0.234957020057307</v>
      </c>
      <c r="E145" s="29" t="n">
        <v>1.1271676300578</v>
      </c>
      <c r="F145" s="28" t="n">
        <v>0</v>
      </c>
      <c r="G145" s="30" t="n">
        <v>63.8908158648771</v>
      </c>
      <c r="H145" s="30" t="n">
        <v>73.9223804969413</v>
      </c>
      <c r="I145" s="30" t="n">
        <v>100</v>
      </c>
      <c r="J145" s="34" t="n">
        <f aca="false">(2*G145+H145+I145)/4</f>
        <v>75.4260030566739</v>
      </c>
      <c r="K145" s="35" t="n">
        <f aca="false">(J145-MIN(J$6:J$404))/(MAX(J$6:J$404)-MIN(J$6:J$404))*100</f>
        <v>80.2371867461229</v>
      </c>
    </row>
    <row r="146" customFormat="false" ht="15" hidden="false" customHeight="false" outlineLevel="0" collapsed="false">
      <c r="A146" s="26" t="n">
        <v>4109708</v>
      </c>
      <c r="B146" s="26" t="s">
        <v>211</v>
      </c>
      <c r="C146" s="26" t="s">
        <v>86</v>
      </c>
      <c r="D146" s="28" t="n">
        <v>0.344919786096257</v>
      </c>
      <c r="E146" s="29" t="n">
        <v>1.14144385026738</v>
      </c>
      <c r="F146" s="28" t="n">
        <v>0.272727272727273</v>
      </c>
      <c r="G146" s="30" t="n">
        <v>46.9912749788911</v>
      </c>
      <c r="H146" s="30" t="n">
        <v>72.9512178613315</v>
      </c>
      <c r="I146" s="30" t="n">
        <v>72.7272727272727</v>
      </c>
      <c r="J146" s="34" t="n">
        <f aca="false">(2*G146+H146+I146)/4</f>
        <v>59.9152601365966</v>
      </c>
      <c r="K146" s="35" t="n">
        <f aca="false">(J146-MIN(J$6:J$404))/(MAX(J$6:J$404)-MIN(J$6:J$404))*100</f>
        <v>54.1026049113377</v>
      </c>
    </row>
    <row r="147" customFormat="false" ht="15" hidden="false" customHeight="false" outlineLevel="0" collapsed="false">
      <c r="A147" s="26" t="n">
        <v>4109757</v>
      </c>
      <c r="B147" s="26" t="s">
        <v>212</v>
      </c>
      <c r="C147" s="26" t="s">
        <v>65</v>
      </c>
      <c r="D147" s="28" t="n">
        <v>0.374429223744292</v>
      </c>
      <c r="E147" s="29" t="n">
        <v>1.28896473265074</v>
      </c>
      <c r="F147" s="28" t="n">
        <v>0.333333333333333</v>
      </c>
      <c r="G147" s="30" t="n">
        <v>42.4561403508772</v>
      </c>
      <c r="H147" s="30" t="n">
        <v>62.9158746934803</v>
      </c>
      <c r="I147" s="30" t="n">
        <v>66.6666666666667</v>
      </c>
      <c r="J147" s="34" t="n">
        <f aca="false">(2*G147+H147+I147)/4</f>
        <v>53.6237055154753</v>
      </c>
      <c r="K147" s="35" t="n">
        <f aca="false">(J147-MIN(J$6:J$404))/(MAX(J$6:J$404)-MIN(J$6:J$404))*100</f>
        <v>43.5017491070114</v>
      </c>
    </row>
    <row r="148" customFormat="false" ht="15" hidden="false" customHeight="false" outlineLevel="0" collapsed="false">
      <c r="A148" s="26" t="n">
        <v>4109807</v>
      </c>
      <c r="B148" s="26" t="s">
        <v>213</v>
      </c>
      <c r="C148" s="26" t="s">
        <v>86</v>
      </c>
      <c r="D148" s="28" t="n">
        <v>0.407244414353419</v>
      </c>
      <c r="E148" s="29" t="n">
        <v>1.18270918665887</v>
      </c>
      <c r="F148" s="28" t="n">
        <v>0.28</v>
      </c>
      <c r="G148" s="30" t="n">
        <v>37.412963688843</v>
      </c>
      <c r="H148" s="30" t="n">
        <v>70.144077577631</v>
      </c>
      <c r="I148" s="30" t="n">
        <v>72</v>
      </c>
      <c r="J148" s="34" t="n">
        <f aca="false">(2*G148+H148+I148)/4</f>
        <v>54.2425012388292</v>
      </c>
      <c r="K148" s="35" t="n">
        <f aca="false">(J148-MIN(J$6:J$404))/(MAX(J$6:J$404)-MIN(J$6:J$404))*100</f>
        <v>44.5443792088922</v>
      </c>
    </row>
    <row r="149" customFormat="false" ht="15" hidden="false" customHeight="false" outlineLevel="0" collapsed="false">
      <c r="A149" s="26" t="n">
        <v>4109906</v>
      </c>
      <c r="B149" s="26" t="s">
        <v>214</v>
      </c>
      <c r="C149" s="26" t="s">
        <v>65</v>
      </c>
      <c r="D149" s="28" t="n">
        <v>0.282051282051282</v>
      </c>
      <c r="E149" s="29" t="n">
        <v>1.22740247383444</v>
      </c>
      <c r="F149" s="28" t="n">
        <v>0.333333333333333</v>
      </c>
      <c r="G149" s="30" t="n">
        <v>56.6531713900135</v>
      </c>
      <c r="H149" s="30" t="n">
        <v>67.103745477795</v>
      </c>
      <c r="I149" s="30" t="n">
        <v>66.6666666666667</v>
      </c>
      <c r="J149" s="34" t="n">
        <f aca="false">(2*G149+H149+I149)/4</f>
        <v>61.7691887311222</v>
      </c>
      <c r="K149" s="35" t="n">
        <f aca="false">(J149-MIN(J$6:J$404))/(MAX(J$6:J$404)-MIN(J$6:J$404))*100</f>
        <v>57.2263526788776</v>
      </c>
    </row>
    <row r="150" customFormat="false" ht="15" hidden="false" customHeight="false" outlineLevel="0" collapsed="false">
      <c r="A150" s="26" t="n">
        <v>4110003</v>
      </c>
      <c r="B150" s="26" t="s">
        <v>215</v>
      </c>
      <c r="C150" s="26" t="s">
        <v>65</v>
      </c>
      <c r="D150" s="28" t="n">
        <v>0.551319648093842</v>
      </c>
      <c r="E150" s="29" t="n">
        <v>1.08528198074278</v>
      </c>
      <c r="F150" s="28" t="n">
        <v>0</v>
      </c>
      <c r="G150" s="30" t="n">
        <v>15.2708751350517</v>
      </c>
      <c r="H150" s="30" t="n">
        <v>76.7717185560252</v>
      </c>
      <c r="I150" s="30" t="n">
        <v>100</v>
      </c>
      <c r="J150" s="34" t="n">
        <f aca="false">(2*G150+H150+I150)/4</f>
        <v>51.8283672065322</v>
      </c>
      <c r="K150" s="35" t="n">
        <f aca="false">(J150-MIN(J$6:J$404))/(MAX(J$6:J$404)-MIN(J$6:J$404))*100</f>
        <v>40.4767221177841</v>
      </c>
    </row>
    <row r="151" customFormat="false" ht="15" hidden="false" customHeight="false" outlineLevel="0" collapsed="false">
      <c r="A151" s="26" t="n">
        <v>4110052</v>
      </c>
      <c r="B151" s="26" t="s">
        <v>216</v>
      </c>
      <c r="C151" s="26" t="s">
        <v>71</v>
      </c>
      <c r="D151" s="28" t="n">
        <v>0.625</v>
      </c>
      <c r="E151" s="29" t="n">
        <v>1.06584362139918</v>
      </c>
      <c r="F151" s="28" t="n">
        <v>0</v>
      </c>
      <c r="G151" s="30" t="n">
        <v>3.94736842105264</v>
      </c>
      <c r="H151" s="30" t="n">
        <v>78.0940439345172</v>
      </c>
      <c r="I151" s="30" t="n">
        <v>100</v>
      </c>
      <c r="J151" s="34" t="n">
        <f aca="false">(2*G151+H151+I151)/4</f>
        <v>46.4971951941556</v>
      </c>
      <c r="K151" s="35" t="n">
        <f aca="false">(J151-MIN(J$6:J$404))/(MAX(J$6:J$404)-MIN(J$6:J$404))*100</f>
        <v>31.4940478544886</v>
      </c>
    </row>
    <row r="152" customFormat="false" ht="15" hidden="false" customHeight="false" outlineLevel="0" collapsed="false">
      <c r="A152" s="26" t="n">
        <v>4110078</v>
      </c>
      <c r="B152" s="26" t="s">
        <v>217</v>
      </c>
      <c r="C152" s="26" t="s">
        <v>65</v>
      </c>
      <c r="D152" s="28" t="n">
        <v>0.13986013986014</v>
      </c>
      <c r="E152" s="29" t="n">
        <v>0.912082745651152</v>
      </c>
      <c r="F152" s="28" t="n">
        <v>0.25</v>
      </c>
      <c r="G152" s="30" t="n">
        <v>78.5057048214943</v>
      </c>
      <c r="H152" s="30" t="n">
        <v>88.5538725973562</v>
      </c>
      <c r="I152" s="30" t="n">
        <v>75</v>
      </c>
      <c r="J152" s="34" t="n">
        <f aca="false">(2*G152+H152+I152)/4</f>
        <v>80.1413205600862</v>
      </c>
      <c r="K152" s="35" t="n">
        <f aca="false">(J152-MIN(J$6:J$404))/(MAX(J$6:J$404)-MIN(J$6:J$404))*100</f>
        <v>88.1821866603701</v>
      </c>
    </row>
    <row r="153" customFormat="false" ht="15" hidden="false" customHeight="false" outlineLevel="0" collapsed="false">
      <c r="A153" s="26" t="n">
        <v>4110102</v>
      </c>
      <c r="B153" s="26" t="s">
        <v>218</v>
      </c>
      <c r="C153" s="26" t="s">
        <v>86</v>
      </c>
      <c r="D153" s="28" t="n">
        <v>0.240875912408759</v>
      </c>
      <c r="E153" s="29" t="n">
        <v>1.16370023419204</v>
      </c>
      <c r="F153" s="28" t="n">
        <v>0.25</v>
      </c>
      <c r="G153" s="30" t="n">
        <v>62.9811755666539</v>
      </c>
      <c r="H153" s="30" t="n">
        <v>71.4371918688691</v>
      </c>
      <c r="I153" s="30" t="n">
        <v>75</v>
      </c>
      <c r="J153" s="34" t="n">
        <f aca="false">(2*G153+H153+I153)/4</f>
        <v>68.0998857505442</v>
      </c>
      <c r="K153" s="35" t="n">
        <f aca="false">(J153-MIN(J$6:J$404))/(MAX(J$6:J$404)-MIN(J$6:J$404))*100</f>
        <v>67.8931608503389</v>
      </c>
    </row>
    <row r="154" customFormat="false" ht="15" hidden="false" customHeight="false" outlineLevel="0" collapsed="false">
      <c r="A154" s="26" t="n">
        <v>4110300</v>
      </c>
      <c r="B154" s="26" t="s">
        <v>219</v>
      </c>
      <c r="C154" s="26" t="s">
        <v>71</v>
      </c>
      <c r="D154" s="28" t="n">
        <v>0.650684931506849</v>
      </c>
      <c r="E154" s="29" t="n">
        <v>0.952095808383234</v>
      </c>
      <c r="F154" s="28" t="n">
        <v>0</v>
      </c>
      <c r="G154" s="30" t="n">
        <v>0</v>
      </c>
      <c r="H154" s="30" t="n">
        <v>85.8319202254221</v>
      </c>
      <c r="I154" s="30" t="n">
        <v>100</v>
      </c>
      <c r="J154" s="34" t="n">
        <f aca="false">(2*G154+H154+I154)/4</f>
        <v>46.4579800563555</v>
      </c>
      <c r="K154" s="35" t="n">
        <f aca="false">(J154-MIN(J$6:J$404))/(MAX(J$6:J$404)-MIN(J$6:J$404))*100</f>
        <v>31.4279729260806</v>
      </c>
    </row>
    <row r="155" customFormat="false" ht="15" hidden="false" customHeight="false" outlineLevel="0" collapsed="false">
      <c r="A155" s="26" t="n">
        <v>4110201</v>
      </c>
      <c r="B155" s="26" t="s">
        <v>220</v>
      </c>
      <c r="C155" s="26" t="s">
        <v>65</v>
      </c>
      <c r="D155" s="28" t="n">
        <v>0.254038179148311</v>
      </c>
      <c r="E155" s="29" t="n">
        <v>1.12975543478261</v>
      </c>
      <c r="F155" s="28" t="n">
        <v>0</v>
      </c>
      <c r="G155" s="30" t="n">
        <v>60.958342994049</v>
      </c>
      <c r="H155" s="30" t="n">
        <v>73.7463409556558</v>
      </c>
      <c r="I155" s="30" t="n">
        <v>100</v>
      </c>
      <c r="J155" s="34" t="n">
        <f aca="false">(2*G155+H155+I155)/4</f>
        <v>73.9157567359384</v>
      </c>
      <c r="K155" s="35" t="n">
        <f aca="false">(J155-MIN(J$6:J$404))/(MAX(J$6:J$404)-MIN(J$6:J$404))*100</f>
        <v>77.6925210093932</v>
      </c>
    </row>
    <row r="156" customFormat="false" ht="15" hidden="false" customHeight="false" outlineLevel="0" collapsed="false">
      <c r="A156" s="26" t="n">
        <v>4110409</v>
      </c>
      <c r="B156" s="26" t="s">
        <v>221</v>
      </c>
      <c r="C156" s="26" t="s">
        <v>71</v>
      </c>
      <c r="D156" s="28" t="n">
        <v>0.625984251968504</v>
      </c>
      <c r="E156" s="29" t="n">
        <v>1.18100358422939</v>
      </c>
      <c r="F156" s="28" t="n">
        <v>0</v>
      </c>
      <c r="G156" s="30" t="n">
        <v>3.79610443431414</v>
      </c>
      <c r="H156" s="30" t="n">
        <v>70.2601039015735</v>
      </c>
      <c r="I156" s="30" t="n">
        <v>100</v>
      </c>
      <c r="J156" s="34" t="n">
        <f aca="false">(2*G156+H156+I156)/4</f>
        <v>44.4630781925504</v>
      </c>
      <c r="K156" s="35" t="n">
        <f aca="false">(J156-MIN(J$6:J$404))/(MAX(J$6:J$404)-MIN(J$6:J$404))*100</f>
        <v>28.0666944701986</v>
      </c>
    </row>
    <row r="157" customFormat="false" ht="15" hidden="false" customHeight="false" outlineLevel="0" collapsed="false">
      <c r="A157" s="26" t="n">
        <v>4110508</v>
      </c>
      <c r="B157" s="26" t="s">
        <v>222</v>
      </c>
      <c r="C157" s="26" t="s">
        <v>65</v>
      </c>
      <c r="D157" s="28" t="n">
        <v>0.120911793855302</v>
      </c>
      <c r="E157" s="29" t="n">
        <v>1.14457228614307</v>
      </c>
      <c r="F157" s="28" t="n">
        <v>0.5</v>
      </c>
      <c r="G157" s="30" t="n">
        <v>81.4177664180272</v>
      </c>
      <c r="H157" s="30" t="n">
        <v>72.7384010242575</v>
      </c>
      <c r="I157" s="30" t="n">
        <v>50</v>
      </c>
      <c r="J157" s="34" t="n">
        <f aca="false">(2*G157+H157+I157)/4</f>
        <v>71.393483465078</v>
      </c>
      <c r="K157" s="35" t="n">
        <f aca="false">(J157-MIN(J$6:J$404))/(MAX(J$6:J$404)-MIN(J$6:J$404))*100</f>
        <v>73.4426564125357</v>
      </c>
    </row>
    <row r="158" customFormat="false" ht="15" hidden="false" customHeight="false" outlineLevel="0" collapsed="false">
      <c r="A158" s="26" t="n">
        <v>4110607</v>
      </c>
      <c r="B158" s="26" t="s">
        <v>223</v>
      </c>
      <c r="C158" s="26" t="s">
        <v>65</v>
      </c>
      <c r="D158" s="28" t="n">
        <v>0.338360037700283</v>
      </c>
      <c r="E158" s="29" t="n">
        <v>1.11133810010215</v>
      </c>
      <c r="F158" s="28" t="n">
        <v>0.333333333333333</v>
      </c>
      <c r="G158" s="30" t="n">
        <v>47.9994047323776</v>
      </c>
      <c r="H158" s="30" t="n">
        <v>74.9992095039561</v>
      </c>
      <c r="I158" s="30" t="n">
        <v>66.6666666666667</v>
      </c>
      <c r="J158" s="34" t="n">
        <f aca="false">(2*G158+H158+I158)/4</f>
        <v>59.4161714088445</v>
      </c>
      <c r="K158" s="35" t="n">
        <f aca="false">(J158-MIN(J$6:J$404))/(MAX(J$6:J$404)-MIN(J$6:J$404))*100</f>
        <v>53.2616732251209</v>
      </c>
    </row>
    <row r="159" customFormat="false" ht="15" hidden="false" customHeight="false" outlineLevel="0" collapsed="false">
      <c r="A159" s="26" t="n">
        <v>4110656</v>
      </c>
      <c r="B159" s="26" t="s">
        <v>224</v>
      </c>
      <c r="C159" s="26" t="s">
        <v>71</v>
      </c>
      <c r="D159" s="28" t="n">
        <v>0.466165413533835</v>
      </c>
      <c r="E159" s="29" t="n">
        <v>1.0625</v>
      </c>
      <c r="F159" s="28" t="n">
        <v>0</v>
      </c>
      <c r="G159" s="30" t="n">
        <v>28.3577364463791</v>
      </c>
      <c r="H159" s="30" t="n">
        <v>78.3214991098253</v>
      </c>
      <c r="I159" s="30" t="n">
        <v>100</v>
      </c>
      <c r="J159" s="34" t="n">
        <f aca="false">(2*G159+H159+I159)/4</f>
        <v>58.7592430006459</v>
      </c>
      <c r="K159" s="35" t="n">
        <f aca="false">(J159-MIN(J$6:J$404))/(MAX(J$6:J$404)-MIN(J$6:J$404))*100</f>
        <v>52.1547920568798</v>
      </c>
    </row>
    <row r="160" customFormat="false" ht="15" hidden="false" customHeight="false" outlineLevel="0" collapsed="false">
      <c r="A160" s="26" t="n">
        <v>4110706</v>
      </c>
      <c r="B160" s="26" t="s">
        <v>225</v>
      </c>
      <c r="C160" s="26" t="s">
        <v>86</v>
      </c>
      <c r="D160" s="28" t="n">
        <v>0.275754126351736</v>
      </c>
      <c r="E160" s="29" t="n">
        <v>1.09580291970803</v>
      </c>
      <c r="F160" s="28" t="n">
        <v>0.25</v>
      </c>
      <c r="G160" s="30" t="n">
        <v>57.6209447922595</v>
      </c>
      <c r="H160" s="30" t="n">
        <v>76.0560149128628</v>
      </c>
      <c r="I160" s="30" t="n">
        <v>75</v>
      </c>
      <c r="J160" s="34" t="n">
        <f aca="false">(2*G160+H160+I160)/4</f>
        <v>66.5744761243455</v>
      </c>
      <c r="K160" s="35" t="n">
        <f aca="false">(J160-MIN(J$6:J$404))/(MAX(J$6:J$404)-MIN(J$6:J$404))*100</f>
        <v>65.3229459410416</v>
      </c>
    </row>
    <row r="161" customFormat="false" ht="15" hidden="false" customHeight="false" outlineLevel="0" collapsed="false">
      <c r="A161" s="26" t="n">
        <v>4110805</v>
      </c>
      <c r="B161" s="26" t="s">
        <v>226</v>
      </c>
      <c r="C161" s="26" t="s">
        <v>65</v>
      </c>
      <c r="D161" s="28" t="n">
        <v>0.372128637059724</v>
      </c>
      <c r="E161" s="29" t="n">
        <v>1.12184571016583</v>
      </c>
      <c r="F161" s="28" t="n">
        <v>0.2</v>
      </c>
      <c r="G161" s="30" t="n">
        <v>42.8097041992424</v>
      </c>
      <c r="H161" s="30" t="n">
        <v>74.2844125805688</v>
      </c>
      <c r="I161" s="30" t="n">
        <v>80</v>
      </c>
      <c r="J161" s="34" t="n">
        <f aca="false">(2*G161+H161+I161)/4</f>
        <v>59.9759552447634</v>
      </c>
      <c r="K161" s="35" t="n">
        <f aca="false">(J161-MIN(J$6:J$404))/(MAX(J$6:J$404)-MIN(J$6:J$404))*100</f>
        <v>54.204872177292</v>
      </c>
    </row>
    <row r="162" customFormat="false" ht="15" hidden="false" customHeight="false" outlineLevel="0" collapsed="false">
      <c r="A162" s="26" t="n">
        <v>4110904</v>
      </c>
      <c r="B162" s="26" t="s">
        <v>227</v>
      </c>
      <c r="C162" s="26" t="s">
        <v>71</v>
      </c>
      <c r="D162" s="28" t="n">
        <v>0.410344827586207</v>
      </c>
      <c r="E162" s="29" t="n">
        <v>1.01582278481013</v>
      </c>
      <c r="F162" s="28" t="n">
        <v>0.5</v>
      </c>
      <c r="G162" s="30" t="n">
        <v>36.9364791288566</v>
      </c>
      <c r="H162" s="30" t="n">
        <v>81.4967910751536</v>
      </c>
      <c r="I162" s="30" t="n">
        <v>50</v>
      </c>
      <c r="J162" s="34" t="n">
        <f aca="false">(2*G162+H162+I162)/4</f>
        <v>51.3424373332167</v>
      </c>
      <c r="K162" s="35" t="n">
        <f aca="false">(J162-MIN(J$6:J$404))/(MAX(J$6:J$404)-MIN(J$6:J$404))*100</f>
        <v>39.6579622359675</v>
      </c>
    </row>
    <row r="163" customFormat="false" ht="15" hidden="false" customHeight="false" outlineLevel="0" collapsed="false">
      <c r="A163" s="26" t="n">
        <v>4110953</v>
      </c>
      <c r="B163" s="26" t="s">
        <v>228</v>
      </c>
      <c r="C163" s="26" t="s">
        <v>65</v>
      </c>
      <c r="D163" s="28" t="n">
        <v>0.580487804878049</v>
      </c>
      <c r="E163" s="29" t="n">
        <v>1.13983050847458</v>
      </c>
      <c r="F163" s="28" t="n">
        <v>0</v>
      </c>
      <c r="G163" s="30" t="n">
        <v>10.788189987163</v>
      </c>
      <c r="H163" s="30" t="n">
        <v>73.0609680084039</v>
      </c>
      <c r="I163" s="30" t="n">
        <v>100</v>
      </c>
      <c r="J163" s="34" t="n">
        <f aca="false">(2*G163+H163+I163)/4</f>
        <v>48.6593369956825</v>
      </c>
      <c r="K163" s="35" t="n">
        <f aca="false">(J163-MIN(J$6:J$404))/(MAX(J$6:J$404)-MIN(J$6:J$404))*100</f>
        <v>35.1371146077433</v>
      </c>
    </row>
    <row r="164" customFormat="false" ht="15" hidden="false" customHeight="false" outlineLevel="0" collapsed="false">
      <c r="A164" s="26" t="n">
        <v>4111001</v>
      </c>
      <c r="B164" s="26" t="s">
        <v>229</v>
      </c>
      <c r="C164" s="26" t="s">
        <v>65</v>
      </c>
      <c r="D164" s="28" t="n">
        <v>0.463414634146342</v>
      </c>
      <c r="E164" s="29" t="n">
        <v>0.967095851216023</v>
      </c>
      <c r="F164" s="28" t="n">
        <v>0</v>
      </c>
      <c r="G164" s="30" t="n">
        <v>28.7804878048781</v>
      </c>
      <c r="H164" s="30" t="n">
        <v>84.8115184021173</v>
      </c>
      <c r="I164" s="30" t="n">
        <v>100</v>
      </c>
      <c r="J164" s="34" t="n">
        <f aca="false">(2*G164+H164+I164)/4</f>
        <v>60.5931235029684</v>
      </c>
      <c r="K164" s="35" t="n">
        <f aca="false">(J164-MIN(J$6:J$404))/(MAX(J$6:J$404)-MIN(J$6:J$404))*100</f>
        <v>55.2447601074189</v>
      </c>
    </row>
    <row r="165" customFormat="false" ht="15" hidden="false" customHeight="false" outlineLevel="0" collapsed="false">
      <c r="A165" s="26" t="n">
        <v>4111100</v>
      </c>
      <c r="B165" s="26" t="s">
        <v>230</v>
      </c>
      <c r="C165" s="26" t="s">
        <v>65</v>
      </c>
      <c r="D165" s="28" t="n">
        <v>0.560240963855422</v>
      </c>
      <c r="E165" s="29" t="n">
        <v>1.14224137931035</v>
      </c>
      <c r="F165" s="28" t="n">
        <v>0</v>
      </c>
      <c r="G165" s="30" t="n">
        <v>13.8998097653773</v>
      </c>
      <c r="H165" s="30" t="n">
        <v>72.8969646769472</v>
      </c>
      <c r="I165" s="30" t="n">
        <v>100</v>
      </c>
      <c r="J165" s="34" t="n">
        <f aca="false">(2*G165+H165+I165)/4</f>
        <v>50.1741460519255</v>
      </c>
      <c r="K165" s="35" t="n">
        <f aca="false">(J165-MIN(J$6:J$404))/(MAX(J$6:J$404)-MIN(J$6:J$404))*100</f>
        <v>37.6894682537579</v>
      </c>
    </row>
    <row r="166" customFormat="false" ht="15" hidden="false" customHeight="false" outlineLevel="0" collapsed="false">
      <c r="A166" s="26" t="n">
        <v>4111209</v>
      </c>
      <c r="B166" s="26" t="s">
        <v>231</v>
      </c>
      <c r="C166" s="26" t="s">
        <v>65</v>
      </c>
      <c r="D166" s="28" t="n">
        <v>0.352662721893491</v>
      </c>
      <c r="E166" s="29" t="n">
        <v>1.14204902576996</v>
      </c>
      <c r="F166" s="28" t="n">
        <v>0.25</v>
      </c>
      <c r="G166" s="30" t="n">
        <v>45.8013080037372</v>
      </c>
      <c r="H166" s="30" t="n">
        <v>72.9100498331377</v>
      </c>
      <c r="I166" s="30" t="n">
        <v>75</v>
      </c>
      <c r="J166" s="34" t="n">
        <f aca="false">(2*G166+H166+I166)/4</f>
        <v>59.878166460153</v>
      </c>
      <c r="K166" s="35" t="n">
        <f aca="false">(J166-MIN(J$6:J$404))/(MAX(J$6:J$404)-MIN(J$6:J$404))*100</f>
        <v>54.0401045058083</v>
      </c>
    </row>
    <row r="167" customFormat="false" ht="15" hidden="false" customHeight="false" outlineLevel="0" collapsed="false">
      <c r="A167" s="26" t="n">
        <v>4111258</v>
      </c>
      <c r="B167" s="26" t="s">
        <v>232</v>
      </c>
      <c r="C167" s="26" t="s">
        <v>86</v>
      </c>
      <c r="D167" s="28" t="n">
        <v>0.130379746835443</v>
      </c>
      <c r="E167" s="29" t="n">
        <v>0.975303643724696</v>
      </c>
      <c r="F167" s="28" t="n">
        <v>0.666666666666667</v>
      </c>
      <c r="G167" s="30" t="n">
        <v>79.962691538974</v>
      </c>
      <c r="H167" s="30" t="n">
        <v>84.2531702337474</v>
      </c>
      <c r="I167" s="30" t="n">
        <v>33.3333333333333</v>
      </c>
      <c r="J167" s="34" t="n">
        <f aca="false">(2*G167+H167+I167)/4</f>
        <v>69.3779716612572</v>
      </c>
      <c r="K167" s="35" t="n">
        <f aca="false">(J167-MIN(J$6:J$404))/(MAX(J$6:J$404)-MIN(J$6:J$404))*100</f>
        <v>70.0466515630357</v>
      </c>
    </row>
    <row r="168" customFormat="false" ht="15" hidden="false" customHeight="false" outlineLevel="0" collapsed="false">
      <c r="A168" s="26" t="n">
        <v>4111308</v>
      </c>
      <c r="B168" s="26" t="s">
        <v>233</v>
      </c>
      <c r="C168" s="26" t="s">
        <v>71</v>
      </c>
      <c r="D168" s="28" t="n">
        <v>0.398148148148148</v>
      </c>
      <c r="E168" s="29" t="n">
        <v>1.07515657620042</v>
      </c>
      <c r="F168" s="28" t="n">
        <v>0</v>
      </c>
      <c r="G168" s="30" t="n">
        <v>38.8109161793372</v>
      </c>
      <c r="H168" s="30" t="n">
        <v>77.460515339601</v>
      </c>
      <c r="I168" s="30" t="n">
        <v>100</v>
      </c>
      <c r="J168" s="34" t="n">
        <f aca="false">(2*G168+H168+I168)/4</f>
        <v>63.7705869245689</v>
      </c>
      <c r="K168" s="35" t="n">
        <f aca="false">(J168-MIN(J$6:J$404))/(MAX(J$6:J$404)-MIN(J$6:J$404))*100</f>
        <v>60.5985770230074</v>
      </c>
    </row>
    <row r="169" customFormat="false" ht="15" hidden="false" customHeight="false" outlineLevel="0" collapsed="false">
      <c r="A169" s="26" t="n">
        <v>4111506</v>
      </c>
      <c r="B169" s="26" t="s">
        <v>234</v>
      </c>
      <c r="C169" s="26" t="s">
        <v>86</v>
      </c>
      <c r="D169" s="28" t="n">
        <v>0.379862700228833</v>
      </c>
      <c r="E169" s="29" t="n">
        <v>1.16282018767436</v>
      </c>
      <c r="F169" s="28" t="n">
        <v>0.3125</v>
      </c>
      <c r="G169" s="30" t="n">
        <v>41.6211008069373</v>
      </c>
      <c r="H169" s="30" t="n">
        <v>71.4970584360011</v>
      </c>
      <c r="I169" s="30" t="n">
        <v>68.75</v>
      </c>
      <c r="J169" s="34" t="n">
        <f aca="false">(2*G169+H169+I169)/4</f>
        <v>55.8723150124689</v>
      </c>
      <c r="K169" s="35" t="n">
        <f aca="false">(J169-MIN(J$6:J$404))/(MAX(J$6:J$404)-MIN(J$6:J$404))*100</f>
        <v>47.2905082410169</v>
      </c>
    </row>
    <row r="170" customFormat="false" ht="15" hidden="false" customHeight="false" outlineLevel="0" collapsed="false">
      <c r="A170" s="26" t="n">
        <v>4111407</v>
      </c>
      <c r="B170" s="26" t="s">
        <v>235</v>
      </c>
      <c r="C170" s="26" t="s">
        <v>65</v>
      </c>
      <c r="D170" s="28" t="n">
        <v>0.156050955414013</v>
      </c>
      <c r="E170" s="29" t="n">
        <v>1.08095238095238</v>
      </c>
      <c r="F170" s="28" t="n">
        <v>0.5</v>
      </c>
      <c r="G170" s="30" t="n">
        <v>76.0174321153202</v>
      </c>
      <c r="H170" s="30" t="n">
        <v>77.0662464830152</v>
      </c>
      <c r="I170" s="30" t="n">
        <v>50</v>
      </c>
      <c r="J170" s="34" t="n">
        <f aca="false">(2*G170+H170+I170)/4</f>
        <v>69.7752776784139</v>
      </c>
      <c r="K170" s="35" t="n">
        <f aca="false">(J170-MIN(J$6:J$404))/(MAX(J$6:J$404)-MIN(J$6:J$404))*100</f>
        <v>70.7160860751243</v>
      </c>
    </row>
    <row r="171" customFormat="false" ht="15" hidden="false" customHeight="false" outlineLevel="0" collapsed="false">
      <c r="A171" s="26" t="n">
        <v>4111555</v>
      </c>
      <c r="B171" s="26" t="s">
        <v>236</v>
      </c>
      <c r="C171" s="26" t="s">
        <v>65</v>
      </c>
      <c r="D171" s="28" t="n">
        <v>0.392</v>
      </c>
      <c r="E171" s="29" t="n">
        <v>1.05666666666667</v>
      </c>
      <c r="F171" s="28" t="n">
        <v>0.333333333333333</v>
      </c>
      <c r="G171" s="30" t="n">
        <v>39.7557894736842</v>
      </c>
      <c r="H171" s="30" t="n">
        <v>78.7183209079782</v>
      </c>
      <c r="I171" s="30" t="n">
        <v>66.6666666666667</v>
      </c>
      <c r="J171" s="34" t="n">
        <f aca="false">(2*G171+H171+I171)/4</f>
        <v>56.2241416305033</v>
      </c>
      <c r="K171" s="35" t="n">
        <f aca="false">(J171-MIN(J$6:J$404))/(MAX(J$6:J$404)-MIN(J$6:J$404))*100</f>
        <v>47.8833129563071</v>
      </c>
    </row>
    <row r="172" customFormat="false" ht="15" hidden="false" customHeight="false" outlineLevel="0" collapsed="false">
      <c r="A172" s="26" t="n">
        <v>4111605</v>
      </c>
      <c r="B172" s="26" t="s">
        <v>237</v>
      </c>
      <c r="C172" s="26" t="s">
        <v>71</v>
      </c>
      <c r="D172" s="28" t="n">
        <v>0.614173228346457</v>
      </c>
      <c r="E172" s="29" t="n">
        <v>2.21383647798742</v>
      </c>
      <c r="F172" s="28" t="n">
        <v>0</v>
      </c>
      <c r="G172" s="30" t="n">
        <v>5.61127227517613</v>
      </c>
      <c r="H172" s="30" t="n">
        <v>0</v>
      </c>
      <c r="I172" s="30" t="n">
        <v>100</v>
      </c>
      <c r="J172" s="34" t="n">
        <f aca="false">(2*G172+H172+I172)/4</f>
        <v>27.8056361375881</v>
      </c>
      <c r="K172" s="35" t="n">
        <f aca="false">(J172-MIN(J$6:J$404))/(MAX(J$6:J$404)-MIN(J$6:J$404))*100</f>
        <v>0</v>
      </c>
    </row>
    <row r="173" customFormat="false" ht="15" hidden="false" customHeight="false" outlineLevel="0" collapsed="false">
      <c r="A173" s="26" t="n">
        <v>4111704</v>
      </c>
      <c r="B173" s="26" t="s">
        <v>238</v>
      </c>
      <c r="C173" s="26" t="s">
        <v>65</v>
      </c>
      <c r="D173" s="28" t="n">
        <v>0.3125</v>
      </c>
      <c r="E173" s="29" t="n">
        <v>1.05532503457815</v>
      </c>
      <c r="F173" s="28" t="n">
        <v>0.5</v>
      </c>
      <c r="G173" s="30" t="n">
        <v>51.9736842105263</v>
      </c>
      <c r="H173" s="30" t="n">
        <v>78.8095875693198</v>
      </c>
      <c r="I173" s="30" t="n">
        <v>50</v>
      </c>
      <c r="J173" s="34" t="n">
        <f aca="false">(2*G173+H173+I173)/4</f>
        <v>58.1892389975931</v>
      </c>
      <c r="K173" s="35" t="n">
        <f aca="false">(J173-MIN(J$6:J$404))/(MAX(J$6:J$404)-MIN(J$6:J$404))*100</f>
        <v>51.1943727951658</v>
      </c>
    </row>
    <row r="174" customFormat="false" ht="15" hidden="false" customHeight="false" outlineLevel="0" collapsed="false">
      <c r="A174" s="26" t="n">
        <v>4111803</v>
      </c>
      <c r="B174" s="26" t="s">
        <v>239</v>
      </c>
      <c r="C174" s="26" t="s">
        <v>86</v>
      </c>
      <c r="D174" s="28" t="n">
        <v>0.398616672733892</v>
      </c>
      <c r="E174" s="29" t="n">
        <v>1.09314092953523</v>
      </c>
      <c r="F174" s="28" t="n">
        <v>0.333333333333333</v>
      </c>
      <c r="G174" s="30" t="n">
        <v>38.7389113482651</v>
      </c>
      <c r="H174" s="30" t="n">
        <v>76.2371010374973</v>
      </c>
      <c r="I174" s="30" t="n">
        <v>66.6666666666667</v>
      </c>
      <c r="J174" s="34" t="n">
        <f aca="false">(2*G174+H174+I174)/4</f>
        <v>55.0953976001735</v>
      </c>
      <c r="K174" s="35" t="n">
        <f aca="false">(J174-MIN(J$6:J$404))/(MAX(J$6:J$404)-MIN(J$6:J$404))*100</f>
        <v>45.9814534913427</v>
      </c>
    </row>
    <row r="175" customFormat="false" ht="15" hidden="false" customHeight="false" outlineLevel="0" collapsed="false">
      <c r="A175" s="26" t="n">
        <v>4111902</v>
      </c>
      <c r="B175" s="26" t="s">
        <v>240</v>
      </c>
      <c r="C175" s="26" t="s">
        <v>65</v>
      </c>
      <c r="D175" s="28" t="n">
        <v>0.26188166828322</v>
      </c>
      <c r="E175" s="29" t="n">
        <v>1.14827418570734</v>
      </c>
      <c r="F175" s="28" t="n">
        <v>0.5</v>
      </c>
      <c r="G175" s="30" t="n">
        <v>59.7529225585788</v>
      </c>
      <c r="H175" s="30" t="n">
        <v>72.4865734056847</v>
      </c>
      <c r="I175" s="30" t="n">
        <v>50</v>
      </c>
      <c r="J175" s="34" t="n">
        <f aca="false">(2*G175+H175+I175)/4</f>
        <v>60.4981046307106</v>
      </c>
      <c r="K175" s="35" t="n">
        <f aca="false">(J175-MIN(J$6:J$404))/(MAX(J$6:J$404)-MIN(J$6:J$404))*100</f>
        <v>55.0846595561</v>
      </c>
    </row>
    <row r="176" customFormat="false" ht="15" hidden="false" customHeight="false" outlineLevel="0" collapsed="false">
      <c r="A176" s="26" t="n">
        <v>4112009</v>
      </c>
      <c r="B176" s="26" t="s">
        <v>241</v>
      </c>
      <c r="C176" s="26" t="s">
        <v>86</v>
      </c>
      <c r="D176" s="28" t="n">
        <v>0.160128102481986</v>
      </c>
      <c r="E176" s="29" t="n">
        <v>1.03574824111048</v>
      </c>
      <c r="F176" s="28" t="n">
        <v>0.4</v>
      </c>
      <c r="G176" s="30" t="n">
        <v>75.3908389869791</v>
      </c>
      <c r="H176" s="30" t="n">
        <v>80.1413301497612</v>
      </c>
      <c r="I176" s="30" t="n">
        <v>60</v>
      </c>
      <c r="J176" s="34" t="n">
        <f aca="false">(2*G176+H176+I176)/4</f>
        <v>72.7307520309298</v>
      </c>
      <c r="K176" s="35" t="n">
        <f aca="false">(J176-MIN(J$6:J$404))/(MAX(J$6:J$404)-MIN(J$6:J$404))*100</f>
        <v>75.6958660072936</v>
      </c>
    </row>
    <row r="177" customFormat="false" ht="15" hidden="false" customHeight="false" outlineLevel="0" collapsed="false">
      <c r="A177" s="26" t="n">
        <v>4112108</v>
      </c>
      <c r="B177" s="26" t="s">
        <v>242</v>
      </c>
      <c r="C177" s="26" t="s">
        <v>86</v>
      </c>
      <c r="D177" s="28" t="n">
        <v>0.325657894736842</v>
      </c>
      <c r="E177" s="29" t="n">
        <v>1.29411764705882</v>
      </c>
      <c r="F177" s="28" t="n">
        <v>0.5</v>
      </c>
      <c r="G177" s="30" t="n">
        <v>49.9515235457064</v>
      </c>
      <c r="H177" s="30" t="n">
        <v>62.5653394772842</v>
      </c>
      <c r="I177" s="30" t="n">
        <v>50</v>
      </c>
      <c r="J177" s="34" t="n">
        <f aca="false">(2*G177+H177+I177)/4</f>
        <v>53.1170966421742</v>
      </c>
      <c r="K177" s="35" t="n">
        <f aca="false">(J177-MIN(J$6:J$404))/(MAX(J$6:J$404)-MIN(J$6:J$404))*100</f>
        <v>42.6481464700689</v>
      </c>
    </row>
    <row r="178" customFormat="false" ht="15" hidden="false" customHeight="false" outlineLevel="0" collapsed="false">
      <c r="A178" s="26" t="n">
        <v>4112207</v>
      </c>
      <c r="B178" s="26" t="s">
        <v>243</v>
      </c>
      <c r="C178" s="26" t="s">
        <v>65</v>
      </c>
      <c r="D178" s="28" t="n">
        <v>0.422950819672131</v>
      </c>
      <c r="E178" s="29" t="n">
        <v>1.05697151424288</v>
      </c>
      <c r="F178" s="28" t="n">
        <v>0</v>
      </c>
      <c r="G178" s="30" t="n">
        <v>34.9991371872304</v>
      </c>
      <c r="H178" s="30" t="n">
        <v>78.6975831656888</v>
      </c>
      <c r="I178" s="30" t="n">
        <v>100</v>
      </c>
      <c r="J178" s="34" t="n">
        <f aca="false">(2*G178+H178+I178)/4</f>
        <v>62.1739643850374</v>
      </c>
      <c r="K178" s="35" t="n">
        <f aca="false">(J178-MIN(J$6:J$404))/(MAX(J$6:J$404)-MIN(J$6:J$404))*100</f>
        <v>57.9083730377015</v>
      </c>
    </row>
    <row r="179" customFormat="false" ht="15" hidden="false" customHeight="false" outlineLevel="0" collapsed="false">
      <c r="A179" s="26" t="n">
        <v>4112306</v>
      </c>
      <c r="B179" s="26" t="s">
        <v>244</v>
      </c>
      <c r="C179" s="26" t="s">
        <v>71</v>
      </c>
      <c r="D179" s="28" t="n">
        <v>0.304347826086957</v>
      </c>
      <c r="E179" s="29" t="n">
        <v>0.932618683001531</v>
      </c>
      <c r="F179" s="28" t="n">
        <v>0</v>
      </c>
      <c r="G179" s="30" t="n">
        <v>53.2265446224256</v>
      </c>
      <c r="H179" s="30" t="n">
        <v>87.1568827254477</v>
      </c>
      <c r="I179" s="30" t="n">
        <v>100</v>
      </c>
      <c r="J179" s="34" t="n">
        <f aca="false">(2*G179+H179+I179)/4</f>
        <v>73.4024929925748</v>
      </c>
      <c r="K179" s="35" t="n">
        <f aca="false">(J179-MIN(J$6:J$404))/(MAX(J$6:J$404)-MIN(J$6:J$404))*100</f>
        <v>76.827705354019</v>
      </c>
    </row>
    <row r="180" customFormat="false" ht="15" hidden="false" customHeight="false" outlineLevel="0" collapsed="false">
      <c r="A180" s="26" t="n">
        <v>4112405</v>
      </c>
      <c r="B180" s="26" t="s">
        <v>245</v>
      </c>
      <c r="C180" s="26" t="s">
        <v>65</v>
      </c>
      <c r="D180" s="28" t="n">
        <v>0.441558441558442</v>
      </c>
      <c r="E180" s="29" t="n">
        <v>1.05714285714286</v>
      </c>
      <c r="F180" s="28" t="n">
        <v>0</v>
      </c>
      <c r="G180" s="30" t="n">
        <v>32.1394395078606</v>
      </c>
      <c r="H180" s="30" t="n">
        <v>78.6859272918024</v>
      </c>
      <c r="I180" s="30" t="n">
        <v>100</v>
      </c>
      <c r="J180" s="34" t="n">
        <f aca="false">(2*G180+H180+I180)/4</f>
        <v>60.7412015768809</v>
      </c>
      <c r="K180" s="35" t="n">
        <f aca="false">(J180-MIN(J$6:J$404))/(MAX(J$6:J$404)-MIN(J$6:J$404))*100</f>
        <v>55.4942619243561</v>
      </c>
    </row>
    <row r="181" customFormat="false" ht="15" hidden="false" customHeight="false" outlineLevel="0" collapsed="false">
      <c r="A181" s="26" t="n">
        <v>4112504</v>
      </c>
      <c r="B181" s="26" t="s">
        <v>246</v>
      </c>
      <c r="C181" s="26" t="s">
        <v>65</v>
      </c>
      <c r="D181" s="28" t="n">
        <v>0.346907993966818</v>
      </c>
      <c r="E181" s="29" t="n">
        <v>1.01154107264087</v>
      </c>
      <c r="F181" s="28" t="n">
        <v>0.25</v>
      </c>
      <c r="G181" s="30" t="n">
        <v>46.6857188219417</v>
      </c>
      <c r="H181" s="30" t="n">
        <v>81.7880613703841</v>
      </c>
      <c r="I181" s="30" t="n">
        <v>75</v>
      </c>
      <c r="J181" s="34" t="n">
        <f aca="false">(2*G181+H181+I181)/4</f>
        <v>62.5398747535669</v>
      </c>
      <c r="K181" s="35" t="n">
        <f aca="false">(J181-MIN(J$6:J$404))/(MAX(J$6:J$404)-MIN(J$6:J$404))*100</f>
        <v>58.5249079464293</v>
      </c>
    </row>
    <row r="182" customFormat="false" ht="15" hidden="false" customHeight="false" outlineLevel="0" collapsed="false">
      <c r="A182" s="26" t="n">
        <v>4112603</v>
      </c>
      <c r="B182" s="26" t="s">
        <v>247</v>
      </c>
      <c r="C182" s="26" t="s">
        <v>71</v>
      </c>
      <c r="D182" s="28" t="n">
        <v>0.541666666666667</v>
      </c>
      <c r="E182" s="29" t="n">
        <v>1.05687203791469</v>
      </c>
      <c r="F182" s="28" t="n">
        <v>0</v>
      </c>
      <c r="G182" s="30" t="n">
        <v>16.7543859649123</v>
      </c>
      <c r="H182" s="30" t="n">
        <v>78.7043502014759</v>
      </c>
      <c r="I182" s="30" t="n">
        <v>100</v>
      </c>
      <c r="J182" s="34" t="n">
        <f aca="false">(2*G182+H182+I182)/4</f>
        <v>53.0532805328251</v>
      </c>
      <c r="K182" s="35" t="n">
        <f aca="false">(J182-MIN(J$6:J$404))/(MAX(J$6:J$404)-MIN(J$6:J$404))*100</f>
        <v>42.5406205223592</v>
      </c>
    </row>
    <row r="183" customFormat="false" ht="15" hidden="false" customHeight="false" outlineLevel="0" collapsed="false">
      <c r="A183" s="26" t="n">
        <v>4112702</v>
      </c>
      <c r="B183" s="26" t="s">
        <v>248</v>
      </c>
      <c r="C183" s="26" t="s">
        <v>65</v>
      </c>
      <c r="D183" s="28" t="n">
        <v>0.270341207349081</v>
      </c>
      <c r="E183" s="29" t="n">
        <v>1.06960408684547</v>
      </c>
      <c r="F183" s="28" t="n">
        <v>0.5</v>
      </c>
      <c r="G183" s="30" t="n">
        <v>58.4528249758254</v>
      </c>
      <c r="H183" s="30" t="n">
        <v>77.8382322784678</v>
      </c>
      <c r="I183" s="30" t="n">
        <v>50</v>
      </c>
      <c r="J183" s="34" t="n">
        <f aca="false">(2*G183+H183+I183)/4</f>
        <v>61.1859705575296</v>
      </c>
      <c r="K183" s="35" t="n">
        <f aca="false">(J183-MIN(J$6:J$404))/(MAX(J$6:J$404)-MIN(J$6:J$404))*100</f>
        <v>56.2436684087671</v>
      </c>
    </row>
    <row r="184" customFormat="false" ht="15" hidden="false" customHeight="false" outlineLevel="0" collapsed="false">
      <c r="A184" s="26" t="n">
        <v>4112751</v>
      </c>
      <c r="B184" s="26" t="s">
        <v>249</v>
      </c>
      <c r="C184" s="26" t="s">
        <v>65</v>
      </c>
      <c r="D184" s="28" t="n">
        <v>0.324165029469548</v>
      </c>
      <c r="E184" s="29" t="n">
        <v>0.808997050147493</v>
      </c>
      <c r="F184" s="28" t="n">
        <v>0.6</v>
      </c>
      <c r="G184" s="30" t="n">
        <v>50.1809533657326</v>
      </c>
      <c r="H184" s="30" t="n">
        <v>95.5664413494024</v>
      </c>
      <c r="I184" s="30" t="n">
        <v>40</v>
      </c>
      <c r="J184" s="34" t="n">
        <f aca="false">(2*G184+H184+I184)/4</f>
        <v>58.9820870202169</v>
      </c>
      <c r="K184" s="35" t="n">
        <f aca="false">(J184-MIN(J$6:J$404))/(MAX(J$6:J$404)-MIN(J$6:J$404))*100</f>
        <v>52.5302695756474</v>
      </c>
    </row>
    <row r="185" customFormat="false" ht="15" hidden="false" customHeight="false" outlineLevel="0" collapsed="false">
      <c r="A185" s="26" t="n">
        <v>4112801</v>
      </c>
      <c r="B185" s="26" t="s">
        <v>250</v>
      </c>
      <c r="C185" s="26" t="s">
        <v>65</v>
      </c>
      <c r="D185" s="28" t="n">
        <v>0.426470588235294</v>
      </c>
      <c r="E185" s="29" t="n">
        <v>1.15947467166979</v>
      </c>
      <c r="F185" s="28" t="n">
        <v>0.333333333333333</v>
      </c>
      <c r="G185" s="30" t="n">
        <v>34.4582043343653</v>
      </c>
      <c r="H185" s="30" t="n">
        <v>71.7246424948607</v>
      </c>
      <c r="I185" s="30" t="n">
        <v>66.6666666666667</v>
      </c>
      <c r="J185" s="34" t="n">
        <f aca="false">(2*G185+H185+I185)/4</f>
        <v>51.8269294575645</v>
      </c>
      <c r="K185" s="35" t="n">
        <f aca="false">(J185-MIN(J$6:J$404))/(MAX(J$6:J$404)-MIN(J$6:J$404))*100</f>
        <v>40.4742996053199</v>
      </c>
    </row>
    <row r="186" customFormat="false" ht="15" hidden="false" customHeight="false" outlineLevel="0" collapsed="false">
      <c r="A186" s="26" t="n">
        <v>4112900</v>
      </c>
      <c r="B186" s="26" t="s">
        <v>251</v>
      </c>
      <c r="C186" s="26" t="s">
        <v>71</v>
      </c>
      <c r="D186" s="28" t="n">
        <v>0.297297297297297</v>
      </c>
      <c r="E186" s="29" t="n">
        <v>1.07990314769976</v>
      </c>
      <c r="F186" s="28" t="n">
        <v>0.5</v>
      </c>
      <c r="G186" s="30" t="n">
        <v>54.3100995732575</v>
      </c>
      <c r="H186" s="30" t="n">
        <v>77.1376222474702</v>
      </c>
      <c r="I186" s="30" t="n">
        <v>50</v>
      </c>
      <c r="J186" s="34" t="n">
        <f aca="false">(2*G186+H186+I186)/4</f>
        <v>58.9394553484963</v>
      </c>
      <c r="K186" s="35" t="n">
        <f aca="false">(J186-MIN(J$6:J$404))/(MAX(J$6:J$404)-MIN(J$6:J$404))*100</f>
        <v>52.4584380122543</v>
      </c>
    </row>
    <row r="187" customFormat="false" ht="15" hidden="false" customHeight="false" outlineLevel="0" collapsed="false">
      <c r="A187" s="26" t="n">
        <v>4112959</v>
      </c>
      <c r="B187" s="26" t="s">
        <v>252</v>
      </c>
      <c r="C187" s="26" t="s">
        <v>65</v>
      </c>
      <c r="D187" s="28" t="n">
        <v>0.294573643410853</v>
      </c>
      <c r="E187" s="29" t="n">
        <v>1.13865546218487</v>
      </c>
      <c r="F187" s="28" t="n">
        <v>0.2</v>
      </c>
      <c r="G187" s="30" t="n">
        <v>54.7286821705426</v>
      </c>
      <c r="H187" s="30" t="n">
        <v>73.1409024052483</v>
      </c>
      <c r="I187" s="30" t="n">
        <v>80</v>
      </c>
      <c r="J187" s="34" t="n">
        <f aca="false">(2*G187+H187+I187)/4</f>
        <v>65.6495666865834</v>
      </c>
      <c r="K187" s="35" t="n">
        <f aca="false">(J187-MIN(J$6:J$404))/(MAX(J$6:J$404)-MIN(J$6:J$404))*100</f>
        <v>63.7645343604029</v>
      </c>
    </row>
    <row r="188" customFormat="false" ht="15" hidden="false" customHeight="false" outlineLevel="0" collapsed="false">
      <c r="A188" s="26" t="n">
        <v>4113007</v>
      </c>
      <c r="B188" s="26" t="s">
        <v>253</v>
      </c>
      <c r="C188" s="26" t="s">
        <v>65</v>
      </c>
      <c r="D188" s="28" t="n">
        <v>0.370558375634518</v>
      </c>
      <c r="E188" s="29" t="n">
        <v>1.104</v>
      </c>
      <c r="F188" s="28" t="n">
        <v>0.5</v>
      </c>
      <c r="G188" s="30" t="n">
        <v>43.0510285866952</v>
      </c>
      <c r="H188" s="30" t="n">
        <v>75.498395460109</v>
      </c>
      <c r="I188" s="30" t="n">
        <v>50</v>
      </c>
      <c r="J188" s="34" t="n">
        <f aca="false">(2*G188+H188+I188)/4</f>
        <v>52.9001131583748</v>
      </c>
      <c r="K188" s="35" t="n">
        <f aca="false">(J188-MIN(J$6:J$404))/(MAX(J$6:J$404)-MIN(J$6:J$404))*100</f>
        <v>42.2825435686881</v>
      </c>
    </row>
    <row r="189" customFormat="false" ht="15" hidden="false" customHeight="false" outlineLevel="0" collapsed="false">
      <c r="A189" s="26" t="n">
        <v>4113106</v>
      </c>
      <c r="B189" s="26" t="s">
        <v>254</v>
      </c>
      <c r="C189" s="26" t="s">
        <v>71</v>
      </c>
      <c r="D189" s="28" t="n">
        <v>0.586206896551724</v>
      </c>
      <c r="E189" s="29" t="n">
        <v>1.04466019417476</v>
      </c>
      <c r="F189" s="28" t="n">
        <v>0.25</v>
      </c>
      <c r="G189" s="30" t="n">
        <v>9.90925589836662</v>
      </c>
      <c r="H189" s="30" t="n">
        <v>79.5350803371861</v>
      </c>
      <c r="I189" s="30" t="n">
        <v>75</v>
      </c>
      <c r="J189" s="34" t="n">
        <f aca="false">(2*G189+H189+I189)/4</f>
        <v>43.5883980334798</v>
      </c>
      <c r="K189" s="35" t="n">
        <f aca="false">(J189-MIN(J$6:J$404))/(MAX(J$6:J$404)-MIN(J$6:J$404))*100</f>
        <v>26.5929159210806</v>
      </c>
    </row>
    <row r="190" customFormat="false" ht="15" hidden="false" customHeight="false" outlineLevel="0" collapsed="false">
      <c r="A190" s="26" t="n">
        <v>4113205</v>
      </c>
      <c r="B190" s="26" t="s">
        <v>255</v>
      </c>
      <c r="C190" s="26" t="s">
        <v>86</v>
      </c>
      <c r="D190" s="28" t="n">
        <v>0.231616201337004</v>
      </c>
      <c r="E190" s="29" t="n">
        <v>1.06666666666667</v>
      </c>
      <c r="F190" s="28" t="n">
        <v>0.384615384615385</v>
      </c>
      <c r="G190" s="30" t="n">
        <v>64.4042469524184</v>
      </c>
      <c r="H190" s="30" t="n">
        <v>78.0380549682875</v>
      </c>
      <c r="I190" s="30" t="n">
        <v>61.5384615384615</v>
      </c>
      <c r="J190" s="34" t="n">
        <f aca="false">(2*G190+H190+I190)/4</f>
        <v>67.0962526028965</v>
      </c>
      <c r="K190" s="35" t="n">
        <f aca="false">(J190-MIN(J$6:J$404))/(MAX(J$6:J$404)-MIN(J$6:J$404))*100</f>
        <v>66.2021049954094</v>
      </c>
    </row>
    <row r="191" customFormat="false" ht="15" hidden="false" customHeight="false" outlineLevel="0" collapsed="false">
      <c r="A191" s="26" t="n">
        <v>4113254</v>
      </c>
      <c r="B191" s="26" t="s">
        <v>256</v>
      </c>
      <c r="C191" s="26" t="s">
        <v>65</v>
      </c>
      <c r="D191" s="28" t="n">
        <v>0.205949656750572</v>
      </c>
      <c r="E191" s="29" t="n">
        <v>1.11347517730496</v>
      </c>
      <c r="F191" s="28" t="n">
        <v>0.333333333333333</v>
      </c>
      <c r="G191" s="30" t="n">
        <v>68.3487895941226</v>
      </c>
      <c r="H191" s="30" t="n">
        <v>74.8538314207993</v>
      </c>
      <c r="I191" s="30" t="n">
        <v>66.6666666666667</v>
      </c>
      <c r="J191" s="34" t="n">
        <f aca="false">(2*G191+H191+I191)/4</f>
        <v>69.5545193189278</v>
      </c>
      <c r="K191" s="35" t="n">
        <f aca="false">(J191-MIN(J$6:J$404))/(MAX(J$6:J$404)-MIN(J$6:J$404))*100</f>
        <v>70.3441227564471</v>
      </c>
    </row>
    <row r="192" customFormat="false" ht="15" hidden="false" customHeight="false" outlineLevel="0" collapsed="false">
      <c r="A192" s="26" t="n">
        <v>4113304</v>
      </c>
      <c r="B192" s="26" t="s">
        <v>257</v>
      </c>
      <c r="C192" s="26" t="s">
        <v>86</v>
      </c>
      <c r="D192" s="28" t="n">
        <v>0.369622475856014</v>
      </c>
      <c r="E192" s="29" t="n">
        <v>1.18490054249548</v>
      </c>
      <c r="F192" s="28" t="n">
        <v>0.25</v>
      </c>
      <c r="G192" s="30" t="n">
        <v>43.1948616052863</v>
      </c>
      <c r="H192" s="30" t="n">
        <v>69.9950071038919</v>
      </c>
      <c r="I192" s="30" t="n">
        <v>75</v>
      </c>
      <c r="J192" s="34" t="n">
        <f aca="false">(2*G192+H192+I192)/4</f>
        <v>57.8461825786161</v>
      </c>
      <c r="K192" s="35" t="n">
        <f aca="false">(J192-MIN(J$6:J$404))/(MAX(J$6:J$404)-MIN(J$6:J$404))*100</f>
        <v>50.6163452885595</v>
      </c>
    </row>
    <row r="193" customFormat="false" ht="15" hidden="false" customHeight="false" outlineLevel="0" collapsed="false">
      <c r="A193" s="26" t="n">
        <v>4113403</v>
      </c>
      <c r="B193" s="26" t="s">
        <v>258</v>
      </c>
      <c r="C193" s="26" t="s">
        <v>71</v>
      </c>
      <c r="D193" s="28" t="n">
        <v>0.608695652173913</v>
      </c>
      <c r="E193" s="29" t="n">
        <v>1.04319654427646</v>
      </c>
      <c r="F193" s="28" t="n">
        <v>0</v>
      </c>
      <c r="G193" s="30" t="n">
        <v>6.45308924485126</v>
      </c>
      <c r="H193" s="30" t="n">
        <v>79.6346474545306</v>
      </c>
      <c r="I193" s="30" t="n">
        <v>100</v>
      </c>
      <c r="J193" s="34" t="n">
        <f aca="false">(2*G193+H193+I193)/4</f>
        <v>48.1352064860583</v>
      </c>
      <c r="K193" s="35" t="n">
        <f aca="false">(J193-MIN(J$6:J$404))/(MAX(J$6:J$404)-MIN(J$6:J$404))*100</f>
        <v>34.253989165818</v>
      </c>
    </row>
    <row r="194" customFormat="false" ht="15" hidden="false" customHeight="false" outlineLevel="0" collapsed="false">
      <c r="A194" s="26" t="n">
        <v>4113429</v>
      </c>
      <c r="B194" s="26" t="s">
        <v>259</v>
      </c>
      <c r="C194" s="26" t="s">
        <v>71</v>
      </c>
      <c r="D194" s="28" t="n">
        <v>0.364485981308411</v>
      </c>
      <c r="E194" s="29" t="n">
        <v>1.01440329218107</v>
      </c>
      <c r="F194" s="28" t="n">
        <v>0</v>
      </c>
      <c r="G194" s="30" t="n">
        <v>43.9842597147073</v>
      </c>
      <c r="H194" s="30" t="n">
        <v>81.5933543238725</v>
      </c>
      <c r="I194" s="30" t="n">
        <v>100</v>
      </c>
      <c r="J194" s="34" t="n">
        <f aca="false">(2*G194+H194+I194)/4</f>
        <v>67.3904684383218</v>
      </c>
      <c r="K194" s="35" t="n">
        <f aca="false">(J194-MIN(J$6:J$404))/(MAX(J$6:J$404)-MIN(J$6:J$404))*100</f>
        <v>66.697839330485</v>
      </c>
    </row>
    <row r="195" customFormat="false" ht="15" hidden="false" customHeight="false" outlineLevel="0" collapsed="false">
      <c r="A195" s="26" t="n">
        <v>4113452</v>
      </c>
      <c r="B195" s="26" t="s">
        <v>260</v>
      </c>
      <c r="C195" s="26" t="s">
        <v>65</v>
      </c>
      <c r="D195" s="28" t="n">
        <v>0.341666666666667</v>
      </c>
      <c r="E195" s="29" t="n">
        <v>1.21142857142857</v>
      </c>
      <c r="F195" s="28" t="n">
        <v>0.5</v>
      </c>
      <c r="G195" s="30" t="n">
        <v>47.4912280701754</v>
      </c>
      <c r="H195" s="30" t="n">
        <v>68.1903956508608</v>
      </c>
      <c r="I195" s="30" t="n">
        <v>50</v>
      </c>
      <c r="J195" s="34" t="n">
        <f aca="false">(2*G195+H195+I195)/4</f>
        <v>53.2932129478029</v>
      </c>
      <c r="K195" s="35" t="n">
        <f aca="false">(J195-MIN(J$6:J$404))/(MAX(J$6:J$404)-MIN(J$6:J$404))*100</f>
        <v>42.9448908636552</v>
      </c>
    </row>
    <row r="196" customFormat="false" ht="15" hidden="false" customHeight="false" outlineLevel="0" collapsed="false">
      <c r="A196" s="26" t="n">
        <v>4113502</v>
      </c>
      <c r="B196" s="26" t="s">
        <v>261</v>
      </c>
      <c r="C196" s="26" t="s">
        <v>86</v>
      </c>
      <c r="D196" s="28" t="n">
        <v>0.457353928811283</v>
      </c>
      <c r="E196" s="29" t="n">
        <v>1.13134517766498</v>
      </c>
      <c r="F196" s="28" t="n">
        <v>0.4</v>
      </c>
      <c r="G196" s="30" t="n">
        <v>29.7119225195292</v>
      </c>
      <c r="H196" s="30" t="n">
        <v>73.6381961620818</v>
      </c>
      <c r="I196" s="30" t="n">
        <v>60</v>
      </c>
      <c r="J196" s="34" t="n">
        <f aca="false">(2*G196+H196+I196)/4</f>
        <v>48.2655103002851</v>
      </c>
      <c r="K196" s="35" t="n">
        <f aca="false">(J196-MIN(J$6:J$404))/(MAX(J$6:J$404)-MIN(J$6:J$404))*100</f>
        <v>34.473542524019</v>
      </c>
    </row>
    <row r="197" customFormat="false" ht="15" hidden="false" customHeight="false" outlineLevel="0" collapsed="false">
      <c r="A197" s="26" t="n">
        <v>4113601</v>
      </c>
      <c r="B197" s="26" t="s">
        <v>262</v>
      </c>
      <c r="C197" s="26" t="s">
        <v>71</v>
      </c>
      <c r="D197" s="28" t="n">
        <v>0.542735042735043</v>
      </c>
      <c r="E197" s="29" t="n">
        <v>1.08170515097691</v>
      </c>
      <c r="F197" s="28" t="n">
        <v>0</v>
      </c>
      <c r="G197" s="30" t="n">
        <v>16.5901934322987</v>
      </c>
      <c r="H197" s="30" t="n">
        <v>77.0150381022045</v>
      </c>
      <c r="I197" s="30" t="n">
        <v>100</v>
      </c>
      <c r="J197" s="34" t="n">
        <f aca="false">(2*G197+H197+I197)/4</f>
        <v>52.5488562417005</v>
      </c>
      <c r="K197" s="35" t="n">
        <f aca="false">(J197-MIN(J$6:J$404))/(MAX(J$6:J$404)-MIN(J$6:J$404))*100</f>
        <v>41.690698762726</v>
      </c>
    </row>
    <row r="198" customFormat="false" ht="15" hidden="false" customHeight="false" outlineLevel="0" collapsed="false">
      <c r="A198" s="26" t="n">
        <v>4113700</v>
      </c>
      <c r="B198" s="26" t="s">
        <v>263</v>
      </c>
      <c r="C198" s="26" t="s">
        <v>264</v>
      </c>
      <c r="D198" s="28" t="n">
        <v>0.075577929389945</v>
      </c>
      <c r="E198" s="29" t="n">
        <v>1.15297815025442</v>
      </c>
      <c r="F198" s="28" t="n">
        <v>0.812834224598931</v>
      </c>
      <c r="G198" s="30" t="n">
        <v>88.3848655884927</v>
      </c>
      <c r="H198" s="30" t="n">
        <v>72.166578719396</v>
      </c>
      <c r="I198" s="30" t="n">
        <v>18.716577540107</v>
      </c>
      <c r="J198" s="34" t="n">
        <f aca="false">(2*G198+H198+I198)/4</f>
        <v>66.9132218591221</v>
      </c>
      <c r="K198" s="35" t="n">
        <f aca="false">(J198-MIN(J$6:J$404))/(MAX(J$6:J$404)-MIN(J$6:J$404))*100</f>
        <v>65.8937102282405</v>
      </c>
    </row>
    <row r="199" customFormat="false" ht="15" hidden="false" customHeight="false" outlineLevel="0" collapsed="false">
      <c r="A199" s="26" t="n">
        <v>4113734</v>
      </c>
      <c r="B199" s="26" t="s">
        <v>265</v>
      </c>
      <c r="C199" s="26" t="s">
        <v>65</v>
      </c>
      <c r="D199" s="28" t="n">
        <v>0.226966292134831</v>
      </c>
      <c r="E199" s="29" t="n">
        <v>1.04587155963303</v>
      </c>
      <c r="F199" s="28" t="n">
        <v>0</v>
      </c>
      <c r="G199" s="30" t="n">
        <v>65.1188645771733</v>
      </c>
      <c r="H199" s="30" t="n">
        <v>79.4526752710082</v>
      </c>
      <c r="I199" s="30" t="n">
        <v>100</v>
      </c>
      <c r="J199" s="34" t="n">
        <f aca="false">(2*G199+H199+I199)/4</f>
        <v>77.4226011063387</v>
      </c>
      <c r="K199" s="35" t="n">
        <f aca="false">(J199-MIN(J$6:J$404))/(MAX(J$6:J$404)-MIN(J$6:J$404))*100</f>
        <v>83.6013231636374</v>
      </c>
    </row>
    <row r="200" customFormat="false" ht="15" hidden="false" customHeight="false" outlineLevel="0" collapsed="false">
      <c r="A200" s="26" t="n">
        <v>4113759</v>
      </c>
      <c r="B200" s="26" t="s">
        <v>266</v>
      </c>
      <c r="C200" s="26" t="s">
        <v>71</v>
      </c>
      <c r="D200" s="28" t="n">
        <v>0.430962343096234</v>
      </c>
      <c r="E200" s="29" t="n">
        <v>0.994764397905759</v>
      </c>
      <c r="F200" s="28" t="n">
        <v>0</v>
      </c>
      <c r="G200" s="30" t="n">
        <v>33.767892534684</v>
      </c>
      <c r="H200" s="30" t="n">
        <v>82.9293214107405</v>
      </c>
      <c r="I200" s="30" t="n">
        <v>100</v>
      </c>
      <c r="J200" s="34" t="n">
        <f aca="false">(2*G200+H200+I200)/4</f>
        <v>62.6162766200271</v>
      </c>
      <c r="K200" s="35" t="n">
        <f aca="false">(J200-MIN(J$6:J$404))/(MAX(J$6:J$404)-MIN(J$6:J$404))*100</f>
        <v>58.6536400672325</v>
      </c>
    </row>
    <row r="201" customFormat="false" ht="15" hidden="false" customHeight="false" outlineLevel="0" collapsed="false">
      <c r="A201" s="26" t="n">
        <v>4113809</v>
      </c>
      <c r="B201" s="26" t="s">
        <v>267</v>
      </c>
      <c r="C201" s="26" t="s">
        <v>71</v>
      </c>
      <c r="D201" s="28" t="n">
        <v>0.516483516483517</v>
      </c>
      <c r="E201" s="29" t="n">
        <v>1.09421487603306</v>
      </c>
      <c r="F201" s="28" t="n">
        <v>0.333333333333333</v>
      </c>
      <c r="G201" s="30" t="n">
        <v>20.6246385193754</v>
      </c>
      <c r="H201" s="30" t="n">
        <v>76.1640441151452</v>
      </c>
      <c r="I201" s="30" t="n">
        <v>66.6666666666667</v>
      </c>
      <c r="J201" s="34" t="n">
        <f aca="false">(2*G201+H201+I201)/4</f>
        <v>46.0199969551407</v>
      </c>
      <c r="K201" s="35" t="n">
        <f aca="false">(J201-MIN(J$6:J$404))/(MAX(J$6:J$404)-MIN(J$6:J$404))*100</f>
        <v>30.6900002022766</v>
      </c>
    </row>
    <row r="202" customFormat="false" ht="15" hidden="false" customHeight="false" outlineLevel="0" collapsed="false">
      <c r="A202" s="26" t="n">
        <v>4113908</v>
      </c>
      <c r="B202" s="26" t="s">
        <v>268</v>
      </c>
      <c r="C202" s="26" t="s">
        <v>65</v>
      </c>
      <c r="D202" s="28" t="n">
        <v>0.188888888888889</v>
      </c>
      <c r="E202" s="29" t="n">
        <v>1.09491733006736</v>
      </c>
      <c r="F202" s="28" t="n">
        <v>0.333333333333333</v>
      </c>
      <c r="G202" s="30" t="n">
        <v>70.9707602339181</v>
      </c>
      <c r="H202" s="30" t="n">
        <v>76.1162585597717</v>
      </c>
      <c r="I202" s="30" t="n">
        <v>66.6666666666667</v>
      </c>
      <c r="J202" s="34" t="n">
        <f aca="false">(2*G202+H202+I202)/4</f>
        <v>71.1811114235687</v>
      </c>
      <c r="K202" s="35" t="n">
        <f aca="false">(J202-MIN(J$6:J$404))/(MAX(J$6:J$404)-MIN(J$6:J$404))*100</f>
        <v>73.0848234881655</v>
      </c>
    </row>
    <row r="203" customFormat="false" ht="15" hidden="false" customHeight="false" outlineLevel="0" collapsed="false">
      <c r="A203" s="26" t="n">
        <v>4114005</v>
      </c>
      <c r="B203" s="26" t="s">
        <v>269</v>
      </c>
      <c r="C203" s="26" t="s">
        <v>65</v>
      </c>
      <c r="D203" s="28" t="n">
        <v>0.286269430051814</v>
      </c>
      <c r="E203" s="29" t="n">
        <v>1.10485781990521</v>
      </c>
      <c r="F203" s="28" t="n">
        <v>0.25</v>
      </c>
      <c r="G203" s="30" t="n">
        <v>56.0049086446687</v>
      </c>
      <c r="H203" s="30" t="n">
        <v>75.4400408937185</v>
      </c>
      <c r="I203" s="30" t="n">
        <v>75</v>
      </c>
      <c r="J203" s="34" t="n">
        <f aca="false">(2*G203+H203+I203)/4</f>
        <v>65.612464545764</v>
      </c>
      <c r="K203" s="35" t="n">
        <f aca="false">(J203-MIN(J$6:J$404))/(MAX(J$6:J$404)-MIN(J$6:J$404))*100</f>
        <v>63.7020196929568</v>
      </c>
    </row>
    <row r="204" customFormat="false" ht="15" hidden="false" customHeight="false" outlineLevel="0" collapsed="false">
      <c r="A204" s="26" t="n">
        <v>4114104</v>
      </c>
      <c r="B204" s="26" t="s">
        <v>270</v>
      </c>
      <c r="C204" s="26" t="s">
        <v>86</v>
      </c>
      <c r="D204" s="28" t="n">
        <v>0.364067212408445</v>
      </c>
      <c r="E204" s="29" t="n">
        <v>1.08523521192361</v>
      </c>
      <c r="F204" s="28" t="n">
        <v>0.428571428571429</v>
      </c>
      <c r="G204" s="30" t="n">
        <v>44.0486178824917</v>
      </c>
      <c r="H204" s="30" t="n">
        <v>76.7749000794969</v>
      </c>
      <c r="I204" s="30" t="n">
        <v>57.1428571428571</v>
      </c>
      <c r="J204" s="34" t="n">
        <f aca="false">(2*G204+H204+I204)/4</f>
        <v>55.5037482468344</v>
      </c>
      <c r="K204" s="35" t="n">
        <f aca="false">(J204-MIN(J$6:J$404))/(MAX(J$6:J$404)-MIN(J$6:J$404))*100</f>
        <v>46.6694974778516</v>
      </c>
    </row>
    <row r="205" customFormat="false" ht="15" hidden="false" customHeight="false" outlineLevel="0" collapsed="false">
      <c r="A205" s="26" t="n">
        <v>4114203</v>
      </c>
      <c r="B205" s="26" t="s">
        <v>271</v>
      </c>
      <c r="C205" s="26" t="s">
        <v>86</v>
      </c>
      <c r="D205" s="28" t="n">
        <v>0.413976116762494</v>
      </c>
      <c r="E205" s="29" t="n">
        <v>1.08711190529372</v>
      </c>
      <c r="F205" s="28" t="n">
        <v>0.25</v>
      </c>
      <c r="G205" s="30" t="n">
        <v>36.3784073186061</v>
      </c>
      <c r="H205" s="30" t="n">
        <v>76.6472350216041</v>
      </c>
      <c r="I205" s="30" t="n">
        <v>75</v>
      </c>
      <c r="J205" s="34" t="n">
        <f aca="false">(2*G205+H205+I205)/4</f>
        <v>56.1010124147041</v>
      </c>
      <c r="K205" s="35" t="n">
        <f aca="false">(J205-MIN(J$6:J$404))/(MAX(J$6:J$404)-MIN(J$6:J$404))*100</f>
        <v>47.6758483246554</v>
      </c>
    </row>
    <row r="206" customFormat="false" ht="15" hidden="false" customHeight="false" outlineLevel="0" collapsed="false">
      <c r="A206" s="26" t="n">
        <v>4114302</v>
      </c>
      <c r="B206" s="26" t="s">
        <v>272</v>
      </c>
      <c r="C206" s="26" t="s">
        <v>86</v>
      </c>
      <c r="D206" s="28" t="n">
        <v>0.283776144714528</v>
      </c>
      <c r="E206" s="29" t="n">
        <v>1.07445997458704</v>
      </c>
      <c r="F206" s="28" t="n">
        <v>0.166666666666667</v>
      </c>
      <c r="G206" s="30" t="n">
        <v>56.3880872333462</v>
      </c>
      <c r="H206" s="30" t="n">
        <v>77.5079027747124</v>
      </c>
      <c r="I206" s="30" t="n">
        <v>83.3333333333333</v>
      </c>
      <c r="J206" s="34" t="n">
        <f aca="false">(2*G206+H206+I206)/4</f>
        <v>68.4043526436846</v>
      </c>
      <c r="K206" s="35" t="n">
        <f aca="false">(J206-MIN(J$6:J$404))/(MAX(J$6:J$404)-MIN(J$6:J$404))*100</f>
        <v>68.4061675435553</v>
      </c>
    </row>
    <row r="207" customFormat="false" ht="15" hidden="false" customHeight="false" outlineLevel="0" collapsed="false">
      <c r="A207" s="26" t="n">
        <v>4114351</v>
      </c>
      <c r="B207" s="26" t="s">
        <v>273</v>
      </c>
      <c r="C207" s="26" t="s">
        <v>71</v>
      </c>
      <c r="D207" s="28" t="n">
        <v>0.267857142857143</v>
      </c>
      <c r="E207" s="29" t="n">
        <v>0.967123287671233</v>
      </c>
      <c r="F207" s="28" t="n">
        <v>0</v>
      </c>
      <c r="G207" s="30" t="n">
        <v>58.8345864661654</v>
      </c>
      <c r="H207" s="30" t="n">
        <v>84.8096519935188</v>
      </c>
      <c r="I207" s="30" t="n">
        <v>100</v>
      </c>
      <c r="J207" s="34" t="n">
        <f aca="false">(2*G207+H207+I207)/4</f>
        <v>75.6197062314624</v>
      </c>
      <c r="K207" s="35" t="n">
        <f aca="false">(J207-MIN(J$6:J$404))/(MAX(J$6:J$404)-MIN(J$6:J$404))*100</f>
        <v>80.5635638577321</v>
      </c>
    </row>
    <row r="208" customFormat="false" ht="15" hidden="false" customHeight="false" outlineLevel="0" collapsed="false">
      <c r="A208" s="26" t="n">
        <v>4114401</v>
      </c>
      <c r="B208" s="26" t="s">
        <v>274</v>
      </c>
      <c r="C208" s="26" t="s">
        <v>65</v>
      </c>
      <c r="D208" s="28" t="n">
        <v>0.331335616438356</v>
      </c>
      <c r="E208" s="29" t="n">
        <v>1.0905737704918</v>
      </c>
      <c r="F208" s="28" t="n">
        <v>0.25</v>
      </c>
      <c r="G208" s="30" t="n">
        <v>49.0789473684211</v>
      </c>
      <c r="H208" s="30" t="n">
        <v>76.4117361233986</v>
      </c>
      <c r="I208" s="30" t="n">
        <v>75</v>
      </c>
      <c r="J208" s="34" t="n">
        <f aca="false">(2*G208+H208+I208)/4</f>
        <v>62.3924077150602</v>
      </c>
      <c r="K208" s="35" t="n">
        <f aca="false">(J208-MIN(J$6:J$404))/(MAX(J$6:J$404)-MIN(J$6:J$404))*100</f>
        <v>58.2764356839693</v>
      </c>
    </row>
    <row r="209" customFormat="false" ht="15" hidden="false" customHeight="false" outlineLevel="0" collapsed="false">
      <c r="A209" s="26" t="n">
        <v>4114500</v>
      </c>
      <c r="B209" s="26" t="s">
        <v>275</v>
      </c>
      <c r="C209" s="26" t="s">
        <v>65</v>
      </c>
      <c r="D209" s="28" t="n">
        <v>0.228315054835494</v>
      </c>
      <c r="E209" s="29" t="n">
        <v>1.05391467416784</v>
      </c>
      <c r="F209" s="28" t="n">
        <v>0.5</v>
      </c>
      <c r="G209" s="30" t="n">
        <v>64.9115810463347</v>
      </c>
      <c r="H209" s="30" t="n">
        <v>78.9055295843019</v>
      </c>
      <c r="I209" s="30" t="n">
        <v>50</v>
      </c>
      <c r="J209" s="34" t="n">
        <f aca="false">(2*G209+H209+I209)/4</f>
        <v>64.6821729192428</v>
      </c>
      <c r="K209" s="35" t="n">
        <f aca="false">(J209-MIN(J$6:J$404))/(MAX(J$6:J$404)-MIN(J$6:J$404))*100</f>
        <v>62.1345394781915</v>
      </c>
    </row>
    <row r="210" customFormat="false" ht="15" hidden="false" customHeight="false" outlineLevel="0" collapsed="false">
      <c r="A210" s="26" t="n">
        <v>4114609</v>
      </c>
      <c r="B210" s="26" t="s">
        <v>276</v>
      </c>
      <c r="C210" s="26" t="s">
        <v>86</v>
      </c>
      <c r="D210" s="28" t="n">
        <v>0.329664281783159</v>
      </c>
      <c r="E210" s="29" t="n">
        <v>1.15349172066235</v>
      </c>
      <c r="F210" s="28" t="n">
        <v>0.45</v>
      </c>
      <c r="G210" s="30" t="n">
        <v>49.3358051154303</v>
      </c>
      <c r="H210" s="30" t="n">
        <v>72.1316422737811</v>
      </c>
      <c r="I210" s="30" t="n">
        <v>55</v>
      </c>
      <c r="J210" s="34" t="n">
        <f aca="false">(2*G210+H210+I210)/4</f>
        <v>56.4508131261604</v>
      </c>
      <c r="K210" s="35" t="n">
        <f aca="false">(J210-MIN(J$6:J$404))/(MAX(J$6:J$404)-MIN(J$6:J$404))*100</f>
        <v>48.2652395205851</v>
      </c>
    </row>
    <row r="211" customFormat="false" ht="15" hidden="false" customHeight="false" outlineLevel="0" collapsed="false">
      <c r="A211" s="26" t="n">
        <v>4114708</v>
      </c>
      <c r="B211" s="26" t="s">
        <v>277</v>
      </c>
      <c r="C211" s="26" t="s">
        <v>65</v>
      </c>
      <c r="D211" s="28" t="n">
        <v>0.320474777448071</v>
      </c>
      <c r="E211" s="29" t="n">
        <v>1.12156295224313</v>
      </c>
      <c r="F211" s="28" t="n">
        <v>0.333333333333333</v>
      </c>
      <c r="G211" s="30" t="n">
        <v>50.7480868342964</v>
      </c>
      <c r="H211" s="30" t="n">
        <v>74.3036476389678</v>
      </c>
      <c r="I211" s="30" t="n">
        <v>66.6666666666667</v>
      </c>
      <c r="J211" s="34" t="n">
        <f aca="false">(2*G211+H211+I211)/4</f>
        <v>60.6166219935568</v>
      </c>
      <c r="K211" s="35" t="n">
        <f aca="false">(J211-MIN(J$6:J$404))/(MAX(J$6:J$404)-MIN(J$6:J$404))*100</f>
        <v>55.2843535188011</v>
      </c>
    </row>
    <row r="212" customFormat="false" ht="15" hidden="false" customHeight="false" outlineLevel="0" collapsed="false">
      <c r="A212" s="26" t="n">
        <v>4114807</v>
      </c>
      <c r="B212" s="26" t="s">
        <v>278</v>
      </c>
      <c r="C212" s="26" t="s">
        <v>86</v>
      </c>
      <c r="D212" s="28" t="n">
        <v>0.329908675799087</v>
      </c>
      <c r="E212" s="29" t="n">
        <v>1.12320969518913</v>
      </c>
      <c r="F212" s="28" t="n">
        <v>0.444444444444444</v>
      </c>
      <c r="G212" s="30" t="n">
        <v>49.2982456140351</v>
      </c>
      <c r="H212" s="30" t="n">
        <v>74.1916253252086</v>
      </c>
      <c r="I212" s="30" t="n">
        <v>55.5555555555556</v>
      </c>
      <c r="J212" s="34" t="n">
        <f aca="false">(2*G212+H212+I212)/4</f>
        <v>57.0859180272086</v>
      </c>
      <c r="K212" s="35" t="n">
        <f aca="false">(J212-MIN(J$6:J$404))/(MAX(J$6:J$404)-MIN(J$6:J$404))*100</f>
        <v>49.3353495143901</v>
      </c>
    </row>
    <row r="213" customFormat="false" ht="15" hidden="false" customHeight="false" outlineLevel="0" collapsed="false">
      <c r="A213" s="26" t="n">
        <v>4114906</v>
      </c>
      <c r="B213" s="26" t="s">
        <v>279</v>
      </c>
      <c r="C213" s="26" t="s">
        <v>65</v>
      </c>
      <c r="D213" s="28" t="n">
        <v>0.21455223880597</v>
      </c>
      <c r="E213" s="29" t="n">
        <v>1.06615120274914</v>
      </c>
      <c r="F213" s="28" t="n">
        <v>0.333333333333333</v>
      </c>
      <c r="G213" s="30" t="n">
        <v>67.0267085624509</v>
      </c>
      <c r="H213" s="30" t="n">
        <v>78.0731202229108</v>
      </c>
      <c r="I213" s="30" t="n">
        <v>66.6666666666667</v>
      </c>
      <c r="J213" s="34" t="n">
        <f aca="false">(2*G213+H213+I213)/4</f>
        <v>69.6983010036198</v>
      </c>
      <c r="K213" s="35" t="n">
        <f aca="false">(J213-MIN(J$6:J$404))/(MAX(J$6:J$404)-MIN(J$6:J$404))*100</f>
        <v>70.586385440078</v>
      </c>
    </row>
    <row r="214" customFormat="false" ht="15" hidden="false" customHeight="false" outlineLevel="0" collapsed="false">
      <c r="A214" s="26" t="n">
        <v>4115002</v>
      </c>
      <c r="B214" s="26" t="s">
        <v>280</v>
      </c>
      <c r="C214" s="26" t="s">
        <v>65</v>
      </c>
      <c r="D214" s="28" t="n">
        <v>0.447136563876652</v>
      </c>
      <c r="E214" s="29" t="n">
        <v>1.12748171368861</v>
      </c>
      <c r="F214" s="28" t="n">
        <v>0</v>
      </c>
      <c r="G214" s="30" t="n">
        <v>31.2821701831672</v>
      </c>
      <c r="H214" s="30" t="n">
        <v>73.9010144573161</v>
      </c>
      <c r="I214" s="30" t="n">
        <v>100</v>
      </c>
      <c r="J214" s="34" t="n">
        <f aca="false">(2*G214+H214+I214)/4</f>
        <v>59.1163387059126</v>
      </c>
      <c r="K214" s="35" t="n">
        <f aca="false">(J214-MIN(J$6:J$404))/(MAX(J$6:J$404)-MIN(J$6:J$404))*100</f>
        <v>52.7564748376616</v>
      </c>
    </row>
    <row r="215" customFormat="false" ht="15" hidden="false" customHeight="false" outlineLevel="0" collapsed="false">
      <c r="A215" s="26" t="n">
        <v>4115101</v>
      </c>
      <c r="B215" s="26" t="s">
        <v>281</v>
      </c>
      <c r="C215" s="26" t="s">
        <v>65</v>
      </c>
      <c r="D215" s="28" t="n">
        <v>0.243865030674847</v>
      </c>
      <c r="E215" s="29" t="n">
        <v>1.02092352092352</v>
      </c>
      <c r="F215" s="28" t="n">
        <v>0</v>
      </c>
      <c r="G215" s="30" t="n">
        <v>62.5217952857604</v>
      </c>
      <c r="H215" s="30" t="n">
        <v>81.1498053706243</v>
      </c>
      <c r="I215" s="30" t="n">
        <v>100</v>
      </c>
      <c r="J215" s="34" t="n">
        <f aca="false">(2*G215+H215+I215)/4</f>
        <v>76.5483489855363</v>
      </c>
      <c r="K215" s="35" t="n">
        <f aca="false">(J215-MIN(J$6:J$404))/(MAX(J$6:J$404)-MIN(J$6:J$404))*100</f>
        <v>82.1282658308535</v>
      </c>
    </row>
    <row r="216" customFormat="false" ht="15" hidden="false" customHeight="false" outlineLevel="0" collapsed="false">
      <c r="A216" s="26" t="n">
        <v>4115200</v>
      </c>
      <c r="B216" s="26" t="s">
        <v>282</v>
      </c>
      <c r="C216" s="26" t="s">
        <v>138</v>
      </c>
      <c r="D216" s="28" t="n">
        <v>0.305073800738007</v>
      </c>
      <c r="E216" s="29" t="n">
        <v>1.17522943837</v>
      </c>
      <c r="F216" s="28" t="n">
        <v>0.504</v>
      </c>
      <c r="G216" s="30" t="n">
        <v>53.1149737813168</v>
      </c>
      <c r="H216" s="30" t="n">
        <v>70.6528993774684</v>
      </c>
      <c r="I216" s="30" t="n">
        <v>49.6</v>
      </c>
      <c r="J216" s="34" t="n">
        <f aca="false">(2*G216+H216+I216)/4</f>
        <v>56.6207117350255</v>
      </c>
      <c r="K216" s="35" t="n">
        <f aca="false">(J216-MIN(J$6:J$404))/(MAX(J$6:J$404)-MIN(J$6:J$404))*100</f>
        <v>48.5515075040001</v>
      </c>
    </row>
    <row r="217" customFormat="false" ht="15" hidden="false" customHeight="false" outlineLevel="0" collapsed="false">
      <c r="A217" s="26" t="n">
        <v>4115309</v>
      </c>
      <c r="B217" s="26" t="s">
        <v>283</v>
      </c>
      <c r="C217" s="26" t="s">
        <v>65</v>
      </c>
      <c r="D217" s="28" t="n">
        <v>0.421052631578947</v>
      </c>
      <c r="E217" s="29" t="n">
        <v>1.14354644149578</v>
      </c>
      <c r="F217" s="28" t="n">
        <v>0.5</v>
      </c>
      <c r="G217" s="30" t="n">
        <v>35.2908587257618</v>
      </c>
      <c r="H217" s="30" t="n">
        <v>72.8081857415543</v>
      </c>
      <c r="I217" s="30" t="n">
        <v>50</v>
      </c>
      <c r="J217" s="34" t="n">
        <f aca="false">(2*G217+H217+I217)/4</f>
        <v>48.3474757982695</v>
      </c>
      <c r="K217" s="35" t="n">
        <f aca="false">(J217-MIN(J$6:J$404))/(MAX(J$6:J$404)-MIN(J$6:J$404))*100</f>
        <v>34.6116489980764</v>
      </c>
    </row>
    <row r="218" customFormat="false" ht="15" hidden="false" customHeight="false" outlineLevel="0" collapsed="false">
      <c r="A218" s="26" t="n">
        <v>4115358</v>
      </c>
      <c r="B218" s="26" t="s">
        <v>284</v>
      </c>
      <c r="C218" s="26" t="s">
        <v>65</v>
      </c>
      <c r="D218" s="28" t="n">
        <v>0.366946778711485</v>
      </c>
      <c r="E218" s="29" t="n">
        <v>1.01758014477766</v>
      </c>
      <c r="F218" s="28" t="n">
        <v>0.5</v>
      </c>
      <c r="G218" s="30" t="n">
        <v>43.6060740085508</v>
      </c>
      <c r="H218" s="30" t="n">
        <v>81.3772438621845</v>
      </c>
      <c r="I218" s="30" t="n">
        <v>50</v>
      </c>
      <c r="J218" s="34" t="n">
        <f aca="false">(2*G218+H218+I218)/4</f>
        <v>54.6473479698215</v>
      </c>
      <c r="K218" s="35" t="n">
        <f aca="false">(J218-MIN(J$6:J$404))/(MAX(J$6:J$404)-MIN(J$6:J$404))*100</f>
        <v>45.226519327917</v>
      </c>
    </row>
    <row r="219" customFormat="false" ht="15" hidden="false" customHeight="false" outlineLevel="0" collapsed="false">
      <c r="A219" s="26" t="n">
        <v>4115408</v>
      </c>
      <c r="B219" s="26" t="s">
        <v>285</v>
      </c>
      <c r="C219" s="26" t="s">
        <v>65</v>
      </c>
      <c r="D219" s="28" t="n">
        <v>0.239814814814815</v>
      </c>
      <c r="E219" s="29" t="n">
        <v>1.05306319343946</v>
      </c>
      <c r="F219" s="28" t="n">
        <v>0.5</v>
      </c>
      <c r="G219" s="30" t="n">
        <v>63.1442495126706</v>
      </c>
      <c r="H219" s="30" t="n">
        <v>78.9634529180838</v>
      </c>
      <c r="I219" s="30" t="n">
        <v>50</v>
      </c>
      <c r="J219" s="34" t="n">
        <f aca="false">(2*G219+H219+I219)/4</f>
        <v>63.8129879858562</v>
      </c>
      <c r="K219" s="35" t="n">
        <f aca="false">(J219-MIN(J$6:J$404))/(MAX(J$6:J$404)-MIN(J$6:J$404))*100</f>
        <v>60.6700200229854</v>
      </c>
    </row>
    <row r="220" customFormat="false" ht="15" hidden="false" customHeight="false" outlineLevel="0" collapsed="false">
      <c r="A220" s="26" t="n">
        <v>4115457</v>
      </c>
      <c r="B220" s="26" t="s">
        <v>286</v>
      </c>
      <c r="C220" s="26" t="s">
        <v>71</v>
      </c>
      <c r="D220" s="28" t="n">
        <v>0.250814332247557</v>
      </c>
      <c r="E220" s="29" t="n">
        <v>1.03697996918336</v>
      </c>
      <c r="F220" s="28" t="n">
        <v>0.5</v>
      </c>
      <c r="G220" s="30" t="n">
        <v>61.4537973598491</v>
      </c>
      <c r="H220" s="30" t="n">
        <v>80.057539884267</v>
      </c>
      <c r="I220" s="30" t="n">
        <v>50</v>
      </c>
      <c r="J220" s="34" t="n">
        <f aca="false">(2*G220+H220+I220)/4</f>
        <v>63.2412836509913</v>
      </c>
      <c r="K220" s="35" t="n">
        <f aca="false">(J220-MIN(J$6:J$404))/(MAX(J$6:J$404)-MIN(J$6:J$404))*100</f>
        <v>59.7067358139815</v>
      </c>
    </row>
    <row r="221" customFormat="false" ht="15" hidden="false" customHeight="false" outlineLevel="0" collapsed="false">
      <c r="A221" s="26" t="n">
        <v>4115507</v>
      </c>
      <c r="B221" s="26" t="s">
        <v>287</v>
      </c>
      <c r="C221" s="26" t="s">
        <v>71</v>
      </c>
      <c r="D221" s="28" t="n">
        <v>0.391941391941392</v>
      </c>
      <c r="E221" s="29" t="n">
        <v>1.01172529313233</v>
      </c>
      <c r="F221" s="28" t="n">
        <v>0.333333333333333</v>
      </c>
      <c r="G221" s="30" t="n">
        <v>39.7647966069019</v>
      </c>
      <c r="H221" s="30" t="n">
        <v>81.7755294778108</v>
      </c>
      <c r="I221" s="30" t="n">
        <v>66.6666666666667</v>
      </c>
      <c r="J221" s="34" t="n">
        <f aca="false">(2*G221+H221+I221)/4</f>
        <v>56.9929473395703</v>
      </c>
      <c r="K221" s="35" t="n">
        <f aca="false">(J221-MIN(J$6:J$404))/(MAX(J$6:J$404)-MIN(J$6:J$404))*100</f>
        <v>49.1787000194666</v>
      </c>
    </row>
    <row r="222" customFormat="false" ht="15" hidden="false" customHeight="false" outlineLevel="0" collapsed="false">
      <c r="A222" s="26" t="n">
        <v>4115606</v>
      </c>
      <c r="B222" s="26" t="s">
        <v>288</v>
      </c>
      <c r="C222" s="26" t="s">
        <v>65</v>
      </c>
      <c r="D222" s="28" t="n">
        <v>0.441348973607038</v>
      </c>
      <c r="E222" s="29" t="n">
        <v>1.18566904196358</v>
      </c>
      <c r="F222" s="28" t="n">
        <v>0.25</v>
      </c>
      <c r="G222" s="30" t="n">
        <v>32.1716314246026</v>
      </c>
      <c r="H222" s="30" t="n">
        <v>69.94272870261</v>
      </c>
      <c r="I222" s="30" t="n">
        <v>75</v>
      </c>
      <c r="J222" s="34" t="n">
        <f aca="false">(2*G222+H222+I222)/4</f>
        <v>52.3214978879538</v>
      </c>
      <c r="K222" s="35" t="n">
        <f aca="false">(J222-MIN(J$6:J$404))/(MAX(J$6:J$404)-MIN(J$6:J$404))*100</f>
        <v>41.3076148877349</v>
      </c>
    </row>
    <row r="223" customFormat="false" ht="15" hidden="false" customHeight="false" outlineLevel="0" collapsed="false">
      <c r="A223" s="26" t="n">
        <v>4115705</v>
      </c>
      <c r="B223" s="26" t="s">
        <v>289</v>
      </c>
      <c r="C223" s="26" t="s">
        <v>86</v>
      </c>
      <c r="D223" s="28" t="n">
        <v>0.372873964238988</v>
      </c>
      <c r="E223" s="29" t="n">
        <v>1.28081035453011</v>
      </c>
      <c r="F223" s="28" t="n">
        <v>0.1875</v>
      </c>
      <c r="G223" s="30" t="n">
        <v>42.6951591801134</v>
      </c>
      <c r="H223" s="30" t="n">
        <v>63.4705892629628</v>
      </c>
      <c r="I223" s="30" t="n">
        <v>81.25</v>
      </c>
      <c r="J223" s="34" t="n">
        <f aca="false">(2*G223+H223+I223)/4</f>
        <v>57.5277269057974</v>
      </c>
      <c r="K223" s="35" t="n">
        <f aca="false">(J223-MIN(J$6:J$404))/(MAX(J$6:J$404)-MIN(J$6:J$404))*100</f>
        <v>50.0797684214863</v>
      </c>
    </row>
    <row r="224" customFormat="false" ht="15" hidden="false" customHeight="false" outlineLevel="0" collapsed="false">
      <c r="A224" s="26" t="n">
        <v>4115739</v>
      </c>
      <c r="B224" s="26" t="s">
        <v>290</v>
      </c>
      <c r="C224" s="26" t="s">
        <v>71</v>
      </c>
      <c r="D224" s="28" t="n">
        <v>0.344660194174757</v>
      </c>
      <c r="E224" s="29" t="n">
        <v>1.27664974619289</v>
      </c>
      <c r="F224" s="28" t="n">
        <v>0</v>
      </c>
      <c r="G224" s="30" t="n">
        <v>47.0311701584057</v>
      </c>
      <c r="H224" s="30" t="n">
        <v>63.7536212769827</v>
      </c>
      <c r="I224" s="30" t="n">
        <v>100</v>
      </c>
      <c r="J224" s="34" t="n">
        <f aca="false">(2*G224+H224+I224)/4</f>
        <v>64.4539903984486</v>
      </c>
      <c r="K224" s="35" t="n">
        <f aca="false">(J224-MIN(J$6:J$404))/(MAX(J$6:J$404)-MIN(J$6:J$404))*100</f>
        <v>61.7500669359223</v>
      </c>
    </row>
    <row r="225" customFormat="false" ht="15" hidden="false" customHeight="false" outlineLevel="0" collapsed="false">
      <c r="A225" s="26" t="n">
        <v>4115754</v>
      </c>
      <c r="B225" s="26" t="s">
        <v>291</v>
      </c>
      <c r="C225" s="26" t="s">
        <v>65</v>
      </c>
      <c r="D225" s="28" t="n">
        <v>0.267206477732794</v>
      </c>
      <c r="E225" s="29" t="n">
        <v>1.16265060240964</v>
      </c>
      <c r="F225" s="28" t="n">
        <v>0.5</v>
      </c>
      <c r="G225" s="30" t="n">
        <v>58.9345834221181</v>
      </c>
      <c r="H225" s="30" t="n">
        <v>71.5085947439474</v>
      </c>
      <c r="I225" s="30" t="n">
        <v>50</v>
      </c>
      <c r="J225" s="34" t="n">
        <f aca="false">(2*G225+H225+I225)/4</f>
        <v>59.8444403970459</v>
      </c>
      <c r="K225" s="35" t="n">
        <f aca="false">(J225-MIN(J$6:J$404))/(MAX(J$6:J$404)-MIN(J$6:J$404))*100</f>
        <v>53.9832783072967</v>
      </c>
    </row>
    <row r="226" customFormat="false" ht="15" hidden="false" customHeight="false" outlineLevel="0" collapsed="false">
      <c r="A226" s="26" t="n">
        <v>4115804</v>
      </c>
      <c r="B226" s="26" t="s">
        <v>292</v>
      </c>
      <c r="C226" s="26" t="s">
        <v>86</v>
      </c>
      <c r="D226" s="28" t="n">
        <v>0.366240266963293</v>
      </c>
      <c r="E226" s="29" t="n">
        <v>1.22048836873284</v>
      </c>
      <c r="F226" s="28" t="n">
        <v>0.384615384615385</v>
      </c>
      <c r="G226" s="30" t="n">
        <v>43.7146537087993</v>
      </c>
      <c r="H226" s="30" t="n">
        <v>67.5740884982011</v>
      </c>
      <c r="I226" s="30" t="n">
        <v>61.5384615384615</v>
      </c>
      <c r="J226" s="34" t="n">
        <f aca="false">(2*G226+H226+I226)/4</f>
        <v>54.1354643635653</v>
      </c>
      <c r="K226" s="35" t="n">
        <f aca="false">(J226-MIN(J$6:J$404))/(MAX(J$6:J$404)-MIN(J$6:J$404))*100</f>
        <v>44.3640291128111</v>
      </c>
    </row>
    <row r="227" customFormat="false" ht="15" hidden="false" customHeight="false" outlineLevel="0" collapsed="false">
      <c r="A227" s="26" t="n">
        <v>4115853</v>
      </c>
      <c r="B227" s="26" t="s">
        <v>293</v>
      </c>
      <c r="C227" s="26" t="s">
        <v>65</v>
      </c>
      <c r="D227" s="28" t="n">
        <v>0.47239263803681</v>
      </c>
      <c r="E227" s="29" t="n">
        <v>1.08567931456548</v>
      </c>
      <c r="F227" s="28" t="n">
        <v>0</v>
      </c>
      <c r="G227" s="30" t="n">
        <v>27.4007103648692</v>
      </c>
      <c r="H227" s="30" t="n">
        <v>76.7446892893979</v>
      </c>
      <c r="I227" s="30" t="n">
        <v>100</v>
      </c>
      <c r="J227" s="34" t="n">
        <f aca="false">(2*G227+H227+I227)/4</f>
        <v>57.8865275047841</v>
      </c>
      <c r="K227" s="35" t="n">
        <f aca="false">(J227-MIN(J$6:J$404))/(MAX(J$6:J$404)-MIN(J$6:J$404))*100</f>
        <v>50.6843238360726</v>
      </c>
    </row>
    <row r="228" customFormat="false" ht="15" hidden="false" customHeight="false" outlineLevel="0" collapsed="false">
      <c r="A228" s="26" t="n">
        <v>4115903</v>
      </c>
      <c r="B228" s="26" t="s">
        <v>294</v>
      </c>
      <c r="C228" s="26" t="s">
        <v>71</v>
      </c>
      <c r="D228" s="28" t="n">
        <v>0.497076023391813</v>
      </c>
      <c r="E228" s="29" t="n">
        <v>1.00625</v>
      </c>
      <c r="F228" s="28" t="n">
        <v>0</v>
      </c>
      <c r="G228" s="30" t="n">
        <v>23.6072637734688</v>
      </c>
      <c r="H228" s="30" t="n">
        <v>82.1479950205853</v>
      </c>
      <c r="I228" s="30" t="n">
        <v>100</v>
      </c>
      <c r="J228" s="34" t="n">
        <f aca="false">(2*G228+H228+I228)/4</f>
        <v>57.3406306418807</v>
      </c>
      <c r="K228" s="35" t="n">
        <f aca="false">(J228-MIN(J$6:J$404))/(MAX(J$6:J$404)-MIN(J$6:J$404))*100</f>
        <v>49.7645235202261</v>
      </c>
    </row>
    <row r="229" customFormat="false" ht="15" hidden="false" customHeight="false" outlineLevel="0" collapsed="false">
      <c r="A229" s="26" t="n">
        <v>4116000</v>
      </c>
      <c r="B229" s="26" t="s">
        <v>295</v>
      </c>
      <c r="C229" s="26" t="s">
        <v>71</v>
      </c>
      <c r="D229" s="28" t="n">
        <v>0.521276595744681</v>
      </c>
      <c r="E229" s="29" t="n">
        <v>1.18340611353712</v>
      </c>
      <c r="F229" s="28" t="n">
        <v>0</v>
      </c>
      <c r="G229" s="30" t="n">
        <v>19.8880179171333</v>
      </c>
      <c r="H229" s="30" t="n">
        <v>70.0966680158579</v>
      </c>
      <c r="I229" s="30" t="n">
        <v>100</v>
      </c>
      <c r="J229" s="34" t="n">
        <f aca="false">(2*G229+H229+I229)/4</f>
        <v>52.4681759625311</v>
      </c>
      <c r="K229" s="35" t="n">
        <f aca="false">(J229-MIN(J$6:J$404))/(MAX(J$6:J$404)-MIN(J$6:J$404))*100</f>
        <v>41.5547577978561</v>
      </c>
    </row>
    <row r="230" customFormat="false" ht="15" hidden="false" customHeight="false" outlineLevel="0" collapsed="false">
      <c r="A230" s="26" t="n">
        <v>4116059</v>
      </c>
      <c r="B230" s="26" t="s">
        <v>296</v>
      </c>
      <c r="C230" s="26" t="s">
        <v>65</v>
      </c>
      <c r="D230" s="28" t="n">
        <v>0.368088467614534</v>
      </c>
      <c r="E230" s="29" t="n">
        <v>1.16974169741697</v>
      </c>
      <c r="F230" s="28" t="n">
        <v>0.25</v>
      </c>
      <c r="G230" s="30" t="n">
        <v>43.430614450819</v>
      </c>
      <c r="H230" s="30" t="n">
        <v>71.0262117030873</v>
      </c>
      <c r="I230" s="30" t="n">
        <v>75</v>
      </c>
      <c r="J230" s="34" t="n">
        <f aca="false">(2*G230+H230+I230)/4</f>
        <v>58.2218601511813</v>
      </c>
      <c r="K230" s="35" t="n">
        <f aca="false">(J230-MIN(J$6:J$404))/(MAX(J$6:J$404)-MIN(J$6:J$404))*100</f>
        <v>51.2493372937968</v>
      </c>
    </row>
    <row r="231" customFormat="false" ht="15" hidden="false" customHeight="false" outlineLevel="0" collapsed="false">
      <c r="A231" s="26" t="n">
        <v>4116109</v>
      </c>
      <c r="B231" s="26" t="s">
        <v>297</v>
      </c>
      <c r="C231" s="26" t="s">
        <v>65</v>
      </c>
      <c r="D231" s="28" t="n">
        <v>0.40194489465154</v>
      </c>
      <c r="E231" s="29" t="n">
        <v>1.09516616314199</v>
      </c>
      <c r="F231" s="28" t="n">
        <v>0</v>
      </c>
      <c r="G231" s="30" t="n">
        <v>38.227416190395</v>
      </c>
      <c r="H231" s="30" t="n">
        <v>76.0993312932376</v>
      </c>
      <c r="I231" s="30" t="n">
        <v>100</v>
      </c>
      <c r="J231" s="34" t="n">
        <f aca="false">(2*G231+H231+I231)/4</f>
        <v>63.1385409185069</v>
      </c>
      <c r="K231" s="35" t="n">
        <f aca="false">(J231-MIN(J$6:J$404))/(MAX(J$6:J$404)-MIN(J$6:J$404))*100</f>
        <v>59.5336210661013</v>
      </c>
    </row>
    <row r="232" customFormat="false" ht="15" hidden="false" customHeight="false" outlineLevel="0" collapsed="false">
      <c r="A232" s="26" t="n">
        <v>4116208</v>
      </c>
      <c r="B232" s="26" t="s">
        <v>298</v>
      </c>
      <c r="C232" s="26" t="s">
        <v>65</v>
      </c>
      <c r="D232" s="28" t="n">
        <v>0.144444444444444</v>
      </c>
      <c r="E232" s="29" t="n">
        <v>1.12956277577216</v>
      </c>
      <c r="F232" s="28" t="n">
        <v>0.666666666666667</v>
      </c>
      <c r="G232" s="30" t="n">
        <v>77.8011695906433</v>
      </c>
      <c r="H232" s="30" t="n">
        <v>73.7594468919339</v>
      </c>
      <c r="I232" s="30" t="n">
        <v>33.3333333333333</v>
      </c>
      <c r="J232" s="34" t="n">
        <f aca="false">(2*G232+H232+I232)/4</f>
        <v>65.6737798516384</v>
      </c>
      <c r="K232" s="35" t="n">
        <f aca="false">(J232-MIN(J$6:J$404))/(MAX(J$6:J$404)-MIN(J$6:J$404))*100</f>
        <v>63.8053319512644</v>
      </c>
    </row>
    <row r="233" customFormat="false" ht="15" hidden="false" customHeight="false" outlineLevel="0" collapsed="false">
      <c r="A233" s="26" t="n">
        <v>4116307</v>
      </c>
      <c r="B233" s="26" t="s">
        <v>299</v>
      </c>
      <c r="C233" s="26" t="s">
        <v>71</v>
      </c>
      <c r="D233" s="28" t="n">
        <v>0.473251028806584</v>
      </c>
      <c r="E233" s="29" t="n">
        <v>1.17118997912317</v>
      </c>
      <c r="F233" s="28" t="n">
        <v>0</v>
      </c>
      <c r="G233" s="30" t="n">
        <v>27.2687892570934</v>
      </c>
      <c r="H233" s="30" t="n">
        <v>70.9276900315069</v>
      </c>
      <c r="I233" s="30" t="n">
        <v>100</v>
      </c>
      <c r="J233" s="34" t="n">
        <f aca="false">(2*G233+H233+I233)/4</f>
        <v>56.3663171364234</v>
      </c>
      <c r="K233" s="35" t="n">
        <f aca="false">(J233-MIN(J$6:J$404))/(MAX(J$6:J$404)-MIN(J$6:J$404))*100</f>
        <v>48.1228693343295</v>
      </c>
    </row>
    <row r="234" customFormat="false" ht="15" hidden="false" customHeight="false" outlineLevel="0" collapsed="false">
      <c r="A234" s="26" t="n">
        <v>4116406</v>
      </c>
      <c r="B234" s="26" t="s">
        <v>300</v>
      </c>
      <c r="C234" s="26" t="s">
        <v>71</v>
      </c>
      <c r="D234" s="28" t="n">
        <v>0.391509433962264</v>
      </c>
      <c r="E234" s="29" t="n">
        <v>1.05084745762712</v>
      </c>
      <c r="F234" s="28" t="n">
        <v>0</v>
      </c>
      <c r="G234" s="30" t="n">
        <v>39.8311817279047</v>
      </c>
      <c r="H234" s="30" t="n">
        <v>79.1141818785327</v>
      </c>
      <c r="I234" s="30" t="n">
        <v>100</v>
      </c>
      <c r="J234" s="34" t="n">
        <f aca="false">(2*G234+H234+I234)/4</f>
        <v>64.6941363335855</v>
      </c>
      <c r="K234" s="35" t="n">
        <f aca="false">(J234-MIN(J$6:J$404))/(MAX(J$6:J$404)-MIN(J$6:J$404))*100</f>
        <v>62.1546970446455</v>
      </c>
    </row>
    <row r="235" customFormat="false" ht="15" hidden="false" customHeight="false" outlineLevel="0" collapsed="false">
      <c r="A235" s="26" t="n">
        <v>4116505</v>
      </c>
      <c r="B235" s="26" t="s">
        <v>301</v>
      </c>
      <c r="C235" s="26" t="s">
        <v>71</v>
      </c>
      <c r="D235" s="28" t="n">
        <v>0.6</v>
      </c>
      <c r="E235" s="29" t="n">
        <v>1.18181818181818</v>
      </c>
      <c r="F235" s="28" t="n">
        <v>0</v>
      </c>
      <c r="G235" s="30" t="n">
        <v>7.78947368421054</v>
      </c>
      <c r="H235" s="30" t="n">
        <v>70.2046896021526</v>
      </c>
      <c r="I235" s="30" t="n">
        <v>100</v>
      </c>
      <c r="J235" s="34" t="n">
        <f aca="false">(2*G235+H235+I235)/4</f>
        <v>46.4459092426434</v>
      </c>
      <c r="K235" s="35" t="n">
        <f aca="false">(J235-MIN(J$6:J$404))/(MAX(J$6:J$404)-MIN(J$6:J$404))*100</f>
        <v>31.4076343987517</v>
      </c>
    </row>
    <row r="236" customFormat="false" ht="15" hidden="false" customHeight="false" outlineLevel="0" collapsed="false">
      <c r="A236" s="26" t="n">
        <v>4116604</v>
      </c>
      <c r="B236" s="26" t="s">
        <v>302</v>
      </c>
      <c r="C236" s="26" t="s">
        <v>71</v>
      </c>
      <c r="D236" s="28" t="n">
        <v>0.525714285714286</v>
      </c>
      <c r="E236" s="29" t="n">
        <v>1.01990049751244</v>
      </c>
      <c r="F236" s="28" t="n">
        <v>0.5</v>
      </c>
      <c r="G236" s="30" t="n">
        <v>19.206015037594</v>
      </c>
      <c r="H236" s="30" t="n">
        <v>81.2193981688309</v>
      </c>
      <c r="I236" s="30" t="n">
        <v>50</v>
      </c>
      <c r="J236" s="34" t="n">
        <f aca="false">(2*G236+H236+I236)/4</f>
        <v>42.4078570610047</v>
      </c>
      <c r="K236" s="35" t="n">
        <f aca="false">(J236-MIN(J$6:J$404))/(MAX(J$6:J$404)-MIN(J$6:J$404))*100</f>
        <v>24.6037820147653</v>
      </c>
    </row>
    <row r="237" customFormat="false" ht="15" hidden="false" customHeight="false" outlineLevel="0" collapsed="false">
      <c r="A237" s="26" t="n">
        <v>4116703</v>
      </c>
      <c r="B237" s="26" t="s">
        <v>303</v>
      </c>
      <c r="C237" s="26" t="s">
        <v>65</v>
      </c>
      <c r="D237" s="28" t="n">
        <v>0.341890315052509</v>
      </c>
      <c r="E237" s="29" t="n">
        <v>0.871351351351351</v>
      </c>
      <c r="F237" s="28" t="n">
        <v>0.25</v>
      </c>
      <c r="G237" s="30" t="n">
        <v>47.4568568445618</v>
      </c>
      <c r="H237" s="30" t="n">
        <v>91.3246906191827</v>
      </c>
      <c r="I237" s="30" t="n">
        <v>75</v>
      </c>
      <c r="J237" s="34" t="n">
        <f aca="false">(2*G237+H237+I237)/4</f>
        <v>65.3096010770766</v>
      </c>
      <c r="K237" s="35" t="n">
        <f aca="false">(J237-MIN(J$6:J$404))/(MAX(J$6:J$404)-MIN(J$6:J$404))*100</f>
        <v>63.1917146645025</v>
      </c>
    </row>
    <row r="238" customFormat="false" ht="15" hidden="false" customHeight="false" outlineLevel="0" collapsed="false">
      <c r="A238" s="26" t="n">
        <v>4116802</v>
      </c>
      <c r="B238" s="26" t="s">
        <v>304</v>
      </c>
      <c r="C238" s="26" t="s">
        <v>65</v>
      </c>
      <c r="D238" s="28" t="n">
        <v>0.358851674641148</v>
      </c>
      <c r="E238" s="29" t="n">
        <v>1.16268486916951</v>
      </c>
      <c r="F238" s="28" t="n">
        <v>0.333333333333333</v>
      </c>
      <c r="G238" s="30" t="n">
        <v>44.8501636867288</v>
      </c>
      <c r="H238" s="30" t="n">
        <v>71.506263692987</v>
      </c>
      <c r="I238" s="30" t="n">
        <v>66.6666666666667</v>
      </c>
      <c r="J238" s="34" t="n">
        <f aca="false">(2*G238+H238+I238)/4</f>
        <v>56.9683144332778</v>
      </c>
      <c r="K238" s="35" t="n">
        <f aca="false">(J238-MIN(J$6:J$404))/(MAX(J$6:J$404)-MIN(J$6:J$404))*100</f>
        <v>49.1371951922222</v>
      </c>
    </row>
    <row r="239" customFormat="false" ht="15" hidden="false" customHeight="false" outlineLevel="0" collapsed="false">
      <c r="A239" s="26" t="n">
        <v>4116901</v>
      </c>
      <c r="B239" s="26" t="s">
        <v>305</v>
      </c>
      <c r="C239" s="26" t="s">
        <v>86</v>
      </c>
      <c r="D239" s="28" t="n">
        <v>0.320026178010471</v>
      </c>
      <c r="E239" s="29" t="n">
        <v>1.13341684935797</v>
      </c>
      <c r="F239" s="28" t="n">
        <v>0.363636363636364</v>
      </c>
      <c r="G239" s="30" t="n">
        <v>50.8170294847065</v>
      </c>
      <c r="H239" s="30" t="n">
        <v>73.4972673929852</v>
      </c>
      <c r="I239" s="30" t="n">
        <v>63.6363636363636</v>
      </c>
      <c r="J239" s="34" t="n">
        <f aca="false">(2*G239+H239+I239)/4</f>
        <v>59.6919224996905</v>
      </c>
      <c r="K239" s="35" t="n">
        <f aca="false">(J239-MIN(J$6:J$404))/(MAX(J$6:J$404)-MIN(J$6:J$404))*100</f>
        <v>53.7262956798208</v>
      </c>
    </row>
    <row r="240" customFormat="false" ht="15" hidden="false" customHeight="false" outlineLevel="0" collapsed="false">
      <c r="A240" s="26" t="n">
        <v>4116950</v>
      </c>
      <c r="B240" s="26" t="s">
        <v>306</v>
      </c>
      <c r="C240" s="26" t="s">
        <v>65</v>
      </c>
      <c r="D240" s="28" t="n">
        <v>0.228412256267409</v>
      </c>
      <c r="E240" s="29" t="n">
        <v>1.08488063660477</v>
      </c>
      <c r="F240" s="28" t="n">
        <v>0.5</v>
      </c>
      <c r="G240" s="30" t="n">
        <v>64.8966427210087</v>
      </c>
      <c r="H240" s="30" t="n">
        <v>76.7990206307431</v>
      </c>
      <c r="I240" s="30" t="n">
        <v>50</v>
      </c>
      <c r="J240" s="34" t="n">
        <f aca="false">(2*G240+H240+I240)/4</f>
        <v>64.1480765181901</v>
      </c>
      <c r="K240" s="35" t="n">
        <f aca="false">(J240-MIN(J$6:J$404))/(MAX(J$6:J$404)-MIN(J$6:J$404))*100</f>
        <v>61.2346221645657</v>
      </c>
    </row>
    <row r="241" customFormat="false" ht="15" hidden="false" customHeight="false" outlineLevel="0" collapsed="false">
      <c r="A241" s="26" t="n">
        <v>4117008</v>
      </c>
      <c r="B241" s="26" t="s">
        <v>307</v>
      </c>
      <c r="C241" s="26" t="s">
        <v>65</v>
      </c>
      <c r="D241" s="28" t="n">
        <v>0.508333333333333</v>
      </c>
      <c r="E241" s="29" t="n">
        <v>0.963282937365011</v>
      </c>
      <c r="F241" s="28" t="n">
        <v>0.5</v>
      </c>
      <c r="G241" s="30" t="n">
        <v>21.8771929824562</v>
      </c>
      <c r="H241" s="30" t="n">
        <v>85.0708979444991</v>
      </c>
      <c r="I241" s="30" t="n">
        <v>50</v>
      </c>
      <c r="J241" s="34" t="n">
        <f aca="false">(2*G241+H241+I241)/4</f>
        <v>44.7063209773529</v>
      </c>
      <c r="K241" s="35" t="n">
        <f aca="false">(J241-MIN(J$6:J$404))/(MAX(J$6:J$404)-MIN(J$6:J$404))*100</f>
        <v>28.4765425669595</v>
      </c>
    </row>
    <row r="242" customFormat="false" ht="15" hidden="false" customHeight="false" outlineLevel="0" collapsed="false">
      <c r="A242" s="26" t="n">
        <v>4117057</v>
      </c>
      <c r="B242" s="26" t="s">
        <v>308</v>
      </c>
      <c r="C242" s="26" t="s">
        <v>65</v>
      </c>
      <c r="D242" s="28" t="n">
        <v>0.16240157480315</v>
      </c>
      <c r="E242" s="29" t="n">
        <v>0.955647240845797</v>
      </c>
      <c r="F242" s="28" t="n">
        <v>0.333333333333333</v>
      </c>
      <c r="G242" s="30" t="n">
        <v>75.0414421881475</v>
      </c>
      <c r="H242" s="30" t="n">
        <v>85.5903283712827</v>
      </c>
      <c r="I242" s="30" t="n">
        <v>66.6666666666667</v>
      </c>
      <c r="J242" s="34" t="n">
        <f aca="false">(2*G242+H242+I242)/4</f>
        <v>75.5849698535611</v>
      </c>
      <c r="K242" s="35" t="n">
        <f aca="false">(J242-MIN(J$6:J$404))/(MAX(J$6:J$404)-MIN(J$6:J$404))*100</f>
        <v>80.5050353452306</v>
      </c>
    </row>
    <row r="243" customFormat="false" ht="15" hidden="false" customHeight="false" outlineLevel="0" collapsed="false">
      <c r="A243" s="26" t="n">
        <v>4117107</v>
      </c>
      <c r="B243" s="26" t="s">
        <v>309</v>
      </c>
      <c r="C243" s="26" t="s">
        <v>65</v>
      </c>
      <c r="D243" s="28" t="n">
        <v>0.461728395061728</v>
      </c>
      <c r="E243" s="29" t="n">
        <v>1.11202830188679</v>
      </c>
      <c r="F243" s="28" t="n">
        <v>0.333333333333333</v>
      </c>
      <c r="G243" s="30" t="n">
        <v>29.0396361273554</v>
      </c>
      <c r="H243" s="30" t="n">
        <v>74.9522574273951</v>
      </c>
      <c r="I243" s="30" t="n">
        <v>66.6666666666667</v>
      </c>
      <c r="J243" s="34" t="n">
        <f aca="false">(2*G243+H243+I243)/4</f>
        <v>49.9245490871932</v>
      </c>
      <c r="K243" s="35" t="n">
        <f aca="false">(J243-MIN(J$6:J$404))/(MAX(J$6:J$404)-MIN(J$6:J$404))*100</f>
        <v>37.2689137816658</v>
      </c>
    </row>
    <row r="244" customFormat="false" ht="15" hidden="false" customHeight="false" outlineLevel="0" collapsed="false">
      <c r="A244" s="26" t="n">
        <v>4117206</v>
      </c>
      <c r="B244" s="26" t="s">
        <v>310</v>
      </c>
      <c r="C244" s="26" t="s">
        <v>65</v>
      </c>
      <c r="D244" s="28" t="n">
        <v>0.443076923076923</v>
      </c>
      <c r="E244" s="29" t="n">
        <v>1.11780821917808</v>
      </c>
      <c r="F244" s="28" t="n">
        <v>0.5</v>
      </c>
      <c r="G244" s="30" t="n">
        <v>31.9060728744939</v>
      </c>
      <c r="H244" s="30" t="n">
        <v>74.5590693406458</v>
      </c>
      <c r="I244" s="30" t="n">
        <v>50</v>
      </c>
      <c r="J244" s="34" t="n">
        <f aca="false">(2*G244+H244+I244)/4</f>
        <v>47.0928037724084</v>
      </c>
      <c r="K244" s="35" t="n">
        <f aca="false">(J244-MIN(J$6:J$404))/(MAX(J$6:J$404)-MIN(J$6:J$404))*100</f>
        <v>32.4976091416594</v>
      </c>
    </row>
    <row r="245" customFormat="false" ht="15" hidden="false" customHeight="false" outlineLevel="0" collapsed="false">
      <c r="A245" s="26" t="n">
        <v>4117255</v>
      </c>
      <c r="B245" s="26" t="s">
        <v>311</v>
      </c>
      <c r="C245" s="26" t="s">
        <v>65</v>
      </c>
      <c r="D245" s="28" t="n">
        <v>0.315502183406114</v>
      </c>
      <c r="E245" s="29" t="n">
        <v>0.893428063943162</v>
      </c>
      <c r="F245" s="28" t="n">
        <v>0</v>
      </c>
      <c r="G245" s="30" t="n">
        <v>51.5122960239026</v>
      </c>
      <c r="H245" s="30" t="n">
        <v>89.8228870555278</v>
      </c>
      <c r="I245" s="30" t="n">
        <v>100</v>
      </c>
      <c r="J245" s="34" t="n">
        <f aca="false">(2*G245+H245+I245)/4</f>
        <v>73.2118697758332</v>
      </c>
      <c r="K245" s="35" t="n">
        <f aca="false">(J245-MIN(J$6:J$404))/(MAX(J$6:J$404)-MIN(J$6:J$404))*100</f>
        <v>76.5065177691811</v>
      </c>
    </row>
    <row r="246" customFormat="false" ht="15" hidden="false" customHeight="false" outlineLevel="0" collapsed="false">
      <c r="A246" s="26" t="n">
        <v>4117214</v>
      </c>
      <c r="B246" s="26" t="s">
        <v>312</v>
      </c>
      <c r="C246" s="26" t="s">
        <v>71</v>
      </c>
      <c r="D246" s="28" t="n">
        <v>0.444029850746269</v>
      </c>
      <c r="E246" s="29" t="n">
        <v>1.06679035250464</v>
      </c>
      <c r="F246" s="28" t="n">
        <v>0.5</v>
      </c>
      <c r="G246" s="30" t="n">
        <v>31.7596229379419</v>
      </c>
      <c r="H246" s="30" t="n">
        <v>78.0296410420081</v>
      </c>
      <c r="I246" s="30" t="n">
        <v>50</v>
      </c>
      <c r="J246" s="34" t="n">
        <f aca="false">(2*G246+H246+I246)/4</f>
        <v>47.887221729473</v>
      </c>
      <c r="K246" s="35" t="n">
        <f aca="false">(J246-MIN(J$6:J$404))/(MAX(J$6:J$404)-MIN(J$6:J$404))*100</f>
        <v>33.8361511584349</v>
      </c>
    </row>
    <row r="247" customFormat="false" ht="15" hidden="false" customHeight="false" outlineLevel="0" collapsed="false">
      <c r="A247" s="26" t="n">
        <v>4117222</v>
      </c>
      <c r="B247" s="26" t="s">
        <v>313</v>
      </c>
      <c r="C247" s="26" t="s">
        <v>65</v>
      </c>
      <c r="D247" s="28" t="n">
        <v>0.448473282442748</v>
      </c>
      <c r="E247" s="29" t="n">
        <v>1.30566037735849</v>
      </c>
      <c r="F247" s="28" t="n">
        <v>0.333333333333333</v>
      </c>
      <c r="G247" s="30" t="n">
        <v>31.0767376456408</v>
      </c>
      <c r="H247" s="30" t="n">
        <v>61.7801268498943</v>
      </c>
      <c r="I247" s="30" t="n">
        <v>66.6666666666667</v>
      </c>
      <c r="J247" s="34" t="n">
        <f aca="false">(2*G247+H247+I247)/4</f>
        <v>47.6500672019607</v>
      </c>
      <c r="K247" s="35" t="n">
        <f aca="false">(J247-MIN(J$6:J$404))/(MAX(J$6:J$404)-MIN(J$6:J$404))*100</f>
        <v>33.4365613748444</v>
      </c>
    </row>
    <row r="248" customFormat="false" ht="15" hidden="false" customHeight="false" outlineLevel="0" collapsed="false">
      <c r="A248" s="26" t="n">
        <v>4117271</v>
      </c>
      <c r="B248" s="26" t="s">
        <v>314</v>
      </c>
      <c r="C248" s="26" t="s">
        <v>65</v>
      </c>
      <c r="D248" s="28" t="n">
        <v>0.414507772020725</v>
      </c>
      <c r="E248" s="29" t="n">
        <v>1.12247191011236</v>
      </c>
      <c r="F248" s="28" t="n">
        <v>0.25</v>
      </c>
      <c r="G248" s="30" t="n">
        <v>36.2967002999727</v>
      </c>
      <c r="H248" s="30" t="n">
        <v>74.2418143310625</v>
      </c>
      <c r="I248" s="30" t="n">
        <v>75</v>
      </c>
      <c r="J248" s="34" t="n">
        <f aca="false">(2*G248+H248+I248)/4</f>
        <v>55.458803732752</v>
      </c>
      <c r="K248" s="35" t="n">
        <f aca="false">(J248-MIN(J$6:J$404))/(MAX(J$6:J$404)-MIN(J$6:J$404))*100</f>
        <v>46.5937689271714</v>
      </c>
    </row>
    <row r="249" customFormat="false" ht="15" hidden="false" customHeight="false" outlineLevel="0" collapsed="false">
      <c r="A249" s="26" t="n">
        <v>4117297</v>
      </c>
      <c r="B249" s="26" t="s">
        <v>315</v>
      </c>
      <c r="C249" s="26" t="s">
        <v>71</v>
      </c>
      <c r="D249" s="28" t="n">
        <v>0.321428571428571</v>
      </c>
      <c r="E249" s="29" t="n">
        <v>1.15804597701149</v>
      </c>
      <c r="F249" s="28" t="n">
        <v>0.5</v>
      </c>
      <c r="G249" s="30" t="n">
        <v>50.6015037593985</v>
      </c>
      <c r="H249" s="30" t="n">
        <v>71.8218317262866</v>
      </c>
      <c r="I249" s="30" t="n">
        <v>50</v>
      </c>
      <c r="J249" s="34" t="n">
        <f aca="false">(2*G249+H249+I249)/4</f>
        <v>55.7562098112709</v>
      </c>
      <c r="K249" s="35" t="n">
        <f aca="false">(J249-MIN(J$6:J$404))/(MAX(J$6:J$404)-MIN(J$6:J$404))*100</f>
        <v>47.0948786120695</v>
      </c>
    </row>
    <row r="250" customFormat="false" ht="15" hidden="false" customHeight="false" outlineLevel="0" collapsed="false">
      <c r="A250" s="26" t="n">
        <v>4117305</v>
      </c>
      <c r="B250" s="26" t="s">
        <v>316</v>
      </c>
      <c r="C250" s="26" t="s">
        <v>86</v>
      </c>
      <c r="D250" s="28" t="n">
        <v>0.185227928447778</v>
      </c>
      <c r="E250" s="29" t="n">
        <v>1.10172798216277</v>
      </c>
      <c r="F250" s="28" t="n">
        <v>0.333333333333333</v>
      </c>
      <c r="G250" s="30" t="n">
        <v>71.5333920490783</v>
      </c>
      <c r="H250" s="30" t="n">
        <v>75.6529530950131</v>
      </c>
      <c r="I250" s="30" t="n">
        <v>66.6666666666667</v>
      </c>
      <c r="J250" s="34" t="n">
        <f aca="false">(2*G250+H250+I250)/4</f>
        <v>71.3466009649591</v>
      </c>
      <c r="K250" s="35" t="n">
        <f aca="false">(J250-MIN(J$6:J$404))/(MAX(J$6:J$404)-MIN(J$6:J$404))*100</f>
        <v>73.3636624828258</v>
      </c>
    </row>
    <row r="251" customFormat="false" ht="15" hidden="false" customHeight="false" outlineLevel="0" collapsed="false">
      <c r="A251" s="26" t="n">
        <v>4117404</v>
      </c>
      <c r="B251" s="26" t="s">
        <v>317</v>
      </c>
      <c r="C251" s="26" t="s">
        <v>71</v>
      </c>
      <c r="D251" s="28" t="n">
        <v>0.490445859872611</v>
      </c>
      <c r="E251" s="29" t="n">
        <v>1.13144329896907</v>
      </c>
      <c r="F251" s="28" t="n">
        <v>0</v>
      </c>
      <c r="G251" s="30" t="n">
        <v>24.6262152195776</v>
      </c>
      <c r="H251" s="30" t="n">
        <v>73.6315213039683</v>
      </c>
      <c r="I251" s="30" t="n">
        <v>100</v>
      </c>
      <c r="J251" s="34" t="n">
        <f aca="false">(2*G251+H251+I251)/4</f>
        <v>55.7209879357809</v>
      </c>
      <c r="K251" s="35" t="n">
        <f aca="false">(J251-MIN(J$6:J$404))/(MAX(J$6:J$404)-MIN(J$6:J$404))*100</f>
        <v>47.0355320680572</v>
      </c>
    </row>
    <row r="252" customFormat="false" ht="15" hidden="false" customHeight="false" outlineLevel="0" collapsed="false">
      <c r="A252" s="26" t="n">
        <v>4117453</v>
      </c>
      <c r="B252" s="26" t="s">
        <v>318</v>
      </c>
      <c r="C252" s="26" t="s">
        <v>65</v>
      </c>
      <c r="D252" s="28" t="n">
        <v>0.45374449339207</v>
      </c>
      <c r="E252" s="29" t="n">
        <v>1.04021739130435</v>
      </c>
      <c r="F252" s="28" t="n">
        <v>0</v>
      </c>
      <c r="G252" s="30" t="n">
        <v>30.2666357523766</v>
      </c>
      <c r="H252" s="30" t="n">
        <v>79.837309084136</v>
      </c>
      <c r="I252" s="30" t="n">
        <v>100</v>
      </c>
      <c r="J252" s="34" t="n">
        <f aca="false">(2*G252+H252+I252)/4</f>
        <v>60.0926451472223</v>
      </c>
      <c r="K252" s="35" t="n">
        <f aca="false">(J252-MIN(J$6:J$404))/(MAX(J$6:J$404)-MIN(J$6:J$404))*100</f>
        <v>54.4014869894141</v>
      </c>
    </row>
    <row r="253" customFormat="false" ht="15" hidden="false" customHeight="false" outlineLevel="0" collapsed="false">
      <c r="A253" s="26" t="n">
        <v>4117503</v>
      </c>
      <c r="B253" s="26" t="s">
        <v>319</v>
      </c>
      <c r="C253" s="26" t="s">
        <v>86</v>
      </c>
      <c r="D253" s="28" t="n">
        <v>0.354325894221951</v>
      </c>
      <c r="E253" s="29" t="n">
        <v>1.09982734264637</v>
      </c>
      <c r="F253" s="28" t="n">
        <v>0.3</v>
      </c>
      <c r="G253" s="30" t="n">
        <v>45.5457046774687</v>
      </c>
      <c r="H253" s="30" t="n">
        <v>75.7822471276767</v>
      </c>
      <c r="I253" s="30" t="n">
        <v>70</v>
      </c>
      <c r="J253" s="34" t="n">
        <f aca="false">(2*G253+H253+I253)/4</f>
        <v>59.2184141206535</v>
      </c>
      <c r="K253" s="35" t="n">
        <f aca="false">(J253-MIN(J$6:J$404))/(MAX(J$6:J$404)-MIN(J$6:J$404))*100</f>
        <v>52.9284651990268</v>
      </c>
    </row>
    <row r="254" customFormat="false" ht="15" hidden="false" customHeight="false" outlineLevel="0" collapsed="false">
      <c r="A254" s="26" t="n">
        <v>4117602</v>
      </c>
      <c r="B254" s="26" t="s">
        <v>320</v>
      </c>
      <c r="C254" s="26" t="s">
        <v>86</v>
      </c>
      <c r="D254" s="28" t="n">
        <v>0.235121430477716</v>
      </c>
      <c r="E254" s="29" t="n">
        <v>1.04554276102989</v>
      </c>
      <c r="F254" s="28" t="n">
        <v>0.263157894736842</v>
      </c>
      <c r="G254" s="30" t="n">
        <v>63.8655485792143</v>
      </c>
      <c r="H254" s="30" t="n">
        <v>79.4750423200816</v>
      </c>
      <c r="I254" s="30" t="n">
        <v>73.6842105263158</v>
      </c>
      <c r="J254" s="34" t="n">
        <f aca="false">(2*G254+H254+I254)/4</f>
        <v>70.2225875012065</v>
      </c>
      <c r="K254" s="35" t="n">
        <f aca="false">(J254-MIN(J$6:J$404))/(MAX(J$6:J$404)-MIN(J$6:J$404))*100</f>
        <v>71.4697737114621</v>
      </c>
    </row>
    <row r="255" customFormat="false" ht="15" hidden="false" customHeight="false" outlineLevel="0" collapsed="false">
      <c r="A255" s="26" t="n">
        <v>4117701</v>
      </c>
      <c r="B255" s="26" t="s">
        <v>321</v>
      </c>
      <c r="C255" s="26" t="s">
        <v>86</v>
      </c>
      <c r="D255" s="28" t="n">
        <v>0.254721326577614</v>
      </c>
      <c r="E255" s="29" t="n">
        <v>1.13241409498796</v>
      </c>
      <c r="F255" s="28" t="n">
        <v>0.5</v>
      </c>
      <c r="G255" s="30" t="n">
        <v>60.8533540207035</v>
      </c>
      <c r="H255" s="30" t="n">
        <v>73.5654813573644</v>
      </c>
      <c r="I255" s="30" t="n">
        <v>50</v>
      </c>
      <c r="J255" s="34" t="n">
        <f aca="false">(2*G255+H255+I255)/4</f>
        <v>61.3180473496929</v>
      </c>
      <c r="K255" s="35" t="n">
        <f aca="false">(J255-MIN(J$6:J$404))/(MAX(J$6:J$404)-MIN(J$6:J$404))*100</f>
        <v>56.4662091182001</v>
      </c>
    </row>
    <row r="256" customFormat="false" ht="15" hidden="false" customHeight="false" outlineLevel="0" collapsed="false">
      <c r="A256" s="26" t="n">
        <v>4117800</v>
      </c>
      <c r="B256" s="26" t="s">
        <v>322</v>
      </c>
      <c r="C256" s="26" t="s">
        <v>65</v>
      </c>
      <c r="D256" s="28" t="n">
        <v>0.17960088691796</v>
      </c>
      <c r="E256" s="29" t="n">
        <v>1.16132536664856</v>
      </c>
      <c r="F256" s="28" t="n">
        <v>0.5</v>
      </c>
      <c r="G256" s="30" t="n">
        <v>72.3981794841872</v>
      </c>
      <c r="H256" s="30" t="n">
        <v>71.5987460189796</v>
      </c>
      <c r="I256" s="30" t="n">
        <v>50</v>
      </c>
      <c r="J256" s="34" t="n">
        <f aca="false">(2*G256+H256+I256)/4</f>
        <v>66.5987762468385</v>
      </c>
      <c r="K256" s="35" t="n">
        <f aca="false">(J256-MIN(J$6:J$404))/(MAX(J$6:J$404)-MIN(J$6:J$404))*100</f>
        <v>65.3638900494677</v>
      </c>
    </row>
    <row r="257" customFormat="false" ht="15" hidden="false" customHeight="false" outlineLevel="0" collapsed="false">
      <c r="A257" s="26" t="n">
        <v>4117909</v>
      </c>
      <c r="B257" s="26" t="s">
        <v>323</v>
      </c>
      <c r="C257" s="26" t="s">
        <v>86</v>
      </c>
      <c r="D257" s="28" t="n">
        <v>0.420944558521561</v>
      </c>
      <c r="E257" s="29" t="n">
        <v>1.17096910706729</v>
      </c>
      <c r="F257" s="28" t="n">
        <v>0.416666666666667</v>
      </c>
      <c r="G257" s="30" t="n">
        <v>35.3074678482654</v>
      </c>
      <c r="H257" s="30" t="n">
        <v>70.9427152051718</v>
      </c>
      <c r="I257" s="30" t="n">
        <v>58.3333333333333</v>
      </c>
      <c r="J257" s="34" t="n">
        <f aca="false">(2*G257+H257+I257)/4</f>
        <v>49.972746058759</v>
      </c>
      <c r="K257" s="35" t="n">
        <f aca="false">(J257-MIN(J$6:J$404))/(MAX(J$6:J$404)-MIN(J$6:J$404))*100</f>
        <v>37.3501225093242</v>
      </c>
    </row>
    <row r="258" customFormat="false" ht="15" hidden="false" customHeight="false" outlineLevel="0" collapsed="false">
      <c r="A258" s="26" t="n">
        <v>4118006</v>
      </c>
      <c r="B258" s="26" t="s">
        <v>324</v>
      </c>
      <c r="C258" s="26" t="s">
        <v>65</v>
      </c>
      <c r="D258" s="28" t="n">
        <v>0.392699115044248</v>
      </c>
      <c r="E258" s="29" t="n">
        <v>1.16194790486976</v>
      </c>
      <c r="F258" s="28" t="n">
        <v>0.5</v>
      </c>
      <c r="G258" s="30" t="n">
        <v>39.6483465300419</v>
      </c>
      <c r="H258" s="30" t="n">
        <v>71.5563968641757</v>
      </c>
      <c r="I258" s="30" t="n">
        <v>50</v>
      </c>
      <c r="J258" s="34" t="n">
        <f aca="false">(2*G258+H258+I258)/4</f>
        <v>50.2132724810649</v>
      </c>
      <c r="K258" s="35" t="n">
        <f aca="false">(J258-MIN(J$6:J$404))/(MAX(J$6:J$404)-MIN(J$6:J$404))*100</f>
        <v>37.7553937139062</v>
      </c>
    </row>
    <row r="259" customFormat="false" ht="15" hidden="false" customHeight="false" outlineLevel="0" collapsed="false">
      <c r="A259" s="26" t="n">
        <v>4118105</v>
      </c>
      <c r="B259" s="26" t="s">
        <v>325</v>
      </c>
      <c r="C259" s="26" t="s">
        <v>65</v>
      </c>
      <c r="D259" s="28" t="n">
        <v>0.3719723183391</v>
      </c>
      <c r="E259" s="29" t="n">
        <v>1.12927756653992</v>
      </c>
      <c r="F259" s="28" t="n">
        <v>0.4</v>
      </c>
      <c r="G259" s="30" t="n">
        <v>42.833727918412</v>
      </c>
      <c r="H259" s="30" t="n">
        <v>73.7788487045716</v>
      </c>
      <c r="I259" s="30" t="n">
        <v>60</v>
      </c>
      <c r="J259" s="34" t="n">
        <f aca="false">(2*G259+H259+I259)/4</f>
        <v>54.8615761353489</v>
      </c>
      <c r="K259" s="35" t="n">
        <f aca="false">(J259-MIN(J$6:J$404))/(MAX(J$6:J$404)-MIN(J$6:J$404))*100</f>
        <v>45.5874796991989</v>
      </c>
    </row>
    <row r="260" customFormat="false" ht="15" hidden="false" customHeight="false" outlineLevel="0" collapsed="false">
      <c r="A260" s="26" t="n">
        <v>4118204</v>
      </c>
      <c r="B260" s="26" t="s">
        <v>326</v>
      </c>
      <c r="C260" s="26" t="s">
        <v>69</v>
      </c>
      <c r="D260" s="28" t="n">
        <v>0.193418467583497</v>
      </c>
      <c r="E260" s="29" t="n">
        <v>1.15356871678056</v>
      </c>
      <c r="F260" s="28" t="n">
        <v>0.469387755102041</v>
      </c>
      <c r="G260" s="30" t="n">
        <v>70.2746355082205</v>
      </c>
      <c r="H260" s="30" t="n">
        <v>72.1264044901101</v>
      </c>
      <c r="I260" s="30" t="n">
        <v>53.0612244897959</v>
      </c>
      <c r="J260" s="34" t="n">
        <f aca="false">(2*G260+H260+I260)/4</f>
        <v>66.4342249990867</v>
      </c>
      <c r="K260" s="35" t="n">
        <f aca="false">(J260-MIN(J$6:J$404))/(MAX(J$6:J$404)-MIN(J$6:J$404))*100</f>
        <v>65.0866320178864</v>
      </c>
    </row>
    <row r="261" customFormat="false" ht="15" hidden="false" customHeight="false" outlineLevel="0" collapsed="false">
      <c r="A261" s="26" t="n">
        <v>4118303</v>
      </c>
      <c r="B261" s="26" t="s">
        <v>327</v>
      </c>
      <c r="C261" s="26" t="s">
        <v>71</v>
      </c>
      <c r="D261" s="28" t="n">
        <v>0.514492753623188</v>
      </c>
      <c r="E261" s="29" t="n">
        <v>1.08011049723757</v>
      </c>
      <c r="F261" s="28" t="n">
        <v>0</v>
      </c>
      <c r="G261" s="30" t="n">
        <v>20.93058733791</v>
      </c>
      <c r="H261" s="30" t="n">
        <v>77.1235169646518</v>
      </c>
      <c r="I261" s="30" t="n">
        <v>100</v>
      </c>
      <c r="J261" s="34" t="n">
        <f aca="false">(2*G261+H261+I261)/4</f>
        <v>54.746172910118</v>
      </c>
      <c r="K261" s="35" t="n">
        <f aca="false">(J261-MIN(J$6:J$404))/(MAX(J$6:J$404)-MIN(J$6:J$404))*100</f>
        <v>45.3930328535942</v>
      </c>
    </row>
    <row r="262" customFormat="false" ht="15" hidden="false" customHeight="false" outlineLevel="0" collapsed="false">
      <c r="A262" s="26" t="n">
        <v>4118402</v>
      </c>
      <c r="B262" s="26" t="s">
        <v>328</v>
      </c>
      <c r="C262" s="26" t="s">
        <v>129</v>
      </c>
      <c r="D262" s="28" t="n">
        <v>0.23425958494548</v>
      </c>
      <c r="E262" s="29" t="n">
        <v>1.1279098873592</v>
      </c>
      <c r="F262" s="28" t="n">
        <v>0.517241379310345</v>
      </c>
      <c r="G262" s="30" t="n">
        <v>63.9980006294315</v>
      </c>
      <c r="H262" s="30" t="n">
        <v>73.8718872608787</v>
      </c>
      <c r="I262" s="30" t="n">
        <v>48.2758620689655</v>
      </c>
      <c r="J262" s="34" t="n">
        <f aca="false">(2*G262+H262+I262)/4</f>
        <v>62.5359376471768</v>
      </c>
      <c r="K262" s="35" t="n">
        <f aca="false">(J262-MIN(J$6:J$404))/(MAX(J$6:J$404)-MIN(J$6:J$404))*100</f>
        <v>58.5182741810659</v>
      </c>
    </row>
    <row r="263" customFormat="false" ht="15" hidden="false" customHeight="false" outlineLevel="0" collapsed="false">
      <c r="A263" s="26" t="n">
        <v>4118451</v>
      </c>
      <c r="B263" s="26" t="s">
        <v>329</v>
      </c>
      <c r="C263" s="26" t="s">
        <v>65</v>
      </c>
      <c r="D263" s="28" t="n">
        <v>0.644110275689223</v>
      </c>
      <c r="E263" s="29" t="n">
        <v>1.10704607046071</v>
      </c>
      <c r="F263" s="28" t="n">
        <v>0</v>
      </c>
      <c r="G263" s="30" t="n">
        <v>1.01042078881415</v>
      </c>
      <c r="H263" s="30" t="n">
        <v>75.2911816616775</v>
      </c>
      <c r="I263" s="30" t="n">
        <v>100</v>
      </c>
      <c r="J263" s="34" t="n">
        <f aca="false">(2*G263+H263+I263)/4</f>
        <v>44.3280058098265</v>
      </c>
      <c r="K263" s="35" t="n">
        <f aca="false">(J263-MIN(J$6:J$404))/(MAX(J$6:J$404)-MIN(J$6:J$404))*100</f>
        <v>27.8391063876607</v>
      </c>
    </row>
    <row r="264" customFormat="false" ht="15" hidden="false" customHeight="false" outlineLevel="0" collapsed="false">
      <c r="A264" s="26" t="n">
        <v>4118501</v>
      </c>
      <c r="B264" s="26" t="s">
        <v>330</v>
      </c>
      <c r="C264" s="26" t="s">
        <v>129</v>
      </c>
      <c r="D264" s="28" t="n">
        <v>0.332372392742072</v>
      </c>
      <c r="E264" s="29" t="n">
        <v>1.15515942756716</v>
      </c>
      <c r="F264" s="28" t="n">
        <v>0.384615384615385</v>
      </c>
      <c r="G264" s="30" t="n">
        <v>48.9196112206921</v>
      </c>
      <c r="H264" s="30" t="n">
        <v>72.018193853308</v>
      </c>
      <c r="I264" s="30" t="n">
        <v>61.5384615384615</v>
      </c>
      <c r="J264" s="34" t="n">
        <f aca="false">(2*G264+H264+I264)/4</f>
        <v>57.8489694582884</v>
      </c>
      <c r="K264" s="35" t="n">
        <f aca="false">(J264-MIN(J$6:J$404))/(MAX(J$6:J$404)-MIN(J$6:J$404))*100</f>
        <v>50.6210409975423</v>
      </c>
    </row>
    <row r="265" customFormat="false" ht="15" hidden="false" customHeight="false" outlineLevel="0" collapsed="false">
      <c r="A265" s="26" t="n">
        <v>4118600</v>
      </c>
      <c r="B265" s="26" t="s">
        <v>331</v>
      </c>
      <c r="C265" s="26" t="s">
        <v>65</v>
      </c>
      <c r="D265" s="28" t="n">
        <v>0.37888198757764</v>
      </c>
      <c r="E265" s="29" t="n">
        <v>1.06721536351166</v>
      </c>
      <c r="F265" s="28" t="n">
        <v>0</v>
      </c>
      <c r="G265" s="30" t="n">
        <v>41.7718208564891</v>
      </c>
      <c r="H265" s="30" t="n">
        <v>78.0007289908011</v>
      </c>
      <c r="I265" s="30" t="n">
        <v>100</v>
      </c>
      <c r="J265" s="34" t="n">
        <f aca="false">(2*G265+H265+I265)/4</f>
        <v>65.3860926759448</v>
      </c>
      <c r="K265" s="35" t="n">
        <f aca="false">(J265-MIN(J$6:J$404))/(MAX(J$6:J$404)-MIN(J$6:J$404))*100</f>
        <v>63.3205979785124</v>
      </c>
    </row>
    <row r="266" customFormat="false" ht="15" hidden="false" customHeight="false" outlineLevel="0" collapsed="false">
      <c r="A266" s="26" t="n">
        <v>4118709</v>
      </c>
      <c r="B266" s="26" t="s">
        <v>332</v>
      </c>
      <c r="C266" s="26" t="s">
        <v>65</v>
      </c>
      <c r="D266" s="28" t="n">
        <v>0.292452830188679</v>
      </c>
      <c r="E266" s="29" t="n">
        <v>1.18875502008032</v>
      </c>
      <c r="F266" s="28" t="n">
        <v>0.5</v>
      </c>
      <c r="G266" s="30" t="n">
        <v>55.0546176762661</v>
      </c>
      <c r="H266" s="30" t="n">
        <v>69.732800122265</v>
      </c>
      <c r="I266" s="30" t="n">
        <v>50</v>
      </c>
      <c r="J266" s="34" t="n">
        <f aca="false">(2*G266+H266+I266)/4</f>
        <v>57.4605088686993</v>
      </c>
      <c r="K266" s="35" t="n">
        <f aca="false">(J266-MIN(J$6:J$404))/(MAX(J$6:J$404)-MIN(J$6:J$404))*100</f>
        <v>49.9665104492302</v>
      </c>
    </row>
    <row r="267" customFormat="false" ht="15" hidden="false" customHeight="false" outlineLevel="0" collapsed="false">
      <c r="A267" s="26" t="n">
        <v>4118808</v>
      </c>
      <c r="B267" s="26" t="s">
        <v>333</v>
      </c>
      <c r="C267" s="26" t="s">
        <v>65</v>
      </c>
      <c r="D267" s="28" t="n">
        <v>0.393654524089307</v>
      </c>
      <c r="E267" s="29" t="n">
        <v>1.04986149584488</v>
      </c>
      <c r="F267" s="28" t="n">
        <v>0.4</v>
      </c>
      <c r="G267" s="30" t="n">
        <v>39.5015152452223</v>
      </c>
      <c r="H267" s="30" t="n">
        <v>79.1812535003623</v>
      </c>
      <c r="I267" s="30" t="n">
        <v>60</v>
      </c>
      <c r="J267" s="34" t="n">
        <f aca="false">(2*G267+H267+I267)/4</f>
        <v>54.5460709977018</v>
      </c>
      <c r="K267" s="35" t="n">
        <f aca="false">(J267-MIN(J$6:J$404))/(MAX(J$6:J$404)-MIN(J$6:J$404))*100</f>
        <v>45.0558742898629</v>
      </c>
    </row>
    <row r="268" customFormat="false" ht="15" hidden="false" customHeight="false" outlineLevel="0" collapsed="false">
      <c r="A268" s="26" t="n">
        <v>4118857</v>
      </c>
      <c r="B268" s="26" t="s">
        <v>334</v>
      </c>
      <c r="C268" s="26" t="s">
        <v>65</v>
      </c>
      <c r="D268" s="28" t="n">
        <v>0.354124748490946</v>
      </c>
      <c r="E268" s="29" t="n">
        <v>1.13178294573643</v>
      </c>
      <c r="F268" s="28" t="n">
        <v>0</v>
      </c>
      <c r="G268" s="30" t="n">
        <v>45.5766176003389</v>
      </c>
      <c r="H268" s="30" t="n">
        <v>73.608416291232</v>
      </c>
      <c r="I268" s="30" t="n">
        <v>100</v>
      </c>
      <c r="J268" s="34" t="n">
        <f aca="false">(2*G268+H268+I268)/4</f>
        <v>66.1904128729775</v>
      </c>
      <c r="K268" s="35" t="n">
        <f aca="false">(J268-MIN(J$6:J$404))/(MAX(J$6:J$404)-MIN(J$6:J$404))*100</f>
        <v>64.6758246184634</v>
      </c>
    </row>
    <row r="269" customFormat="false" ht="15" hidden="false" customHeight="false" outlineLevel="0" collapsed="false">
      <c r="A269" s="26" t="n">
        <v>4118907</v>
      </c>
      <c r="B269" s="26" t="s">
        <v>335</v>
      </c>
      <c r="C269" s="26" t="s">
        <v>65</v>
      </c>
      <c r="D269" s="28" t="n">
        <v>0.340080971659919</v>
      </c>
      <c r="E269" s="29" t="n">
        <v>1.17566643882433</v>
      </c>
      <c r="F269" s="28" t="n">
        <v>0.4</v>
      </c>
      <c r="G269" s="30" t="n">
        <v>47.734924355423</v>
      </c>
      <c r="H269" s="30" t="n">
        <v>70.6231717249972</v>
      </c>
      <c r="I269" s="30" t="n">
        <v>60</v>
      </c>
      <c r="J269" s="34" t="n">
        <f aca="false">(2*G269+H269+I269)/4</f>
        <v>56.5232551089608</v>
      </c>
      <c r="K269" s="35" t="n">
        <f aca="false">(J269-MIN(J$6:J$404))/(MAX(J$6:J$404)-MIN(J$6:J$404))*100</f>
        <v>48.3872994978231</v>
      </c>
    </row>
    <row r="270" customFormat="false" ht="15" hidden="false" customHeight="false" outlineLevel="0" collapsed="false">
      <c r="A270" s="26" t="n">
        <v>4119004</v>
      </c>
      <c r="B270" s="26" t="s">
        <v>336</v>
      </c>
      <c r="C270" s="26" t="s">
        <v>65</v>
      </c>
      <c r="D270" s="28" t="n">
        <v>0.36745406824147</v>
      </c>
      <c r="E270" s="29" t="n">
        <v>1.11242603550296</v>
      </c>
      <c r="F270" s="28" t="n">
        <v>0.333333333333333</v>
      </c>
      <c r="G270" s="30" t="n">
        <v>43.5281116176268</v>
      </c>
      <c r="H270" s="30" t="n">
        <v>74.9252009641804</v>
      </c>
      <c r="I270" s="30" t="n">
        <v>66.6666666666667</v>
      </c>
      <c r="J270" s="34" t="n">
        <f aca="false">(2*G270+H270+I270)/4</f>
        <v>57.1620227165251</v>
      </c>
      <c r="K270" s="35" t="n">
        <f aca="false">(J270-MIN(J$6:J$404))/(MAX(J$6:J$404)-MIN(J$6:J$404))*100</f>
        <v>49.4635809112486</v>
      </c>
    </row>
    <row r="271" customFormat="false" ht="15" hidden="false" customHeight="false" outlineLevel="0" collapsed="false">
      <c r="A271" s="26" t="n">
        <v>4119103</v>
      </c>
      <c r="B271" s="26" t="s">
        <v>337</v>
      </c>
      <c r="C271" s="26" t="s">
        <v>65</v>
      </c>
      <c r="D271" s="28" t="n">
        <v>0.343564356435644</v>
      </c>
      <c r="E271" s="29" t="n">
        <v>1.10313447927199</v>
      </c>
      <c r="F271" s="28" t="n">
        <v>0.2</v>
      </c>
      <c r="G271" s="30" t="n">
        <v>47.1995831162064</v>
      </c>
      <c r="H271" s="30" t="n">
        <v>75.5572738872451</v>
      </c>
      <c r="I271" s="30" t="n">
        <v>80</v>
      </c>
      <c r="J271" s="34" t="n">
        <f aca="false">(2*G271+H271+I271)/4</f>
        <v>62.4891100299144</v>
      </c>
      <c r="K271" s="35" t="n">
        <f aca="false">(J271-MIN(J$6:J$404))/(MAX(J$6:J$404)-MIN(J$6:J$404))*100</f>
        <v>58.4393727253602</v>
      </c>
    </row>
    <row r="272" customFormat="false" ht="15" hidden="false" customHeight="false" outlineLevel="0" collapsed="false">
      <c r="A272" s="26" t="n">
        <v>4119152</v>
      </c>
      <c r="B272" s="26" t="s">
        <v>338</v>
      </c>
      <c r="C272" s="26" t="s">
        <v>69</v>
      </c>
      <c r="D272" s="28" t="n">
        <v>0.346575142398131</v>
      </c>
      <c r="E272" s="29" t="n">
        <v>1.21464721643346</v>
      </c>
      <c r="F272" s="28" t="n">
        <v>0.447368421052632</v>
      </c>
      <c r="G272" s="30" t="n">
        <v>46.7368728524978</v>
      </c>
      <c r="H272" s="30" t="n">
        <v>67.9714421939825</v>
      </c>
      <c r="I272" s="30" t="n">
        <v>55.2631578947368</v>
      </c>
      <c r="J272" s="34" t="n">
        <f aca="false">(2*G272+H272+I272)/4</f>
        <v>54.1770864484287</v>
      </c>
      <c r="K272" s="35" t="n">
        <f aca="false">(J272-MIN(J$6:J$404))/(MAX(J$6:J$404)-MIN(J$6:J$404))*100</f>
        <v>44.4341595887402</v>
      </c>
    </row>
    <row r="273" customFormat="false" ht="15" hidden="false" customHeight="false" outlineLevel="0" collapsed="false">
      <c r="A273" s="26" t="n">
        <v>4119251</v>
      </c>
      <c r="B273" s="26" t="s">
        <v>339</v>
      </c>
      <c r="C273" s="26" t="s">
        <v>71</v>
      </c>
      <c r="D273" s="28" t="n">
        <v>0.469512195121951</v>
      </c>
      <c r="E273" s="29" t="n">
        <v>1.05397727272727</v>
      </c>
      <c r="F273" s="28" t="n">
        <v>0.5</v>
      </c>
      <c r="G273" s="30" t="n">
        <v>27.8433889602054</v>
      </c>
      <c r="H273" s="30" t="n">
        <v>78.9012712175162</v>
      </c>
      <c r="I273" s="30" t="n">
        <v>50</v>
      </c>
      <c r="J273" s="34" t="n">
        <f aca="false">(2*G273+H273+I273)/4</f>
        <v>46.1470122844818</v>
      </c>
      <c r="K273" s="35" t="n">
        <f aca="false">(J273-MIN(J$6:J$404))/(MAX(J$6:J$404)-MIN(J$6:J$404))*100</f>
        <v>30.9040126796958</v>
      </c>
    </row>
    <row r="274" customFormat="false" ht="15" hidden="false" customHeight="false" outlineLevel="0" collapsed="false">
      <c r="A274" s="26" t="n">
        <v>4119202</v>
      </c>
      <c r="B274" s="26" t="s">
        <v>340</v>
      </c>
      <c r="C274" s="26" t="s">
        <v>65</v>
      </c>
      <c r="D274" s="28" t="n">
        <v>0.432291666666667</v>
      </c>
      <c r="E274" s="29" t="n">
        <v>1.09866017052375</v>
      </c>
      <c r="F274" s="28" t="n">
        <v>0</v>
      </c>
      <c r="G274" s="30" t="n">
        <v>33.5635964912281</v>
      </c>
      <c r="H274" s="30" t="n">
        <v>75.8616458717539</v>
      </c>
      <c r="I274" s="30" t="n">
        <v>100</v>
      </c>
      <c r="J274" s="34" t="n">
        <f aca="false">(2*G274+H274+I274)/4</f>
        <v>60.7472097135525</v>
      </c>
      <c r="K274" s="35" t="n">
        <f aca="false">(J274-MIN(J$6:J$404))/(MAX(J$6:J$404)-MIN(J$6:J$404))*100</f>
        <v>55.504385239553</v>
      </c>
    </row>
    <row r="275" customFormat="false" ht="15" hidden="false" customHeight="false" outlineLevel="0" collapsed="false">
      <c r="A275" s="26" t="n">
        <v>4119301</v>
      </c>
      <c r="B275" s="26" t="s">
        <v>341</v>
      </c>
      <c r="C275" s="26" t="s">
        <v>86</v>
      </c>
      <c r="D275" s="28" t="n">
        <v>0.178960603520536</v>
      </c>
      <c r="E275" s="29" t="n">
        <v>1.08378088077336</v>
      </c>
      <c r="F275" s="28" t="n">
        <v>0.333333333333333</v>
      </c>
      <c r="G275" s="30" t="n">
        <v>72.4965809326334</v>
      </c>
      <c r="H275" s="30" t="n">
        <v>76.8738332741517</v>
      </c>
      <c r="I275" s="30" t="n">
        <v>66.6666666666667</v>
      </c>
      <c r="J275" s="34" t="n">
        <f aca="false">(2*G275+H275+I275)/4</f>
        <v>72.1334154515213</v>
      </c>
      <c r="K275" s="35" t="n">
        <f aca="false">(J275-MIN(J$6:J$404))/(MAX(J$6:J$404)-MIN(J$6:J$404))*100</f>
        <v>74.6893931518086</v>
      </c>
    </row>
    <row r="276" customFormat="false" ht="15" hidden="false" customHeight="false" outlineLevel="0" collapsed="false">
      <c r="A276" s="26" t="n">
        <v>4119400</v>
      </c>
      <c r="B276" s="26" t="s">
        <v>342</v>
      </c>
      <c r="C276" s="26" t="s">
        <v>86</v>
      </c>
      <c r="D276" s="28" t="n">
        <v>0.172131147540984</v>
      </c>
      <c r="E276" s="29" t="n">
        <v>1.05226881102815</v>
      </c>
      <c r="F276" s="28" t="n">
        <v>0.4</v>
      </c>
      <c r="G276" s="30" t="n">
        <v>73.5461604831752</v>
      </c>
      <c r="H276" s="30" t="n">
        <v>79.0174920478345</v>
      </c>
      <c r="I276" s="30" t="n">
        <v>60</v>
      </c>
      <c r="J276" s="34" t="n">
        <f aca="false">(2*G276+H276+I276)/4</f>
        <v>71.5274532535462</v>
      </c>
      <c r="K276" s="35" t="n">
        <f aca="false">(J276-MIN(J$6:J$404))/(MAX(J$6:J$404)-MIN(J$6:J$404))*100</f>
        <v>73.6683866962592</v>
      </c>
    </row>
    <row r="277" customFormat="false" ht="15" hidden="false" customHeight="false" outlineLevel="0" collapsed="false">
      <c r="A277" s="26" t="n">
        <v>4119509</v>
      </c>
      <c r="B277" s="26" t="s">
        <v>343</v>
      </c>
      <c r="C277" s="26" t="s">
        <v>69</v>
      </c>
      <c r="D277" s="28" t="n">
        <v>0.193642350557244</v>
      </c>
      <c r="E277" s="29" t="n">
        <v>0.992041712403952</v>
      </c>
      <c r="F277" s="28" t="n">
        <v>0.181818181818182</v>
      </c>
      <c r="G277" s="30" t="n">
        <v>70.2402282301498</v>
      </c>
      <c r="H277" s="30" t="n">
        <v>83.1145364318774</v>
      </c>
      <c r="I277" s="30" t="n">
        <v>81.8181818181818</v>
      </c>
      <c r="J277" s="34" t="n">
        <f aca="false">(2*G277+H277+I277)/4</f>
        <v>76.3532936775897</v>
      </c>
      <c r="K277" s="35" t="n">
        <f aca="false">(J277-MIN(J$6:J$404))/(MAX(J$6:J$404)-MIN(J$6:J$404))*100</f>
        <v>81.7996104637892</v>
      </c>
    </row>
    <row r="278" customFormat="false" ht="15" hidden="false" customHeight="false" outlineLevel="0" collapsed="false">
      <c r="A278" s="26" t="n">
        <v>4119608</v>
      </c>
      <c r="B278" s="26" t="s">
        <v>344</v>
      </c>
      <c r="C278" s="26" t="s">
        <v>86</v>
      </c>
      <c r="D278" s="28" t="n">
        <v>0.258108108108108</v>
      </c>
      <c r="E278" s="29" t="n">
        <v>1.11584553928096</v>
      </c>
      <c r="F278" s="28" t="n">
        <v>0.25</v>
      </c>
      <c r="G278" s="30" t="n">
        <v>60.3328591749645</v>
      </c>
      <c r="H278" s="30" t="n">
        <v>74.6925837690987</v>
      </c>
      <c r="I278" s="30" t="n">
        <v>75</v>
      </c>
      <c r="J278" s="34" t="n">
        <f aca="false">(2*G278+H278+I278)/4</f>
        <v>67.5895755297569</v>
      </c>
      <c r="K278" s="35" t="n">
        <f aca="false">(J278-MIN(J$6:J$404))/(MAX(J$6:J$404)-MIN(J$6:J$404))*100</f>
        <v>67.0333216862825</v>
      </c>
    </row>
    <row r="279" customFormat="false" ht="15" hidden="false" customHeight="false" outlineLevel="0" collapsed="false">
      <c r="A279" s="26" t="n">
        <v>4119657</v>
      </c>
      <c r="B279" s="26" t="s">
        <v>345</v>
      </c>
      <c r="C279" s="26" t="s">
        <v>71</v>
      </c>
      <c r="D279" s="28" t="n">
        <v>0.519337016574586</v>
      </c>
      <c r="E279" s="29" t="n">
        <v>1.03456790123457</v>
      </c>
      <c r="F279" s="28" t="n">
        <v>0</v>
      </c>
      <c r="G279" s="30" t="n">
        <v>20.1861006106426</v>
      </c>
      <c r="H279" s="30" t="n">
        <v>80.2216246512452</v>
      </c>
      <c r="I279" s="30" t="n">
        <v>100</v>
      </c>
      <c r="J279" s="34" t="n">
        <f aca="false">(2*G279+H279+I279)/4</f>
        <v>55.1484564681326</v>
      </c>
      <c r="K279" s="35" t="n">
        <f aca="false">(J279-MIN(J$6:J$404))/(MAX(J$6:J$404)-MIN(J$6:J$404))*100</f>
        <v>46.0708541947057</v>
      </c>
    </row>
    <row r="280" customFormat="false" ht="15" hidden="false" customHeight="false" outlineLevel="0" collapsed="false">
      <c r="A280" s="26" t="n">
        <v>4119707</v>
      </c>
      <c r="B280" s="26" t="s">
        <v>346</v>
      </c>
      <c r="C280" s="26" t="s">
        <v>71</v>
      </c>
      <c r="D280" s="28" t="n">
        <v>0.501845018450185</v>
      </c>
      <c r="E280" s="29" t="n">
        <v>1.20423892100193</v>
      </c>
      <c r="F280" s="28" t="n">
        <v>0</v>
      </c>
      <c r="G280" s="30" t="n">
        <v>22.874344532919</v>
      </c>
      <c r="H280" s="30" t="n">
        <v>68.6794830812137</v>
      </c>
      <c r="I280" s="30" t="n">
        <v>100</v>
      </c>
      <c r="J280" s="34" t="n">
        <f aca="false">(2*G280+H280+I280)/4</f>
        <v>53.6070430367629</v>
      </c>
      <c r="K280" s="35" t="n">
        <f aca="false">(J280-MIN(J$6:J$404))/(MAX(J$6:J$404)-MIN(J$6:J$404))*100</f>
        <v>43.4736739261046</v>
      </c>
    </row>
    <row r="281" customFormat="false" ht="15" hidden="false" customHeight="false" outlineLevel="0" collapsed="false">
      <c r="A281" s="26" t="n">
        <v>4119806</v>
      </c>
      <c r="B281" s="26" t="s">
        <v>347</v>
      </c>
      <c r="C281" s="26" t="s">
        <v>65</v>
      </c>
      <c r="D281" s="28" t="n">
        <v>0.337041156840934</v>
      </c>
      <c r="E281" s="29" t="n">
        <v>1.00127388535032</v>
      </c>
      <c r="F281" s="28" t="n">
        <v>0.333333333333333</v>
      </c>
      <c r="G281" s="30" t="n">
        <v>48.2020958960248</v>
      </c>
      <c r="H281" s="30" t="n">
        <v>82.4865031514027</v>
      </c>
      <c r="I281" s="30" t="n">
        <v>66.6666666666667</v>
      </c>
      <c r="J281" s="34" t="n">
        <f aca="false">(2*G281+H281+I281)/4</f>
        <v>61.3893404025298</v>
      </c>
      <c r="K281" s="35" t="n">
        <f aca="false">(J281-MIN(J$6:J$404))/(MAX(J$6:J$404)-MIN(J$6:J$404))*100</f>
        <v>56.5863332240032</v>
      </c>
    </row>
    <row r="282" customFormat="false" ht="15" hidden="false" customHeight="false" outlineLevel="0" collapsed="false">
      <c r="A282" s="26" t="n">
        <v>4119905</v>
      </c>
      <c r="B282" s="26" t="s">
        <v>348</v>
      </c>
      <c r="C282" s="26" t="s">
        <v>138</v>
      </c>
      <c r="D282" s="28" t="n">
        <v>0.20645104587801</v>
      </c>
      <c r="E282" s="29" t="n">
        <v>1.08734689023665</v>
      </c>
      <c r="F282" s="28" t="n">
        <v>0.352380952380952</v>
      </c>
      <c r="G282" s="30" t="n">
        <v>68.2717340019058</v>
      </c>
      <c r="H282" s="30" t="n">
        <v>76.6312497963027</v>
      </c>
      <c r="I282" s="30" t="n">
        <v>64.7619047619048</v>
      </c>
      <c r="J282" s="34" t="n">
        <f aca="false">(2*G282+H282+I282)/4</f>
        <v>69.4841556405048</v>
      </c>
      <c r="K282" s="35" t="n">
        <f aca="false">(J282-MIN(J$6:J$404))/(MAX(J$6:J$404)-MIN(J$6:J$404))*100</f>
        <v>70.2255645854156</v>
      </c>
    </row>
    <row r="283" customFormat="false" ht="15" hidden="false" customHeight="false" outlineLevel="0" collapsed="false">
      <c r="A283" s="26" t="n">
        <v>4119954</v>
      </c>
      <c r="B283" s="26" t="s">
        <v>349</v>
      </c>
      <c r="C283" s="26" t="s">
        <v>86</v>
      </c>
      <c r="D283" s="28" t="n">
        <v>0.342045454545455</v>
      </c>
      <c r="E283" s="29" t="n">
        <v>1.30157500645495</v>
      </c>
      <c r="F283" s="28" t="n">
        <v>0.142857142857143</v>
      </c>
      <c r="G283" s="30" t="n">
        <v>47.433014354067</v>
      </c>
      <c r="H283" s="30" t="n">
        <v>62.0580407175629</v>
      </c>
      <c r="I283" s="30" t="n">
        <v>85.7142857142857</v>
      </c>
      <c r="J283" s="34" t="n">
        <f aca="false">(2*G283+H283+I283)/4</f>
        <v>60.6595887849956</v>
      </c>
      <c r="K283" s="35" t="n">
        <f aca="false">(J283-MIN(J$6:J$404))/(MAX(J$6:J$404)-MIN(J$6:J$404))*100</f>
        <v>55.3567497368818</v>
      </c>
    </row>
    <row r="284" customFormat="false" ht="15" hidden="false" customHeight="false" outlineLevel="0" collapsed="false">
      <c r="A284" s="26" t="n">
        <v>4120002</v>
      </c>
      <c r="B284" s="26" t="s">
        <v>350</v>
      </c>
      <c r="C284" s="26" t="s">
        <v>65</v>
      </c>
      <c r="D284" s="28" t="n">
        <v>0.296360485268631</v>
      </c>
      <c r="E284" s="29" t="n">
        <v>1.24542682926829</v>
      </c>
      <c r="F284" s="28" t="n">
        <v>0.5</v>
      </c>
      <c r="G284" s="30" t="n">
        <v>54.4540727902946</v>
      </c>
      <c r="H284" s="30" t="n">
        <v>65.8776099691424</v>
      </c>
      <c r="I284" s="30" t="n">
        <v>50</v>
      </c>
      <c r="J284" s="34" t="n">
        <f aca="false">(2*G284+H284+I284)/4</f>
        <v>56.1964388874329</v>
      </c>
      <c r="K284" s="35" t="n">
        <f aca="false">(J284-MIN(J$6:J$404))/(MAX(J$6:J$404)-MIN(J$6:J$404))*100</f>
        <v>47.8366356559642</v>
      </c>
    </row>
    <row r="285" customFormat="false" ht="15" hidden="false" customHeight="false" outlineLevel="0" collapsed="false">
      <c r="A285" s="26" t="n">
        <v>4120101</v>
      </c>
      <c r="B285" s="26" t="s">
        <v>351</v>
      </c>
      <c r="C285" s="26" t="s">
        <v>71</v>
      </c>
      <c r="D285" s="28" t="n">
        <v>0.197478991596639</v>
      </c>
      <c r="E285" s="29" t="n">
        <v>1.1643109540636</v>
      </c>
      <c r="F285" s="28" t="n">
        <v>0.666666666666667</v>
      </c>
      <c r="G285" s="30" t="n">
        <v>69.6505970809376</v>
      </c>
      <c r="H285" s="30" t="n">
        <v>71.3956466761372</v>
      </c>
      <c r="I285" s="30" t="n">
        <v>33.3333333333333</v>
      </c>
      <c r="J285" s="34" t="n">
        <f aca="false">(2*G285+H285+I285)/4</f>
        <v>61.0075435428365</v>
      </c>
      <c r="K285" s="35" t="n">
        <f aca="false">(J285-MIN(J$6:J$404))/(MAX(J$6:J$404)-MIN(J$6:J$404))*100</f>
        <v>55.9430306223591</v>
      </c>
    </row>
    <row r="286" customFormat="false" ht="15" hidden="false" customHeight="false" outlineLevel="0" collapsed="false">
      <c r="A286" s="26" t="n">
        <v>4120150</v>
      </c>
      <c r="B286" s="26" t="s">
        <v>352</v>
      </c>
      <c r="C286" s="26" t="s">
        <v>71</v>
      </c>
      <c r="D286" s="28" t="n">
        <v>0.269607843137255</v>
      </c>
      <c r="E286" s="29" t="n">
        <v>1.0831234256927</v>
      </c>
      <c r="F286" s="28" t="n">
        <v>0</v>
      </c>
      <c r="G286" s="30" t="n">
        <v>58.5655314757482</v>
      </c>
      <c r="H286" s="30" t="n">
        <v>76.9185577039771</v>
      </c>
      <c r="I286" s="30" t="n">
        <v>100</v>
      </c>
      <c r="J286" s="34" t="n">
        <f aca="false">(2*G286+H286+I286)/4</f>
        <v>73.5124051638684</v>
      </c>
      <c r="K286" s="35" t="n">
        <f aca="false">(J286-MIN(J$6:J$404))/(MAX(J$6:J$404)-MIN(J$6:J$404))*100</f>
        <v>77.0129001348308</v>
      </c>
    </row>
    <row r="287" customFormat="false" ht="15" hidden="false" customHeight="false" outlineLevel="0" collapsed="false">
      <c r="A287" s="26" t="n">
        <v>4120200</v>
      </c>
      <c r="B287" s="26" t="s">
        <v>353</v>
      </c>
      <c r="C287" s="26" t="s">
        <v>71</v>
      </c>
      <c r="D287" s="28" t="n">
        <v>0.569148936170213</v>
      </c>
      <c r="E287" s="29" t="n">
        <v>1.20608899297424</v>
      </c>
      <c r="F287" s="28" t="n">
        <v>0</v>
      </c>
      <c r="G287" s="30" t="n">
        <v>12.5307950727884</v>
      </c>
      <c r="H287" s="30" t="n">
        <v>68.5536289863396</v>
      </c>
      <c r="I287" s="30" t="n">
        <v>100</v>
      </c>
      <c r="J287" s="34" t="n">
        <f aca="false">(2*G287+H287+I287)/4</f>
        <v>48.4038047829791</v>
      </c>
      <c r="K287" s="35" t="n">
        <f aca="false">(J287-MIN(J$6:J$404))/(MAX(J$6:J$404)-MIN(J$6:J$404))*100</f>
        <v>34.7065596331214</v>
      </c>
    </row>
    <row r="288" customFormat="false" ht="15" hidden="false" customHeight="false" outlineLevel="0" collapsed="false">
      <c r="A288" s="26" t="n">
        <v>4120309</v>
      </c>
      <c r="B288" s="26" t="s">
        <v>354</v>
      </c>
      <c r="C288" s="26" t="s">
        <v>71</v>
      </c>
      <c r="D288" s="28" t="n">
        <v>0.318181818181818</v>
      </c>
      <c r="E288" s="29" t="n">
        <v>1.21730382293763</v>
      </c>
      <c r="F288" s="28" t="n">
        <v>0</v>
      </c>
      <c r="G288" s="30" t="n">
        <v>51.1004784688995</v>
      </c>
      <c r="H288" s="30" t="n">
        <v>67.7907223019882</v>
      </c>
      <c r="I288" s="30" t="n">
        <v>100</v>
      </c>
      <c r="J288" s="34" t="n">
        <f aca="false">(2*G288+H288+I288)/4</f>
        <v>67.4979198099468</v>
      </c>
      <c r="K288" s="35" t="n">
        <f aca="false">(J288-MIN(J$6:J$404))/(MAX(J$6:J$404)-MIN(J$6:J$404))*100</f>
        <v>66.8788878256773</v>
      </c>
    </row>
    <row r="289" customFormat="false" ht="15" hidden="false" customHeight="false" outlineLevel="0" collapsed="false">
      <c r="A289" s="26" t="n">
        <v>4120333</v>
      </c>
      <c r="B289" s="26" t="s">
        <v>355</v>
      </c>
      <c r="C289" s="26" t="s">
        <v>71</v>
      </c>
      <c r="D289" s="28" t="n">
        <v>0.468</v>
      </c>
      <c r="E289" s="29" t="n">
        <v>1.12804878048781</v>
      </c>
      <c r="F289" s="28" t="n">
        <v>0.333333333333333</v>
      </c>
      <c r="G289" s="30" t="n">
        <v>28.0757894736842</v>
      </c>
      <c r="H289" s="30" t="n">
        <v>73.862438834414</v>
      </c>
      <c r="I289" s="30" t="n">
        <v>66.6666666666667</v>
      </c>
      <c r="J289" s="34" t="n">
        <f aca="false">(2*G289+H289+I289)/4</f>
        <v>49.1701711121123</v>
      </c>
      <c r="K289" s="35" t="n">
        <f aca="false">(J289-MIN(J$6:J$404))/(MAX(J$6:J$404)-MIN(J$6:J$404))*100</f>
        <v>35.9978365015059</v>
      </c>
    </row>
    <row r="290" customFormat="false" ht="15" hidden="false" customHeight="false" outlineLevel="0" collapsed="false">
      <c r="A290" s="26" t="n">
        <v>4120358</v>
      </c>
      <c r="B290" s="26" t="s">
        <v>356</v>
      </c>
      <c r="C290" s="26" t="s">
        <v>65</v>
      </c>
      <c r="D290" s="28" t="n">
        <v>0.379947229551451</v>
      </c>
      <c r="E290" s="29" t="n">
        <v>1.18544935805991</v>
      </c>
      <c r="F290" s="28" t="n">
        <v>0.333333333333333</v>
      </c>
      <c r="G290" s="30" t="n">
        <v>41.6081099847244</v>
      </c>
      <c r="H290" s="30" t="n">
        <v>69.9576730503261</v>
      </c>
      <c r="I290" s="30" t="n">
        <v>66.6666666666667</v>
      </c>
      <c r="J290" s="34" t="n">
        <f aca="false">(2*G290+H290+I290)/4</f>
        <v>54.9601399216104</v>
      </c>
      <c r="K290" s="35" t="n">
        <f aca="false">(J290-MIN(J$6:J$404))/(MAX(J$6:J$404)-MIN(J$6:J$404))*100</f>
        <v>45.7535531975008</v>
      </c>
    </row>
    <row r="291" customFormat="false" ht="15" hidden="false" customHeight="false" outlineLevel="0" collapsed="false">
      <c r="A291" s="26" t="n">
        <v>4120408</v>
      </c>
      <c r="B291" s="26" t="s">
        <v>357</v>
      </c>
      <c r="C291" s="26" t="s">
        <v>71</v>
      </c>
      <c r="D291" s="28" t="n">
        <v>0.403571428571429</v>
      </c>
      <c r="E291" s="29" t="n">
        <v>1.17399617590822</v>
      </c>
      <c r="F291" s="28" t="n">
        <v>0</v>
      </c>
      <c r="G291" s="30" t="n">
        <v>37.9774436090226</v>
      </c>
      <c r="H291" s="30" t="n">
        <v>70.7367940222131</v>
      </c>
      <c r="I291" s="30" t="n">
        <v>100</v>
      </c>
      <c r="J291" s="34" t="n">
        <f aca="false">(2*G291+H291+I291)/4</f>
        <v>61.6729203100646</v>
      </c>
      <c r="K291" s="35" t="n">
        <f aca="false">(J291-MIN(J$6:J$404))/(MAX(J$6:J$404)-MIN(J$6:J$404))*100</f>
        <v>57.0641467200013</v>
      </c>
    </row>
    <row r="292" customFormat="false" ht="15" hidden="false" customHeight="false" outlineLevel="0" collapsed="false">
      <c r="A292" s="26" t="n">
        <v>4120507</v>
      </c>
      <c r="B292" s="26" t="s">
        <v>358</v>
      </c>
      <c r="C292" s="26" t="s">
        <v>65</v>
      </c>
      <c r="D292" s="28" t="n">
        <v>0.346938775510204</v>
      </c>
      <c r="E292" s="29" t="n">
        <v>1.06427915518825</v>
      </c>
      <c r="F292" s="28" t="n">
        <v>0.5</v>
      </c>
      <c r="G292" s="30" t="n">
        <v>46.6809881847476</v>
      </c>
      <c r="H292" s="30" t="n">
        <v>78.2004692422265</v>
      </c>
      <c r="I292" s="30" t="n">
        <v>50</v>
      </c>
      <c r="J292" s="34" t="n">
        <f aca="false">(2*G292+H292+I292)/4</f>
        <v>55.3906114029304</v>
      </c>
      <c r="K292" s="35" t="n">
        <f aca="false">(J292-MIN(J$6:J$404))/(MAX(J$6:J$404)-MIN(J$6:J$404))*100</f>
        <v>46.4788693357457</v>
      </c>
    </row>
    <row r="293" customFormat="false" ht="15" hidden="false" customHeight="false" outlineLevel="0" collapsed="false">
      <c r="A293" s="26" t="n">
        <v>4120606</v>
      </c>
      <c r="B293" s="26" t="s">
        <v>359</v>
      </c>
      <c r="C293" s="26" t="s">
        <v>86</v>
      </c>
      <c r="D293" s="28" t="n">
        <v>0.24064346684176</v>
      </c>
      <c r="E293" s="29" t="n">
        <v>1.07481031866464</v>
      </c>
      <c r="F293" s="28" t="n">
        <v>0.307692307692308</v>
      </c>
      <c r="G293" s="30" t="n">
        <v>63.0168987801085</v>
      </c>
      <c r="H293" s="30" t="n">
        <v>77.4840700603958</v>
      </c>
      <c r="I293" s="30" t="n">
        <v>69.2307692307692</v>
      </c>
      <c r="J293" s="34" t="n">
        <f aca="false">(2*G293+H293+I293)/4</f>
        <v>68.1871592128455</v>
      </c>
      <c r="K293" s="35" t="n">
        <f aca="false">(J293-MIN(J$6:J$404))/(MAX(J$6:J$404)-MIN(J$6:J$404))*100</f>
        <v>68.0402108952189</v>
      </c>
    </row>
    <row r="294" customFormat="false" ht="15" hidden="false" customHeight="false" outlineLevel="0" collapsed="false">
      <c r="A294" s="26" t="n">
        <v>4120655</v>
      </c>
      <c r="B294" s="26" t="s">
        <v>360</v>
      </c>
      <c r="C294" s="26" t="s">
        <v>71</v>
      </c>
      <c r="D294" s="28" t="n">
        <v>0.487544483985765</v>
      </c>
      <c r="E294" s="29" t="n">
        <v>1.13051823416507</v>
      </c>
      <c r="F294" s="28" t="n">
        <v>0</v>
      </c>
      <c r="G294" s="30" t="n">
        <v>25.0721108821877</v>
      </c>
      <c r="H294" s="30" t="n">
        <v>73.6944503117854</v>
      </c>
      <c r="I294" s="30" t="n">
        <v>100</v>
      </c>
      <c r="J294" s="34" t="n">
        <f aca="false">(2*G294+H294+I294)/4</f>
        <v>55.9596680190402</v>
      </c>
      <c r="K294" s="35" t="n">
        <f aca="false">(J294-MIN(J$6:J$404))/(MAX(J$6:J$404)-MIN(J$6:J$404))*100</f>
        <v>47.4376923127609</v>
      </c>
    </row>
    <row r="295" customFormat="false" ht="15" hidden="false" customHeight="false" outlineLevel="0" collapsed="false">
      <c r="A295" s="26" t="n">
        <v>4120705</v>
      </c>
      <c r="B295" s="26" t="s">
        <v>361</v>
      </c>
      <c r="C295" s="26" t="s">
        <v>65</v>
      </c>
      <c r="D295" s="28" t="n">
        <v>0.382096069868996</v>
      </c>
      <c r="E295" s="29" t="n">
        <v>1.11658291457286</v>
      </c>
      <c r="F295" s="28" t="n">
        <v>0.5</v>
      </c>
      <c r="G295" s="30" t="n">
        <v>41.2778671569754</v>
      </c>
      <c r="H295" s="30" t="n">
        <v>74.6424226395134</v>
      </c>
      <c r="I295" s="30" t="n">
        <v>50</v>
      </c>
      <c r="J295" s="34" t="n">
        <f aca="false">(2*G295+H295+I295)/4</f>
        <v>51.799539238366</v>
      </c>
      <c r="K295" s="35" t="n">
        <f aca="false">(J295-MIN(J$6:J$404))/(MAX(J$6:J$404)-MIN(J$6:J$404))*100</f>
        <v>40.4281488871497</v>
      </c>
    </row>
    <row r="296" customFormat="false" ht="15" hidden="false" customHeight="false" outlineLevel="0" collapsed="false">
      <c r="A296" s="26" t="n">
        <v>4120804</v>
      </c>
      <c r="B296" s="26" t="s">
        <v>362</v>
      </c>
      <c r="C296" s="26" t="s">
        <v>86</v>
      </c>
      <c r="D296" s="28" t="n">
        <v>0.327001356852103</v>
      </c>
      <c r="E296" s="29" t="n">
        <v>1.09985815602837</v>
      </c>
      <c r="F296" s="28" t="n">
        <v>0.181818181818182</v>
      </c>
      <c r="G296" s="30" t="n">
        <v>49.7450546311505</v>
      </c>
      <c r="H296" s="30" t="n">
        <v>75.7801509982504</v>
      </c>
      <c r="I296" s="30" t="n">
        <v>81.8181818181818</v>
      </c>
      <c r="J296" s="34" t="n">
        <f aca="false">(2*G296+H296+I296)/4</f>
        <v>64.2721105196833</v>
      </c>
      <c r="K296" s="35" t="n">
        <f aca="false">(J296-MIN(J$6:J$404))/(MAX(J$6:J$404)-MIN(J$6:J$404))*100</f>
        <v>61.443611300613</v>
      </c>
    </row>
    <row r="297" customFormat="false" ht="15" hidden="false" customHeight="false" outlineLevel="0" collapsed="false">
      <c r="A297" s="26" t="n">
        <v>4120853</v>
      </c>
      <c r="B297" s="26" t="s">
        <v>363</v>
      </c>
      <c r="C297" s="26" t="s">
        <v>71</v>
      </c>
      <c r="D297" s="28" t="n">
        <v>0.606896551724138</v>
      </c>
      <c r="E297" s="29" t="n">
        <v>1.24712643678161</v>
      </c>
      <c r="F297" s="28" t="n">
        <v>0</v>
      </c>
      <c r="G297" s="30" t="n">
        <v>6.72958257713249</v>
      </c>
      <c r="H297" s="30" t="n">
        <v>65.7619914589273</v>
      </c>
      <c r="I297" s="30" t="n">
        <v>100</v>
      </c>
      <c r="J297" s="34" t="n">
        <f aca="false">(2*G297+H297+I297)/4</f>
        <v>44.8052891532981</v>
      </c>
      <c r="K297" s="35" t="n">
        <f aca="false">(J297-MIN(J$6:J$404))/(MAX(J$6:J$404)-MIN(J$6:J$404))*100</f>
        <v>28.6432974352857</v>
      </c>
    </row>
    <row r="298" customFormat="false" ht="15" hidden="false" customHeight="false" outlineLevel="0" collapsed="false">
      <c r="A298" s="26" t="n">
        <v>4120903</v>
      </c>
      <c r="B298" s="26" t="s">
        <v>364</v>
      </c>
      <c r="C298" s="26" t="s">
        <v>86</v>
      </c>
      <c r="D298" s="28" t="n">
        <v>0.281544678940278</v>
      </c>
      <c r="E298" s="29" t="n">
        <v>1.06264185201997</v>
      </c>
      <c r="F298" s="28" t="n">
        <v>0.25</v>
      </c>
      <c r="G298" s="30" t="n">
        <v>56.7310282891783</v>
      </c>
      <c r="H298" s="30" t="n">
        <v>78.3118494000589</v>
      </c>
      <c r="I298" s="30" t="n">
        <v>75</v>
      </c>
      <c r="J298" s="34" t="n">
        <f aca="false">(2*G298+H298+I298)/4</f>
        <v>66.6934764946039</v>
      </c>
      <c r="K298" s="35" t="n">
        <f aca="false">(J298-MIN(J$6:J$404))/(MAX(J$6:J$404)-MIN(J$6:J$404))*100</f>
        <v>65.5234537394696</v>
      </c>
    </row>
    <row r="299" customFormat="false" ht="15" hidden="false" customHeight="false" outlineLevel="0" collapsed="false">
      <c r="A299" s="26" t="n">
        <v>4121000</v>
      </c>
      <c r="B299" s="26" t="s">
        <v>365</v>
      </c>
      <c r="C299" s="26" t="s">
        <v>65</v>
      </c>
      <c r="D299" s="28" t="n">
        <v>0.374829001367989</v>
      </c>
      <c r="E299" s="29" t="n">
        <v>1.11802853437095</v>
      </c>
      <c r="F299" s="28" t="n">
        <v>0.25</v>
      </c>
      <c r="G299" s="30" t="n">
        <v>42.3947008423933</v>
      </c>
      <c r="H299" s="30" t="n">
        <v>74.5440820484756</v>
      </c>
      <c r="I299" s="30" t="n">
        <v>75</v>
      </c>
      <c r="J299" s="34" t="n">
        <f aca="false">(2*G299+H299+I299)/4</f>
        <v>58.5833709333155</v>
      </c>
      <c r="K299" s="35" t="n">
        <f aca="false">(J299-MIN(J$6:J$404))/(MAX(J$6:J$404)-MIN(J$6:J$404))*100</f>
        <v>51.858459188765</v>
      </c>
    </row>
    <row r="300" customFormat="false" ht="15" hidden="false" customHeight="false" outlineLevel="0" collapsed="false">
      <c r="A300" s="26" t="n">
        <v>4121109</v>
      </c>
      <c r="B300" s="26" t="s">
        <v>366</v>
      </c>
      <c r="C300" s="26" t="s">
        <v>65</v>
      </c>
      <c r="D300" s="28" t="n">
        <v>0.375</v>
      </c>
      <c r="E300" s="29" t="n">
        <v>1.1140625</v>
      </c>
      <c r="F300" s="28" t="n">
        <v>0</v>
      </c>
      <c r="G300" s="30" t="n">
        <v>42.3684210526316</v>
      </c>
      <c r="H300" s="30" t="n">
        <v>74.8138778582953</v>
      </c>
      <c r="I300" s="30" t="n">
        <v>100</v>
      </c>
      <c r="J300" s="34" t="n">
        <f aca="false">(2*G300+H300+I300)/4</f>
        <v>64.8876799908896</v>
      </c>
      <c r="K300" s="35" t="n">
        <f aca="false">(J300-MIN(J$6:J$404))/(MAX(J$6:J$404)-MIN(J$6:J$404))*100</f>
        <v>62.4808053797834</v>
      </c>
    </row>
    <row r="301" customFormat="false" ht="15" hidden="false" customHeight="false" outlineLevel="0" collapsed="false">
      <c r="A301" s="26" t="n">
        <v>4121208</v>
      </c>
      <c r="B301" s="26" t="s">
        <v>367</v>
      </c>
      <c r="C301" s="26" t="s">
        <v>65</v>
      </c>
      <c r="D301" s="28" t="n">
        <v>0.194232400339271</v>
      </c>
      <c r="E301" s="29" t="n">
        <v>1.16338500209468</v>
      </c>
      <c r="F301" s="28" t="n">
        <v>0.333333333333333</v>
      </c>
      <c r="G301" s="30" t="n">
        <v>70.1495468952279</v>
      </c>
      <c r="H301" s="30" t="n">
        <v>71.4586360347621</v>
      </c>
      <c r="I301" s="30" t="n">
        <v>66.6666666666667</v>
      </c>
      <c r="J301" s="34" t="n">
        <f aca="false">(2*G301+H301+I301)/4</f>
        <v>69.6060991229711</v>
      </c>
      <c r="K301" s="35" t="n">
        <f aca="false">(J301-MIN(J$6:J$404))/(MAX(J$6:J$404)-MIN(J$6:J$404))*100</f>
        <v>70.4310313343752</v>
      </c>
    </row>
    <row r="302" customFormat="false" ht="15" hidden="false" customHeight="false" outlineLevel="0" collapsed="false">
      <c r="A302" s="26" t="n">
        <v>4121257</v>
      </c>
      <c r="B302" s="26" t="s">
        <v>368</v>
      </c>
      <c r="C302" s="26" t="s">
        <v>71</v>
      </c>
      <c r="D302" s="28" t="n">
        <v>0.409638554216867</v>
      </c>
      <c r="E302" s="29" t="n">
        <v>1.15423728813559</v>
      </c>
      <c r="F302" s="28" t="n">
        <v>0</v>
      </c>
      <c r="G302" s="30" t="n">
        <v>37.0450221940393</v>
      </c>
      <c r="H302" s="30" t="n">
        <v>72.0809238580021</v>
      </c>
      <c r="I302" s="30" t="n">
        <v>100</v>
      </c>
      <c r="J302" s="34" t="n">
        <f aca="false">(2*G302+H302+I302)/4</f>
        <v>61.5427420615202</v>
      </c>
      <c r="K302" s="35" t="n">
        <f aca="false">(J302-MIN(J$6:J$404))/(MAX(J$6:J$404)-MIN(J$6:J$404))*100</f>
        <v>56.844804931718</v>
      </c>
    </row>
    <row r="303" customFormat="false" ht="15" hidden="false" customHeight="false" outlineLevel="0" collapsed="false">
      <c r="A303" s="26" t="n">
        <v>4121307</v>
      </c>
      <c r="B303" s="26" t="s">
        <v>369</v>
      </c>
      <c r="C303" s="26" t="s">
        <v>71</v>
      </c>
      <c r="D303" s="28" t="n">
        <v>0.515337423312884</v>
      </c>
      <c r="E303" s="29" t="n">
        <v>1.07377049180328</v>
      </c>
      <c r="F303" s="28" t="n">
        <v>0</v>
      </c>
      <c r="G303" s="30" t="n">
        <v>20.8007749434937</v>
      </c>
      <c r="H303" s="30" t="n">
        <v>77.554805940092</v>
      </c>
      <c r="I303" s="30" t="n">
        <v>100</v>
      </c>
      <c r="J303" s="34" t="n">
        <f aca="false">(2*G303+H303+I303)/4</f>
        <v>54.7890889567699</v>
      </c>
      <c r="K303" s="35" t="n">
        <f aca="false">(J303-MIN(J$6:J$404))/(MAX(J$6:J$404)-MIN(J$6:J$404))*100</f>
        <v>45.4653435700459</v>
      </c>
    </row>
    <row r="304" customFormat="false" ht="15" hidden="false" customHeight="false" outlineLevel="0" collapsed="false">
      <c r="A304" s="26" t="n">
        <v>4121356</v>
      </c>
      <c r="B304" s="26" t="s">
        <v>370</v>
      </c>
      <c r="C304" s="26" t="s">
        <v>71</v>
      </c>
      <c r="D304" s="28" t="n">
        <v>0.343949044585987</v>
      </c>
      <c r="E304" s="29" t="n">
        <v>0.903225806451613</v>
      </c>
      <c r="F304" s="28" t="n">
        <v>0</v>
      </c>
      <c r="G304" s="30" t="n">
        <v>47.140462621522</v>
      </c>
      <c r="H304" s="30" t="n">
        <v>89.1563800040919</v>
      </c>
      <c r="I304" s="30" t="n">
        <v>100</v>
      </c>
      <c r="J304" s="34" t="n">
        <f aca="false">(2*G304+H304+I304)/4</f>
        <v>70.859326311784</v>
      </c>
      <c r="K304" s="35" t="n">
        <f aca="false">(J304-MIN(J$6:J$404))/(MAX(J$6:J$404)-MIN(J$6:J$404))*100</f>
        <v>72.5426367353784</v>
      </c>
    </row>
    <row r="305" customFormat="false" ht="15" hidden="false" customHeight="false" outlineLevel="0" collapsed="false">
      <c r="A305" s="26" t="n">
        <v>4121406</v>
      </c>
      <c r="B305" s="26" t="s">
        <v>371</v>
      </c>
      <c r="C305" s="26" t="s">
        <v>65</v>
      </c>
      <c r="D305" s="28" t="n">
        <v>0.393626184323859</v>
      </c>
      <c r="E305" s="29" t="n">
        <v>1.08302354399009</v>
      </c>
      <c r="F305" s="28" t="n">
        <v>0.428571428571429</v>
      </c>
      <c r="G305" s="30" t="n">
        <v>39.5058706197017</v>
      </c>
      <c r="H305" s="30" t="n">
        <v>76.9253523160054</v>
      </c>
      <c r="I305" s="30" t="n">
        <v>57.1428571428571</v>
      </c>
      <c r="J305" s="34" t="n">
        <f aca="false">(2*G305+H305+I305)/4</f>
        <v>53.2699876745665</v>
      </c>
      <c r="K305" s="35" t="n">
        <f aca="false">(J305-MIN(J$6:J$404))/(MAX(J$6:J$404)-MIN(J$6:J$404))*100</f>
        <v>42.9057578055445</v>
      </c>
    </row>
    <row r="306" customFormat="false" ht="15" hidden="false" customHeight="false" outlineLevel="0" collapsed="false">
      <c r="A306" s="26" t="n">
        <v>4121505</v>
      </c>
      <c r="B306" s="26" t="s">
        <v>372</v>
      </c>
      <c r="C306" s="26" t="s">
        <v>65</v>
      </c>
      <c r="D306" s="28" t="n">
        <v>0.22967032967033</v>
      </c>
      <c r="E306" s="29" t="n">
        <v>1.14651639344262</v>
      </c>
      <c r="F306" s="28" t="n">
        <v>0.25</v>
      </c>
      <c r="G306" s="30" t="n">
        <v>64.7032967032967</v>
      </c>
      <c r="H306" s="30" t="n">
        <v>72.6061500263587</v>
      </c>
      <c r="I306" s="30" t="n">
        <v>75</v>
      </c>
      <c r="J306" s="34" t="n">
        <f aca="false">(2*G306+H306+I306)/4</f>
        <v>69.253185858238</v>
      </c>
      <c r="K306" s="35" t="n">
        <f aca="false">(J306-MIN(J$6:J$404))/(MAX(J$6:J$404)-MIN(J$6:J$404))*100</f>
        <v>69.8363956908555</v>
      </c>
    </row>
    <row r="307" customFormat="false" ht="15" hidden="false" customHeight="false" outlineLevel="0" collapsed="false">
      <c r="A307" s="26" t="n">
        <v>4121604</v>
      </c>
      <c r="B307" s="26" t="s">
        <v>373</v>
      </c>
      <c r="C307" s="26" t="s">
        <v>65</v>
      </c>
      <c r="D307" s="28" t="n">
        <v>0.316258351893096</v>
      </c>
      <c r="E307" s="29" t="n">
        <v>0.963455149501661</v>
      </c>
      <c r="F307" s="28" t="n">
        <v>0</v>
      </c>
      <c r="G307" s="30" t="n">
        <v>51.3960848669558</v>
      </c>
      <c r="H307" s="30" t="n">
        <v>85.0591829394027</v>
      </c>
      <c r="I307" s="30" t="n">
        <v>100</v>
      </c>
      <c r="J307" s="34" t="n">
        <f aca="false">(2*G307+H307+I307)/4</f>
        <v>71.9628381683286</v>
      </c>
      <c r="K307" s="35" t="n">
        <f aca="false">(J307-MIN(J$6:J$404))/(MAX(J$6:J$404)-MIN(J$6:J$404))*100</f>
        <v>74.4019816467811</v>
      </c>
    </row>
    <row r="308" customFormat="false" ht="15" hidden="false" customHeight="false" outlineLevel="0" collapsed="false">
      <c r="A308" s="26" t="n">
        <v>4121703</v>
      </c>
      <c r="B308" s="26" t="s">
        <v>374</v>
      </c>
      <c r="C308" s="26" t="s">
        <v>86</v>
      </c>
      <c r="D308" s="28" t="n">
        <v>0.224549156486329</v>
      </c>
      <c r="E308" s="29" t="n">
        <v>1.14835948644793</v>
      </c>
      <c r="F308" s="28" t="n">
        <v>0.285714285714286</v>
      </c>
      <c r="G308" s="30" t="n">
        <v>65.4903401610484</v>
      </c>
      <c r="H308" s="30" t="n">
        <v>72.4807706868393</v>
      </c>
      <c r="I308" s="30" t="n">
        <v>71.4285714285714</v>
      </c>
      <c r="J308" s="34" t="n">
        <f aca="false">(2*G308+H308+I308)/4</f>
        <v>68.7225056093769</v>
      </c>
      <c r="K308" s="35" t="n">
        <f aca="false">(J308-MIN(J$6:J$404))/(MAX(J$6:J$404)-MIN(J$6:J$404))*100</f>
        <v>68.9422343690265</v>
      </c>
    </row>
    <row r="309" customFormat="false" ht="15" hidden="false" customHeight="false" outlineLevel="0" collapsed="false">
      <c r="A309" s="26" t="n">
        <v>4121752</v>
      </c>
      <c r="B309" s="26" t="s">
        <v>375</v>
      </c>
      <c r="C309" s="26" t="s">
        <v>65</v>
      </c>
      <c r="D309" s="28" t="n">
        <v>0.268382352941176</v>
      </c>
      <c r="E309" s="29" t="n">
        <v>1.11552680221812</v>
      </c>
      <c r="F309" s="28" t="n">
        <v>0.25</v>
      </c>
      <c r="G309" s="30" t="n">
        <v>58.7538699690403</v>
      </c>
      <c r="H309" s="30" t="n">
        <v>74.7142663658556</v>
      </c>
      <c r="I309" s="30" t="n">
        <v>75</v>
      </c>
      <c r="J309" s="34" t="n">
        <f aca="false">(2*G309+H309+I309)/4</f>
        <v>66.805501575984</v>
      </c>
      <c r="K309" s="35" t="n">
        <f aca="false">(J309-MIN(J$6:J$404))/(MAX(J$6:J$404)-MIN(J$6:J$404))*100</f>
        <v>65.7122086348325</v>
      </c>
    </row>
    <row r="310" customFormat="false" ht="15" hidden="false" customHeight="false" outlineLevel="0" collapsed="false">
      <c r="A310" s="26" t="n">
        <v>4121802</v>
      </c>
      <c r="B310" s="26" t="s">
        <v>376</v>
      </c>
      <c r="C310" s="26" t="s">
        <v>65</v>
      </c>
      <c r="D310" s="28" t="n">
        <v>0.21313672922252</v>
      </c>
      <c r="E310" s="29" t="n">
        <v>1.12657388999337</v>
      </c>
      <c r="F310" s="28" t="n">
        <v>0.666666666666667</v>
      </c>
      <c r="G310" s="30" t="n">
        <v>67.2442500352759</v>
      </c>
      <c r="H310" s="30" t="n">
        <v>73.9627706112275</v>
      </c>
      <c r="I310" s="30" t="n">
        <v>33.3333333333333</v>
      </c>
      <c r="J310" s="34" t="n">
        <f aca="false">(2*G310+H310+I310)/4</f>
        <v>60.4461510037781</v>
      </c>
      <c r="K310" s="35" t="n">
        <f aca="false">(J310-MIN(J$6:J$404))/(MAX(J$6:J$404)-MIN(J$6:J$404))*100</f>
        <v>54.9971211111863</v>
      </c>
    </row>
    <row r="311" customFormat="false" ht="15" hidden="false" customHeight="false" outlineLevel="0" collapsed="false">
      <c r="A311" s="26" t="n">
        <v>4121901</v>
      </c>
      <c r="B311" s="26" t="s">
        <v>377</v>
      </c>
      <c r="C311" s="26" t="s">
        <v>65</v>
      </c>
      <c r="D311" s="28" t="n">
        <v>0.221518987341772</v>
      </c>
      <c r="E311" s="29" t="n">
        <v>1.13494809688581</v>
      </c>
      <c r="F311" s="28" t="n">
        <v>0.428571428571429</v>
      </c>
      <c r="G311" s="30" t="n">
        <v>65.9560293137908</v>
      </c>
      <c r="H311" s="30" t="n">
        <v>73.3931018391425</v>
      </c>
      <c r="I311" s="30" t="n">
        <v>57.1428571428571</v>
      </c>
      <c r="J311" s="34" t="n">
        <f aca="false">(2*G311+H311+I311)/4</f>
        <v>65.6120044023953</v>
      </c>
      <c r="K311" s="35" t="n">
        <f aca="false">(J311-MIN(J$6:J$404))/(MAX(J$6:J$404)-MIN(J$6:J$404))*100</f>
        <v>63.7012443816396</v>
      </c>
    </row>
    <row r="312" customFormat="false" ht="15" hidden="false" customHeight="false" outlineLevel="0" collapsed="false">
      <c r="A312" s="26" t="n">
        <v>4122008</v>
      </c>
      <c r="B312" s="26" t="s">
        <v>378</v>
      </c>
      <c r="C312" s="26" t="s">
        <v>65</v>
      </c>
      <c r="D312" s="28" t="n">
        <v>0.165739710789766</v>
      </c>
      <c r="E312" s="29" t="n">
        <v>1.10823909531502</v>
      </c>
      <c r="F312" s="28" t="n">
        <v>0</v>
      </c>
      <c r="G312" s="30" t="n">
        <v>74.5284233944148</v>
      </c>
      <c r="H312" s="30" t="n">
        <v>75.2100242443177</v>
      </c>
      <c r="I312" s="30" t="n">
        <v>100</v>
      </c>
      <c r="J312" s="34" t="n">
        <f aca="false">(2*G312+H312+I312)/4</f>
        <v>81.0667177582869</v>
      </c>
      <c r="K312" s="35" t="n">
        <f aca="false">(J312-MIN(J$6:J$404))/(MAX(J$6:J$404)-MIN(J$6:J$404))*100</f>
        <v>89.7414200852727</v>
      </c>
    </row>
    <row r="313" customFormat="false" ht="15" hidden="false" customHeight="false" outlineLevel="0" collapsed="false">
      <c r="A313" s="26" t="n">
        <v>4122107</v>
      </c>
      <c r="B313" s="26" t="s">
        <v>379</v>
      </c>
      <c r="C313" s="26" t="s">
        <v>71</v>
      </c>
      <c r="D313" s="28" t="n">
        <v>0.29375</v>
      </c>
      <c r="E313" s="29" t="n">
        <v>1.05913978494624</v>
      </c>
      <c r="F313" s="28" t="n">
        <v>0.5</v>
      </c>
      <c r="G313" s="30" t="n">
        <v>54.8552631578947</v>
      </c>
      <c r="H313" s="30" t="n">
        <v>78.5500830949364</v>
      </c>
      <c r="I313" s="30" t="n">
        <v>50</v>
      </c>
      <c r="J313" s="34" t="n">
        <f aca="false">(2*G313+H313+I313)/4</f>
        <v>59.5651523526815</v>
      </c>
      <c r="K313" s="35" t="n">
        <f aca="false">(J313-MIN(J$6:J$404))/(MAX(J$6:J$404)-MIN(J$6:J$404))*100</f>
        <v>53.5126963185081</v>
      </c>
    </row>
    <row r="314" customFormat="false" ht="15" hidden="false" customHeight="false" outlineLevel="0" collapsed="false">
      <c r="A314" s="26" t="n">
        <v>4122156</v>
      </c>
      <c r="B314" s="26" t="s">
        <v>380</v>
      </c>
      <c r="C314" s="26" t="s">
        <v>65</v>
      </c>
      <c r="D314" s="28" t="n">
        <v>0.186372745490982</v>
      </c>
      <c r="E314" s="29" t="n">
        <v>1.15355979525361</v>
      </c>
      <c r="F314" s="28" t="n">
        <v>0.333333333333333</v>
      </c>
      <c r="G314" s="30" t="n">
        <v>71.3574517455965</v>
      </c>
      <c r="H314" s="30" t="n">
        <v>72.1270113912019</v>
      </c>
      <c r="I314" s="30" t="n">
        <v>66.6666666666667</v>
      </c>
      <c r="J314" s="34" t="n">
        <f aca="false">(2*G314+H314+I314)/4</f>
        <v>70.3771453872654</v>
      </c>
      <c r="K314" s="35" t="n">
        <f aca="false">(J314-MIN(J$6:J$404))/(MAX(J$6:J$404)-MIN(J$6:J$404))*100</f>
        <v>71.7301935857539</v>
      </c>
    </row>
    <row r="315" customFormat="false" ht="15" hidden="false" customHeight="false" outlineLevel="0" collapsed="false">
      <c r="A315" s="26" t="n">
        <v>4122172</v>
      </c>
      <c r="B315" s="26" t="s">
        <v>381</v>
      </c>
      <c r="C315" s="26" t="s">
        <v>71</v>
      </c>
      <c r="D315" s="28" t="n">
        <v>0.198412698412698</v>
      </c>
      <c r="E315" s="29" t="n">
        <v>1.1396933560477</v>
      </c>
      <c r="F315" s="28" t="n">
        <v>0.5</v>
      </c>
      <c r="G315" s="30" t="n">
        <v>69.5071010860485</v>
      </c>
      <c r="H315" s="30" t="n">
        <v>73.0702980208588</v>
      </c>
      <c r="I315" s="30" t="n">
        <v>50</v>
      </c>
      <c r="J315" s="34" t="n">
        <f aca="false">(2*G315+H315+I315)/4</f>
        <v>65.5211250482389</v>
      </c>
      <c r="K315" s="35" t="n">
        <f aca="false">(J315-MIN(J$6:J$404))/(MAX(J$6:J$404)-MIN(J$6:J$404))*100</f>
        <v>63.5481186461071</v>
      </c>
    </row>
    <row r="316" customFormat="false" ht="15" hidden="false" customHeight="false" outlineLevel="0" collapsed="false">
      <c r="A316" s="26" t="n">
        <v>4122206</v>
      </c>
      <c r="B316" s="26" t="s">
        <v>382</v>
      </c>
      <c r="C316" s="26" t="s">
        <v>86</v>
      </c>
      <c r="D316" s="28" t="n">
        <v>0.121875</v>
      </c>
      <c r="E316" s="29" t="n">
        <v>1.17409270571326</v>
      </c>
      <c r="F316" s="28" t="n">
        <v>0.5</v>
      </c>
      <c r="G316" s="30" t="n">
        <v>81.2697368421053</v>
      </c>
      <c r="H316" s="30" t="n">
        <v>70.7302274283599</v>
      </c>
      <c r="I316" s="30" t="n">
        <v>50</v>
      </c>
      <c r="J316" s="34" t="n">
        <f aca="false">(2*G316+H316+I316)/4</f>
        <v>70.8174252781426</v>
      </c>
      <c r="K316" s="35" t="n">
        <f aca="false">(J316-MIN(J$6:J$404))/(MAX(J$6:J$404)-MIN(J$6:J$404))*100</f>
        <v>72.4720362491022</v>
      </c>
    </row>
    <row r="317" customFormat="false" ht="15" hidden="false" customHeight="false" outlineLevel="0" collapsed="false">
      <c r="A317" s="26" t="n">
        <v>4122305</v>
      </c>
      <c r="B317" s="26" t="s">
        <v>383</v>
      </c>
      <c r="C317" s="26" t="s">
        <v>86</v>
      </c>
      <c r="D317" s="28" t="n">
        <v>0.333678756476684</v>
      </c>
      <c r="E317" s="29" t="n">
        <v>1.17679961089494</v>
      </c>
      <c r="F317" s="28" t="n">
        <v>0.3</v>
      </c>
      <c r="G317" s="30" t="n">
        <v>48.7188437414781</v>
      </c>
      <c r="H317" s="30" t="n">
        <v>70.5460858886528</v>
      </c>
      <c r="I317" s="30" t="n">
        <v>70</v>
      </c>
      <c r="J317" s="34" t="n">
        <f aca="false">(2*G317+H317+I317)/4</f>
        <v>59.4959433429022</v>
      </c>
      <c r="K317" s="35" t="n">
        <f aca="false">(J317-MIN(J$6:J$404))/(MAX(J$6:J$404)-MIN(J$6:J$404))*100</f>
        <v>53.3960836882105</v>
      </c>
    </row>
    <row r="318" customFormat="false" ht="15" hidden="false" customHeight="false" outlineLevel="0" collapsed="false">
      <c r="A318" s="26" t="n">
        <v>4122404</v>
      </c>
      <c r="B318" s="26" t="s">
        <v>384</v>
      </c>
      <c r="C318" s="26" t="s">
        <v>129</v>
      </c>
      <c r="D318" s="28" t="n">
        <v>0.182187881252542</v>
      </c>
      <c r="E318" s="29" t="n">
        <v>1.13693731594447</v>
      </c>
      <c r="F318" s="28" t="n">
        <v>0.590909090909091</v>
      </c>
      <c r="G318" s="30" t="n">
        <v>72.000599302241</v>
      </c>
      <c r="H318" s="30" t="n">
        <v>73.2577820419239</v>
      </c>
      <c r="I318" s="30" t="n">
        <v>40.9090909090909</v>
      </c>
      <c r="J318" s="34" t="n">
        <f aca="false">(2*G318+H318+I318)/4</f>
        <v>64.5420178888742</v>
      </c>
      <c r="K318" s="35" t="n">
        <f aca="false">(J318-MIN(J$6:J$404))/(MAX(J$6:J$404)-MIN(J$6:J$404))*100</f>
        <v>61.8983874686069</v>
      </c>
    </row>
    <row r="319" customFormat="false" ht="15" hidden="false" customHeight="false" outlineLevel="0" collapsed="false">
      <c r="A319" s="26" t="n">
        <v>4122503</v>
      </c>
      <c r="B319" s="26" t="s">
        <v>385</v>
      </c>
      <c r="C319" s="26" t="s">
        <v>65</v>
      </c>
      <c r="D319" s="28" t="n">
        <v>0.261872455902307</v>
      </c>
      <c r="E319" s="29" t="n">
        <v>1.11228070175439</v>
      </c>
      <c r="F319" s="28" t="n">
        <v>0.333333333333333</v>
      </c>
      <c r="G319" s="30" t="n">
        <v>59.7543383560666</v>
      </c>
      <c r="H319" s="30" t="n">
        <v>74.9350875240845</v>
      </c>
      <c r="I319" s="30" t="n">
        <v>66.6666666666667</v>
      </c>
      <c r="J319" s="34" t="n">
        <f aca="false">(2*G319+H319+I319)/4</f>
        <v>65.2776077257211</v>
      </c>
      <c r="K319" s="35" t="n">
        <f aca="false">(J319-MIN(J$6:J$404))/(MAX(J$6:J$404)-MIN(J$6:J$404))*100</f>
        <v>63.1378079713494</v>
      </c>
    </row>
    <row r="320" customFormat="false" ht="15" hidden="false" customHeight="false" outlineLevel="0" collapsed="false">
      <c r="A320" s="26" t="n">
        <v>4122602</v>
      </c>
      <c r="B320" s="26" t="s">
        <v>386</v>
      </c>
      <c r="C320" s="26" t="s">
        <v>65</v>
      </c>
      <c r="D320" s="28" t="n">
        <v>0.335185185185185</v>
      </c>
      <c r="E320" s="29" t="n">
        <v>1.06165540540541</v>
      </c>
      <c r="F320" s="28" t="n">
        <v>0.666666666666667</v>
      </c>
      <c r="G320" s="30" t="n">
        <v>48.4873294346979</v>
      </c>
      <c r="H320" s="30" t="n">
        <v>78.3789540033803</v>
      </c>
      <c r="I320" s="30" t="n">
        <v>33.3333333333333</v>
      </c>
      <c r="J320" s="34" t="n">
        <f aca="false">(2*G320+H320+I320)/4</f>
        <v>52.1717365515273</v>
      </c>
      <c r="K320" s="35" t="n">
        <f aca="false">(J320-MIN(J$6:J$404))/(MAX(J$6:J$404)-MIN(J$6:J$404))*100</f>
        <v>41.055276884153</v>
      </c>
    </row>
    <row r="321" customFormat="false" ht="15" hidden="false" customHeight="false" outlineLevel="0" collapsed="false">
      <c r="A321" s="26" t="n">
        <v>4122651</v>
      </c>
      <c r="B321" s="26" t="s">
        <v>387</v>
      </c>
      <c r="C321" s="26" t="s">
        <v>65</v>
      </c>
      <c r="D321" s="28" t="n">
        <v>0.42320819112628</v>
      </c>
      <c r="E321" s="29" t="n">
        <v>1.1587982832618</v>
      </c>
      <c r="F321" s="28" t="n">
        <v>0</v>
      </c>
      <c r="G321" s="30" t="n">
        <v>34.9595832584875</v>
      </c>
      <c r="H321" s="30" t="n">
        <v>71.7706548944565</v>
      </c>
      <c r="I321" s="30" t="n">
        <v>100</v>
      </c>
      <c r="J321" s="34" t="n">
        <f aca="false">(2*G321+H321+I321)/4</f>
        <v>60.4224553528579</v>
      </c>
      <c r="K321" s="35" t="n">
        <f aca="false">(J321-MIN(J$6:J$404))/(MAX(J$6:J$404)-MIN(J$6:J$404))*100</f>
        <v>54.9571954976103</v>
      </c>
    </row>
    <row r="322" customFormat="false" ht="15" hidden="false" customHeight="false" outlineLevel="0" collapsed="false">
      <c r="A322" s="26" t="n">
        <v>4122701</v>
      </c>
      <c r="B322" s="26" t="s">
        <v>388</v>
      </c>
      <c r="C322" s="26" t="s">
        <v>65</v>
      </c>
      <c r="D322" s="28" t="n">
        <v>0.432384341637011</v>
      </c>
      <c r="E322" s="29" t="n">
        <v>1.15767634854772</v>
      </c>
      <c r="F322" s="28" t="n">
        <v>0.4</v>
      </c>
      <c r="G322" s="30" t="n">
        <v>33.5493538115752</v>
      </c>
      <c r="H322" s="30" t="n">
        <v>71.8469762917114</v>
      </c>
      <c r="I322" s="30" t="n">
        <v>60</v>
      </c>
      <c r="J322" s="34" t="n">
        <f aca="false">(2*G322+H322+I322)/4</f>
        <v>49.7364209787154</v>
      </c>
      <c r="K322" s="35" t="n">
        <f aca="false">(J322-MIN(J$6:J$404))/(MAX(J$6:J$404)-MIN(J$6:J$404))*100</f>
        <v>36.9519302901742</v>
      </c>
    </row>
    <row r="323" customFormat="false" ht="15" hidden="false" customHeight="false" outlineLevel="0" collapsed="false">
      <c r="A323" s="26" t="n">
        <v>4122800</v>
      </c>
      <c r="B323" s="26" t="s">
        <v>389</v>
      </c>
      <c r="C323" s="26" t="s">
        <v>71</v>
      </c>
      <c r="D323" s="28" t="n">
        <v>0.492063492063492</v>
      </c>
      <c r="E323" s="29" t="n">
        <v>1.13663366336634</v>
      </c>
      <c r="F323" s="28" t="n">
        <v>0.5</v>
      </c>
      <c r="G323" s="30" t="n">
        <v>24.3776106934002</v>
      </c>
      <c r="H323" s="30" t="n">
        <v>73.2784384925641</v>
      </c>
      <c r="I323" s="30" t="n">
        <v>50</v>
      </c>
      <c r="J323" s="34" t="n">
        <f aca="false">(2*G323+H323+I323)/4</f>
        <v>43.0084149698411</v>
      </c>
      <c r="K323" s="35" t="n">
        <f aca="false">(J323-MIN(J$6:J$404))/(MAX(J$6:J$404)-MIN(J$6:J$404))*100</f>
        <v>25.6156825985017</v>
      </c>
    </row>
    <row r="324" customFormat="false" ht="15" hidden="false" customHeight="false" outlineLevel="0" collapsed="false">
      <c r="A324" s="26" t="n">
        <v>4122909</v>
      </c>
      <c r="B324" s="26" t="s">
        <v>390</v>
      </c>
      <c r="C324" s="26" t="s">
        <v>65</v>
      </c>
      <c r="D324" s="28" t="n">
        <v>0.361370716510903</v>
      </c>
      <c r="E324" s="29" t="n">
        <v>1.06477093206951</v>
      </c>
      <c r="F324" s="28" t="n">
        <v>0.333333333333333</v>
      </c>
      <c r="G324" s="30" t="n">
        <v>44.4630267256927</v>
      </c>
      <c r="H324" s="30" t="n">
        <v>78.1670153360014</v>
      </c>
      <c r="I324" s="30" t="n">
        <v>66.6666666666667</v>
      </c>
      <c r="J324" s="34" t="n">
        <f aca="false">(2*G324+H324+I324)/4</f>
        <v>58.4399338635134</v>
      </c>
      <c r="K324" s="35" t="n">
        <f aca="false">(J324-MIN(J$6:J$404))/(MAX(J$6:J$404)-MIN(J$6:J$404))*100</f>
        <v>51.6167771585617</v>
      </c>
    </row>
    <row r="325" customFormat="false" ht="15" hidden="false" customHeight="false" outlineLevel="0" collapsed="false">
      <c r="A325" s="26" t="n">
        <v>4123006</v>
      </c>
      <c r="B325" s="26" t="s">
        <v>391</v>
      </c>
      <c r="C325" s="26" t="s">
        <v>65</v>
      </c>
      <c r="D325" s="28" t="n">
        <v>0.261252446183953</v>
      </c>
      <c r="E325" s="29" t="n">
        <v>0.961012658227848</v>
      </c>
      <c r="F325" s="28" t="n">
        <v>0.25</v>
      </c>
      <c r="G325" s="30" t="n">
        <v>59.8496240601504</v>
      </c>
      <c r="H325" s="30" t="n">
        <v>85.2253373015594</v>
      </c>
      <c r="I325" s="30" t="n">
        <v>75</v>
      </c>
      <c r="J325" s="34" t="n">
        <f aca="false">(2*G325+H325+I325)/4</f>
        <v>69.981146355465</v>
      </c>
      <c r="K325" s="35" t="n">
        <f aca="false">(J325-MIN(J$6:J$404))/(MAX(J$6:J$404)-MIN(J$6:J$404))*100</f>
        <v>71.0629612580434</v>
      </c>
    </row>
    <row r="326" customFormat="false" ht="15" hidden="false" customHeight="false" outlineLevel="0" collapsed="false">
      <c r="A326" s="26" t="n">
        <v>4123105</v>
      </c>
      <c r="B326" s="26" t="s">
        <v>392</v>
      </c>
      <c r="C326" s="26" t="s">
        <v>71</v>
      </c>
      <c r="D326" s="28" t="n">
        <v>0.53125</v>
      </c>
      <c r="E326" s="29" t="n">
        <v>1.09713024282561</v>
      </c>
      <c r="F326" s="28" t="n">
        <v>0</v>
      </c>
      <c r="G326" s="30" t="n">
        <v>18.3552631578947</v>
      </c>
      <c r="H326" s="30" t="n">
        <v>75.9657216420776</v>
      </c>
      <c r="I326" s="30" t="n">
        <v>100</v>
      </c>
      <c r="J326" s="34" t="n">
        <f aca="false">(2*G326+H326+I326)/4</f>
        <v>53.1690619894668</v>
      </c>
      <c r="K326" s="35" t="n">
        <f aca="false">(J326-MIN(J$6:J$404))/(MAX(J$6:J$404)-MIN(J$6:J$404))*100</f>
        <v>42.7357046630186</v>
      </c>
    </row>
    <row r="327" customFormat="false" ht="15" hidden="false" customHeight="false" outlineLevel="0" collapsed="false">
      <c r="A327" s="26" t="n">
        <v>4123204</v>
      </c>
      <c r="B327" s="26" t="s">
        <v>393</v>
      </c>
      <c r="C327" s="26" t="s">
        <v>71</v>
      </c>
      <c r="D327" s="28" t="n">
        <v>0.448979591836735</v>
      </c>
      <c r="E327" s="29" t="n">
        <v>1.01650943396226</v>
      </c>
      <c r="F327" s="28" t="n">
        <v>0.5</v>
      </c>
      <c r="G327" s="30" t="n">
        <v>30.9989258861439</v>
      </c>
      <c r="H327" s="30" t="n">
        <v>81.4500806720819</v>
      </c>
      <c r="I327" s="30" t="n">
        <v>50</v>
      </c>
      <c r="J327" s="34" t="n">
        <f aca="false">(2*G327+H327+I327)/4</f>
        <v>48.3619831110924</v>
      </c>
      <c r="K327" s="35" t="n">
        <f aca="false">(J327-MIN(J$6:J$404))/(MAX(J$6:J$404)-MIN(J$6:J$404))*100</f>
        <v>34.6360928661831</v>
      </c>
    </row>
    <row r="328" customFormat="false" ht="15" hidden="false" customHeight="false" outlineLevel="0" collapsed="false">
      <c r="A328" s="26" t="n">
        <v>4123303</v>
      </c>
      <c r="B328" s="26" t="s">
        <v>394</v>
      </c>
      <c r="C328" s="26" t="s">
        <v>65</v>
      </c>
      <c r="D328" s="28" t="n">
        <v>0.501937984496124</v>
      </c>
      <c r="E328" s="29" t="n">
        <v>1.0972972972973</v>
      </c>
      <c r="F328" s="28" t="n">
        <v>0.333333333333333</v>
      </c>
      <c r="G328" s="30" t="n">
        <v>22.8600571195431</v>
      </c>
      <c r="H328" s="30" t="n">
        <v>75.9543574953612</v>
      </c>
      <c r="I328" s="30" t="n">
        <v>66.6666666666667</v>
      </c>
      <c r="J328" s="34" t="n">
        <f aca="false">(2*G328+H328+I328)/4</f>
        <v>47.0852846002785</v>
      </c>
      <c r="K328" s="35" t="n">
        <f aca="false">(J328-MIN(J$6:J$404))/(MAX(J$6:J$404)-MIN(J$6:J$404))*100</f>
        <v>32.4849398310808</v>
      </c>
    </row>
    <row r="329" customFormat="false" ht="15" hidden="false" customHeight="false" outlineLevel="0" collapsed="false">
      <c r="A329" s="26" t="n">
        <v>4123402</v>
      </c>
      <c r="B329" s="26" t="s">
        <v>395</v>
      </c>
      <c r="C329" s="26" t="s">
        <v>65</v>
      </c>
      <c r="D329" s="28" t="n">
        <v>0.519230769230769</v>
      </c>
      <c r="E329" s="29" t="n">
        <v>1.02692867540029</v>
      </c>
      <c r="F329" s="28" t="n">
        <v>0.5</v>
      </c>
      <c r="G329" s="30" t="n">
        <v>20.2024291497976</v>
      </c>
      <c r="H329" s="30" t="n">
        <v>80.7412951653116</v>
      </c>
      <c r="I329" s="30" t="n">
        <v>50</v>
      </c>
      <c r="J329" s="34" t="n">
        <f aca="false">(2*G329+H329+I329)/4</f>
        <v>42.7865383662267</v>
      </c>
      <c r="K329" s="35" t="n">
        <f aca="false">(J329-MIN(J$6:J$404))/(MAX(J$6:J$404)-MIN(J$6:J$404))*100</f>
        <v>25.2418351120038</v>
      </c>
    </row>
    <row r="330" customFormat="false" ht="15" hidden="false" customHeight="false" outlineLevel="0" collapsed="false">
      <c r="A330" s="26" t="n">
        <v>4123501</v>
      </c>
      <c r="B330" s="26" t="s">
        <v>396</v>
      </c>
      <c r="C330" s="26" t="s">
        <v>86</v>
      </c>
      <c r="D330" s="28" t="n">
        <v>0.511229314420804</v>
      </c>
      <c r="E330" s="29" t="n">
        <v>1.21162579473206</v>
      </c>
      <c r="F330" s="28" t="n">
        <v>0.111111111111111</v>
      </c>
      <c r="G330" s="30" t="n">
        <v>21.4321264153291</v>
      </c>
      <c r="H330" s="30" t="n">
        <v>68.176979221273</v>
      </c>
      <c r="I330" s="30" t="n">
        <v>88.8888888888889</v>
      </c>
      <c r="J330" s="34" t="n">
        <f aca="false">(2*G330+H330+I330)/4</f>
        <v>49.982530235205</v>
      </c>
      <c r="K330" s="35" t="n">
        <f aca="false">(J330-MIN(J$6:J$404))/(MAX(J$6:J$404)-MIN(J$6:J$404))*100</f>
        <v>37.3666082032289</v>
      </c>
    </row>
    <row r="331" customFormat="false" ht="15" hidden="false" customHeight="false" outlineLevel="0" collapsed="false">
      <c r="A331" s="26" t="n">
        <v>4123600</v>
      </c>
      <c r="B331" s="26" t="s">
        <v>397</v>
      </c>
      <c r="C331" s="26" t="s">
        <v>71</v>
      </c>
      <c r="D331" s="28" t="n">
        <v>0.606060606060606</v>
      </c>
      <c r="E331" s="29" t="n">
        <v>1</v>
      </c>
      <c r="F331" s="28" t="n">
        <v>0</v>
      </c>
      <c r="G331" s="30" t="n">
        <v>6.85805422647528</v>
      </c>
      <c r="H331" s="30" t="n">
        <v>82.573161232892</v>
      </c>
      <c r="I331" s="30" t="n">
        <v>100</v>
      </c>
      <c r="J331" s="34" t="n">
        <f aca="false">(2*G331+H331+I331)/4</f>
        <v>49.0723174214606</v>
      </c>
      <c r="K331" s="35" t="n">
        <f aca="false">(J331-MIN(J$6:J$404))/(MAX(J$6:J$404)-MIN(J$6:J$404))*100</f>
        <v>35.8329594676109</v>
      </c>
    </row>
    <row r="332" customFormat="false" ht="15" hidden="false" customHeight="false" outlineLevel="0" collapsed="false">
      <c r="A332" s="26" t="n">
        <v>4123709</v>
      </c>
      <c r="B332" s="26" t="s">
        <v>398</v>
      </c>
      <c r="C332" s="26" t="s">
        <v>65</v>
      </c>
      <c r="D332" s="28" t="n">
        <v>0.339047619047619</v>
      </c>
      <c r="E332" s="29" t="n">
        <v>1.15165441176471</v>
      </c>
      <c r="F332" s="28" t="n">
        <v>0.5</v>
      </c>
      <c r="G332" s="30" t="n">
        <v>47.8937343358396</v>
      </c>
      <c r="H332" s="30" t="n">
        <v>72.2566281401567</v>
      </c>
      <c r="I332" s="30" t="n">
        <v>50</v>
      </c>
      <c r="J332" s="34" t="n">
        <f aca="false">(2*G332+H332+I332)/4</f>
        <v>54.511024202959</v>
      </c>
      <c r="K332" s="35" t="n">
        <f aca="false">(J332-MIN(J$6:J$404))/(MAX(J$6:J$404)-MIN(J$6:J$404))*100</f>
        <v>44.9968227453965</v>
      </c>
    </row>
    <row r="333" customFormat="false" ht="15" hidden="false" customHeight="false" outlineLevel="0" collapsed="false">
      <c r="A333" s="26" t="n">
        <v>4123808</v>
      </c>
      <c r="B333" s="26" t="s">
        <v>399</v>
      </c>
      <c r="C333" s="26" t="s">
        <v>65</v>
      </c>
      <c r="D333" s="28" t="n">
        <v>0.282782212086659</v>
      </c>
      <c r="E333" s="29" t="n">
        <v>0.893155258764608</v>
      </c>
      <c r="F333" s="28" t="n">
        <v>0.4</v>
      </c>
      <c r="G333" s="30" t="n">
        <v>56.5408389845766</v>
      </c>
      <c r="H333" s="30" t="n">
        <v>89.841445062642</v>
      </c>
      <c r="I333" s="30" t="n">
        <v>60</v>
      </c>
      <c r="J333" s="34" t="n">
        <f aca="false">(2*G333+H333+I333)/4</f>
        <v>65.7307807579488</v>
      </c>
      <c r="K333" s="35" t="n">
        <f aca="false">(J333-MIN(J$6:J$404))/(MAX(J$6:J$404)-MIN(J$6:J$404))*100</f>
        <v>63.9013747300211</v>
      </c>
    </row>
    <row r="334" customFormat="false" ht="15" hidden="false" customHeight="false" outlineLevel="0" collapsed="false">
      <c r="A334" s="26" t="n">
        <v>4123824</v>
      </c>
      <c r="B334" s="26" t="s">
        <v>400</v>
      </c>
      <c r="C334" s="26" t="s">
        <v>71</v>
      </c>
      <c r="D334" s="28" t="n">
        <v>0.226086956521739</v>
      </c>
      <c r="E334" s="29" t="n">
        <v>1.18526315789474</v>
      </c>
      <c r="F334" s="28" t="n">
        <v>0</v>
      </c>
      <c r="G334" s="30" t="n">
        <v>65.254004576659</v>
      </c>
      <c r="H334" s="30" t="n">
        <v>69.9703396133597</v>
      </c>
      <c r="I334" s="30" t="n">
        <v>100</v>
      </c>
      <c r="J334" s="34" t="n">
        <f aca="false">(2*G334+H334+I334)/4</f>
        <v>75.1195871916694</v>
      </c>
      <c r="K334" s="35" t="n">
        <f aca="false">(J334-MIN(J$6:J$404))/(MAX(J$6:J$404)-MIN(J$6:J$404))*100</f>
        <v>79.7208961634797</v>
      </c>
    </row>
    <row r="335" customFormat="false" ht="15" hidden="false" customHeight="false" outlineLevel="0" collapsed="false">
      <c r="A335" s="26" t="n">
        <v>4123857</v>
      </c>
      <c r="B335" s="26" t="s">
        <v>401</v>
      </c>
      <c r="C335" s="26" t="s">
        <v>65</v>
      </c>
      <c r="D335" s="28" t="n">
        <v>0.268562401263823</v>
      </c>
      <c r="E335" s="29" t="n">
        <v>1.00638750887154</v>
      </c>
      <c r="F335" s="28" t="n">
        <v>0.333333333333333</v>
      </c>
      <c r="G335" s="30" t="n">
        <v>58.7261993847177</v>
      </c>
      <c r="H335" s="30" t="n">
        <v>82.1386407604139</v>
      </c>
      <c r="I335" s="30" t="n">
        <v>66.6666666666667</v>
      </c>
      <c r="J335" s="34" t="n">
        <f aca="false">(2*G335+H335+I335)/4</f>
        <v>66.564426549129</v>
      </c>
      <c r="K335" s="35" t="n">
        <f aca="false">(J335-MIN(J$6:J$404))/(MAX(J$6:J$404)-MIN(J$6:J$404))*100</f>
        <v>65.3060130676613</v>
      </c>
    </row>
    <row r="336" customFormat="false" ht="15" hidden="false" customHeight="false" outlineLevel="0" collapsed="false">
      <c r="A336" s="26" t="n">
        <v>4123907</v>
      </c>
      <c r="B336" s="26" t="s">
        <v>402</v>
      </c>
      <c r="C336" s="26" t="s">
        <v>65</v>
      </c>
      <c r="D336" s="28" t="n">
        <v>0.32755905511811</v>
      </c>
      <c r="E336" s="29" t="n">
        <v>1.06858924395947</v>
      </c>
      <c r="F336" s="28" t="n">
        <v>0.5</v>
      </c>
      <c r="G336" s="30" t="n">
        <v>49.6593452134273</v>
      </c>
      <c r="H336" s="30" t="n">
        <v>77.9072685834158</v>
      </c>
      <c r="I336" s="30" t="n">
        <v>50</v>
      </c>
      <c r="J336" s="34" t="n">
        <f aca="false">(2*G336+H336+I336)/4</f>
        <v>56.8064897525676</v>
      </c>
      <c r="K336" s="35" t="n">
        <f aca="false">(J336-MIN(J$6:J$404))/(MAX(J$6:J$404)-MIN(J$6:J$404))*100</f>
        <v>48.8645312468071</v>
      </c>
    </row>
    <row r="337" customFormat="false" ht="15" hidden="false" customHeight="false" outlineLevel="0" collapsed="false">
      <c r="A337" s="26" t="n">
        <v>4123956</v>
      </c>
      <c r="B337" s="26" t="s">
        <v>403</v>
      </c>
      <c r="C337" s="26" t="s">
        <v>71</v>
      </c>
      <c r="D337" s="28" t="n">
        <v>0.429864253393665</v>
      </c>
      <c r="E337" s="29" t="n">
        <v>1.05679513184584</v>
      </c>
      <c r="F337" s="28" t="n">
        <v>0.333333333333333</v>
      </c>
      <c r="G337" s="30" t="n">
        <v>33.9366515837104</v>
      </c>
      <c r="H337" s="30" t="n">
        <v>78.7095818593953</v>
      </c>
      <c r="I337" s="30" t="n">
        <v>66.6666666666667</v>
      </c>
      <c r="J337" s="34" t="n">
        <f aca="false">(2*G337+H337+I337)/4</f>
        <v>53.3123879233707</v>
      </c>
      <c r="K337" s="35" t="n">
        <f aca="false">(J337-MIN(J$6:J$404))/(MAX(J$6:J$404)-MIN(J$6:J$404))*100</f>
        <v>42.9771994365417</v>
      </c>
    </row>
    <row r="338" customFormat="false" ht="15" hidden="false" customHeight="false" outlineLevel="0" collapsed="false">
      <c r="A338" s="26" t="n">
        <v>4124020</v>
      </c>
      <c r="B338" s="26" t="s">
        <v>404</v>
      </c>
      <c r="C338" s="26" t="s">
        <v>65</v>
      </c>
      <c r="D338" s="28" t="n">
        <v>0.333649289099526</v>
      </c>
      <c r="E338" s="29" t="n">
        <v>1.13161953727506</v>
      </c>
      <c r="F338" s="28" t="n">
        <v>0.2</v>
      </c>
      <c r="G338" s="30" t="n">
        <v>48.7233724120728</v>
      </c>
      <c r="H338" s="30" t="n">
        <v>73.6195324122848</v>
      </c>
      <c r="I338" s="30" t="n">
        <v>80</v>
      </c>
      <c r="J338" s="34" t="n">
        <f aca="false">(2*G338+H338+I338)/4</f>
        <v>62.7665693091076</v>
      </c>
      <c r="K338" s="35" t="n">
        <f aca="false">(J338-MIN(J$6:J$404))/(MAX(J$6:J$404)-MIN(J$6:J$404))*100</f>
        <v>58.9068733650948</v>
      </c>
    </row>
    <row r="339" customFormat="false" ht="15" hidden="false" customHeight="false" outlineLevel="0" collapsed="false">
      <c r="A339" s="26" t="n">
        <v>4124053</v>
      </c>
      <c r="B339" s="26" t="s">
        <v>405</v>
      </c>
      <c r="C339" s="26" t="s">
        <v>86</v>
      </c>
      <c r="D339" s="28" t="n">
        <v>0.326662362814719</v>
      </c>
      <c r="E339" s="29" t="n">
        <v>1.06627438835553</v>
      </c>
      <c r="F339" s="28" t="n">
        <v>0.333333333333333</v>
      </c>
      <c r="G339" s="30" t="n">
        <v>49.797152662159</v>
      </c>
      <c r="H339" s="30" t="n">
        <v>78.0647403256822</v>
      </c>
      <c r="I339" s="30" t="n">
        <v>66.6666666666667</v>
      </c>
      <c r="J339" s="34" t="n">
        <f aca="false">(2*G339+H339+I339)/4</f>
        <v>61.0814280791667</v>
      </c>
      <c r="K339" s="35" t="n">
        <f aca="false">(J339-MIN(J$6:J$404))/(MAX(J$6:J$404)-MIN(J$6:J$404))*100</f>
        <v>56.0675212074328</v>
      </c>
    </row>
    <row r="340" customFormat="false" ht="15" hidden="false" customHeight="false" outlineLevel="0" collapsed="false">
      <c r="A340" s="26" t="n">
        <v>4124004</v>
      </c>
      <c r="B340" s="26" t="s">
        <v>406</v>
      </c>
      <c r="C340" s="26" t="s">
        <v>65</v>
      </c>
      <c r="D340" s="28" t="n">
        <v>0.366071428571429</v>
      </c>
      <c r="E340" s="29" t="n">
        <v>1.0963503649635</v>
      </c>
      <c r="F340" s="28" t="n">
        <v>0.5</v>
      </c>
      <c r="G340" s="30" t="n">
        <v>43.7406015037594</v>
      </c>
      <c r="H340" s="30" t="n">
        <v>76.0187740767483</v>
      </c>
      <c r="I340" s="30" t="n">
        <v>50</v>
      </c>
      <c r="J340" s="34" t="n">
        <f aca="false">(2*G340+H340+I340)/4</f>
        <v>53.3749942710668</v>
      </c>
      <c r="K340" s="35" t="n">
        <f aca="false">(J340-MIN(J$6:J$404))/(MAX(J$6:J$404)-MIN(J$6:J$404))*100</f>
        <v>43.0826870154199</v>
      </c>
    </row>
    <row r="341" customFormat="false" ht="15" hidden="false" customHeight="false" outlineLevel="0" collapsed="false">
      <c r="A341" s="26" t="n">
        <v>4124103</v>
      </c>
      <c r="B341" s="26" t="s">
        <v>407</v>
      </c>
      <c r="C341" s="26" t="s">
        <v>86</v>
      </c>
      <c r="D341" s="28" t="n">
        <v>0.191031073446328</v>
      </c>
      <c r="E341" s="29" t="n">
        <v>1.16475816099812</v>
      </c>
      <c r="F341" s="28" t="n">
        <v>0.368421052631579</v>
      </c>
      <c r="G341" s="30" t="n">
        <v>70.6415402914065</v>
      </c>
      <c r="H341" s="30" t="n">
        <v>71.3652247115828</v>
      </c>
      <c r="I341" s="30" t="n">
        <v>63.1578947368421</v>
      </c>
      <c r="J341" s="34" t="n">
        <f aca="false">(2*G341+H341+I341)/4</f>
        <v>68.9515500078095</v>
      </c>
      <c r="K341" s="35" t="n">
        <f aca="false">(J341-MIN(J$6:J$404))/(MAX(J$6:J$404)-MIN(J$6:J$404))*100</f>
        <v>69.3281591184392</v>
      </c>
    </row>
    <row r="342" customFormat="false" ht="15" hidden="false" customHeight="false" outlineLevel="0" collapsed="false">
      <c r="A342" s="26" t="n">
        <v>4124202</v>
      </c>
      <c r="B342" s="26" t="s">
        <v>408</v>
      </c>
      <c r="C342" s="26" t="s">
        <v>71</v>
      </c>
      <c r="D342" s="28" t="n">
        <v>0.513513513513514</v>
      </c>
      <c r="E342" s="29" t="n">
        <v>1.18055555555556</v>
      </c>
      <c r="F342" s="28" t="n">
        <v>0.5</v>
      </c>
      <c r="G342" s="30" t="n">
        <v>21.0810810810811</v>
      </c>
      <c r="H342" s="30" t="n">
        <v>70.290581766255</v>
      </c>
      <c r="I342" s="30" t="n">
        <v>50</v>
      </c>
      <c r="J342" s="34" t="n">
        <f aca="false">(2*G342+H342+I342)/4</f>
        <v>40.6131859821043</v>
      </c>
      <c r="K342" s="35" t="n">
        <f aca="false">(J342-MIN(J$6:J$404))/(MAX(J$6:J$404)-MIN(J$6:J$404))*100</f>
        <v>21.5798792642829</v>
      </c>
    </row>
    <row r="343" customFormat="false" ht="15" hidden="false" customHeight="false" outlineLevel="0" collapsed="false">
      <c r="A343" s="26" t="n">
        <v>4124301</v>
      </c>
      <c r="B343" s="26" t="s">
        <v>409</v>
      </c>
      <c r="C343" s="26" t="s">
        <v>71</v>
      </c>
      <c r="D343" s="28" t="n">
        <v>0.593406593406593</v>
      </c>
      <c r="E343" s="29" t="n">
        <v>1.08730158730159</v>
      </c>
      <c r="F343" s="28" t="n">
        <v>0.5</v>
      </c>
      <c r="G343" s="30" t="n">
        <v>8.80277617119723</v>
      </c>
      <c r="H343" s="30" t="n">
        <v>76.6343316006719</v>
      </c>
      <c r="I343" s="30" t="n">
        <v>50</v>
      </c>
      <c r="J343" s="34" t="n">
        <f aca="false">(2*G343+H343+I343)/4</f>
        <v>36.0599709857666</v>
      </c>
      <c r="K343" s="35" t="n">
        <f aca="false">(J343-MIN(J$6:J$404))/(MAX(J$6:J$404)-MIN(J$6:J$404))*100</f>
        <v>13.9080114146051</v>
      </c>
    </row>
    <row r="344" customFormat="false" ht="15" hidden="false" customHeight="false" outlineLevel="0" collapsed="false">
      <c r="A344" s="26" t="n">
        <v>4124400</v>
      </c>
      <c r="B344" s="26" t="s">
        <v>410</v>
      </c>
      <c r="C344" s="26" t="s">
        <v>86</v>
      </c>
      <c r="D344" s="28" t="n">
        <v>0.310130515848353</v>
      </c>
      <c r="E344" s="29" t="n">
        <v>0.872631251941597</v>
      </c>
      <c r="F344" s="28" t="n">
        <v>0.25</v>
      </c>
      <c r="G344" s="30" t="n">
        <v>52.3378365117268</v>
      </c>
      <c r="H344" s="30" t="n">
        <v>91.2376233414093</v>
      </c>
      <c r="I344" s="30" t="n">
        <v>75</v>
      </c>
      <c r="J344" s="34" t="n">
        <f aca="false">(2*G344+H344+I344)/4</f>
        <v>67.7283240912157</v>
      </c>
      <c r="K344" s="35" t="n">
        <f aca="false">(J344-MIN(J$6:J$404))/(MAX(J$6:J$404)-MIN(J$6:J$404))*100</f>
        <v>67.2671038882434</v>
      </c>
    </row>
    <row r="345" customFormat="false" ht="15" hidden="false" customHeight="false" outlineLevel="0" collapsed="false">
      <c r="A345" s="26" t="n">
        <v>4124509</v>
      </c>
      <c r="B345" s="26" t="s">
        <v>411</v>
      </c>
      <c r="C345" s="26" t="s">
        <v>65</v>
      </c>
      <c r="D345" s="28" t="n">
        <v>0.404395604395604</v>
      </c>
      <c r="E345" s="29" t="n">
        <v>1.12781065088757</v>
      </c>
      <c r="F345" s="28" t="n">
        <v>0.5</v>
      </c>
      <c r="G345" s="30" t="n">
        <v>37.8507807981492</v>
      </c>
      <c r="H345" s="30" t="n">
        <v>73.8786379800409</v>
      </c>
      <c r="I345" s="30" t="n">
        <v>50</v>
      </c>
      <c r="J345" s="34" t="n">
        <f aca="false">(2*G345+H345+I345)/4</f>
        <v>49.8950498940848</v>
      </c>
      <c r="K345" s="35" t="n">
        <f aca="false">(J345-MIN(J$6:J$404))/(MAX(J$6:J$404)-MIN(J$6:J$404))*100</f>
        <v>37.2192095811435</v>
      </c>
    </row>
    <row r="346" customFormat="false" ht="15" hidden="false" customHeight="false" outlineLevel="0" collapsed="false">
      <c r="A346" s="26" t="n">
        <v>4126207</v>
      </c>
      <c r="B346" s="26" t="s">
        <v>412</v>
      </c>
      <c r="C346" s="26" t="s">
        <v>65</v>
      </c>
      <c r="D346" s="28" t="n">
        <v>0.286407766990291</v>
      </c>
      <c r="E346" s="29" t="n">
        <v>1.19760479041916</v>
      </c>
      <c r="F346" s="28" t="n">
        <v>0.5</v>
      </c>
      <c r="G346" s="30" t="n">
        <v>55.9836484414921</v>
      </c>
      <c r="H346" s="30" t="n">
        <v>69.1307803887052</v>
      </c>
      <c r="I346" s="30" t="n">
        <v>50</v>
      </c>
      <c r="J346" s="34" t="n">
        <f aca="false">(2*G346+H346+I346)/4</f>
        <v>57.7745193179223</v>
      </c>
      <c r="K346" s="35" t="n">
        <f aca="false">(J346-MIN(J$6:J$404))/(MAX(J$6:J$404)-MIN(J$6:J$404))*100</f>
        <v>50.4955974068623</v>
      </c>
    </row>
    <row r="347" customFormat="false" ht="15" hidden="false" customHeight="false" outlineLevel="0" collapsed="false">
      <c r="A347" s="26" t="n">
        <v>4126256</v>
      </c>
      <c r="B347" s="26" t="s">
        <v>413</v>
      </c>
      <c r="C347" s="26" t="s">
        <v>69</v>
      </c>
      <c r="D347" s="28" t="n">
        <v>0.13820473911521</v>
      </c>
      <c r="E347" s="29" t="n">
        <v>0.926318281351719</v>
      </c>
      <c r="F347" s="28" t="n">
        <v>0.518518518518519</v>
      </c>
      <c r="G347" s="30" t="n">
        <v>78.7601137780836</v>
      </c>
      <c r="H347" s="30" t="n">
        <v>87.5854775903215</v>
      </c>
      <c r="I347" s="30" t="n">
        <v>48.1481481481482</v>
      </c>
      <c r="J347" s="34" t="n">
        <f aca="false">(2*G347+H347+I347)/4</f>
        <v>73.3134633236592</v>
      </c>
      <c r="K347" s="35" t="n">
        <f aca="false">(J347-MIN(J$6:J$404))/(MAX(J$6:J$404)-MIN(J$6:J$404))*100</f>
        <v>76.6776962164821</v>
      </c>
    </row>
    <row r="348" customFormat="false" ht="15" hidden="false" customHeight="false" outlineLevel="0" collapsed="false">
      <c r="A348" s="26" t="n">
        <v>4126272</v>
      </c>
      <c r="B348" s="26" t="s">
        <v>414</v>
      </c>
      <c r="C348" s="26" t="s">
        <v>65</v>
      </c>
      <c r="D348" s="28" t="n">
        <v>0.280898876404494</v>
      </c>
      <c r="E348" s="29" t="n">
        <v>1.10867293625914</v>
      </c>
      <c r="F348" s="28" t="n">
        <v>0.5</v>
      </c>
      <c r="G348" s="30" t="n">
        <v>56.8302779420461</v>
      </c>
      <c r="H348" s="30" t="n">
        <v>75.180511522565</v>
      </c>
      <c r="I348" s="30" t="n">
        <v>50</v>
      </c>
      <c r="J348" s="34" t="n">
        <f aca="false">(2*G348+H348+I348)/4</f>
        <v>59.7102668516643</v>
      </c>
      <c r="K348" s="35" t="n">
        <f aca="false">(J348-MIN(J$6:J$404))/(MAX(J$6:J$404)-MIN(J$6:J$404))*100</f>
        <v>53.7572047065732</v>
      </c>
    </row>
    <row r="349" customFormat="false" ht="15" hidden="false" customHeight="false" outlineLevel="0" collapsed="false">
      <c r="A349" s="26" t="n">
        <v>4124608</v>
      </c>
      <c r="B349" s="26" t="s">
        <v>415</v>
      </c>
      <c r="C349" s="26" t="s">
        <v>65</v>
      </c>
      <c r="D349" s="28" t="n">
        <v>0.517899761336516</v>
      </c>
      <c r="E349" s="29" t="n">
        <v>1.04287369640788</v>
      </c>
      <c r="F349" s="28" t="n">
        <v>0</v>
      </c>
      <c r="G349" s="30" t="n">
        <v>20.4069840472303</v>
      </c>
      <c r="H349" s="30" t="n">
        <v>79.6566096954001</v>
      </c>
      <c r="I349" s="30" t="n">
        <v>100</v>
      </c>
      <c r="J349" s="34" t="n">
        <f aca="false">(2*G349+H349+I349)/4</f>
        <v>55.1176444474652</v>
      </c>
      <c r="K349" s="35" t="n">
        <f aca="false">(J349-MIN(J$6:J$404))/(MAX(J$6:J$404)-MIN(J$6:J$404))*100</f>
        <v>46.0189379660777</v>
      </c>
    </row>
    <row r="350" customFormat="false" ht="15" hidden="false" customHeight="false" outlineLevel="0" collapsed="false">
      <c r="A350" s="26" t="n">
        <v>4124707</v>
      </c>
      <c r="B350" s="26" t="s">
        <v>416</v>
      </c>
      <c r="C350" s="26" t="s">
        <v>65</v>
      </c>
      <c r="D350" s="28" t="n">
        <v>0.0993197278911564</v>
      </c>
      <c r="E350" s="29" t="n">
        <v>1.04865220249836</v>
      </c>
      <c r="F350" s="28" t="n">
        <v>0.5</v>
      </c>
      <c r="G350" s="30" t="n">
        <v>84.7361260293591</v>
      </c>
      <c r="H350" s="30" t="n">
        <v>79.2635176078355</v>
      </c>
      <c r="I350" s="30" t="n">
        <v>50</v>
      </c>
      <c r="J350" s="34" t="n">
        <f aca="false">(2*G350+H350+I350)/4</f>
        <v>74.6839424166384</v>
      </c>
      <c r="K350" s="35" t="n">
        <f aca="false">(J350-MIN(J$6:J$404))/(MAX(J$6:J$404)-MIN(J$6:J$404))*100</f>
        <v>78.9868633655273</v>
      </c>
    </row>
    <row r="351" customFormat="false" ht="15" hidden="false" customHeight="false" outlineLevel="0" collapsed="false">
      <c r="A351" s="26" t="n">
        <v>4124806</v>
      </c>
      <c r="B351" s="26" t="s">
        <v>417</v>
      </c>
      <c r="C351" s="26" t="s">
        <v>65</v>
      </c>
      <c r="D351" s="28" t="n">
        <v>0.350632911392405</v>
      </c>
      <c r="E351" s="29" t="n">
        <v>1.09454796411318</v>
      </c>
      <c r="F351" s="28" t="n">
        <v>0.333333333333333</v>
      </c>
      <c r="G351" s="30" t="n">
        <v>46.1132578281146</v>
      </c>
      <c r="H351" s="30" t="n">
        <v>76.1413852675627</v>
      </c>
      <c r="I351" s="30" t="n">
        <v>66.6666666666667</v>
      </c>
      <c r="J351" s="34" t="n">
        <f aca="false">(2*G351+H351+I351)/4</f>
        <v>58.7586418976146</v>
      </c>
      <c r="K351" s="35" t="n">
        <f aca="false">(J351-MIN(J$6:J$404))/(MAX(J$6:J$404)-MIN(J$6:J$404))*100</f>
        <v>52.1537792378007</v>
      </c>
    </row>
    <row r="352" customFormat="false" ht="15" hidden="false" customHeight="false" outlineLevel="0" collapsed="false">
      <c r="A352" s="26" t="n">
        <v>4124905</v>
      </c>
      <c r="B352" s="26" t="s">
        <v>418</v>
      </c>
      <c r="C352" s="26" t="s">
        <v>65</v>
      </c>
      <c r="D352" s="28" t="n">
        <v>0.468834688346883</v>
      </c>
      <c r="E352" s="29" t="n">
        <v>1.11081081081081</v>
      </c>
      <c r="F352" s="28" t="n">
        <v>0</v>
      </c>
      <c r="G352" s="30" t="n">
        <v>27.9475110540579</v>
      </c>
      <c r="H352" s="30" t="n">
        <v>75.0350791984819</v>
      </c>
      <c r="I352" s="30" t="n">
        <v>100</v>
      </c>
      <c r="J352" s="34" t="n">
        <f aca="false">(2*G352+H352+I352)/4</f>
        <v>57.7325253266494</v>
      </c>
      <c r="K352" s="35" t="n">
        <f aca="false">(J352-MIN(J$6:J$404))/(MAX(J$6:J$404)-MIN(J$6:J$404))*100</f>
        <v>50.4248402930899</v>
      </c>
    </row>
    <row r="353" customFormat="false" ht="15" hidden="false" customHeight="false" outlineLevel="0" collapsed="false">
      <c r="A353" s="26" t="n">
        <v>4125001</v>
      </c>
      <c r="B353" s="26" t="s">
        <v>419</v>
      </c>
      <c r="C353" s="26" t="s">
        <v>65</v>
      </c>
      <c r="D353" s="28" t="n">
        <v>0.520069808027923</v>
      </c>
      <c r="E353" s="29" t="n">
        <v>1.07996702390767</v>
      </c>
      <c r="F353" s="28" t="n">
        <v>0.2</v>
      </c>
      <c r="G353" s="30" t="n">
        <v>20.073482134656</v>
      </c>
      <c r="H353" s="30" t="n">
        <v>77.1332769666105</v>
      </c>
      <c r="I353" s="30" t="n">
        <v>80</v>
      </c>
      <c r="J353" s="34" t="n">
        <f aca="false">(2*G353+H353+I353)/4</f>
        <v>49.3200603089806</v>
      </c>
      <c r="K353" s="35" t="n">
        <f aca="false">(J353-MIN(J$6:J$404))/(MAX(J$6:J$404)-MIN(J$6:J$404))*100</f>
        <v>36.2503899415243</v>
      </c>
    </row>
    <row r="354" customFormat="false" ht="15" hidden="false" customHeight="false" outlineLevel="0" collapsed="false">
      <c r="A354" s="26" t="n">
        <v>4125100</v>
      </c>
      <c r="B354" s="26" t="s">
        <v>420</v>
      </c>
      <c r="C354" s="26" t="s">
        <v>65</v>
      </c>
      <c r="D354" s="28" t="n">
        <v>0.135462555066079</v>
      </c>
      <c r="E354" s="29" t="n">
        <v>1.0790450928382</v>
      </c>
      <c r="F354" s="28" t="n">
        <v>0.333333333333333</v>
      </c>
      <c r="G354" s="30" t="n">
        <v>79.181544168792</v>
      </c>
      <c r="H354" s="30" t="n">
        <v>77.1959927971408</v>
      </c>
      <c r="I354" s="30" t="n">
        <v>66.6666666666667</v>
      </c>
      <c r="J354" s="34" t="n">
        <f aca="false">(2*G354+H354+I354)/4</f>
        <v>75.5564369503479</v>
      </c>
      <c r="K354" s="35" t="n">
        <f aca="false">(J354-MIN(J$6:J$404))/(MAX(J$6:J$404)-MIN(J$6:J$404))*100</f>
        <v>80.4569592796384</v>
      </c>
    </row>
    <row r="355" customFormat="false" ht="15" hidden="false" customHeight="false" outlineLevel="0" collapsed="false">
      <c r="A355" s="26" t="n">
        <v>4125209</v>
      </c>
      <c r="B355" s="26" t="s">
        <v>421</v>
      </c>
      <c r="C355" s="26" t="s">
        <v>65</v>
      </c>
      <c r="D355" s="28" t="n">
        <v>0.418604651162791</v>
      </c>
      <c r="E355" s="29" t="n">
        <v>1.09314140558848</v>
      </c>
      <c r="F355" s="28" t="n">
        <v>0.333333333333333</v>
      </c>
      <c r="G355" s="30" t="n">
        <v>35.6670746634027</v>
      </c>
      <c r="H355" s="30" t="n">
        <v>76.237068653216</v>
      </c>
      <c r="I355" s="30" t="n">
        <v>66.6666666666667</v>
      </c>
      <c r="J355" s="34" t="n">
        <f aca="false">(2*G355+H355+I355)/4</f>
        <v>53.559471161672</v>
      </c>
      <c r="K355" s="35" t="n">
        <f aca="false">(J355-MIN(J$6:J$404))/(MAX(J$6:J$404)-MIN(J$6:J$404))*100</f>
        <v>43.3935184449001</v>
      </c>
    </row>
    <row r="356" customFormat="false" ht="15" hidden="false" customHeight="false" outlineLevel="0" collapsed="false">
      <c r="A356" s="26" t="n">
        <v>4125308</v>
      </c>
      <c r="B356" s="26" t="s">
        <v>422</v>
      </c>
      <c r="C356" s="26" t="s">
        <v>65</v>
      </c>
      <c r="D356" s="28" t="n">
        <v>0.45679012345679</v>
      </c>
      <c r="E356" s="29" t="n">
        <v>1.10689655172414</v>
      </c>
      <c r="F356" s="28" t="n">
        <v>0</v>
      </c>
      <c r="G356" s="30" t="n">
        <v>29.7985705003249</v>
      </c>
      <c r="H356" s="30" t="n">
        <v>75.3013529120607</v>
      </c>
      <c r="I356" s="30" t="n">
        <v>100</v>
      </c>
      <c r="J356" s="34" t="n">
        <f aca="false">(2*G356+H356+I356)/4</f>
        <v>58.7246234781776</v>
      </c>
      <c r="K356" s="35" t="n">
        <f aca="false">(J356-MIN(J$6:J$404))/(MAX(J$6:J$404)-MIN(J$6:J$404))*100</f>
        <v>52.0964604380986</v>
      </c>
    </row>
    <row r="357" customFormat="false" ht="15" hidden="false" customHeight="false" outlineLevel="0" collapsed="false">
      <c r="A357" s="26" t="n">
        <v>4125357</v>
      </c>
      <c r="B357" s="26" t="s">
        <v>423</v>
      </c>
      <c r="C357" s="26" t="s">
        <v>65</v>
      </c>
      <c r="D357" s="28" t="n">
        <v>0.409200968523002</v>
      </c>
      <c r="E357" s="29" t="n">
        <v>1.06957708049113</v>
      </c>
      <c r="F357" s="28" t="n">
        <v>0</v>
      </c>
      <c r="G357" s="30" t="n">
        <v>37.1122722059386</v>
      </c>
      <c r="H357" s="30" t="n">
        <v>77.8400694287686</v>
      </c>
      <c r="I357" s="30" t="n">
        <v>100</v>
      </c>
      <c r="J357" s="34" t="n">
        <f aca="false">(2*G357+H357+I357)/4</f>
        <v>63.0161534601615</v>
      </c>
      <c r="K357" s="35" t="n">
        <f aca="false">(J357-MIN(J$6:J$404))/(MAX(J$6:J$404)-MIN(J$6:J$404))*100</f>
        <v>59.3274062469813</v>
      </c>
    </row>
    <row r="358" customFormat="false" ht="15" hidden="false" customHeight="false" outlineLevel="0" collapsed="false">
      <c r="A358" s="26" t="n">
        <v>4125407</v>
      </c>
      <c r="B358" s="26" t="s">
        <v>424</v>
      </c>
      <c r="C358" s="26" t="s">
        <v>65</v>
      </c>
      <c r="D358" s="28" t="n">
        <v>0.237851662404092</v>
      </c>
      <c r="E358" s="29" t="n">
        <v>1.07610146862483</v>
      </c>
      <c r="F358" s="28" t="n">
        <v>0</v>
      </c>
      <c r="G358" s="30" t="n">
        <v>63.4459550410553</v>
      </c>
      <c r="H358" s="30" t="n">
        <v>77.3962375263008</v>
      </c>
      <c r="I358" s="30" t="n">
        <v>100</v>
      </c>
      <c r="J358" s="34" t="n">
        <f aca="false">(2*G358+H358+I358)/4</f>
        <v>76.0720369021029</v>
      </c>
      <c r="K358" s="35" t="n">
        <f aca="false">(J358-MIN(J$6:J$404))/(MAX(J$6:J$404)-MIN(J$6:J$404))*100</f>
        <v>81.3257112925229</v>
      </c>
    </row>
    <row r="359" customFormat="false" ht="15" hidden="false" customHeight="false" outlineLevel="0" collapsed="false">
      <c r="A359" s="26" t="n">
        <v>4125456</v>
      </c>
      <c r="B359" s="26" t="s">
        <v>425</v>
      </c>
      <c r="C359" s="26" t="s">
        <v>71</v>
      </c>
      <c r="D359" s="28" t="n">
        <v>0.377777777777778</v>
      </c>
      <c r="E359" s="29" t="n">
        <v>0.984014209591474</v>
      </c>
      <c r="F359" s="28" t="n">
        <v>0</v>
      </c>
      <c r="G359" s="30" t="n">
        <v>41.9415204678363</v>
      </c>
      <c r="H359" s="30" t="n">
        <v>83.6606201062873</v>
      </c>
      <c r="I359" s="30" t="n">
        <v>100</v>
      </c>
      <c r="J359" s="34" t="n">
        <f aca="false">(2*G359+H359+I359)/4</f>
        <v>66.88591526049</v>
      </c>
      <c r="K359" s="35" t="n">
        <f aca="false">(J359-MIN(J$6:J$404))/(MAX(J$6:J$404)-MIN(J$6:J$404))*100</f>
        <v>65.8477004052258</v>
      </c>
    </row>
    <row r="360" customFormat="false" ht="15" hidden="false" customHeight="false" outlineLevel="0" collapsed="false">
      <c r="A360" s="26" t="n">
        <v>4125506</v>
      </c>
      <c r="B360" s="26" t="s">
        <v>426</v>
      </c>
      <c r="C360" s="26" t="s">
        <v>138</v>
      </c>
      <c r="D360" s="28" t="n">
        <v>0.163078961063538</v>
      </c>
      <c r="E360" s="29" t="n">
        <v>1.10679343202314</v>
      </c>
      <c r="F360" s="28" t="n">
        <v>0.451219512195122</v>
      </c>
      <c r="G360" s="30" t="n">
        <v>74.9373386154984</v>
      </c>
      <c r="H360" s="30" t="n">
        <v>75.3083677940906</v>
      </c>
      <c r="I360" s="30" t="n">
        <v>54.8780487804878</v>
      </c>
      <c r="J360" s="34" t="n">
        <f aca="false">(2*G360+H360+I360)/4</f>
        <v>70.0152734513938</v>
      </c>
      <c r="K360" s="35" t="n">
        <f aca="false">(J360-MIN(J$6:J$404))/(MAX(J$6:J$404)-MIN(J$6:J$404))*100</f>
        <v>71.1204631704876</v>
      </c>
    </row>
    <row r="361" customFormat="false" ht="15" hidden="false" customHeight="false" outlineLevel="0" collapsed="false">
      <c r="A361" s="26" t="n">
        <v>4125555</v>
      </c>
      <c r="B361" s="26" t="s">
        <v>427</v>
      </c>
      <c r="C361" s="26" t="s">
        <v>71</v>
      </c>
      <c r="D361" s="28" t="n">
        <v>0.62962962962963</v>
      </c>
      <c r="E361" s="29" t="n">
        <v>0.991935483870968</v>
      </c>
      <c r="F361" s="28" t="n">
        <v>0</v>
      </c>
      <c r="G361" s="30" t="n">
        <v>3.23586744639377</v>
      </c>
      <c r="H361" s="30" t="n">
        <v>83.1217627971586</v>
      </c>
      <c r="I361" s="30" t="n">
        <v>100</v>
      </c>
      <c r="J361" s="34" t="n">
        <f aca="false">(2*G361+H361+I361)/4</f>
        <v>47.3983744224865</v>
      </c>
      <c r="K361" s="35" t="n">
        <f aca="false">(J361-MIN(J$6:J$404))/(MAX(J$6:J$404)-MIN(J$6:J$404))*100</f>
        <v>33.012475592733</v>
      </c>
    </row>
    <row r="362" customFormat="false" ht="15" hidden="false" customHeight="false" outlineLevel="0" collapsed="false">
      <c r="A362" s="26" t="n">
        <v>4125605</v>
      </c>
      <c r="B362" s="26" t="s">
        <v>428</v>
      </c>
      <c r="C362" s="26" t="s">
        <v>86</v>
      </c>
      <c r="D362" s="28" t="n">
        <v>0.310483870967742</v>
      </c>
      <c r="E362" s="29" t="n">
        <v>1.10295652173913</v>
      </c>
      <c r="F362" s="28" t="n">
        <v>0.25</v>
      </c>
      <c r="G362" s="30" t="n">
        <v>52.2835314091681</v>
      </c>
      <c r="H362" s="30" t="n">
        <v>75.5693797320768</v>
      </c>
      <c r="I362" s="30" t="n">
        <v>75</v>
      </c>
      <c r="J362" s="34" t="n">
        <f aca="false">(2*G362+H362+I362)/4</f>
        <v>63.7841106376032</v>
      </c>
      <c r="K362" s="35" t="n">
        <f aca="false">(J362-MIN(J$6:J$404))/(MAX(J$6:J$404)-MIN(J$6:J$404))*100</f>
        <v>60.6213635901518</v>
      </c>
    </row>
    <row r="363" customFormat="false" ht="15" hidden="false" customHeight="false" outlineLevel="0" collapsed="false">
      <c r="A363" s="26" t="n">
        <v>4125704</v>
      </c>
      <c r="B363" s="26" t="s">
        <v>429</v>
      </c>
      <c r="C363" s="26" t="s">
        <v>86</v>
      </c>
      <c r="D363" s="28" t="n">
        <v>0.369436201780415</v>
      </c>
      <c r="E363" s="29" t="n">
        <v>1.16599597585513</v>
      </c>
      <c r="F363" s="28" t="n">
        <v>0.333333333333333</v>
      </c>
      <c r="G363" s="30" t="n">
        <v>43.2234889895362</v>
      </c>
      <c r="H363" s="30" t="n">
        <v>71.281020382896</v>
      </c>
      <c r="I363" s="30" t="n">
        <v>66.6666666666667</v>
      </c>
      <c r="J363" s="34" t="n">
        <f aca="false">(2*G363+H363+I363)/4</f>
        <v>56.0986662571588</v>
      </c>
      <c r="K363" s="35" t="n">
        <f aca="false">(J363-MIN(J$6:J$404))/(MAX(J$6:J$404)-MIN(J$6:J$404))*100</f>
        <v>47.6718952034747</v>
      </c>
    </row>
    <row r="364" customFormat="false" ht="15" hidden="false" customHeight="false" outlineLevel="0" collapsed="false">
      <c r="A364" s="26" t="n">
        <v>4125753</v>
      </c>
      <c r="B364" s="26" t="s">
        <v>430</v>
      </c>
      <c r="C364" s="26" t="s">
        <v>65</v>
      </c>
      <c r="D364" s="28" t="n">
        <v>0.452631578947368</v>
      </c>
      <c r="E364" s="29" t="n">
        <v>1.16991643454039</v>
      </c>
      <c r="F364" s="28" t="n">
        <v>0.25</v>
      </c>
      <c r="G364" s="30" t="n">
        <v>30.4376731301939</v>
      </c>
      <c r="H364" s="30" t="n">
        <v>71.0143249317414</v>
      </c>
      <c r="I364" s="30" t="n">
        <v>75</v>
      </c>
      <c r="J364" s="34" t="n">
        <f aca="false">(2*G364+H364+I364)/4</f>
        <v>51.7224177980323</v>
      </c>
      <c r="K364" s="35" t="n">
        <f aca="false">(J364-MIN(J$6:J$404))/(MAX(J$6:J$404)-MIN(J$6:J$404))*100</f>
        <v>40.2982043316887</v>
      </c>
    </row>
    <row r="365" customFormat="false" ht="15" hidden="false" customHeight="false" outlineLevel="0" collapsed="false">
      <c r="A365" s="26" t="n">
        <v>4125803</v>
      </c>
      <c r="B365" s="26" t="s">
        <v>431</v>
      </c>
      <c r="C365" s="26" t="s">
        <v>65</v>
      </c>
      <c r="D365" s="28" t="n">
        <v>0.481404958677686</v>
      </c>
      <c r="E365" s="29" t="n">
        <v>1.06457564575646</v>
      </c>
      <c r="F365" s="28" t="n">
        <v>0.25</v>
      </c>
      <c r="G365" s="30" t="n">
        <v>26.0156589821662</v>
      </c>
      <c r="H365" s="30" t="n">
        <v>78.1802999987272</v>
      </c>
      <c r="I365" s="30" t="n">
        <v>75</v>
      </c>
      <c r="J365" s="34" t="n">
        <f aca="false">(2*G365+H365+I365)/4</f>
        <v>51.3029044907649</v>
      </c>
      <c r="K365" s="35" t="n">
        <f aca="false">(J365-MIN(J$6:J$404))/(MAX(J$6:J$404)-MIN(J$6:J$404))*100</f>
        <v>39.5913519961136</v>
      </c>
    </row>
    <row r="366" customFormat="false" ht="15" hidden="false" customHeight="false" outlineLevel="0" collapsed="false">
      <c r="A366" s="26" t="n">
        <v>4125902</v>
      </c>
      <c r="B366" s="26" t="s">
        <v>432</v>
      </c>
      <c r="C366" s="26" t="s">
        <v>71</v>
      </c>
      <c r="D366" s="28" t="n">
        <v>0.535031847133758</v>
      </c>
      <c r="E366" s="29" t="n">
        <v>1.09969788519638</v>
      </c>
      <c r="F366" s="28" t="n">
        <v>0.333333333333333</v>
      </c>
      <c r="G366" s="30" t="n">
        <v>17.7740529668119</v>
      </c>
      <c r="H366" s="30" t="n">
        <v>75.7910536770636</v>
      </c>
      <c r="I366" s="30" t="n">
        <v>66.6666666666667</v>
      </c>
      <c r="J366" s="34" t="n">
        <f aca="false">(2*G366+H366+I366)/4</f>
        <v>44.5014565693385</v>
      </c>
      <c r="K366" s="35" t="n">
        <f aca="false">(J366-MIN(J$6:J$404))/(MAX(J$6:J$404)-MIN(J$6:J$404))*100</f>
        <v>28.1313595113268</v>
      </c>
    </row>
    <row r="367" customFormat="false" ht="15" hidden="false" customHeight="false" outlineLevel="0" collapsed="false">
      <c r="A367" s="26" t="n">
        <v>4126009</v>
      </c>
      <c r="B367" s="26" t="s">
        <v>433</v>
      </c>
      <c r="C367" s="26" t="s">
        <v>65</v>
      </c>
      <c r="D367" s="28" t="n">
        <v>0.224576271186441</v>
      </c>
      <c r="E367" s="29" t="n">
        <v>1.12665406427221</v>
      </c>
      <c r="F367" s="28" t="n">
        <v>0.75</v>
      </c>
      <c r="G367" s="30" t="n">
        <v>65.4861730597681</v>
      </c>
      <c r="H367" s="30" t="n">
        <v>73.9573166281142</v>
      </c>
      <c r="I367" s="30" t="n">
        <v>25</v>
      </c>
      <c r="J367" s="34" t="n">
        <f aca="false">(2*G367+H367+I367)/4</f>
        <v>57.4824156869126</v>
      </c>
      <c r="K367" s="35" t="n">
        <f aca="false">(J367-MIN(J$6:J$404))/(MAX(J$6:J$404)-MIN(J$6:J$404))*100</f>
        <v>50.0034219973285</v>
      </c>
    </row>
    <row r="368" customFormat="false" ht="15" hidden="false" customHeight="false" outlineLevel="0" collapsed="false">
      <c r="A368" s="26" t="n">
        <v>4126108</v>
      </c>
      <c r="B368" s="26" t="s">
        <v>434</v>
      </c>
      <c r="C368" s="26" t="s">
        <v>65</v>
      </c>
      <c r="D368" s="28" t="n">
        <v>0.414383561643836</v>
      </c>
      <c r="E368" s="29" t="n">
        <v>1.15151515151515</v>
      </c>
      <c r="F368" s="28" t="n">
        <v>0.333333333333333</v>
      </c>
      <c r="G368" s="30" t="n">
        <v>36.3157894736842</v>
      </c>
      <c r="H368" s="30" t="n">
        <v>72.2661015406092</v>
      </c>
      <c r="I368" s="30" t="n">
        <v>66.6666666666667</v>
      </c>
      <c r="J368" s="34" t="n">
        <f aca="false">(2*G368+H368+I368)/4</f>
        <v>52.8910867886611</v>
      </c>
      <c r="K368" s="35" t="n">
        <f aca="false">(J368-MIN(J$6:J$404))/(MAX(J$6:J$404)-MIN(J$6:J$404))*100</f>
        <v>42.2673347292939</v>
      </c>
    </row>
    <row r="369" customFormat="false" ht="15" hidden="false" customHeight="false" outlineLevel="0" collapsed="false">
      <c r="A369" s="26" t="n">
        <v>4126306</v>
      </c>
      <c r="B369" s="26" t="s">
        <v>435</v>
      </c>
      <c r="C369" s="26" t="s">
        <v>65</v>
      </c>
      <c r="D369" s="28" t="n">
        <v>0.300411522633745</v>
      </c>
      <c r="E369" s="29" t="n">
        <v>1.11282660332542</v>
      </c>
      <c r="F369" s="28" t="n">
        <v>0.285714285714286</v>
      </c>
      <c r="G369" s="30" t="n">
        <v>53.8314923110245</v>
      </c>
      <c r="H369" s="30" t="n">
        <v>74.897951699565</v>
      </c>
      <c r="I369" s="30" t="n">
        <v>71.4285714285714</v>
      </c>
      <c r="J369" s="34" t="n">
        <f aca="false">(2*G369+H369+I369)/4</f>
        <v>63.4973769375464</v>
      </c>
      <c r="K369" s="35" t="n">
        <f aca="false">(J369-MIN(J$6:J$404))/(MAX(J$6:J$404)-MIN(J$6:J$404))*100</f>
        <v>60.1382361611472</v>
      </c>
    </row>
    <row r="370" customFormat="false" ht="15" hidden="false" customHeight="false" outlineLevel="0" collapsed="false">
      <c r="A370" s="26" t="n">
        <v>4126355</v>
      </c>
      <c r="B370" s="26" t="s">
        <v>436</v>
      </c>
      <c r="C370" s="26" t="s">
        <v>65</v>
      </c>
      <c r="D370" s="28" t="n">
        <v>0.394927536231884</v>
      </c>
      <c r="E370" s="29" t="n">
        <v>1.08566721581549</v>
      </c>
      <c r="F370" s="28" t="n">
        <v>0</v>
      </c>
      <c r="G370" s="30" t="n">
        <v>39.3058733790999</v>
      </c>
      <c r="H370" s="30" t="n">
        <v>76.7455123261515</v>
      </c>
      <c r="I370" s="30" t="n">
        <v>100</v>
      </c>
      <c r="J370" s="34" t="n">
        <f aca="false">(2*G370+H370+I370)/4</f>
        <v>63.8393147710878</v>
      </c>
      <c r="K370" s="35" t="n">
        <f aca="false">(J370-MIN(J$6:J$404))/(MAX(J$6:J$404)-MIN(J$6:J$404))*100</f>
        <v>60.7143789248528</v>
      </c>
    </row>
    <row r="371" customFormat="false" ht="15" hidden="false" customHeight="false" outlineLevel="0" collapsed="false">
      <c r="A371" s="26" t="n">
        <v>4126405</v>
      </c>
      <c r="B371" s="26" t="s">
        <v>437</v>
      </c>
      <c r="C371" s="26" t="s">
        <v>65</v>
      </c>
      <c r="D371" s="28" t="n">
        <v>0.578947368421053</v>
      </c>
      <c r="E371" s="29" t="n">
        <v>1.06231003039514</v>
      </c>
      <c r="F371" s="28" t="n">
        <v>0</v>
      </c>
      <c r="G371" s="30" t="n">
        <v>11.0249307479224</v>
      </c>
      <c r="H371" s="30" t="n">
        <v>78.3344220950018</v>
      </c>
      <c r="I371" s="30" t="n">
        <v>100</v>
      </c>
      <c r="J371" s="34" t="n">
        <f aca="false">(2*G371+H371+I371)/4</f>
        <v>50.0960708977117</v>
      </c>
      <c r="K371" s="35" t="n">
        <f aca="false">(J371-MIN(J$6:J$404))/(MAX(J$6:J$404)-MIN(J$6:J$404))*100</f>
        <v>37.5579167531253</v>
      </c>
    </row>
    <row r="372" customFormat="false" ht="15" hidden="false" customHeight="false" outlineLevel="0" collapsed="false">
      <c r="A372" s="26" t="n">
        <v>4126504</v>
      </c>
      <c r="B372" s="26" t="s">
        <v>438</v>
      </c>
      <c r="C372" s="26" t="s">
        <v>65</v>
      </c>
      <c r="D372" s="28" t="n">
        <v>0.032258064516129</v>
      </c>
      <c r="E372" s="29" t="n">
        <v>1.19560669456067</v>
      </c>
      <c r="F372" s="28" t="n">
        <v>0.833333333333333</v>
      </c>
      <c r="G372" s="30" t="n">
        <v>95.0424448217318</v>
      </c>
      <c r="H372" s="30" t="n">
        <v>69.2667040443821</v>
      </c>
      <c r="I372" s="30" t="n">
        <v>16.6666666666667</v>
      </c>
      <c r="J372" s="34" t="n">
        <f aca="false">(2*G372+H372+I372)/4</f>
        <v>69.0045650886281</v>
      </c>
      <c r="K372" s="35" t="n">
        <f aca="false">(J372-MIN(J$6:J$404))/(MAX(J$6:J$404)-MIN(J$6:J$404))*100</f>
        <v>69.41748604335</v>
      </c>
    </row>
    <row r="373" customFormat="false" ht="15" hidden="false" customHeight="false" outlineLevel="0" collapsed="false">
      <c r="A373" s="26" t="n">
        <v>4126603</v>
      </c>
      <c r="B373" s="26" t="s">
        <v>439</v>
      </c>
      <c r="C373" s="26" t="s">
        <v>86</v>
      </c>
      <c r="D373" s="28" t="n">
        <v>0.384137931034483</v>
      </c>
      <c r="E373" s="29" t="n">
        <v>1.13004791238878</v>
      </c>
      <c r="F373" s="28" t="n">
        <v>0.142857142857143</v>
      </c>
      <c r="G373" s="30" t="n">
        <v>40.9640653357532</v>
      </c>
      <c r="H373" s="30" t="n">
        <v>73.726444700296</v>
      </c>
      <c r="I373" s="30" t="n">
        <v>85.7142857142857</v>
      </c>
      <c r="J373" s="34" t="n">
        <f aca="false">(2*G373+H373+I373)/4</f>
        <v>60.342215271522</v>
      </c>
      <c r="K373" s="35" t="n">
        <f aca="false">(J373-MIN(J$6:J$404))/(MAX(J$6:J$404)-MIN(J$6:J$404))*100</f>
        <v>54.8219962371424</v>
      </c>
    </row>
    <row r="374" customFormat="false" ht="15" hidden="false" customHeight="false" outlineLevel="0" collapsed="false">
      <c r="A374" s="26" t="n">
        <v>4126652</v>
      </c>
      <c r="B374" s="26" t="s">
        <v>440</v>
      </c>
      <c r="C374" s="26" t="s">
        <v>71</v>
      </c>
      <c r="D374" s="28" t="n">
        <v>0</v>
      </c>
      <c r="E374" s="29" t="n">
        <v>1.06265060240964</v>
      </c>
      <c r="F374" s="28" t="n">
        <v>1</v>
      </c>
      <c r="G374" s="30" t="n">
        <v>100</v>
      </c>
      <c r="H374" s="30" t="n">
        <v>78.3112541408541</v>
      </c>
      <c r="I374" s="30" t="n">
        <v>0</v>
      </c>
      <c r="J374" s="34" t="n">
        <f aca="false">(2*G374+H374+I374)/4</f>
        <v>69.5778135352135</v>
      </c>
      <c r="K374" s="35" t="n">
        <f aca="false">(J374-MIN(J$6:J$404))/(MAX(J$6:J$404)-MIN(J$6:J$404))*100</f>
        <v>70.3833719790622</v>
      </c>
    </row>
    <row r="375" customFormat="false" ht="15" hidden="false" customHeight="false" outlineLevel="0" collapsed="false">
      <c r="A375" s="26" t="n">
        <v>4126678</v>
      </c>
      <c r="B375" s="26" t="s">
        <v>441</v>
      </c>
      <c r="C375" s="26" t="s">
        <v>65</v>
      </c>
      <c r="D375" s="28" t="n">
        <v>0.168199737187911</v>
      </c>
      <c r="E375" s="29" t="n">
        <v>1.18243243243243</v>
      </c>
      <c r="F375" s="28" t="n">
        <v>0.333333333333333</v>
      </c>
      <c r="G375" s="30" t="n">
        <v>74.1503561795422</v>
      </c>
      <c r="H375" s="30" t="n">
        <v>70.1629042250217</v>
      </c>
      <c r="I375" s="30" t="n">
        <v>66.6666666666667</v>
      </c>
      <c r="J375" s="34" t="n">
        <f aca="false">(2*G375+H375+I375)/4</f>
        <v>71.2825708126932</v>
      </c>
      <c r="K375" s="35" t="n">
        <f aca="false">(J375-MIN(J$6:J$404))/(MAX(J$6:J$404)-MIN(J$6:J$404))*100</f>
        <v>73.2557758868768</v>
      </c>
    </row>
    <row r="376" customFormat="false" ht="15" hidden="false" customHeight="false" outlineLevel="0" collapsed="false">
      <c r="A376" s="26" t="n">
        <v>4126702</v>
      </c>
      <c r="B376" s="26" t="s">
        <v>442</v>
      </c>
      <c r="C376" s="26" t="s">
        <v>71</v>
      </c>
      <c r="D376" s="28" t="n">
        <v>0.318611987381704</v>
      </c>
      <c r="E376" s="29" t="n">
        <v>1.02113821138211</v>
      </c>
      <c r="F376" s="28" t="n">
        <v>0.5</v>
      </c>
      <c r="G376" s="30" t="n">
        <v>51.0343682550224</v>
      </c>
      <c r="H376" s="30" t="n">
        <v>81.1352007099686</v>
      </c>
      <c r="I376" s="30" t="n">
        <v>50</v>
      </c>
      <c r="J376" s="34" t="n">
        <f aca="false">(2*G376+H376+I376)/4</f>
        <v>58.3009843050034</v>
      </c>
      <c r="K376" s="35" t="n">
        <f aca="false">(J376-MIN(J$6:J$404))/(MAX(J$6:J$404)-MIN(J$6:J$404))*100</f>
        <v>51.3826562897871</v>
      </c>
    </row>
    <row r="377" customFormat="false" ht="15" hidden="false" customHeight="false" outlineLevel="0" collapsed="false">
      <c r="A377" s="26" t="n">
        <v>4126801</v>
      </c>
      <c r="B377" s="26" t="s">
        <v>443</v>
      </c>
      <c r="C377" s="26" t="s">
        <v>65</v>
      </c>
      <c r="D377" s="28" t="n">
        <v>0.386409736308316</v>
      </c>
      <c r="E377" s="29" t="n">
        <v>1.02832343535861</v>
      </c>
      <c r="F377" s="28" t="n">
        <v>0.4</v>
      </c>
      <c r="G377" s="30" t="n">
        <v>40.6149247357745</v>
      </c>
      <c r="H377" s="30" t="n">
        <v>80.6464143959426</v>
      </c>
      <c r="I377" s="30" t="n">
        <v>60</v>
      </c>
      <c r="J377" s="34" t="n">
        <f aca="false">(2*G377+H377+I377)/4</f>
        <v>55.4690659668729</v>
      </c>
      <c r="K377" s="35" t="n">
        <f aca="false">(J377-MIN(J$6:J$404))/(MAX(J$6:J$404)-MIN(J$6:J$404))*100</f>
        <v>46.6110601168212</v>
      </c>
    </row>
    <row r="378" customFormat="false" ht="15" hidden="false" customHeight="false" outlineLevel="0" collapsed="false">
      <c r="A378" s="26" t="n">
        <v>4126900</v>
      </c>
      <c r="B378" s="26" t="s">
        <v>444</v>
      </c>
      <c r="C378" s="26" t="s">
        <v>65</v>
      </c>
      <c r="D378" s="28" t="n">
        <v>0.363914373088685</v>
      </c>
      <c r="E378" s="29" t="n">
        <v>1.0231884057971</v>
      </c>
      <c r="F378" s="28" t="n">
        <v>0</v>
      </c>
      <c r="G378" s="30" t="n">
        <v>44.0721068726863</v>
      </c>
      <c r="H378" s="30" t="n">
        <v>80.9957329669426</v>
      </c>
      <c r="I378" s="30" t="n">
        <v>100</v>
      </c>
      <c r="J378" s="34" t="n">
        <f aca="false">(2*G378+H378+I378)/4</f>
        <v>67.2849866780788</v>
      </c>
      <c r="K378" s="35" t="n">
        <f aca="false">(J378-MIN(J$6:J$404))/(MAX(J$6:J$404)-MIN(J$6:J$404))*100</f>
        <v>66.5201095009499</v>
      </c>
    </row>
    <row r="379" customFormat="false" ht="15" hidden="false" customHeight="false" outlineLevel="0" collapsed="false">
      <c r="A379" s="26" t="n">
        <v>4127007</v>
      </c>
      <c r="B379" s="26" t="s">
        <v>445</v>
      </c>
      <c r="C379" s="26" t="s">
        <v>65</v>
      </c>
      <c r="D379" s="28" t="n">
        <v>0.197183098591549</v>
      </c>
      <c r="E379" s="29" t="n">
        <v>1.13856812933025</v>
      </c>
      <c r="F379" s="28" t="n">
        <v>0.25</v>
      </c>
      <c r="G379" s="30" t="n">
        <v>69.6960711638251</v>
      </c>
      <c r="H379" s="30" t="n">
        <v>73.1468433618897</v>
      </c>
      <c r="I379" s="30" t="n">
        <v>75</v>
      </c>
      <c r="J379" s="34" t="n">
        <f aca="false">(2*G379+H379+I379)/4</f>
        <v>71.884746422385</v>
      </c>
      <c r="K379" s="35" t="n">
        <f aca="false">(J379-MIN(J$6:J$404))/(MAX(J$6:J$404)-MIN(J$6:J$404))*100</f>
        <v>74.2704021901747</v>
      </c>
    </row>
    <row r="380" customFormat="false" ht="15" hidden="false" customHeight="false" outlineLevel="0" collapsed="false">
      <c r="A380" s="26" t="n">
        <v>4127106</v>
      </c>
      <c r="B380" s="26" t="s">
        <v>446</v>
      </c>
      <c r="C380" s="26" t="s">
        <v>129</v>
      </c>
      <c r="D380" s="28" t="n">
        <v>0.23013698630137</v>
      </c>
      <c r="E380" s="29" t="n">
        <v>1.12233415010437</v>
      </c>
      <c r="F380" s="28" t="n">
        <v>0.36</v>
      </c>
      <c r="G380" s="30" t="n">
        <v>64.6315789473684</v>
      </c>
      <c r="H380" s="30" t="n">
        <v>74.2511856751915</v>
      </c>
      <c r="I380" s="30" t="n">
        <v>64</v>
      </c>
      <c r="J380" s="34" t="n">
        <f aca="false">(2*G380+H380+I380)/4</f>
        <v>66.8785858924821</v>
      </c>
      <c r="K380" s="35" t="n">
        <f aca="false">(J380-MIN(J$6:J$404))/(MAX(J$6:J$404)-MIN(J$6:J$404))*100</f>
        <v>65.8353509021113</v>
      </c>
    </row>
    <row r="381" customFormat="false" ht="15" hidden="false" customHeight="false" outlineLevel="0" collapsed="false">
      <c r="A381" s="26" t="n">
        <v>4127205</v>
      </c>
      <c r="B381" s="26" t="s">
        <v>447</v>
      </c>
      <c r="C381" s="26" t="s">
        <v>65</v>
      </c>
      <c r="D381" s="28" t="n">
        <v>0.437158469945355</v>
      </c>
      <c r="E381" s="29" t="n">
        <v>1.06990204808549</v>
      </c>
      <c r="F381" s="28" t="n">
        <v>0.25</v>
      </c>
      <c r="G381" s="30" t="n">
        <v>32.815645671556</v>
      </c>
      <c r="H381" s="30" t="n">
        <v>77.8179629901745</v>
      </c>
      <c r="I381" s="30" t="n">
        <v>75</v>
      </c>
      <c r="J381" s="34" t="n">
        <f aca="false">(2*G381+H381+I381)/4</f>
        <v>54.6123135833216</v>
      </c>
      <c r="K381" s="35" t="n">
        <f aca="false">(J381-MIN(J$6:J$404))/(MAX(J$6:J$404)-MIN(J$6:J$404))*100</f>
        <v>45.1674886905238</v>
      </c>
    </row>
    <row r="382" customFormat="false" ht="15" hidden="false" customHeight="false" outlineLevel="0" collapsed="false">
      <c r="A382" s="26" t="n">
        <v>4127304</v>
      </c>
      <c r="B382" s="26" t="s">
        <v>448</v>
      </c>
      <c r="C382" s="26" t="s">
        <v>65</v>
      </c>
      <c r="D382" s="28" t="n">
        <v>0.390857142857143</v>
      </c>
      <c r="E382" s="29" t="n">
        <v>1.15594059405941</v>
      </c>
      <c r="F382" s="28" t="n">
        <v>0.333333333333333</v>
      </c>
      <c r="G382" s="30" t="n">
        <v>39.9314285714286</v>
      </c>
      <c r="H382" s="30" t="n">
        <v>71.9650537575177</v>
      </c>
      <c r="I382" s="30" t="n">
        <v>66.6666666666667</v>
      </c>
      <c r="J382" s="34" t="n">
        <f aca="false">(2*G382+H382+I382)/4</f>
        <v>54.6236443917604</v>
      </c>
      <c r="K382" s="35" t="n">
        <f aca="false">(J382-MIN(J$6:J$404))/(MAX(J$6:J$404)-MIN(J$6:J$404))*100</f>
        <v>45.1865803576299</v>
      </c>
    </row>
    <row r="383" customFormat="false" ht="15" hidden="false" customHeight="false" outlineLevel="0" collapsed="false">
      <c r="A383" s="26" t="n">
        <v>4127403</v>
      </c>
      <c r="B383" s="26" t="s">
        <v>449</v>
      </c>
      <c r="C383" s="26" t="s">
        <v>65</v>
      </c>
      <c r="D383" s="28" t="n">
        <v>0.354864433811802</v>
      </c>
      <c r="E383" s="29" t="n">
        <v>1.07234927234927</v>
      </c>
      <c r="F383" s="28" t="n">
        <v>0.25</v>
      </c>
      <c r="G383" s="30" t="n">
        <v>45.4629396457651</v>
      </c>
      <c r="H383" s="30" t="n">
        <v>77.6514866588306</v>
      </c>
      <c r="I383" s="30" t="n">
        <v>75</v>
      </c>
      <c r="J383" s="34" t="n">
        <f aca="false">(2*G383+H383+I383)/4</f>
        <v>60.8943414875902</v>
      </c>
      <c r="K383" s="35" t="n">
        <f aca="false">(J383-MIN(J$6:J$404))/(MAX(J$6:J$404)-MIN(J$6:J$404))*100</f>
        <v>55.7522926034297</v>
      </c>
    </row>
    <row r="384" customFormat="false" ht="15" hidden="false" customHeight="false" outlineLevel="0" collapsed="false">
      <c r="A384" s="26" t="n">
        <v>4127502</v>
      </c>
      <c r="B384" s="26" t="s">
        <v>450</v>
      </c>
      <c r="C384" s="26" t="s">
        <v>65</v>
      </c>
      <c r="D384" s="28" t="n">
        <v>0.220670391061453</v>
      </c>
      <c r="E384" s="29" t="n">
        <v>1.11295130838026</v>
      </c>
      <c r="F384" s="28" t="n">
        <v>0.333333333333333</v>
      </c>
      <c r="G384" s="30" t="n">
        <v>66.0864451631873</v>
      </c>
      <c r="H384" s="30" t="n">
        <v>74.8894684394333</v>
      </c>
      <c r="I384" s="30" t="n">
        <v>66.6666666666667</v>
      </c>
      <c r="J384" s="34" t="n">
        <f aca="false">(2*G384+H384+I384)/4</f>
        <v>68.4322563581187</v>
      </c>
      <c r="K384" s="35" t="n">
        <f aca="false">(J384-MIN(J$6:J$404))/(MAX(J$6:J$404)-MIN(J$6:J$404))*100</f>
        <v>68.4531834674302</v>
      </c>
    </row>
    <row r="385" customFormat="false" ht="15" hidden="false" customHeight="false" outlineLevel="0" collapsed="false">
      <c r="A385" s="26" t="n">
        <v>4127601</v>
      </c>
      <c r="B385" s="26" t="s">
        <v>451</v>
      </c>
      <c r="C385" s="26" t="s">
        <v>65</v>
      </c>
      <c r="D385" s="28" t="n">
        <v>0.238333333333333</v>
      </c>
      <c r="E385" s="29" t="n">
        <v>1.11605723370429</v>
      </c>
      <c r="F385" s="28" t="n">
        <v>0</v>
      </c>
      <c r="G385" s="30" t="n">
        <v>63.3719298245614</v>
      </c>
      <c r="H385" s="30" t="n">
        <v>74.678182918517</v>
      </c>
      <c r="I385" s="30" t="n">
        <v>100</v>
      </c>
      <c r="J385" s="34" t="n">
        <f aca="false">(2*G385+H385+I385)/4</f>
        <v>75.3555106419099</v>
      </c>
      <c r="K385" s="35" t="n">
        <f aca="false">(J385-MIN(J$6:J$404))/(MAX(J$6:J$404)-MIN(J$6:J$404))*100</f>
        <v>80.1184116628227</v>
      </c>
    </row>
    <row r="386" customFormat="false" ht="15" hidden="false" customHeight="false" outlineLevel="0" collapsed="false">
      <c r="A386" s="26" t="n">
        <v>4127700</v>
      </c>
      <c r="B386" s="26" t="s">
        <v>452</v>
      </c>
      <c r="C386" s="26" t="s">
        <v>69</v>
      </c>
      <c r="D386" s="28" t="n">
        <v>0.370059498512537</v>
      </c>
      <c r="E386" s="29" t="n">
        <v>1.11574642126789</v>
      </c>
      <c r="F386" s="28" t="n">
        <v>0.268292682926829</v>
      </c>
      <c r="G386" s="30" t="n">
        <v>43.1276981233364</v>
      </c>
      <c r="H386" s="30" t="n">
        <v>74.6993264299285</v>
      </c>
      <c r="I386" s="30" t="n">
        <v>73.1707317073171</v>
      </c>
      <c r="J386" s="34" t="n">
        <f aca="false">(2*G386+H386+I386)/4</f>
        <v>58.5313635959796</v>
      </c>
      <c r="K386" s="35" t="n">
        <f aca="false">(J386-MIN(J$6:J$404))/(MAX(J$6:J$404)-MIN(J$6:J$404))*100</f>
        <v>51.7708302453534</v>
      </c>
    </row>
    <row r="387" customFormat="false" ht="15" hidden="false" customHeight="false" outlineLevel="0" collapsed="false">
      <c r="A387" s="26" t="n">
        <v>4127809</v>
      </c>
      <c r="B387" s="26" t="s">
        <v>453</v>
      </c>
      <c r="C387" s="26" t="s">
        <v>65</v>
      </c>
      <c r="D387" s="28" t="n">
        <v>0.272921108742004</v>
      </c>
      <c r="E387" s="29" t="n">
        <v>1.09297725024728</v>
      </c>
      <c r="F387" s="28" t="n">
        <v>0.5</v>
      </c>
      <c r="G387" s="30" t="n">
        <v>58.0563348670183</v>
      </c>
      <c r="H387" s="30" t="n">
        <v>76.24823558196</v>
      </c>
      <c r="I387" s="30" t="n">
        <v>50</v>
      </c>
      <c r="J387" s="34" t="n">
        <f aca="false">(2*G387+H387+I387)/4</f>
        <v>60.5902263289991</v>
      </c>
      <c r="K387" s="35" t="n">
        <f aca="false">(J387-MIN(J$6:J$404))/(MAX(J$6:J$404)-MIN(J$6:J$404))*100</f>
        <v>55.2398785597988</v>
      </c>
    </row>
    <row r="388" customFormat="false" ht="15" hidden="false" customHeight="false" outlineLevel="0" collapsed="false">
      <c r="A388" s="26" t="n">
        <v>4127858</v>
      </c>
      <c r="B388" s="26" t="s">
        <v>454</v>
      </c>
      <c r="C388" s="26" t="s">
        <v>65</v>
      </c>
      <c r="D388" s="28" t="n">
        <v>0.323809523809524</v>
      </c>
      <c r="E388" s="29" t="n">
        <v>1.11753118844386</v>
      </c>
      <c r="F388" s="28" t="n">
        <v>0.333333333333333</v>
      </c>
      <c r="G388" s="30" t="n">
        <v>50.2355889724311</v>
      </c>
      <c r="H388" s="30" t="n">
        <v>74.5779147979196</v>
      </c>
      <c r="I388" s="30" t="n">
        <v>66.6666666666667</v>
      </c>
      <c r="J388" s="34" t="n">
        <f aca="false">(2*G388+H388+I388)/4</f>
        <v>60.4289398523621</v>
      </c>
      <c r="K388" s="35" t="n">
        <f aca="false">(J388-MIN(J$6:J$404))/(MAX(J$6:J$404)-MIN(J$6:J$404))*100</f>
        <v>54.9681214528546</v>
      </c>
    </row>
    <row r="389" customFormat="false" ht="15" hidden="false" customHeight="false" outlineLevel="0" collapsed="false">
      <c r="A389" s="26" t="n">
        <v>4127882</v>
      </c>
      <c r="B389" s="26" t="s">
        <v>455</v>
      </c>
      <c r="C389" s="26" t="s">
        <v>65</v>
      </c>
      <c r="D389" s="28" t="n">
        <v>0.206378986866792</v>
      </c>
      <c r="E389" s="29" t="n">
        <v>1.1785046728972</v>
      </c>
      <c r="F389" s="28" t="n">
        <v>0.25</v>
      </c>
      <c r="G389" s="30" t="n">
        <v>68.2828083341562</v>
      </c>
      <c r="H389" s="30" t="n">
        <v>70.4300963281334</v>
      </c>
      <c r="I389" s="30" t="n">
        <v>75</v>
      </c>
      <c r="J389" s="34" t="n">
        <f aca="false">(2*G389+H389+I389)/4</f>
        <v>70.4989282491115</v>
      </c>
      <c r="K389" s="35" t="n">
        <f aca="false">(J389-MIN(J$6:J$404))/(MAX(J$6:J$404)-MIN(J$6:J$404))*100</f>
        <v>71.9353896995307</v>
      </c>
    </row>
    <row r="390" customFormat="false" ht="15" hidden="false" customHeight="false" outlineLevel="0" collapsed="false">
      <c r="A390" s="26" t="n">
        <v>4127908</v>
      </c>
      <c r="B390" s="26" t="s">
        <v>456</v>
      </c>
      <c r="C390" s="26" t="s">
        <v>65</v>
      </c>
      <c r="D390" s="28" t="n">
        <v>0.360721442885772</v>
      </c>
      <c r="E390" s="29" t="n">
        <v>1.15061963775024</v>
      </c>
      <c r="F390" s="28" t="n">
        <v>0.2</v>
      </c>
      <c r="G390" s="30" t="n">
        <v>44.5628098301867</v>
      </c>
      <c r="H390" s="30" t="n">
        <v>72.3270202918886</v>
      </c>
      <c r="I390" s="30" t="n">
        <v>80</v>
      </c>
      <c r="J390" s="34" t="n">
        <f aca="false">(2*G390+H390+I390)/4</f>
        <v>60.3631599880655</v>
      </c>
      <c r="K390" s="35" t="n">
        <f aca="false">(J390-MIN(J$6:J$404))/(MAX(J$6:J$404)-MIN(J$6:J$404))*100</f>
        <v>54.8572867071948</v>
      </c>
    </row>
    <row r="391" customFormat="false" ht="15" hidden="false" customHeight="false" outlineLevel="0" collapsed="false">
      <c r="A391" s="26" t="n">
        <v>4127957</v>
      </c>
      <c r="B391" s="26" t="s">
        <v>457</v>
      </c>
      <c r="C391" s="26" t="s">
        <v>65</v>
      </c>
      <c r="D391" s="28" t="n">
        <v>0.426373626373626</v>
      </c>
      <c r="E391" s="29" t="n">
        <v>1.05613305613306</v>
      </c>
      <c r="F391" s="28" t="n">
        <v>0.2</v>
      </c>
      <c r="G391" s="30" t="n">
        <v>34.4731058415269</v>
      </c>
      <c r="H391" s="30" t="n">
        <v>78.7546206150857</v>
      </c>
      <c r="I391" s="30" t="n">
        <v>80</v>
      </c>
      <c r="J391" s="34" t="n">
        <f aca="false">(2*G391+H391+I391)/4</f>
        <v>56.9252080745349</v>
      </c>
      <c r="K391" s="35" t="n">
        <f aca="false">(J391-MIN(J$6:J$404))/(MAX(J$6:J$404)-MIN(J$6:J$404))*100</f>
        <v>49.064563812412</v>
      </c>
    </row>
    <row r="392" customFormat="false" ht="15" hidden="false" customHeight="false" outlineLevel="0" collapsed="false">
      <c r="A392" s="26" t="n">
        <v>4127965</v>
      </c>
      <c r="B392" s="26" t="s">
        <v>458</v>
      </c>
      <c r="C392" s="26" t="s">
        <v>65</v>
      </c>
      <c r="D392" s="28" t="n">
        <v>0.286286286286286</v>
      </c>
      <c r="E392" s="29" t="n">
        <v>1.17720907774022</v>
      </c>
      <c r="F392" s="28" t="n">
        <v>0.333333333333333</v>
      </c>
      <c r="G392" s="30" t="n">
        <v>56.0023181075813</v>
      </c>
      <c r="H392" s="30" t="n">
        <v>70.5182312538251</v>
      </c>
      <c r="I392" s="30" t="n">
        <v>66.6666666666667</v>
      </c>
      <c r="J392" s="34" t="n">
        <f aca="false">(2*G392+H392+I392)/4</f>
        <v>62.2973835339136</v>
      </c>
      <c r="K392" s="35" t="n">
        <f aca="false">(J392-MIN(J$6:J$404))/(MAX(J$6:J$404)-MIN(J$6:J$404))*100</f>
        <v>58.1163261875219</v>
      </c>
    </row>
    <row r="393" customFormat="false" ht="15" hidden="false" customHeight="false" outlineLevel="0" collapsed="false">
      <c r="A393" s="26" t="n">
        <v>4128005</v>
      </c>
      <c r="B393" s="26" t="s">
        <v>459</v>
      </c>
      <c r="C393" s="26" t="s">
        <v>86</v>
      </c>
      <c r="D393" s="28" t="n">
        <v>0.39546925566343</v>
      </c>
      <c r="E393" s="29" t="n">
        <v>1.09823677581864</v>
      </c>
      <c r="F393" s="28" t="n">
        <v>0.3</v>
      </c>
      <c r="G393" s="30" t="n">
        <v>39.222619655936</v>
      </c>
      <c r="H393" s="30" t="n">
        <v>75.8904479714471</v>
      </c>
      <c r="I393" s="30" t="n">
        <v>70</v>
      </c>
      <c r="J393" s="34" t="n">
        <f aca="false">(2*G393+H393+I393)/4</f>
        <v>56.0839218208298</v>
      </c>
      <c r="K393" s="35" t="n">
        <f aca="false">(J393-MIN(J$6:J$404))/(MAX(J$6:J$404)-MIN(J$6:J$404))*100</f>
        <v>47.6470517978536</v>
      </c>
    </row>
    <row r="394" customFormat="false" ht="15" hidden="false" customHeight="false" outlineLevel="0" collapsed="false">
      <c r="A394" s="26" t="n">
        <v>4128104</v>
      </c>
      <c r="B394" s="26" t="s">
        <v>460</v>
      </c>
      <c r="C394" s="26" t="s">
        <v>69</v>
      </c>
      <c r="D394" s="28" t="n">
        <v>0.250731966994943</v>
      </c>
      <c r="E394" s="29" t="n">
        <v>1.12599756526444</v>
      </c>
      <c r="F394" s="28" t="n">
        <v>0.378378378378378</v>
      </c>
      <c r="G394" s="30" t="n">
        <v>61.466455598672</v>
      </c>
      <c r="H394" s="30" t="n">
        <v>74.001976019557</v>
      </c>
      <c r="I394" s="30" t="n">
        <v>62.1621621621622</v>
      </c>
      <c r="J394" s="34" t="n">
        <f aca="false">(2*G394+H394+I394)/4</f>
        <v>64.7742623447658</v>
      </c>
      <c r="K394" s="35" t="n">
        <f aca="false">(J394-MIN(J$6:J$404))/(MAX(J$6:J$404)-MIN(J$6:J$404))*100</f>
        <v>62.2897041044024</v>
      </c>
    </row>
    <row r="395" customFormat="false" ht="15" hidden="false" customHeight="false" outlineLevel="0" collapsed="false">
      <c r="A395" s="26" t="n">
        <v>4128203</v>
      </c>
      <c r="B395" s="26" t="s">
        <v>461</v>
      </c>
      <c r="C395" s="26" t="s">
        <v>86</v>
      </c>
      <c r="D395" s="28" t="n">
        <v>0.305461711711712</v>
      </c>
      <c r="E395" s="29" t="n">
        <v>1.12002220063827</v>
      </c>
      <c r="F395" s="28" t="n">
        <v>0.363636363636364</v>
      </c>
      <c r="G395" s="30" t="n">
        <v>53.0553579895685</v>
      </c>
      <c r="H395" s="30" t="n">
        <v>74.4084597227987</v>
      </c>
      <c r="I395" s="30" t="n">
        <v>63.6363636363636</v>
      </c>
      <c r="J395" s="34" t="n">
        <f aca="false">(2*G395+H395+I395)/4</f>
        <v>61.0388848345748</v>
      </c>
      <c r="K395" s="35" t="n">
        <f aca="false">(J395-MIN(J$6:J$404))/(MAX(J$6:J$404)-MIN(J$6:J$404))*100</f>
        <v>55.9958386379368</v>
      </c>
    </row>
    <row r="396" customFormat="false" ht="15" hidden="false" customHeight="false" outlineLevel="0" collapsed="false">
      <c r="A396" s="26" t="n">
        <v>4128302</v>
      </c>
      <c r="B396" s="26" t="s">
        <v>462</v>
      </c>
      <c r="C396" s="26" t="s">
        <v>71</v>
      </c>
      <c r="D396" s="28" t="n">
        <v>0.560344827586207</v>
      </c>
      <c r="E396" s="29" t="n">
        <v>0.955223880597015</v>
      </c>
      <c r="F396" s="28" t="n">
        <v>0</v>
      </c>
      <c r="G396" s="30" t="n">
        <v>13.8838475499093</v>
      </c>
      <c r="H396" s="30" t="n">
        <v>85.6191281270293</v>
      </c>
      <c r="I396" s="30" t="n">
        <v>100</v>
      </c>
      <c r="J396" s="34" t="n">
        <f aca="false">(2*G396+H396+I396)/4</f>
        <v>53.346705806712</v>
      </c>
      <c r="K396" s="35" t="n">
        <f aca="false">(J396-MIN(J$6:J$404))/(MAX(J$6:J$404)-MIN(J$6:J$404))*100</f>
        <v>43.0350228132297</v>
      </c>
    </row>
    <row r="397" customFormat="false" ht="15" hidden="false" customHeight="false" outlineLevel="0" collapsed="false">
      <c r="A397" s="26" t="n">
        <v>4128401</v>
      </c>
      <c r="B397" s="26" t="s">
        <v>463</v>
      </c>
      <c r="C397" s="26" t="s">
        <v>65</v>
      </c>
      <c r="D397" s="28" t="n">
        <v>0.288032454361055</v>
      </c>
      <c r="E397" s="29" t="n">
        <v>1.07095709570957</v>
      </c>
      <c r="F397" s="28" t="n">
        <v>0.375</v>
      </c>
      <c r="G397" s="30" t="n">
        <v>55.7339596455642</v>
      </c>
      <c r="H397" s="30" t="n">
        <v>77.7461916938328</v>
      </c>
      <c r="I397" s="30" t="n">
        <v>62.5</v>
      </c>
      <c r="J397" s="34" t="n">
        <f aca="false">(2*G397+H397+I397)/4</f>
        <v>62.9285277462403</v>
      </c>
      <c r="K397" s="35" t="n">
        <f aca="false">(J397-MIN(J$6:J$404))/(MAX(J$6:J$404)-MIN(J$6:J$404))*100</f>
        <v>59.179762681286</v>
      </c>
    </row>
    <row r="398" customFormat="false" ht="15" hidden="false" customHeight="false" outlineLevel="0" collapsed="false">
      <c r="A398" s="26" t="n">
        <v>4128534</v>
      </c>
      <c r="B398" s="26" t="s">
        <v>464</v>
      </c>
      <c r="C398" s="26" t="s">
        <v>65</v>
      </c>
      <c r="D398" s="28" t="n">
        <v>0.258160237388724</v>
      </c>
      <c r="E398" s="29" t="n">
        <v>1.04552129221733</v>
      </c>
      <c r="F398" s="28" t="n">
        <v>0.333333333333333</v>
      </c>
      <c r="G398" s="30" t="n">
        <v>60.3248477276277</v>
      </c>
      <c r="H398" s="30" t="n">
        <v>79.4765027702766</v>
      </c>
      <c r="I398" s="30" t="n">
        <v>66.6666666666667</v>
      </c>
      <c r="J398" s="34" t="n">
        <f aca="false">(2*G398+H398+I398)/4</f>
        <v>66.6982162230497</v>
      </c>
      <c r="K398" s="35" t="n">
        <f aca="false">(J398-MIN(J$6:J$404))/(MAX(J$6:J$404)-MIN(J$6:J$404))*100</f>
        <v>65.5314398702165</v>
      </c>
    </row>
    <row r="399" customFormat="false" ht="15" hidden="false" customHeight="false" outlineLevel="0" collapsed="false">
      <c r="A399" s="26" t="n">
        <v>4128559</v>
      </c>
      <c r="B399" s="26" t="s">
        <v>465</v>
      </c>
      <c r="C399" s="26" t="s">
        <v>65</v>
      </c>
      <c r="D399" s="28" t="n">
        <v>0.304435483870968</v>
      </c>
      <c r="E399" s="29" t="n">
        <v>1.07184466019418</v>
      </c>
      <c r="F399" s="28" t="n">
        <v>0</v>
      </c>
      <c r="G399" s="30" t="n">
        <v>53.2130730050934</v>
      </c>
      <c r="H399" s="30" t="n">
        <v>77.6858137050173</v>
      </c>
      <c r="I399" s="30" t="n">
        <v>100</v>
      </c>
      <c r="J399" s="34" t="n">
        <f aca="false">(2*G399+H399+I399)/4</f>
        <v>71.027989928801</v>
      </c>
      <c r="K399" s="35" t="n">
        <f aca="false">(J399-MIN(J$6:J$404))/(MAX(J$6:J$404)-MIN(J$6:J$404))*100</f>
        <v>72.8268238387425</v>
      </c>
    </row>
    <row r="400" customFormat="false" ht="15" hidden="false" customHeight="false" outlineLevel="0" collapsed="false">
      <c r="A400" s="26" t="n">
        <v>4128609</v>
      </c>
      <c r="B400" s="26" t="s">
        <v>466</v>
      </c>
      <c r="C400" s="26" t="s">
        <v>65</v>
      </c>
      <c r="D400" s="28" t="n">
        <v>0.355203619909502</v>
      </c>
      <c r="E400" s="29" t="n">
        <v>1.09713701431493</v>
      </c>
      <c r="F400" s="28" t="n">
        <v>0.333333333333333</v>
      </c>
      <c r="G400" s="30" t="n">
        <v>45.4108120981186</v>
      </c>
      <c r="H400" s="30" t="n">
        <v>75.9652610007229</v>
      </c>
      <c r="I400" s="30" t="n">
        <v>66.6666666666667</v>
      </c>
      <c r="J400" s="34" t="n">
        <f aca="false">(2*G400+H400+I400)/4</f>
        <v>58.3633879659067</v>
      </c>
      <c r="K400" s="35" t="n">
        <f aca="false">(J400-MIN(J$6:J$404))/(MAX(J$6:J$404)-MIN(J$6:J$404))*100</f>
        <v>51.4878023547482</v>
      </c>
    </row>
    <row r="401" customFormat="false" ht="15" hidden="false" customHeight="false" outlineLevel="0" collapsed="false">
      <c r="A401" s="26" t="n">
        <v>4128658</v>
      </c>
      <c r="B401" s="26" t="s">
        <v>467</v>
      </c>
      <c r="C401" s="26" t="s">
        <v>71</v>
      </c>
      <c r="D401" s="28" t="n">
        <v>0.354430379746835</v>
      </c>
      <c r="E401" s="29" t="n">
        <v>1.1362763915547</v>
      </c>
      <c r="F401" s="28" t="n">
        <v>0</v>
      </c>
      <c r="G401" s="30" t="n">
        <v>45.5296469020653</v>
      </c>
      <c r="H401" s="30" t="n">
        <v>73.3027424770307</v>
      </c>
      <c r="I401" s="30" t="n">
        <v>100</v>
      </c>
      <c r="J401" s="34" t="n">
        <f aca="false">(2*G401+H401+I401)/4</f>
        <v>66.0905090702903</v>
      </c>
      <c r="K401" s="35" t="n">
        <f aca="false">(J401-MIN(J$6:J$404))/(MAX(J$6:J$404)-MIN(J$6:J$404))*100</f>
        <v>64.5074932806038</v>
      </c>
    </row>
    <row r="402" customFormat="false" ht="15" hidden="false" customHeight="false" outlineLevel="0" collapsed="false">
      <c r="A402" s="26" t="n">
        <v>4128708</v>
      </c>
      <c r="B402" s="26" t="s">
        <v>468</v>
      </c>
      <c r="C402" s="26" t="s">
        <v>65</v>
      </c>
      <c r="D402" s="28" t="n">
        <v>0.233783783783784</v>
      </c>
      <c r="E402" s="29" t="n">
        <v>0.743823146944083</v>
      </c>
      <c r="F402" s="28" t="n">
        <v>0.333333333333333</v>
      </c>
      <c r="G402" s="30" t="n">
        <v>64.0711237553343</v>
      </c>
      <c r="H402" s="30" t="n">
        <v>100</v>
      </c>
      <c r="I402" s="30" t="n">
        <v>66.6666666666667</v>
      </c>
      <c r="J402" s="34" t="n">
        <f aca="false">(2*G402+H402+I402)/4</f>
        <v>73.7022285443338</v>
      </c>
      <c r="K402" s="35" t="n">
        <f aca="false">(J402-MIN(J$6:J$404))/(MAX(J$6:J$404)-MIN(J$6:J$404))*100</f>
        <v>77.3327400481407</v>
      </c>
    </row>
    <row r="403" customFormat="false" ht="15" hidden="false" customHeight="false" outlineLevel="0" collapsed="false">
      <c r="A403" s="26" t="n">
        <v>4128500</v>
      </c>
      <c r="B403" s="26" t="s">
        <v>469</v>
      </c>
      <c r="C403" s="26" t="s">
        <v>65</v>
      </c>
      <c r="D403" s="28" t="n">
        <v>0.253810975609756</v>
      </c>
      <c r="E403" s="29" t="n">
        <v>1.1525358110724</v>
      </c>
      <c r="F403" s="28" t="n">
        <v>0.6</v>
      </c>
      <c r="G403" s="30" t="n">
        <v>60.9932605905007</v>
      </c>
      <c r="H403" s="30" t="n">
        <v>72.1966695473278</v>
      </c>
      <c r="I403" s="30" t="n">
        <v>40</v>
      </c>
      <c r="J403" s="34" t="n">
        <f aca="false">(2*G403+H403+I403)/4</f>
        <v>58.5457976820823</v>
      </c>
      <c r="K403" s="35" t="n">
        <f aca="false">(J403-MIN(J$6:J$404))/(MAX(J$6:J$404)-MIN(J$6:J$404))*100</f>
        <v>51.7951507312518</v>
      </c>
    </row>
    <row r="404" customFormat="false" ht="15" hidden="false" customHeight="false" outlineLevel="0" collapsed="false">
      <c r="A404" s="26" t="n">
        <v>4128807</v>
      </c>
      <c r="B404" s="26" t="s">
        <v>470</v>
      </c>
      <c r="C404" s="26" t="s">
        <v>65</v>
      </c>
      <c r="D404" s="28" t="n">
        <v>0.436111111111111</v>
      </c>
      <c r="E404" s="29" t="n">
        <v>1.12430939226519</v>
      </c>
      <c r="F404" s="28" t="n">
        <v>0</v>
      </c>
      <c r="G404" s="30" t="n">
        <v>32.9766081871345</v>
      </c>
      <c r="H404" s="30" t="n">
        <v>74.1168166787262</v>
      </c>
      <c r="I404" s="30" t="n">
        <v>100</v>
      </c>
      <c r="J404" s="34" t="n">
        <f aca="false">(2*G404+H404+I404)/4</f>
        <v>60.0175082632488</v>
      </c>
      <c r="K404" s="35" t="n">
        <f aca="false">(J404-MIN(J$6:J$404))/(MAX(J$6:J$404)-MIN(J$6:J$404))*100</f>
        <v>54.2748862809159</v>
      </c>
    </row>
    <row r="406" customFormat="false" ht="15" hidden="false" customHeight="false" outlineLevel="0" collapsed="false">
      <c r="A406" s="32" t="s">
        <v>484</v>
      </c>
    </row>
    <row r="407" customFormat="false" ht="15" hidden="false" customHeight="false" outlineLevel="0" collapsed="false">
      <c r="A407" s="32" t="s">
        <v>485</v>
      </c>
    </row>
  </sheetData>
  <mergeCells count="4">
    <mergeCell ref="A4:C4"/>
    <mergeCell ref="D4:F4"/>
    <mergeCell ref="G4:I4"/>
    <mergeCell ref="J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71C1"/>
    <pageSetUpPr fitToPage="true"/>
  </sheetPr>
  <dimension ref="A1:K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10" min="4" style="0" width="13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9" t="s">
        <v>486</v>
      </c>
    </row>
    <row r="2" customFormat="false" ht="15" hidden="false" customHeight="false" outlineLevel="0" collapsed="false">
      <c r="A2" s="2" t="s">
        <v>474</v>
      </c>
    </row>
    <row r="4" customFormat="false" ht="15" hidden="false" customHeight="false" outlineLevel="0" collapsed="false">
      <c r="A4" s="20" t="s">
        <v>46</v>
      </c>
      <c r="B4" s="20"/>
      <c r="C4" s="20"/>
      <c r="D4" s="22" t="s">
        <v>475</v>
      </c>
      <c r="E4" s="22"/>
      <c r="F4" s="22"/>
      <c r="G4" s="22" t="s">
        <v>476</v>
      </c>
      <c r="H4" s="22"/>
      <c r="I4" s="22"/>
      <c r="J4" s="22" t="s">
        <v>477</v>
      </c>
      <c r="K4" s="22"/>
    </row>
    <row r="5" customFormat="false" ht="43.5" hidden="false" customHeight="true" outlineLevel="0" collapsed="false">
      <c r="A5" s="36" t="s">
        <v>47</v>
      </c>
      <c r="B5" s="36" t="s">
        <v>46</v>
      </c>
      <c r="C5" s="36" t="s">
        <v>48</v>
      </c>
      <c r="D5" s="36" t="s">
        <v>57</v>
      </c>
      <c r="E5" s="36" t="s">
        <v>58</v>
      </c>
      <c r="F5" s="36" t="s">
        <v>59</v>
      </c>
      <c r="G5" s="36" t="s">
        <v>487</v>
      </c>
      <c r="H5" s="36" t="s">
        <v>488</v>
      </c>
      <c r="I5" s="36" t="s">
        <v>489</v>
      </c>
      <c r="J5" s="36" t="s">
        <v>490</v>
      </c>
      <c r="K5" s="36" t="s">
        <v>491</v>
      </c>
    </row>
    <row r="6" customFormat="false" ht="15" hidden="false" customHeight="false" outlineLevel="0" collapsed="false">
      <c r="A6" s="26" t="n">
        <v>4100103</v>
      </c>
      <c r="B6" s="26" t="s">
        <v>64</v>
      </c>
      <c r="C6" s="26" t="s">
        <v>65</v>
      </c>
      <c r="D6" s="30" t="n">
        <v>0</v>
      </c>
      <c r="E6" s="28" t="n">
        <v>0.126225659439304</v>
      </c>
      <c r="F6" s="29" t="n">
        <v>11.19</v>
      </c>
      <c r="G6" s="30" t="n">
        <v>0</v>
      </c>
      <c r="H6" s="30" t="n">
        <v>73.3642407526198</v>
      </c>
      <c r="I6" s="30" t="n">
        <v>59.967845659164</v>
      </c>
      <c r="J6" s="37" t="n">
        <f aca="false">(G6+H6+I6)/3</f>
        <v>44.4440288039279</v>
      </c>
      <c r="K6" s="38" t="n">
        <f aca="false">(J6-MIN(J$6:J$404))/(MAX(J$6:J$404)-MIN(J$6:J$404))*100</f>
        <v>29.0633600606737</v>
      </c>
    </row>
    <row r="7" customFormat="false" ht="15" hidden="false" customHeight="false" outlineLevel="0" collapsed="false">
      <c r="A7" s="26" t="n">
        <v>4100202</v>
      </c>
      <c r="B7" s="26" t="s">
        <v>66</v>
      </c>
      <c r="C7" s="26" t="s">
        <v>65</v>
      </c>
      <c r="D7" s="30" t="n">
        <v>0</v>
      </c>
      <c r="E7" s="28" t="n">
        <v>0.14593989769821</v>
      </c>
      <c r="F7" s="29" t="n">
        <v>11.19</v>
      </c>
      <c r="G7" s="30" t="n">
        <v>0</v>
      </c>
      <c r="H7" s="30" t="n">
        <v>84.8224508210436</v>
      </c>
      <c r="I7" s="30" t="n">
        <v>59.967845659164</v>
      </c>
      <c r="J7" s="37" t="n">
        <f aca="false">(G7+H7+I7)/3</f>
        <v>48.2634321600692</v>
      </c>
      <c r="K7" s="38" t="n">
        <f aca="false">(J7-MIN(J$6:J$404))/(MAX(J$6:J$404)-MIN(J$6:J$404))*100</f>
        <v>36.2166720831346</v>
      </c>
    </row>
    <row r="8" customFormat="false" ht="15" hidden="false" customHeight="false" outlineLevel="0" collapsed="false">
      <c r="A8" s="26" t="n">
        <v>4100301</v>
      </c>
      <c r="B8" s="26" t="s">
        <v>67</v>
      </c>
      <c r="C8" s="26" t="s">
        <v>65</v>
      </c>
      <c r="D8" s="30" t="n">
        <v>0</v>
      </c>
      <c r="E8" s="28" t="n">
        <v>0.14482556435063</v>
      </c>
      <c r="F8" s="29" t="n">
        <v>14.95</v>
      </c>
      <c r="G8" s="30" t="n">
        <v>0</v>
      </c>
      <c r="H8" s="30" t="n">
        <v>84.1747836165019</v>
      </c>
      <c r="I8" s="30" t="n">
        <v>80.117899249732</v>
      </c>
      <c r="J8" s="37" t="n">
        <f aca="false">(G8+H8+I8)/3</f>
        <v>54.764227622078</v>
      </c>
      <c r="K8" s="38" t="n">
        <f aca="false">(J8-MIN(J$6:J$404))/(MAX(J$6:J$404)-MIN(J$6:J$404))*100</f>
        <v>48.3919293151771</v>
      </c>
    </row>
    <row r="9" customFormat="false" ht="15" hidden="false" customHeight="false" outlineLevel="0" collapsed="false">
      <c r="A9" s="26" t="n">
        <v>4100400</v>
      </c>
      <c r="B9" s="26" t="s">
        <v>68</v>
      </c>
      <c r="C9" s="26" t="s">
        <v>69</v>
      </c>
      <c r="D9" s="30" t="n">
        <v>7.54</v>
      </c>
      <c r="E9" s="28" t="n">
        <v>0.157855205508033</v>
      </c>
      <c r="F9" s="29" t="n">
        <v>13.09</v>
      </c>
      <c r="G9" s="30" t="n">
        <v>13.5709143268539</v>
      </c>
      <c r="H9" s="30" t="n">
        <v>91.7478058929397</v>
      </c>
      <c r="I9" s="30" t="n">
        <v>70.1500535905681</v>
      </c>
      <c r="J9" s="37" t="n">
        <f aca="false">(G9+H9+I9)/3</f>
        <v>58.4895912701205</v>
      </c>
      <c r="K9" s="38" t="n">
        <f aca="false">(J9-MIN(J$6:J$404))/(MAX(J$6:J$404)-MIN(J$6:J$404))*100</f>
        <v>55.3691155630587</v>
      </c>
    </row>
    <row r="10" customFormat="false" ht="15" hidden="false" customHeight="false" outlineLevel="0" collapsed="false">
      <c r="A10" s="26" t="n">
        <v>4100459</v>
      </c>
      <c r="B10" s="26" t="s">
        <v>70</v>
      </c>
      <c r="C10" s="26" t="s">
        <v>71</v>
      </c>
      <c r="D10" s="30" t="n">
        <v>19.23</v>
      </c>
      <c r="E10" s="28" t="n">
        <v>0.13008356545961</v>
      </c>
      <c r="F10" s="29" t="n">
        <v>11.98</v>
      </c>
      <c r="G10" s="30" t="n">
        <v>34.6112311015119</v>
      </c>
      <c r="H10" s="30" t="n">
        <v>75.606513419936</v>
      </c>
      <c r="I10" s="30" t="n">
        <v>64.2015005359057</v>
      </c>
      <c r="J10" s="37" t="n">
        <f aca="false">(G10+H10+I10)/3</f>
        <v>58.1397483524512</v>
      </c>
      <c r="K10" s="38" t="n">
        <f aca="false">(J10-MIN(J$6:J$404))/(MAX(J$6:J$404)-MIN(J$6:J$404))*100</f>
        <v>54.7138992071026</v>
      </c>
    </row>
    <row r="11" customFormat="false" ht="15" hidden="false" customHeight="false" outlineLevel="0" collapsed="false">
      <c r="A11" s="26" t="n">
        <v>4128625</v>
      </c>
      <c r="B11" s="26" t="s">
        <v>72</v>
      </c>
      <c r="C11" s="26" t="s">
        <v>71</v>
      </c>
      <c r="D11" s="30" t="n">
        <v>30.3</v>
      </c>
      <c r="E11" s="28" t="n">
        <v>0.142716857610475</v>
      </c>
      <c r="F11" s="29" t="n">
        <v>18.66</v>
      </c>
      <c r="G11" s="30" t="n">
        <v>54.5356371490281</v>
      </c>
      <c r="H11" s="30" t="n">
        <v>82.94917172706</v>
      </c>
      <c r="I11" s="30" t="n">
        <v>100</v>
      </c>
      <c r="J11" s="37" t="n">
        <f aca="false">(G11+H11+I11)/3</f>
        <v>79.161602958696</v>
      </c>
      <c r="K11" s="38" t="n">
        <f aca="false">(J11-MIN(J$6:J$404))/(MAX(J$6:J$404)-MIN(J$6:J$404))*100</f>
        <v>94.0854636289342</v>
      </c>
    </row>
    <row r="12" customFormat="false" ht="15" hidden="false" customHeight="false" outlineLevel="0" collapsed="false">
      <c r="A12" s="26" t="n">
        <v>4100608</v>
      </c>
      <c r="B12" s="26" t="s">
        <v>73</v>
      </c>
      <c r="C12" s="26" t="s">
        <v>65</v>
      </c>
      <c r="D12" s="30" t="n">
        <v>11.11</v>
      </c>
      <c r="E12" s="28" t="n">
        <v>0.138255805593501</v>
      </c>
      <c r="F12" s="29" t="n">
        <v>11.86</v>
      </c>
      <c r="G12" s="30" t="n">
        <v>19.996400287977</v>
      </c>
      <c r="H12" s="30" t="n">
        <v>80.3563415874748</v>
      </c>
      <c r="I12" s="30" t="n">
        <v>63.5584137191854</v>
      </c>
      <c r="J12" s="37" t="n">
        <f aca="false">(G12+H12+I12)/3</f>
        <v>54.6370518648791</v>
      </c>
      <c r="K12" s="38" t="n">
        <f aca="false">(J12-MIN(J$6:J$404))/(MAX(J$6:J$404)-MIN(J$6:J$404))*100</f>
        <v>48.1537434552119</v>
      </c>
    </row>
    <row r="13" customFormat="false" ht="15" hidden="false" customHeight="false" outlineLevel="0" collapsed="false">
      <c r="A13" s="26" t="n">
        <v>4100707</v>
      </c>
      <c r="B13" s="26" t="s">
        <v>74</v>
      </c>
      <c r="C13" s="26" t="s">
        <v>65</v>
      </c>
      <c r="D13" s="30" t="n">
        <v>7.58</v>
      </c>
      <c r="E13" s="28" t="n">
        <v>0.130872828210137</v>
      </c>
      <c r="F13" s="29" t="n">
        <v>12.34</v>
      </c>
      <c r="G13" s="30" t="n">
        <v>13.6429085673146</v>
      </c>
      <c r="H13" s="30" t="n">
        <v>76.0652447326019</v>
      </c>
      <c r="I13" s="30" t="n">
        <v>66.1307609860665</v>
      </c>
      <c r="J13" s="37" t="n">
        <f aca="false">(G13+H13+I13)/3</f>
        <v>51.9463047619943</v>
      </c>
      <c r="K13" s="38" t="n">
        <f aca="false">(J13-MIN(J$6:J$404))/(MAX(J$6:J$404)-MIN(J$6:J$404))*100</f>
        <v>43.1142773905664</v>
      </c>
    </row>
    <row r="14" customFormat="false" ht="15" hidden="false" customHeight="false" outlineLevel="0" collapsed="false">
      <c r="A14" s="26" t="n">
        <v>4100509</v>
      </c>
      <c r="B14" s="26" t="s">
        <v>75</v>
      </c>
      <c r="C14" s="26" t="s">
        <v>65</v>
      </c>
      <c r="D14" s="30" t="n">
        <v>8.89</v>
      </c>
      <c r="E14" s="28" t="n">
        <v>0.12010457795326</v>
      </c>
      <c r="F14" s="29" t="n">
        <v>10.99</v>
      </c>
      <c r="G14" s="30" t="n">
        <v>16.0007199424046</v>
      </c>
      <c r="H14" s="30" t="n">
        <v>69.8065766627406</v>
      </c>
      <c r="I14" s="30" t="n">
        <v>58.8960342979636</v>
      </c>
      <c r="J14" s="37" t="n">
        <f aca="false">(G14+H14+I14)/3</f>
        <v>48.2344436343696</v>
      </c>
      <c r="K14" s="38" t="n">
        <f aca="false">(J14-MIN(J$6:J$404))/(MAX(J$6:J$404)-MIN(J$6:J$404))*100</f>
        <v>36.1623798416338</v>
      </c>
    </row>
    <row r="15" customFormat="false" ht="15" hidden="false" customHeight="false" outlineLevel="0" collapsed="false">
      <c r="A15" s="26" t="n">
        <v>4100806</v>
      </c>
      <c r="B15" s="26" t="s">
        <v>76</v>
      </c>
      <c r="C15" s="26" t="s">
        <v>65</v>
      </c>
      <c r="D15" s="30" t="n">
        <v>0</v>
      </c>
      <c r="E15" s="28" t="n">
        <v>0.112725159790819</v>
      </c>
      <c r="F15" s="29" t="n">
        <v>8.91</v>
      </c>
      <c r="G15" s="30" t="n">
        <v>0</v>
      </c>
      <c r="H15" s="30" t="n">
        <v>65.5175484802902</v>
      </c>
      <c r="I15" s="30" t="n">
        <v>47.7491961414791</v>
      </c>
      <c r="J15" s="37" t="n">
        <f aca="false">(G15+H15+I15)/3</f>
        <v>37.7555815405898</v>
      </c>
      <c r="K15" s="38" t="n">
        <f aca="false">(J15-MIN(J$6:J$404))/(MAX(J$6:J$404)-MIN(J$6:J$404))*100</f>
        <v>16.5366521539263</v>
      </c>
    </row>
    <row r="16" customFormat="false" ht="15" hidden="false" customHeight="false" outlineLevel="0" collapsed="false">
      <c r="A16" s="26" t="n">
        <v>4100905</v>
      </c>
      <c r="B16" s="26" t="s">
        <v>77</v>
      </c>
      <c r="C16" s="26" t="s">
        <v>71</v>
      </c>
      <c r="D16" s="30" t="n">
        <v>0</v>
      </c>
      <c r="E16" s="28" t="n">
        <v>0.138177236455271</v>
      </c>
      <c r="F16" s="29" t="n">
        <v>11.34</v>
      </c>
      <c r="G16" s="30" t="n">
        <v>0</v>
      </c>
      <c r="H16" s="30" t="n">
        <v>80.3106760294701</v>
      </c>
      <c r="I16" s="30" t="n">
        <v>60.7717041800643</v>
      </c>
      <c r="J16" s="37" t="n">
        <f aca="false">(G16+H16+I16)/3</f>
        <v>47.0274600698448</v>
      </c>
      <c r="K16" s="38" t="n">
        <f aca="false">(J16-MIN(J$6:J$404))/(MAX(J$6:J$404)-MIN(J$6:J$404))*100</f>
        <v>33.9018356576462</v>
      </c>
    </row>
    <row r="17" customFormat="false" ht="15" hidden="false" customHeight="false" outlineLevel="0" collapsed="false">
      <c r="A17" s="26" t="n">
        <v>4101002</v>
      </c>
      <c r="B17" s="26" t="s">
        <v>78</v>
      </c>
      <c r="C17" s="26" t="s">
        <v>65</v>
      </c>
      <c r="D17" s="30" t="n">
        <v>3.62</v>
      </c>
      <c r="E17" s="28" t="n">
        <v>0.129969418960245</v>
      </c>
      <c r="F17" s="29" t="n">
        <v>13.81</v>
      </c>
      <c r="G17" s="30" t="n">
        <v>6.51547876169907</v>
      </c>
      <c r="H17" s="30" t="n">
        <v>75.5401697676413</v>
      </c>
      <c r="I17" s="30" t="n">
        <v>74.0085744908896</v>
      </c>
      <c r="J17" s="37" t="n">
        <f aca="false">(G17+H17+I17)/3</f>
        <v>52.02140767341</v>
      </c>
      <c r="K17" s="38" t="n">
        <f aca="false">(J17-MIN(J$6:J$404))/(MAX(J$6:J$404)-MIN(J$6:J$404))*100</f>
        <v>43.2549366792187</v>
      </c>
    </row>
    <row r="18" customFormat="false" ht="15" hidden="false" customHeight="false" outlineLevel="0" collapsed="false">
      <c r="A18" s="26" t="n">
        <v>4101051</v>
      </c>
      <c r="B18" s="26" t="s">
        <v>79</v>
      </c>
      <c r="C18" s="26" t="s">
        <v>71</v>
      </c>
      <c r="D18" s="30" t="n">
        <v>0</v>
      </c>
      <c r="E18" s="28" t="n">
        <v>0.125428375599726</v>
      </c>
      <c r="F18" s="29" t="n">
        <v>11.31</v>
      </c>
      <c r="G18" s="30" t="n">
        <v>0</v>
      </c>
      <c r="H18" s="30" t="n">
        <v>72.9008474630556</v>
      </c>
      <c r="I18" s="30" t="n">
        <v>60.6109324758843</v>
      </c>
      <c r="J18" s="37" t="n">
        <f aca="false">(G18+H18+I18)/3</f>
        <v>44.5039266463133</v>
      </c>
      <c r="K18" s="38" t="n">
        <f aca="false">(J18-MIN(J$6:J$404))/(MAX(J$6:J$404)-MIN(J$6:J$404))*100</f>
        <v>29.1755419687107</v>
      </c>
    </row>
    <row r="19" customFormat="false" ht="15" hidden="false" customHeight="false" outlineLevel="0" collapsed="false">
      <c r="A19" s="26" t="n">
        <v>4101101</v>
      </c>
      <c r="B19" s="26" t="s">
        <v>80</v>
      </c>
      <c r="C19" s="26" t="s">
        <v>65</v>
      </c>
      <c r="D19" s="30" t="n">
        <v>13.27</v>
      </c>
      <c r="E19" s="28" t="n">
        <v>0.119478820806922</v>
      </c>
      <c r="F19" s="29" t="n">
        <v>10.21</v>
      </c>
      <c r="G19" s="30" t="n">
        <v>23.8840892728582</v>
      </c>
      <c r="H19" s="30" t="n">
        <v>69.4428772521728</v>
      </c>
      <c r="I19" s="30" t="n">
        <v>54.7159699892819</v>
      </c>
      <c r="J19" s="37" t="n">
        <f aca="false">(G19+H19+I19)/3</f>
        <v>49.347645504771</v>
      </c>
      <c r="K19" s="38" t="n">
        <f aca="false">(J19-MIN(J$6:J$404))/(MAX(J$6:J$404)-MIN(J$6:J$404))*100</f>
        <v>38.2472814821385</v>
      </c>
    </row>
    <row r="20" customFormat="false" ht="15" hidden="false" customHeight="false" outlineLevel="0" collapsed="false">
      <c r="A20" s="26" t="n">
        <v>4101200</v>
      </c>
      <c r="B20" s="26" t="s">
        <v>81</v>
      </c>
      <c r="C20" s="26" t="s">
        <v>65</v>
      </c>
      <c r="D20" s="30" t="n">
        <v>0</v>
      </c>
      <c r="E20" s="28" t="n">
        <v>0.139516886849815</v>
      </c>
      <c r="F20" s="29" t="n">
        <v>10.12</v>
      </c>
      <c r="G20" s="30" t="n">
        <v>0</v>
      </c>
      <c r="H20" s="30" t="n">
        <v>81.0893008709344</v>
      </c>
      <c r="I20" s="30" t="n">
        <v>54.2336548767417</v>
      </c>
      <c r="J20" s="37" t="n">
        <f aca="false">(G20+H20+I20)/3</f>
        <v>45.107651915892</v>
      </c>
      <c r="K20" s="38" t="n">
        <f aca="false">(J20-MIN(J$6:J$404))/(MAX(J$6:J$404)-MIN(J$6:J$404))*100</f>
        <v>30.306251356133</v>
      </c>
    </row>
    <row r="21" customFormat="false" ht="15" hidden="false" customHeight="false" outlineLevel="0" collapsed="false">
      <c r="A21" s="26" t="n">
        <v>4101309</v>
      </c>
      <c r="B21" s="26" t="s">
        <v>82</v>
      </c>
      <c r="C21" s="26" t="s">
        <v>65</v>
      </c>
      <c r="D21" s="30" t="n">
        <v>13.33</v>
      </c>
      <c r="E21" s="28" t="n">
        <v>0.125819321744087</v>
      </c>
      <c r="F21" s="29" t="n">
        <v>7.55</v>
      </c>
      <c r="G21" s="30" t="n">
        <v>23.9920806335493</v>
      </c>
      <c r="H21" s="30" t="n">
        <v>73.1280712080818</v>
      </c>
      <c r="I21" s="30" t="n">
        <v>40.4608788853162</v>
      </c>
      <c r="J21" s="37" t="n">
        <f aca="false">(G21+H21+I21)/3</f>
        <v>45.8603435756491</v>
      </c>
      <c r="K21" s="38" t="n">
        <f aca="false">(J21-MIN(J$6:J$404))/(MAX(J$6:J$404)-MIN(J$6:J$404))*100</f>
        <v>31.7159580031905</v>
      </c>
    </row>
    <row r="22" customFormat="false" ht="15" hidden="false" customHeight="false" outlineLevel="0" collapsed="false">
      <c r="A22" s="26" t="n">
        <v>4101408</v>
      </c>
      <c r="B22" s="26" t="s">
        <v>83</v>
      </c>
      <c r="C22" s="26" t="s">
        <v>69</v>
      </c>
      <c r="D22" s="30" t="n">
        <v>10.63</v>
      </c>
      <c r="E22" s="28" t="n">
        <v>0.130204251002813</v>
      </c>
      <c r="F22" s="29" t="n">
        <v>11.67</v>
      </c>
      <c r="G22" s="30" t="n">
        <v>19.1324694024478</v>
      </c>
      <c r="H22" s="30" t="n">
        <v>75.6766576622889</v>
      </c>
      <c r="I22" s="30" t="n">
        <v>62.540192926045</v>
      </c>
      <c r="J22" s="37" t="n">
        <f aca="false">(G22+H22+I22)/3</f>
        <v>52.4497733302606</v>
      </c>
      <c r="K22" s="38" t="n">
        <f aca="false">(J22-MIN(J$6:J$404))/(MAX(J$6:J$404)-MIN(J$6:J$404))*100</f>
        <v>44.0572172758024</v>
      </c>
    </row>
    <row r="23" customFormat="false" ht="15" hidden="false" customHeight="false" outlineLevel="0" collapsed="false">
      <c r="A23" s="26" t="n">
        <v>4101507</v>
      </c>
      <c r="B23" s="26" t="s">
        <v>84</v>
      </c>
      <c r="C23" s="26" t="s">
        <v>69</v>
      </c>
      <c r="D23" s="30" t="n">
        <v>8.01</v>
      </c>
      <c r="E23" s="28" t="n">
        <v>0.12984941832161</v>
      </c>
      <c r="F23" s="29" t="n">
        <v>12.73</v>
      </c>
      <c r="G23" s="30" t="n">
        <v>14.4168466522678</v>
      </c>
      <c r="H23" s="30" t="n">
        <v>75.4704236020649</v>
      </c>
      <c r="I23" s="30" t="n">
        <v>68.2207931404073</v>
      </c>
      <c r="J23" s="37" t="n">
        <f aca="false">(G23+H23+I23)/3</f>
        <v>52.7026877982467</v>
      </c>
      <c r="K23" s="38" t="n">
        <f aca="false">(J23-MIN(J$6:J$404))/(MAX(J$6:J$404)-MIN(J$6:J$404))*100</f>
        <v>44.5308975697652</v>
      </c>
    </row>
    <row r="24" customFormat="false" ht="15" hidden="false" customHeight="false" outlineLevel="0" collapsed="false">
      <c r="A24" s="26" t="n">
        <v>4101606</v>
      </c>
      <c r="B24" s="26" t="s">
        <v>85</v>
      </c>
      <c r="C24" s="26" t="s">
        <v>86</v>
      </c>
      <c r="D24" s="30" t="n">
        <v>16.57</v>
      </c>
      <c r="E24" s="28" t="n">
        <v>0.144974201807813</v>
      </c>
      <c r="F24" s="29" t="n">
        <v>14.24</v>
      </c>
      <c r="G24" s="30" t="n">
        <v>29.8236141108711</v>
      </c>
      <c r="H24" s="30" t="n">
        <v>84.2611739292327</v>
      </c>
      <c r="I24" s="30" t="n">
        <v>76.3129689174705</v>
      </c>
      <c r="J24" s="37" t="n">
        <f aca="false">(G24+H24+I24)/3</f>
        <v>63.4659189858581</v>
      </c>
      <c r="K24" s="38" t="n">
        <f aca="false">(J24-MIN(J$6:J$404))/(MAX(J$6:J$404)-MIN(J$6:J$404))*100</f>
        <v>64.6892165205691</v>
      </c>
    </row>
    <row r="25" customFormat="false" ht="15" hidden="false" customHeight="false" outlineLevel="0" collapsed="false">
      <c r="A25" s="26" t="n">
        <v>4101655</v>
      </c>
      <c r="B25" s="26" t="s">
        <v>87</v>
      </c>
      <c r="C25" s="26" t="s">
        <v>71</v>
      </c>
      <c r="D25" s="30" t="n">
        <v>0</v>
      </c>
      <c r="E25" s="28" t="n">
        <v>0.122767224269918</v>
      </c>
      <c r="F25" s="29" t="n">
        <v>13.33</v>
      </c>
      <c r="G25" s="30" t="n">
        <v>0</v>
      </c>
      <c r="H25" s="30" t="n">
        <v>71.3541465172541</v>
      </c>
      <c r="I25" s="30" t="n">
        <v>71.4362272240086</v>
      </c>
      <c r="J25" s="37" t="n">
        <f aca="false">(G25+H25+I25)/3</f>
        <v>47.5967912470876</v>
      </c>
      <c r="K25" s="38" t="n">
        <f aca="false">(J25-MIN(J$6:J$404))/(MAX(J$6:J$404)-MIN(J$6:J$404))*100</f>
        <v>34.968128786489</v>
      </c>
    </row>
    <row r="26" customFormat="false" ht="15" hidden="false" customHeight="false" outlineLevel="0" collapsed="false">
      <c r="A26" s="26" t="n">
        <v>4101705</v>
      </c>
      <c r="B26" s="26" t="s">
        <v>88</v>
      </c>
      <c r="C26" s="26" t="s">
        <v>65</v>
      </c>
      <c r="D26" s="30" t="n">
        <v>0</v>
      </c>
      <c r="E26" s="28" t="n">
        <v>0.127373144632378</v>
      </c>
      <c r="F26" s="29" t="n">
        <v>13.05</v>
      </c>
      <c r="G26" s="30" t="n">
        <v>0</v>
      </c>
      <c r="H26" s="30" t="n">
        <v>74.0311763054917</v>
      </c>
      <c r="I26" s="30" t="n">
        <v>69.935691318328</v>
      </c>
      <c r="J26" s="37" t="n">
        <f aca="false">(G26+H26+I26)/3</f>
        <v>47.9889558746065</v>
      </c>
      <c r="K26" s="38" t="n">
        <f aca="false">(J26-MIN(J$6:J$404))/(MAX(J$6:J$404)-MIN(J$6:J$404))*100</f>
        <v>35.7026089351501</v>
      </c>
    </row>
    <row r="27" customFormat="false" ht="15" hidden="false" customHeight="false" outlineLevel="0" collapsed="false">
      <c r="A27" s="26" t="n">
        <v>4101804</v>
      </c>
      <c r="B27" s="26" t="s">
        <v>89</v>
      </c>
      <c r="C27" s="26" t="s">
        <v>69</v>
      </c>
      <c r="D27" s="30" t="n">
        <v>6.4</v>
      </c>
      <c r="E27" s="28" t="n">
        <v>0.147244603272981</v>
      </c>
      <c r="F27" s="29" t="n">
        <v>12.86</v>
      </c>
      <c r="G27" s="30" t="n">
        <v>11.5190784737221</v>
      </c>
      <c r="H27" s="30" t="n">
        <v>85.580765210717</v>
      </c>
      <c r="I27" s="30" t="n">
        <v>68.9174705251876</v>
      </c>
      <c r="J27" s="37" t="n">
        <f aca="false">(G27+H27+I27)/3</f>
        <v>55.3391047365422</v>
      </c>
      <c r="K27" s="38" t="n">
        <f aca="false">(J27-MIN(J$6:J$404))/(MAX(J$6:J$404)-MIN(J$6:J$404))*100</f>
        <v>49.4686093593841</v>
      </c>
    </row>
    <row r="28" customFormat="false" ht="15" hidden="false" customHeight="false" outlineLevel="0" collapsed="false">
      <c r="A28" s="26" t="n">
        <v>4101853</v>
      </c>
      <c r="B28" s="26" t="s">
        <v>90</v>
      </c>
      <c r="C28" s="26" t="s">
        <v>71</v>
      </c>
      <c r="D28" s="30" t="n">
        <v>0</v>
      </c>
      <c r="E28" s="28" t="n">
        <v>0.126663804207815</v>
      </c>
      <c r="F28" s="29" t="n">
        <v>11.16</v>
      </c>
      <c r="G28" s="30" t="n">
        <v>0</v>
      </c>
      <c r="H28" s="30" t="n">
        <v>73.6188970437756</v>
      </c>
      <c r="I28" s="30" t="n">
        <v>59.8070739549839</v>
      </c>
      <c r="J28" s="37" t="n">
        <f aca="false">(G28+H28+I28)/3</f>
        <v>44.4753236662532</v>
      </c>
      <c r="K28" s="38" t="n">
        <f aca="false">(J28-MIN(J$6:J$404))/(MAX(J$6:J$404)-MIN(J$6:J$404))*100</f>
        <v>29.12197181074</v>
      </c>
    </row>
    <row r="29" customFormat="false" ht="15" hidden="false" customHeight="false" outlineLevel="0" collapsed="false">
      <c r="A29" s="26" t="n">
        <v>4101903</v>
      </c>
      <c r="B29" s="26" t="s">
        <v>91</v>
      </c>
      <c r="C29" s="26" t="s">
        <v>65</v>
      </c>
      <c r="D29" s="30" t="n">
        <v>6.49</v>
      </c>
      <c r="E29" s="28" t="n">
        <v>0.12720156555773</v>
      </c>
      <c r="F29" s="29" t="n">
        <v>10.94</v>
      </c>
      <c r="G29" s="30" t="n">
        <v>11.6810655147588</v>
      </c>
      <c r="H29" s="30" t="n">
        <v>73.9314519816376</v>
      </c>
      <c r="I29" s="30" t="n">
        <v>58.6280814576635</v>
      </c>
      <c r="J29" s="37" t="n">
        <f aca="false">(G29+H29+I29)/3</f>
        <v>48.0801996513533</v>
      </c>
      <c r="K29" s="38" t="n">
        <f aca="false">(J29-MIN(J$6:J$404))/(MAX(J$6:J$404)-MIN(J$6:J$404))*100</f>
        <v>35.873498245421</v>
      </c>
    </row>
    <row r="30" customFormat="false" ht="15" hidden="false" customHeight="false" outlineLevel="0" collapsed="false">
      <c r="A30" s="26" t="n">
        <v>4102000</v>
      </c>
      <c r="B30" s="26" t="s">
        <v>92</v>
      </c>
      <c r="C30" s="26" t="s">
        <v>86</v>
      </c>
      <c r="D30" s="30" t="n">
        <v>6.88</v>
      </c>
      <c r="E30" s="28" t="n">
        <v>0.121223647033254</v>
      </c>
      <c r="F30" s="29" t="n">
        <v>12.04</v>
      </c>
      <c r="G30" s="30" t="n">
        <v>12.3830093592513</v>
      </c>
      <c r="H30" s="30" t="n">
        <v>70.4569963457761</v>
      </c>
      <c r="I30" s="30" t="n">
        <v>64.5230439442658</v>
      </c>
      <c r="J30" s="37" t="n">
        <f aca="false">(G30+H30+I30)/3</f>
        <v>49.1210165497644</v>
      </c>
      <c r="K30" s="38" t="n">
        <f aca="false">(J30-MIN(J$6:J$404))/(MAX(J$6:J$404)-MIN(J$6:J$404))*100</f>
        <v>37.8228309914933</v>
      </c>
    </row>
    <row r="31" customFormat="false" ht="15" hidden="false" customHeight="false" outlineLevel="0" collapsed="false">
      <c r="A31" s="26" t="n">
        <v>4102109</v>
      </c>
      <c r="B31" s="26" t="s">
        <v>93</v>
      </c>
      <c r="C31" s="26" t="s">
        <v>86</v>
      </c>
      <c r="D31" s="30" t="n">
        <v>21.28</v>
      </c>
      <c r="E31" s="28" t="n">
        <v>0.124710500490677</v>
      </c>
      <c r="F31" s="29" t="n">
        <v>12.52</v>
      </c>
      <c r="G31" s="30" t="n">
        <v>38.300935925126</v>
      </c>
      <c r="H31" s="30" t="n">
        <v>72.4836077150955</v>
      </c>
      <c r="I31" s="30" t="n">
        <v>67.0953912111468</v>
      </c>
      <c r="J31" s="37" t="n">
        <f aca="false">(G31+H31+I31)/3</f>
        <v>59.2933116171228</v>
      </c>
      <c r="K31" s="38" t="n">
        <f aca="false">(J31-MIN(J$6:J$404))/(MAX(J$6:J$404)-MIN(J$6:J$404))*100</f>
        <v>56.8743931901684</v>
      </c>
    </row>
    <row r="32" customFormat="false" ht="15" hidden="false" customHeight="false" outlineLevel="0" collapsed="false">
      <c r="A32" s="26" t="n">
        <v>4102208</v>
      </c>
      <c r="B32" s="26" t="s">
        <v>94</v>
      </c>
      <c r="C32" s="26" t="s">
        <v>71</v>
      </c>
      <c r="D32" s="30" t="n">
        <v>0</v>
      </c>
      <c r="E32" s="28" t="n">
        <v>0.105778894472362</v>
      </c>
      <c r="F32" s="29" t="n">
        <v>8.54</v>
      </c>
      <c r="G32" s="30" t="n">
        <v>0</v>
      </c>
      <c r="H32" s="30" t="n">
        <v>61.4802752078148</v>
      </c>
      <c r="I32" s="30" t="n">
        <v>45.7663451232583</v>
      </c>
      <c r="J32" s="37" t="n">
        <f aca="false">(G32+H32+I32)/3</f>
        <v>35.748873443691</v>
      </c>
      <c r="K32" s="38" t="n">
        <f aca="false">(J32-MIN(J$6:J$404))/(MAX(J$6:J$404)-MIN(J$6:J$404))*100</f>
        <v>12.7783140532818</v>
      </c>
    </row>
    <row r="33" customFormat="false" ht="15" hidden="false" customHeight="false" outlineLevel="0" collapsed="false">
      <c r="A33" s="26" t="n">
        <v>4101150</v>
      </c>
      <c r="B33" s="26" t="s">
        <v>95</v>
      </c>
      <c r="C33" s="26" t="s">
        <v>71</v>
      </c>
      <c r="D33" s="30" t="n">
        <v>0</v>
      </c>
      <c r="E33" s="28" t="n">
        <v>0.136321483771252</v>
      </c>
      <c r="F33" s="29" t="n">
        <v>13.6</v>
      </c>
      <c r="G33" s="30" t="n">
        <v>0</v>
      </c>
      <c r="H33" s="30" t="n">
        <v>79.2320848199454</v>
      </c>
      <c r="I33" s="30" t="n">
        <v>72.8831725616292</v>
      </c>
      <c r="J33" s="37" t="n">
        <f aca="false">(G33+H33+I33)/3</f>
        <v>50.7050857938582</v>
      </c>
      <c r="K33" s="38" t="n">
        <f aca="false">(J33-MIN(J$6:J$404))/(MAX(J$6:J$404)-MIN(J$6:J$404))*100</f>
        <v>40.7896141540956</v>
      </c>
    </row>
    <row r="34" customFormat="false" ht="15" hidden="false" customHeight="false" outlineLevel="0" collapsed="false">
      <c r="A34" s="26" t="n">
        <v>4102307</v>
      </c>
      <c r="B34" s="26" t="s">
        <v>96</v>
      </c>
      <c r="C34" s="26" t="s">
        <v>65</v>
      </c>
      <c r="D34" s="30" t="n">
        <v>19.35</v>
      </c>
      <c r="E34" s="28" t="n">
        <v>0.142889137737962</v>
      </c>
      <c r="F34" s="29" t="n">
        <v>12.32</v>
      </c>
      <c r="G34" s="30" t="n">
        <v>34.8272138228942</v>
      </c>
      <c r="H34" s="30" t="n">
        <v>83.049303513307</v>
      </c>
      <c r="I34" s="30" t="n">
        <v>66.0235798499464</v>
      </c>
      <c r="J34" s="37" t="n">
        <f aca="false">(G34+H34+I34)/3</f>
        <v>61.3000323953825</v>
      </c>
      <c r="K34" s="38" t="n">
        <f aca="false">(J34-MIN(J$6:J$404))/(MAX(J$6:J$404)-MIN(J$6:J$404))*100</f>
        <v>60.6327550415729</v>
      </c>
    </row>
    <row r="35" customFormat="false" ht="15" hidden="false" customHeight="false" outlineLevel="0" collapsed="false">
      <c r="A35" s="26" t="n">
        <v>4102406</v>
      </c>
      <c r="B35" s="26" t="s">
        <v>97</v>
      </c>
      <c r="C35" s="26" t="s">
        <v>86</v>
      </c>
      <c r="D35" s="30" t="n">
        <v>5.17</v>
      </c>
      <c r="E35" s="28" t="n">
        <v>0.123461132606402</v>
      </c>
      <c r="F35" s="29" t="n">
        <v>12.12</v>
      </c>
      <c r="G35" s="30" t="n">
        <v>9.30525557955364</v>
      </c>
      <c r="H35" s="30" t="n">
        <v>71.757456418618</v>
      </c>
      <c r="I35" s="30" t="n">
        <v>64.951768488746</v>
      </c>
      <c r="J35" s="37" t="n">
        <f aca="false">(G35+H35+I35)/3</f>
        <v>48.6714934956392</v>
      </c>
      <c r="K35" s="38" t="n">
        <f aca="false">(J35-MIN(J$6:J$404))/(MAX(J$6:J$404)-MIN(J$6:J$404))*100</f>
        <v>36.9809249743462</v>
      </c>
    </row>
    <row r="36" customFormat="false" ht="15" hidden="false" customHeight="false" outlineLevel="0" collapsed="false">
      <c r="A36" s="26" t="n">
        <v>4102505</v>
      </c>
      <c r="B36" s="26" t="s">
        <v>98</v>
      </c>
      <c r="C36" s="26" t="s">
        <v>65</v>
      </c>
      <c r="D36" s="30" t="n">
        <v>0</v>
      </c>
      <c r="E36" s="28" t="n">
        <v>0.118017600741084</v>
      </c>
      <c r="F36" s="29" t="n">
        <v>10.56</v>
      </c>
      <c r="G36" s="30" t="n">
        <v>0</v>
      </c>
      <c r="H36" s="30" t="n">
        <v>68.5935942998879</v>
      </c>
      <c r="I36" s="30" t="n">
        <v>56.5916398713826</v>
      </c>
      <c r="J36" s="37" t="n">
        <f aca="false">(G36+H36+I36)/3</f>
        <v>41.7284113904235</v>
      </c>
      <c r="K36" s="38" t="n">
        <f aca="false">(J36-MIN(J$6:J$404))/(MAX(J$6:J$404)-MIN(J$6:J$404))*100</f>
        <v>23.9773147072312</v>
      </c>
    </row>
    <row r="37" customFormat="false" ht="15" hidden="false" customHeight="false" outlineLevel="0" collapsed="false">
      <c r="A37" s="26" t="n">
        <v>4102703</v>
      </c>
      <c r="B37" s="26" t="s">
        <v>99</v>
      </c>
      <c r="C37" s="26" t="s">
        <v>71</v>
      </c>
      <c r="D37" s="30" t="n">
        <v>0</v>
      </c>
      <c r="E37" s="28" t="n">
        <v>0.113361762615494</v>
      </c>
      <c r="F37" s="29" t="n">
        <v>10.31</v>
      </c>
      <c r="G37" s="30" t="n">
        <v>0</v>
      </c>
      <c r="H37" s="30" t="n">
        <v>65.8875515612857</v>
      </c>
      <c r="I37" s="30" t="n">
        <v>55.2518756698821</v>
      </c>
      <c r="J37" s="37" t="n">
        <f aca="false">(G37+H37+I37)/3</f>
        <v>40.3798090770559</v>
      </c>
      <c r="K37" s="38" t="n">
        <f aca="false">(J37-MIN(J$6:J$404))/(MAX(J$6:J$404)-MIN(J$6:J$404))*100</f>
        <v>21.4515345677182</v>
      </c>
    </row>
    <row r="38" customFormat="false" ht="15" hidden="false" customHeight="false" outlineLevel="0" collapsed="false">
      <c r="A38" s="26" t="n">
        <v>4102604</v>
      </c>
      <c r="B38" s="26" t="s">
        <v>100</v>
      </c>
      <c r="C38" s="26" t="s">
        <v>65</v>
      </c>
      <c r="D38" s="30" t="n">
        <v>0</v>
      </c>
      <c r="E38" s="28" t="n">
        <v>0.138948662772825</v>
      </c>
      <c r="F38" s="29" t="n">
        <v>13.42</v>
      </c>
      <c r="G38" s="30" t="n">
        <v>0</v>
      </c>
      <c r="H38" s="30" t="n">
        <v>80.7590405405794</v>
      </c>
      <c r="I38" s="30" t="n">
        <v>71.9185423365488</v>
      </c>
      <c r="J38" s="37" t="n">
        <f aca="false">(G38+H38+I38)/3</f>
        <v>50.8925276257094</v>
      </c>
      <c r="K38" s="38" t="n">
        <f aca="false">(J38-MIN(J$6:J$404))/(MAX(J$6:J$404)-MIN(J$6:J$404))*100</f>
        <v>41.1406715796323</v>
      </c>
    </row>
    <row r="39" customFormat="false" ht="15" hidden="false" customHeight="false" outlineLevel="0" collapsed="false">
      <c r="A39" s="26" t="n">
        <v>4102752</v>
      </c>
      <c r="B39" s="26" t="s">
        <v>101</v>
      </c>
      <c r="C39" s="26" t="s">
        <v>71</v>
      </c>
      <c r="D39" s="30" t="n">
        <v>25</v>
      </c>
      <c r="E39" s="28" t="n">
        <v>0.128256015876954</v>
      </c>
      <c r="F39" s="29" t="n">
        <v>11.66</v>
      </c>
      <c r="G39" s="30" t="n">
        <v>44.996400287977</v>
      </c>
      <c r="H39" s="30" t="n">
        <v>74.5443142746518</v>
      </c>
      <c r="I39" s="30" t="n">
        <v>62.486602357985</v>
      </c>
      <c r="J39" s="37" t="n">
        <f aca="false">(G39+H39+I39)/3</f>
        <v>60.6757723068713</v>
      </c>
      <c r="K39" s="38" t="n">
        <f aca="false">(J39-MIN(J$6:J$404))/(MAX(J$6:J$404)-MIN(J$6:J$404))*100</f>
        <v>59.4635862526546</v>
      </c>
    </row>
    <row r="40" customFormat="false" ht="15" hidden="false" customHeight="false" outlineLevel="0" collapsed="false">
      <c r="A40" s="26" t="n">
        <v>4102802</v>
      </c>
      <c r="B40" s="26" t="s">
        <v>102</v>
      </c>
      <c r="C40" s="26" t="s">
        <v>65</v>
      </c>
      <c r="D40" s="30" t="n">
        <v>19.35</v>
      </c>
      <c r="E40" s="28" t="n">
        <v>0.12182296231376</v>
      </c>
      <c r="F40" s="29" t="n">
        <v>10.45</v>
      </c>
      <c r="G40" s="30" t="n">
        <v>34.8272138228942</v>
      </c>
      <c r="H40" s="30" t="n">
        <v>70.8053273485302</v>
      </c>
      <c r="I40" s="30" t="n">
        <v>56.0021436227224</v>
      </c>
      <c r="J40" s="37" t="n">
        <f aca="false">(G40+H40+I40)/3</f>
        <v>53.8782282647156</v>
      </c>
      <c r="K40" s="38" t="n">
        <f aca="false">(J40-MIN(J$6:J$404))/(MAX(J$6:J$404)-MIN(J$6:J$404))*100</f>
        <v>46.7325523748698</v>
      </c>
    </row>
    <row r="41" customFormat="false" ht="15" hidden="false" customHeight="false" outlineLevel="0" collapsed="false">
      <c r="A41" s="26" t="n">
        <v>4102901</v>
      </c>
      <c r="B41" s="26" t="s">
        <v>103</v>
      </c>
      <c r="C41" s="26" t="s">
        <v>65</v>
      </c>
      <c r="D41" s="30" t="n">
        <v>14.87</v>
      </c>
      <c r="E41" s="28" t="n">
        <v>0.144209103199639</v>
      </c>
      <c r="F41" s="29" t="n">
        <v>16.42</v>
      </c>
      <c r="G41" s="30" t="n">
        <v>26.7638588912887</v>
      </c>
      <c r="H41" s="30" t="n">
        <v>83.8164871774353</v>
      </c>
      <c r="I41" s="30" t="n">
        <v>87.9957127545552</v>
      </c>
      <c r="J41" s="37" t="n">
        <f aca="false">(G41+H41+I41)/3</f>
        <v>66.1920196077598</v>
      </c>
      <c r="K41" s="38" t="n">
        <f aca="false">(J41-MIN(J$6:J$404))/(MAX(J$6:J$404)-MIN(J$6:J$404))*100</f>
        <v>69.7948957418359</v>
      </c>
    </row>
    <row r="42" customFormat="false" ht="15" hidden="false" customHeight="false" outlineLevel="0" collapsed="false">
      <c r="A42" s="26" t="n">
        <v>4103008</v>
      </c>
      <c r="B42" s="26" t="s">
        <v>104</v>
      </c>
      <c r="C42" s="26" t="s">
        <v>71</v>
      </c>
      <c r="D42" s="30" t="n">
        <v>0</v>
      </c>
      <c r="E42" s="28" t="n">
        <v>0.116279069767442</v>
      </c>
      <c r="F42" s="29" t="n">
        <v>9.21</v>
      </c>
      <c r="G42" s="30" t="n">
        <v>0</v>
      </c>
      <c r="H42" s="30" t="n">
        <v>67.5831341012823</v>
      </c>
      <c r="I42" s="30" t="n">
        <v>49.3569131832798</v>
      </c>
      <c r="J42" s="37" t="n">
        <f aca="false">(G42+H42+I42)/3</f>
        <v>38.9800157615207</v>
      </c>
      <c r="K42" s="38" t="n">
        <f aca="false">(J42-MIN(J$6:J$404))/(MAX(J$6:J$404)-MIN(J$6:J$404))*100</f>
        <v>18.8298794505967</v>
      </c>
    </row>
    <row r="43" customFormat="false" ht="15" hidden="false" customHeight="false" outlineLevel="0" collapsed="false">
      <c r="A43" s="26" t="n">
        <v>4103024</v>
      </c>
      <c r="B43" s="26" t="s">
        <v>105</v>
      </c>
      <c r="C43" s="26" t="s">
        <v>71</v>
      </c>
      <c r="D43" s="30" t="n">
        <v>0</v>
      </c>
      <c r="E43" s="28" t="n">
        <v>0.138492871690428</v>
      </c>
      <c r="F43" s="29" t="n">
        <v>11.41</v>
      </c>
      <c r="G43" s="30" t="n">
        <v>0</v>
      </c>
      <c r="H43" s="30" t="n">
        <v>80.4941279479224</v>
      </c>
      <c r="I43" s="30" t="n">
        <v>61.1468381564845</v>
      </c>
      <c r="J43" s="37" t="n">
        <f aca="false">(G43+H43+I43)/3</f>
        <v>47.2136553681356</v>
      </c>
      <c r="K43" s="38" t="n">
        <f aca="false">(J43-MIN(J$6:J$404))/(MAX(J$6:J$404)-MIN(J$6:J$404))*100</f>
        <v>34.2505584663142</v>
      </c>
    </row>
    <row r="44" customFormat="false" ht="15" hidden="false" customHeight="false" outlineLevel="0" collapsed="false">
      <c r="A44" s="26" t="n">
        <v>4103040</v>
      </c>
      <c r="B44" s="26" t="s">
        <v>106</v>
      </c>
      <c r="C44" s="26" t="s">
        <v>65</v>
      </c>
      <c r="D44" s="30" t="n">
        <v>23.26</v>
      </c>
      <c r="E44" s="28" t="n">
        <v>0.137660708686109</v>
      </c>
      <c r="F44" s="29" t="n">
        <v>10.66</v>
      </c>
      <c r="G44" s="30" t="n">
        <v>41.8646508279338</v>
      </c>
      <c r="H44" s="30" t="n">
        <v>80.0104623662532</v>
      </c>
      <c r="I44" s="30" t="n">
        <v>57.1275455519829</v>
      </c>
      <c r="J44" s="37" t="n">
        <f aca="false">(G44+H44+I44)/3</f>
        <v>59.6675529153899</v>
      </c>
      <c r="K44" s="38" t="n">
        <f aca="false">(J44-MIN(J$6:J$404))/(MAX(J$6:J$404)-MIN(J$6:J$404))*100</f>
        <v>57.5753049631791</v>
      </c>
    </row>
    <row r="45" customFormat="false" ht="15" hidden="false" customHeight="false" outlineLevel="0" collapsed="false">
      <c r="A45" s="26" t="n">
        <v>4103057</v>
      </c>
      <c r="B45" s="26" t="s">
        <v>107</v>
      </c>
      <c r="C45" s="26" t="s">
        <v>65</v>
      </c>
      <c r="D45" s="30" t="n">
        <v>0</v>
      </c>
      <c r="E45" s="28" t="n">
        <v>0.141216557294296</v>
      </c>
      <c r="F45" s="29" t="n">
        <v>13.38</v>
      </c>
      <c r="G45" s="30" t="n">
        <v>0</v>
      </c>
      <c r="H45" s="30" t="n">
        <v>82.0771747488996</v>
      </c>
      <c r="I45" s="30" t="n">
        <v>71.7041800643087</v>
      </c>
      <c r="J45" s="37" t="n">
        <f aca="false">(G45+H45+I45)/3</f>
        <v>51.2604516044028</v>
      </c>
      <c r="K45" s="38" t="n">
        <f aca="false">(J45-MIN(J$6:J$404))/(MAX(J$6:J$404)-MIN(J$6:J$404))*100</f>
        <v>41.829751725071</v>
      </c>
    </row>
    <row r="46" customFormat="false" ht="15" hidden="false" customHeight="false" outlineLevel="0" collapsed="false">
      <c r="A46" s="26" t="n">
        <v>4103107</v>
      </c>
      <c r="B46" s="26" t="s">
        <v>108</v>
      </c>
      <c r="C46" s="26" t="s">
        <v>65</v>
      </c>
      <c r="D46" s="30" t="n">
        <v>15.31</v>
      </c>
      <c r="E46" s="28" t="n">
        <v>0.151139183397248</v>
      </c>
      <c r="F46" s="29" t="n">
        <v>12.71</v>
      </c>
      <c r="G46" s="30" t="n">
        <v>27.5557955363571</v>
      </c>
      <c r="H46" s="30" t="n">
        <v>87.8443534156528</v>
      </c>
      <c r="I46" s="30" t="n">
        <v>68.1136120042873</v>
      </c>
      <c r="J46" s="37" t="n">
        <f aca="false">(G46+H46+I46)/3</f>
        <v>61.171253652099</v>
      </c>
      <c r="K46" s="38" t="n">
        <f aca="false">(J46-MIN(J$6:J$404))/(MAX(J$6:J$404)-MIN(J$6:J$404))*100</f>
        <v>60.3915669693349</v>
      </c>
    </row>
    <row r="47" customFormat="false" ht="15" hidden="false" customHeight="false" outlineLevel="0" collapsed="false">
      <c r="A47" s="26" t="n">
        <v>4103156</v>
      </c>
      <c r="B47" s="26" t="s">
        <v>109</v>
      </c>
      <c r="C47" s="26" t="s">
        <v>71</v>
      </c>
      <c r="D47" s="30" t="n">
        <v>0</v>
      </c>
      <c r="E47" s="28" t="n">
        <v>0.137185929648241</v>
      </c>
      <c r="F47" s="29" t="n">
        <v>10.3</v>
      </c>
      <c r="G47" s="30" t="n">
        <v>0</v>
      </c>
      <c r="H47" s="30" t="n">
        <v>79.7345136899451</v>
      </c>
      <c r="I47" s="30" t="n">
        <v>55.1982851018221</v>
      </c>
      <c r="J47" s="37" t="n">
        <f aca="false">(G47+H47+I47)/3</f>
        <v>44.9775995972557</v>
      </c>
      <c r="K47" s="38" t="n">
        <f aca="false">(J47-MIN(J$6:J$404))/(MAX(J$6:J$404)-MIN(J$6:J$404))*100</f>
        <v>30.0626780207966</v>
      </c>
    </row>
    <row r="48" customFormat="false" ht="15" hidden="false" customHeight="false" outlineLevel="0" collapsed="false">
      <c r="A48" s="26" t="n">
        <v>4103206</v>
      </c>
      <c r="B48" s="26" t="s">
        <v>110</v>
      </c>
      <c r="C48" s="26" t="s">
        <v>65</v>
      </c>
      <c r="D48" s="30" t="n">
        <v>0</v>
      </c>
      <c r="E48" s="28" t="n">
        <v>0.142683482753381</v>
      </c>
      <c r="F48" s="29" t="n">
        <v>10.33</v>
      </c>
      <c r="G48" s="30" t="n">
        <v>0</v>
      </c>
      <c r="H48" s="30" t="n">
        <v>82.9297737610539</v>
      </c>
      <c r="I48" s="30" t="n">
        <v>55.3590568060021</v>
      </c>
      <c r="J48" s="37" t="n">
        <f aca="false">(G48+H48+I48)/3</f>
        <v>46.0962768556853</v>
      </c>
      <c r="K48" s="38" t="n">
        <f aca="false">(J48-MIN(J$6:J$404))/(MAX(J$6:J$404)-MIN(J$6:J$404))*100</f>
        <v>32.1578344459778</v>
      </c>
    </row>
    <row r="49" customFormat="false" ht="15" hidden="false" customHeight="false" outlineLevel="0" collapsed="false">
      <c r="A49" s="26" t="n">
        <v>4103222</v>
      </c>
      <c r="B49" s="26" t="s">
        <v>111</v>
      </c>
      <c r="C49" s="26" t="s">
        <v>71</v>
      </c>
      <c r="D49" s="30" t="n">
        <v>0</v>
      </c>
      <c r="E49" s="28" t="n">
        <v>0.128669581511555</v>
      </c>
      <c r="F49" s="29" t="n">
        <v>12.49</v>
      </c>
      <c r="G49" s="30" t="n">
        <v>0</v>
      </c>
      <c r="H49" s="30" t="n">
        <v>74.7846848056414</v>
      </c>
      <c r="I49" s="30" t="n">
        <v>66.9346195069668</v>
      </c>
      <c r="J49" s="37" t="n">
        <f aca="false">(G49+H49+I49)/3</f>
        <v>47.2397681042027</v>
      </c>
      <c r="K49" s="38" t="n">
        <f aca="false">(J49-MIN(J$6:J$404))/(MAX(J$6:J$404)-MIN(J$6:J$404))*100</f>
        <v>34.2994646779474</v>
      </c>
    </row>
    <row r="50" customFormat="false" ht="15" hidden="false" customHeight="false" outlineLevel="0" collapsed="false">
      <c r="A50" s="26" t="n">
        <v>4103305</v>
      </c>
      <c r="B50" s="26" t="s">
        <v>112</v>
      </c>
      <c r="C50" s="26" t="s">
        <v>65</v>
      </c>
      <c r="D50" s="30" t="n">
        <v>12.66</v>
      </c>
      <c r="E50" s="28" t="n">
        <v>0.11906916612799</v>
      </c>
      <c r="F50" s="29" t="n">
        <v>10.86</v>
      </c>
      <c r="G50" s="30" t="n">
        <v>22.7861771058315</v>
      </c>
      <c r="H50" s="30" t="n">
        <v>69.2047798270998</v>
      </c>
      <c r="I50" s="30" t="n">
        <v>58.1993569131833</v>
      </c>
      <c r="J50" s="37" t="n">
        <f aca="false">(G50+H50+I50)/3</f>
        <v>50.0634379487049</v>
      </c>
      <c r="K50" s="38" t="n">
        <f aca="false">(J50-MIN(J$6:J$404))/(MAX(J$6:J$404)-MIN(J$6:J$404))*100</f>
        <v>39.5878800566635</v>
      </c>
    </row>
    <row r="51" customFormat="false" ht="15" hidden="false" customHeight="false" outlineLevel="0" collapsed="false">
      <c r="A51" s="26" t="n">
        <v>4103354</v>
      </c>
      <c r="B51" s="26" t="s">
        <v>113</v>
      </c>
      <c r="C51" s="26" t="s">
        <v>71</v>
      </c>
      <c r="D51" s="30" t="n">
        <v>0</v>
      </c>
      <c r="E51" s="28" t="n">
        <v>0.119489081170169</v>
      </c>
      <c r="F51" s="29" t="n">
        <v>11.74</v>
      </c>
      <c r="G51" s="30" t="n">
        <v>0</v>
      </c>
      <c r="H51" s="30" t="n">
        <v>69.4488407287178</v>
      </c>
      <c r="I51" s="30" t="n">
        <v>62.9153269024652</v>
      </c>
      <c r="J51" s="37" t="n">
        <f aca="false">(G51+H51+I51)/3</f>
        <v>44.1213892103943</v>
      </c>
      <c r="K51" s="38" t="n">
        <f aca="false">(J51-MIN(J$6:J$404))/(MAX(J$6:J$404)-MIN(J$6:J$404))*100</f>
        <v>28.4590924648895</v>
      </c>
    </row>
    <row r="52" customFormat="false" ht="15" hidden="false" customHeight="false" outlineLevel="0" collapsed="false">
      <c r="A52" s="26" t="n">
        <v>4103370</v>
      </c>
      <c r="B52" s="26" t="s">
        <v>114</v>
      </c>
      <c r="C52" s="26" t="s">
        <v>71</v>
      </c>
      <c r="D52" s="30" t="n">
        <v>23.81</v>
      </c>
      <c r="E52" s="28" t="n">
        <v>0.126752966558792</v>
      </c>
      <c r="F52" s="29" t="n">
        <v>11.6</v>
      </c>
      <c r="G52" s="30" t="n">
        <v>42.8545716342693</v>
      </c>
      <c r="H52" s="30" t="n">
        <v>73.6707195354324</v>
      </c>
      <c r="I52" s="30" t="n">
        <v>62.1650589496249</v>
      </c>
      <c r="J52" s="37" t="n">
        <f aca="false">(G52+H52+I52)/3</f>
        <v>59.5634500397755</v>
      </c>
      <c r="K52" s="38" t="n">
        <f aca="false">(J52-MIN(J$6:J$404))/(MAX(J$6:J$404)-MIN(J$6:J$404))*100</f>
        <v>57.3803320100062</v>
      </c>
    </row>
    <row r="53" customFormat="false" ht="15" hidden="false" customHeight="false" outlineLevel="0" collapsed="false">
      <c r="A53" s="26" t="n">
        <v>4103404</v>
      </c>
      <c r="B53" s="26" t="s">
        <v>115</v>
      </c>
      <c r="C53" s="26" t="s">
        <v>71</v>
      </c>
      <c r="D53" s="30" t="n">
        <v>0</v>
      </c>
      <c r="E53" s="28" t="n">
        <v>0.117624666920442</v>
      </c>
      <c r="F53" s="29" t="n">
        <v>8.76</v>
      </c>
      <c r="G53" s="30" t="n">
        <v>0</v>
      </c>
      <c r="H53" s="30" t="n">
        <v>68.3652152876847</v>
      </c>
      <c r="I53" s="30" t="n">
        <v>46.9453376205788</v>
      </c>
      <c r="J53" s="37" t="n">
        <f aca="false">(G53+H53+I53)/3</f>
        <v>38.4368509694212</v>
      </c>
      <c r="K53" s="38" t="n">
        <f aca="false">(J53-MIN(J$6:J$404))/(MAX(J$6:J$404)-MIN(J$6:J$404))*100</f>
        <v>17.8125930120603</v>
      </c>
    </row>
    <row r="54" customFormat="false" ht="15" hidden="false" customHeight="false" outlineLevel="0" collapsed="false">
      <c r="A54" s="26" t="n">
        <v>4103453</v>
      </c>
      <c r="B54" s="26" t="s">
        <v>116</v>
      </c>
      <c r="C54" s="26" t="s">
        <v>65</v>
      </c>
      <c r="D54" s="30" t="n">
        <v>3.15</v>
      </c>
      <c r="E54" s="28" t="n">
        <v>0.135231878717692</v>
      </c>
      <c r="F54" s="29" t="n">
        <v>13.79</v>
      </c>
      <c r="G54" s="30" t="n">
        <v>5.6695464362851</v>
      </c>
      <c r="H54" s="30" t="n">
        <v>78.5987900696568</v>
      </c>
      <c r="I54" s="30" t="n">
        <v>73.9013933547696</v>
      </c>
      <c r="J54" s="37" t="n">
        <f aca="false">(G54+H54+I54)/3</f>
        <v>52.7232432869038</v>
      </c>
      <c r="K54" s="38" t="n">
        <f aca="false">(J54-MIN(J$6:J$404))/(MAX(J$6:J$404)-MIN(J$6:J$404))*100</f>
        <v>44.5693956833258</v>
      </c>
    </row>
    <row r="55" customFormat="false" ht="15" hidden="false" customHeight="false" outlineLevel="0" collapsed="false">
      <c r="A55" s="26" t="n">
        <v>4103479</v>
      </c>
      <c r="B55" s="26" t="s">
        <v>117</v>
      </c>
      <c r="C55" s="26" t="s">
        <v>71</v>
      </c>
      <c r="D55" s="30" t="n">
        <v>15.38</v>
      </c>
      <c r="E55" s="28" t="n">
        <v>0.116923764811089</v>
      </c>
      <c r="F55" s="29" t="n">
        <v>11.18</v>
      </c>
      <c r="G55" s="30" t="n">
        <v>27.6817854571634</v>
      </c>
      <c r="H55" s="30" t="n">
        <v>67.9578405009496</v>
      </c>
      <c r="I55" s="30" t="n">
        <v>59.914255091104</v>
      </c>
      <c r="J55" s="37" t="n">
        <f aca="false">(G55+H55+I55)/3</f>
        <v>51.8512936830723</v>
      </c>
      <c r="K55" s="38" t="n">
        <f aca="false">(J55-MIN(J$6:J$404))/(MAX(J$6:J$404)-MIN(J$6:J$404))*100</f>
        <v>42.9363323479128</v>
      </c>
    </row>
    <row r="56" customFormat="false" ht="15" hidden="false" customHeight="false" outlineLevel="0" collapsed="false">
      <c r="A56" s="26" t="n">
        <v>4103503</v>
      </c>
      <c r="B56" s="26" t="s">
        <v>118</v>
      </c>
      <c r="C56" s="26" t="s">
        <v>65</v>
      </c>
      <c r="D56" s="30" t="n">
        <v>25.42</v>
      </c>
      <c r="E56" s="28" t="n">
        <v>0.134098737083812</v>
      </c>
      <c r="F56" s="29" t="n">
        <v>11.25</v>
      </c>
      <c r="G56" s="30" t="n">
        <v>45.752339812815</v>
      </c>
      <c r="H56" s="30" t="n">
        <v>77.9401912078715</v>
      </c>
      <c r="I56" s="30" t="n">
        <v>60.2893890675241</v>
      </c>
      <c r="J56" s="37" t="n">
        <f aca="false">(G56+H56+I56)/3</f>
        <v>61.3273066960702</v>
      </c>
      <c r="K56" s="38" t="n">
        <f aca="false">(J56-MIN(J$6:J$404))/(MAX(J$6:J$404)-MIN(J$6:J$404))*100</f>
        <v>60.683836732827</v>
      </c>
    </row>
    <row r="57" customFormat="false" ht="15" hidden="false" customHeight="false" outlineLevel="0" collapsed="false">
      <c r="A57" s="26" t="n">
        <v>4103602</v>
      </c>
      <c r="B57" s="26" t="s">
        <v>119</v>
      </c>
      <c r="C57" s="26" t="s">
        <v>86</v>
      </c>
      <c r="D57" s="30" t="n">
        <v>10.75</v>
      </c>
      <c r="E57" s="28" t="n">
        <v>0.12247975185249</v>
      </c>
      <c r="F57" s="29" t="n">
        <v>10.17</v>
      </c>
      <c r="G57" s="30" t="n">
        <v>19.3484521238301</v>
      </c>
      <c r="H57" s="30" t="n">
        <v>71.1870632495921</v>
      </c>
      <c r="I57" s="30" t="n">
        <v>54.5016077170418</v>
      </c>
      <c r="J57" s="37" t="n">
        <f aca="false">(G57+H57+I57)/3</f>
        <v>48.3457076968213</v>
      </c>
      <c r="K57" s="38" t="n">
        <f aca="false">(J57-MIN(J$6:J$404))/(MAX(J$6:J$404)-MIN(J$6:J$404))*100</f>
        <v>36.3707648906557</v>
      </c>
    </row>
    <row r="58" customFormat="false" ht="15" hidden="false" customHeight="false" outlineLevel="0" collapsed="false">
      <c r="A58" s="26" t="n">
        <v>4103701</v>
      </c>
      <c r="B58" s="26" t="s">
        <v>120</v>
      </c>
      <c r="C58" s="26" t="s">
        <v>69</v>
      </c>
      <c r="D58" s="30" t="n">
        <v>7.26</v>
      </c>
      <c r="E58" s="28" t="n">
        <v>0.125027982986344</v>
      </c>
      <c r="F58" s="29" t="n">
        <v>11.76</v>
      </c>
      <c r="G58" s="30" t="n">
        <v>13.0669546436285</v>
      </c>
      <c r="H58" s="30" t="n">
        <v>72.668133288979</v>
      </c>
      <c r="I58" s="30" t="n">
        <v>63.0225080385852</v>
      </c>
      <c r="J58" s="37" t="n">
        <f aca="false">(G58+H58+I58)/3</f>
        <v>49.5858653237309</v>
      </c>
      <c r="K58" s="38" t="n">
        <f aca="false">(J58-MIN(J$6:J$404))/(MAX(J$6:J$404)-MIN(J$6:J$404))*100</f>
        <v>38.693440354627</v>
      </c>
    </row>
    <row r="59" customFormat="false" ht="15" hidden="false" customHeight="false" outlineLevel="0" collapsed="false">
      <c r="A59" s="26" t="n">
        <v>4103800</v>
      </c>
      <c r="B59" s="26" t="s">
        <v>121</v>
      </c>
      <c r="C59" s="26" t="s">
        <v>65</v>
      </c>
      <c r="D59" s="30" t="n">
        <v>0</v>
      </c>
      <c r="E59" s="28" t="n">
        <v>0.129704016913319</v>
      </c>
      <c r="F59" s="29" t="n">
        <v>11.63</v>
      </c>
      <c r="G59" s="30" t="n">
        <v>0</v>
      </c>
      <c r="H59" s="30" t="n">
        <v>75.3859141293395</v>
      </c>
      <c r="I59" s="30" t="n">
        <v>62.3258306538049</v>
      </c>
      <c r="J59" s="37" t="n">
        <f aca="false">(G59+H59+I59)/3</f>
        <v>45.9039149277148</v>
      </c>
      <c r="K59" s="38" t="n">
        <f aca="false">(J59-MIN(J$6:J$404))/(MAX(J$6:J$404)-MIN(J$6:J$404))*100</f>
        <v>31.7975622349261</v>
      </c>
    </row>
    <row r="60" customFormat="false" ht="15" hidden="false" customHeight="false" outlineLevel="0" collapsed="false">
      <c r="A60" s="26" t="n">
        <v>4104006</v>
      </c>
      <c r="B60" s="26" t="s">
        <v>122</v>
      </c>
      <c r="C60" s="26" t="s">
        <v>86</v>
      </c>
      <c r="D60" s="30" t="n">
        <v>8.8</v>
      </c>
      <c r="E60" s="28" t="n">
        <v>0.1506116048092</v>
      </c>
      <c r="F60" s="29" t="n">
        <v>14.53</v>
      </c>
      <c r="G60" s="30" t="n">
        <v>15.8387329013679</v>
      </c>
      <c r="H60" s="30" t="n">
        <v>87.5377168512539</v>
      </c>
      <c r="I60" s="30" t="n">
        <v>77.8670953912111</v>
      </c>
      <c r="J60" s="37" t="n">
        <f aca="false">(G60+H60+I60)/3</f>
        <v>60.4145150479443</v>
      </c>
      <c r="K60" s="38" t="n">
        <f aca="false">(J60-MIN(J$6:J$404))/(MAX(J$6:J$404)-MIN(J$6:J$404))*100</f>
        <v>58.9742808515289</v>
      </c>
    </row>
    <row r="61" customFormat="false" ht="15" hidden="false" customHeight="false" outlineLevel="0" collapsed="false">
      <c r="A61" s="26" t="n">
        <v>4103909</v>
      </c>
      <c r="B61" s="26" t="s">
        <v>123</v>
      </c>
      <c r="C61" s="26" t="s">
        <v>65</v>
      </c>
      <c r="D61" s="30" t="n">
        <v>20.41</v>
      </c>
      <c r="E61" s="28" t="n">
        <v>0.13375310055333</v>
      </c>
      <c r="F61" s="29" t="n">
        <v>13.1</v>
      </c>
      <c r="G61" s="30" t="n">
        <v>36.7350611951044</v>
      </c>
      <c r="H61" s="30" t="n">
        <v>77.7393020879585</v>
      </c>
      <c r="I61" s="30" t="n">
        <v>70.2036441586281</v>
      </c>
      <c r="J61" s="37" t="n">
        <f aca="false">(G61+H61+I61)/3</f>
        <v>61.559335813897</v>
      </c>
      <c r="K61" s="38" t="n">
        <f aca="false">(J61-MIN(J$6:J$404))/(MAX(J$6:J$404)-MIN(J$6:J$404))*100</f>
        <v>61.1184011198124</v>
      </c>
    </row>
    <row r="62" customFormat="false" ht="15" hidden="false" customHeight="false" outlineLevel="0" collapsed="false">
      <c r="A62" s="26" t="n">
        <v>4103958</v>
      </c>
      <c r="B62" s="26" t="s">
        <v>124</v>
      </c>
      <c r="C62" s="26" t="s">
        <v>71</v>
      </c>
      <c r="D62" s="30" t="n">
        <v>0</v>
      </c>
      <c r="E62" s="28" t="n">
        <v>0.141514227642276</v>
      </c>
      <c r="F62" s="29" t="n">
        <v>17.78</v>
      </c>
      <c r="G62" s="30" t="n">
        <v>0</v>
      </c>
      <c r="H62" s="30" t="n">
        <v>82.2501852062913</v>
      </c>
      <c r="I62" s="30" t="n">
        <v>95.2840300107181</v>
      </c>
      <c r="J62" s="37" t="n">
        <f aca="false">(G62+H62+I62)/3</f>
        <v>59.1780717390031</v>
      </c>
      <c r="K62" s="38" t="n">
        <f aca="false">(J62-MIN(J$6:J$404))/(MAX(J$6:J$404)-MIN(J$6:J$404))*100</f>
        <v>56.6585618864926</v>
      </c>
    </row>
    <row r="63" customFormat="false" ht="15" hidden="false" customHeight="false" outlineLevel="0" collapsed="false">
      <c r="A63" s="26" t="n">
        <v>4104055</v>
      </c>
      <c r="B63" s="26" t="s">
        <v>125</v>
      </c>
      <c r="C63" s="26" t="s">
        <v>71</v>
      </c>
      <c r="D63" s="30" t="n">
        <v>0</v>
      </c>
      <c r="E63" s="28" t="n">
        <v>0.131114973926</v>
      </c>
      <c r="F63" s="29" t="n">
        <v>14.15</v>
      </c>
      <c r="G63" s="30" t="n">
        <v>0</v>
      </c>
      <c r="H63" s="30" t="n">
        <v>76.2059834435319</v>
      </c>
      <c r="I63" s="30" t="n">
        <v>75.8306538049303</v>
      </c>
      <c r="J63" s="37" t="n">
        <f aca="false">(G63+H63+I63)/3</f>
        <v>50.6788790828207</v>
      </c>
      <c r="K63" s="38" t="n">
        <f aca="false">(J63-MIN(J$6:J$404))/(MAX(J$6:J$404)-MIN(J$6:J$404))*100</f>
        <v>40.7405319379343</v>
      </c>
    </row>
    <row r="64" customFormat="false" ht="15" hidden="false" customHeight="false" outlineLevel="0" collapsed="false">
      <c r="A64" s="26" t="n">
        <v>4104204</v>
      </c>
      <c r="B64" s="26" t="s">
        <v>126</v>
      </c>
      <c r="C64" s="26" t="s">
        <v>69</v>
      </c>
      <c r="D64" s="30" t="n">
        <v>10.7</v>
      </c>
      <c r="E64" s="28" t="n">
        <v>0.135974531824217</v>
      </c>
      <c r="F64" s="29" t="n">
        <v>11.42</v>
      </c>
      <c r="G64" s="30" t="n">
        <v>19.2584593232541</v>
      </c>
      <c r="H64" s="30" t="n">
        <v>79.0304311602621</v>
      </c>
      <c r="I64" s="30" t="n">
        <v>61.2004287245445</v>
      </c>
      <c r="J64" s="37" t="n">
        <f aca="false">(G64+H64+I64)/3</f>
        <v>53.1631064026869</v>
      </c>
      <c r="K64" s="38" t="n">
        <f aca="false">(J64-MIN(J$6:J$404))/(MAX(J$6:J$404)-MIN(J$6:J$404))*100</f>
        <v>45.3932097246757</v>
      </c>
    </row>
    <row r="65" customFormat="false" ht="15" hidden="false" customHeight="false" outlineLevel="0" collapsed="false">
      <c r="A65" s="26" t="n">
        <v>4104253</v>
      </c>
      <c r="B65" s="26" t="s">
        <v>127</v>
      </c>
      <c r="C65" s="26" t="s">
        <v>86</v>
      </c>
      <c r="D65" s="30" t="n">
        <v>5.31</v>
      </c>
      <c r="E65" s="28" t="n">
        <v>0.140384615384615</v>
      </c>
      <c r="F65" s="29" t="n">
        <v>11.27</v>
      </c>
      <c r="G65" s="30" t="n">
        <v>9.55723542116631</v>
      </c>
      <c r="H65" s="30" t="n">
        <v>81.5936376707405</v>
      </c>
      <c r="I65" s="30" t="n">
        <v>60.3965702036442</v>
      </c>
      <c r="J65" s="37" t="n">
        <f aca="false">(G65+H65+I65)/3</f>
        <v>50.5158144318503</v>
      </c>
      <c r="K65" s="38" t="n">
        <f aca="false">(J65-MIN(J$6:J$404))/(MAX(J$6:J$404)-MIN(J$6:J$404))*100</f>
        <v>40.4351302247715</v>
      </c>
    </row>
    <row r="66" customFormat="false" ht="15" hidden="false" customHeight="false" outlineLevel="0" collapsed="false">
      <c r="A66" s="26" t="n">
        <v>4104303</v>
      </c>
      <c r="B66" s="26" t="s">
        <v>128</v>
      </c>
      <c r="C66" s="26" t="s">
        <v>129</v>
      </c>
      <c r="D66" s="30" t="n">
        <v>11.97</v>
      </c>
      <c r="E66" s="28" t="n">
        <v>0.128127765709228</v>
      </c>
      <c r="F66" s="29" t="n">
        <v>11.98</v>
      </c>
      <c r="G66" s="30" t="n">
        <v>21.5442764578834</v>
      </c>
      <c r="H66" s="30" t="n">
        <v>74.4697733594104</v>
      </c>
      <c r="I66" s="30" t="n">
        <v>64.2015005359057</v>
      </c>
      <c r="J66" s="37" t="n">
        <f aca="false">(G66+H66+I66)/3</f>
        <v>53.4051834510665</v>
      </c>
      <c r="K66" s="38" t="n">
        <f aca="false">(J66-MIN(J$6:J$404))/(MAX(J$6:J$404)-MIN(J$6:J$404))*100</f>
        <v>45.8465927531405</v>
      </c>
    </row>
    <row r="67" customFormat="false" ht="15" hidden="false" customHeight="false" outlineLevel="0" collapsed="false">
      <c r="A67" s="26" t="n">
        <v>4104105</v>
      </c>
      <c r="B67" s="26" t="s">
        <v>130</v>
      </c>
      <c r="C67" s="26" t="s">
        <v>65</v>
      </c>
      <c r="D67" s="30" t="n">
        <v>18.02</v>
      </c>
      <c r="E67" s="28" t="n">
        <v>0.161827384123601</v>
      </c>
      <c r="F67" s="29" t="n">
        <v>15.45</v>
      </c>
      <c r="G67" s="30" t="n">
        <v>32.4334053275738</v>
      </c>
      <c r="H67" s="30" t="n">
        <v>94.0564955013718</v>
      </c>
      <c r="I67" s="30" t="n">
        <v>82.7974276527331</v>
      </c>
      <c r="J67" s="37" t="n">
        <f aca="false">(G67+H67+I67)/3</f>
        <v>69.7624428272262</v>
      </c>
      <c r="K67" s="38" t="n">
        <f aca="false">(J67-MIN(J$6:J$404))/(MAX(J$6:J$404)-MIN(J$6:J$404))*100</f>
        <v>76.4818960294636</v>
      </c>
    </row>
    <row r="68" customFormat="false" ht="15" hidden="false" customHeight="false" outlineLevel="0" collapsed="false">
      <c r="A68" s="26" t="n">
        <v>4104428</v>
      </c>
      <c r="B68" s="26" t="s">
        <v>131</v>
      </c>
      <c r="C68" s="26" t="s">
        <v>65</v>
      </c>
      <c r="D68" s="30" t="n">
        <v>9.26</v>
      </c>
      <c r="E68" s="28" t="n">
        <v>0.149669404928872</v>
      </c>
      <c r="F68" s="29" t="n">
        <v>13.02</v>
      </c>
      <c r="G68" s="30" t="n">
        <v>16.6666666666667</v>
      </c>
      <c r="H68" s="30" t="n">
        <v>86.9900961918369</v>
      </c>
      <c r="I68" s="30" t="n">
        <v>69.7749196141479</v>
      </c>
      <c r="J68" s="37" t="n">
        <f aca="false">(G68+H68+I68)/3</f>
        <v>57.8105608242172</v>
      </c>
      <c r="K68" s="38" t="n">
        <f aca="false">(J68-MIN(J$6:J$404))/(MAX(J$6:J$404)-MIN(J$6:J$404))*100</f>
        <v>54.0973680676056</v>
      </c>
    </row>
    <row r="69" customFormat="false" ht="15" hidden="false" customHeight="false" outlineLevel="0" collapsed="false">
      <c r="A69" s="26" t="n">
        <v>4104451</v>
      </c>
      <c r="B69" s="26" t="s">
        <v>132</v>
      </c>
      <c r="C69" s="26" t="s">
        <v>65</v>
      </c>
      <c r="D69" s="30" t="n">
        <v>13.25</v>
      </c>
      <c r="E69" s="28" t="n">
        <v>0.147352053416263</v>
      </c>
      <c r="F69" s="29" t="n">
        <v>16.19</v>
      </c>
      <c r="G69" s="30" t="n">
        <v>23.8480921526278</v>
      </c>
      <c r="H69" s="30" t="n">
        <v>85.6432168407232</v>
      </c>
      <c r="I69" s="30" t="n">
        <v>86.7631296891747</v>
      </c>
      <c r="J69" s="37" t="n">
        <f aca="false">(G69+H69+I69)/3</f>
        <v>65.4181462275086</v>
      </c>
      <c r="K69" s="38" t="n">
        <f aca="false">(J69-MIN(J$6:J$404))/(MAX(J$6:J$404)-MIN(J$6:J$404))*100</f>
        <v>68.3455181195661</v>
      </c>
    </row>
    <row r="70" customFormat="false" ht="15" hidden="false" customHeight="false" outlineLevel="0" collapsed="false">
      <c r="A70" s="26" t="n">
        <v>4104501</v>
      </c>
      <c r="B70" s="26" t="s">
        <v>133</v>
      </c>
      <c r="C70" s="26" t="s">
        <v>86</v>
      </c>
      <c r="D70" s="30" t="n">
        <v>8.2</v>
      </c>
      <c r="E70" s="28" t="n">
        <v>0.120306625653044</v>
      </c>
      <c r="F70" s="29" t="n">
        <v>13.33</v>
      </c>
      <c r="G70" s="30" t="n">
        <v>14.7588192944564</v>
      </c>
      <c r="H70" s="30" t="n">
        <v>69.9240098071292</v>
      </c>
      <c r="I70" s="30" t="n">
        <v>71.4362272240086</v>
      </c>
      <c r="J70" s="37" t="n">
        <f aca="false">(G70+H70+I70)/3</f>
        <v>52.0396854418647</v>
      </c>
      <c r="K70" s="38" t="n">
        <f aca="false">(J70-MIN(J$6:J$404))/(MAX(J$6:J$404)-MIN(J$6:J$404))*100</f>
        <v>43.2891688795495</v>
      </c>
    </row>
    <row r="71" customFormat="false" ht="15" hidden="false" customHeight="false" outlineLevel="0" collapsed="false">
      <c r="A71" s="26" t="n">
        <v>4104600</v>
      </c>
      <c r="B71" s="26" t="s">
        <v>134</v>
      </c>
      <c r="C71" s="26" t="s">
        <v>65</v>
      </c>
      <c r="D71" s="30" t="n">
        <v>15.63</v>
      </c>
      <c r="E71" s="28" t="n">
        <v>0.132099945385036</v>
      </c>
      <c r="F71" s="29" t="n">
        <v>14.27</v>
      </c>
      <c r="G71" s="30" t="n">
        <v>28.1317494600432</v>
      </c>
      <c r="H71" s="30" t="n">
        <v>76.7784635840688</v>
      </c>
      <c r="I71" s="30" t="n">
        <v>76.4737406216506</v>
      </c>
      <c r="J71" s="37" t="n">
        <f aca="false">(G71+H71+I71)/3</f>
        <v>60.4613178885875</v>
      </c>
      <c r="K71" s="38" t="n">
        <f aca="false">(J71-MIN(J$6:J$404))/(MAX(J$6:J$404)-MIN(J$6:J$404))*100</f>
        <v>59.0619372971673</v>
      </c>
    </row>
    <row r="72" customFormat="false" ht="15" hidden="false" customHeight="false" outlineLevel="0" collapsed="false">
      <c r="A72" s="26" t="n">
        <v>4104659</v>
      </c>
      <c r="B72" s="26" t="s">
        <v>135</v>
      </c>
      <c r="C72" s="26" t="s">
        <v>86</v>
      </c>
      <c r="D72" s="30" t="n">
        <v>8.67</v>
      </c>
      <c r="E72" s="28" t="n">
        <v>0.16260791135163</v>
      </c>
      <c r="F72" s="29" t="n">
        <v>14.77</v>
      </c>
      <c r="G72" s="30" t="n">
        <v>15.6047516198704</v>
      </c>
      <c r="H72" s="30" t="n">
        <v>94.5101495977371</v>
      </c>
      <c r="I72" s="30" t="n">
        <v>79.1532690246517</v>
      </c>
      <c r="J72" s="37" t="n">
        <f aca="false">(G72+H72+I72)/3</f>
        <v>63.0893900807531</v>
      </c>
      <c r="K72" s="38" t="n">
        <f aca="false">(J72-MIN(J$6:J$404))/(MAX(J$6:J$404)-MIN(J$6:J$404))*100</f>
        <v>63.9840203177744</v>
      </c>
    </row>
    <row r="73" customFormat="false" ht="15" hidden="false" customHeight="false" outlineLevel="0" collapsed="false">
      <c r="A73" s="26" t="n">
        <v>4104709</v>
      </c>
      <c r="B73" s="26" t="s">
        <v>136</v>
      </c>
      <c r="C73" s="26" t="s">
        <v>65</v>
      </c>
      <c r="D73" s="30" t="n">
        <v>9.9</v>
      </c>
      <c r="E73" s="28" t="n">
        <v>0.131026323572907</v>
      </c>
      <c r="F73" s="29" t="n">
        <v>14.14</v>
      </c>
      <c r="G73" s="30" t="n">
        <v>17.8185745140389</v>
      </c>
      <c r="H73" s="30" t="n">
        <v>76.154458532702</v>
      </c>
      <c r="I73" s="30" t="n">
        <v>75.7770632368703</v>
      </c>
      <c r="J73" s="37" t="n">
        <f aca="false">(G73+H73+I73)/3</f>
        <v>56.5833654278704</v>
      </c>
      <c r="K73" s="38" t="n">
        <f aca="false">(J73-MIN(J$6:J$404))/(MAX(J$6:J$404)-MIN(J$6:J$404))*100</f>
        <v>51.798969400578</v>
      </c>
    </row>
    <row r="74" customFormat="false" ht="15" hidden="false" customHeight="false" outlineLevel="0" collapsed="false">
      <c r="A74" s="26" t="n">
        <v>4104808</v>
      </c>
      <c r="B74" s="26" t="s">
        <v>137</v>
      </c>
      <c r="C74" s="26" t="s">
        <v>138</v>
      </c>
      <c r="D74" s="30" t="n">
        <v>7.09</v>
      </c>
      <c r="E74" s="28" t="n">
        <v>0.129636174008981</v>
      </c>
      <c r="F74" s="29" t="n">
        <v>13.61</v>
      </c>
      <c r="G74" s="30" t="n">
        <v>12.7609791216703</v>
      </c>
      <c r="H74" s="30" t="n">
        <v>75.346482818865</v>
      </c>
      <c r="I74" s="30" t="n">
        <v>72.9367631296892</v>
      </c>
      <c r="J74" s="37" t="n">
        <f aca="false">(G74+H74+I74)/3</f>
        <v>53.6814083567415</v>
      </c>
      <c r="K74" s="38" t="n">
        <f aca="false">(J74-MIN(J$6:J$404))/(MAX(J$6:J$404)-MIN(J$6:J$404))*100</f>
        <v>46.3639308697054</v>
      </c>
    </row>
    <row r="75" customFormat="false" ht="15" hidden="false" customHeight="false" outlineLevel="0" collapsed="false">
      <c r="A75" s="26" t="n">
        <v>4104907</v>
      </c>
      <c r="B75" s="26" t="s">
        <v>139</v>
      </c>
      <c r="C75" s="26" t="s">
        <v>129</v>
      </c>
      <c r="D75" s="30" t="n">
        <v>8.88</v>
      </c>
      <c r="E75" s="28" t="n">
        <v>0.154512487170715</v>
      </c>
      <c r="F75" s="29" t="n">
        <v>13.32</v>
      </c>
      <c r="G75" s="30" t="n">
        <v>15.9827213822894</v>
      </c>
      <c r="H75" s="30" t="n">
        <v>89.8049680107175</v>
      </c>
      <c r="I75" s="30" t="n">
        <v>71.3826366559486</v>
      </c>
      <c r="J75" s="37" t="n">
        <f aca="false">(G75+H75+I75)/3</f>
        <v>59.0567753496518</v>
      </c>
      <c r="K75" s="38" t="n">
        <f aca="false">(J75-MIN(J$6:J$404))/(MAX(J$6:J$404)-MIN(J$6:J$404))*100</f>
        <v>56.4313874198752</v>
      </c>
    </row>
    <row r="76" customFormat="false" ht="15" hidden="false" customHeight="false" outlineLevel="0" collapsed="false">
      <c r="A76" s="26" t="n">
        <v>4105003</v>
      </c>
      <c r="B76" s="26" t="s">
        <v>140</v>
      </c>
      <c r="C76" s="26" t="s">
        <v>65</v>
      </c>
      <c r="D76" s="30" t="n">
        <v>0</v>
      </c>
      <c r="E76" s="28" t="n">
        <v>0.131820792647904</v>
      </c>
      <c r="F76" s="29" t="n">
        <v>11.1</v>
      </c>
      <c r="G76" s="30" t="n">
        <v>0</v>
      </c>
      <c r="H76" s="30" t="n">
        <v>76.6162158390011</v>
      </c>
      <c r="I76" s="30" t="n">
        <v>59.4855305466238</v>
      </c>
      <c r="J76" s="37" t="n">
        <f aca="false">(G76+H76+I76)/3</f>
        <v>45.3672487952083</v>
      </c>
      <c r="K76" s="38" t="n">
        <f aca="false">(J76-MIN(J$6:J$404))/(MAX(J$6:J$404)-MIN(J$6:J$404))*100</f>
        <v>30.7924470533799</v>
      </c>
    </row>
    <row r="77" customFormat="false" ht="15" hidden="false" customHeight="false" outlineLevel="0" collapsed="false">
      <c r="A77" s="26" t="n">
        <v>4104402</v>
      </c>
      <c r="B77" s="26" t="s">
        <v>141</v>
      </c>
      <c r="C77" s="26" t="s">
        <v>65</v>
      </c>
      <c r="D77" s="30" t="n">
        <v>10.36</v>
      </c>
      <c r="E77" s="28" t="n">
        <v>0.135725531356599</v>
      </c>
      <c r="F77" s="29" t="n">
        <v>11.87</v>
      </c>
      <c r="G77" s="30" t="n">
        <v>18.6465082793377</v>
      </c>
      <c r="H77" s="30" t="n">
        <v>78.8857083651113</v>
      </c>
      <c r="I77" s="30" t="n">
        <v>63.6120042872454</v>
      </c>
      <c r="J77" s="37" t="n">
        <f aca="false">(G77+H77+I77)/3</f>
        <v>53.7147403105648</v>
      </c>
      <c r="K77" s="38" t="n">
        <f aca="false">(J77-MIN(J$6:J$404))/(MAX(J$6:J$404)-MIN(J$6:J$404))*100</f>
        <v>46.4263578625584</v>
      </c>
    </row>
    <row r="78" customFormat="false" ht="15" hidden="false" customHeight="false" outlineLevel="0" collapsed="false">
      <c r="A78" s="26" t="n">
        <v>4105102</v>
      </c>
      <c r="B78" s="26" t="s">
        <v>142</v>
      </c>
      <c r="C78" s="26" t="s">
        <v>65</v>
      </c>
      <c r="D78" s="30" t="n">
        <v>0</v>
      </c>
      <c r="E78" s="28" t="n">
        <v>0.123615214180207</v>
      </c>
      <c r="F78" s="29" t="n">
        <v>9.69</v>
      </c>
      <c r="G78" s="30" t="n">
        <v>0</v>
      </c>
      <c r="H78" s="30" t="n">
        <v>71.847010933337</v>
      </c>
      <c r="I78" s="30" t="n">
        <v>51.9292604501608</v>
      </c>
      <c r="J78" s="37" t="n">
        <f aca="false">(G78+H78+I78)/3</f>
        <v>41.2587571278326</v>
      </c>
      <c r="K78" s="38" t="n">
        <f aca="false">(J78-MIN(J$6:J$404))/(MAX(J$6:J$404)-MIN(J$6:J$404))*100</f>
        <v>23.0977052055037</v>
      </c>
    </row>
    <row r="79" customFormat="false" ht="15" hidden="false" customHeight="false" outlineLevel="0" collapsed="false">
      <c r="A79" s="26" t="n">
        <v>4105201</v>
      </c>
      <c r="B79" s="26" t="s">
        <v>143</v>
      </c>
      <c r="C79" s="26" t="s">
        <v>65</v>
      </c>
      <c r="D79" s="30" t="n">
        <v>0</v>
      </c>
      <c r="E79" s="28" t="n">
        <v>0.14020081814801</v>
      </c>
      <c r="F79" s="29" t="n">
        <v>12.83</v>
      </c>
      <c r="G79" s="30" t="n">
        <v>0</v>
      </c>
      <c r="H79" s="30" t="n">
        <v>81.4868119684558</v>
      </c>
      <c r="I79" s="30" t="n">
        <v>68.7566988210075</v>
      </c>
      <c r="J79" s="37" t="n">
        <f aca="false">(G79+H79+I79)/3</f>
        <v>50.0811702631544</v>
      </c>
      <c r="K79" s="38" t="n">
        <f aca="false">(J79-MIN(J$6:J$404))/(MAX(J$6:J$404)-MIN(J$6:J$404))*100</f>
        <v>39.6210906831176</v>
      </c>
    </row>
    <row r="80" customFormat="false" ht="15" hidden="false" customHeight="false" outlineLevel="0" collapsed="false">
      <c r="A80" s="26" t="n">
        <v>4105300</v>
      </c>
      <c r="B80" s="26" t="s">
        <v>144</v>
      </c>
      <c r="C80" s="26" t="s">
        <v>65</v>
      </c>
      <c r="D80" s="30" t="n">
        <v>9.17</v>
      </c>
      <c r="E80" s="28" t="n">
        <v>0.120140705330567</v>
      </c>
      <c r="F80" s="29" t="n">
        <v>9.29</v>
      </c>
      <c r="G80" s="30" t="n">
        <v>16.50467962563</v>
      </c>
      <c r="H80" s="30" t="n">
        <v>69.8275744346541</v>
      </c>
      <c r="I80" s="30" t="n">
        <v>49.7856377277599</v>
      </c>
      <c r="J80" s="37" t="n">
        <f aca="false">(G80+H80+I80)/3</f>
        <v>45.3726305960146</v>
      </c>
      <c r="K80" s="38" t="n">
        <f aca="false">(J80-MIN(J$6:J$404))/(MAX(J$6:J$404)-MIN(J$6:J$404))*100</f>
        <v>30.8025265597375</v>
      </c>
    </row>
    <row r="81" customFormat="false" ht="15" hidden="false" customHeight="false" outlineLevel="0" collapsed="false">
      <c r="A81" s="26" t="n">
        <v>4105409</v>
      </c>
      <c r="B81" s="26" t="s">
        <v>145</v>
      </c>
      <c r="C81" s="26" t="s">
        <v>86</v>
      </c>
      <c r="D81" s="30" t="n">
        <v>7.55</v>
      </c>
      <c r="E81" s="28" t="n">
        <v>0.131610149395305</v>
      </c>
      <c r="F81" s="29" t="n">
        <v>14.13</v>
      </c>
      <c r="G81" s="30" t="n">
        <v>13.588912886969</v>
      </c>
      <c r="H81" s="30" t="n">
        <v>76.4937868307851</v>
      </c>
      <c r="I81" s="30" t="n">
        <v>75.7234726688103</v>
      </c>
      <c r="J81" s="37" t="n">
        <f aca="false">(G81+H81+I81)/3</f>
        <v>55.2687241288548</v>
      </c>
      <c r="K81" s="38" t="n">
        <f aca="false">(J81-MIN(J$6:J$404))/(MAX(J$6:J$404)-MIN(J$6:J$404))*100</f>
        <v>49.3367944133903</v>
      </c>
    </row>
    <row r="82" customFormat="false" ht="15" hidden="false" customHeight="false" outlineLevel="0" collapsed="false">
      <c r="A82" s="26" t="n">
        <v>4105508</v>
      </c>
      <c r="B82" s="26" t="s">
        <v>146</v>
      </c>
      <c r="C82" s="26" t="s">
        <v>129</v>
      </c>
      <c r="D82" s="30" t="n">
        <v>10.76</v>
      </c>
      <c r="E82" s="28" t="n">
        <v>0.127277528386586</v>
      </c>
      <c r="F82" s="29" t="n">
        <v>12.21</v>
      </c>
      <c r="G82" s="30" t="n">
        <v>19.3664506839453</v>
      </c>
      <c r="H82" s="30" t="n">
        <v>73.9756027136614</v>
      </c>
      <c r="I82" s="30" t="n">
        <v>65.4340836012862</v>
      </c>
      <c r="J82" s="37" t="n">
        <f aca="false">(G82+H82+I82)/3</f>
        <v>52.9253789996309</v>
      </c>
      <c r="K82" s="38" t="n">
        <f aca="false">(J82-MIN(J$6:J$404))/(MAX(J$6:J$404)-MIN(J$6:J$404))*100</f>
        <v>44.947973091678</v>
      </c>
    </row>
    <row r="83" customFormat="false" ht="15" hidden="false" customHeight="false" outlineLevel="0" collapsed="false">
      <c r="A83" s="26" t="n">
        <v>4105607</v>
      </c>
      <c r="B83" s="26" t="s">
        <v>147</v>
      </c>
      <c r="C83" s="26" t="s">
        <v>65</v>
      </c>
      <c r="D83" s="30" t="n">
        <v>6.9</v>
      </c>
      <c r="E83" s="28" t="n">
        <v>0.134647248626493</v>
      </c>
      <c r="F83" s="29" t="n">
        <v>15.17</v>
      </c>
      <c r="G83" s="30" t="n">
        <v>12.4190064794816</v>
      </c>
      <c r="H83" s="30" t="n">
        <v>78.2589943185199</v>
      </c>
      <c r="I83" s="30" t="n">
        <v>81.2968917470525</v>
      </c>
      <c r="J83" s="37" t="n">
        <f aca="false">(G83+H83+I83)/3</f>
        <v>57.3249641816847</v>
      </c>
      <c r="K83" s="38" t="n">
        <f aca="false">(J83-MIN(J$6:J$404))/(MAX(J$6:J$404)-MIN(J$6:J$404))*100</f>
        <v>53.1879002850241</v>
      </c>
    </row>
    <row r="84" customFormat="false" ht="15" hidden="false" customHeight="false" outlineLevel="0" collapsed="false">
      <c r="A84" s="26" t="n">
        <v>4105706</v>
      </c>
      <c r="B84" s="26" t="s">
        <v>148</v>
      </c>
      <c r="C84" s="26" t="s">
        <v>65</v>
      </c>
      <c r="D84" s="30" t="n">
        <v>23.26</v>
      </c>
      <c r="E84" s="28" t="n">
        <v>0.142601194426012</v>
      </c>
      <c r="F84" s="29" t="n">
        <v>15.59</v>
      </c>
      <c r="G84" s="30" t="n">
        <v>41.8646508279338</v>
      </c>
      <c r="H84" s="30" t="n">
        <v>82.8819465547073</v>
      </c>
      <c r="I84" s="30" t="n">
        <v>83.5476956055734</v>
      </c>
      <c r="J84" s="37" t="n">
        <f aca="false">(G84+H84+I84)/3</f>
        <v>69.4314309960715</v>
      </c>
      <c r="K84" s="38" t="n">
        <f aca="false">(J84-MIN(J$6:J$404))/(MAX(J$6:J$404)-MIN(J$6:J$404))*100</f>
        <v>75.8619481762031</v>
      </c>
    </row>
    <row r="85" customFormat="false" ht="15" hidden="false" customHeight="false" outlineLevel="0" collapsed="false">
      <c r="A85" s="26" t="n">
        <v>4105805</v>
      </c>
      <c r="B85" s="26" t="s">
        <v>149</v>
      </c>
      <c r="C85" s="26" t="s">
        <v>138</v>
      </c>
      <c r="D85" s="30" t="n">
        <v>8.21</v>
      </c>
      <c r="E85" s="28" t="n">
        <v>0.144833169689766</v>
      </c>
      <c r="F85" s="29" t="n">
        <v>12.73</v>
      </c>
      <c r="G85" s="30" t="n">
        <v>14.7768178545716</v>
      </c>
      <c r="H85" s="30" t="n">
        <v>84.1792039533324</v>
      </c>
      <c r="I85" s="30" t="n">
        <v>68.2207931404073</v>
      </c>
      <c r="J85" s="37" t="n">
        <f aca="false">(G85+H85+I85)/3</f>
        <v>55.7256049827704</v>
      </c>
      <c r="K85" s="38" t="n">
        <f aca="false">(J85-MIN(J$6:J$404))/(MAX(J$6:J$404)-MIN(J$6:J$404))*100</f>
        <v>50.1924807602884</v>
      </c>
    </row>
    <row r="86" customFormat="false" ht="15" hidden="false" customHeight="false" outlineLevel="0" collapsed="false">
      <c r="A86" s="26" t="n">
        <v>4105904</v>
      </c>
      <c r="B86" s="26" t="s">
        <v>150</v>
      </c>
      <c r="C86" s="26" t="s">
        <v>86</v>
      </c>
      <c r="D86" s="30" t="n">
        <v>13.89</v>
      </c>
      <c r="E86" s="28" t="n">
        <v>0.111416841369672</v>
      </c>
      <c r="F86" s="29" t="n">
        <v>12.19</v>
      </c>
      <c r="G86" s="30" t="n">
        <v>25</v>
      </c>
      <c r="H86" s="30" t="n">
        <v>64.7571342502792</v>
      </c>
      <c r="I86" s="30" t="n">
        <v>65.3269024651661</v>
      </c>
      <c r="J86" s="37" t="n">
        <f aca="false">(G86+H86+I86)/3</f>
        <v>51.6946789051484</v>
      </c>
      <c r="K86" s="38" t="n">
        <f aca="false">(J86-MIN(J$6:J$404))/(MAX(J$6:J$404)-MIN(J$6:J$404))*100</f>
        <v>42.6430105200371</v>
      </c>
    </row>
    <row r="87" customFormat="false" ht="15" hidden="false" customHeight="false" outlineLevel="0" collapsed="false">
      <c r="A87" s="26" t="n">
        <v>4106001</v>
      </c>
      <c r="B87" s="26" t="s">
        <v>151</v>
      </c>
      <c r="C87" s="26" t="s">
        <v>65</v>
      </c>
      <c r="D87" s="30" t="n">
        <v>0</v>
      </c>
      <c r="E87" s="28" t="n">
        <v>0.140625</v>
      </c>
      <c r="F87" s="29" t="n">
        <v>13.82</v>
      </c>
      <c r="G87" s="30" t="n">
        <v>0</v>
      </c>
      <c r="H87" s="30" t="n">
        <v>81.7333528037383</v>
      </c>
      <c r="I87" s="30" t="n">
        <v>74.0621650589496</v>
      </c>
      <c r="J87" s="37" t="n">
        <f aca="false">(G87+H87+I87)/3</f>
        <v>51.9318392875627</v>
      </c>
      <c r="K87" s="38" t="n">
        <f aca="false">(J87-MIN(J$6:J$404))/(MAX(J$6:J$404)-MIN(J$6:J$404))*100</f>
        <v>43.0871851872786</v>
      </c>
    </row>
    <row r="88" customFormat="false" ht="15" hidden="false" customHeight="false" outlineLevel="0" collapsed="false">
      <c r="A88" s="26" t="n">
        <v>4106100</v>
      </c>
      <c r="B88" s="26" t="s">
        <v>152</v>
      </c>
      <c r="C88" s="26" t="s">
        <v>71</v>
      </c>
      <c r="D88" s="30" t="n">
        <v>0</v>
      </c>
      <c r="E88" s="28" t="n">
        <v>0.130020225368391</v>
      </c>
      <c r="F88" s="29" t="n">
        <v>13</v>
      </c>
      <c r="G88" s="30" t="n">
        <v>0</v>
      </c>
      <c r="H88" s="30" t="n">
        <v>75.5696992117777</v>
      </c>
      <c r="I88" s="30" t="n">
        <v>69.6677384780279</v>
      </c>
      <c r="J88" s="37" t="n">
        <f aca="false">(G88+H88+I88)/3</f>
        <v>48.4124792299352</v>
      </c>
      <c r="K88" s="38" t="n">
        <f aca="false">(J88-MIN(J$6:J$404))/(MAX(J$6:J$404)-MIN(J$6:J$404))*100</f>
        <v>36.4958204467319</v>
      </c>
    </row>
    <row r="89" customFormat="false" ht="15" hidden="false" customHeight="false" outlineLevel="0" collapsed="false">
      <c r="A89" s="26" t="n">
        <v>4106209</v>
      </c>
      <c r="B89" s="26" t="s">
        <v>153</v>
      </c>
      <c r="C89" s="26" t="s">
        <v>65</v>
      </c>
      <c r="D89" s="30" t="n">
        <v>12.82</v>
      </c>
      <c r="E89" s="28" t="n">
        <v>0.143245503973233</v>
      </c>
      <c r="F89" s="29" t="n">
        <v>11.76</v>
      </c>
      <c r="G89" s="30" t="n">
        <v>23.0741540676746</v>
      </c>
      <c r="H89" s="30" t="n">
        <v>83.2564288980875</v>
      </c>
      <c r="I89" s="30" t="n">
        <v>63.0225080385852</v>
      </c>
      <c r="J89" s="37" t="n">
        <f aca="false">(G89+H89+I89)/3</f>
        <v>56.4510303347824</v>
      </c>
      <c r="K89" s="38" t="n">
        <f aca="false">(J89-MIN(J$6:J$404))/(MAX(J$6:J$404)-MIN(J$6:J$404))*100</f>
        <v>51.5511206859725</v>
      </c>
    </row>
    <row r="90" customFormat="false" ht="15" hidden="false" customHeight="false" outlineLevel="0" collapsed="false">
      <c r="A90" s="26" t="n">
        <v>4106308</v>
      </c>
      <c r="B90" s="26" t="s">
        <v>154</v>
      </c>
      <c r="C90" s="26" t="s">
        <v>65</v>
      </c>
      <c r="D90" s="30" t="n">
        <v>9.01</v>
      </c>
      <c r="E90" s="28" t="n">
        <v>0.131825987406983</v>
      </c>
      <c r="F90" s="29" t="n">
        <v>13.39</v>
      </c>
      <c r="G90" s="30" t="n">
        <v>16.2167026637869</v>
      </c>
      <c r="H90" s="30" t="n">
        <v>76.619235110657</v>
      </c>
      <c r="I90" s="30" t="n">
        <v>71.7577706323687</v>
      </c>
      <c r="J90" s="37" t="n">
        <f aca="false">(G90+H90+I90)/3</f>
        <v>54.8645694689375</v>
      </c>
      <c r="K90" s="38" t="n">
        <f aca="false">(J90-MIN(J$6:J$404))/(MAX(J$6:J$404)-MIN(J$6:J$404))*100</f>
        <v>48.5798582853767</v>
      </c>
    </row>
    <row r="91" customFormat="false" ht="15" hidden="false" customHeight="false" outlineLevel="0" collapsed="false">
      <c r="A91" s="26" t="n">
        <v>4106407</v>
      </c>
      <c r="B91" s="26" t="s">
        <v>155</v>
      </c>
      <c r="C91" s="26" t="s">
        <v>86</v>
      </c>
      <c r="D91" s="30" t="n">
        <v>13.27</v>
      </c>
      <c r="E91" s="28" t="n">
        <v>0.110494182188205</v>
      </c>
      <c r="F91" s="29" t="n">
        <v>9.89</v>
      </c>
      <c r="G91" s="30" t="n">
        <v>23.8840892728582</v>
      </c>
      <c r="H91" s="30" t="n">
        <v>64.2208709372381</v>
      </c>
      <c r="I91" s="30" t="n">
        <v>53.0010718113612</v>
      </c>
      <c r="J91" s="37" t="n">
        <f aca="false">(G91+H91+I91)/3</f>
        <v>47.0353440071525</v>
      </c>
      <c r="K91" s="38" t="n">
        <f aca="false">(J91-MIN(J$6:J$404))/(MAX(J$6:J$404)-MIN(J$6:J$404))*100</f>
        <v>33.916601383669</v>
      </c>
    </row>
    <row r="92" customFormat="false" ht="15" hidden="false" customHeight="false" outlineLevel="0" collapsed="false">
      <c r="A92" s="26" t="n">
        <v>4106456</v>
      </c>
      <c r="B92" s="26" t="s">
        <v>156</v>
      </c>
      <c r="C92" s="26" t="s">
        <v>65</v>
      </c>
      <c r="D92" s="30" t="n">
        <v>24.39</v>
      </c>
      <c r="E92" s="28" t="n">
        <v>0.154894671623296</v>
      </c>
      <c r="F92" s="29" t="n">
        <v>17.88</v>
      </c>
      <c r="G92" s="30" t="n">
        <v>43.8984881209503</v>
      </c>
      <c r="H92" s="30" t="n">
        <v>90.0270993294653</v>
      </c>
      <c r="I92" s="30" t="n">
        <v>95.8199356913183</v>
      </c>
      <c r="J92" s="37" t="n">
        <f aca="false">(G92+H92+I92)/3</f>
        <v>76.5818410472447</v>
      </c>
      <c r="K92" s="38" t="n">
        <f aca="false">(J92-MIN(J$6:J$404))/(MAX(J$6:J$404)-MIN(J$6:J$404))*100</f>
        <v>89.2538603193232</v>
      </c>
    </row>
    <row r="93" customFormat="false" ht="15" hidden="false" customHeight="false" outlineLevel="0" collapsed="false">
      <c r="A93" s="26" t="n">
        <v>4106506</v>
      </c>
      <c r="B93" s="26" t="s">
        <v>157</v>
      </c>
      <c r="C93" s="26" t="s">
        <v>86</v>
      </c>
      <c r="D93" s="30" t="n">
        <v>12.5</v>
      </c>
      <c r="E93" s="28" t="n">
        <v>0.132227508465132</v>
      </c>
      <c r="F93" s="29" t="n">
        <v>13.42</v>
      </c>
      <c r="G93" s="30" t="n">
        <v>22.4982001439885</v>
      </c>
      <c r="H93" s="30" t="n">
        <v>76.8526051537063</v>
      </c>
      <c r="I93" s="30" t="n">
        <v>71.9185423365488</v>
      </c>
      <c r="J93" s="37" t="n">
        <f aca="false">(G93+H93+I93)/3</f>
        <v>57.0897825447479</v>
      </c>
      <c r="K93" s="38" t="n">
        <f aca="false">(J93-MIN(J$6:J$404))/(MAX(J$6:J$404)-MIN(J$6:J$404))*100</f>
        <v>52.7474315850484</v>
      </c>
    </row>
    <row r="94" customFormat="false" ht="15" hidden="false" customHeight="false" outlineLevel="0" collapsed="false">
      <c r="A94" s="26" t="n">
        <v>4106555</v>
      </c>
      <c r="B94" s="26" t="s">
        <v>158</v>
      </c>
      <c r="C94" s="26" t="s">
        <v>71</v>
      </c>
      <c r="D94" s="30" t="n">
        <v>0</v>
      </c>
      <c r="E94" s="28" t="n">
        <v>0.122340425531915</v>
      </c>
      <c r="F94" s="29" t="n">
        <v>10.37</v>
      </c>
      <c r="G94" s="30" t="n">
        <v>0</v>
      </c>
      <c r="H94" s="30" t="n">
        <v>71.1060847086896</v>
      </c>
      <c r="I94" s="30" t="n">
        <v>55.5734190782422</v>
      </c>
      <c r="J94" s="37" t="n">
        <f aca="false">(G94+H94+I94)/3</f>
        <v>42.2265012623106</v>
      </c>
      <c r="K94" s="38" t="n">
        <f aca="false">(J94-MIN(J$6:J$404))/(MAX(J$6:J$404)-MIN(J$6:J$404))*100</f>
        <v>24.9101809003519</v>
      </c>
    </row>
    <row r="95" customFormat="false" ht="15" hidden="false" customHeight="false" outlineLevel="0" collapsed="false">
      <c r="A95" s="26" t="n">
        <v>4106803</v>
      </c>
      <c r="B95" s="26" t="s">
        <v>159</v>
      </c>
      <c r="C95" s="26" t="s">
        <v>65</v>
      </c>
      <c r="D95" s="30" t="n">
        <v>25.51</v>
      </c>
      <c r="E95" s="28" t="n">
        <v>0.125672800100138</v>
      </c>
      <c r="F95" s="29" t="n">
        <v>12.45</v>
      </c>
      <c r="G95" s="30" t="n">
        <v>45.9143268538517</v>
      </c>
      <c r="H95" s="30" t="n">
        <v>73.0429106376408</v>
      </c>
      <c r="I95" s="30" t="n">
        <v>66.7202572347267</v>
      </c>
      <c r="J95" s="37" t="n">
        <f aca="false">(G95+H95+I95)/3</f>
        <v>61.8924982420731</v>
      </c>
      <c r="K95" s="38" t="n">
        <f aca="false">(J95-MIN(J$6:J$404))/(MAX(J$6:J$404)-MIN(J$6:J$404))*100</f>
        <v>61.7423767989121</v>
      </c>
    </row>
    <row r="96" customFormat="false" ht="15" hidden="false" customHeight="false" outlineLevel="0" collapsed="false">
      <c r="A96" s="26" t="n">
        <v>4106571</v>
      </c>
      <c r="B96" s="26" t="s">
        <v>160</v>
      </c>
      <c r="C96" s="26" t="s">
        <v>71</v>
      </c>
      <c r="D96" s="30" t="n">
        <v>23.26</v>
      </c>
      <c r="E96" s="28" t="n">
        <v>0.135736752963949</v>
      </c>
      <c r="F96" s="29" t="n">
        <v>8.47</v>
      </c>
      <c r="G96" s="30" t="n">
        <v>41.8646508279338</v>
      </c>
      <c r="H96" s="30" t="n">
        <v>78.8922305311025</v>
      </c>
      <c r="I96" s="30" t="n">
        <v>45.3912111468382</v>
      </c>
      <c r="J96" s="37" t="n">
        <f aca="false">(G96+H96+I96)/3</f>
        <v>55.3826975019582</v>
      </c>
      <c r="K96" s="38" t="n">
        <f aca="false">(J96-MIN(J$6:J$404))/(MAX(J$6:J$404)-MIN(J$6:J$404))*100</f>
        <v>49.5502536959114</v>
      </c>
    </row>
    <row r="97" customFormat="false" ht="15" hidden="false" customHeight="false" outlineLevel="0" collapsed="false">
      <c r="A97" s="26" t="n">
        <v>4106605</v>
      </c>
      <c r="B97" s="26" t="s">
        <v>161</v>
      </c>
      <c r="C97" s="26" t="s">
        <v>86</v>
      </c>
      <c r="D97" s="30" t="n">
        <v>13.99</v>
      </c>
      <c r="E97" s="28" t="n">
        <v>0.12080903025471</v>
      </c>
      <c r="F97" s="29" t="n">
        <v>10.74</v>
      </c>
      <c r="G97" s="30" t="n">
        <v>25.1799856011519</v>
      </c>
      <c r="H97" s="30" t="n">
        <v>70.2160148742096</v>
      </c>
      <c r="I97" s="30" t="n">
        <v>57.556270096463</v>
      </c>
      <c r="J97" s="37" t="n">
        <f aca="false">(G97+H97+I97)/3</f>
        <v>50.9840901906082</v>
      </c>
      <c r="K97" s="38" t="n">
        <f aca="false">(J97-MIN(J$6:J$404))/(MAX(J$6:J$404)-MIN(J$6:J$404))*100</f>
        <v>41.3121579441831</v>
      </c>
    </row>
    <row r="98" customFormat="false" ht="15" hidden="false" customHeight="false" outlineLevel="0" collapsed="false">
      <c r="A98" s="26" t="n">
        <v>4106704</v>
      </c>
      <c r="B98" s="26" t="s">
        <v>162</v>
      </c>
      <c r="C98" s="26" t="s">
        <v>71</v>
      </c>
      <c r="D98" s="30" t="n">
        <v>45.45</v>
      </c>
      <c r="E98" s="28" t="n">
        <v>0.124388072986204</v>
      </c>
      <c r="F98" s="29" t="n">
        <v>10.24</v>
      </c>
      <c r="G98" s="30" t="n">
        <v>81.8034557235421</v>
      </c>
      <c r="H98" s="30" t="n">
        <v>72.2962080281497</v>
      </c>
      <c r="I98" s="30" t="n">
        <v>54.876741693462</v>
      </c>
      <c r="J98" s="37" t="n">
        <f aca="false">(G98+H98+I98)/3</f>
        <v>69.6588018150513</v>
      </c>
      <c r="K98" s="38" t="n">
        <f aca="false">(J98-MIN(J$6:J$404))/(MAX(J$6:J$404)-MIN(J$6:J$404))*100</f>
        <v>76.2877880944588</v>
      </c>
    </row>
    <row r="99" customFormat="false" ht="15" hidden="false" customHeight="false" outlineLevel="0" collapsed="false">
      <c r="A99" s="26" t="n">
        <v>4106852</v>
      </c>
      <c r="B99" s="26" t="s">
        <v>163</v>
      </c>
      <c r="C99" s="26" t="s">
        <v>71</v>
      </c>
      <c r="D99" s="30" t="n">
        <v>0</v>
      </c>
      <c r="E99" s="28" t="n">
        <v>0.126901798063624</v>
      </c>
      <c r="F99" s="29" t="n">
        <v>12.79</v>
      </c>
      <c r="G99" s="30" t="n">
        <v>0</v>
      </c>
      <c r="H99" s="30" t="n">
        <v>73.7572226315585</v>
      </c>
      <c r="I99" s="30" t="n">
        <v>68.5423365487674</v>
      </c>
      <c r="J99" s="37" t="n">
        <f aca="false">(G99+H99+I99)/3</f>
        <v>47.433186393442</v>
      </c>
      <c r="K99" s="38" t="n">
        <f aca="false">(J99-MIN(J$6:J$404))/(MAX(J$6:J$404)-MIN(J$6:J$404))*100</f>
        <v>34.6617153345989</v>
      </c>
    </row>
    <row r="100" customFormat="false" ht="15" hidden="false" customHeight="false" outlineLevel="0" collapsed="false">
      <c r="A100" s="26" t="n">
        <v>4106902</v>
      </c>
      <c r="B100" s="26" t="s">
        <v>164</v>
      </c>
      <c r="C100" s="26" t="s">
        <v>165</v>
      </c>
      <c r="D100" s="30" t="n">
        <v>7.1</v>
      </c>
      <c r="E100" s="28" t="n">
        <v>0.114111713361425</v>
      </c>
      <c r="F100" s="29" t="n">
        <v>10.37</v>
      </c>
      <c r="G100" s="30" t="n">
        <v>12.7789776817855</v>
      </c>
      <c r="H100" s="30" t="n">
        <v>66.3234341490376</v>
      </c>
      <c r="I100" s="30" t="n">
        <v>55.5734190782422</v>
      </c>
      <c r="J100" s="37" t="n">
        <f aca="false">(G100+H100+I100)/3</f>
        <v>44.8919436363551</v>
      </c>
      <c r="K100" s="38" t="n">
        <f aca="false">(J100-MIN(J$6:J$404))/(MAX(J$6:J$404)-MIN(J$6:J$404))*100</f>
        <v>29.9022540598341</v>
      </c>
    </row>
    <row r="101" customFormat="false" ht="15" hidden="false" customHeight="false" outlineLevel="0" collapsed="false">
      <c r="A101" s="26" t="n">
        <v>4107009</v>
      </c>
      <c r="B101" s="26" t="s">
        <v>166</v>
      </c>
      <c r="C101" s="26" t="s">
        <v>65</v>
      </c>
      <c r="D101" s="30" t="n">
        <v>11.36</v>
      </c>
      <c r="E101" s="28" t="n">
        <v>0.130871253755404</v>
      </c>
      <c r="F101" s="29" t="n">
        <v>11.65</v>
      </c>
      <c r="G101" s="30" t="n">
        <v>20.4463642908567</v>
      </c>
      <c r="H101" s="30" t="n">
        <v>76.0643296359681</v>
      </c>
      <c r="I101" s="30" t="n">
        <v>62.433011789925</v>
      </c>
      <c r="J101" s="37" t="n">
        <f aca="false">(G101+H101+I101)/3</f>
        <v>52.9812352389166</v>
      </c>
      <c r="K101" s="38" t="n">
        <f aca="false">(J101-MIN(J$6:J$404))/(MAX(J$6:J$404)-MIN(J$6:J$404))*100</f>
        <v>45.0525855326157</v>
      </c>
    </row>
    <row r="102" customFormat="false" ht="15" hidden="false" customHeight="false" outlineLevel="0" collapsed="false">
      <c r="A102" s="26" t="n">
        <v>4107157</v>
      </c>
      <c r="B102" s="26" t="s">
        <v>167</v>
      </c>
      <c r="C102" s="26" t="s">
        <v>71</v>
      </c>
      <c r="D102" s="30" t="n">
        <v>40.82</v>
      </c>
      <c r="E102" s="28" t="n">
        <v>0.150537634408602</v>
      </c>
      <c r="F102" s="29" t="n">
        <v>12.07</v>
      </c>
      <c r="G102" s="30" t="n">
        <v>73.4701223902088</v>
      </c>
      <c r="H102" s="30" t="n">
        <v>87.4947241483268</v>
      </c>
      <c r="I102" s="30" t="n">
        <v>64.6838156484459</v>
      </c>
      <c r="J102" s="37" t="n">
        <f aca="false">(G102+H102+I102)/3</f>
        <v>75.2162207289938</v>
      </c>
      <c r="K102" s="38" t="n">
        <f aca="false">(J102-MIN(J$6:J$404))/(MAX(J$6:J$404)-MIN(J$6:J$404))*100</f>
        <v>86.696207374668</v>
      </c>
    </row>
    <row r="103" customFormat="false" ht="15" hidden="false" customHeight="false" outlineLevel="0" collapsed="false">
      <c r="A103" s="26" t="n">
        <v>4107108</v>
      </c>
      <c r="B103" s="26" t="s">
        <v>168</v>
      </c>
      <c r="C103" s="26" t="s">
        <v>65</v>
      </c>
      <c r="D103" s="30" t="n">
        <v>0</v>
      </c>
      <c r="E103" s="28" t="n">
        <v>0.114935822637106</v>
      </c>
      <c r="F103" s="29" t="n">
        <v>8.17</v>
      </c>
      <c r="G103" s="30" t="n">
        <v>0</v>
      </c>
      <c r="H103" s="30" t="n">
        <v>66.8024187831928</v>
      </c>
      <c r="I103" s="30" t="n">
        <v>43.7834941050375</v>
      </c>
      <c r="J103" s="37" t="n">
        <f aca="false">(G103+H103+I103)/3</f>
        <v>36.8619709627435</v>
      </c>
      <c r="K103" s="38" t="n">
        <f aca="false">(J103-MIN(J$6:J$404))/(MAX(J$6:J$404)-MIN(J$6:J$404))*100</f>
        <v>14.8630202554708</v>
      </c>
    </row>
    <row r="104" customFormat="false" ht="15" hidden="false" customHeight="false" outlineLevel="0" collapsed="false">
      <c r="A104" s="26" t="n">
        <v>4107124</v>
      </c>
      <c r="B104" s="26" t="s">
        <v>169</v>
      </c>
      <c r="C104" s="26" t="s">
        <v>71</v>
      </c>
      <c r="D104" s="30" t="n">
        <v>51.28</v>
      </c>
      <c r="E104" s="28" t="n">
        <v>0.128350678019552</v>
      </c>
      <c r="F104" s="29" t="n">
        <v>11.67</v>
      </c>
      <c r="G104" s="30" t="n">
        <v>92.2966162706983</v>
      </c>
      <c r="H104" s="30" t="n">
        <v>74.5993333274388</v>
      </c>
      <c r="I104" s="30" t="n">
        <v>62.540192926045</v>
      </c>
      <c r="J104" s="37" t="n">
        <f aca="false">(G104+H104+I104)/3</f>
        <v>76.4787141747274</v>
      </c>
      <c r="K104" s="38" t="n">
        <f aca="false">(J104-MIN(J$6:J$404))/(MAX(J$6:J$404)-MIN(J$6:J$404))*100</f>
        <v>89.0607153099514</v>
      </c>
    </row>
    <row r="105" customFormat="false" ht="15" hidden="false" customHeight="false" outlineLevel="0" collapsed="false">
      <c r="A105" s="26" t="n">
        <v>4107207</v>
      </c>
      <c r="B105" s="26" t="s">
        <v>170</v>
      </c>
      <c r="C105" s="26" t="s">
        <v>86</v>
      </c>
      <c r="D105" s="30" t="n">
        <v>4.66</v>
      </c>
      <c r="E105" s="28" t="n">
        <v>0.128864026387929</v>
      </c>
      <c r="F105" s="29" t="n">
        <v>14.42</v>
      </c>
      <c r="G105" s="30" t="n">
        <v>8.38732901367891</v>
      </c>
      <c r="H105" s="30" t="n">
        <v>74.8976990753769</v>
      </c>
      <c r="I105" s="30" t="n">
        <v>77.2775991425509</v>
      </c>
      <c r="J105" s="37" t="n">
        <f aca="false">(G105+H105+I105)/3</f>
        <v>53.5208757438689</v>
      </c>
      <c r="K105" s="38" t="n">
        <f aca="false">(J105-MIN(J$6:J$404))/(MAX(J$6:J$404)-MIN(J$6:J$404))*100</f>
        <v>46.0632713785281</v>
      </c>
    </row>
    <row r="106" customFormat="false" ht="15" hidden="false" customHeight="false" outlineLevel="0" collapsed="false">
      <c r="A106" s="26" t="n">
        <v>4107256</v>
      </c>
      <c r="B106" s="26" t="s">
        <v>171</v>
      </c>
      <c r="C106" s="26" t="s">
        <v>65</v>
      </c>
      <c r="D106" s="30" t="n">
        <v>0</v>
      </c>
      <c r="E106" s="28" t="n">
        <v>0.131863333697195</v>
      </c>
      <c r="F106" s="29" t="n">
        <v>10.92</v>
      </c>
      <c r="G106" s="30" t="n">
        <v>0</v>
      </c>
      <c r="H106" s="30" t="n">
        <v>76.640941332977</v>
      </c>
      <c r="I106" s="30" t="n">
        <v>58.5209003215434</v>
      </c>
      <c r="J106" s="37" t="n">
        <f aca="false">(G106+H106+I106)/3</f>
        <v>45.0539472181735</v>
      </c>
      <c r="K106" s="38" t="n">
        <f aca="false">(J106-MIN(J$6:J$404))/(MAX(J$6:J$404)-MIN(J$6:J$404))*100</f>
        <v>30.2056685100622</v>
      </c>
    </row>
    <row r="107" customFormat="false" ht="15" hidden="false" customHeight="false" outlineLevel="0" collapsed="false">
      <c r="A107" s="26" t="n">
        <v>4107306</v>
      </c>
      <c r="B107" s="26" t="s">
        <v>172</v>
      </c>
      <c r="C107" s="26" t="s">
        <v>65</v>
      </c>
      <c r="D107" s="30" t="n">
        <v>33.33</v>
      </c>
      <c r="E107" s="28" t="n">
        <v>0.108898372056267</v>
      </c>
      <c r="F107" s="29" t="n">
        <v>9.17</v>
      </c>
      <c r="G107" s="30" t="n">
        <v>59.9892008639309</v>
      </c>
      <c r="H107" s="30" t="n">
        <v>63.2933622259741</v>
      </c>
      <c r="I107" s="30" t="n">
        <v>49.1425509110397</v>
      </c>
      <c r="J107" s="37" t="n">
        <f aca="false">(G107+H107+I107)/3</f>
        <v>57.4750380003149</v>
      </c>
      <c r="K107" s="38" t="n">
        <f aca="false">(J107-MIN(J$6:J$404))/(MAX(J$6:J$404)-MIN(J$6:J$404))*100</f>
        <v>53.4689716333377</v>
      </c>
    </row>
    <row r="108" customFormat="false" ht="15" hidden="false" customHeight="false" outlineLevel="0" collapsed="false">
      <c r="A108" s="26" t="n">
        <v>4128633</v>
      </c>
      <c r="B108" s="26" t="s">
        <v>173</v>
      </c>
      <c r="C108" s="26" t="s">
        <v>65</v>
      </c>
      <c r="D108" s="30" t="n">
        <v>0</v>
      </c>
      <c r="E108" s="28" t="n">
        <v>0.137616289275057</v>
      </c>
      <c r="F108" s="29" t="n">
        <v>12.29</v>
      </c>
      <c r="G108" s="30" t="n">
        <v>0</v>
      </c>
      <c r="H108" s="30" t="n">
        <v>79.9846451403346</v>
      </c>
      <c r="I108" s="30" t="n">
        <v>65.8628081457663</v>
      </c>
      <c r="J108" s="37" t="n">
        <f aca="false">(G108+H108+I108)/3</f>
        <v>48.6158177620336</v>
      </c>
      <c r="K108" s="38" t="n">
        <f aca="false">(J108-MIN(J$6:J$404))/(MAX(J$6:J$404)-MIN(J$6:J$404))*100</f>
        <v>36.8766506002035</v>
      </c>
    </row>
    <row r="109" customFormat="false" ht="15" hidden="false" customHeight="false" outlineLevel="0" collapsed="false">
      <c r="A109" s="26" t="n">
        <v>4107405</v>
      </c>
      <c r="B109" s="26" t="s">
        <v>174</v>
      </c>
      <c r="C109" s="26" t="s">
        <v>65</v>
      </c>
      <c r="D109" s="30" t="n">
        <v>0</v>
      </c>
      <c r="E109" s="28" t="n">
        <v>0.130355059176529</v>
      </c>
      <c r="F109" s="29" t="n">
        <v>14.67</v>
      </c>
      <c r="G109" s="30" t="n">
        <v>0</v>
      </c>
      <c r="H109" s="30" t="n">
        <v>75.7643096279287</v>
      </c>
      <c r="I109" s="30" t="n">
        <v>78.6173633440515</v>
      </c>
      <c r="J109" s="37" t="n">
        <f aca="false">(G109+H109+I109)/3</f>
        <v>51.4605576573267</v>
      </c>
      <c r="K109" s="38" t="n">
        <f aca="false">(J109-MIN(J$6:J$404))/(MAX(J$6:J$404)-MIN(J$6:J$404))*100</f>
        <v>42.2045278093635</v>
      </c>
    </row>
    <row r="110" customFormat="false" ht="15" hidden="false" customHeight="false" outlineLevel="0" collapsed="false">
      <c r="A110" s="26" t="n">
        <v>4107504</v>
      </c>
      <c r="B110" s="26" t="s">
        <v>175</v>
      </c>
      <c r="C110" s="26" t="s">
        <v>65</v>
      </c>
      <c r="D110" s="30" t="n">
        <v>7.25</v>
      </c>
      <c r="E110" s="28" t="n">
        <v>0.116107274771158</v>
      </c>
      <c r="F110" s="29" t="n">
        <v>9.56</v>
      </c>
      <c r="G110" s="30" t="n">
        <v>13.0489560835133</v>
      </c>
      <c r="H110" s="30" t="n">
        <v>67.4832842805449</v>
      </c>
      <c r="I110" s="30" t="n">
        <v>51.2325830653805</v>
      </c>
      <c r="J110" s="37" t="n">
        <f aca="false">(G110+H110+I110)/3</f>
        <v>43.9216078098129</v>
      </c>
      <c r="K110" s="38" t="n">
        <f aca="false">(J110-MIN(J$6:J$404))/(MAX(J$6:J$404)-MIN(J$6:J$404))*100</f>
        <v>28.0849244178448</v>
      </c>
    </row>
    <row r="111" customFormat="false" ht="15" hidden="false" customHeight="false" outlineLevel="0" collapsed="false">
      <c r="A111" s="26" t="n">
        <v>4107538</v>
      </c>
      <c r="B111" s="26" t="s">
        <v>176</v>
      </c>
      <c r="C111" s="26" t="s">
        <v>71</v>
      </c>
      <c r="D111" s="30" t="n">
        <v>0</v>
      </c>
      <c r="E111" s="28" t="n">
        <v>0.125901639344262</v>
      </c>
      <c r="F111" s="29" t="n">
        <v>16.17</v>
      </c>
      <c r="G111" s="30" t="n">
        <v>0</v>
      </c>
      <c r="H111" s="30" t="n">
        <v>73.1759154282212</v>
      </c>
      <c r="I111" s="30" t="n">
        <v>86.6559485530547</v>
      </c>
      <c r="J111" s="37" t="n">
        <f aca="false">(G111+H111+I111)/3</f>
        <v>53.2772879937586</v>
      </c>
      <c r="K111" s="38" t="n">
        <f aca="false">(J111-MIN(J$6:J$404))/(MAX(J$6:J$404)-MIN(J$6:J$404))*100</f>
        <v>45.6070589759846</v>
      </c>
    </row>
    <row r="112" customFormat="false" ht="15" hidden="false" customHeight="false" outlineLevel="0" collapsed="false">
      <c r="A112" s="26" t="n">
        <v>4107520</v>
      </c>
      <c r="B112" s="26" t="s">
        <v>177</v>
      </c>
      <c r="C112" s="26" t="s">
        <v>71</v>
      </c>
      <c r="D112" s="30" t="n">
        <v>0</v>
      </c>
      <c r="E112" s="28" t="n">
        <v>0.121146565711195</v>
      </c>
      <c r="F112" s="29" t="n">
        <v>6.49</v>
      </c>
      <c r="G112" s="30" t="n">
        <v>0</v>
      </c>
      <c r="H112" s="30" t="n">
        <v>70.4121955287779</v>
      </c>
      <c r="I112" s="30" t="n">
        <v>34.7802786709539</v>
      </c>
      <c r="J112" s="37" t="n">
        <f aca="false">(G112+H112+I112)/3</f>
        <v>35.0641580665773</v>
      </c>
      <c r="K112" s="38" t="n">
        <f aca="false">(J112-MIN(J$6:J$404))/(MAX(J$6:J$404)-MIN(J$6:J$404))*100</f>
        <v>11.4959193223885</v>
      </c>
    </row>
    <row r="113" customFormat="false" ht="15" hidden="false" customHeight="false" outlineLevel="0" collapsed="false">
      <c r="A113" s="26" t="n">
        <v>4107546</v>
      </c>
      <c r="B113" s="26" t="s">
        <v>178</v>
      </c>
      <c r="C113" s="26" t="s">
        <v>71</v>
      </c>
      <c r="D113" s="30" t="n">
        <v>0</v>
      </c>
      <c r="E113" s="28" t="n">
        <v>0.153012299353763</v>
      </c>
      <c r="F113" s="29" t="n">
        <v>11.88</v>
      </c>
      <c r="G113" s="30" t="n">
        <v>0</v>
      </c>
      <c r="H113" s="30" t="n">
        <v>88.9330364187898</v>
      </c>
      <c r="I113" s="30" t="n">
        <v>63.6655948553055</v>
      </c>
      <c r="J113" s="37" t="n">
        <f aca="false">(G113+H113+I113)/3</f>
        <v>50.8662104246984</v>
      </c>
      <c r="K113" s="38" t="n">
        <f aca="false">(J113-MIN(J$6:J$404))/(MAX(J$6:J$404)-MIN(J$6:J$404))*100</f>
        <v>41.0913824282033</v>
      </c>
    </row>
    <row r="114" customFormat="false" ht="15" hidden="false" customHeight="false" outlineLevel="0" collapsed="false">
      <c r="A114" s="26" t="n">
        <v>4107553</v>
      </c>
      <c r="B114" s="26" t="s">
        <v>179</v>
      </c>
      <c r="C114" s="26" t="s">
        <v>71</v>
      </c>
      <c r="D114" s="30" t="n">
        <v>0</v>
      </c>
      <c r="E114" s="28" t="n">
        <v>0.130635077328068</v>
      </c>
      <c r="F114" s="29" t="n">
        <v>9.21</v>
      </c>
      <c r="G114" s="30" t="n">
        <v>0</v>
      </c>
      <c r="H114" s="30" t="n">
        <v>75.9270603647905</v>
      </c>
      <c r="I114" s="30" t="n">
        <v>49.3569131832798</v>
      </c>
      <c r="J114" s="37" t="n">
        <f aca="false">(G114+H114+I114)/3</f>
        <v>41.7613245160234</v>
      </c>
      <c r="K114" s="38" t="n">
        <f aca="false">(J114-MIN(J$6:J$404))/(MAX(J$6:J$404)-MIN(J$6:J$404))*100</f>
        <v>24.0389572820254</v>
      </c>
    </row>
    <row r="115" customFormat="false" ht="15" hidden="false" customHeight="false" outlineLevel="0" collapsed="false">
      <c r="A115" s="26" t="n">
        <v>4107603</v>
      </c>
      <c r="B115" s="26" t="s">
        <v>180</v>
      </c>
      <c r="C115" s="26" t="s">
        <v>65</v>
      </c>
      <c r="D115" s="30" t="n">
        <v>10</v>
      </c>
      <c r="E115" s="28" t="n">
        <v>0.14332784184514</v>
      </c>
      <c r="F115" s="29" t="n">
        <v>14.52</v>
      </c>
      <c r="G115" s="30" t="n">
        <v>17.9985601151908</v>
      </c>
      <c r="H115" s="30" t="n">
        <v>83.3042849004604</v>
      </c>
      <c r="I115" s="30" t="n">
        <v>77.8135048231511</v>
      </c>
      <c r="J115" s="37" t="n">
        <f aca="false">(G115+H115+I115)/3</f>
        <v>59.7054499462674</v>
      </c>
      <c r="K115" s="38" t="n">
        <f aca="false">(J115-MIN(J$6:J$404))/(MAX(J$6:J$404)-MIN(J$6:J$404))*100</f>
        <v>57.6462818308503</v>
      </c>
    </row>
    <row r="116" customFormat="false" ht="15" hidden="false" customHeight="false" outlineLevel="0" collapsed="false">
      <c r="A116" s="26" t="n">
        <v>4107652</v>
      </c>
      <c r="B116" s="26" t="s">
        <v>181</v>
      </c>
      <c r="C116" s="26" t="s">
        <v>69</v>
      </c>
      <c r="D116" s="30" t="n">
        <v>9.92</v>
      </c>
      <c r="E116" s="28" t="n">
        <v>0.165362423004843</v>
      </c>
      <c r="F116" s="29" t="n">
        <v>12.91</v>
      </c>
      <c r="G116" s="30" t="n">
        <v>17.8545716342693</v>
      </c>
      <c r="H116" s="30" t="n">
        <v>96.1111129595439</v>
      </c>
      <c r="I116" s="30" t="n">
        <v>69.1854233654877</v>
      </c>
      <c r="J116" s="37" t="n">
        <f aca="false">(G116+H116+I116)/3</f>
        <v>61.0503693197669</v>
      </c>
      <c r="K116" s="38" t="n">
        <f aca="false">(J116-MIN(J$6:J$404))/(MAX(J$6:J$404)-MIN(J$6:J$404))*100</f>
        <v>60.1651642390739</v>
      </c>
    </row>
    <row r="117" customFormat="false" ht="15" hidden="false" customHeight="false" outlineLevel="0" collapsed="false">
      <c r="A117" s="26" t="n">
        <v>4107736</v>
      </c>
      <c r="B117" s="26" t="s">
        <v>182</v>
      </c>
      <c r="C117" s="26" t="s">
        <v>65</v>
      </c>
      <c r="D117" s="30" t="n">
        <v>0</v>
      </c>
      <c r="E117" s="28" t="n">
        <v>0.150279776179057</v>
      </c>
      <c r="F117" s="29" t="n">
        <v>9.91</v>
      </c>
      <c r="G117" s="30" t="n">
        <v>0</v>
      </c>
      <c r="H117" s="30" t="n">
        <v>87.344853089491</v>
      </c>
      <c r="I117" s="30" t="n">
        <v>53.1082529474812</v>
      </c>
      <c r="J117" s="37" t="n">
        <f aca="false">(G117+H117+I117)/3</f>
        <v>46.8177020123241</v>
      </c>
      <c r="K117" s="38" t="n">
        <f aca="false">(J117-MIN(J$6:J$404))/(MAX(J$6:J$404)-MIN(J$6:J$404))*100</f>
        <v>33.5089824565675</v>
      </c>
    </row>
    <row r="118" customFormat="false" ht="15" hidden="false" customHeight="false" outlineLevel="0" collapsed="false">
      <c r="A118" s="26" t="n">
        <v>4107702</v>
      </c>
      <c r="B118" s="26" t="s">
        <v>183</v>
      </c>
      <c r="C118" s="26" t="s">
        <v>71</v>
      </c>
      <c r="D118" s="30" t="n">
        <v>18.52</v>
      </c>
      <c r="E118" s="28" t="n">
        <v>0.112644701691897</v>
      </c>
      <c r="F118" s="29" t="n">
        <v>14.47</v>
      </c>
      <c r="G118" s="30" t="n">
        <v>33.3333333333333</v>
      </c>
      <c r="H118" s="30" t="n">
        <v>65.4707850300846</v>
      </c>
      <c r="I118" s="30" t="n">
        <v>77.545551982851</v>
      </c>
      <c r="J118" s="37" t="n">
        <f aca="false">(G118+H118+I118)/3</f>
        <v>58.7832234487563</v>
      </c>
      <c r="K118" s="38" t="n">
        <f aca="false">(J118-MIN(J$6:J$404))/(MAX(J$6:J$404)-MIN(J$6:J$404))*100</f>
        <v>55.9190555400028</v>
      </c>
    </row>
    <row r="119" customFormat="false" ht="15" hidden="false" customHeight="false" outlineLevel="0" collapsed="false">
      <c r="A119" s="26" t="n">
        <v>4107751</v>
      </c>
      <c r="B119" s="26" t="s">
        <v>184</v>
      </c>
      <c r="C119" s="26" t="s">
        <v>65</v>
      </c>
      <c r="D119" s="30" t="n">
        <v>0</v>
      </c>
      <c r="E119" s="28" t="n">
        <v>0.122922351773753</v>
      </c>
      <c r="F119" s="29" t="n">
        <v>10.3</v>
      </c>
      <c r="G119" s="30" t="n">
        <v>0</v>
      </c>
      <c r="H119" s="30" t="n">
        <v>71.444308942147</v>
      </c>
      <c r="I119" s="30" t="n">
        <v>55.1982851018221</v>
      </c>
      <c r="J119" s="37" t="n">
        <f aca="false">(G119+H119+I119)/3</f>
        <v>42.2141980146564</v>
      </c>
      <c r="K119" s="38" t="n">
        <f aca="false">(J119-MIN(J$6:J$404))/(MAX(J$6:J$404)-MIN(J$6:J$404))*100</f>
        <v>24.8871383041257</v>
      </c>
    </row>
    <row r="120" customFormat="false" ht="15" hidden="false" customHeight="false" outlineLevel="0" collapsed="false">
      <c r="A120" s="26" t="n">
        <v>4107850</v>
      </c>
      <c r="B120" s="26" t="s">
        <v>185</v>
      </c>
      <c r="C120" s="26" t="s">
        <v>71</v>
      </c>
      <c r="D120" s="30" t="n">
        <v>13.33</v>
      </c>
      <c r="E120" s="28" t="n">
        <v>0.130614115490376</v>
      </c>
      <c r="F120" s="29" t="n">
        <v>15.35</v>
      </c>
      <c r="G120" s="30" t="n">
        <v>23.9920806335493</v>
      </c>
      <c r="H120" s="30" t="n">
        <v>75.9148770312754</v>
      </c>
      <c r="I120" s="30" t="n">
        <v>82.2615219721329</v>
      </c>
      <c r="J120" s="37" t="n">
        <f aca="false">(G120+H120+I120)/3</f>
        <v>60.7228265456526</v>
      </c>
      <c r="K120" s="38" t="n">
        <f aca="false">(J120-MIN(J$6:J$404))/(MAX(J$6:J$404)-MIN(J$6:J$404))*100</f>
        <v>59.5517135386719</v>
      </c>
    </row>
    <row r="121" customFormat="false" ht="15" hidden="false" customHeight="false" outlineLevel="0" collapsed="false">
      <c r="A121" s="26" t="n">
        <v>4107801</v>
      </c>
      <c r="B121" s="26" t="s">
        <v>186</v>
      </c>
      <c r="C121" s="26" t="s">
        <v>71</v>
      </c>
      <c r="D121" s="30" t="n">
        <v>0</v>
      </c>
      <c r="E121" s="28" t="n">
        <v>0.110601001669449</v>
      </c>
      <c r="F121" s="29" t="n">
        <v>9.39</v>
      </c>
      <c r="G121" s="30" t="n">
        <v>0</v>
      </c>
      <c r="H121" s="30" t="n">
        <v>64.2829560170378</v>
      </c>
      <c r="I121" s="30" t="n">
        <v>50.3215434083601</v>
      </c>
      <c r="J121" s="37" t="n">
        <f aca="false">(G121+H121+I121)/3</f>
        <v>38.201499808466</v>
      </c>
      <c r="K121" s="38" t="n">
        <f aca="false">(J121-MIN(J$6:J$404))/(MAX(J$6:J$404)-MIN(J$6:J$404))*100</f>
        <v>17.3718068127043</v>
      </c>
    </row>
    <row r="122" customFormat="false" ht="15" hidden="false" customHeight="false" outlineLevel="0" collapsed="false">
      <c r="A122" s="26" t="n">
        <v>4107900</v>
      </c>
      <c r="B122" s="26" t="s">
        <v>187</v>
      </c>
      <c r="C122" s="26" t="s">
        <v>65</v>
      </c>
      <c r="D122" s="30" t="n">
        <v>0</v>
      </c>
      <c r="E122" s="28" t="n">
        <v>0.140753490151081</v>
      </c>
      <c r="F122" s="29" t="n">
        <v>14.15</v>
      </c>
      <c r="G122" s="30" t="n">
        <v>0</v>
      </c>
      <c r="H122" s="30" t="n">
        <v>81.8080332008944</v>
      </c>
      <c r="I122" s="30" t="n">
        <v>75.8306538049303</v>
      </c>
      <c r="J122" s="37" t="n">
        <f aca="false">(G122+H122+I122)/3</f>
        <v>52.5462290019416</v>
      </c>
      <c r="K122" s="38" t="n">
        <f aca="false">(J122-MIN(J$6:J$404))/(MAX(J$6:J$404)-MIN(J$6:J$404))*100</f>
        <v>44.2378678778816</v>
      </c>
    </row>
    <row r="123" customFormat="false" ht="15" hidden="false" customHeight="false" outlineLevel="0" collapsed="false">
      <c r="A123" s="26" t="n">
        <v>4108007</v>
      </c>
      <c r="B123" s="26" t="s">
        <v>188</v>
      </c>
      <c r="C123" s="26" t="s">
        <v>65</v>
      </c>
      <c r="D123" s="30" t="n">
        <v>6.76</v>
      </c>
      <c r="E123" s="28" t="n">
        <v>0.128516512318714</v>
      </c>
      <c r="F123" s="29" t="n">
        <v>10.48</v>
      </c>
      <c r="G123" s="30" t="n">
        <v>12.167026637869</v>
      </c>
      <c r="H123" s="30" t="n">
        <v>74.6957187018768</v>
      </c>
      <c r="I123" s="30" t="n">
        <v>56.1629153269025</v>
      </c>
      <c r="J123" s="37" t="n">
        <f aca="false">(G123+H123+I123)/3</f>
        <v>47.6752202222161</v>
      </c>
      <c r="K123" s="38" t="n">
        <f aca="false">(J123-MIN(J$6:J$404))/(MAX(J$6:J$404)-MIN(J$6:J$404))*100</f>
        <v>35.1150174176136</v>
      </c>
    </row>
    <row r="124" customFormat="false" ht="15" hidden="false" customHeight="false" outlineLevel="0" collapsed="false">
      <c r="A124" s="26" t="n">
        <v>4108106</v>
      </c>
      <c r="B124" s="26" t="s">
        <v>189</v>
      </c>
      <c r="C124" s="26" t="s">
        <v>71</v>
      </c>
      <c r="D124" s="30" t="n">
        <v>0</v>
      </c>
      <c r="E124" s="28" t="n">
        <v>0.1289592760181</v>
      </c>
      <c r="F124" s="29" t="n">
        <v>13.95</v>
      </c>
      <c r="G124" s="30" t="n">
        <v>0</v>
      </c>
      <c r="H124" s="30" t="n">
        <v>74.9530595847254</v>
      </c>
      <c r="I124" s="30" t="n">
        <v>74.7588424437299</v>
      </c>
      <c r="J124" s="37" t="n">
        <f aca="false">(G124+H124+I124)/3</f>
        <v>49.9039673428184</v>
      </c>
      <c r="K124" s="38" t="n">
        <f aca="false">(J124-MIN(J$6:J$404))/(MAX(J$6:J$404)-MIN(J$6:J$404))*100</f>
        <v>39.2892095848784</v>
      </c>
    </row>
    <row r="125" customFormat="false" ht="15" hidden="false" customHeight="false" outlineLevel="0" collapsed="false">
      <c r="A125" s="26" t="n">
        <v>4108205</v>
      </c>
      <c r="B125" s="26" t="s">
        <v>190</v>
      </c>
      <c r="C125" s="26" t="s">
        <v>65</v>
      </c>
      <c r="D125" s="30" t="n">
        <v>0</v>
      </c>
      <c r="E125" s="28" t="n">
        <v>0.108055009823183</v>
      </c>
      <c r="F125" s="29" t="n">
        <v>10.48</v>
      </c>
      <c r="G125" s="30" t="n">
        <v>0</v>
      </c>
      <c r="H125" s="30" t="n">
        <v>62.8031874850816</v>
      </c>
      <c r="I125" s="30" t="n">
        <v>56.1629153269025</v>
      </c>
      <c r="J125" s="37" t="n">
        <f aca="false">(G125+H125+I125)/3</f>
        <v>39.6553676039947</v>
      </c>
      <c r="K125" s="38" t="n">
        <f aca="false">(J125-MIN(J$6:J$404))/(MAX(J$6:J$404)-MIN(J$6:J$404))*100</f>
        <v>20.0947373364214</v>
      </c>
    </row>
    <row r="126" customFormat="false" ht="15" hidden="false" customHeight="false" outlineLevel="0" collapsed="false">
      <c r="A126" s="26" t="n">
        <v>4108304</v>
      </c>
      <c r="B126" s="26" t="s">
        <v>191</v>
      </c>
      <c r="C126" s="26" t="s">
        <v>138</v>
      </c>
      <c r="D126" s="30" t="n">
        <v>9.14</v>
      </c>
      <c r="E126" s="28" t="n">
        <v>0.13832839899795</v>
      </c>
      <c r="F126" s="29" t="n">
        <v>14.08</v>
      </c>
      <c r="G126" s="30" t="n">
        <v>16.4506839452844</v>
      </c>
      <c r="H126" s="30" t="n">
        <v>80.3985339596498</v>
      </c>
      <c r="I126" s="30" t="n">
        <v>75.4555198285102</v>
      </c>
      <c r="J126" s="37" t="n">
        <f aca="false">(G126+H126+I126)/3</f>
        <v>57.4349125778148</v>
      </c>
      <c r="K126" s="38" t="n">
        <f aca="false">(J126-MIN(J$6:J$404))/(MAX(J$6:J$404)-MIN(J$6:J$404))*100</f>
        <v>53.393821239307</v>
      </c>
    </row>
    <row r="127" customFormat="false" ht="15" hidden="false" customHeight="false" outlineLevel="0" collapsed="false">
      <c r="A127" s="26" t="n">
        <v>4108452</v>
      </c>
      <c r="B127" s="26" t="s">
        <v>192</v>
      </c>
      <c r="C127" s="26" t="s">
        <v>71</v>
      </c>
      <c r="D127" s="30" t="n">
        <v>0</v>
      </c>
      <c r="E127" s="28" t="n">
        <v>0.147381242387333</v>
      </c>
      <c r="F127" s="29" t="n">
        <v>15.23</v>
      </c>
      <c r="G127" s="30" t="n">
        <v>0</v>
      </c>
      <c r="H127" s="30" t="n">
        <v>85.6601819071795</v>
      </c>
      <c r="I127" s="30" t="n">
        <v>81.6184351554127</v>
      </c>
      <c r="J127" s="37" t="n">
        <f aca="false">(G127+H127+I127)/3</f>
        <v>55.7595390208641</v>
      </c>
      <c r="K127" s="38" t="n">
        <f aca="false">(J127-MIN(J$6:J$404))/(MAX(J$6:J$404)-MIN(J$6:J$404))*100</f>
        <v>50.2560353891221</v>
      </c>
    </row>
    <row r="128" customFormat="false" ht="15" hidden="false" customHeight="false" outlineLevel="0" collapsed="false">
      <c r="A128" s="26" t="n">
        <v>4108320</v>
      </c>
      <c r="B128" s="26" t="s">
        <v>193</v>
      </c>
      <c r="C128" s="26" t="s">
        <v>65</v>
      </c>
      <c r="D128" s="30" t="n">
        <v>25.64</v>
      </c>
      <c r="E128" s="28" t="n">
        <v>0.137999014292755</v>
      </c>
      <c r="F128" s="29" t="n">
        <v>14.91</v>
      </c>
      <c r="G128" s="30" t="n">
        <v>46.1483081353492</v>
      </c>
      <c r="H128" s="30" t="n">
        <v>80.2070906436116</v>
      </c>
      <c r="I128" s="30" t="n">
        <v>79.903536977492</v>
      </c>
      <c r="J128" s="37" t="n">
        <f aca="false">(G128+H128+I128)/3</f>
        <v>68.7529785854842</v>
      </c>
      <c r="K128" s="38" t="n">
        <f aca="false">(J128-MIN(J$6:J$404))/(MAX(J$6:J$404)-MIN(J$6:J$404))*100</f>
        <v>74.5912832757499</v>
      </c>
    </row>
    <row r="129" customFormat="false" ht="15" hidden="false" customHeight="false" outlineLevel="0" collapsed="false">
      <c r="A129" s="26" t="n">
        <v>4108403</v>
      </c>
      <c r="B129" s="26" t="s">
        <v>194</v>
      </c>
      <c r="C129" s="26" t="s">
        <v>129</v>
      </c>
      <c r="D129" s="30" t="n">
        <v>9.4</v>
      </c>
      <c r="E129" s="28" t="n">
        <v>0.128121573252229</v>
      </c>
      <c r="F129" s="29" t="n">
        <v>13.1</v>
      </c>
      <c r="G129" s="30" t="n">
        <v>16.9186465082793</v>
      </c>
      <c r="H129" s="30" t="n">
        <v>74.4661742108051</v>
      </c>
      <c r="I129" s="30" t="n">
        <v>70.2036441586281</v>
      </c>
      <c r="J129" s="37" t="n">
        <f aca="false">(G129+H129+I129)/3</f>
        <v>53.8628216259042</v>
      </c>
      <c r="K129" s="38" t="n">
        <f aca="false">(J129-MIN(J$6:J$404))/(MAX(J$6:J$404)-MIN(J$6:J$404))*100</f>
        <v>46.7036974767722</v>
      </c>
    </row>
    <row r="130" customFormat="false" ht="15" hidden="false" customHeight="false" outlineLevel="0" collapsed="false">
      <c r="A130" s="26" t="n">
        <v>4108502</v>
      </c>
      <c r="B130" s="26" t="s">
        <v>195</v>
      </c>
      <c r="C130" s="26" t="s">
        <v>65</v>
      </c>
      <c r="D130" s="30" t="n">
        <v>5.05</v>
      </c>
      <c r="E130" s="28" t="n">
        <v>0.147351292713795</v>
      </c>
      <c r="F130" s="29" t="n">
        <v>15.28</v>
      </c>
      <c r="G130" s="30" t="n">
        <v>9.08927285817135</v>
      </c>
      <c r="H130" s="30" t="n">
        <v>85.6427747090739</v>
      </c>
      <c r="I130" s="30" t="n">
        <v>81.8863879957128</v>
      </c>
      <c r="J130" s="37" t="n">
        <f aca="false">(G130+H130+I130)/3</f>
        <v>58.8728118543193</v>
      </c>
      <c r="K130" s="38" t="n">
        <f aca="false">(J130-MIN(J$6:J$404))/(MAX(J$6:J$404)-MIN(J$6:J$404))*100</f>
        <v>56.0868445266142</v>
      </c>
    </row>
    <row r="131" customFormat="false" ht="15" hidden="false" customHeight="false" outlineLevel="0" collapsed="false">
      <c r="A131" s="26" t="n">
        <v>4108551</v>
      </c>
      <c r="B131" s="26" t="s">
        <v>196</v>
      </c>
      <c r="C131" s="26" t="s">
        <v>71</v>
      </c>
      <c r="D131" s="30" t="n">
        <v>0</v>
      </c>
      <c r="E131" s="28" t="n">
        <v>0.123950285522338</v>
      </c>
      <c r="F131" s="29" t="n">
        <v>10.75</v>
      </c>
      <c r="G131" s="30" t="n">
        <v>0</v>
      </c>
      <c r="H131" s="30" t="n">
        <v>72.0417594077962</v>
      </c>
      <c r="I131" s="30" t="n">
        <v>57.609860664523</v>
      </c>
      <c r="J131" s="37" t="n">
        <f aca="false">(G131+H131+I131)/3</f>
        <v>43.2172066907731</v>
      </c>
      <c r="K131" s="38" t="n">
        <f aca="false">(J131-MIN(J$6:J$404))/(MAX(J$6:J$404)-MIN(J$6:J$404))*100</f>
        <v>26.7656605109939</v>
      </c>
    </row>
    <row r="132" customFormat="false" ht="15" hidden="false" customHeight="false" outlineLevel="0" collapsed="false">
      <c r="A132" s="26" t="n">
        <v>4108601</v>
      </c>
      <c r="B132" s="26" t="s">
        <v>197</v>
      </c>
      <c r="C132" s="26" t="s">
        <v>86</v>
      </c>
      <c r="D132" s="30" t="n">
        <v>8.98</v>
      </c>
      <c r="E132" s="28" t="n">
        <v>0.124556036150086</v>
      </c>
      <c r="F132" s="29" t="n">
        <v>10.48</v>
      </c>
      <c r="G132" s="30" t="n">
        <v>16.1627069834413</v>
      </c>
      <c r="H132" s="30" t="n">
        <v>72.3938307305968</v>
      </c>
      <c r="I132" s="30" t="n">
        <v>56.1629153269025</v>
      </c>
      <c r="J132" s="37" t="n">
        <f aca="false">(G132+H132+I132)/3</f>
        <v>48.2398176803135</v>
      </c>
      <c r="K132" s="38" t="n">
        <f aca="false">(J132-MIN(J$6:J$404))/(MAX(J$6:J$404)-MIN(J$6:J$404))*100</f>
        <v>36.1724448240082</v>
      </c>
    </row>
    <row r="133" customFormat="false" ht="15" hidden="false" customHeight="false" outlineLevel="0" collapsed="false">
      <c r="A133" s="26" t="n">
        <v>4108650</v>
      </c>
      <c r="B133" s="26" t="s">
        <v>198</v>
      </c>
      <c r="C133" s="26" t="s">
        <v>65</v>
      </c>
      <c r="D133" s="30" t="n">
        <v>18.52</v>
      </c>
      <c r="E133" s="28" t="n">
        <v>0.142552543405422</v>
      </c>
      <c r="F133" s="29" t="n">
        <v>15.53</v>
      </c>
      <c r="G133" s="30" t="n">
        <v>33.3333333333333</v>
      </c>
      <c r="H133" s="30" t="n">
        <v>82.8536698540485</v>
      </c>
      <c r="I133" s="30" t="n">
        <v>83.2261521972133</v>
      </c>
      <c r="J133" s="37" t="n">
        <f aca="false">(G133+H133+I133)/3</f>
        <v>66.471051794865</v>
      </c>
      <c r="K133" s="38" t="n">
        <f aca="false">(J133-MIN(J$6:J$404))/(MAX(J$6:J$404)-MIN(J$6:J$404))*100</f>
        <v>70.3174915801268</v>
      </c>
    </row>
    <row r="134" customFormat="false" ht="15" hidden="false" customHeight="false" outlineLevel="0" collapsed="false">
      <c r="A134" s="26" t="n">
        <v>4108700</v>
      </c>
      <c r="B134" s="26" t="s">
        <v>199</v>
      </c>
      <c r="C134" s="26" t="s">
        <v>65</v>
      </c>
      <c r="D134" s="30" t="n">
        <v>23.81</v>
      </c>
      <c r="E134" s="28" t="n">
        <v>0.124268746676121</v>
      </c>
      <c r="F134" s="29" t="n">
        <v>13.3</v>
      </c>
      <c r="G134" s="30" t="n">
        <v>42.8545716342693</v>
      </c>
      <c r="H134" s="30" t="n">
        <v>72.226853792411</v>
      </c>
      <c r="I134" s="30" t="n">
        <v>71.2754555198285</v>
      </c>
      <c r="J134" s="37" t="n">
        <f aca="false">(G134+H134+I134)/3</f>
        <v>62.1189603155029</v>
      </c>
      <c r="K134" s="38" t="n">
        <f aca="false">(J134-MIN(J$6:J$404))/(MAX(J$6:J$404)-MIN(J$6:J$404))*100</f>
        <v>62.1665147391725</v>
      </c>
    </row>
    <row r="135" customFormat="false" ht="15" hidden="false" customHeight="false" outlineLevel="0" collapsed="false">
      <c r="A135" s="26" t="n">
        <v>4108908</v>
      </c>
      <c r="B135" s="26" t="s">
        <v>200</v>
      </c>
      <c r="C135" s="26" t="s">
        <v>65</v>
      </c>
      <c r="D135" s="30" t="n">
        <v>38.46</v>
      </c>
      <c r="E135" s="28" t="n">
        <v>0.134810991346592</v>
      </c>
      <c r="F135" s="29" t="n">
        <v>15.03</v>
      </c>
      <c r="G135" s="30" t="n">
        <v>69.2224622030238</v>
      </c>
      <c r="H135" s="30" t="n">
        <v>78.3541640359303</v>
      </c>
      <c r="I135" s="30" t="n">
        <v>80.5466237942122</v>
      </c>
      <c r="J135" s="37" t="n">
        <f aca="false">(G135+H135+I135)/3</f>
        <v>76.0410833443888</v>
      </c>
      <c r="K135" s="38" t="n">
        <f aca="false">(J135-MIN(J$6:J$404))/(MAX(J$6:J$404)-MIN(J$6:J$404))*100</f>
        <v>88.2410820876505</v>
      </c>
    </row>
    <row r="136" customFormat="false" ht="15" hidden="false" customHeight="false" outlineLevel="0" collapsed="false">
      <c r="A136" s="26" t="n">
        <v>4108809</v>
      </c>
      <c r="B136" s="26" t="s">
        <v>201</v>
      </c>
      <c r="C136" s="26" t="s">
        <v>86</v>
      </c>
      <c r="D136" s="30" t="n">
        <v>4.45</v>
      </c>
      <c r="E136" s="28" t="n">
        <v>0.143035174626912</v>
      </c>
      <c r="F136" s="29" t="n">
        <v>13.77</v>
      </c>
      <c r="G136" s="30" t="n">
        <v>8.0093592512599</v>
      </c>
      <c r="H136" s="30" t="n">
        <v>83.1341823368941</v>
      </c>
      <c r="I136" s="30" t="n">
        <v>73.7942122186495</v>
      </c>
      <c r="J136" s="37" t="n">
        <f aca="false">(G136+H136+I136)/3</f>
        <v>54.9792512689345</v>
      </c>
      <c r="K136" s="38" t="n">
        <f aca="false">(J136-MIN(J$6:J$404))/(MAX(J$6:J$404)-MIN(J$6:J$404))*100</f>
        <v>48.7946443716267</v>
      </c>
    </row>
    <row r="137" customFormat="false" ht="15" hidden="false" customHeight="false" outlineLevel="0" collapsed="false">
      <c r="A137" s="26" t="n">
        <v>4108957</v>
      </c>
      <c r="B137" s="26" t="s">
        <v>202</v>
      </c>
      <c r="C137" s="26" t="s">
        <v>65</v>
      </c>
      <c r="D137" s="30" t="n">
        <v>28.17</v>
      </c>
      <c r="E137" s="28" t="n">
        <v>0.139511201629328</v>
      </c>
      <c r="F137" s="29" t="n">
        <v>12.98</v>
      </c>
      <c r="G137" s="30" t="n">
        <v>50.7019438444924</v>
      </c>
      <c r="H137" s="30" t="n">
        <v>81.0859965357748</v>
      </c>
      <c r="I137" s="30" t="n">
        <v>69.5605573419078</v>
      </c>
      <c r="J137" s="37" t="n">
        <f aca="false">(G137+H137+I137)/3</f>
        <v>67.1161659073917</v>
      </c>
      <c r="K137" s="38" t="n">
        <f aca="false">(J137-MIN(J$6:J$404))/(MAX(J$6:J$404)-MIN(J$6:J$404))*100</f>
        <v>71.5257176056855</v>
      </c>
    </row>
    <row r="138" customFormat="false" ht="15" hidden="false" customHeight="false" outlineLevel="0" collapsed="false">
      <c r="A138" s="26" t="n">
        <v>4109005</v>
      </c>
      <c r="B138" s="26" t="s">
        <v>203</v>
      </c>
      <c r="C138" s="26" t="s">
        <v>71</v>
      </c>
      <c r="D138" s="30" t="n">
        <v>0</v>
      </c>
      <c r="E138" s="28" t="n">
        <v>0.147211413748379</v>
      </c>
      <c r="F138" s="29" t="n">
        <v>15.35</v>
      </c>
      <c r="G138" s="30" t="n">
        <v>0</v>
      </c>
      <c r="H138" s="30" t="n">
        <v>85.5614749627259</v>
      </c>
      <c r="I138" s="30" t="n">
        <v>82.2615219721329</v>
      </c>
      <c r="J138" s="37" t="n">
        <f aca="false">(G138+H138+I138)/3</f>
        <v>55.9409989782863</v>
      </c>
      <c r="K138" s="38" t="n">
        <f aca="false">(J138-MIN(J$6:J$404))/(MAX(J$6:J$404)-MIN(J$6:J$404))*100</f>
        <v>50.5958894380369</v>
      </c>
    </row>
    <row r="139" customFormat="false" ht="15" hidden="false" customHeight="false" outlineLevel="0" collapsed="false">
      <c r="A139" s="26" t="n">
        <v>4109104</v>
      </c>
      <c r="B139" s="26" t="s">
        <v>204</v>
      </c>
      <c r="C139" s="26" t="s">
        <v>71</v>
      </c>
      <c r="D139" s="30" t="n">
        <v>55.56</v>
      </c>
      <c r="E139" s="28" t="n">
        <v>0.118667275216796</v>
      </c>
      <c r="F139" s="29" t="n">
        <v>11.87</v>
      </c>
      <c r="G139" s="30" t="n">
        <v>100</v>
      </c>
      <c r="H139" s="30" t="n">
        <v>68.9711948199303</v>
      </c>
      <c r="I139" s="30" t="n">
        <v>63.6120042872454</v>
      </c>
      <c r="J139" s="37" t="n">
        <f aca="false">(G139+H139+I139)/3</f>
        <v>77.5277330357253</v>
      </c>
      <c r="K139" s="38" t="n">
        <f aca="false">(J139-MIN(J$6:J$404))/(MAX(J$6:J$404)-MIN(J$6:J$404))*100</f>
        <v>91.0254094075513</v>
      </c>
    </row>
    <row r="140" customFormat="false" ht="15" hidden="false" customHeight="false" outlineLevel="0" collapsed="false">
      <c r="A140" s="26" t="n">
        <v>4109203</v>
      </c>
      <c r="B140" s="26" t="s">
        <v>205</v>
      </c>
      <c r="C140" s="26" t="s">
        <v>71</v>
      </c>
      <c r="D140" s="30" t="n">
        <v>0</v>
      </c>
      <c r="E140" s="28" t="n">
        <v>0.119629317607414</v>
      </c>
      <c r="F140" s="29" t="n">
        <v>11.58</v>
      </c>
      <c r="G140" s="30" t="n">
        <v>0</v>
      </c>
      <c r="H140" s="30" t="n">
        <v>69.5303482430379</v>
      </c>
      <c r="I140" s="30" t="n">
        <v>62.0578778135048</v>
      </c>
      <c r="J140" s="37" t="n">
        <f aca="false">(G140+H140+I140)/3</f>
        <v>43.8627420188476</v>
      </c>
      <c r="K140" s="38" t="n">
        <f aca="false">(J140-MIN(J$6:J$404))/(MAX(J$6:J$404)-MIN(J$6:J$404))*100</f>
        <v>27.9746754258008</v>
      </c>
    </row>
    <row r="141" customFormat="false" ht="15" hidden="false" customHeight="false" outlineLevel="0" collapsed="false">
      <c r="A141" s="26" t="n">
        <v>4109302</v>
      </c>
      <c r="B141" s="26" t="s">
        <v>206</v>
      </c>
      <c r="C141" s="26" t="s">
        <v>65</v>
      </c>
      <c r="D141" s="30" t="n">
        <v>5.24</v>
      </c>
      <c r="E141" s="28" t="n">
        <v>0.124790680742628</v>
      </c>
      <c r="F141" s="29" t="n">
        <v>12.09</v>
      </c>
      <c r="G141" s="30" t="n">
        <v>9.43124550035997</v>
      </c>
      <c r="H141" s="30" t="n">
        <v>72.5302096764865</v>
      </c>
      <c r="I141" s="30" t="n">
        <v>64.7909967845659</v>
      </c>
      <c r="J141" s="37" t="n">
        <f aca="false">(G141+H141+I141)/3</f>
        <v>48.9174839871375</v>
      </c>
      <c r="K141" s="38" t="n">
        <f aca="false">(J141-MIN(J$6:J$404))/(MAX(J$6:J$404)-MIN(J$6:J$404))*100</f>
        <v>37.4416374407099</v>
      </c>
    </row>
    <row r="142" customFormat="false" ht="15" hidden="false" customHeight="false" outlineLevel="0" collapsed="false">
      <c r="A142" s="26" t="n">
        <v>4109401</v>
      </c>
      <c r="B142" s="26" t="s">
        <v>207</v>
      </c>
      <c r="C142" s="26" t="s">
        <v>69</v>
      </c>
      <c r="D142" s="30" t="n">
        <v>9.89</v>
      </c>
      <c r="E142" s="28" t="n">
        <v>0.140334883823101</v>
      </c>
      <c r="F142" s="29" t="n">
        <v>14.27</v>
      </c>
      <c r="G142" s="30" t="n">
        <v>17.8005759539237</v>
      </c>
      <c r="H142" s="30" t="n">
        <v>81.564732943539</v>
      </c>
      <c r="I142" s="30" t="n">
        <v>76.4737406216506</v>
      </c>
      <c r="J142" s="37" t="n">
        <f aca="false">(G142+H142+I142)/3</f>
        <v>58.6130165063711</v>
      </c>
      <c r="K142" s="38" t="n">
        <f aca="false">(J142-MIN(J$6:J$404))/(MAX(J$6:J$404)-MIN(J$6:J$404))*100</f>
        <v>55.6002771199879</v>
      </c>
    </row>
    <row r="143" customFormat="false" ht="15" hidden="false" customHeight="false" outlineLevel="0" collapsed="false">
      <c r="A143" s="26" t="n">
        <v>4109500</v>
      </c>
      <c r="B143" s="26" t="s">
        <v>208</v>
      </c>
      <c r="C143" s="26" t="s">
        <v>65</v>
      </c>
      <c r="D143" s="30" t="n">
        <v>0</v>
      </c>
      <c r="E143" s="28" t="n">
        <v>0.144683714670256</v>
      </c>
      <c r="F143" s="29" t="n">
        <v>13.19</v>
      </c>
      <c r="G143" s="30" t="n">
        <v>0</v>
      </c>
      <c r="H143" s="30" t="n">
        <v>84.0923384611515</v>
      </c>
      <c r="I143" s="30" t="n">
        <v>70.6859592711683</v>
      </c>
      <c r="J143" s="37" t="n">
        <f aca="false">(G143+H143+I143)/3</f>
        <v>51.5927659107732</v>
      </c>
      <c r="K143" s="38" t="n">
        <f aca="false">(J143-MIN(J$6:J$404))/(MAX(J$6:J$404)-MIN(J$6:J$404))*100</f>
        <v>42.452138967616</v>
      </c>
    </row>
    <row r="144" customFormat="false" ht="15" hidden="false" customHeight="false" outlineLevel="0" collapsed="false">
      <c r="A144" s="26" t="n">
        <v>4109609</v>
      </c>
      <c r="B144" s="26" t="s">
        <v>209</v>
      </c>
      <c r="C144" s="26" t="s">
        <v>86</v>
      </c>
      <c r="D144" s="30" t="n">
        <v>11.17</v>
      </c>
      <c r="E144" s="28" t="n">
        <v>0.146807094289382</v>
      </c>
      <c r="F144" s="29" t="n">
        <v>12.22</v>
      </c>
      <c r="G144" s="30" t="n">
        <v>20.1043916486681</v>
      </c>
      <c r="H144" s="30" t="n">
        <v>85.3264784472588</v>
      </c>
      <c r="I144" s="30" t="n">
        <v>65.4876741693462</v>
      </c>
      <c r="J144" s="37" t="n">
        <f aca="false">(G144+H144+I144)/3</f>
        <v>56.9728480884244</v>
      </c>
      <c r="K144" s="38" t="n">
        <f aca="false">(J144-MIN(J$6:J$404))/(MAX(J$6:J$404)-MIN(J$6:J$404))*100</f>
        <v>52.5284265273832</v>
      </c>
    </row>
    <row r="145" customFormat="false" ht="15" hidden="false" customHeight="false" outlineLevel="0" collapsed="false">
      <c r="A145" s="26" t="n">
        <v>4109658</v>
      </c>
      <c r="B145" s="26" t="s">
        <v>210</v>
      </c>
      <c r="C145" s="26" t="s">
        <v>71</v>
      </c>
      <c r="D145" s="30" t="n">
        <v>13.7</v>
      </c>
      <c r="E145" s="28" t="n">
        <v>0.140052620926938</v>
      </c>
      <c r="F145" s="29" t="n">
        <v>12.75</v>
      </c>
      <c r="G145" s="30" t="n">
        <v>24.6580273578114</v>
      </c>
      <c r="H145" s="30" t="n">
        <v>81.4006775275352</v>
      </c>
      <c r="I145" s="30" t="n">
        <v>68.3279742765273</v>
      </c>
      <c r="J145" s="37" t="n">
        <f aca="false">(G145+H145+I145)/3</f>
        <v>58.128893053958</v>
      </c>
      <c r="K145" s="38" t="n">
        <f aca="false">(J145-MIN(J$6:J$404))/(MAX(J$6:J$404)-MIN(J$6:J$404))*100</f>
        <v>54.6935684564648</v>
      </c>
    </row>
    <row r="146" customFormat="false" ht="15" hidden="false" customHeight="false" outlineLevel="0" collapsed="false">
      <c r="A146" s="26" t="n">
        <v>4109708</v>
      </c>
      <c r="B146" s="26" t="s">
        <v>211</v>
      </c>
      <c r="C146" s="26" t="s">
        <v>86</v>
      </c>
      <c r="D146" s="30" t="n">
        <v>8.33</v>
      </c>
      <c r="E146" s="28" t="n">
        <v>0.129725979882067</v>
      </c>
      <c r="F146" s="29" t="n">
        <v>12.7</v>
      </c>
      <c r="G146" s="30" t="n">
        <v>14.9928005759539</v>
      </c>
      <c r="H146" s="30" t="n">
        <v>75.3986793351941</v>
      </c>
      <c r="I146" s="30" t="n">
        <v>68.0600214362272</v>
      </c>
      <c r="J146" s="37" t="n">
        <f aca="false">(G146+H146+I146)/3</f>
        <v>52.8171671157917</v>
      </c>
      <c r="K146" s="38" t="n">
        <f aca="false">(J146-MIN(J$6:J$404))/(MAX(J$6:J$404)-MIN(J$6:J$404))*100</f>
        <v>44.7453044292034</v>
      </c>
    </row>
    <row r="147" customFormat="false" ht="15" hidden="false" customHeight="false" outlineLevel="0" collapsed="false">
      <c r="A147" s="26" t="n">
        <v>4109757</v>
      </c>
      <c r="B147" s="26" t="s">
        <v>212</v>
      </c>
      <c r="C147" s="26" t="s">
        <v>65</v>
      </c>
      <c r="D147" s="30" t="n">
        <v>0</v>
      </c>
      <c r="E147" s="28" t="n">
        <v>0.141363782566742</v>
      </c>
      <c r="F147" s="29" t="n">
        <v>13.35</v>
      </c>
      <c r="G147" s="30" t="n">
        <v>0</v>
      </c>
      <c r="H147" s="30" t="n">
        <v>82.1627442787446</v>
      </c>
      <c r="I147" s="30" t="n">
        <v>71.5434083601286</v>
      </c>
      <c r="J147" s="37" t="n">
        <f aca="false">(G147+H147+I147)/3</f>
        <v>51.2353842129577</v>
      </c>
      <c r="K147" s="38" t="n">
        <f aca="false">(J147-MIN(J$6:J$404))/(MAX(J$6:J$404)-MIN(J$6:J$404))*100</f>
        <v>41.7828033261</v>
      </c>
    </row>
    <row r="148" customFormat="false" ht="15" hidden="false" customHeight="false" outlineLevel="0" collapsed="false">
      <c r="A148" s="26" t="n">
        <v>4109807</v>
      </c>
      <c r="B148" s="26" t="s">
        <v>213</v>
      </c>
      <c r="C148" s="26" t="s">
        <v>86</v>
      </c>
      <c r="D148" s="30" t="n">
        <v>19.23</v>
      </c>
      <c r="E148" s="28" t="n">
        <v>0.132472918241188</v>
      </c>
      <c r="F148" s="29" t="n">
        <v>12.13</v>
      </c>
      <c r="G148" s="30" t="n">
        <v>34.6112311015119</v>
      </c>
      <c r="H148" s="30" t="n">
        <v>76.9952409852286</v>
      </c>
      <c r="I148" s="30" t="n">
        <v>65.005359056806</v>
      </c>
      <c r="J148" s="37" t="n">
        <f aca="false">(G148+H148+I148)/3</f>
        <v>58.8706103811822</v>
      </c>
      <c r="K148" s="38" t="n">
        <f aca="false">(J148-MIN(J$6:J$404))/(MAX(J$6:J$404)-MIN(J$6:J$404))*100</f>
        <v>56.082721415544</v>
      </c>
    </row>
    <row r="149" customFormat="false" ht="15" hidden="false" customHeight="false" outlineLevel="0" collapsed="false">
      <c r="A149" s="26" t="n">
        <v>4109906</v>
      </c>
      <c r="B149" s="26" t="s">
        <v>214</v>
      </c>
      <c r="C149" s="26" t="s">
        <v>65</v>
      </c>
      <c r="D149" s="30" t="n">
        <v>28.04</v>
      </c>
      <c r="E149" s="28" t="n">
        <v>0.116894672450228</v>
      </c>
      <c r="F149" s="29" t="n">
        <v>14.57</v>
      </c>
      <c r="G149" s="30" t="n">
        <v>50.467962562995</v>
      </c>
      <c r="H149" s="30" t="n">
        <v>67.9409315857914</v>
      </c>
      <c r="I149" s="30" t="n">
        <v>78.0814576634512</v>
      </c>
      <c r="J149" s="37" t="n">
        <f aca="false">(G149+H149+I149)/3</f>
        <v>65.4967839374125</v>
      </c>
      <c r="K149" s="38" t="n">
        <f aca="false">(J149-MIN(J$6:J$404))/(MAX(J$6:J$404)-MIN(J$6:J$404))*100</f>
        <v>68.4927976873997</v>
      </c>
    </row>
    <row r="150" customFormat="false" ht="15" hidden="false" customHeight="false" outlineLevel="0" collapsed="false">
      <c r="A150" s="26" t="n">
        <v>4110003</v>
      </c>
      <c r="B150" s="26" t="s">
        <v>215</v>
      </c>
      <c r="C150" s="26" t="s">
        <v>65</v>
      </c>
      <c r="D150" s="30" t="n">
        <v>0</v>
      </c>
      <c r="E150" s="28" t="n">
        <v>0.136193330835519</v>
      </c>
      <c r="F150" s="29" t="n">
        <v>8.06</v>
      </c>
      <c r="G150" s="30" t="n">
        <v>0</v>
      </c>
      <c r="H150" s="30" t="n">
        <v>79.1576004173918</v>
      </c>
      <c r="I150" s="30" t="n">
        <v>43.1939978563773</v>
      </c>
      <c r="J150" s="37" t="n">
        <f aca="false">(G150+H150+I150)/3</f>
        <v>40.7838660912564</v>
      </c>
      <c r="K150" s="38" t="n">
        <f aca="false">(J150-MIN(J$6:J$404))/(MAX(J$6:J$404)-MIN(J$6:J$404))*100</f>
        <v>22.2082878163093</v>
      </c>
    </row>
    <row r="151" customFormat="false" ht="15" hidden="false" customHeight="false" outlineLevel="0" collapsed="false">
      <c r="A151" s="26" t="n">
        <v>4110052</v>
      </c>
      <c r="B151" s="26" t="s">
        <v>216</v>
      </c>
      <c r="C151" s="26" t="s">
        <v>71</v>
      </c>
      <c r="D151" s="30" t="n">
        <v>0</v>
      </c>
      <c r="E151" s="28" t="n">
        <v>0.113339552238806</v>
      </c>
      <c r="F151" s="29" t="n">
        <v>7.93</v>
      </c>
      <c r="G151" s="30" t="n">
        <v>0</v>
      </c>
      <c r="H151" s="30" t="n">
        <v>65.8746425582369</v>
      </c>
      <c r="I151" s="30" t="n">
        <v>42.497320471597</v>
      </c>
      <c r="J151" s="37" t="n">
        <f aca="false">(G151+H151+I151)/3</f>
        <v>36.1239876766113</v>
      </c>
      <c r="K151" s="38" t="n">
        <f aca="false">(J151-MIN(J$6:J$404))/(MAX(J$6:J$404)-MIN(J$6:J$404))*100</f>
        <v>13.4808607345141</v>
      </c>
    </row>
    <row r="152" customFormat="false" ht="15" hidden="false" customHeight="false" outlineLevel="0" collapsed="false">
      <c r="A152" s="26" t="n">
        <v>4110078</v>
      </c>
      <c r="B152" s="26" t="s">
        <v>217</v>
      </c>
      <c r="C152" s="26" t="s">
        <v>65</v>
      </c>
      <c r="D152" s="30" t="n">
        <v>6.13</v>
      </c>
      <c r="E152" s="28" t="n">
        <v>0.14927363323742</v>
      </c>
      <c r="F152" s="29" t="n">
        <v>13.4</v>
      </c>
      <c r="G152" s="30" t="n">
        <v>11.033117350612</v>
      </c>
      <c r="H152" s="30" t="n">
        <v>86.7600677666838</v>
      </c>
      <c r="I152" s="30" t="n">
        <v>71.8113612004287</v>
      </c>
      <c r="J152" s="37" t="n">
        <f aca="false">(G152+H152+I152)/3</f>
        <v>56.5348487725748</v>
      </c>
      <c r="K152" s="38" t="n">
        <f aca="false">(J152-MIN(J$6:J$404))/(MAX(J$6:J$404)-MIN(J$6:J$404))*100</f>
        <v>51.7081031732502</v>
      </c>
    </row>
    <row r="153" customFormat="false" ht="15" hidden="false" customHeight="false" outlineLevel="0" collapsed="false">
      <c r="A153" s="26" t="n">
        <v>4110102</v>
      </c>
      <c r="B153" s="26" t="s">
        <v>218</v>
      </c>
      <c r="C153" s="26" t="s">
        <v>86</v>
      </c>
      <c r="D153" s="30" t="n">
        <v>9.03</v>
      </c>
      <c r="E153" s="28" t="n">
        <v>0.1426948268948</v>
      </c>
      <c r="F153" s="29" t="n">
        <v>15.17</v>
      </c>
      <c r="G153" s="30" t="n">
        <v>16.2526997840173</v>
      </c>
      <c r="H153" s="30" t="n">
        <v>82.9363671456787</v>
      </c>
      <c r="I153" s="30" t="n">
        <v>81.2968917470525</v>
      </c>
      <c r="J153" s="37" t="n">
        <f aca="false">(G153+H153+I153)/3</f>
        <v>60.1619862255828</v>
      </c>
      <c r="K153" s="38" t="n">
        <f aca="false">(J153-MIN(J$6:J$404))/(MAX(J$6:J$404)-MIN(J$6:J$404))*100</f>
        <v>58.5013228283572</v>
      </c>
    </row>
    <row r="154" customFormat="false" ht="15" hidden="false" customHeight="false" outlineLevel="0" collapsed="false">
      <c r="A154" s="26" t="n">
        <v>4110300</v>
      </c>
      <c r="B154" s="26" t="s">
        <v>219</v>
      </c>
      <c r="C154" s="26" t="s">
        <v>71</v>
      </c>
      <c r="D154" s="30" t="n">
        <v>0</v>
      </c>
      <c r="E154" s="28" t="n">
        <v>0.131703470031546</v>
      </c>
      <c r="F154" s="29" t="n">
        <v>12.22</v>
      </c>
      <c r="G154" s="30" t="n">
        <v>0</v>
      </c>
      <c r="H154" s="30" t="n">
        <v>76.5480261800171</v>
      </c>
      <c r="I154" s="30" t="n">
        <v>65.4876741693462</v>
      </c>
      <c r="J154" s="37" t="n">
        <f aca="false">(G154+H154+I154)/3</f>
        <v>47.3452334497878</v>
      </c>
      <c r="K154" s="38" t="n">
        <f aca="false">(J154-MIN(J$6:J$404))/(MAX(J$6:J$404)-MIN(J$6:J$404))*100</f>
        <v>34.496989383819</v>
      </c>
    </row>
    <row r="155" customFormat="false" ht="15" hidden="false" customHeight="false" outlineLevel="0" collapsed="false">
      <c r="A155" s="26" t="n">
        <v>4110201</v>
      </c>
      <c r="B155" s="26" t="s">
        <v>220</v>
      </c>
      <c r="C155" s="26" t="s">
        <v>65</v>
      </c>
      <c r="D155" s="30" t="n">
        <v>5.92</v>
      </c>
      <c r="E155" s="28" t="n">
        <v>0.152223371251293</v>
      </c>
      <c r="F155" s="29" t="n">
        <v>15.2</v>
      </c>
      <c r="G155" s="30" t="n">
        <v>10.6551475881929</v>
      </c>
      <c r="H155" s="30" t="n">
        <v>88.4744996085784</v>
      </c>
      <c r="I155" s="30" t="n">
        <v>81.4576634512326</v>
      </c>
      <c r="J155" s="37" t="n">
        <f aca="false">(G155+H155+I155)/3</f>
        <v>60.1957702160013</v>
      </c>
      <c r="K155" s="38" t="n">
        <f aca="false">(J155-MIN(J$6:J$404))/(MAX(J$6:J$404)-MIN(J$6:J$404))*100</f>
        <v>58.5645964348064</v>
      </c>
    </row>
    <row r="156" customFormat="false" ht="15" hidden="false" customHeight="false" outlineLevel="0" collapsed="false">
      <c r="A156" s="26" t="n">
        <v>4110409</v>
      </c>
      <c r="B156" s="26" t="s">
        <v>221</v>
      </c>
      <c r="C156" s="26" t="s">
        <v>71</v>
      </c>
      <c r="D156" s="30" t="n">
        <v>0</v>
      </c>
      <c r="E156" s="28" t="n">
        <v>0.12544964028777</v>
      </c>
      <c r="F156" s="29" t="n">
        <v>10.34</v>
      </c>
      <c r="G156" s="30" t="n">
        <v>0</v>
      </c>
      <c r="H156" s="30" t="n">
        <v>72.9132068177234</v>
      </c>
      <c r="I156" s="30" t="n">
        <v>55.4126473740622</v>
      </c>
      <c r="J156" s="37" t="n">
        <f aca="false">(G156+H156+I156)/3</f>
        <v>42.7752847305952</v>
      </c>
      <c r="K156" s="38" t="n">
        <f aca="false">(J156-MIN(J$6:J$404))/(MAX(J$6:J$404)-MIN(J$6:J$404))*100</f>
        <v>25.9379904861333</v>
      </c>
    </row>
    <row r="157" customFormat="false" ht="15" hidden="false" customHeight="false" outlineLevel="0" collapsed="false">
      <c r="A157" s="26" t="n">
        <v>4110508</v>
      </c>
      <c r="B157" s="26" t="s">
        <v>222</v>
      </c>
      <c r="C157" s="26" t="s">
        <v>65</v>
      </c>
      <c r="D157" s="30" t="n">
        <v>14.35</v>
      </c>
      <c r="E157" s="28" t="n">
        <v>0.141352001131382</v>
      </c>
      <c r="F157" s="29" t="n">
        <v>12.8</v>
      </c>
      <c r="G157" s="30" t="n">
        <v>25.8279337652988</v>
      </c>
      <c r="H157" s="30" t="n">
        <v>82.1558967323423</v>
      </c>
      <c r="I157" s="30" t="n">
        <v>68.5959271168274</v>
      </c>
      <c r="J157" s="37" t="n">
        <f aca="false">(G157+H157+I157)/3</f>
        <v>58.8599192048228</v>
      </c>
      <c r="K157" s="38" t="n">
        <f aca="false">(J157-MIN(J$6:J$404))/(MAX(J$6:J$404)-MIN(J$6:J$404))*100</f>
        <v>56.0626980471657</v>
      </c>
    </row>
    <row r="158" customFormat="false" ht="15" hidden="false" customHeight="false" outlineLevel="0" collapsed="false">
      <c r="A158" s="26" t="n">
        <v>4110607</v>
      </c>
      <c r="B158" s="26" t="s">
        <v>223</v>
      </c>
      <c r="C158" s="26" t="s">
        <v>65</v>
      </c>
      <c r="D158" s="30" t="n">
        <v>9.48</v>
      </c>
      <c r="E158" s="28" t="n">
        <v>0.124349041026292</v>
      </c>
      <c r="F158" s="29" t="n">
        <v>10.48</v>
      </c>
      <c r="G158" s="30" t="n">
        <v>17.0626349892009</v>
      </c>
      <c r="H158" s="30" t="n">
        <v>72.2735220693937</v>
      </c>
      <c r="I158" s="30" t="n">
        <v>56.1629153269025</v>
      </c>
      <c r="J158" s="37" t="n">
        <f aca="false">(G158+H158+I158)/3</f>
        <v>48.4996907951657</v>
      </c>
      <c r="K158" s="38" t="n">
        <f aca="false">(J158-MIN(J$6:J$404))/(MAX(J$6:J$404)-MIN(J$6:J$404))*100</f>
        <v>36.6591578792808</v>
      </c>
    </row>
    <row r="159" customFormat="false" ht="15" hidden="false" customHeight="false" outlineLevel="0" collapsed="false">
      <c r="A159" s="26" t="n">
        <v>4110656</v>
      </c>
      <c r="B159" s="26" t="s">
        <v>224</v>
      </c>
      <c r="C159" s="26" t="s">
        <v>71</v>
      </c>
      <c r="D159" s="30" t="n">
        <v>0</v>
      </c>
      <c r="E159" s="28" t="n">
        <v>0.116090482287665</v>
      </c>
      <c r="F159" s="29" t="n">
        <v>11.52</v>
      </c>
      <c r="G159" s="30" t="n">
        <v>0</v>
      </c>
      <c r="H159" s="30" t="n">
        <v>67.4735242380366</v>
      </c>
      <c r="I159" s="30" t="n">
        <v>61.7363344051447</v>
      </c>
      <c r="J159" s="37" t="n">
        <f aca="false">(G159+H159+I159)/3</f>
        <v>43.0699528810604</v>
      </c>
      <c r="K159" s="38" t="n">
        <f aca="false">(J159-MIN(J$6:J$404))/(MAX(J$6:J$404)-MIN(J$6:J$404))*100</f>
        <v>26.4898707215554</v>
      </c>
    </row>
    <row r="160" customFormat="false" ht="15" hidden="false" customHeight="false" outlineLevel="0" collapsed="false">
      <c r="A160" s="26" t="n">
        <v>4110706</v>
      </c>
      <c r="B160" s="26" t="s">
        <v>225</v>
      </c>
      <c r="C160" s="26" t="s">
        <v>86</v>
      </c>
      <c r="D160" s="30" t="n">
        <v>5.36</v>
      </c>
      <c r="E160" s="28" t="n">
        <v>0.129485232067511</v>
      </c>
      <c r="F160" s="29" t="n">
        <v>12.93</v>
      </c>
      <c r="G160" s="30" t="n">
        <v>9.64722822174226</v>
      </c>
      <c r="H160" s="30" t="n">
        <v>75.2587531054064</v>
      </c>
      <c r="I160" s="30" t="n">
        <v>69.2926045016077</v>
      </c>
      <c r="J160" s="37" t="n">
        <f aca="false">(G160+H160+I160)/3</f>
        <v>51.3995286095854</v>
      </c>
      <c r="K160" s="38" t="n">
        <f aca="false">(J160-MIN(J$6:J$404))/(MAX(J$6:J$404)-MIN(J$6:J$404))*100</f>
        <v>42.0902272811867</v>
      </c>
    </row>
    <row r="161" customFormat="false" ht="15" hidden="false" customHeight="false" outlineLevel="0" collapsed="false">
      <c r="A161" s="26" t="n">
        <v>4110805</v>
      </c>
      <c r="B161" s="26" t="s">
        <v>226</v>
      </c>
      <c r="C161" s="26" t="s">
        <v>65</v>
      </c>
      <c r="D161" s="30" t="n">
        <v>23.26</v>
      </c>
      <c r="E161" s="28" t="n">
        <v>0.129820292025459</v>
      </c>
      <c r="F161" s="29" t="n">
        <v>11.51</v>
      </c>
      <c r="G161" s="30" t="n">
        <v>41.8646508279338</v>
      </c>
      <c r="H161" s="30" t="n">
        <v>75.4534949632082</v>
      </c>
      <c r="I161" s="30" t="n">
        <v>61.6827438370847</v>
      </c>
      <c r="J161" s="37" t="n">
        <f aca="false">(G161+H161+I161)/3</f>
        <v>59.6669632094089</v>
      </c>
      <c r="K161" s="38" t="n">
        <f aca="false">(J161-MIN(J$6:J$404))/(MAX(J$6:J$404)-MIN(J$6:J$404))*100</f>
        <v>57.574200510339</v>
      </c>
    </row>
    <row r="162" customFormat="false" ht="15" hidden="false" customHeight="false" outlineLevel="0" collapsed="false">
      <c r="A162" s="26" t="n">
        <v>4110904</v>
      </c>
      <c r="B162" s="26" t="s">
        <v>227</v>
      </c>
      <c r="C162" s="26" t="s">
        <v>71</v>
      </c>
      <c r="D162" s="30" t="n">
        <v>0</v>
      </c>
      <c r="E162" s="28" t="n">
        <v>0.141039946440527</v>
      </c>
      <c r="F162" s="29" t="n">
        <v>12.72</v>
      </c>
      <c r="G162" s="30" t="n">
        <v>0</v>
      </c>
      <c r="H162" s="30" t="n">
        <v>81.974525879779</v>
      </c>
      <c r="I162" s="30" t="n">
        <v>68.1672025723473</v>
      </c>
      <c r="J162" s="37" t="n">
        <f aca="false">(G162+H162+I162)/3</f>
        <v>50.0472428173754</v>
      </c>
      <c r="K162" s="38" t="n">
        <f aca="false">(J162-MIN(J$6:J$404))/(MAX(J$6:J$404)-MIN(J$6:J$404))*100</f>
        <v>39.5575484009462</v>
      </c>
    </row>
    <row r="163" customFormat="false" ht="15" hidden="false" customHeight="false" outlineLevel="0" collapsed="false">
      <c r="A163" s="26" t="n">
        <v>4110953</v>
      </c>
      <c r="B163" s="26" t="s">
        <v>228</v>
      </c>
      <c r="C163" s="26" t="s">
        <v>65</v>
      </c>
      <c r="D163" s="30" t="n">
        <v>14.49</v>
      </c>
      <c r="E163" s="28" t="n">
        <v>0.143839791031781</v>
      </c>
      <c r="F163" s="29" t="n">
        <v>13.32</v>
      </c>
      <c r="G163" s="30" t="n">
        <v>26.0799136069115</v>
      </c>
      <c r="H163" s="30" t="n">
        <v>83.6018374230508</v>
      </c>
      <c r="I163" s="30" t="n">
        <v>71.3826366559486</v>
      </c>
      <c r="J163" s="37" t="n">
        <f aca="false">(G163+H163+I163)/3</f>
        <v>60.3547958953036</v>
      </c>
      <c r="K163" s="38" t="n">
        <f aca="false">(J163-MIN(J$6:J$404))/(MAX(J$6:J$404)-MIN(J$6:J$404))*100</f>
        <v>58.8624336092446</v>
      </c>
    </row>
    <row r="164" customFormat="false" ht="15" hidden="false" customHeight="false" outlineLevel="0" collapsed="false">
      <c r="A164" s="26" t="n">
        <v>4111001</v>
      </c>
      <c r="B164" s="26" t="s">
        <v>229</v>
      </c>
      <c r="C164" s="26" t="s">
        <v>65</v>
      </c>
      <c r="D164" s="30" t="n">
        <v>0</v>
      </c>
      <c r="E164" s="28" t="n">
        <v>0.118314150304672</v>
      </c>
      <c r="F164" s="29" t="n">
        <v>9.82</v>
      </c>
      <c r="G164" s="30" t="n">
        <v>0</v>
      </c>
      <c r="H164" s="30" t="n">
        <v>68.7659533406311</v>
      </c>
      <c r="I164" s="30" t="n">
        <v>52.6259378349411</v>
      </c>
      <c r="J164" s="37" t="n">
        <f aca="false">(G164+H164+I164)/3</f>
        <v>40.4639637251907</v>
      </c>
      <c r="K164" s="38" t="n">
        <f aca="false">(J164-MIN(J$6:J$404))/(MAX(J$6:J$404)-MIN(J$6:J$404))*100</f>
        <v>21.6091467390749</v>
      </c>
    </row>
    <row r="165" customFormat="false" ht="15" hidden="false" customHeight="false" outlineLevel="0" collapsed="false">
      <c r="A165" s="26" t="n">
        <v>4111100</v>
      </c>
      <c r="B165" s="26" t="s">
        <v>230</v>
      </c>
      <c r="C165" s="26" t="s">
        <v>65</v>
      </c>
      <c r="D165" s="30" t="n">
        <v>14.08</v>
      </c>
      <c r="E165" s="28" t="n">
        <v>0.113892979872361</v>
      </c>
      <c r="F165" s="29" t="n">
        <v>9.33</v>
      </c>
      <c r="G165" s="30" t="n">
        <v>25.3419726421886</v>
      </c>
      <c r="H165" s="30" t="n">
        <v>66.1963029744126</v>
      </c>
      <c r="I165" s="30" t="n">
        <v>50</v>
      </c>
      <c r="J165" s="37" t="n">
        <f aca="false">(G165+H165+I165)/3</f>
        <v>47.1794252055338</v>
      </c>
      <c r="K165" s="38" t="n">
        <f aca="false">(J165-MIN(J$6:J$404))/(MAX(J$6:J$404)-MIN(J$6:J$404))*100</f>
        <v>34.1864492296511</v>
      </c>
    </row>
    <row r="166" customFormat="false" ht="15" hidden="false" customHeight="false" outlineLevel="0" collapsed="false">
      <c r="A166" s="26" t="n">
        <v>4111209</v>
      </c>
      <c r="B166" s="26" t="s">
        <v>231</v>
      </c>
      <c r="C166" s="26" t="s">
        <v>65</v>
      </c>
      <c r="D166" s="30" t="n">
        <v>18.87</v>
      </c>
      <c r="E166" s="28" t="n">
        <v>0.128888528839922</v>
      </c>
      <c r="F166" s="29" t="n">
        <v>11.67</v>
      </c>
      <c r="G166" s="30" t="n">
        <v>33.963282937365</v>
      </c>
      <c r="H166" s="30" t="n">
        <v>74.911940266867</v>
      </c>
      <c r="I166" s="30" t="n">
        <v>62.540192926045</v>
      </c>
      <c r="J166" s="37" t="n">
        <f aca="false">(G166+H166+I166)/3</f>
        <v>57.1384720434257</v>
      </c>
      <c r="K166" s="38" t="n">
        <f aca="false">(J166-MIN(J$6:J$404))/(MAX(J$6:J$404)-MIN(J$6:J$404))*100</f>
        <v>52.8386215285509</v>
      </c>
    </row>
    <row r="167" customFormat="false" ht="15" hidden="false" customHeight="false" outlineLevel="0" collapsed="false">
      <c r="A167" s="26" t="n">
        <v>4111258</v>
      </c>
      <c r="B167" s="26" t="s">
        <v>232</v>
      </c>
      <c r="C167" s="26" t="s">
        <v>86</v>
      </c>
      <c r="D167" s="30" t="n">
        <v>1.89</v>
      </c>
      <c r="E167" s="28" t="n">
        <v>0.158247108947048</v>
      </c>
      <c r="F167" s="29" t="n">
        <v>16.02</v>
      </c>
      <c r="G167" s="30" t="n">
        <v>3.40172786177106</v>
      </c>
      <c r="H167" s="30" t="n">
        <v>91.9755860319338</v>
      </c>
      <c r="I167" s="30" t="n">
        <v>85.8520900321543</v>
      </c>
      <c r="J167" s="37" t="n">
        <f aca="false">(G167+H167+I167)/3</f>
        <v>60.4098013086197</v>
      </c>
      <c r="K167" s="38" t="n">
        <f aca="false">(J167-MIN(J$6:J$404))/(MAX(J$6:J$404)-MIN(J$6:J$404))*100</f>
        <v>58.9654525490333</v>
      </c>
    </row>
    <row r="168" customFormat="false" ht="15" hidden="false" customHeight="false" outlineLevel="0" collapsed="false">
      <c r="A168" s="26" t="n">
        <v>4111308</v>
      </c>
      <c r="B168" s="26" t="s">
        <v>233</v>
      </c>
      <c r="C168" s="26" t="s">
        <v>71</v>
      </c>
      <c r="D168" s="30" t="n">
        <v>22.22</v>
      </c>
      <c r="E168" s="28" t="n">
        <v>0.134098544232923</v>
      </c>
      <c r="F168" s="29" t="n">
        <v>11.2</v>
      </c>
      <c r="G168" s="30" t="n">
        <v>39.9928005759539</v>
      </c>
      <c r="H168" s="30" t="n">
        <v>77.9400791200511</v>
      </c>
      <c r="I168" s="30" t="n">
        <v>60.021436227224</v>
      </c>
      <c r="J168" s="37" t="n">
        <f aca="false">(G168+H168+I168)/3</f>
        <v>59.318105307743</v>
      </c>
      <c r="K168" s="38" t="n">
        <f aca="false">(J168-MIN(J$6:J$404))/(MAX(J$6:J$404)-MIN(J$6:J$404))*100</f>
        <v>56.9208289783419</v>
      </c>
    </row>
    <row r="169" customFormat="false" ht="15" hidden="false" customHeight="false" outlineLevel="0" collapsed="false">
      <c r="A169" s="26" t="n">
        <v>4111506</v>
      </c>
      <c r="B169" s="26" t="s">
        <v>234</v>
      </c>
      <c r="C169" s="26" t="s">
        <v>86</v>
      </c>
      <c r="D169" s="30" t="n">
        <v>23.05</v>
      </c>
      <c r="E169" s="28" t="n">
        <v>0.120507334963325</v>
      </c>
      <c r="F169" s="29" t="n">
        <v>11.43</v>
      </c>
      <c r="G169" s="30" t="n">
        <v>41.4866810655148</v>
      </c>
      <c r="H169" s="30" t="n">
        <v>70.0406650595252</v>
      </c>
      <c r="I169" s="30" t="n">
        <v>61.2540192926045</v>
      </c>
      <c r="J169" s="37" t="n">
        <f aca="false">(G169+H169+I169)/3</f>
        <v>57.5937884725482</v>
      </c>
      <c r="K169" s="38" t="n">
        <f aca="false">(J169-MIN(J$6:J$404))/(MAX(J$6:J$404)-MIN(J$6:J$404))*100</f>
        <v>53.691377884129</v>
      </c>
    </row>
    <row r="170" customFormat="false" ht="15" hidden="false" customHeight="false" outlineLevel="0" collapsed="false">
      <c r="A170" s="26" t="n">
        <v>4111407</v>
      </c>
      <c r="B170" s="26" t="s">
        <v>235</v>
      </c>
      <c r="C170" s="26" t="s">
        <v>65</v>
      </c>
      <c r="D170" s="30" t="n">
        <v>10.15</v>
      </c>
      <c r="E170" s="28" t="n">
        <v>0.142867941643359</v>
      </c>
      <c r="F170" s="29" t="n">
        <v>15.87</v>
      </c>
      <c r="G170" s="30" t="n">
        <v>18.2685385169187</v>
      </c>
      <c r="H170" s="30" t="n">
        <v>83.036984026173</v>
      </c>
      <c r="I170" s="30" t="n">
        <v>85.048231511254</v>
      </c>
      <c r="J170" s="37" t="n">
        <f aca="false">(G170+H170+I170)/3</f>
        <v>62.1179180181152</v>
      </c>
      <c r="K170" s="38" t="n">
        <f aca="false">(J170-MIN(J$6:J$404))/(MAX(J$6:J$404)-MIN(J$6:J$404))*100</f>
        <v>62.1645626336369</v>
      </c>
    </row>
    <row r="171" customFormat="false" ht="15" hidden="false" customHeight="false" outlineLevel="0" collapsed="false">
      <c r="A171" s="26" t="n">
        <v>4111555</v>
      </c>
      <c r="B171" s="26" t="s">
        <v>236</v>
      </c>
      <c r="C171" s="26" t="s">
        <v>65</v>
      </c>
      <c r="D171" s="30" t="n">
        <v>22.73</v>
      </c>
      <c r="E171" s="28" t="n">
        <v>0.131752305665349</v>
      </c>
      <c r="F171" s="29" t="n">
        <v>10.25</v>
      </c>
      <c r="G171" s="30" t="n">
        <v>40.9107271418287</v>
      </c>
      <c r="H171" s="30" t="n">
        <v>76.5764101806361</v>
      </c>
      <c r="I171" s="30" t="n">
        <v>54.930332261522</v>
      </c>
      <c r="J171" s="37" t="n">
        <f aca="false">(G171+H171+I171)/3</f>
        <v>57.4724898613289</v>
      </c>
      <c r="K171" s="38" t="n">
        <f aca="false">(J171-MIN(J$6:J$404))/(MAX(J$6:J$404)-MIN(J$6:J$404))*100</f>
        <v>53.4641992562035</v>
      </c>
    </row>
    <row r="172" customFormat="false" ht="15" hidden="false" customHeight="false" outlineLevel="0" collapsed="false">
      <c r="A172" s="26" t="n">
        <v>4111605</v>
      </c>
      <c r="B172" s="26" t="s">
        <v>237</v>
      </c>
      <c r="C172" s="26" t="s">
        <v>71</v>
      </c>
      <c r="D172" s="30" t="n">
        <v>29.41</v>
      </c>
      <c r="E172" s="28" t="n">
        <v>0.117429837518464</v>
      </c>
      <c r="F172" s="29" t="n">
        <v>10.34</v>
      </c>
      <c r="G172" s="30" t="n">
        <v>52.9337652987761</v>
      </c>
      <c r="H172" s="30" t="n">
        <v>68.2519775259184</v>
      </c>
      <c r="I172" s="30" t="n">
        <v>55.4126473740622</v>
      </c>
      <c r="J172" s="37" t="n">
        <f aca="false">(G172+H172+I172)/3</f>
        <v>58.8661300662522</v>
      </c>
      <c r="K172" s="38" t="n">
        <f aca="false">(J172-MIN(J$6:J$404))/(MAX(J$6:J$404)-MIN(J$6:J$404))*100</f>
        <v>56.0743302906314</v>
      </c>
    </row>
    <row r="173" customFormat="false" ht="15" hidden="false" customHeight="false" outlineLevel="0" collapsed="false">
      <c r="A173" s="26" t="n">
        <v>4111704</v>
      </c>
      <c r="B173" s="26" t="s">
        <v>238</v>
      </c>
      <c r="C173" s="26" t="s">
        <v>65</v>
      </c>
      <c r="D173" s="30" t="n">
        <v>0</v>
      </c>
      <c r="E173" s="28" t="n">
        <v>0.13322277501382</v>
      </c>
      <c r="F173" s="29" t="n">
        <v>14</v>
      </c>
      <c r="G173" s="30" t="n">
        <v>0</v>
      </c>
      <c r="H173" s="30" t="n">
        <v>77.431068954294</v>
      </c>
      <c r="I173" s="30" t="n">
        <v>75.02679528403</v>
      </c>
      <c r="J173" s="37" t="n">
        <f aca="false">(G173+H173+I173)/3</f>
        <v>50.8192880794413</v>
      </c>
      <c r="K173" s="38" t="n">
        <f aca="false">(J173-MIN(J$6:J$404))/(MAX(J$6:J$404)-MIN(J$6:J$404))*100</f>
        <v>41.0035021638919</v>
      </c>
    </row>
    <row r="174" customFormat="false" ht="15" hidden="false" customHeight="false" outlineLevel="0" collapsed="false">
      <c r="A174" s="26" t="n">
        <v>4111803</v>
      </c>
      <c r="B174" s="26" t="s">
        <v>239</v>
      </c>
      <c r="C174" s="26" t="s">
        <v>86</v>
      </c>
      <c r="D174" s="30" t="n">
        <v>5.26</v>
      </c>
      <c r="E174" s="28" t="n">
        <v>0.132160990712074</v>
      </c>
      <c r="F174" s="29" t="n">
        <v>12.93</v>
      </c>
      <c r="G174" s="30" t="n">
        <v>9.46724262059035</v>
      </c>
      <c r="H174" s="30" t="n">
        <v>76.813944040971</v>
      </c>
      <c r="I174" s="30" t="n">
        <v>69.2926045016077</v>
      </c>
      <c r="J174" s="37" t="n">
        <f aca="false">(G174+H174+I174)/3</f>
        <v>51.857930387723</v>
      </c>
      <c r="K174" s="38" t="n">
        <f aca="false">(J174-MIN(J$6:J$404))/(MAX(J$6:J$404)-MIN(J$6:J$404))*100</f>
        <v>42.9487621477377</v>
      </c>
    </row>
    <row r="175" customFormat="false" ht="15" hidden="false" customHeight="false" outlineLevel="0" collapsed="false">
      <c r="A175" s="26" t="n">
        <v>4111902</v>
      </c>
      <c r="B175" s="26" t="s">
        <v>240</v>
      </c>
      <c r="C175" s="26" t="s">
        <v>65</v>
      </c>
      <c r="D175" s="30" t="n">
        <v>11.76</v>
      </c>
      <c r="E175" s="28" t="n">
        <v>0.136026980558127</v>
      </c>
      <c r="F175" s="29" t="n">
        <v>13.95</v>
      </c>
      <c r="G175" s="30" t="n">
        <v>21.1663066954644</v>
      </c>
      <c r="H175" s="30" t="n">
        <v>79.060915148691</v>
      </c>
      <c r="I175" s="30" t="n">
        <v>74.7588424437299</v>
      </c>
      <c r="J175" s="37" t="n">
        <f aca="false">(G175+H175+I175)/3</f>
        <v>58.3286880959617</v>
      </c>
      <c r="K175" s="38" t="n">
        <f aca="false">(J175-MIN(J$6:J$404))/(MAX(J$6:J$404)-MIN(J$6:J$404))*100</f>
        <v>55.0677620523561</v>
      </c>
    </row>
    <row r="176" customFormat="false" ht="15" hidden="false" customHeight="false" outlineLevel="0" collapsed="false">
      <c r="A176" s="26" t="n">
        <v>4112009</v>
      </c>
      <c r="B176" s="26" t="s">
        <v>241</v>
      </c>
      <c r="C176" s="26" t="s">
        <v>86</v>
      </c>
      <c r="D176" s="30" t="n">
        <v>3.77</v>
      </c>
      <c r="E176" s="28" t="n">
        <v>0.149654250021343</v>
      </c>
      <c r="F176" s="29" t="n">
        <v>14.09</v>
      </c>
      <c r="G176" s="30" t="n">
        <v>6.78545716342693</v>
      </c>
      <c r="H176" s="30" t="n">
        <v>86.9812879329654</v>
      </c>
      <c r="I176" s="30" t="n">
        <v>75.5091103965702</v>
      </c>
      <c r="J176" s="37" t="n">
        <f aca="false">(G176+H176+I176)/3</f>
        <v>56.4252851643208</v>
      </c>
      <c r="K176" s="38" t="n">
        <f aca="false">(J176-MIN(J$6:J$404))/(MAX(J$6:J$404)-MIN(J$6:J$404))*100</f>
        <v>51.5029028832921</v>
      </c>
    </row>
    <row r="177" customFormat="false" ht="15" hidden="false" customHeight="false" outlineLevel="0" collapsed="false">
      <c r="A177" s="26" t="n">
        <v>4112108</v>
      </c>
      <c r="B177" s="26" t="s">
        <v>242</v>
      </c>
      <c r="C177" s="26" t="s">
        <v>86</v>
      </c>
      <c r="D177" s="30" t="n">
        <v>8.51</v>
      </c>
      <c r="E177" s="28" t="n">
        <v>0.11276158445441</v>
      </c>
      <c r="F177" s="29" t="n">
        <v>11.58</v>
      </c>
      <c r="G177" s="30" t="n">
        <v>15.3167746580274</v>
      </c>
      <c r="H177" s="30" t="n">
        <v>65.5387190394367</v>
      </c>
      <c r="I177" s="30" t="n">
        <v>62.0578778135048</v>
      </c>
      <c r="J177" s="37" t="n">
        <f aca="false">(G177+H177+I177)/3</f>
        <v>47.6377905036563</v>
      </c>
      <c r="K177" s="38" t="n">
        <f aca="false">(J177-MIN(J$6:J$404))/(MAX(J$6:J$404)-MIN(J$6:J$404))*100</f>
        <v>35.0449157732453</v>
      </c>
    </row>
    <row r="178" customFormat="false" ht="15" hidden="false" customHeight="false" outlineLevel="0" collapsed="false">
      <c r="A178" s="26" t="n">
        <v>4112207</v>
      </c>
      <c r="B178" s="26" t="s">
        <v>243</v>
      </c>
      <c r="C178" s="26" t="s">
        <v>65</v>
      </c>
      <c r="D178" s="30" t="n">
        <v>0</v>
      </c>
      <c r="E178" s="28" t="n">
        <v>0.113628620102215</v>
      </c>
      <c r="F178" s="29" t="n">
        <v>11.07</v>
      </c>
      <c r="G178" s="30" t="n">
        <v>0</v>
      </c>
      <c r="H178" s="30" t="n">
        <v>66.0426531229601</v>
      </c>
      <c r="I178" s="30" t="n">
        <v>59.3247588424437</v>
      </c>
      <c r="J178" s="37" t="n">
        <f aca="false">(G178+H178+I178)/3</f>
        <v>41.7891373218013</v>
      </c>
      <c r="K178" s="38" t="n">
        <f aca="false">(J178-MIN(J$6:J$404))/(MAX(J$6:J$404)-MIN(J$6:J$404))*100</f>
        <v>24.0910475326216</v>
      </c>
    </row>
    <row r="179" customFormat="false" ht="15" hidden="false" customHeight="false" outlineLevel="0" collapsed="false">
      <c r="A179" s="26" t="n">
        <v>4112306</v>
      </c>
      <c r="B179" s="26" t="s">
        <v>244</v>
      </c>
      <c r="C179" s="26" t="s">
        <v>71</v>
      </c>
      <c r="D179" s="30" t="n">
        <v>36.36</v>
      </c>
      <c r="E179" s="28" t="n">
        <v>0.131335478680611</v>
      </c>
      <c r="F179" s="29" t="n">
        <v>9.65</v>
      </c>
      <c r="G179" s="30" t="n">
        <v>65.4427645788337</v>
      </c>
      <c r="H179" s="30" t="n">
        <v>76.3341441041797</v>
      </c>
      <c r="I179" s="30" t="n">
        <v>51.7148981779207</v>
      </c>
      <c r="J179" s="37" t="n">
        <f aca="false">(G179+H179+I179)/3</f>
        <v>64.4972689536447</v>
      </c>
      <c r="K179" s="38" t="n">
        <f aca="false">(J179-MIN(J$6:J$404))/(MAX(J$6:J$404)-MIN(J$6:J$404))*100</f>
        <v>66.6208187725464</v>
      </c>
    </row>
    <row r="180" customFormat="false" ht="15" hidden="false" customHeight="false" outlineLevel="0" collapsed="false">
      <c r="A180" s="26" t="n">
        <v>4112405</v>
      </c>
      <c r="B180" s="26" t="s">
        <v>245</v>
      </c>
      <c r="C180" s="26" t="s">
        <v>65</v>
      </c>
      <c r="D180" s="30" t="n">
        <v>21.74</v>
      </c>
      <c r="E180" s="28" t="n">
        <v>0.111001749781277</v>
      </c>
      <c r="F180" s="29" t="n">
        <v>9.08</v>
      </c>
      <c r="G180" s="30" t="n">
        <v>39.1288696904248</v>
      </c>
      <c r="H180" s="30" t="n">
        <v>64.5158768121275</v>
      </c>
      <c r="I180" s="30" t="n">
        <v>48.6602357984995</v>
      </c>
      <c r="J180" s="37" t="n">
        <f aca="false">(G180+H180+I180)/3</f>
        <v>50.7683274336839</v>
      </c>
      <c r="K180" s="38" t="n">
        <f aca="false">(J180-MIN(J$6:J$404))/(MAX(J$6:J$404)-MIN(J$6:J$404))*100</f>
        <v>40.9080586178776</v>
      </c>
    </row>
    <row r="181" customFormat="false" ht="15" hidden="false" customHeight="false" outlineLevel="0" collapsed="false">
      <c r="A181" s="26" t="n">
        <v>4112504</v>
      </c>
      <c r="B181" s="26" t="s">
        <v>246</v>
      </c>
      <c r="C181" s="26" t="s">
        <v>65</v>
      </c>
      <c r="D181" s="30" t="n">
        <v>7.41</v>
      </c>
      <c r="E181" s="28" t="n">
        <v>0.122709096967677</v>
      </c>
      <c r="F181" s="29" t="n">
        <v>11.75</v>
      </c>
      <c r="G181" s="30" t="n">
        <v>13.3369330453564</v>
      </c>
      <c r="H181" s="30" t="n">
        <v>71.3203620599987</v>
      </c>
      <c r="I181" s="30" t="n">
        <v>62.9689174705252</v>
      </c>
      <c r="J181" s="37" t="n">
        <f aca="false">(G181+H181+I181)/3</f>
        <v>49.2087375252934</v>
      </c>
      <c r="K181" s="38" t="n">
        <f aca="false">(J181-MIN(J$6:J$404))/(MAX(J$6:J$404)-MIN(J$6:J$404))*100</f>
        <v>37.9871224921186</v>
      </c>
    </row>
    <row r="182" customFormat="false" ht="15" hidden="false" customHeight="false" outlineLevel="0" collapsed="false">
      <c r="A182" s="26" t="n">
        <v>4112603</v>
      </c>
      <c r="B182" s="26" t="s">
        <v>247</v>
      </c>
      <c r="C182" s="26" t="s">
        <v>71</v>
      </c>
      <c r="D182" s="30" t="n">
        <v>0</v>
      </c>
      <c r="E182" s="28" t="n">
        <v>0.15711094564408</v>
      </c>
      <c r="F182" s="29" t="n">
        <v>10.42</v>
      </c>
      <c r="G182" s="30" t="n">
        <v>0</v>
      </c>
      <c r="H182" s="30" t="n">
        <v>91.3152309308913</v>
      </c>
      <c r="I182" s="30" t="n">
        <v>55.8413719185423</v>
      </c>
      <c r="J182" s="37" t="n">
        <f aca="false">(G182+H182+I182)/3</f>
        <v>49.0522009498112</v>
      </c>
      <c r="K182" s="38" t="n">
        <f aca="false">(J182-MIN(J$6:J$404))/(MAX(J$6:J$404)-MIN(J$6:J$404))*100</f>
        <v>37.6939471286024</v>
      </c>
    </row>
    <row r="183" customFormat="false" ht="15" hidden="false" customHeight="false" outlineLevel="0" collapsed="false">
      <c r="A183" s="26" t="n">
        <v>4112702</v>
      </c>
      <c r="B183" s="26" t="s">
        <v>248</v>
      </c>
      <c r="C183" s="26" t="s">
        <v>65</v>
      </c>
      <c r="D183" s="30" t="n">
        <v>18.87</v>
      </c>
      <c r="E183" s="28" t="n">
        <v>0.132565817319902</v>
      </c>
      <c r="F183" s="29" t="n">
        <v>12.95</v>
      </c>
      <c r="G183" s="30" t="n">
        <v>33.963282937365</v>
      </c>
      <c r="H183" s="30" t="n">
        <v>77.0492353189224</v>
      </c>
      <c r="I183" s="30" t="n">
        <v>69.3997856377278</v>
      </c>
      <c r="J183" s="37" t="n">
        <f aca="false">(G183+H183+I183)/3</f>
        <v>60.1374346313384</v>
      </c>
      <c r="K183" s="38" t="n">
        <f aca="false">(J183-MIN(J$6:J$404))/(MAX(J$6:J$404)-MIN(J$6:J$404))*100</f>
        <v>58.4553404594102</v>
      </c>
    </row>
    <row r="184" customFormat="false" ht="15" hidden="false" customHeight="false" outlineLevel="0" collapsed="false">
      <c r="A184" s="26" t="n">
        <v>4112751</v>
      </c>
      <c r="B184" s="26" t="s">
        <v>249</v>
      </c>
      <c r="C184" s="26" t="s">
        <v>65</v>
      </c>
      <c r="D184" s="30" t="n">
        <v>9.62</v>
      </c>
      <c r="E184" s="28" t="n">
        <v>0.129069103369503</v>
      </c>
      <c r="F184" s="29" t="n">
        <v>9.23</v>
      </c>
      <c r="G184" s="30" t="n">
        <v>17.3146148308135</v>
      </c>
      <c r="H184" s="30" t="n">
        <v>75.0168928836393</v>
      </c>
      <c r="I184" s="30" t="n">
        <v>49.4640943193998</v>
      </c>
      <c r="J184" s="37" t="n">
        <f aca="false">(G184+H184+I184)/3</f>
        <v>47.2652006779509</v>
      </c>
      <c r="K184" s="38" t="n">
        <f aca="false">(J184-MIN(J$6:J$404))/(MAX(J$6:J$404)-MIN(J$6:J$404))*100</f>
        <v>34.3470970222145</v>
      </c>
    </row>
    <row r="185" customFormat="false" ht="15" hidden="false" customHeight="false" outlineLevel="0" collapsed="false">
      <c r="A185" s="26" t="n">
        <v>4112801</v>
      </c>
      <c r="B185" s="26" t="s">
        <v>250</v>
      </c>
      <c r="C185" s="26" t="s">
        <v>65</v>
      </c>
      <c r="D185" s="30" t="n">
        <v>17.44</v>
      </c>
      <c r="E185" s="28" t="n">
        <v>0.13386354123064</v>
      </c>
      <c r="F185" s="29" t="n">
        <v>14.99</v>
      </c>
      <c r="G185" s="30" t="n">
        <v>31.3894888408927</v>
      </c>
      <c r="H185" s="30" t="n">
        <v>77.803491861061</v>
      </c>
      <c r="I185" s="30" t="n">
        <v>80.3322615219721</v>
      </c>
      <c r="J185" s="37" t="n">
        <f aca="false">(G185+H185+I185)/3</f>
        <v>63.1750807413086</v>
      </c>
      <c r="K185" s="38" t="n">
        <f aca="false">(J185-MIN(J$6:J$404))/(MAX(J$6:J$404)-MIN(J$6:J$404))*100</f>
        <v>64.1445092672799</v>
      </c>
    </row>
    <row r="186" customFormat="false" ht="15" hidden="false" customHeight="false" outlineLevel="0" collapsed="false">
      <c r="A186" s="26" t="n">
        <v>4112900</v>
      </c>
      <c r="B186" s="26" t="s">
        <v>251</v>
      </c>
      <c r="C186" s="26" t="s">
        <v>71</v>
      </c>
      <c r="D186" s="30" t="n">
        <v>23.26</v>
      </c>
      <c r="E186" s="28" t="n">
        <v>0.123912391239124</v>
      </c>
      <c r="F186" s="29" t="n">
        <v>10.2</v>
      </c>
      <c r="G186" s="30" t="n">
        <v>41.8646508279338</v>
      </c>
      <c r="H186" s="30" t="n">
        <v>72.0197346837488</v>
      </c>
      <c r="I186" s="30" t="n">
        <v>54.6623794212219</v>
      </c>
      <c r="J186" s="37" t="n">
        <f aca="false">(G186+H186+I186)/3</f>
        <v>56.1822549776348</v>
      </c>
      <c r="K186" s="38" t="n">
        <f aca="false">(J186-MIN(J$6:J$404))/(MAX(J$6:J$404)-MIN(J$6:J$404))*100</f>
        <v>51.0477347342023</v>
      </c>
    </row>
    <row r="187" customFormat="false" ht="15" hidden="false" customHeight="false" outlineLevel="0" collapsed="false">
      <c r="A187" s="26" t="n">
        <v>4112959</v>
      </c>
      <c r="B187" s="26" t="s">
        <v>252</v>
      </c>
      <c r="C187" s="26" t="s">
        <v>65</v>
      </c>
      <c r="D187" s="30" t="n">
        <v>0</v>
      </c>
      <c r="E187" s="28" t="n">
        <v>0.122506755887273</v>
      </c>
      <c r="F187" s="29" t="n">
        <v>11.45</v>
      </c>
      <c r="G187" s="30" t="n">
        <v>0</v>
      </c>
      <c r="H187" s="30" t="n">
        <v>71.2027583984067</v>
      </c>
      <c r="I187" s="30" t="n">
        <v>61.3612004287245</v>
      </c>
      <c r="J187" s="37" t="n">
        <f aca="false">(G187+H187+I187)/3</f>
        <v>44.1879862757104</v>
      </c>
      <c r="K187" s="38" t="n">
        <f aca="false">(J187-MIN(J$6:J$404))/(MAX(J$6:J$404)-MIN(J$6:J$404))*100</f>
        <v>28.5838212624437</v>
      </c>
    </row>
    <row r="188" customFormat="false" ht="15" hidden="false" customHeight="false" outlineLevel="0" collapsed="false">
      <c r="A188" s="26" t="n">
        <v>4113007</v>
      </c>
      <c r="B188" s="26" t="s">
        <v>253</v>
      </c>
      <c r="C188" s="26" t="s">
        <v>65</v>
      </c>
      <c r="D188" s="30" t="n">
        <v>0</v>
      </c>
      <c r="E188" s="28" t="n">
        <v>0.130792227204783</v>
      </c>
      <c r="F188" s="29" t="n">
        <v>9.57</v>
      </c>
      <c r="G188" s="30" t="n">
        <v>0</v>
      </c>
      <c r="H188" s="30" t="n">
        <v>76.0183982230418</v>
      </c>
      <c r="I188" s="30" t="n">
        <v>51.2861736334405</v>
      </c>
      <c r="J188" s="37" t="n">
        <f aca="false">(G188+H188+I188)/3</f>
        <v>42.4348572854941</v>
      </c>
      <c r="K188" s="38" t="n">
        <f aca="false">(J188-MIN(J$6:J$404))/(MAX(J$6:J$404)-MIN(J$6:J$404))*100</f>
        <v>25.3004082491324</v>
      </c>
    </row>
    <row r="189" customFormat="false" ht="15" hidden="false" customHeight="false" outlineLevel="0" collapsed="false">
      <c r="A189" s="26" t="n">
        <v>4113106</v>
      </c>
      <c r="B189" s="26" t="s">
        <v>254</v>
      </c>
      <c r="C189" s="26" t="s">
        <v>71</v>
      </c>
      <c r="D189" s="30" t="n">
        <v>20</v>
      </c>
      <c r="E189" s="28" t="n">
        <v>0.11239633347883</v>
      </c>
      <c r="F189" s="29" t="n">
        <v>9.6</v>
      </c>
      <c r="G189" s="30" t="n">
        <v>35.9971202303816</v>
      </c>
      <c r="H189" s="30" t="n">
        <v>65.3264297107332</v>
      </c>
      <c r="I189" s="30" t="n">
        <v>51.4469453376206</v>
      </c>
      <c r="J189" s="37" t="n">
        <f aca="false">(G189+H189+I189)/3</f>
        <v>50.9234984262451</v>
      </c>
      <c r="K189" s="38" t="n">
        <f aca="false">(J189-MIN(J$6:J$404))/(MAX(J$6:J$404)-MIN(J$6:J$404))*100</f>
        <v>41.19867639849</v>
      </c>
    </row>
    <row r="190" customFormat="false" ht="15" hidden="false" customHeight="false" outlineLevel="0" collapsed="false">
      <c r="A190" s="26" t="n">
        <v>4113205</v>
      </c>
      <c r="B190" s="26" t="s">
        <v>255</v>
      </c>
      <c r="C190" s="26" t="s">
        <v>86</v>
      </c>
      <c r="D190" s="30" t="n">
        <v>14.84</v>
      </c>
      <c r="E190" s="28" t="n">
        <v>0.131991200586628</v>
      </c>
      <c r="F190" s="29" t="n">
        <v>11.84</v>
      </c>
      <c r="G190" s="30" t="n">
        <v>26.7098632109431</v>
      </c>
      <c r="H190" s="30" t="n">
        <v>76.7152594811436</v>
      </c>
      <c r="I190" s="30" t="n">
        <v>63.4512325830654</v>
      </c>
      <c r="J190" s="37" t="n">
        <f aca="false">(G190+H190+I190)/3</f>
        <v>55.625451758384</v>
      </c>
      <c r="K190" s="38" t="n">
        <f aca="false">(J190-MIN(J$6:J$404))/(MAX(J$6:J$404)-MIN(J$6:J$404))*100</f>
        <v>50.0049050587225</v>
      </c>
    </row>
    <row r="191" customFormat="false" ht="15" hidden="false" customHeight="false" outlineLevel="0" collapsed="false">
      <c r="A191" s="26" t="n">
        <v>4113254</v>
      </c>
      <c r="B191" s="26" t="s">
        <v>256</v>
      </c>
      <c r="C191" s="26" t="s">
        <v>65</v>
      </c>
      <c r="D191" s="30" t="n">
        <v>10.87</v>
      </c>
      <c r="E191" s="28" t="n">
        <v>0.151071428571429</v>
      </c>
      <c r="F191" s="29" t="n">
        <v>15.71</v>
      </c>
      <c r="G191" s="30" t="n">
        <v>19.5644348452124</v>
      </c>
      <c r="H191" s="30" t="n">
        <v>87.8049732977303</v>
      </c>
      <c r="I191" s="30" t="n">
        <v>84.1907824222937</v>
      </c>
      <c r="J191" s="37" t="n">
        <f aca="false">(G191+H191+I191)/3</f>
        <v>63.8533968550788</v>
      </c>
      <c r="K191" s="38" t="n">
        <f aca="false">(J191-MIN(J$6:J$404))/(MAX(J$6:J$404)-MIN(J$6:J$404))*100</f>
        <v>65.4149188991558</v>
      </c>
    </row>
    <row r="192" customFormat="false" ht="15" hidden="false" customHeight="false" outlineLevel="0" collapsed="false">
      <c r="A192" s="26" t="n">
        <v>4113304</v>
      </c>
      <c r="B192" s="26" t="s">
        <v>257</v>
      </c>
      <c r="C192" s="26" t="s">
        <v>86</v>
      </c>
      <c r="D192" s="30" t="n">
        <v>12.22</v>
      </c>
      <c r="E192" s="28" t="n">
        <v>0.13727619697769</v>
      </c>
      <c r="F192" s="29" t="n">
        <v>15.95</v>
      </c>
      <c r="G192" s="30" t="n">
        <v>21.9942404607631</v>
      </c>
      <c r="H192" s="30" t="n">
        <v>79.7869784116123</v>
      </c>
      <c r="I192" s="30" t="n">
        <v>85.4769560557342</v>
      </c>
      <c r="J192" s="37" t="n">
        <f aca="false">(G192+H192+I192)/3</f>
        <v>62.4193916427032</v>
      </c>
      <c r="K192" s="38" t="n">
        <f aca="false">(J192-MIN(J$6:J$404))/(MAX(J$6:J$404)-MIN(J$6:J$404))*100</f>
        <v>62.7291887550839</v>
      </c>
    </row>
    <row r="193" customFormat="false" ht="15" hidden="false" customHeight="false" outlineLevel="0" collapsed="false">
      <c r="A193" s="26" t="n">
        <v>4113403</v>
      </c>
      <c r="B193" s="26" t="s">
        <v>258</v>
      </c>
      <c r="C193" s="26" t="s">
        <v>71</v>
      </c>
      <c r="D193" s="30" t="n">
        <v>46.51</v>
      </c>
      <c r="E193" s="28" t="n">
        <v>0.123400852878465</v>
      </c>
      <c r="F193" s="29" t="n">
        <v>10.13</v>
      </c>
      <c r="G193" s="30" t="n">
        <v>83.7113030957523</v>
      </c>
      <c r="H193" s="30" t="n">
        <v>71.7224209393619</v>
      </c>
      <c r="I193" s="30" t="n">
        <v>54.2872454448017</v>
      </c>
      <c r="J193" s="37" t="n">
        <f aca="false">(G193+H193+I193)/3</f>
        <v>69.9069898266387</v>
      </c>
      <c r="K193" s="38" t="n">
        <f aca="false">(J193-MIN(J$6:J$404))/(MAX(J$6:J$404)-MIN(J$6:J$404))*100</f>
        <v>76.7526162682792</v>
      </c>
    </row>
    <row r="194" customFormat="false" ht="15" hidden="false" customHeight="false" outlineLevel="0" collapsed="false">
      <c r="A194" s="26" t="n">
        <v>4113429</v>
      </c>
      <c r="B194" s="26" t="s">
        <v>259</v>
      </c>
      <c r="C194" s="26" t="s">
        <v>71</v>
      </c>
      <c r="D194" s="30" t="n">
        <v>0</v>
      </c>
      <c r="E194" s="28" t="n">
        <v>0.123412899949213</v>
      </c>
      <c r="F194" s="29" t="n">
        <v>7.11</v>
      </c>
      <c r="G194" s="30" t="n">
        <v>0</v>
      </c>
      <c r="H194" s="30" t="n">
        <v>71.7294228770238</v>
      </c>
      <c r="I194" s="30" t="n">
        <v>38.1028938906752</v>
      </c>
      <c r="J194" s="37" t="n">
        <f aca="false">(G194+H194+I194)/3</f>
        <v>36.6107722558997</v>
      </c>
      <c r="K194" s="38" t="n">
        <f aca="false">(J194-MIN(J$6:J$404))/(MAX(J$6:J$404)-MIN(J$6:J$404))*100</f>
        <v>14.3925533887537</v>
      </c>
    </row>
    <row r="195" customFormat="false" ht="15" hidden="false" customHeight="false" outlineLevel="0" collapsed="false">
      <c r="A195" s="26" t="n">
        <v>4113452</v>
      </c>
      <c r="B195" s="26" t="s">
        <v>260</v>
      </c>
      <c r="C195" s="26" t="s">
        <v>65</v>
      </c>
      <c r="D195" s="30" t="n">
        <v>31.25</v>
      </c>
      <c r="E195" s="28" t="n">
        <v>0.135265700483092</v>
      </c>
      <c r="F195" s="29" t="n">
        <v>16.62</v>
      </c>
      <c r="G195" s="30" t="n">
        <v>56.2455003599712</v>
      </c>
      <c r="H195" s="30" t="n">
        <v>78.6184477854531</v>
      </c>
      <c r="I195" s="30" t="n">
        <v>89.0675241157556</v>
      </c>
      <c r="J195" s="37" t="n">
        <f aca="false">(G195+H195+I195)/3</f>
        <v>74.64382408706</v>
      </c>
      <c r="K195" s="38" t="n">
        <f aca="false">(J195-MIN(J$6:J$404))/(MAX(J$6:J$404)-MIN(J$6:J$404))*100</f>
        <v>85.6241729759502</v>
      </c>
    </row>
    <row r="196" customFormat="false" ht="15" hidden="false" customHeight="false" outlineLevel="0" collapsed="false">
      <c r="A196" s="26" t="n">
        <v>4113502</v>
      </c>
      <c r="B196" s="26" t="s">
        <v>261</v>
      </c>
      <c r="C196" s="26" t="s">
        <v>86</v>
      </c>
      <c r="D196" s="30" t="n">
        <v>3.1</v>
      </c>
      <c r="E196" s="28" t="n">
        <v>0.135715823466093</v>
      </c>
      <c r="F196" s="29" t="n">
        <v>14.08</v>
      </c>
      <c r="G196" s="30" t="n">
        <v>5.57955363570914</v>
      </c>
      <c r="H196" s="30" t="n">
        <v>78.8800659939841</v>
      </c>
      <c r="I196" s="30" t="n">
        <v>75.4555198285102</v>
      </c>
      <c r="J196" s="37" t="n">
        <f aca="false">(G196+H196+I196)/3</f>
        <v>53.3050464860678</v>
      </c>
      <c r="K196" s="38" t="n">
        <f aca="false">(J196-MIN(J$6:J$404))/(MAX(J$6:J$404)-MIN(J$6:J$404))*100</f>
        <v>45.6590475035752</v>
      </c>
    </row>
    <row r="197" customFormat="false" ht="15" hidden="false" customHeight="false" outlineLevel="0" collapsed="false">
      <c r="A197" s="26" t="n">
        <v>4113601</v>
      </c>
      <c r="B197" s="26" t="s">
        <v>262</v>
      </c>
      <c r="C197" s="26" t="s">
        <v>71</v>
      </c>
      <c r="D197" s="30" t="n">
        <v>20.83</v>
      </c>
      <c r="E197" s="28" t="n">
        <v>0.122364703325364</v>
      </c>
      <c r="F197" s="29" t="n">
        <v>8.48</v>
      </c>
      <c r="G197" s="30" t="n">
        <v>37.4910007199424</v>
      </c>
      <c r="H197" s="30" t="n">
        <v>71.1201953252747</v>
      </c>
      <c r="I197" s="30" t="n">
        <v>45.4448017148982</v>
      </c>
      <c r="J197" s="37" t="n">
        <f aca="false">(G197+H197+I197)/3</f>
        <v>51.3519992533718</v>
      </c>
      <c r="K197" s="38" t="n">
        <f aca="false">(J197-MIN(J$6:J$404))/(MAX(J$6:J$404)-MIN(J$6:J$404))*100</f>
        <v>42.0012101537664</v>
      </c>
    </row>
    <row r="198" customFormat="false" ht="15" hidden="false" customHeight="false" outlineLevel="0" collapsed="false">
      <c r="A198" s="26" t="n">
        <v>4113700</v>
      </c>
      <c r="B198" s="26" t="s">
        <v>263</v>
      </c>
      <c r="C198" s="26" t="s">
        <v>264</v>
      </c>
      <c r="D198" s="30" t="n">
        <v>11.84</v>
      </c>
      <c r="E198" s="28" t="n">
        <v>0.120187421870082</v>
      </c>
      <c r="F198" s="29" t="n">
        <v>11</v>
      </c>
      <c r="G198" s="30" t="n">
        <v>21.3102951763859</v>
      </c>
      <c r="H198" s="30" t="n">
        <v>69.8547267859849</v>
      </c>
      <c r="I198" s="30" t="n">
        <v>58.9496248660236</v>
      </c>
      <c r="J198" s="37" t="n">
        <f aca="false">(G198+H198+I198)/3</f>
        <v>50.0382156094648</v>
      </c>
      <c r="K198" s="38" t="n">
        <f aca="false">(J198-MIN(J$6:J$404))/(MAX(J$6:J$404)-MIN(J$6:J$404))*100</f>
        <v>39.5406414579357</v>
      </c>
    </row>
    <row r="199" customFormat="false" ht="15" hidden="false" customHeight="false" outlineLevel="0" collapsed="false">
      <c r="A199" s="26" t="n">
        <v>4113734</v>
      </c>
      <c r="B199" s="26" t="s">
        <v>265</v>
      </c>
      <c r="C199" s="26" t="s">
        <v>65</v>
      </c>
      <c r="D199" s="30" t="n">
        <v>0</v>
      </c>
      <c r="E199" s="28" t="n">
        <v>0.146636771300448</v>
      </c>
      <c r="F199" s="29" t="n">
        <v>11.96</v>
      </c>
      <c r="G199" s="30" t="n">
        <v>0</v>
      </c>
      <c r="H199" s="30" t="n">
        <v>85.2274841792046</v>
      </c>
      <c r="I199" s="30" t="n">
        <v>64.0943193997856</v>
      </c>
      <c r="J199" s="37" t="n">
        <f aca="false">(G199+H199+I199)/3</f>
        <v>49.7739345263301</v>
      </c>
      <c r="K199" s="38" t="n">
        <f aca="false">(J199-MIN(J$6:J$404))/(MAX(J$6:J$404)-MIN(J$6:J$404))*100</f>
        <v>39.0456727748672</v>
      </c>
    </row>
    <row r="200" customFormat="false" ht="15" hidden="false" customHeight="false" outlineLevel="0" collapsed="false">
      <c r="A200" s="26" t="n">
        <v>4113759</v>
      </c>
      <c r="B200" s="26" t="s">
        <v>266</v>
      </c>
      <c r="C200" s="26" t="s">
        <v>71</v>
      </c>
      <c r="D200" s="30" t="n">
        <v>0</v>
      </c>
      <c r="E200" s="28" t="n">
        <v>0.117610837438424</v>
      </c>
      <c r="F200" s="29" t="n">
        <v>9.03</v>
      </c>
      <c r="G200" s="30" t="n">
        <v>0</v>
      </c>
      <c r="H200" s="30" t="n">
        <v>68.3571773859399</v>
      </c>
      <c r="I200" s="30" t="n">
        <v>48.3922829581994</v>
      </c>
      <c r="J200" s="37" t="n">
        <f aca="false">(G200+H200+I200)/3</f>
        <v>38.9164867813797</v>
      </c>
      <c r="K200" s="38" t="n">
        <f aca="false">(J200-MIN(J$6:J$404))/(MAX(J$6:J$404)-MIN(J$6:J$404))*100</f>
        <v>18.7108968307888</v>
      </c>
    </row>
    <row r="201" customFormat="false" ht="15" hidden="false" customHeight="false" outlineLevel="0" collapsed="false">
      <c r="A201" s="26" t="n">
        <v>4113809</v>
      </c>
      <c r="B201" s="26" t="s">
        <v>267</v>
      </c>
      <c r="C201" s="26" t="s">
        <v>71</v>
      </c>
      <c r="D201" s="30" t="n">
        <v>44.44</v>
      </c>
      <c r="E201" s="28" t="n">
        <v>0.125701225846665</v>
      </c>
      <c r="F201" s="29" t="n">
        <v>10.18</v>
      </c>
      <c r="G201" s="30" t="n">
        <v>79.9856011519078</v>
      </c>
      <c r="H201" s="30" t="n">
        <v>73.0594321065805</v>
      </c>
      <c r="I201" s="30" t="n">
        <v>54.5551982851018</v>
      </c>
      <c r="J201" s="37" t="n">
        <f aca="false">(G201+H201+I201)/3</f>
        <v>69.2000771811967</v>
      </c>
      <c r="K201" s="38" t="n">
        <f aca="false">(J201-MIN(J$6:J$404))/(MAX(J$6:J$404)-MIN(J$6:J$404))*100</f>
        <v>75.4286485555372</v>
      </c>
    </row>
    <row r="202" customFormat="false" ht="15" hidden="false" customHeight="false" outlineLevel="0" collapsed="false">
      <c r="A202" s="26" t="n">
        <v>4113908</v>
      </c>
      <c r="B202" s="26" t="s">
        <v>268</v>
      </c>
      <c r="C202" s="26" t="s">
        <v>65</v>
      </c>
      <c r="D202" s="30" t="n">
        <v>0</v>
      </c>
      <c r="E202" s="28" t="n">
        <v>0.121611557938636</v>
      </c>
      <c r="F202" s="29" t="n">
        <v>11.92</v>
      </c>
      <c r="G202" s="30" t="n">
        <v>0</v>
      </c>
      <c r="H202" s="30" t="n">
        <v>70.6824559645211</v>
      </c>
      <c r="I202" s="30" t="n">
        <v>63.8799571275456</v>
      </c>
      <c r="J202" s="37" t="n">
        <f aca="false">(G202+H202+I202)/3</f>
        <v>44.8541376973555</v>
      </c>
      <c r="K202" s="38" t="n">
        <f aca="false">(J202-MIN(J$6:J$404))/(MAX(J$6:J$404)-MIN(J$6:J$404))*100</f>
        <v>29.8314477969838</v>
      </c>
    </row>
    <row r="203" customFormat="false" ht="15" hidden="false" customHeight="false" outlineLevel="0" collapsed="false">
      <c r="A203" s="26" t="n">
        <v>4114005</v>
      </c>
      <c r="B203" s="26" t="s">
        <v>269</v>
      </c>
      <c r="C203" s="26" t="s">
        <v>65</v>
      </c>
      <c r="D203" s="30" t="n">
        <v>0</v>
      </c>
      <c r="E203" s="28" t="n">
        <v>0.125483199524234</v>
      </c>
      <c r="F203" s="29" t="n">
        <v>10.33</v>
      </c>
      <c r="G203" s="30" t="n">
        <v>0</v>
      </c>
      <c r="H203" s="30" t="n">
        <v>72.9327119477769</v>
      </c>
      <c r="I203" s="30" t="n">
        <v>55.3590568060021</v>
      </c>
      <c r="J203" s="37" t="n">
        <f aca="false">(G203+H203+I203)/3</f>
        <v>42.7639229179264</v>
      </c>
      <c r="K203" s="38" t="n">
        <f aca="false">(J203-MIN(J$6:J$404))/(MAX(J$6:J$404)-MIN(J$6:J$404))*100</f>
        <v>25.916711091531</v>
      </c>
    </row>
    <row r="204" customFormat="false" ht="15" hidden="false" customHeight="false" outlineLevel="0" collapsed="false">
      <c r="A204" s="26" t="n">
        <v>4114104</v>
      </c>
      <c r="B204" s="26" t="s">
        <v>270</v>
      </c>
      <c r="C204" s="26" t="s">
        <v>86</v>
      </c>
      <c r="D204" s="30" t="n">
        <v>9.46</v>
      </c>
      <c r="E204" s="28" t="n">
        <v>0.136503798836507</v>
      </c>
      <c r="F204" s="29" t="n">
        <v>12.72</v>
      </c>
      <c r="G204" s="30" t="n">
        <v>17.0266378689705</v>
      </c>
      <c r="H204" s="30" t="n">
        <v>79.3380490620782</v>
      </c>
      <c r="I204" s="30" t="n">
        <v>68.1672025723473</v>
      </c>
      <c r="J204" s="37" t="n">
        <f aca="false">(G204+H204+I204)/3</f>
        <v>54.8439631677987</v>
      </c>
      <c r="K204" s="38" t="n">
        <f aca="false">(J204-MIN(J$6:J$404))/(MAX(J$6:J$404)-MIN(J$6:J$404))*100</f>
        <v>48.5412650057645</v>
      </c>
    </row>
    <row r="205" customFormat="false" ht="15" hidden="false" customHeight="false" outlineLevel="0" collapsed="false">
      <c r="A205" s="26" t="n">
        <v>4114203</v>
      </c>
      <c r="B205" s="26" t="s">
        <v>271</v>
      </c>
      <c r="C205" s="26" t="s">
        <v>86</v>
      </c>
      <c r="D205" s="30" t="n">
        <v>12.22</v>
      </c>
      <c r="E205" s="28" t="n">
        <v>0.121935940734285</v>
      </c>
      <c r="F205" s="29" t="n">
        <v>12.15</v>
      </c>
      <c r="G205" s="30" t="n">
        <v>21.9942404607631</v>
      </c>
      <c r="H205" s="30" t="n">
        <v>70.8709920959362</v>
      </c>
      <c r="I205" s="30" t="n">
        <v>65.1125401929261</v>
      </c>
      <c r="J205" s="37" t="n">
        <f aca="false">(G205+H205+I205)/3</f>
        <v>52.6592575832085</v>
      </c>
      <c r="K205" s="38" t="n">
        <f aca="false">(J205-MIN(J$6:J$404))/(MAX(J$6:J$404)-MIN(J$6:J$404))*100</f>
        <v>44.4495576717752</v>
      </c>
    </row>
    <row r="206" customFormat="false" ht="15" hidden="false" customHeight="false" outlineLevel="0" collapsed="false">
      <c r="A206" s="26" t="n">
        <v>4114302</v>
      </c>
      <c r="B206" s="26" t="s">
        <v>272</v>
      </c>
      <c r="C206" s="26" t="s">
        <v>86</v>
      </c>
      <c r="D206" s="30" t="n">
        <v>11.8</v>
      </c>
      <c r="E206" s="28" t="n">
        <v>0.14340901636357</v>
      </c>
      <c r="F206" s="29" t="n">
        <v>13.16</v>
      </c>
      <c r="G206" s="30" t="n">
        <v>21.2383009359251</v>
      </c>
      <c r="H206" s="30" t="n">
        <v>83.3514647443965</v>
      </c>
      <c r="I206" s="30" t="n">
        <v>70.5251875669882</v>
      </c>
      <c r="J206" s="37" t="n">
        <f aca="false">(G206+H206+I206)/3</f>
        <v>58.3716510824366</v>
      </c>
      <c r="K206" s="38" t="n">
        <f aca="false">(J206-MIN(J$6:J$404))/(MAX(J$6:J$404)-MIN(J$6:J$404))*100</f>
        <v>55.1482268839056</v>
      </c>
    </row>
    <row r="207" customFormat="false" ht="15" hidden="false" customHeight="false" outlineLevel="0" collapsed="false">
      <c r="A207" s="26" t="n">
        <v>4114351</v>
      </c>
      <c r="B207" s="26" t="s">
        <v>273</v>
      </c>
      <c r="C207" s="26" t="s">
        <v>71</v>
      </c>
      <c r="D207" s="30" t="n">
        <v>0</v>
      </c>
      <c r="E207" s="28" t="n">
        <v>0.131768953068592</v>
      </c>
      <c r="F207" s="29" t="n">
        <v>13.72</v>
      </c>
      <c r="G207" s="30" t="n">
        <v>0</v>
      </c>
      <c r="H207" s="30" t="n">
        <v>76.586085900334</v>
      </c>
      <c r="I207" s="30" t="n">
        <v>73.5262593783494</v>
      </c>
      <c r="J207" s="37" t="n">
        <f aca="false">(G207+H207+I207)/3</f>
        <v>50.0374484262278</v>
      </c>
      <c r="K207" s="38" t="n">
        <f aca="false">(J207-MIN(J$6:J$404))/(MAX(J$6:J$404)-MIN(J$6:J$404))*100</f>
        <v>39.5392046101978</v>
      </c>
    </row>
    <row r="208" customFormat="false" ht="15" hidden="false" customHeight="false" outlineLevel="0" collapsed="false">
      <c r="A208" s="26" t="n">
        <v>4114401</v>
      </c>
      <c r="B208" s="26" t="s">
        <v>274</v>
      </c>
      <c r="C208" s="26" t="s">
        <v>65</v>
      </c>
      <c r="D208" s="30" t="n">
        <v>29.17</v>
      </c>
      <c r="E208" s="28" t="n">
        <v>0.146961392519424</v>
      </c>
      <c r="F208" s="29" t="n">
        <v>13.91</v>
      </c>
      <c r="G208" s="30" t="n">
        <v>52.5017998560115</v>
      </c>
      <c r="H208" s="30" t="n">
        <v>85.4161588858223</v>
      </c>
      <c r="I208" s="30" t="n">
        <v>74.5444801714898</v>
      </c>
      <c r="J208" s="37" t="n">
        <f aca="false">(G208+H208+I208)/3</f>
        <v>70.8208129711079</v>
      </c>
      <c r="K208" s="38" t="n">
        <f aca="false">(J208-MIN(J$6:J$404))/(MAX(J$6:J$404)-MIN(J$6:J$404))*100</f>
        <v>78.4641040259741</v>
      </c>
    </row>
    <row r="209" customFormat="false" ht="15" hidden="false" customHeight="false" outlineLevel="0" collapsed="false">
      <c r="A209" s="26" t="n">
        <v>4114500</v>
      </c>
      <c r="B209" s="26" t="s">
        <v>275</v>
      </c>
      <c r="C209" s="26" t="s">
        <v>65</v>
      </c>
      <c r="D209" s="30" t="n">
        <v>0</v>
      </c>
      <c r="E209" s="28" t="n">
        <v>0.149789325842697</v>
      </c>
      <c r="F209" s="29" t="n">
        <v>15.59</v>
      </c>
      <c r="G209" s="30" t="n">
        <v>0</v>
      </c>
      <c r="H209" s="30" t="n">
        <v>87.0597960201617</v>
      </c>
      <c r="I209" s="30" t="n">
        <v>83.5476956055734</v>
      </c>
      <c r="J209" s="37" t="n">
        <f aca="false">(G209+H209+I209)/3</f>
        <v>56.869163875245</v>
      </c>
      <c r="K209" s="38" t="n">
        <f aca="false">(J209-MIN(J$6:J$404))/(MAX(J$6:J$404)-MIN(J$6:J$404))*100</f>
        <v>52.3342376817661</v>
      </c>
    </row>
    <row r="210" customFormat="false" ht="15" hidden="false" customHeight="false" outlineLevel="0" collapsed="false">
      <c r="A210" s="26" t="n">
        <v>4114609</v>
      </c>
      <c r="B210" s="26" t="s">
        <v>276</v>
      </c>
      <c r="C210" s="26" t="s">
        <v>86</v>
      </c>
      <c r="D210" s="30" t="n">
        <v>8.06</v>
      </c>
      <c r="E210" s="28" t="n">
        <v>0.12438211906297</v>
      </c>
      <c r="F210" s="29" t="n">
        <v>13.11</v>
      </c>
      <c r="G210" s="30" t="n">
        <v>14.5068394528438</v>
      </c>
      <c r="H210" s="30" t="n">
        <v>72.2927475189356</v>
      </c>
      <c r="I210" s="30" t="n">
        <v>70.2572347266881</v>
      </c>
      <c r="J210" s="37" t="n">
        <f aca="false">(G210+H210+I210)/3</f>
        <v>52.3522738994892</v>
      </c>
      <c r="K210" s="38" t="n">
        <f aca="false">(J210-MIN(J$6:J$404))/(MAX(J$6:J$404)-MIN(J$6:J$404))*100</f>
        <v>43.8746118305832</v>
      </c>
    </row>
    <row r="211" customFormat="false" ht="15" hidden="false" customHeight="false" outlineLevel="0" collapsed="false">
      <c r="A211" s="26" t="n">
        <v>4114708</v>
      </c>
      <c r="B211" s="26" t="s">
        <v>277</v>
      </c>
      <c r="C211" s="26" t="s">
        <v>65</v>
      </c>
      <c r="D211" s="30" t="n">
        <v>0</v>
      </c>
      <c r="E211" s="28" t="n">
        <v>0.117817561807332</v>
      </c>
      <c r="F211" s="29" t="n">
        <v>10.74</v>
      </c>
      <c r="G211" s="30" t="n">
        <v>0</v>
      </c>
      <c r="H211" s="30" t="n">
        <v>68.4773286803547</v>
      </c>
      <c r="I211" s="30" t="n">
        <v>57.556270096463</v>
      </c>
      <c r="J211" s="37" t="n">
        <f aca="false">(G211+H211+I211)/3</f>
        <v>42.0111995922726</v>
      </c>
      <c r="K211" s="38" t="n">
        <f aca="false">(J211-MIN(J$6:J$404))/(MAX(J$6:J$404)-MIN(J$6:J$404))*100</f>
        <v>24.5069451378178</v>
      </c>
    </row>
    <row r="212" customFormat="false" ht="15" hidden="false" customHeight="false" outlineLevel="0" collapsed="false">
      <c r="A212" s="26" t="n">
        <v>4114807</v>
      </c>
      <c r="B212" s="26" t="s">
        <v>278</v>
      </c>
      <c r="C212" s="26" t="s">
        <v>86</v>
      </c>
      <c r="D212" s="30" t="n">
        <v>16.33</v>
      </c>
      <c r="E212" s="28" t="n">
        <v>0.130128312346181</v>
      </c>
      <c r="F212" s="29" t="n">
        <v>13.36</v>
      </c>
      <c r="G212" s="30" t="n">
        <v>29.3916486681065</v>
      </c>
      <c r="H212" s="30" t="n">
        <v>75.632520979523</v>
      </c>
      <c r="I212" s="30" t="n">
        <v>71.5969989281886</v>
      </c>
      <c r="J212" s="37" t="n">
        <f aca="false">(G212+H212+I212)/3</f>
        <v>58.8737228586061</v>
      </c>
      <c r="K212" s="38" t="n">
        <f aca="false">(J212-MIN(J$6:J$404))/(MAX(J$6:J$404)-MIN(J$6:J$404))*100</f>
        <v>56.088550734969</v>
      </c>
    </row>
    <row r="213" customFormat="false" ht="15" hidden="false" customHeight="false" outlineLevel="0" collapsed="false">
      <c r="A213" s="26" t="n">
        <v>4114906</v>
      </c>
      <c r="B213" s="26" t="s">
        <v>279</v>
      </c>
      <c r="C213" s="26" t="s">
        <v>65</v>
      </c>
      <c r="D213" s="30" t="n">
        <v>8</v>
      </c>
      <c r="E213" s="28" t="n">
        <v>0.134147746917137</v>
      </c>
      <c r="F213" s="29" t="n">
        <v>11.76</v>
      </c>
      <c r="G213" s="30" t="n">
        <v>14.3988480921526</v>
      </c>
      <c r="H213" s="30" t="n">
        <v>77.9686764558577</v>
      </c>
      <c r="I213" s="30" t="n">
        <v>63.0225080385852</v>
      </c>
      <c r="J213" s="37" t="n">
        <f aca="false">(G213+H213+I213)/3</f>
        <v>51.7966775288652</v>
      </c>
      <c r="K213" s="38" t="n">
        <f aca="false">(J213-MIN(J$6:J$404))/(MAX(J$6:J$404)-MIN(J$6:J$404))*100</f>
        <v>42.8340424465641</v>
      </c>
    </row>
    <row r="214" customFormat="false" ht="15" hidden="false" customHeight="false" outlineLevel="0" collapsed="false">
      <c r="A214" s="26" t="n">
        <v>4115002</v>
      </c>
      <c r="B214" s="26" t="s">
        <v>280</v>
      </c>
      <c r="C214" s="26" t="s">
        <v>65</v>
      </c>
      <c r="D214" s="30" t="n">
        <v>12.82</v>
      </c>
      <c r="E214" s="28" t="n">
        <v>0.131945401902661</v>
      </c>
      <c r="F214" s="29" t="n">
        <v>12.68</v>
      </c>
      <c r="G214" s="30" t="n">
        <v>23.0741540676746</v>
      </c>
      <c r="H214" s="30" t="n">
        <v>76.6886406011821</v>
      </c>
      <c r="I214" s="30" t="n">
        <v>67.9528403001072</v>
      </c>
      <c r="J214" s="37" t="n">
        <f aca="false">(G214+H214+I214)/3</f>
        <v>55.9052116563213</v>
      </c>
      <c r="K214" s="38" t="n">
        <f aca="false">(J214-MIN(J$6:J$404))/(MAX(J$6:J$404)-MIN(J$6:J$404))*100</f>
        <v>50.5288638173854</v>
      </c>
    </row>
    <row r="215" customFormat="false" ht="15" hidden="false" customHeight="false" outlineLevel="0" collapsed="false">
      <c r="A215" s="26" t="n">
        <v>4115101</v>
      </c>
      <c r="B215" s="26" t="s">
        <v>281</v>
      </c>
      <c r="C215" s="26" t="s">
        <v>65</v>
      </c>
      <c r="D215" s="30" t="n">
        <v>13.7</v>
      </c>
      <c r="E215" s="28" t="n">
        <v>0.140753528993602</v>
      </c>
      <c r="F215" s="29" t="n">
        <v>11.58</v>
      </c>
      <c r="G215" s="30" t="n">
        <v>24.6580273578114</v>
      </c>
      <c r="H215" s="30" t="n">
        <v>81.8080557767487</v>
      </c>
      <c r="I215" s="30" t="n">
        <v>62.0578778135048</v>
      </c>
      <c r="J215" s="37" t="n">
        <f aca="false">(G215+H215+I215)/3</f>
        <v>56.174653649355</v>
      </c>
      <c r="K215" s="38" t="n">
        <f aca="false">(J215-MIN(J$6:J$404))/(MAX(J$6:J$404)-MIN(J$6:J$404))*100</f>
        <v>51.0334983030374</v>
      </c>
    </row>
    <row r="216" customFormat="false" ht="15" hidden="false" customHeight="false" outlineLevel="0" collapsed="false">
      <c r="A216" s="26" t="n">
        <v>4115200</v>
      </c>
      <c r="B216" s="26" t="s">
        <v>282</v>
      </c>
      <c r="C216" s="26" t="s">
        <v>138</v>
      </c>
      <c r="D216" s="30" t="n">
        <v>7.29</v>
      </c>
      <c r="E216" s="28" t="n">
        <v>0.111180817122617</v>
      </c>
      <c r="F216" s="29" t="n">
        <v>11.36</v>
      </c>
      <c r="G216" s="30" t="n">
        <v>13.1209503239741</v>
      </c>
      <c r="H216" s="30" t="n">
        <v>64.6199534285567</v>
      </c>
      <c r="I216" s="30" t="n">
        <v>60.8788853161844</v>
      </c>
      <c r="J216" s="37" t="n">
        <f aca="false">(G216+H216+I216)/3</f>
        <v>46.2065963562384</v>
      </c>
      <c r="K216" s="38" t="n">
        <f aca="false">(J216-MIN(J$6:J$404))/(MAX(J$6:J$404)-MIN(J$6:J$404))*100</f>
        <v>32.3644504370198</v>
      </c>
    </row>
    <row r="217" customFormat="false" ht="15" hidden="false" customHeight="false" outlineLevel="0" collapsed="false">
      <c r="A217" s="26" t="n">
        <v>4115309</v>
      </c>
      <c r="B217" s="26" t="s">
        <v>283</v>
      </c>
      <c r="C217" s="26" t="s">
        <v>65</v>
      </c>
      <c r="D217" s="30" t="n">
        <v>11.9</v>
      </c>
      <c r="E217" s="28" t="n">
        <v>0.130120860147544</v>
      </c>
      <c r="F217" s="29" t="n">
        <v>14.44</v>
      </c>
      <c r="G217" s="30" t="n">
        <v>21.418286537077</v>
      </c>
      <c r="H217" s="30" t="n">
        <v>75.6281896502405</v>
      </c>
      <c r="I217" s="30" t="n">
        <v>77.384780278671</v>
      </c>
      <c r="J217" s="37" t="n">
        <f aca="false">(G217+H217+I217)/3</f>
        <v>58.1437521553295</v>
      </c>
      <c r="K217" s="38" t="n">
        <f aca="false">(J217-MIN(J$6:J$404))/(MAX(J$6:J$404)-MIN(J$6:J$404))*100</f>
        <v>54.7213978786475</v>
      </c>
    </row>
    <row r="218" customFormat="false" ht="15" hidden="false" customHeight="false" outlineLevel="0" collapsed="false">
      <c r="A218" s="26" t="n">
        <v>4115358</v>
      </c>
      <c r="B218" s="26" t="s">
        <v>284</v>
      </c>
      <c r="C218" s="26" t="s">
        <v>65</v>
      </c>
      <c r="D218" s="30" t="n">
        <v>13.16</v>
      </c>
      <c r="E218" s="28" t="n">
        <v>0.147520976353928</v>
      </c>
      <c r="F218" s="29" t="n">
        <v>11.14</v>
      </c>
      <c r="G218" s="30" t="n">
        <v>23.6861051115911</v>
      </c>
      <c r="H218" s="30" t="n">
        <v>85.7413973780449</v>
      </c>
      <c r="I218" s="30" t="n">
        <v>59.6998928188639</v>
      </c>
      <c r="J218" s="37" t="n">
        <f aca="false">(G218+H218+I218)/3</f>
        <v>56.3757984361666</v>
      </c>
      <c r="K218" s="38" t="n">
        <f aca="false">(J218-MIN(J$6:J$404))/(MAX(J$6:J$404)-MIN(J$6:J$404))*100</f>
        <v>51.4102198188316</v>
      </c>
    </row>
    <row r="219" customFormat="false" ht="15" hidden="false" customHeight="false" outlineLevel="0" collapsed="false">
      <c r="A219" s="26" t="n">
        <v>4115408</v>
      </c>
      <c r="B219" s="26" t="s">
        <v>285</v>
      </c>
      <c r="C219" s="26" t="s">
        <v>65</v>
      </c>
      <c r="D219" s="30" t="n">
        <v>4.78</v>
      </c>
      <c r="E219" s="28" t="n">
        <v>0.130369159172379</v>
      </c>
      <c r="F219" s="29" t="n">
        <v>13.33</v>
      </c>
      <c r="G219" s="30" t="n">
        <v>8.6033117350612</v>
      </c>
      <c r="H219" s="30" t="n">
        <v>75.7725047563575</v>
      </c>
      <c r="I219" s="30" t="n">
        <v>71.4362272240086</v>
      </c>
      <c r="J219" s="37" t="n">
        <f aca="false">(G219+H219+I219)/3</f>
        <v>51.9373479051424</v>
      </c>
      <c r="K219" s="38" t="n">
        <f aca="false">(J219-MIN(J$6:J$404))/(MAX(J$6:J$404)-MIN(J$6:J$404))*100</f>
        <v>43.09750220716</v>
      </c>
    </row>
    <row r="220" customFormat="false" ht="15" hidden="false" customHeight="false" outlineLevel="0" collapsed="false">
      <c r="A220" s="26" t="n">
        <v>4115457</v>
      </c>
      <c r="B220" s="26" t="s">
        <v>286</v>
      </c>
      <c r="C220" s="26" t="s">
        <v>71</v>
      </c>
      <c r="D220" s="30" t="n">
        <v>0</v>
      </c>
      <c r="E220" s="28" t="n">
        <v>0.144094138543517</v>
      </c>
      <c r="F220" s="29" t="n">
        <v>11.55</v>
      </c>
      <c r="G220" s="30" t="n">
        <v>0</v>
      </c>
      <c r="H220" s="30" t="n">
        <v>83.7496680001992</v>
      </c>
      <c r="I220" s="30" t="n">
        <v>61.8971061093248</v>
      </c>
      <c r="J220" s="37" t="n">
        <f aca="false">(G220+H220+I220)/3</f>
        <v>48.5489247031747</v>
      </c>
      <c r="K220" s="38" t="n">
        <f aca="false">(J220-MIN(J$6:J$404))/(MAX(J$6:J$404)-MIN(J$6:J$404))*100</f>
        <v>36.7513674401032</v>
      </c>
    </row>
    <row r="221" customFormat="false" ht="15" hidden="false" customHeight="false" outlineLevel="0" collapsed="false">
      <c r="A221" s="26" t="n">
        <v>4115507</v>
      </c>
      <c r="B221" s="26" t="s">
        <v>287</v>
      </c>
      <c r="C221" s="26" t="s">
        <v>71</v>
      </c>
      <c r="D221" s="30" t="n">
        <v>21.28</v>
      </c>
      <c r="E221" s="28" t="n">
        <v>0.12704830815067</v>
      </c>
      <c r="F221" s="29" t="n">
        <v>13.41</v>
      </c>
      <c r="G221" s="30" t="n">
        <v>38.300935925126</v>
      </c>
      <c r="H221" s="30" t="n">
        <v>73.8423764849551</v>
      </c>
      <c r="I221" s="30" t="n">
        <v>71.8649517684888</v>
      </c>
      <c r="J221" s="37" t="n">
        <f aca="false">(G221+H221+I221)/3</f>
        <v>61.3360880595233</v>
      </c>
      <c r="K221" s="38" t="n">
        <f aca="false">(J221-MIN(J$6:J$404))/(MAX(J$6:J$404)-MIN(J$6:J$404))*100</f>
        <v>60.7002832368763</v>
      </c>
    </row>
    <row r="222" customFormat="false" ht="15" hidden="false" customHeight="false" outlineLevel="0" collapsed="false">
      <c r="A222" s="26" t="n">
        <v>4115606</v>
      </c>
      <c r="B222" s="26" t="s">
        <v>288</v>
      </c>
      <c r="C222" s="26" t="s">
        <v>65</v>
      </c>
      <c r="D222" s="30" t="n">
        <v>3.42</v>
      </c>
      <c r="E222" s="28" t="n">
        <v>0.136910569105691</v>
      </c>
      <c r="F222" s="29" t="n">
        <v>14.04</v>
      </c>
      <c r="G222" s="30" t="n">
        <v>6.15550755939525</v>
      </c>
      <c r="H222" s="30" t="n">
        <v>79.5744700250741</v>
      </c>
      <c r="I222" s="30" t="n">
        <v>75.2411575562701</v>
      </c>
      <c r="J222" s="37" t="n">
        <f aca="false">(G222+H222+I222)/3</f>
        <v>53.6570450469131</v>
      </c>
      <c r="K222" s="38" t="n">
        <f aca="false">(J222-MIN(J$6:J$404))/(MAX(J$6:J$404)-MIN(J$6:J$404))*100</f>
        <v>46.3183011362493</v>
      </c>
    </row>
    <row r="223" customFormat="false" ht="15" hidden="false" customHeight="false" outlineLevel="0" collapsed="false">
      <c r="A223" s="26" t="n">
        <v>4115705</v>
      </c>
      <c r="B223" s="26" t="s">
        <v>289</v>
      </c>
      <c r="C223" s="26" t="s">
        <v>86</v>
      </c>
      <c r="D223" s="30" t="n">
        <v>15.41</v>
      </c>
      <c r="E223" s="28" t="n">
        <v>0.135790519371354</v>
      </c>
      <c r="F223" s="29" t="n">
        <v>12.97</v>
      </c>
      <c r="G223" s="30" t="n">
        <v>27.735781137509</v>
      </c>
      <c r="H223" s="30" t="n">
        <v>78.9234803710703</v>
      </c>
      <c r="I223" s="30" t="n">
        <v>69.5069667738478</v>
      </c>
      <c r="J223" s="37" t="n">
        <f aca="false">(G223+H223+I223)/3</f>
        <v>58.7220760941424</v>
      </c>
      <c r="K223" s="38" t="n">
        <f aca="false">(J223-MIN(J$6:J$404))/(MAX(J$6:J$404)-MIN(J$6:J$404))*100</f>
        <v>55.8045334363872</v>
      </c>
    </row>
    <row r="224" customFormat="false" ht="15" hidden="false" customHeight="false" outlineLevel="0" collapsed="false">
      <c r="A224" s="26" t="n">
        <v>4115739</v>
      </c>
      <c r="B224" s="26" t="s">
        <v>290</v>
      </c>
      <c r="C224" s="26" t="s">
        <v>71</v>
      </c>
      <c r="D224" s="30" t="n">
        <v>54.05</v>
      </c>
      <c r="E224" s="28" t="n">
        <v>0.120599938781757</v>
      </c>
      <c r="F224" s="29" t="n">
        <v>8.88</v>
      </c>
      <c r="G224" s="30" t="n">
        <v>97.2822174226062</v>
      </c>
      <c r="H224" s="30" t="n">
        <v>70.0944877835277</v>
      </c>
      <c r="I224" s="30" t="n">
        <v>47.588424437299</v>
      </c>
      <c r="J224" s="37" t="n">
        <f aca="false">(G224+H224+I224)/3</f>
        <v>71.6550432144777</v>
      </c>
      <c r="K224" s="38" t="n">
        <f aca="false">(J224-MIN(J$6:J$404))/(MAX(J$6:J$404)-MIN(J$6:J$404))*100</f>
        <v>80.0265232503805</v>
      </c>
    </row>
    <row r="225" customFormat="false" ht="15" hidden="false" customHeight="false" outlineLevel="0" collapsed="false">
      <c r="A225" s="26" t="n">
        <v>4115754</v>
      </c>
      <c r="B225" s="26" t="s">
        <v>291</v>
      </c>
      <c r="C225" s="26" t="s">
        <v>65</v>
      </c>
      <c r="D225" s="30" t="n">
        <v>0</v>
      </c>
      <c r="E225" s="28" t="n">
        <v>0.159224128743472</v>
      </c>
      <c r="F225" s="29" t="n">
        <v>13.43</v>
      </c>
      <c r="G225" s="30" t="n">
        <v>0</v>
      </c>
      <c r="H225" s="30" t="n">
        <v>92.5434445472574</v>
      </c>
      <c r="I225" s="30" t="n">
        <v>71.9721329046088</v>
      </c>
      <c r="J225" s="37" t="n">
        <f aca="false">(G225+H225+I225)/3</f>
        <v>54.8385258172887</v>
      </c>
      <c r="K225" s="38" t="n">
        <f aca="false">(J225-MIN(J$6:J$404))/(MAX(J$6:J$404)-MIN(J$6:J$404))*100</f>
        <v>48.5310814610728</v>
      </c>
    </row>
    <row r="226" customFormat="false" ht="15" hidden="false" customHeight="false" outlineLevel="0" collapsed="false">
      <c r="A226" s="26" t="n">
        <v>4115804</v>
      </c>
      <c r="B226" s="26" t="s">
        <v>292</v>
      </c>
      <c r="C226" s="26" t="s">
        <v>86</v>
      </c>
      <c r="D226" s="30" t="n">
        <v>13.85</v>
      </c>
      <c r="E226" s="28" t="n">
        <v>0.127296805164708</v>
      </c>
      <c r="F226" s="29" t="n">
        <v>14.16</v>
      </c>
      <c r="G226" s="30" t="n">
        <v>24.9280057595392</v>
      </c>
      <c r="H226" s="30" t="n">
        <v>73.9868066653568</v>
      </c>
      <c r="I226" s="30" t="n">
        <v>75.8842443729904</v>
      </c>
      <c r="J226" s="37" t="n">
        <f aca="false">(G226+H226+I226)/3</f>
        <v>58.2663522659621</v>
      </c>
      <c r="K226" s="38" t="n">
        <f aca="false">(J226-MIN(J$6:J$404))/(MAX(J$6:J$404)-MIN(J$6:J$404))*100</f>
        <v>54.9510140682896</v>
      </c>
    </row>
    <row r="227" customFormat="false" ht="15" hidden="false" customHeight="false" outlineLevel="0" collapsed="false">
      <c r="A227" s="26" t="n">
        <v>4115853</v>
      </c>
      <c r="B227" s="26" t="s">
        <v>293</v>
      </c>
      <c r="C227" s="26" t="s">
        <v>65</v>
      </c>
      <c r="D227" s="30" t="n">
        <v>0</v>
      </c>
      <c r="E227" s="28" t="n">
        <v>0.137750800876749</v>
      </c>
      <c r="F227" s="29" t="n">
        <v>9.95</v>
      </c>
      <c r="G227" s="30" t="n">
        <v>0</v>
      </c>
      <c r="H227" s="30" t="n">
        <v>80.0628252946265</v>
      </c>
      <c r="I227" s="30" t="n">
        <v>53.3226152197213</v>
      </c>
      <c r="J227" s="37" t="n">
        <f aca="false">(G227+H227+I227)/3</f>
        <v>44.4618135047826</v>
      </c>
      <c r="K227" s="38" t="n">
        <f aca="false">(J227-MIN(J$6:J$404))/(MAX(J$6:J$404)-MIN(J$6:J$404))*100</f>
        <v>29.0966688009604</v>
      </c>
    </row>
    <row r="228" customFormat="false" ht="15" hidden="false" customHeight="false" outlineLevel="0" collapsed="false">
      <c r="A228" s="26" t="n">
        <v>4115903</v>
      </c>
      <c r="B228" s="26" t="s">
        <v>294</v>
      </c>
      <c r="C228" s="26" t="s">
        <v>71</v>
      </c>
      <c r="D228" s="30" t="n">
        <v>0</v>
      </c>
      <c r="E228" s="28" t="n">
        <v>0.142984807864164</v>
      </c>
      <c r="F228" s="29" t="n">
        <v>12.96</v>
      </c>
      <c r="G228" s="30" t="n">
        <v>0</v>
      </c>
      <c r="H228" s="30" t="n">
        <v>83.1049084212373</v>
      </c>
      <c r="I228" s="30" t="n">
        <v>69.4533762057878</v>
      </c>
      <c r="J228" s="37" t="n">
        <f aca="false">(G228+H228+I228)/3</f>
        <v>50.8527615423417</v>
      </c>
      <c r="K228" s="38" t="n">
        <f aca="false">(J228-MIN(J$6:J$404))/(MAX(J$6:J$404)-MIN(J$6:J$404))*100</f>
        <v>41.0661941872975</v>
      </c>
    </row>
    <row r="229" customFormat="false" ht="15" hidden="false" customHeight="false" outlineLevel="0" collapsed="false">
      <c r="A229" s="26" t="n">
        <v>4116000</v>
      </c>
      <c r="B229" s="26" t="s">
        <v>295</v>
      </c>
      <c r="C229" s="26" t="s">
        <v>71</v>
      </c>
      <c r="D229" s="30" t="n">
        <v>0</v>
      </c>
      <c r="E229" s="28" t="n">
        <v>0.11648016276704</v>
      </c>
      <c r="F229" s="29" t="n">
        <v>3.56</v>
      </c>
      <c r="G229" s="30" t="n">
        <v>0</v>
      </c>
      <c r="H229" s="30" t="n">
        <v>67.7000123596467</v>
      </c>
      <c r="I229" s="30" t="n">
        <v>19.0782422293676</v>
      </c>
      <c r="J229" s="37" t="n">
        <f aca="false">(G229+H229+I229)/3</f>
        <v>28.9260848630048</v>
      </c>
      <c r="K229" s="38" t="n">
        <f aca="false">(J229-MIN(J$6:J$404))/(MAX(J$6:J$404)-MIN(J$6:J$404))*100</f>
        <v>0</v>
      </c>
    </row>
    <row r="230" customFormat="false" ht="15" hidden="false" customHeight="false" outlineLevel="0" collapsed="false">
      <c r="A230" s="26" t="n">
        <v>4116059</v>
      </c>
      <c r="B230" s="26" t="s">
        <v>296</v>
      </c>
      <c r="C230" s="26" t="s">
        <v>65</v>
      </c>
      <c r="D230" s="30" t="n">
        <v>7.52</v>
      </c>
      <c r="E230" s="28" t="n">
        <v>0.122469269703543</v>
      </c>
      <c r="F230" s="29" t="n">
        <v>11.12</v>
      </c>
      <c r="G230" s="30" t="n">
        <v>13.5349172066235</v>
      </c>
      <c r="H230" s="30" t="n">
        <v>71.1809708678817</v>
      </c>
      <c r="I230" s="30" t="n">
        <v>59.5927116827438</v>
      </c>
      <c r="J230" s="37" t="n">
        <f aca="false">(G230+H230+I230)/3</f>
        <v>48.1028665857497</v>
      </c>
      <c r="K230" s="38" t="n">
        <f aca="false">(J230-MIN(J$6:J$404))/(MAX(J$6:J$404)-MIN(J$6:J$404))*100</f>
        <v>35.915950858882</v>
      </c>
    </row>
    <row r="231" customFormat="false" ht="15" hidden="false" customHeight="false" outlineLevel="0" collapsed="false">
      <c r="A231" s="26" t="n">
        <v>4116109</v>
      </c>
      <c r="B231" s="26" t="s">
        <v>297</v>
      </c>
      <c r="C231" s="26" t="s">
        <v>65</v>
      </c>
      <c r="D231" s="30" t="n">
        <v>16.13</v>
      </c>
      <c r="E231" s="28" t="n">
        <v>0.118478747203579</v>
      </c>
      <c r="F231" s="29" t="n">
        <v>10.65</v>
      </c>
      <c r="G231" s="30" t="n">
        <v>29.0316774658027</v>
      </c>
      <c r="H231" s="30" t="n">
        <v>68.8616195195384</v>
      </c>
      <c r="I231" s="30" t="n">
        <v>57.0739549839228</v>
      </c>
      <c r="J231" s="37" t="n">
        <f aca="false">(G231+H231+I231)/3</f>
        <v>51.6557506564213</v>
      </c>
      <c r="K231" s="38" t="n">
        <f aca="false">(J231-MIN(J$6:J$404))/(MAX(J$6:J$404)-MIN(J$6:J$404))*100</f>
        <v>42.5701022975564</v>
      </c>
    </row>
    <row r="232" customFormat="false" ht="15" hidden="false" customHeight="false" outlineLevel="0" collapsed="false">
      <c r="A232" s="26" t="n">
        <v>4116208</v>
      </c>
      <c r="B232" s="26" t="s">
        <v>298</v>
      </c>
      <c r="C232" s="26" t="s">
        <v>65</v>
      </c>
      <c r="D232" s="30" t="n">
        <v>4.55</v>
      </c>
      <c r="E232" s="28" t="n">
        <v>0.136162543011634</v>
      </c>
      <c r="F232" s="29" t="n">
        <v>11.14</v>
      </c>
      <c r="G232" s="30" t="n">
        <v>8.18934485241181</v>
      </c>
      <c r="H232" s="30" t="n">
        <v>79.139706073771</v>
      </c>
      <c r="I232" s="30" t="n">
        <v>59.6998928188639</v>
      </c>
      <c r="J232" s="37" t="n">
        <f aca="false">(G232+H232+I232)/3</f>
        <v>49.0096479150156</v>
      </c>
      <c r="K232" s="38" t="n">
        <f aca="false">(J232-MIN(J$6:J$404))/(MAX(J$6:J$404)-MIN(J$6:J$404))*100</f>
        <v>37.6142500903447</v>
      </c>
    </row>
    <row r="233" customFormat="false" ht="15" hidden="false" customHeight="false" outlineLevel="0" collapsed="false">
      <c r="A233" s="26" t="n">
        <v>4116307</v>
      </c>
      <c r="B233" s="26" t="s">
        <v>299</v>
      </c>
      <c r="C233" s="26" t="s">
        <v>71</v>
      </c>
      <c r="D233" s="30" t="n">
        <v>0</v>
      </c>
      <c r="E233" s="28" t="n">
        <v>0.121235130346748</v>
      </c>
      <c r="F233" s="29" t="n">
        <v>11.64</v>
      </c>
      <c r="G233" s="30" t="n">
        <v>0</v>
      </c>
      <c r="H233" s="30" t="n">
        <v>70.463670619292</v>
      </c>
      <c r="I233" s="30" t="n">
        <v>62.379421221865</v>
      </c>
      <c r="J233" s="37" t="n">
        <f aca="false">(G233+H233+I233)/3</f>
        <v>44.281030613719</v>
      </c>
      <c r="K233" s="38" t="n">
        <f aca="false">(J233-MIN(J$6:J$404))/(MAX(J$6:J$404)-MIN(J$6:J$404))*100</f>
        <v>28.7580828210268</v>
      </c>
    </row>
    <row r="234" customFormat="false" ht="15" hidden="false" customHeight="false" outlineLevel="0" collapsed="false">
      <c r="A234" s="26" t="n">
        <v>4116406</v>
      </c>
      <c r="B234" s="26" t="s">
        <v>300</v>
      </c>
      <c r="C234" s="26" t="s">
        <v>71</v>
      </c>
      <c r="D234" s="30" t="n">
        <v>0</v>
      </c>
      <c r="E234" s="28" t="n">
        <v>0.128645407467975</v>
      </c>
      <c r="F234" s="29" t="n">
        <v>15.26</v>
      </c>
      <c r="G234" s="30" t="n">
        <v>0</v>
      </c>
      <c r="H234" s="30" t="n">
        <v>74.7706344900314</v>
      </c>
      <c r="I234" s="30" t="n">
        <v>81.7792068595927</v>
      </c>
      <c r="J234" s="37" t="n">
        <f aca="false">(G234+H234+I234)/3</f>
        <v>52.1832804498747</v>
      </c>
      <c r="K234" s="38" t="n">
        <f aca="false">(J234-MIN(J$6:J$404))/(MAX(J$6:J$404)-MIN(J$6:J$404))*100</f>
        <v>43.5581061457619</v>
      </c>
    </row>
    <row r="235" customFormat="false" ht="15" hidden="false" customHeight="false" outlineLevel="0" collapsed="false">
      <c r="A235" s="26" t="n">
        <v>4116505</v>
      </c>
      <c r="B235" s="26" t="s">
        <v>301</v>
      </c>
      <c r="C235" s="26" t="s">
        <v>71</v>
      </c>
      <c r="D235" s="30" t="n">
        <v>0</v>
      </c>
      <c r="E235" s="28" t="n">
        <v>0.133030990173847</v>
      </c>
      <c r="F235" s="29" t="n">
        <v>12.09</v>
      </c>
      <c r="G235" s="30" t="n">
        <v>0</v>
      </c>
      <c r="H235" s="30" t="n">
        <v>77.3196007374913</v>
      </c>
      <c r="I235" s="30" t="n">
        <v>64.7909967845659</v>
      </c>
      <c r="J235" s="37" t="n">
        <f aca="false">(G235+H235+I235)/3</f>
        <v>47.3701991740191</v>
      </c>
      <c r="K235" s="38" t="n">
        <f aca="false">(J235-MIN(J$6:J$404))/(MAX(J$6:J$404)-MIN(J$6:J$404))*100</f>
        <v>34.543747371557</v>
      </c>
    </row>
    <row r="236" customFormat="false" ht="15" hidden="false" customHeight="false" outlineLevel="0" collapsed="false">
      <c r="A236" s="26" t="n">
        <v>4116604</v>
      </c>
      <c r="B236" s="26" t="s">
        <v>302</v>
      </c>
      <c r="C236" s="26" t="s">
        <v>71</v>
      </c>
      <c r="D236" s="30" t="n">
        <v>0</v>
      </c>
      <c r="E236" s="28" t="n">
        <v>0.122560975609756</v>
      </c>
      <c r="F236" s="29" t="n">
        <v>13.41</v>
      </c>
      <c r="G236" s="30" t="n">
        <v>0</v>
      </c>
      <c r="H236" s="30" t="n">
        <v>71.234271711876</v>
      </c>
      <c r="I236" s="30" t="n">
        <v>71.8649517684888</v>
      </c>
      <c r="J236" s="37" t="n">
        <f aca="false">(G236+H236+I236)/3</f>
        <v>47.6997411601216</v>
      </c>
      <c r="K236" s="38" t="n">
        <f aca="false">(J236-MIN(J$6:J$404))/(MAX(J$6:J$404)-MIN(J$6:J$404))*100</f>
        <v>35.1609423706928</v>
      </c>
    </row>
    <row r="237" customFormat="false" ht="15" hidden="false" customHeight="false" outlineLevel="0" collapsed="false">
      <c r="A237" s="26" t="n">
        <v>4116703</v>
      </c>
      <c r="B237" s="26" t="s">
        <v>303</v>
      </c>
      <c r="C237" s="26" t="s">
        <v>65</v>
      </c>
      <c r="D237" s="30" t="n">
        <v>13.7</v>
      </c>
      <c r="E237" s="28" t="n">
        <v>0.134398837631675</v>
      </c>
      <c r="F237" s="29" t="n">
        <v>11.19</v>
      </c>
      <c r="G237" s="30" t="n">
        <v>24.6580273578114</v>
      </c>
      <c r="H237" s="30" t="n">
        <v>78.1146141337742</v>
      </c>
      <c r="I237" s="30" t="n">
        <v>59.967845659164</v>
      </c>
      <c r="J237" s="37" t="n">
        <f aca="false">(G237+H237+I237)/3</f>
        <v>54.2468290502499</v>
      </c>
      <c r="K237" s="38" t="n">
        <f aca="false">(J237-MIN(J$6:J$404))/(MAX(J$6:J$404)-MIN(J$6:J$404))*100</f>
        <v>47.4229001032424</v>
      </c>
    </row>
    <row r="238" customFormat="false" ht="15" hidden="false" customHeight="false" outlineLevel="0" collapsed="false">
      <c r="A238" s="26" t="n">
        <v>4116802</v>
      </c>
      <c r="B238" s="26" t="s">
        <v>304</v>
      </c>
      <c r="C238" s="26" t="s">
        <v>65</v>
      </c>
      <c r="D238" s="30" t="n">
        <v>10.75</v>
      </c>
      <c r="E238" s="28" t="n">
        <v>0.129455081001473</v>
      </c>
      <c r="F238" s="29" t="n">
        <v>14.73</v>
      </c>
      <c r="G238" s="30" t="n">
        <v>19.3484521238301</v>
      </c>
      <c r="H238" s="30" t="n">
        <v>75.2412288549681</v>
      </c>
      <c r="I238" s="30" t="n">
        <v>78.9389067524116</v>
      </c>
      <c r="J238" s="37" t="n">
        <f aca="false">(G238+H238+I238)/3</f>
        <v>57.8428625770699</v>
      </c>
      <c r="K238" s="38" t="n">
        <f aca="false">(J238-MIN(J$6:J$404))/(MAX(J$6:J$404)-MIN(J$6:J$404))*100</f>
        <v>54.1578656101489</v>
      </c>
    </row>
    <row r="239" customFormat="false" ht="15" hidden="false" customHeight="false" outlineLevel="0" collapsed="false">
      <c r="A239" s="26" t="n">
        <v>4116901</v>
      </c>
      <c r="B239" s="26" t="s">
        <v>305</v>
      </c>
      <c r="C239" s="26" t="s">
        <v>86</v>
      </c>
      <c r="D239" s="30" t="n">
        <v>7.02</v>
      </c>
      <c r="E239" s="28" t="n">
        <v>0.12010532255031</v>
      </c>
      <c r="F239" s="29" t="n">
        <v>11.4</v>
      </c>
      <c r="G239" s="30" t="n">
        <v>12.6349892008639</v>
      </c>
      <c r="H239" s="30" t="n">
        <v>69.8070094336804</v>
      </c>
      <c r="I239" s="30" t="n">
        <v>61.0932475884244</v>
      </c>
      <c r="J239" s="37" t="n">
        <f aca="false">(G239+H239+I239)/3</f>
        <v>47.8450820743229</v>
      </c>
      <c r="K239" s="38" t="n">
        <f aca="false">(J239-MIN(J$6:J$404))/(MAX(J$6:J$404)-MIN(J$6:J$404))*100</f>
        <v>35.4331495224303</v>
      </c>
    </row>
    <row r="240" customFormat="false" ht="15" hidden="false" customHeight="false" outlineLevel="0" collapsed="false">
      <c r="A240" s="26" t="n">
        <v>4116950</v>
      </c>
      <c r="B240" s="26" t="s">
        <v>306</v>
      </c>
      <c r="C240" s="26" t="s">
        <v>65</v>
      </c>
      <c r="D240" s="30" t="n">
        <v>27.03</v>
      </c>
      <c r="E240" s="28" t="n">
        <v>0.134715025906736</v>
      </c>
      <c r="F240" s="29" t="n">
        <v>14.29</v>
      </c>
      <c r="G240" s="30" t="n">
        <v>48.6501079913607</v>
      </c>
      <c r="H240" s="30" t="n">
        <v>78.2983874872888</v>
      </c>
      <c r="I240" s="30" t="n">
        <v>76.5809217577706</v>
      </c>
      <c r="J240" s="37" t="n">
        <f aca="false">(G240+H240+I240)/3</f>
        <v>67.8431390788067</v>
      </c>
      <c r="K240" s="38" t="n">
        <f aca="false">(J240-MIN(J$6:J$404))/(MAX(J$6:J$404)-MIN(J$6:J$404))*100</f>
        <v>72.8872564226653</v>
      </c>
    </row>
    <row r="241" customFormat="false" ht="15" hidden="false" customHeight="false" outlineLevel="0" collapsed="false">
      <c r="A241" s="26" t="n">
        <v>4117008</v>
      </c>
      <c r="B241" s="26" t="s">
        <v>307</v>
      </c>
      <c r="C241" s="26" t="s">
        <v>65</v>
      </c>
      <c r="D241" s="30" t="n">
        <v>15.15</v>
      </c>
      <c r="E241" s="28" t="n">
        <v>0.128166089965398</v>
      </c>
      <c r="F241" s="29" t="n">
        <v>10.1</v>
      </c>
      <c r="G241" s="30" t="n">
        <v>27.267818574514</v>
      </c>
      <c r="H241" s="30" t="n">
        <v>74.4920479901691</v>
      </c>
      <c r="I241" s="30" t="n">
        <v>54.1264737406217</v>
      </c>
      <c r="J241" s="37" t="n">
        <f aca="false">(G241+H241+I241)/3</f>
        <v>51.9621134351016</v>
      </c>
      <c r="K241" s="38" t="n">
        <f aca="false">(J241-MIN(J$6:J$404))/(MAX(J$6:J$404)-MIN(J$6:J$404))*100</f>
        <v>43.1438852535892</v>
      </c>
    </row>
    <row r="242" customFormat="false" ht="15" hidden="false" customHeight="false" outlineLevel="0" collapsed="false">
      <c r="A242" s="26" t="n">
        <v>4117057</v>
      </c>
      <c r="B242" s="26" t="s">
        <v>308</v>
      </c>
      <c r="C242" s="26" t="s">
        <v>65</v>
      </c>
      <c r="D242" s="30" t="n">
        <v>16.95</v>
      </c>
      <c r="E242" s="28" t="n">
        <v>0.160593009773066</v>
      </c>
      <c r="F242" s="29" t="n">
        <v>16.07</v>
      </c>
      <c r="G242" s="30" t="n">
        <v>30.5075593952484</v>
      </c>
      <c r="H242" s="30" t="n">
        <v>93.3390586709064</v>
      </c>
      <c r="I242" s="30" t="n">
        <v>86.1200428724545</v>
      </c>
      <c r="J242" s="37" t="n">
        <f aca="false">(G242+H242+I242)/3</f>
        <v>69.9888869795364</v>
      </c>
      <c r="K242" s="38" t="n">
        <f aca="false">(J242-MIN(J$6:J$404))/(MAX(J$6:J$404)-MIN(J$6:J$404))*100</f>
        <v>76.9060004054865</v>
      </c>
    </row>
    <row r="243" customFormat="false" ht="15" hidden="false" customHeight="false" outlineLevel="0" collapsed="false">
      <c r="A243" s="26" t="n">
        <v>4117107</v>
      </c>
      <c r="B243" s="26" t="s">
        <v>309</v>
      </c>
      <c r="C243" s="26" t="s">
        <v>65</v>
      </c>
      <c r="D243" s="30" t="n">
        <v>0</v>
      </c>
      <c r="E243" s="28" t="n">
        <v>0.131238876421883</v>
      </c>
      <c r="F243" s="29" t="n">
        <v>13.93</v>
      </c>
      <c r="G243" s="30" t="n">
        <v>0</v>
      </c>
      <c r="H243" s="30" t="n">
        <v>76.2779974268872</v>
      </c>
      <c r="I243" s="30" t="n">
        <v>74.6516613076099</v>
      </c>
      <c r="J243" s="37" t="n">
        <f aca="false">(G243+H243+I243)/3</f>
        <v>50.3098862448324</v>
      </c>
      <c r="K243" s="38" t="n">
        <f aca="false">(J243-MIN(J$6:J$404))/(MAX(J$6:J$404)-MIN(J$6:J$404))*100</f>
        <v>40.0494499395012</v>
      </c>
    </row>
    <row r="244" customFormat="false" ht="15" hidden="false" customHeight="false" outlineLevel="0" collapsed="false">
      <c r="A244" s="26" t="n">
        <v>4117206</v>
      </c>
      <c r="B244" s="26" t="s">
        <v>310</v>
      </c>
      <c r="C244" s="26" t="s">
        <v>65</v>
      </c>
      <c r="D244" s="30" t="n">
        <v>14.93</v>
      </c>
      <c r="E244" s="28" t="n">
        <v>0.125150008571918</v>
      </c>
      <c r="F244" s="29" t="n">
        <v>10.46</v>
      </c>
      <c r="G244" s="30" t="n">
        <v>26.8718502519798</v>
      </c>
      <c r="H244" s="30" t="n">
        <v>72.7390563839963</v>
      </c>
      <c r="I244" s="30" t="n">
        <v>56.0557341907824</v>
      </c>
      <c r="J244" s="37" t="n">
        <f aca="false">(G244+H244+I244)/3</f>
        <v>51.8888802755862</v>
      </c>
      <c r="K244" s="38" t="n">
        <f aca="false">(J244-MIN(J$6:J$404))/(MAX(J$6:J$404)-MIN(J$6:J$404))*100</f>
        <v>43.0067277995166</v>
      </c>
    </row>
    <row r="245" customFormat="false" ht="15" hidden="false" customHeight="false" outlineLevel="0" collapsed="false">
      <c r="A245" s="26" t="n">
        <v>4117255</v>
      </c>
      <c r="B245" s="26" t="s">
        <v>311</v>
      </c>
      <c r="C245" s="26" t="s">
        <v>65</v>
      </c>
      <c r="D245" s="30" t="n">
        <v>7.46</v>
      </c>
      <c r="E245" s="28" t="n">
        <v>0.133002598629813</v>
      </c>
      <c r="F245" s="29" t="n">
        <v>10.08</v>
      </c>
      <c r="G245" s="30" t="n">
        <v>13.4269258459323</v>
      </c>
      <c r="H245" s="30" t="n">
        <v>77.3030991475523</v>
      </c>
      <c r="I245" s="30" t="n">
        <v>54.0192926045016</v>
      </c>
      <c r="J245" s="37" t="n">
        <f aca="false">(G245+H245+I245)/3</f>
        <v>48.2497725326621</v>
      </c>
      <c r="K245" s="38" t="n">
        <f aca="false">(J245-MIN(J$6:J$404))/(MAX(J$6:J$404)-MIN(J$6:J$404))*100</f>
        <v>36.1910891405013</v>
      </c>
    </row>
    <row r="246" customFormat="false" ht="15" hidden="false" customHeight="false" outlineLevel="0" collapsed="false">
      <c r="A246" s="26" t="n">
        <v>4117214</v>
      </c>
      <c r="B246" s="26" t="s">
        <v>312</v>
      </c>
      <c r="C246" s="26" t="s">
        <v>71</v>
      </c>
      <c r="D246" s="30" t="n">
        <v>40.82</v>
      </c>
      <c r="E246" s="28" t="n">
        <v>0.128824091778203</v>
      </c>
      <c r="F246" s="29" t="n">
        <v>12.67</v>
      </c>
      <c r="G246" s="30" t="n">
        <v>73.4701223902088</v>
      </c>
      <c r="H246" s="30" t="n">
        <v>74.8744884830507</v>
      </c>
      <c r="I246" s="30" t="n">
        <v>67.8992497320472</v>
      </c>
      <c r="J246" s="37" t="n">
        <f aca="false">(G246+H246+I246)/3</f>
        <v>72.0812868684356</v>
      </c>
      <c r="K246" s="38" t="n">
        <f aca="false">(J246-MIN(J$6:J$404))/(MAX(J$6:J$404)-MIN(J$6:J$404))*100</f>
        <v>80.8248295747052</v>
      </c>
    </row>
    <row r="247" customFormat="false" ht="15" hidden="false" customHeight="false" outlineLevel="0" collapsed="false">
      <c r="A247" s="26" t="n">
        <v>4117222</v>
      </c>
      <c r="B247" s="26" t="s">
        <v>313</v>
      </c>
      <c r="C247" s="26" t="s">
        <v>65</v>
      </c>
      <c r="D247" s="30" t="n">
        <v>0</v>
      </c>
      <c r="E247" s="28" t="n">
        <v>0.127373227589522</v>
      </c>
      <c r="F247" s="29" t="n">
        <v>11.66</v>
      </c>
      <c r="G247" s="30" t="n">
        <v>0</v>
      </c>
      <c r="H247" s="30" t="n">
        <v>74.0312245214239</v>
      </c>
      <c r="I247" s="30" t="n">
        <v>62.486602357985</v>
      </c>
      <c r="J247" s="37" t="n">
        <f aca="false">(G247+H247+I247)/3</f>
        <v>45.5059422931363</v>
      </c>
      <c r="K247" s="38" t="n">
        <f aca="false">(J247-MIN(J$6:J$404))/(MAX(J$6:J$404)-MIN(J$6:J$404))*100</f>
        <v>31.0522043436305</v>
      </c>
    </row>
    <row r="248" customFormat="false" ht="15" hidden="false" customHeight="false" outlineLevel="0" collapsed="false">
      <c r="A248" s="26" t="n">
        <v>4117271</v>
      </c>
      <c r="B248" s="26" t="s">
        <v>314</v>
      </c>
      <c r="C248" s="26" t="s">
        <v>65</v>
      </c>
      <c r="D248" s="30" t="n">
        <v>11.63</v>
      </c>
      <c r="E248" s="28" t="n">
        <v>0.129964953271028</v>
      </c>
      <c r="F248" s="29" t="n">
        <v>13</v>
      </c>
      <c r="G248" s="30" t="n">
        <v>20.9323254139669</v>
      </c>
      <c r="H248" s="30" t="n">
        <v>75.5375742422919</v>
      </c>
      <c r="I248" s="30" t="n">
        <v>69.6677384780279</v>
      </c>
      <c r="J248" s="37" t="n">
        <f aca="false">(G248+H248+I248)/3</f>
        <v>55.3792127114289</v>
      </c>
      <c r="K248" s="38" t="n">
        <f aca="false">(J248-MIN(J$6:J$404))/(MAX(J$6:J$404)-MIN(J$6:J$404))*100</f>
        <v>49.5437270760013</v>
      </c>
    </row>
    <row r="249" customFormat="false" ht="15" hidden="false" customHeight="false" outlineLevel="0" collapsed="false">
      <c r="A249" s="26" t="n">
        <v>4117297</v>
      </c>
      <c r="B249" s="26" t="s">
        <v>315</v>
      </c>
      <c r="C249" s="26" t="s">
        <v>71</v>
      </c>
      <c r="D249" s="30" t="n">
        <v>47.62</v>
      </c>
      <c r="E249" s="28" t="n">
        <v>0.11136</v>
      </c>
      <c r="F249" s="29" t="n">
        <v>11.84</v>
      </c>
      <c r="G249" s="30" t="n">
        <v>85.7091432685385</v>
      </c>
      <c r="H249" s="30" t="n">
        <v>64.7240971962617</v>
      </c>
      <c r="I249" s="30" t="n">
        <v>63.4512325830654</v>
      </c>
      <c r="J249" s="37" t="n">
        <f aca="false">(G249+H249+I249)/3</f>
        <v>71.2948243492885</v>
      </c>
      <c r="K249" s="38" t="n">
        <f aca="false">(J249-MIN(J$6:J$404))/(MAX(J$6:J$404)-MIN(J$6:J$404))*100</f>
        <v>79.351873914135</v>
      </c>
    </row>
    <row r="250" customFormat="false" ht="15" hidden="false" customHeight="false" outlineLevel="0" collapsed="false">
      <c r="A250" s="26" t="n">
        <v>4117305</v>
      </c>
      <c r="B250" s="26" t="s">
        <v>316</v>
      </c>
      <c r="C250" s="26" t="s">
        <v>86</v>
      </c>
      <c r="D250" s="30" t="n">
        <v>5.75</v>
      </c>
      <c r="E250" s="28" t="n">
        <v>0.148313492063492</v>
      </c>
      <c r="F250" s="29" t="n">
        <v>13.97</v>
      </c>
      <c r="G250" s="30" t="n">
        <v>10.3491720662347</v>
      </c>
      <c r="H250" s="30" t="n">
        <v>86.2020193591455</v>
      </c>
      <c r="I250" s="30" t="n">
        <v>74.86602357985</v>
      </c>
      <c r="J250" s="37" t="n">
        <f aca="false">(G250+H250+I250)/3</f>
        <v>57.1390716684101</v>
      </c>
      <c r="K250" s="38" t="n">
        <f aca="false">(J250-MIN(J$6:J$404))/(MAX(J$6:J$404)-MIN(J$6:J$404))*100</f>
        <v>52.8397445585663</v>
      </c>
    </row>
    <row r="251" customFormat="false" ht="15" hidden="false" customHeight="false" outlineLevel="0" collapsed="false">
      <c r="A251" s="26" t="n">
        <v>4117404</v>
      </c>
      <c r="B251" s="26" t="s">
        <v>317</v>
      </c>
      <c r="C251" s="26" t="s">
        <v>71</v>
      </c>
      <c r="D251" s="30" t="n">
        <v>0</v>
      </c>
      <c r="E251" s="28" t="n">
        <v>0.121744587386257</v>
      </c>
      <c r="F251" s="29" t="n">
        <v>11.92</v>
      </c>
      <c r="G251" s="30" t="n">
        <v>0</v>
      </c>
      <c r="H251" s="30" t="n">
        <v>70.7597746687038</v>
      </c>
      <c r="I251" s="30" t="n">
        <v>63.8799571275456</v>
      </c>
      <c r="J251" s="37" t="n">
        <f aca="false">(G251+H251+I251)/3</f>
        <v>44.8799105987498</v>
      </c>
      <c r="K251" s="38" t="n">
        <f aca="false">(J251-MIN(J$6:J$404))/(MAX(J$6:J$404)-MIN(J$6:J$404))*100</f>
        <v>29.8797175365757</v>
      </c>
    </row>
    <row r="252" customFormat="false" ht="15" hidden="false" customHeight="false" outlineLevel="0" collapsed="false">
      <c r="A252" s="26" t="n">
        <v>4117453</v>
      </c>
      <c r="B252" s="26" t="s">
        <v>318</v>
      </c>
      <c r="C252" s="26" t="s">
        <v>65</v>
      </c>
      <c r="D252" s="30" t="n">
        <v>27.03</v>
      </c>
      <c r="E252" s="28" t="n">
        <v>0.135593220338983</v>
      </c>
      <c r="F252" s="29" t="n">
        <v>12.82</v>
      </c>
      <c r="G252" s="30" t="n">
        <v>48.6501079913607</v>
      </c>
      <c r="H252" s="30" t="n">
        <v>78.8088072231902</v>
      </c>
      <c r="I252" s="30" t="n">
        <v>68.7031082529475</v>
      </c>
      <c r="J252" s="37" t="n">
        <f aca="false">(G252+H252+I252)/3</f>
        <v>65.3873411558328</v>
      </c>
      <c r="K252" s="38" t="n">
        <f aca="false">(J252-MIN(J$6:J$404))/(MAX(J$6:J$404)-MIN(J$6:J$404))*100</f>
        <v>68.2878236921847</v>
      </c>
    </row>
    <row r="253" customFormat="false" ht="15" hidden="false" customHeight="false" outlineLevel="0" collapsed="false">
      <c r="A253" s="26" t="n">
        <v>4117503</v>
      </c>
      <c r="B253" s="26" t="s">
        <v>319</v>
      </c>
      <c r="C253" s="26" t="s">
        <v>86</v>
      </c>
      <c r="D253" s="30" t="n">
        <v>11.13</v>
      </c>
      <c r="E253" s="28" t="n">
        <v>0.138614507636743</v>
      </c>
      <c r="F253" s="29" t="n">
        <v>13.08</v>
      </c>
      <c r="G253" s="30" t="n">
        <v>20.0323974082073</v>
      </c>
      <c r="H253" s="30" t="n">
        <v>80.5648245787764</v>
      </c>
      <c r="I253" s="30" t="n">
        <v>70.096463022508</v>
      </c>
      <c r="J253" s="37" t="n">
        <f aca="false">(G253+H253+I253)/3</f>
        <v>56.8978950031639</v>
      </c>
      <c r="K253" s="38" t="n">
        <f aca="false">(J253-MIN(J$6:J$404))/(MAX(J$6:J$404)-MIN(J$6:J$404))*100</f>
        <v>52.3880478462334</v>
      </c>
    </row>
    <row r="254" customFormat="false" ht="15" hidden="false" customHeight="false" outlineLevel="0" collapsed="false">
      <c r="A254" s="26" t="n">
        <v>4117602</v>
      </c>
      <c r="B254" s="26" t="s">
        <v>320</v>
      </c>
      <c r="C254" s="26" t="s">
        <v>86</v>
      </c>
      <c r="D254" s="30" t="n">
        <v>16.03</v>
      </c>
      <c r="E254" s="28" t="n">
        <v>0.160196488900864</v>
      </c>
      <c r="F254" s="29" t="n">
        <v>16.81</v>
      </c>
      <c r="G254" s="30" t="n">
        <v>28.8516918646508</v>
      </c>
      <c r="H254" s="30" t="n">
        <v>93.1085948106986</v>
      </c>
      <c r="I254" s="30" t="n">
        <v>90.0857449088961</v>
      </c>
      <c r="J254" s="37" t="n">
        <f aca="false">(G254+H254+I254)/3</f>
        <v>70.6820105280818</v>
      </c>
      <c r="K254" s="38" t="n">
        <f aca="false">(J254-MIN(J$6:J$404))/(MAX(J$6:J$404)-MIN(J$6:J$404))*100</f>
        <v>78.2041426938334</v>
      </c>
    </row>
    <row r="255" customFormat="false" ht="15" hidden="false" customHeight="false" outlineLevel="0" collapsed="false">
      <c r="A255" s="26" t="n">
        <v>4117701</v>
      </c>
      <c r="B255" s="26" t="s">
        <v>321</v>
      </c>
      <c r="C255" s="26" t="s">
        <v>86</v>
      </c>
      <c r="D255" s="30" t="n">
        <v>9.32</v>
      </c>
      <c r="E255" s="28" t="n">
        <v>0.134957908728401</v>
      </c>
      <c r="F255" s="29" t="n">
        <v>13.71</v>
      </c>
      <c r="G255" s="30" t="n">
        <v>16.7746580273578</v>
      </c>
      <c r="H255" s="30" t="n">
        <v>78.439554615133</v>
      </c>
      <c r="I255" s="30" t="n">
        <v>73.4726688102894</v>
      </c>
      <c r="J255" s="37" t="n">
        <f aca="false">(G255+H255+I255)/3</f>
        <v>56.2289604842601</v>
      </c>
      <c r="K255" s="38" t="n">
        <f aca="false">(J255-MIN(J$6:J$404))/(MAX(J$6:J$404)-MIN(J$6:J$404))*100</f>
        <v>51.135208884195</v>
      </c>
    </row>
    <row r="256" customFormat="false" ht="15" hidden="false" customHeight="false" outlineLevel="0" collapsed="false">
      <c r="A256" s="26" t="n">
        <v>4117800</v>
      </c>
      <c r="B256" s="26" t="s">
        <v>322</v>
      </c>
      <c r="C256" s="26" t="s">
        <v>65</v>
      </c>
      <c r="D256" s="30" t="n">
        <v>10.31</v>
      </c>
      <c r="E256" s="28" t="n">
        <v>0.141256809637075</v>
      </c>
      <c r="F256" s="29" t="n">
        <v>12.2</v>
      </c>
      <c r="G256" s="30" t="n">
        <v>18.5565154787617</v>
      </c>
      <c r="H256" s="30" t="n">
        <v>82.1005700124271</v>
      </c>
      <c r="I256" s="30" t="n">
        <v>65.3804930332261</v>
      </c>
      <c r="J256" s="37" t="n">
        <f aca="false">(G256+H256+I256)/3</f>
        <v>55.3458595081383</v>
      </c>
      <c r="K256" s="38" t="n">
        <f aca="false">(J256-MIN(J$6:J$404))/(MAX(J$6:J$404)-MIN(J$6:J$404))*100</f>
        <v>49.4812602852911</v>
      </c>
    </row>
    <row r="257" customFormat="false" ht="15" hidden="false" customHeight="false" outlineLevel="0" collapsed="false">
      <c r="A257" s="26" t="n">
        <v>4117909</v>
      </c>
      <c r="B257" s="26" t="s">
        <v>323</v>
      </c>
      <c r="C257" s="26" t="s">
        <v>86</v>
      </c>
      <c r="D257" s="30" t="n">
        <v>9.45</v>
      </c>
      <c r="E257" s="28" t="n">
        <v>0.134986147210877</v>
      </c>
      <c r="F257" s="29" t="n">
        <v>15.37</v>
      </c>
      <c r="G257" s="30" t="n">
        <v>17.0086393088553</v>
      </c>
      <c r="H257" s="30" t="n">
        <v>78.4559672434058</v>
      </c>
      <c r="I257" s="30" t="n">
        <v>82.3687031082529</v>
      </c>
      <c r="J257" s="37" t="n">
        <f aca="false">(G257+H257+I257)/3</f>
        <v>59.277769886838</v>
      </c>
      <c r="K257" s="38" t="n">
        <f aca="false">(J257-MIN(J$6:J$404))/(MAX(J$6:J$404)-MIN(J$6:J$404))*100</f>
        <v>56.8452852809666</v>
      </c>
    </row>
    <row r="258" customFormat="false" ht="15" hidden="false" customHeight="false" outlineLevel="0" collapsed="false">
      <c r="A258" s="26" t="n">
        <v>4118006</v>
      </c>
      <c r="B258" s="26" t="s">
        <v>324</v>
      </c>
      <c r="C258" s="26" t="s">
        <v>65</v>
      </c>
      <c r="D258" s="30" t="n">
        <v>31.58</v>
      </c>
      <c r="E258" s="28" t="n">
        <v>0.133333333333333</v>
      </c>
      <c r="F258" s="29" t="n">
        <v>13.21</v>
      </c>
      <c r="G258" s="30" t="n">
        <v>56.8394528437725</v>
      </c>
      <c r="H258" s="30" t="n">
        <v>77.4953271028037</v>
      </c>
      <c r="I258" s="30" t="n">
        <v>70.7931404072883</v>
      </c>
      <c r="J258" s="37" t="n">
        <f aca="false">(G258+H258+I258)/3</f>
        <v>68.3759734512882</v>
      </c>
      <c r="K258" s="38" t="n">
        <f aca="false">(J258-MIN(J$6:J$404))/(MAX(J$6:J$404)-MIN(J$6:J$404))*100</f>
        <v>73.885195149541</v>
      </c>
    </row>
    <row r="259" customFormat="false" ht="15" hidden="false" customHeight="false" outlineLevel="0" collapsed="false">
      <c r="A259" s="26" t="n">
        <v>4118105</v>
      </c>
      <c r="B259" s="26" t="s">
        <v>325</v>
      </c>
      <c r="C259" s="26" t="s">
        <v>65</v>
      </c>
      <c r="D259" s="30" t="n">
        <v>16.95</v>
      </c>
      <c r="E259" s="28" t="n">
        <v>0.137595479753061</v>
      </c>
      <c r="F259" s="29" t="n">
        <v>12.97</v>
      </c>
      <c r="G259" s="30" t="n">
        <v>30.5075593952484</v>
      </c>
      <c r="H259" s="30" t="n">
        <v>79.9725503349798</v>
      </c>
      <c r="I259" s="30" t="n">
        <v>69.5069667738478</v>
      </c>
      <c r="J259" s="37" t="n">
        <f aca="false">(G259+H259+I259)/3</f>
        <v>59.9956921680253</v>
      </c>
      <c r="K259" s="38" t="n">
        <f aca="false">(J259-MIN(J$6:J$404))/(MAX(J$6:J$404)-MIN(J$6:J$404))*100</f>
        <v>58.1898728006252</v>
      </c>
    </row>
    <row r="260" customFormat="false" ht="15" hidden="false" customHeight="false" outlineLevel="0" collapsed="false">
      <c r="A260" s="26" t="n">
        <v>4118204</v>
      </c>
      <c r="B260" s="26" t="s">
        <v>326</v>
      </c>
      <c r="C260" s="26" t="s">
        <v>69</v>
      </c>
      <c r="D260" s="30" t="n">
        <v>9.41</v>
      </c>
      <c r="E260" s="28" t="n">
        <v>0.144498007940807</v>
      </c>
      <c r="F260" s="29" t="n">
        <v>14.54</v>
      </c>
      <c r="G260" s="30" t="n">
        <v>16.9366450683945</v>
      </c>
      <c r="H260" s="30" t="n">
        <v>83.984402933073</v>
      </c>
      <c r="I260" s="30" t="n">
        <v>77.9206859592712</v>
      </c>
      <c r="J260" s="37" t="n">
        <f aca="false">(G260+H260+I260)/3</f>
        <v>59.6139113202462</v>
      </c>
      <c r="K260" s="38" t="n">
        <f aca="false">(J260-MIN(J$6:J$404))/(MAX(J$6:J$404)-MIN(J$6:J$404))*100</f>
        <v>57.4748403011192</v>
      </c>
    </row>
    <row r="261" customFormat="false" ht="15" hidden="false" customHeight="false" outlineLevel="0" collapsed="false">
      <c r="A261" s="26" t="n">
        <v>4118303</v>
      </c>
      <c r="B261" s="26" t="s">
        <v>327</v>
      </c>
      <c r="C261" s="26" t="s">
        <v>71</v>
      </c>
      <c r="D261" s="30" t="n">
        <v>0</v>
      </c>
      <c r="E261" s="28" t="n">
        <v>0.150959132610509</v>
      </c>
      <c r="F261" s="29" t="n">
        <v>12.51</v>
      </c>
      <c r="G261" s="30" t="n">
        <v>0</v>
      </c>
      <c r="H261" s="30" t="n">
        <v>87.7397052060518</v>
      </c>
      <c r="I261" s="30" t="n">
        <v>67.0418006430868</v>
      </c>
      <c r="J261" s="37" t="n">
        <f aca="false">(G261+H261+I261)/3</f>
        <v>51.5938352830462</v>
      </c>
      <c r="K261" s="38" t="n">
        <f aca="false">(J261-MIN(J$6:J$404))/(MAX(J$6:J$404)-MIN(J$6:J$404))*100</f>
        <v>42.4541417813603</v>
      </c>
    </row>
    <row r="262" customFormat="false" ht="15" hidden="false" customHeight="false" outlineLevel="0" collapsed="false">
      <c r="A262" s="26" t="n">
        <v>4118402</v>
      </c>
      <c r="B262" s="26" t="s">
        <v>328</v>
      </c>
      <c r="C262" s="26" t="s">
        <v>129</v>
      </c>
      <c r="D262" s="30" t="n">
        <v>9.23</v>
      </c>
      <c r="E262" s="28" t="n">
        <v>0.130270323148661</v>
      </c>
      <c r="F262" s="29" t="n">
        <v>12.34</v>
      </c>
      <c r="G262" s="30" t="n">
        <v>16.6126709863211</v>
      </c>
      <c r="H262" s="30" t="n">
        <v>75.715059781451</v>
      </c>
      <c r="I262" s="30" t="n">
        <v>66.1307609860665</v>
      </c>
      <c r="J262" s="37" t="n">
        <f aca="false">(G262+H262+I262)/3</f>
        <v>52.8194972512795</v>
      </c>
      <c r="K262" s="38" t="n">
        <f aca="false">(J262-MIN(J$6:J$404))/(MAX(J$6:J$404)-MIN(J$6:J$404))*100</f>
        <v>44.7496685103555</v>
      </c>
    </row>
    <row r="263" customFormat="false" ht="15" hidden="false" customHeight="false" outlineLevel="0" collapsed="false">
      <c r="A263" s="26" t="n">
        <v>4118451</v>
      </c>
      <c r="B263" s="26" t="s">
        <v>329</v>
      </c>
      <c r="C263" s="26" t="s">
        <v>65</v>
      </c>
      <c r="D263" s="30" t="n">
        <v>0</v>
      </c>
      <c r="E263" s="28" t="n">
        <v>0.1287284144427</v>
      </c>
      <c r="F263" s="29" t="n">
        <v>10.47</v>
      </c>
      <c r="G263" s="30" t="n">
        <v>0</v>
      </c>
      <c r="H263" s="30" t="n">
        <v>74.8188793849675</v>
      </c>
      <c r="I263" s="30" t="n">
        <v>56.1093247588425</v>
      </c>
      <c r="J263" s="37" t="n">
        <f aca="false">(G263+H263+I263)/3</f>
        <v>43.6427347146033</v>
      </c>
      <c r="K263" s="38" t="n">
        <f aca="false">(J263-MIN(J$6:J$404))/(MAX(J$6:J$404)-MIN(J$6:J$404))*100</f>
        <v>27.5626265407442</v>
      </c>
    </row>
    <row r="264" customFormat="false" ht="15" hidden="false" customHeight="false" outlineLevel="0" collapsed="false">
      <c r="A264" s="26" t="n">
        <v>4118501</v>
      </c>
      <c r="B264" s="26" t="s">
        <v>330</v>
      </c>
      <c r="C264" s="26" t="s">
        <v>129</v>
      </c>
      <c r="D264" s="30" t="n">
        <v>5.94</v>
      </c>
      <c r="E264" s="28" t="n">
        <v>0.130112374232327</v>
      </c>
      <c r="F264" s="29" t="n">
        <v>14.46</v>
      </c>
      <c r="G264" s="30" t="n">
        <v>10.6911447084233</v>
      </c>
      <c r="H264" s="30" t="n">
        <v>75.6232575094246</v>
      </c>
      <c r="I264" s="30" t="n">
        <v>77.491961414791</v>
      </c>
      <c r="J264" s="37" t="n">
        <f aca="false">(G264+H264+I264)/3</f>
        <v>54.6021212108796</v>
      </c>
      <c r="K264" s="38" t="n">
        <f aca="false">(J264-MIN(J$6:J$404))/(MAX(J$6:J$404)-MIN(J$6:J$404))*100</f>
        <v>48.0883222771096</v>
      </c>
    </row>
    <row r="265" customFormat="false" ht="15" hidden="false" customHeight="false" outlineLevel="0" collapsed="false">
      <c r="A265" s="26" t="n">
        <v>4118600</v>
      </c>
      <c r="B265" s="26" t="s">
        <v>331</v>
      </c>
      <c r="C265" s="26" t="s">
        <v>65</v>
      </c>
      <c r="D265" s="30" t="n">
        <v>36.36</v>
      </c>
      <c r="E265" s="28" t="n">
        <v>0.128662195552418</v>
      </c>
      <c r="F265" s="29" t="n">
        <v>11.12</v>
      </c>
      <c r="G265" s="30" t="n">
        <v>65.4427645788337</v>
      </c>
      <c r="H265" s="30" t="n">
        <v>74.7803919757465</v>
      </c>
      <c r="I265" s="30" t="n">
        <v>59.5927116827438</v>
      </c>
      <c r="J265" s="37" t="n">
        <f aca="false">(G265+H265+I265)/3</f>
        <v>66.6052894124413</v>
      </c>
      <c r="K265" s="38" t="n">
        <f aca="false">(J265-MIN(J$6:J$404))/(MAX(J$6:J$404)-MIN(J$6:J$404))*100</f>
        <v>70.5689035086761</v>
      </c>
    </row>
    <row r="266" customFormat="false" ht="15" hidden="false" customHeight="false" outlineLevel="0" collapsed="false">
      <c r="A266" s="26" t="n">
        <v>4118709</v>
      </c>
      <c r="B266" s="26" t="s">
        <v>332</v>
      </c>
      <c r="C266" s="26" t="s">
        <v>65</v>
      </c>
      <c r="D266" s="30" t="n">
        <v>15.15</v>
      </c>
      <c r="E266" s="28" t="n">
        <v>0.117767617846445</v>
      </c>
      <c r="F266" s="29" t="n">
        <v>13.24</v>
      </c>
      <c r="G266" s="30" t="n">
        <v>27.267818574514</v>
      </c>
      <c r="H266" s="30" t="n">
        <v>68.4483005034618</v>
      </c>
      <c r="I266" s="30" t="n">
        <v>70.9539121114684</v>
      </c>
      <c r="J266" s="37" t="n">
        <f aca="false">(G266+H266+I266)/3</f>
        <v>55.5566770631481</v>
      </c>
      <c r="K266" s="38" t="n">
        <f aca="false">(J266-MIN(J$6:J$404))/(MAX(J$6:J$404)-MIN(J$6:J$404))*100</f>
        <v>49.8760978057568</v>
      </c>
    </row>
    <row r="267" customFormat="false" ht="15" hidden="false" customHeight="false" outlineLevel="0" collapsed="false">
      <c r="A267" s="26" t="n">
        <v>4118808</v>
      </c>
      <c r="B267" s="26" t="s">
        <v>333</v>
      </c>
      <c r="C267" s="26" t="s">
        <v>65</v>
      </c>
      <c r="D267" s="30" t="n">
        <v>6.33</v>
      </c>
      <c r="E267" s="28" t="n">
        <v>0.135246515809981</v>
      </c>
      <c r="F267" s="29" t="n">
        <v>12.06</v>
      </c>
      <c r="G267" s="30" t="n">
        <v>11.3930885529158</v>
      </c>
      <c r="H267" s="30" t="n">
        <v>78.6072973665672</v>
      </c>
      <c r="I267" s="30" t="n">
        <v>64.6302250803859</v>
      </c>
      <c r="J267" s="37" t="n">
        <f aca="false">(G267+H267+I267)/3</f>
        <v>51.5435369999563</v>
      </c>
      <c r="K267" s="38" t="n">
        <f aca="false">(J267-MIN(J$6:J$404))/(MAX(J$6:J$404)-MIN(J$6:J$404))*100</f>
        <v>42.359938765971</v>
      </c>
    </row>
    <row r="268" customFormat="false" ht="15" hidden="false" customHeight="false" outlineLevel="0" collapsed="false">
      <c r="A268" s="26" t="n">
        <v>4118857</v>
      </c>
      <c r="B268" s="26" t="s">
        <v>334</v>
      </c>
      <c r="C268" s="26" t="s">
        <v>65</v>
      </c>
      <c r="D268" s="30" t="n">
        <v>0</v>
      </c>
      <c r="E268" s="28" t="n">
        <v>0.125608568646543</v>
      </c>
      <c r="F268" s="29" t="n">
        <v>14.05</v>
      </c>
      <c r="G268" s="30" t="n">
        <v>0</v>
      </c>
      <c r="H268" s="30" t="n">
        <v>73.0055783563414</v>
      </c>
      <c r="I268" s="30" t="n">
        <v>75.2947481243301</v>
      </c>
      <c r="J268" s="37" t="n">
        <f aca="false">(G268+H268+I268)/3</f>
        <v>49.4334421602238</v>
      </c>
      <c r="K268" s="38" t="n">
        <f aca="false">(J268-MIN(J$6:J$404))/(MAX(J$6:J$404)-MIN(J$6:J$404))*100</f>
        <v>38.4079689481406</v>
      </c>
    </row>
    <row r="269" customFormat="false" ht="15" hidden="false" customHeight="false" outlineLevel="0" collapsed="false">
      <c r="A269" s="26" t="n">
        <v>4118907</v>
      </c>
      <c r="B269" s="26" t="s">
        <v>335</v>
      </c>
      <c r="C269" s="26" t="s">
        <v>65</v>
      </c>
      <c r="D269" s="30" t="n">
        <v>6.54</v>
      </c>
      <c r="E269" s="28" t="n">
        <v>0.123168883650446</v>
      </c>
      <c r="F269" s="29" t="n">
        <v>10.94</v>
      </c>
      <c r="G269" s="30" t="n">
        <v>11.7710583153348</v>
      </c>
      <c r="H269" s="30" t="n">
        <v>71.5875969553388</v>
      </c>
      <c r="I269" s="30" t="n">
        <v>58.6280814576635</v>
      </c>
      <c r="J269" s="37" t="n">
        <f aca="false">(G269+H269+I269)/3</f>
        <v>47.328912242779</v>
      </c>
      <c r="K269" s="38" t="n">
        <f aca="false">(J269-MIN(J$6:J$404))/(MAX(J$6:J$404)-MIN(J$6:J$404))*100</f>
        <v>34.4664216025635</v>
      </c>
    </row>
    <row r="270" customFormat="false" ht="15" hidden="false" customHeight="false" outlineLevel="0" collapsed="false">
      <c r="A270" s="26" t="n">
        <v>4119004</v>
      </c>
      <c r="B270" s="26" t="s">
        <v>336</v>
      </c>
      <c r="C270" s="26" t="s">
        <v>65</v>
      </c>
      <c r="D270" s="30" t="n">
        <v>0</v>
      </c>
      <c r="E270" s="28" t="n">
        <v>0.108664201896801</v>
      </c>
      <c r="F270" s="29" t="n">
        <v>13.98</v>
      </c>
      <c r="G270" s="30" t="n">
        <v>0</v>
      </c>
      <c r="H270" s="30" t="n">
        <v>63.1572590276828</v>
      </c>
      <c r="I270" s="30" t="n">
        <v>74.91961414791</v>
      </c>
      <c r="J270" s="37" t="n">
        <f aca="false">(G270+H270+I270)/3</f>
        <v>46.0256243918643</v>
      </c>
      <c r="K270" s="38" t="n">
        <f aca="false">(J270-MIN(J$6:J$404))/(MAX(J$6:J$404)-MIN(J$6:J$404))*100</f>
        <v>32.0255103440851</v>
      </c>
    </row>
    <row r="271" customFormat="false" ht="15" hidden="false" customHeight="false" outlineLevel="0" collapsed="false">
      <c r="A271" s="26" t="n">
        <v>4119103</v>
      </c>
      <c r="B271" s="26" t="s">
        <v>337</v>
      </c>
      <c r="C271" s="26" t="s">
        <v>65</v>
      </c>
      <c r="D271" s="30" t="n">
        <v>0</v>
      </c>
      <c r="E271" s="28" t="n">
        <v>0.144855364335408</v>
      </c>
      <c r="F271" s="29" t="n">
        <v>14.43</v>
      </c>
      <c r="G271" s="30" t="n">
        <v>0</v>
      </c>
      <c r="H271" s="30" t="n">
        <v>84.1921038132621</v>
      </c>
      <c r="I271" s="30" t="n">
        <v>77.3311897106109</v>
      </c>
      <c r="J271" s="37" t="n">
        <f aca="false">(G271+H271+I271)/3</f>
        <v>53.841097841291</v>
      </c>
      <c r="K271" s="38" t="n">
        <f aca="false">(J271-MIN(J$6:J$404))/(MAX(J$6:J$404)-MIN(J$6:J$404))*100</f>
        <v>46.663011276558</v>
      </c>
    </row>
    <row r="272" customFormat="false" ht="15" hidden="false" customHeight="false" outlineLevel="0" collapsed="false">
      <c r="A272" s="26" t="n">
        <v>4119152</v>
      </c>
      <c r="B272" s="26" t="s">
        <v>338</v>
      </c>
      <c r="C272" s="26" t="s">
        <v>69</v>
      </c>
      <c r="D272" s="30" t="n">
        <v>10.53</v>
      </c>
      <c r="E272" s="28" t="n">
        <v>0.13222431289807</v>
      </c>
      <c r="F272" s="29" t="n">
        <v>11.69</v>
      </c>
      <c r="G272" s="30" t="n">
        <v>18.9524838012959</v>
      </c>
      <c r="H272" s="30" t="n">
        <v>76.8507478423458</v>
      </c>
      <c r="I272" s="30" t="n">
        <v>62.6473740621651</v>
      </c>
      <c r="J272" s="37" t="n">
        <f aca="false">(G272+H272+I272)/3</f>
        <v>52.8168685686022</v>
      </c>
      <c r="K272" s="38" t="n">
        <f aca="false">(J272-MIN(J$6:J$404))/(MAX(J$6:J$404)-MIN(J$6:J$404))*100</f>
        <v>44.7447452839651</v>
      </c>
    </row>
    <row r="273" customFormat="false" ht="15" hidden="false" customHeight="false" outlineLevel="0" collapsed="false">
      <c r="A273" s="26" t="n">
        <v>4119251</v>
      </c>
      <c r="B273" s="26" t="s">
        <v>339</v>
      </c>
      <c r="C273" s="26" t="s">
        <v>71</v>
      </c>
      <c r="D273" s="30" t="n">
        <v>0</v>
      </c>
      <c r="E273" s="28" t="n">
        <v>0.127490039840637</v>
      </c>
      <c r="F273" s="29" t="n">
        <v>9.05</v>
      </c>
      <c r="G273" s="30" t="n">
        <v>0</v>
      </c>
      <c r="H273" s="30" t="n">
        <v>74.0991175484976</v>
      </c>
      <c r="I273" s="30" t="n">
        <v>48.4994640943194</v>
      </c>
      <c r="J273" s="37" t="n">
        <f aca="false">(G273+H273+I273)/3</f>
        <v>40.866193880939</v>
      </c>
      <c r="K273" s="38" t="n">
        <f aca="false">(J273-MIN(J$6:J$404))/(MAX(J$6:J$404)-MIN(J$6:J$404))*100</f>
        <v>22.3624784876801</v>
      </c>
    </row>
    <row r="274" customFormat="false" ht="15" hidden="false" customHeight="false" outlineLevel="0" collapsed="false">
      <c r="A274" s="26" t="n">
        <v>4119202</v>
      </c>
      <c r="B274" s="26" t="s">
        <v>340</v>
      </c>
      <c r="C274" s="26" t="s">
        <v>65</v>
      </c>
      <c r="D274" s="30" t="n">
        <v>0</v>
      </c>
      <c r="E274" s="28" t="n">
        <v>0.125038074931465</v>
      </c>
      <c r="F274" s="29" t="n">
        <v>10.81</v>
      </c>
      <c r="G274" s="30" t="n">
        <v>0</v>
      </c>
      <c r="H274" s="30" t="n">
        <v>72.6739988783908</v>
      </c>
      <c r="I274" s="30" t="n">
        <v>57.9314040728832</v>
      </c>
      <c r="J274" s="37" t="n">
        <f aca="false">(G274+H274+I274)/3</f>
        <v>43.5351343170913</v>
      </c>
      <c r="K274" s="38" t="n">
        <f aca="false">(J274-MIN(J$6:J$404))/(MAX(J$6:J$404)-MIN(J$6:J$404))*100</f>
        <v>27.3611031232433</v>
      </c>
    </row>
    <row r="275" customFormat="false" ht="15" hidden="false" customHeight="false" outlineLevel="0" collapsed="false">
      <c r="A275" s="26" t="n">
        <v>4119301</v>
      </c>
      <c r="B275" s="26" t="s">
        <v>341</v>
      </c>
      <c r="C275" s="26" t="s">
        <v>86</v>
      </c>
      <c r="D275" s="30" t="n">
        <v>14.71</v>
      </c>
      <c r="E275" s="28" t="n">
        <v>0.15575854915345</v>
      </c>
      <c r="F275" s="29" t="n">
        <v>16.83</v>
      </c>
      <c r="G275" s="30" t="n">
        <v>26.4758819294457</v>
      </c>
      <c r="H275" s="30" t="n">
        <v>90.5291978677854</v>
      </c>
      <c r="I275" s="30" t="n">
        <v>90.1929260450161</v>
      </c>
      <c r="J275" s="37" t="n">
        <f aca="false">(G275+H275+I275)/3</f>
        <v>69.0660019474157</v>
      </c>
      <c r="K275" s="38" t="n">
        <f aca="false">(J275-MIN(J$6:J$404))/(MAX(J$6:J$404)-MIN(J$6:J$404))*100</f>
        <v>75.1775407535351</v>
      </c>
    </row>
    <row r="276" customFormat="false" ht="15" hidden="false" customHeight="false" outlineLevel="0" collapsed="false">
      <c r="A276" s="26" t="n">
        <v>4119400</v>
      </c>
      <c r="B276" s="26" t="s">
        <v>342</v>
      </c>
      <c r="C276" s="26" t="s">
        <v>86</v>
      </c>
      <c r="D276" s="30" t="n">
        <v>5.93</v>
      </c>
      <c r="E276" s="28" t="n">
        <v>0.147224218849097</v>
      </c>
      <c r="F276" s="29" t="n">
        <v>13.19</v>
      </c>
      <c r="G276" s="30" t="n">
        <v>10.6731461483081</v>
      </c>
      <c r="H276" s="30" t="n">
        <v>85.5689174787417</v>
      </c>
      <c r="I276" s="30" t="n">
        <v>70.6859592711683</v>
      </c>
      <c r="J276" s="37" t="n">
        <f aca="false">(G276+H276+I276)/3</f>
        <v>55.642674299406</v>
      </c>
      <c r="K276" s="38" t="n">
        <f aca="false">(J276-MIN(J$6:J$404))/(MAX(J$6:J$404)-MIN(J$6:J$404))*100</f>
        <v>50.0371609370004</v>
      </c>
    </row>
    <row r="277" customFormat="false" ht="15" hidden="false" customHeight="false" outlineLevel="0" collapsed="false">
      <c r="A277" s="26" t="n">
        <v>4119509</v>
      </c>
      <c r="B277" s="26" t="s">
        <v>343</v>
      </c>
      <c r="C277" s="26" t="s">
        <v>69</v>
      </c>
      <c r="D277" s="30" t="n">
        <v>6.97</v>
      </c>
      <c r="E277" s="28" t="n">
        <v>0.153457424408321</v>
      </c>
      <c r="F277" s="29" t="n">
        <v>12.48</v>
      </c>
      <c r="G277" s="30" t="n">
        <v>12.544996400288</v>
      </c>
      <c r="H277" s="30" t="n">
        <v>89.1917497565749</v>
      </c>
      <c r="I277" s="30" t="n">
        <v>66.8810289389068</v>
      </c>
      <c r="J277" s="37" t="n">
        <f aca="false">(G277+H277+I277)/3</f>
        <v>56.2059250319232</v>
      </c>
      <c r="K277" s="38" t="n">
        <f aca="false">(J277-MIN(J$6:J$404))/(MAX(J$6:J$404)-MIN(J$6:J$404))*100</f>
        <v>51.092066078165</v>
      </c>
    </row>
    <row r="278" customFormat="false" ht="15" hidden="false" customHeight="false" outlineLevel="0" collapsed="false">
      <c r="A278" s="26" t="n">
        <v>4119608</v>
      </c>
      <c r="B278" s="26" t="s">
        <v>344</v>
      </c>
      <c r="C278" s="26" t="s">
        <v>86</v>
      </c>
      <c r="D278" s="30" t="n">
        <v>10.64</v>
      </c>
      <c r="E278" s="28" t="n">
        <v>0.134238984717133</v>
      </c>
      <c r="F278" s="29" t="n">
        <v>13.32</v>
      </c>
      <c r="G278" s="30" t="n">
        <v>19.150467962563</v>
      </c>
      <c r="H278" s="30" t="n">
        <v>78.0217052295186</v>
      </c>
      <c r="I278" s="30" t="n">
        <v>71.3826366559486</v>
      </c>
      <c r="J278" s="37" t="n">
        <f aca="false">(G278+H278+I278)/3</f>
        <v>56.1849366160101</v>
      </c>
      <c r="K278" s="38" t="n">
        <f aca="false">(J278-MIN(J$6:J$404))/(MAX(J$6:J$404)-MIN(J$6:J$404))*100</f>
        <v>51.0527571406467</v>
      </c>
    </row>
    <row r="279" customFormat="false" ht="15" hidden="false" customHeight="false" outlineLevel="0" collapsed="false">
      <c r="A279" s="26" t="n">
        <v>4119657</v>
      </c>
      <c r="B279" s="26" t="s">
        <v>345</v>
      </c>
      <c r="C279" s="26" t="s">
        <v>71</v>
      </c>
      <c r="D279" s="30" t="n">
        <v>0</v>
      </c>
      <c r="E279" s="28" t="n">
        <v>0.132961260669731</v>
      </c>
      <c r="F279" s="29" t="n">
        <v>9.52</v>
      </c>
      <c r="G279" s="30" t="n">
        <v>0</v>
      </c>
      <c r="H279" s="30" t="n">
        <v>77.2790729070146</v>
      </c>
      <c r="I279" s="30" t="n">
        <v>51.0182207931404</v>
      </c>
      <c r="J279" s="37" t="n">
        <f aca="false">(G279+H279+I279)/3</f>
        <v>42.7657645667183</v>
      </c>
      <c r="K279" s="38" t="n">
        <f aca="false">(J279-MIN(J$6:J$404))/(MAX(J$6:J$404)-MIN(J$6:J$404))*100</f>
        <v>25.9201602921564</v>
      </c>
    </row>
    <row r="280" customFormat="false" ht="15" hidden="false" customHeight="false" outlineLevel="0" collapsed="false">
      <c r="A280" s="26" t="n">
        <v>4119707</v>
      </c>
      <c r="B280" s="26" t="s">
        <v>346</v>
      </c>
      <c r="C280" s="26" t="s">
        <v>71</v>
      </c>
      <c r="D280" s="30" t="n">
        <v>37.04</v>
      </c>
      <c r="E280" s="28" t="n">
        <v>0.127518427518428</v>
      </c>
      <c r="F280" s="29" t="n">
        <v>16.22</v>
      </c>
      <c r="G280" s="30" t="n">
        <v>66.6666666666667</v>
      </c>
      <c r="H280" s="30" t="n">
        <v>74.1156168913178</v>
      </c>
      <c r="I280" s="30" t="n">
        <v>86.9239013933548</v>
      </c>
      <c r="J280" s="37" t="n">
        <f aca="false">(G280+H280+I280)/3</f>
        <v>75.9020616504464</v>
      </c>
      <c r="K280" s="38" t="n">
        <f aca="false">(J280-MIN(J$6:J$404))/(MAX(J$6:J$404)-MIN(J$6:J$404))*100</f>
        <v>87.9807101232541</v>
      </c>
    </row>
    <row r="281" customFormat="false" ht="15" hidden="false" customHeight="false" outlineLevel="0" collapsed="false">
      <c r="A281" s="26" t="n">
        <v>4119806</v>
      </c>
      <c r="B281" s="26" t="s">
        <v>347</v>
      </c>
      <c r="C281" s="26" t="s">
        <v>65</v>
      </c>
      <c r="D281" s="30" t="n">
        <v>20.98</v>
      </c>
      <c r="E281" s="28" t="n">
        <v>0.109224989564491</v>
      </c>
      <c r="F281" s="29" t="n">
        <v>8.7</v>
      </c>
      <c r="G281" s="30" t="n">
        <v>37.7609791216703</v>
      </c>
      <c r="H281" s="30" t="n">
        <v>63.4831972057544</v>
      </c>
      <c r="I281" s="30" t="n">
        <v>46.6237942122186</v>
      </c>
      <c r="J281" s="37" t="n">
        <f aca="false">(G281+H281+I281)/3</f>
        <v>49.2893235132145</v>
      </c>
      <c r="K281" s="38" t="n">
        <f aca="false">(J281-MIN(J$6:J$404))/(MAX(J$6:J$404)-MIN(J$6:J$404))*100</f>
        <v>38.1380509650987</v>
      </c>
    </row>
    <row r="282" customFormat="false" ht="15" hidden="false" customHeight="false" outlineLevel="0" collapsed="false">
      <c r="A282" s="26" t="n">
        <v>4119905</v>
      </c>
      <c r="B282" s="26" t="s">
        <v>348</v>
      </c>
      <c r="C282" s="26" t="s">
        <v>138</v>
      </c>
      <c r="D282" s="30" t="n">
        <v>9.08</v>
      </c>
      <c r="E282" s="28" t="n">
        <v>0.140787061453075</v>
      </c>
      <c r="F282" s="29" t="n">
        <v>13.01</v>
      </c>
      <c r="G282" s="30" t="n">
        <v>16.3426925845932</v>
      </c>
      <c r="H282" s="30" t="n">
        <v>81.8275453436144</v>
      </c>
      <c r="I282" s="30" t="n">
        <v>69.7213290460879</v>
      </c>
      <c r="J282" s="37" t="n">
        <f aca="false">(G282+H282+I282)/3</f>
        <v>55.9638556580985</v>
      </c>
      <c r="K282" s="38" t="n">
        <f aca="false">(J282-MIN(J$6:J$404))/(MAX(J$6:J$404)-MIN(J$6:J$404))*100</f>
        <v>50.6386974232767</v>
      </c>
    </row>
    <row r="283" customFormat="false" ht="15" hidden="false" customHeight="false" outlineLevel="0" collapsed="false">
      <c r="A283" s="26" t="n">
        <v>4119954</v>
      </c>
      <c r="B283" s="26" t="s">
        <v>349</v>
      </c>
      <c r="C283" s="26" t="s">
        <v>86</v>
      </c>
      <c r="D283" s="30" t="n">
        <v>3</v>
      </c>
      <c r="E283" s="28" t="n">
        <v>0.127296631059984</v>
      </c>
      <c r="F283" s="29" t="n">
        <v>10.68</v>
      </c>
      <c r="G283" s="30" t="n">
        <v>5.39956803455724</v>
      </c>
      <c r="H283" s="30" t="n">
        <v>73.9867054730877</v>
      </c>
      <c r="I283" s="30" t="n">
        <v>57.2347266881029</v>
      </c>
      <c r="J283" s="37" t="n">
        <f aca="false">(G283+H283+I283)/3</f>
        <v>45.5403333985826</v>
      </c>
      <c r="K283" s="38" t="n">
        <f aca="false">(J283-MIN(J$6:J$404))/(MAX(J$6:J$404)-MIN(J$6:J$404))*100</f>
        <v>31.1166150081023</v>
      </c>
    </row>
    <row r="284" customFormat="false" ht="15" hidden="false" customHeight="false" outlineLevel="0" collapsed="false">
      <c r="A284" s="26" t="n">
        <v>4120002</v>
      </c>
      <c r="B284" s="26" t="s">
        <v>350</v>
      </c>
      <c r="C284" s="26" t="s">
        <v>65</v>
      </c>
      <c r="D284" s="30" t="n">
        <v>7.94</v>
      </c>
      <c r="E284" s="28" t="n">
        <v>0.112869924294563</v>
      </c>
      <c r="F284" s="29" t="n">
        <v>9.64</v>
      </c>
      <c r="G284" s="30" t="n">
        <v>14.2908567314615</v>
      </c>
      <c r="H284" s="30" t="n">
        <v>65.6016877745689</v>
      </c>
      <c r="I284" s="30" t="n">
        <v>51.6613076098607</v>
      </c>
      <c r="J284" s="37" t="n">
        <f aca="false">(G284+H284+I284)/3</f>
        <v>43.8512840386304</v>
      </c>
      <c r="K284" s="38" t="n">
        <f aca="false">(J284-MIN(J$6:J$404))/(MAX(J$6:J$404)-MIN(J$6:J$404))*100</f>
        <v>27.9532159202188</v>
      </c>
    </row>
    <row r="285" customFormat="false" ht="15" hidden="false" customHeight="false" outlineLevel="0" collapsed="false">
      <c r="A285" s="26" t="n">
        <v>4120101</v>
      </c>
      <c r="B285" s="26" t="s">
        <v>351</v>
      </c>
      <c r="C285" s="26" t="s">
        <v>71</v>
      </c>
      <c r="D285" s="30" t="n">
        <v>0</v>
      </c>
      <c r="E285" s="28" t="n">
        <v>0.138116154221572</v>
      </c>
      <c r="F285" s="29" t="n">
        <v>13.42</v>
      </c>
      <c r="G285" s="30" t="n">
        <v>0</v>
      </c>
      <c r="H285" s="30" t="n">
        <v>80.2751741218648</v>
      </c>
      <c r="I285" s="30" t="n">
        <v>71.9185423365488</v>
      </c>
      <c r="J285" s="37" t="n">
        <f aca="false">(G285+H285+I285)/3</f>
        <v>50.7312388194712</v>
      </c>
      <c r="K285" s="38" t="n">
        <f aca="false">(J285-MIN(J$6:J$404))/(MAX(J$6:J$404)-MIN(J$6:J$404))*100</f>
        <v>40.8385958235075</v>
      </c>
    </row>
    <row r="286" customFormat="false" ht="15" hidden="false" customHeight="false" outlineLevel="0" collapsed="false">
      <c r="A286" s="26" t="n">
        <v>4120150</v>
      </c>
      <c r="B286" s="26" t="s">
        <v>352</v>
      </c>
      <c r="C286" s="26" t="s">
        <v>71</v>
      </c>
      <c r="D286" s="30" t="n">
        <v>19.61</v>
      </c>
      <c r="E286" s="28" t="n">
        <v>0.127652733118971</v>
      </c>
      <c r="F286" s="29" t="n">
        <v>13.5</v>
      </c>
      <c r="G286" s="30" t="n">
        <v>35.2951763858891</v>
      </c>
      <c r="H286" s="30" t="n">
        <v>74.1936773146618</v>
      </c>
      <c r="I286" s="30" t="n">
        <v>72.3472668810289</v>
      </c>
      <c r="J286" s="37" t="n">
        <f aca="false">(G286+H286+I286)/3</f>
        <v>60.61204019386</v>
      </c>
      <c r="K286" s="38" t="n">
        <f aca="false">(J286-MIN(J$6:J$404))/(MAX(J$6:J$404)-MIN(J$6:J$404))*100</f>
        <v>59.3442231878745</v>
      </c>
    </row>
    <row r="287" customFormat="false" ht="15" hidden="false" customHeight="false" outlineLevel="0" collapsed="false">
      <c r="A287" s="26" t="n">
        <v>4120200</v>
      </c>
      <c r="B287" s="26" t="s">
        <v>353</v>
      </c>
      <c r="C287" s="26" t="s">
        <v>71</v>
      </c>
      <c r="D287" s="30" t="n">
        <v>29.41</v>
      </c>
      <c r="E287" s="28" t="n">
        <v>0.13419233186675</v>
      </c>
      <c r="F287" s="29" t="n">
        <v>8.8</v>
      </c>
      <c r="G287" s="30" t="n">
        <v>52.9337652987761</v>
      </c>
      <c r="H287" s="30" t="n">
        <v>77.9945898952637</v>
      </c>
      <c r="I287" s="30" t="n">
        <v>47.1596998928189</v>
      </c>
      <c r="J287" s="37" t="n">
        <f aca="false">(G287+H287+I287)/3</f>
        <v>59.3626850289529</v>
      </c>
      <c r="K287" s="38" t="n">
        <f aca="false">(J287-MIN(J$6:J$404))/(MAX(J$6:J$404)-MIN(J$6:J$404))*100</f>
        <v>57.004321771837</v>
      </c>
    </row>
    <row r="288" customFormat="false" ht="15" hidden="false" customHeight="false" outlineLevel="0" collapsed="false">
      <c r="A288" s="26" t="n">
        <v>4120309</v>
      </c>
      <c r="B288" s="26" t="s">
        <v>354</v>
      </c>
      <c r="C288" s="26" t="s">
        <v>71</v>
      </c>
      <c r="D288" s="30" t="n">
        <v>0</v>
      </c>
      <c r="E288" s="28" t="n">
        <v>0.139528354856822</v>
      </c>
      <c r="F288" s="29" t="n">
        <v>14.32</v>
      </c>
      <c r="G288" s="30" t="n">
        <v>0</v>
      </c>
      <c r="H288" s="30" t="n">
        <v>81.0959662480912</v>
      </c>
      <c r="I288" s="30" t="n">
        <v>76.7416934619507</v>
      </c>
      <c r="J288" s="37" t="n">
        <f aca="false">(G288+H288+I288)/3</f>
        <v>52.6125532366806</v>
      </c>
      <c r="K288" s="38" t="n">
        <f aca="false">(J288-MIN(J$6:J$404))/(MAX(J$6:J$404)-MIN(J$6:J$404))*100</f>
        <v>44.3620856945143</v>
      </c>
    </row>
    <row r="289" customFormat="false" ht="15" hidden="false" customHeight="false" outlineLevel="0" collapsed="false">
      <c r="A289" s="26" t="n">
        <v>4120333</v>
      </c>
      <c r="B289" s="26" t="s">
        <v>355</v>
      </c>
      <c r="C289" s="26" t="s">
        <v>71</v>
      </c>
      <c r="D289" s="30" t="n">
        <v>52.63</v>
      </c>
      <c r="E289" s="28" t="n">
        <v>0.132650310056619</v>
      </c>
      <c r="F289" s="29" t="n">
        <v>14.02</v>
      </c>
      <c r="G289" s="30" t="n">
        <v>94.7264218862491</v>
      </c>
      <c r="H289" s="30" t="n">
        <v>77.0983437609452</v>
      </c>
      <c r="I289" s="30" t="n">
        <v>75.1339764201501</v>
      </c>
      <c r="J289" s="37" t="n">
        <f aca="false">(G289+H289+I289)/3</f>
        <v>82.3195806891148</v>
      </c>
      <c r="K289" s="38" t="n">
        <f aca="false">(J289-MIN(J$6:J$404))/(MAX(J$6:J$404)-MIN(J$6:J$404))*100</f>
        <v>100</v>
      </c>
    </row>
    <row r="290" customFormat="false" ht="15" hidden="false" customHeight="false" outlineLevel="0" collapsed="false">
      <c r="A290" s="26" t="n">
        <v>4120358</v>
      </c>
      <c r="B290" s="26" t="s">
        <v>356</v>
      </c>
      <c r="C290" s="26" t="s">
        <v>65</v>
      </c>
      <c r="D290" s="30" t="n">
        <v>15.15</v>
      </c>
      <c r="E290" s="28" t="n">
        <v>0.122189297542269</v>
      </c>
      <c r="F290" s="29" t="n">
        <v>12.03</v>
      </c>
      <c r="G290" s="30" t="n">
        <v>27.267818574514</v>
      </c>
      <c r="H290" s="30" t="n">
        <v>71.0182468612499</v>
      </c>
      <c r="I290" s="30" t="n">
        <v>64.4694533762058</v>
      </c>
      <c r="J290" s="37" t="n">
        <f aca="false">(G290+H290+I290)/3</f>
        <v>54.2518396039899</v>
      </c>
      <c r="K290" s="38" t="n">
        <f aca="false">(J290-MIN(J$6:J$404))/(MAX(J$6:J$404)-MIN(J$6:J$404))*100</f>
        <v>47.4322843056861</v>
      </c>
    </row>
    <row r="291" customFormat="false" ht="15" hidden="false" customHeight="false" outlineLevel="0" collapsed="false">
      <c r="A291" s="26" t="n">
        <v>4120408</v>
      </c>
      <c r="B291" s="26" t="s">
        <v>357</v>
      </c>
      <c r="C291" s="26" t="s">
        <v>71</v>
      </c>
      <c r="D291" s="30" t="n">
        <v>39.22</v>
      </c>
      <c r="E291" s="28" t="n">
        <v>0.120618081180812</v>
      </c>
      <c r="F291" s="29" t="n">
        <v>8.53</v>
      </c>
      <c r="G291" s="30" t="n">
        <v>70.5903527717783</v>
      </c>
      <c r="H291" s="30" t="n">
        <v>70.1050324171466</v>
      </c>
      <c r="I291" s="30" t="n">
        <v>45.7127545551983</v>
      </c>
      <c r="J291" s="37" t="n">
        <f aca="false">(G291+H291+I291)/3</f>
        <v>62.1360465813744</v>
      </c>
      <c r="K291" s="38" t="n">
        <f aca="false">(J291-MIN(J$6:J$404))/(MAX(J$6:J$404)-MIN(J$6:J$404))*100</f>
        <v>62.1985153894523</v>
      </c>
    </row>
    <row r="292" customFormat="false" ht="15" hidden="false" customHeight="false" outlineLevel="0" collapsed="false">
      <c r="A292" s="26" t="n">
        <v>4120507</v>
      </c>
      <c r="B292" s="26" t="s">
        <v>358</v>
      </c>
      <c r="C292" s="26" t="s">
        <v>65</v>
      </c>
      <c r="D292" s="30" t="n">
        <v>0</v>
      </c>
      <c r="E292" s="28" t="n">
        <v>0.108014282880381</v>
      </c>
      <c r="F292" s="29" t="n">
        <v>9.92</v>
      </c>
      <c r="G292" s="30" t="n">
        <v>0</v>
      </c>
      <c r="H292" s="30" t="n">
        <v>62.7795163769242</v>
      </c>
      <c r="I292" s="30" t="n">
        <v>53.1618435155413</v>
      </c>
      <c r="J292" s="37" t="n">
        <f aca="false">(G292+H292+I292)/3</f>
        <v>38.6471199641551</v>
      </c>
      <c r="K292" s="38" t="n">
        <f aca="false">(J292-MIN(J$6:J$404))/(MAX(J$6:J$404)-MIN(J$6:J$404))*100</f>
        <v>18.2064031409546</v>
      </c>
    </row>
    <row r="293" customFormat="false" ht="15" hidden="false" customHeight="false" outlineLevel="0" collapsed="false">
      <c r="A293" s="26" t="n">
        <v>4120606</v>
      </c>
      <c r="B293" s="26" t="s">
        <v>359</v>
      </c>
      <c r="C293" s="26" t="s">
        <v>86</v>
      </c>
      <c r="D293" s="30" t="n">
        <v>7.89</v>
      </c>
      <c r="E293" s="28" t="n">
        <v>0.13341971534428</v>
      </c>
      <c r="F293" s="29" t="n">
        <v>12.27</v>
      </c>
      <c r="G293" s="30" t="n">
        <v>14.2008639308855</v>
      </c>
      <c r="H293" s="30" t="n">
        <v>77.5455336192593</v>
      </c>
      <c r="I293" s="30" t="n">
        <v>65.7556270096463</v>
      </c>
      <c r="J293" s="37" t="n">
        <f aca="false">(G293+H293+I293)/3</f>
        <v>52.5006748532637</v>
      </c>
      <c r="K293" s="38" t="n">
        <f aca="false">(J293-MIN(J$6:J$404))/(MAX(J$6:J$404)-MIN(J$6:J$404))*100</f>
        <v>44.1525500915613</v>
      </c>
    </row>
    <row r="294" customFormat="false" ht="15" hidden="false" customHeight="false" outlineLevel="0" collapsed="false">
      <c r="A294" s="26" t="n">
        <v>4120655</v>
      </c>
      <c r="B294" s="26" t="s">
        <v>360</v>
      </c>
      <c r="C294" s="26" t="s">
        <v>71</v>
      </c>
      <c r="D294" s="30" t="n">
        <v>0</v>
      </c>
      <c r="E294" s="28" t="n">
        <v>0.124018090930731</v>
      </c>
      <c r="F294" s="29" t="n">
        <v>10.47</v>
      </c>
      <c r="G294" s="30" t="n">
        <v>0</v>
      </c>
      <c r="H294" s="30" t="n">
        <v>72.0811689250668</v>
      </c>
      <c r="I294" s="30" t="n">
        <v>56.1093247588425</v>
      </c>
      <c r="J294" s="37" t="n">
        <f aca="false">(G294+H294+I294)/3</f>
        <v>42.7301645613031</v>
      </c>
      <c r="K294" s="38" t="n">
        <f aca="false">(J294-MIN(J$6:J$404))/(MAX(J$6:J$404)-MIN(J$6:J$404))*100</f>
        <v>25.8534854942912</v>
      </c>
    </row>
    <row r="295" customFormat="false" ht="15" hidden="false" customHeight="false" outlineLevel="0" collapsed="false">
      <c r="A295" s="26" t="n">
        <v>4120705</v>
      </c>
      <c r="B295" s="26" t="s">
        <v>361</v>
      </c>
      <c r="C295" s="26" t="s">
        <v>65</v>
      </c>
      <c r="D295" s="30" t="n">
        <v>0</v>
      </c>
      <c r="E295" s="28" t="n">
        <v>0.122854673416471</v>
      </c>
      <c r="F295" s="29" t="n">
        <v>13.33</v>
      </c>
      <c r="G295" s="30" t="n">
        <v>0</v>
      </c>
      <c r="H295" s="30" t="n">
        <v>71.4049732688817</v>
      </c>
      <c r="I295" s="30" t="n">
        <v>71.4362272240086</v>
      </c>
      <c r="J295" s="37" t="n">
        <f aca="false">(G295+H295+I295)/3</f>
        <v>47.6137334976301</v>
      </c>
      <c r="K295" s="38" t="n">
        <f aca="false">(J295-MIN(J$6:J$404))/(MAX(J$6:J$404)-MIN(J$6:J$404))*100</f>
        <v>34.9998597122888</v>
      </c>
    </row>
    <row r="296" customFormat="false" ht="15" hidden="false" customHeight="false" outlineLevel="0" collapsed="false">
      <c r="A296" s="26" t="n">
        <v>4120804</v>
      </c>
      <c r="B296" s="26" t="s">
        <v>362</v>
      </c>
      <c r="C296" s="26" t="s">
        <v>86</v>
      </c>
      <c r="D296" s="30" t="n">
        <v>3.42</v>
      </c>
      <c r="E296" s="28" t="n">
        <v>0.145715348683395</v>
      </c>
      <c r="F296" s="29" t="n">
        <v>12.24</v>
      </c>
      <c r="G296" s="30" t="n">
        <v>6.15550755939525</v>
      </c>
      <c r="H296" s="30" t="n">
        <v>84.6919395758908</v>
      </c>
      <c r="I296" s="30" t="n">
        <v>65.5948553054662</v>
      </c>
      <c r="J296" s="37" t="n">
        <f aca="false">(G296+H296+I296)/3</f>
        <v>52.1474341469174</v>
      </c>
      <c r="K296" s="38" t="n">
        <f aca="false">(J296-MIN(J$6:J$404))/(MAX(J$6:J$404)-MIN(J$6:J$404))*100</f>
        <v>43.4909700603592</v>
      </c>
    </row>
    <row r="297" customFormat="false" ht="15" hidden="false" customHeight="false" outlineLevel="0" collapsed="false">
      <c r="A297" s="26" t="n">
        <v>4120853</v>
      </c>
      <c r="B297" s="26" t="s">
        <v>363</v>
      </c>
      <c r="C297" s="26" t="s">
        <v>71</v>
      </c>
      <c r="D297" s="30" t="n">
        <v>21.74</v>
      </c>
      <c r="E297" s="28" t="n">
        <v>0.116517857142857</v>
      </c>
      <c r="F297" s="29" t="n">
        <v>10.71</v>
      </c>
      <c r="G297" s="30" t="n">
        <v>39.1288696904248</v>
      </c>
      <c r="H297" s="30" t="n">
        <v>67.7219208945261</v>
      </c>
      <c r="I297" s="30" t="n">
        <v>57.395498392283</v>
      </c>
      <c r="J297" s="37" t="n">
        <f aca="false">(G297+H297+I297)/3</f>
        <v>54.7487629924113</v>
      </c>
      <c r="K297" s="38" t="n">
        <f aca="false">(J297-MIN(J$6:J$404))/(MAX(J$6:J$404)-MIN(J$6:J$404))*100</f>
        <v>48.3629658067433</v>
      </c>
    </row>
    <row r="298" customFormat="false" ht="15" hidden="false" customHeight="false" outlineLevel="0" collapsed="false">
      <c r="A298" s="26" t="n">
        <v>4120903</v>
      </c>
      <c r="B298" s="26" t="s">
        <v>364</v>
      </c>
      <c r="C298" s="26" t="s">
        <v>86</v>
      </c>
      <c r="D298" s="30" t="n">
        <v>22.08</v>
      </c>
      <c r="E298" s="28" t="n">
        <v>0.143340490597957</v>
      </c>
      <c r="F298" s="29" t="n">
        <v>14.74</v>
      </c>
      <c r="G298" s="30" t="n">
        <v>39.7408207343413</v>
      </c>
      <c r="H298" s="30" t="n">
        <v>83.3116365447378</v>
      </c>
      <c r="I298" s="30" t="n">
        <v>78.9924973204716</v>
      </c>
      <c r="J298" s="37" t="n">
        <f aca="false">(G298+H298+I298)/3</f>
        <v>67.3483181998502</v>
      </c>
      <c r="K298" s="38" t="n">
        <f aca="false">(J298-MIN(J$6:J$404))/(MAX(J$6:J$404)-MIN(J$6:J$404))*100</f>
        <v>71.9605126848738</v>
      </c>
    </row>
    <row r="299" customFormat="false" ht="15" hidden="false" customHeight="false" outlineLevel="0" collapsed="false">
      <c r="A299" s="26" t="n">
        <v>4121000</v>
      </c>
      <c r="B299" s="26" t="s">
        <v>365</v>
      </c>
      <c r="C299" s="26" t="s">
        <v>65</v>
      </c>
      <c r="D299" s="30" t="n">
        <v>6.71</v>
      </c>
      <c r="E299" s="28" t="n">
        <v>0.144314459522695</v>
      </c>
      <c r="F299" s="29" t="n">
        <v>11.79</v>
      </c>
      <c r="G299" s="30" t="n">
        <v>12.077033837293</v>
      </c>
      <c r="H299" s="30" t="n">
        <v>83.8777218478171</v>
      </c>
      <c r="I299" s="30" t="n">
        <v>63.1832797427653</v>
      </c>
      <c r="J299" s="37" t="n">
        <f aca="false">(G299+H299+I299)/3</f>
        <v>53.0460118092918</v>
      </c>
      <c r="K299" s="38" t="n">
        <f aca="false">(J299-MIN(J$6:J$404))/(MAX(J$6:J$404)-MIN(J$6:J$404))*100</f>
        <v>45.1739047483235</v>
      </c>
    </row>
    <row r="300" customFormat="false" ht="15" hidden="false" customHeight="false" outlineLevel="0" collapsed="false">
      <c r="A300" s="26" t="n">
        <v>4121109</v>
      </c>
      <c r="B300" s="26" t="s">
        <v>366</v>
      </c>
      <c r="C300" s="26" t="s">
        <v>65</v>
      </c>
      <c r="D300" s="30" t="n">
        <v>17.54</v>
      </c>
      <c r="E300" s="28" t="n">
        <v>0.127974405118976</v>
      </c>
      <c r="F300" s="29" t="n">
        <v>11</v>
      </c>
      <c r="G300" s="30" t="n">
        <v>31.5694744420446</v>
      </c>
      <c r="H300" s="30" t="n">
        <v>74.3806378911134</v>
      </c>
      <c r="I300" s="30" t="n">
        <v>58.9496248660236</v>
      </c>
      <c r="J300" s="37" t="n">
        <f aca="false">(G300+H300+I300)/3</f>
        <v>54.9665790663939</v>
      </c>
      <c r="K300" s="38" t="n">
        <f aca="false">(J300-MIN(J$6:J$404))/(MAX(J$6:J$404)-MIN(J$6:J$404))*100</f>
        <v>48.7709107644811</v>
      </c>
    </row>
    <row r="301" customFormat="false" ht="15" hidden="false" customHeight="false" outlineLevel="0" collapsed="false">
      <c r="A301" s="26" t="n">
        <v>4121208</v>
      </c>
      <c r="B301" s="26" t="s">
        <v>367</v>
      </c>
      <c r="C301" s="26" t="s">
        <v>65</v>
      </c>
      <c r="D301" s="30" t="n">
        <v>9.39</v>
      </c>
      <c r="E301" s="28" t="n">
        <v>0.129742363300359</v>
      </c>
      <c r="F301" s="29" t="n">
        <v>11.52</v>
      </c>
      <c r="G301" s="30" t="n">
        <v>16.9006479481642</v>
      </c>
      <c r="H301" s="30" t="n">
        <v>75.4082016228907</v>
      </c>
      <c r="I301" s="30" t="n">
        <v>61.7363344051447</v>
      </c>
      <c r="J301" s="37" t="n">
        <f aca="false">(G301+H301+I301)/3</f>
        <v>51.3483946587332</v>
      </c>
      <c r="K301" s="38" t="n">
        <f aca="false">(J301-MIN(J$6:J$404))/(MAX(J$6:J$404)-MIN(J$6:J$404))*100</f>
        <v>41.9944591542621</v>
      </c>
    </row>
    <row r="302" customFormat="false" ht="15" hidden="false" customHeight="false" outlineLevel="0" collapsed="false">
      <c r="A302" s="26" t="n">
        <v>4121257</v>
      </c>
      <c r="B302" s="26" t="s">
        <v>368</v>
      </c>
      <c r="C302" s="26" t="s">
        <v>71</v>
      </c>
      <c r="D302" s="30" t="n">
        <v>16.95</v>
      </c>
      <c r="E302" s="28" t="n">
        <v>0.139777303956408</v>
      </c>
      <c r="F302" s="29" t="n">
        <v>12.79</v>
      </c>
      <c r="G302" s="30" t="n">
        <v>30.5075593952484</v>
      </c>
      <c r="H302" s="30" t="n">
        <v>81.2406591873742</v>
      </c>
      <c r="I302" s="30" t="n">
        <v>68.5423365487674</v>
      </c>
      <c r="J302" s="37" t="n">
        <f aca="false">(G302+H302+I302)/3</f>
        <v>60.0968517104633</v>
      </c>
      <c r="K302" s="38" t="n">
        <f aca="false">(J302-MIN(J$6:J$404))/(MAX(J$6:J$404)-MIN(J$6:J$404))*100</f>
        <v>58.3793332224853</v>
      </c>
    </row>
    <row r="303" customFormat="false" ht="15" hidden="false" customHeight="false" outlineLevel="0" collapsed="false">
      <c r="A303" s="26" t="n">
        <v>4121307</v>
      </c>
      <c r="B303" s="26" t="s">
        <v>369</v>
      </c>
      <c r="C303" s="26" t="s">
        <v>71</v>
      </c>
      <c r="D303" s="30" t="n">
        <v>0</v>
      </c>
      <c r="E303" s="28" t="n">
        <v>0.104214123006834</v>
      </c>
      <c r="F303" s="29" t="n">
        <v>11.39</v>
      </c>
      <c r="G303" s="30" t="n">
        <v>0</v>
      </c>
      <c r="H303" s="30" t="n">
        <v>60.570806633598</v>
      </c>
      <c r="I303" s="30" t="n">
        <v>61.0396570203644</v>
      </c>
      <c r="J303" s="37" t="n">
        <f aca="false">(G303+H303+I303)/3</f>
        <v>40.5368212179875</v>
      </c>
      <c r="K303" s="38" t="n">
        <f aca="false">(J303-MIN(J$6:J$404))/(MAX(J$6:J$404)-MIN(J$6:J$404))*100</f>
        <v>21.7456006117227</v>
      </c>
    </row>
    <row r="304" customFormat="false" ht="15" hidden="false" customHeight="false" outlineLevel="0" collapsed="false">
      <c r="A304" s="26" t="n">
        <v>4121356</v>
      </c>
      <c r="B304" s="26" t="s">
        <v>370</v>
      </c>
      <c r="C304" s="26" t="s">
        <v>71</v>
      </c>
      <c r="D304" s="30" t="n">
        <v>0</v>
      </c>
      <c r="E304" s="28" t="n">
        <v>0.130252100840336</v>
      </c>
      <c r="F304" s="29" t="n">
        <v>8.79</v>
      </c>
      <c r="G304" s="30" t="n">
        <v>0</v>
      </c>
      <c r="H304" s="30" t="n">
        <v>75.7044687033692</v>
      </c>
      <c r="I304" s="30" t="n">
        <v>47.1061093247588</v>
      </c>
      <c r="J304" s="37" t="n">
        <f aca="false">(G304+H304+I304)/3</f>
        <v>40.9368593427094</v>
      </c>
      <c r="K304" s="38" t="n">
        <f aca="false">(J304-MIN(J$6:J$404))/(MAX(J$6:J$404)-MIN(J$6:J$404))*100</f>
        <v>22.494826933267</v>
      </c>
    </row>
    <row r="305" customFormat="false" ht="15" hidden="false" customHeight="false" outlineLevel="0" collapsed="false">
      <c r="A305" s="26" t="n">
        <v>4121406</v>
      </c>
      <c r="B305" s="26" t="s">
        <v>371</v>
      </c>
      <c r="C305" s="26" t="s">
        <v>65</v>
      </c>
      <c r="D305" s="30" t="n">
        <v>4.83</v>
      </c>
      <c r="E305" s="28" t="n">
        <v>0.12578583675378</v>
      </c>
      <c r="F305" s="29" t="n">
        <v>12.47</v>
      </c>
      <c r="G305" s="30" t="n">
        <v>8.69330453563715</v>
      </c>
      <c r="H305" s="30" t="n">
        <v>73.1086092310053</v>
      </c>
      <c r="I305" s="30" t="n">
        <v>66.8274383708467</v>
      </c>
      <c r="J305" s="37" t="n">
        <f aca="false">(G305+H305+I305)/3</f>
        <v>49.5431173791631</v>
      </c>
      <c r="K305" s="38" t="n">
        <f aca="false">(J305-MIN(J$6:J$404))/(MAX(J$6:J$404)-MIN(J$6:J$404))*100</f>
        <v>38.6133782723332</v>
      </c>
    </row>
    <row r="306" customFormat="false" ht="15" hidden="false" customHeight="false" outlineLevel="0" collapsed="false">
      <c r="A306" s="26" t="n">
        <v>4121505</v>
      </c>
      <c r="B306" s="26" t="s">
        <v>372</v>
      </c>
      <c r="C306" s="26" t="s">
        <v>65</v>
      </c>
      <c r="D306" s="30" t="n">
        <v>5.38</v>
      </c>
      <c r="E306" s="28" t="n">
        <v>0.134490836433788</v>
      </c>
      <c r="F306" s="29" t="n">
        <v>11.51</v>
      </c>
      <c r="G306" s="30" t="n">
        <v>9.68322534197264</v>
      </c>
      <c r="H306" s="30" t="n">
        <v>78.1680852132456</v>
      </c>
      <c r="I306" s="30" t="n">
        <v>61.6827438370847</v>
      </c>
      <c r="J306" s="37" t="n">
        <f aca="false">(G306+H306+I306)/3</f>
        <v>49.8446847974343</v>
      </c>
      <c r="K306" s="38" t="n">
        <f aca="false">(J306-MIN(J$6:J$404))/(MAX(J$6:J$404)-MIN(J$6:J$404))*100</f>
        <v>39.1781800587781</v>
      </c>
    </row>
    <row r="307" customFormat="false" ht="15" hidden="false" customHeight="false" outlineLevel="0" collapsed="false">
      <c r="A307" s="26" t="n">
        <v>4121604</v>
      </c>
      <c r="B307" s="26" t="s">
        <v>373</v>
      </c>
      <c r="C307" s="26" t="s">
        <v>65</v>
      </c>
      <c r="D307" s="30" t="n">
        <v>0</v>
      </c>
      <c r="E307" s="28" t="n">
        <v>0.131921110299489</v>
      </c>
      <c r="F307" s="29" t="n">
        <v>12.71</v>
      </c>
      <c r="G307" s="30" t="n">
        <v>0</v>
      </c>
      <c r="H307" s="30" t="n">
        <v>76.6745219581794</v>
      </c>
      <c r="I307" s="30" t="n">
        <v>68.1136120042873</v>
      </c>
      <c r="J307" s="37" t="n">
        <f aca="false">(G307+H307+I307)/3</f>
        <v>48.2627113208222</v>
      </c>
      <c r="K307" s="38" t="n">
        <f aca="false">(J307-MIN(J$6:J$404))/(MAX(J$6:J$404)-MIN(J$6:J$404))*100</f>
        <v>36.2153220324668</v>
      </c>
    </row>
    <row r="308" customFormat="false" ht="15" hidden="false" customHeight="false" outlineLevel="0" collapsed="false">
      <c r="A308" s="26" t="n">
        <v>4121703</v>
      </c>
      <c r="B308" s="26" t="s">
        <v>374</v>
      </c>
      <c r="C308" s="26" t="s">
        <v>86</v>
      </c>
      <c r="D308" s="30" t="n">
        <v>11.53</v>
      </c>
      <c r="E308" s="28" t="n">
        <v>0.14263622675294</v>
      </c>
      <c r="F308" s="29" t="n">
        <v>13.75</v>
      </c>
      <c r="G308" s="30" t="n">
        <v>20.752339812815</v>
      </c>
      <c r="H308" s="30" t="n">
        <v>82.9023078669659</v>
      </c>
      <c r="I308" s="30" t="n">
        <v>73.6870310825295</v>
      </c>
      <c r="J308" s="37" t="n">
        <f aca="false">(G308+H308+I308)/3</f>
        <v>59.1138929207701</v>
      </c>
      <c r="K308" s="38" t="n">
        <f aca="false">(J308-MIN(J$6:J$404))/(MAX(J$6:J$404)-MIN(J$6:J$404))*100</f>
        <v>56.5383621931778</v>
      </c>
    </row>
    <row r="309" customFormat="false" ht="15" hidden="false" customHeight="false" outlineLevel="0" collapsed="false">
      <c r="A309" s="26" t="n">
        <v>4121752</v>
      </c>
      <c r="B309" s="26" t="s">
        <v>375</v>
      </c>
      <c r="C309" s="26" t="s">
        <v>65</v>
      </c>
      <c r="D309" s="30" t="n">
        <v>9.8</v>
      </c>
      <c r="E309" s="28" t="n">
        <v>0.165115214405616</v>
      </c>
      <c r="F309" s="29" t="n">
        <v>14.34</v>
      </c>
      <c r="G309" s="30" t="n">
        <v>17.638588912887</v>
      </c>
      <c r="H309" s="30" t="n">
        <v>95.9674316250957</v>
      </c>
      <c r="I309" s="30" t="n">
        <v>76.8488745980707</v>
      </c>
      <c r="J309" s="37" t="n">
        <f aca="false">(G309+H309+I309)/3</f>
        <v>63.4849650453511</v>
      </c>
      <c r="K309" s="38" t="n">
        <f aca="false">(J309-MIN(J$6:J$404))/(MAX(J$6:J$404)-MIN(J$6:J$404))*100</f>
        <v>64.7248876434247</v>
      </c>
    </row>
    <row r="310" customFormat="false" ht="15" hidden="false" customHeight="false" outlineLevel="0" collapsed="false">
      <c r="A310" s="26" t="n">
        <v>4121802</v>
      </c>
      <c r="B310" s="26" t="s">
        <v>376</v>
      </c>
      <c r="C310" s="26" t="s">
        <v>65</v>
      </c>
      <c r="D310" s="30" t="n">
        <v>12.35</v>
      </c>
      <c r="E310" s="28" t="n">
        <v>0.122047880944678</v>
      </c>
      <c r="F310" s="29" t="n">
        <v>10.27</v>
      </c>
      <c r="G310" s="30" t="n">
        <v>22.2282217422606</v>
      </c>
      <c r="H310" s="30" t="n">
        <v>70.9360534200891</v>
      </c>
      <c r="I310" s="30" t="n">
        <v>55.037513397642</v>
      </c>
      <c r="J310" s="37" t="n">
        <f aca="false">(G310+H310+I310)/3</f>
        <v>49.4005961866639</v>
      </c>
      <c r="K310" s="38" t="n">
        <f aca="false">(J310-MIN(J$6:J$404))/(MAX(J$6:J$404)-MIN(J$6:J$404))*100</f>
        <v>38.3464521415488</v>
      </c>
    </row>
    <row r="311" customFormat="false" ht="15" hidden="false" customHeight="false" outlineLevel="0" collapsed="false">
      <c r="A311" s="26" t="n">
        <v>4121901</v>
      </c>
      <c r="B311" s="26" t="s">
        <v>377</v>
      </c>
      <c r="C311" s="26" t="s">
        <v>65</v>
      </c>
      <c r="D311" s="30" t="n">
        <v>24.24</v>
      </c>
      <c r="E311" s="28" t="n">
        <v>0.132771822358346</v>
      </c>
      <c r="F311" s="29" t="n">
        <v>12.94</v>
      </c>
      <c r="G311" s="30" t="n">
        <v>43.6285097192225</v>
      </c>
      <c r="H311" s="30" t="n">
        <v>77.1689685277154</v>
      </c>
      <c r="I311" s="30" t="n">
        <v>69.3461950696677</v>
      </c>
      <c r="J311" s="37" t="n">
        <f aca="false">(G311+H311+I311)/3</f>
        <v>63.3812244388685</v>
      </c>
      <c r="K311" s="38" t="n">
        <f aca="false">(J311-MIN(J$6:J$404))/(MAX(J$6:J$404)-MIN(J$6:J$404))*100</f>
        <v>64.5305931795063</v>
      </c>
    </row>
    <row r="312" customFormat="false" ht="15" hidden="false" customHeight="false" outlineLevel="0" collapsed="false">
      <c r="A312" s="26" t="n">
        <v>4122008</v>
      </c>
      <c r="B312" s="26" t="s">
        <v>378</v>
      </c>
      <c r="C312" s="26" t="s">
        <v>65</v>
      </c>
      <c r="D312" s="30" t="n">
        <v>30.12</v>
      </c>
      <c r="E312" s="28" t="n">
        <v>0.132406417112299</v>
      </c>
      <c r="F312" s="29" t="n">
        <v>12.05</v>
      </c>
      <c r="G312" s="30" t="n">
        <v>54.2116630669546</v>
      </c>
      <c r="H312" s="30" t="n">
        <v>76.9565895347094</v>
      </c>
      <c r="I312" s="30" t="n">
        <v>64.5766345123258</v>
      </c>
      <c r="J312" s="37" t="n">
        <f aca="false">(G312+H312+I312)/3</f>
        <v>65.2482957046633</v>
      </c>
      <c r="K312" s="38" t="n">
        <f aca="false">(J312-MIN(J$6:J$404))/(MAX(J$6:J$404)-MIN(J$6:J$404))*100</f>
        <v>68.0274072331794</v>
      </c>
    </row>
    <row r="313" customFormat="false" ht="15" hidden="false" customHeight="false" outlineLevel="0" collapsed="false">
      <c r="A313" s="26" t="n">
        <v>4122107</v>
      </c>
      <c r="B313" s="26" t="s">
        <v>379</v>
      </c>
      <c r="C313" s="26" t="s">
        <v>71</v>
      </c>
      <c r="D313" s="30" t="n">
        <v>0</v>
      </c>
      <c r="E313" s="28" t="n">
        <v>0.116359086643729</v>
      </c>
      <c r="F313" s="29" t="n">
        <v>12.51</v>
      </c>
      <c r="G313" s="30" t="n">
        <v>0</v>
      </c>
      <c r="H313" s="30" t="n">
        <v>67.6296411062942</v>
      </c>
      <c r="I313" s="30" t="n">
        <v>67.0418006430868</v>
      </c>
      <c r="J313" s="37" t="n">
        <f aca="false">(G313+H313+I313)/3</f>
        <v>44.890480583127</v>
      </c>
      <c r="K313" s="38" t="n">
        <f aca="false">(J313-MIN(J$6:J$404))/(MAX(J$6:J$404)-MIN(J$6:J$404))*100</f>
        <v>29.8995139260304</v>
      </c>
    </row>
    <row r="314" customFormat="false" ht="15" hidden="false" customHeight="false" outlineLevel="0" collapsed="false">
      <c r="A314" s="26" t="n">
        <v>4122156</v>
      </c>
      <c r="B314" s="26" t="s">
        <v>380</v>
      </c>
      <c r="C314" s="26" t="s">
        <v>65</v>
      </c>
      <c r="D314" s="30" t="n">
        <v>21.19</v>
      </c>
      <c r="E314" s="28" t="n">
        <v>0.154282432335415</v>
      </c>
      <c r="F314" s="29" t="n">
        <v>14.5</v>
      </c>
      <c r="G314" s="30" t="n">
        <v>38.1389488840893</v>
      </c>
      <c r="H314" s="30" t="n">
        <v>89.671256700369</v>
      </c>
      <c r="I314" s="30" t="n">
        <v>77.7063236870311</v>
      </c>
      <c r="J314" s="37" t="n">
        <f aca="false">(G314+H314+I314)/3</f>
        <v>68.5055097571631</v>
      </c>
      <c r="K314" s="38" t="n">
        <f aca="false">(J314-MIN(J$6:J$404))/(MAX(J$6:J$404)-MIN(J$6:J$404))*100</f>
        <v>74.1278020511321</v>
      </c>
    </row>
    <row r="315" customFormat="false" ht="15" hidden="false" customHeight="false" outlineLevel="0" collapsed="false">
      <c r="A315" s="26" t="n">
        <v>4122172</v>
      </c>
      <c r="B315" s="26" t="s">
        <v>381</v>
      </c>
      <c r="C315" s="26" t="s">
        <v>71</v>
      </c>
      <c r="D315" s="30" t="n">
        <v>0</v>
      </c>
      <c r="E315" s="28" t="n">
        <v>0.154149159663866</v>
      </c>
      <c r="F315" s="29" t="n">
        <v>12.08</v>
      </c>
      <c r="G315" s="30" t="n">
        <v>0</v>
      </c>
      <c r="H315" s="30" t="n">
        <v>89.5937966308019</v>
      </c>
      <c r="I315" s="30" t="n">
        <v>64.7374062165059</v>
      </c>
      <c r="J315" s="37" t="n">
        <f aca="false">(G315+H315+I315)/3</f>
        <v>51.4437342824359</v>
      </c>
      <c r="K315" s="38" t="n">
        <f aca="false">(J315-MIN(J$6:J$404))/(MAX(J$6:J$404)-MIN(J$6:J$404))*100</f>
        <v>42.1730195242616</v>
      </c>
    </row>
    <row r="316" customFormat="false" ht="15" hidden="false" customHeight="false" outlineLevel="0" collapsed="false">
      <c r="A316" s="26" t="n">
        <v>4122206</v>
      </c>
      <c r="B316" s="26" t="s">
        <v>382</v>
      </c>
      <c r="C316" s="26" t="s">
        <v>86</v>
      </c>
      <c r="D316" s="30" t="n">
        <v>1.73</v>
      </c>
      <c r="E316" s="28" t="n">
        <v>0.148197454603547</v>
      </c>
      <c r="F316" s="29" t="n">
        <v>13.47</v>
      </c>
      <c r="G316" s="30" t="n">
        <v>3.11375089992801</v>
      </c>
      <c r="H316" s="30" t="n">
        <v>86.1345766522856</v>
      </c>
      <c r="I316" s="30" t="n">
        <v>72.1864951768489</v>
      </c>
      <c r="J316" s="37" t="n">
        <f aca="false">(G316+H316+I316)/3</f>
        <v>53.8116075763542</v>
      </c>
      <c r="K316" s="38" t="n">
        <f aca="false">(J316-MIN(J$6:J$404))/(MAX(J$6:J$404)-MIN(J$6:J$404))*100</f>
        <v>46.6077793340141</v>
      </c>
    </row>
    <row r="317" customFormat="false" ht="15" hidden="false" customHeight="false" outlineLevel="0" collapsed="false">
      <c r="A317" s="26" t="n">
        <v>4122305</v>
      </c>
      <c r="B317" s="26" t="s">
        <v>383</v>
      </c>
      <c r="C317" s="26" t="s">
        <v>86</v>
      </c>
      <c r="D317" s="30" t="n">
        <v>5.95</v>
      </c>
      <c r="E317" s="28" t="n">
        <v>0.131273145192185</v>
      </c>
      <c r="F317" s="29" t="n">
        <v>10.5</v>
      </c>
      <c r="G317" s="30" t="n">
        <v>10.7091432685385</v>
      </c>
      <c r="H317" s="30" t="n">
        <v>76.2979149486166</v>
      </c>
      <c r="I317" s="30" t="n">
        <v>56.2700964630225</v>
      </c>
      <c r="J317" s="37" t="n">
        <f aca="false">(G317+H317+I317)/3</f>
        <v>47.7590515600592</v>
      </c>
      <c r="K317" s="38" t="n">
        <f aca="false">(J317-MIN(J$6:J$404))/(MAX(J$6:J$404)-MIN(J$6:J$404))*100</f>
        <v>35.2720240652325</v>
      </c>
    </row>
    <row r="318" customFormat="false" ht="15" hidden="false" customHeight="false" outlineLevel="0" collapsed="false">
      <c r="A318" s="26" t="n">
        <v>4122404</v>
      </c>
      <c r="B318" s="26" t="s">
        <v>384</v>
      </c>
      <c r="C318" s="26" t="s">
        <v>129</v>
      </c>
      <c r="D318" s="30" t="n">
        <v>12.23</v>
      </c>
      <c r="E318" s="28" t="n">
        <v>0.132663597041998</v>
      </c>
      <c r="F318" s="29" t="n">
        <v>13.14</v>
      </c>
      <c r="G318" s="30" t="n">
        <v>22.0122390208783</v>
      </c>
      <c r="H318" s="30" t="n">
        <v>77.1060663555314</v>
      </c>
      <c r="I318" s="30" t="n">
        <v>70.4180064308682</v>
      </c>
      <c r="J318" s="37" t="n">
        <f aca="false">(G318+H318+I318)/3</f>
        <v>56.5121039357593</v>
      </c>
      <c r="K318" s="38" t="n">
        <f aca="false">(J318-MIN(J$6:J$404))/(MAX(J$6:J$404)-MIN(J$6:J$404))*100</f>
        <v>51.6655046573381</v>
      </c>
    </row>
    <row r="319" customFormat="false" ht="15" hidden="false" customHeight="false" outlineLevel="0" collapsed="false">
      <c r="A319" s="26" t="n">
        <v>4122503</v>
      </c>
      <c r="B319" s="26" t="s">
        <v>385</v>
      </c>
      <c r="C319" s="26" t="s">
        <v>65</v>
      </c>
      <c r="D319" s="30" t="n">
        <v>6.06</v>
      </c>
      <c r="E319" s="28" t="n">
        <v>0.126655408408142</v>
      </c>
      <c r="F319" s="29" t="n">
        <v>14.13</v>
      </c>
      <c r="G319" s="30" t="n">
        <v>10.9071274298056</v>
      </c>
      <c r="H319" s="30" t="n">
        <v>73.6140172794609</v>
      </c>
      <c r="I319" s="30" t="n">
        <v>75.7234726688103</v>
      </c>
      <c r="J319" s="37" t="n">
        <f aca="false">(G319+H319+I319)/3</f>
        <v>53.4148724593589</v>
      </c>
      <c r="K319" s="38" t="n">
        <f aca="false">(J319-MIN(J$6:J$404))/(MAX(J$6:J$404)-MIN(J$6:J$404))*100</f>
        <v>45.8647391736783</v>
      </c>
    </row>
    <row r="320" customFormat="false" ht="15" hidden="false" customHeight="false" outlineLevel="0" collapsed="false">
      <c r="A320" s="26" t="n">
        <v>4122602</v>
      </c>
      <c r="B320" s="26" t="s">
        <v>386</v>
      </c>
      <c r="C320" s="26" t="s">
        <v>65</v>
      </c>
      <c r="D320" s="30" t="n">
        <v>8.7</v>
      </c>
      <c r="E320" s="28" t="n">
        <v>0.130152797625591</v>
      </c>
      <c r="F320" s="29" t="n">
        <v>14.4</v>
      </c>
      <c r="G320" s="30" t="n">
        <v>15.658747300216</v>
      </c>
      <c r="H320" s="30" t="n">
        <v>75.6467521900514</v>
      </c>
      <c r="I320" s="30" t="n">
        <v>77.1704180064309</v>
      </c>
      <c r="J320" s="37" t="n">
        <f aca="false">(G320+H320+I320)/3</f>
        <v>56.1586391655661</v>
      </c>
      <c r="K320" s="38" t="n">
        <f aca="false">(J320-MIN(J$6:J$404))/(MAX(J$6:J$404)-MIN(J$6:J$404))*100</f>
        <v>51.0035049798037</v>
      </c>
    </row>
    <row r="321" customFormat="false" ht="15" hidden="false" customHeight="false" outlineLevel="0" collapsed="false">
      <c r="A321" s="26" t="n">
        <v>4122651</v>
      </c>
      <c r="B321" s="26" t="s">
        <v>387</v>
      </c>
      <c r="C321" s="26" t="s">
        <v>65</v>
      </c>
      <c r="D321" s="30" t="n">
        <v>0</v>
      </c>
      <c r="E321" s="28" t="n">
        <v>0.128610855565777</v>
      </c>
      <c r="F321" s="29" t="n">
        <v>10.67</v>
      </c>
      <c r="G321" s="30" t="n">
        <v>0</v>
      </c>
      <c r="H321" s="30" t="n">
        <v>74.7505524078102</v>
      </c>
      <c r="I321" s="30" t="n">
        <v>57.1811361200429</v>
      </c>
      <c r="J321" s="37" t="n">
        <f aca="false">(G321+H321+I321)/3</f>
        <v>43.9772295092844</v>
      </c>
      <c r="K321" s="38" t="n">
        <f aca="false">(J321-MIN(J$6:J$404))/(MAX(J$6:J$404)-MIN(J$6:J$404))*100</f>
        <v>28.1890975921442</v>
      </c>
    </row>
    <row r="322" customFormat="false" ht="15" hidden="false" customHeight="false" outlineLevel="0" collapsed="false">
      <c r="A322" s="26" t="n">
        <v>4122701</v>
      </c>
      <c r="B322" s="26" t="s">
        <v>388</v>
      </c>
      <c r="C322" s="26" t="s">
        <v>65</v>
      </c>
      <c r="D322" s="30" t="n">
        <v>0</v>
      </c>
      <c r="E322" s="28" t="n">
        <v>0.136590342326003</v>
      </c>
      <c r="F322" s="29" t="n">
        <v>12.7</v>
      </c>
      <c r="G322" s="30" t="n">
        <v>0</v>
      </c>
      <c r="H322" s="30" t="n">
        <v>79.3883494322817</v>
      </c>
      <c r="I322" s="30" t="n">
        <v>68.0600214362272</v>
      </c>
      <c r="J322" s="37" t="n">
        <f aca="false">(G322+H322+I322)/3</f>
        <v>49.1494569561696</v>
      </c>
      <c r="K322" s="38" t="n">
        <f aca="false">(J322-MIN(J$6:J$404))/(MAX(J$6:J$404)-MIN(J$6:J$404))*100</f>
        <v>37.8760966673312</v>
      </c>
    </row>
    <row r="323" customFormat="false" ht="15" hidden="false" customHeight="false" outlineLevel="0" collapsed="false">
      <c r="A323" s="26" t="n">
        <v>4122800</v>
      </c>
      <c r="B323" s="26" t="s">
        <v>389</v>
      </c>
      <c r="C323" s="26" t="s">
        <v>71</v>
      </c>
      <c r="D323" s="30" t="n">
        <v>0</v>
      </c>
      <c r="E323" s="28" t="n">
        <v>0.123926380368098</v>
      </c>
      <c r="F323" s="29" t="n">
        <v>13.01</v>
      </c>
      <c r="G323" s="30" t="n">
        <v>0</v>
      </c>
      <c r="H323" s="30" t="n">
        <v>72.0278653746918</v>
      </c>
      <c r="I323" s="30" t="n">
        <v>69.7213290460879</v>
      </c>
      <c r="J323" s="37" t="n">
        <f aca="false">(G323+H323+I323)/3</f>
        <v>47.2497314735932</v>
      </c>
      <c r="K323" s="38" t="n">
        <f aca="false">(J323-MIN(J$6:J$404))/(MAX(J$6:J$404)-MIN(J$6:J$404))*100</f>
        <v>34.3181249459002</v>
      </c>
    </row>
    <row r="324" customFormat="false" ht="15" hidden="false" customHeight="false" outlineLevel="0" collapsed="false">
      <c r="A324" s="26" t="n">
        <v>4122909</v>
      </c>
      <c r="B324" s="26" t="s">
        <v>390</v>
      </c>
      <c r="C324" s="26" t="s">
        <v>65</v>
      </c>
      <c r="D324" s="30" t="n">
        <v>0</v>
      </c>
      <c r="E324" s="28" t="n">
        <v>0.121918335901387</v>
      </c>
      <c r="F324" s="29" t="n">
        <v>9.44</v>
      </c>
      <c r="G324" s="30" t="n">
        <v>0</v>
      </c>
      <c r="H324" s="30" t="n">
        <v>70.860759903806</v>
      </c>
      <c r="I324" s="30" t="n">
        <v>50.5894962486602</v>
      </c>
      <c r="J324" s="37" t="n">
        <f aca="false">(G324+H324+I324)/3</f>
        <v>40.4834187174887</v>
      </c>
      <c r="K324" s="38" t="n">
        <f aca="false">(J324-MIN(J$6:J$404))/(MAX(J$6:J$404)-MIN(J$6:J$404))*100</f>
        <v>21.6455837469857</v>
      </c>
    </row>
    <row r="325" customFormat="false" ht="15" hidden="false" customHeight="false" outlineLevel="0" collapsed="false">
      <c r="A325" s="26" t="n">
        <v>4123006</v>
      </c>
      <c r="B325" s="26" t="s">
        <v>391</v>
      </c>
      <c r="C325" s="26" t="s">
        <v>65</v>
      </c>
      <c r="D325" s="30" t="n">
        <v>5.32</v>
      </c>
      <c r="E325" s="28" t="n">
        <v>0.129737896603823</v>
      </c>
      <c r="F325" s="29" t="n">
        <v>11.23</v>
      </c>
      <c r="G325" s="30" t="n">
        <v>9.5752339812815</v>
      </c>
      <c r="H325" s="30" t="n">
        <v>75.4056055120726</v>
      </c>
      <c r="I325" s="30" t="n">
        <v>60.1822079314041</v>
      </c>
      <c r="J325" s="37" t="n">
        <f aca="false">(G325+H325+I325)/3</f>
        <v>48.3876824749194</v>
      </c>
      <c r="K325" s="38" t="n">
        <f aca="false">(J325-MIN(J$6:J$404))/(MAX(J$6:J$404)-MIN(J$6:J$404))*100</f>
        <v>36.4493789192909</v>
      </c>
    </row>
    <row r="326" customFormat="false" ht="15" hidden="false" customHeight="false" outlineLevel="0" collapsed="false">
      <c r="A326" s="26" t="n">
        <v>4123105</v>
      </c>
      <c r="B326" s="26" t="s">
        <v>392</v>
      </c>
      <c r="C326" s="26" t="s">
        <v>71</v>
      </c>
      <c r="D326" s="30" t="n">
        <v>26.32</v>
      </c>
      <c r="E326" s="28" t="n">
        <v>0.13347083087802</v>
      </c>
      <c r="F326" s="29" t="n">
        <v>11.49</v>
      </c>
      <c r="G326" s="30" t="n">
        <v>47.3722102231821</v>
      </c>
      <c r="H326" s="30" t="n">
        <v>77.5752427318137</v>
      </c>
      <c r="I326" s="30" t="n">
        <v>61.5755627009646</v>
      </c>
      <c r="J326" s="37" t="n">
        <f aca="false">(G326+H326+I326)/3</f>
        <v>62.1743385519868</v>
      </c>
      <c r="K326" s="38" t="n">
        <f aca="false">(J326-MIN(J$6:J$404))/(MAX(J$6:J$404)-MIN(J$6:J$404))*100</f>
        <v>62.2702319347355</v>
      </c>
    </row>
    <row r="327" customFormat="false" ht="15" hidden="false" customHeight="false" outlineLevel="0" collapsed="false">
      <c r="A327" s="26" t="n">
        <v>4123204</v>
      </c>
      <c r="B327" s="26" t="s">
        <v>393</v>
      </c>
      <c r="C327" s="26" t="s">
        <v>71</v>
      </c>
      <c r="D327" s="30" t="n">
        <v>29.41</v>
      </c>
      <c r="E327" s="28" t="n">
        <v>0.126002971768202</v>
      </c>
      <c r="F327" s="29" t="n">
        <v>15.75</v>
      </c>
      <c r="G327" s="30" t="n">
        <v>52.9337652987761</v>
      </c>
      <c r="H327" s="30" t="n">
        <v>73.2348113482662</v>
      </c>
      <c r="I327" s="30" t="n">
        <v>84.4051446945338</v>
      </c>
      <c r="J327" s="37" t="n">
        <f aca="false">(G327+H327+I327)/3</f>
        <v>70.191240447192</v>
      </c>
      <c r="K327" s="38" t="n">
        <f aca="false">(J327-MIN(J$6:J$404))/(MAX(J$6:J$404)-MIN(J$6:J$404))*100</f>
        <v>77.2849856442779</v>
      </c>
    </row>
    <row r="328" customFormat="false" ht="15" hidden="false" customHeight="false" outlineLevel="0" collapsed="false">
      <c r="A328" s="26" t="n">
        <v>4123303</v>
      </c>
      <c r="B328" s="26" t="s">
        <v>394</v>
      </c>
      <c r="C328" s="26" t="s">
        <v>65</v>
      </c>
      <c r="D328" s="30" t="n">
        <v>10.42</v>
      </c>
      <c r="E328" s="28" t="n">
        <v>0.128874956461163</v>
      </c>
      <c r="F328" s="29" t="n">
        <v>11.49</v>
      </c>
      <c r="G328" s="30" t="n">
        <v>18.7544996400288</v>
      </c>
      <c r="H328" s="30" t="n">
        <v>74.9040517973808</v>
      </c>
      <c r="I328" s="30" t="n">
        <v>61.5755627009646</v>
      </c>
      <c r="J328" s="37" t="n">
        <f aca="false">(G328+H328+I328)/3</f>
        <v>51.7447047127914</v>
      </c>
      <c r="K328" s="38" t="n">
        <f aca="false">(J328-MIN(J$6:J$404))/(MAX(J$6:J$404)-MIN(J$6:J$404))*100</f>
        <v>42.7367032196234</v>
      </c>
    </row>
    <row r="329" customFormat="false" ht="15" hidden="false" customHeight="false" outlineLevel="0" collapsed="false">
      <c r="A329" s="26" t="n">
        <v>4123402</v>
      </c>
      <c r="B329" s="26" t="s">
        <v>395</v>
      </c>
      <c r="C329" s="26" t="s">
        <v>65</v>
      </c>
      <c r="D329" s="30" t="n">
        <v>16.13</v>
      </c>
      <c r="E329" s="28" t="n">
        <v>0.120759360168747</v>
      </c>
      <c r="F329" s="29" t="n">
        <v>9.49</v>
      </c>
      <c r="G329" s="30" t="n">
        <v>29.0316774658027</v>
      </c>
      <c r="H329" s="30" t="n">
        <v>70.1871458775174</v>
      </c>
      <c r="I329" s="30" t="n">
        <v>50.8574490889604</v>
      </c>
      <c r="J329" s="37" t="n">
        <f aca="false">(G329+H329+I329)/3</f>
        <v>50.0254241440935</v>
      </c>
      <c r="K329" s="38" t="n">
        <f aca="false">(J329-MIN(J$6:J$404))/(MAX(J$6:J$404)-MIN(J$6:J$404))*100</f>
        <v>39.5166844849497</v>
      </c>
    </row>
    <row r="330" customFormat="false" ht="15" hidden="false" customHeight="false" outlineLevel="0" collapsed="false">
      <c r="A330" s="26" t="n">
        <v>4123501</v>
      </c>
      <c r="B330" s="26" t="s">
        <v>396</v>
      </c>
      <c r="C330" s="26" t="s">
        <v>86</v>
      </c>
      <c r="D330" s="30" t="n">
        <v>2.92</v>
      </c>
      <c r="E330" s="28" t="n">
        <v>0.129570061195669</v>
      </c>
      <c r="F330" s="29" t="n">
        <v>13.93</v>
      </c>
      <c r="G330" s="30" t="n">
        <v>5.25557955363571</v>
      </c>
      <c r="H330" s="30" t="n">
        <v>75.3080570631651</v>
      </c>
      <c r="I330" s="30" t="n">
        <v>74.6516613076099</v>
      </c>
      <c r="J330" s="37" t="n">
        <f aca="false">(G330+H330+I330)/3</f>
        <v>51.7384326414702</v>
      </c>
      <c r="K330" s="38" t="n">
        <f aca="false">(J330-MIN(J$6:J$404))/(MAX(J$6:J$404)-MIN(J$6:J$404))*100</f>
        <v>42.7249563369289</v>
      </c>
    </row>
    <row r="331" customFormat="false" ht="15" hidden="false" customHeight="false" outlineLevel="0" collapsed="false">
      <c r="A331" s="26" t="n">
        <v>4123600</v>
      </c>
      <c r="B331" s="26" t="s">
        <v>397</v>
      </c>
      <c r="C331" s="26" t="s">
        <v>71</v>
      </c>
      <c r="D331" s="30" t="n">
        <v>0</v>
      </c>
      <c r="E331" s="28" t="n">
        <v>0.113844393592677</v>
      </c>
      <c r="F331" s="29" t="n">
        <v>14.3</v>
      </c>
      <c r="G331" s="30" t="n">
        <v>0</v>
      </c>
      <c r="H331" s="30" t="n">
        <v>66.1680639021365</v>
      </c>
      <c r="I331" s="30" t="n">
        <v>76.6345123258307</v>
      </c>
      <c r="J331" s="37" t="n">
        <f aca="false">(G331+H331+I331)/3</f>
        <v>47.6008587426557</v>
      </c>
      <c r="K331" s="38" t="n">
        <f aca="false">(J331-MIN(J$6:J$404))/(MAX(J$6:J$404)-MIN(J$6:J$404))*100</f>
        <v>34.9757467472635</v>
      </c>
    </row>
    <row r="332" customFormat="false" ht="15" hidden="false" customHeight="false" outlineLevel="0" collapsed="false">
      <c r="A332" s="26" t="n">
        <v>4123709</v>
      </c>
      <c r="B332" s="26" t="s">
        <v>398</v>
      </c>
      <c r="C332" s="26" t="s">
        <v>65</v>
      </c>
      <c r="D332" s="30" t="n">
        <v>39.6</v>
      </c>
      <c r="E332" s="28" t="n">
        <v>0.122082585278276</v>
      </c>
      <c r="F332" s="29" t="n">
        <v>10.55</v>
      </c>
      <c r="G332" s="30" t="n">
        <v>71.2742980561555</v>
      </c>
      <c r="H332" s="30" t="n">
        <v>70.9562240977198</v>
      </c>
      <c r="I332" s="30" t="n">
        <v>56.5380493033226</v>
      </c>
      <c r="J332" s="37" t="n">
        <f aca="false">(G332+H332+I332)/3</f>
        <v>66.2561904857326</v>
      </c>
      <c r="K332" s="38" t="n">
        <f aca="false">(J332-MIN(J$6:J$404))/(MAX(J$6:J$404)-MIN(J$6:J$404))*100</f>
        <v>69.9150805639383</v>
      </c>
    </row>
    <row r="333" customFormat="false" ht="15" hidden="false" customHeight="false" outlineLevel="0" collapsed="false">
      <c r="A333" s="26" t="n">
        <v>4123808</v>
      </c>
      <c r="B333" s="26" t="s">
        <v>399</v>
      </c>
      <c r="C333" s="26" t="s">
        <v>65</v>
      </c>
      <c r="D333" s="30" t="n">
        <v>6.1</v>
      </c>
      <c r="E333" s="28" t="n">
        <v>0.12771855010661</v>
      </c>
      <c r="F333" s="29" t="n">
        <v>10.09</v>
      </c>
      <c r="G333" s="30" t="n">
        <v>10.9791216702664</v>
      </c>
      <c r="H333" s="30" t="n">
        <v>74.2319311320567</v>
      </c>
      <c r="I333" s="30" t="n">
        <v>54.0728831725616</v>
      </c>
      <c r="J333" s="37" t="n">
        <f aca="false">(G333+H333+I333)/3</f>
        <v>46.4279786582949</v>
      </c>
      <c r="K333" s="38" t="n">
        <f aca="false">(J333-MIN(J$6:J$404))/(MAX(J$6:J$404)-MIN(J$6:J$404))*100</f>
        <v>32.7790745380105</v>
      </c>
    </row>
    <row r="334" customFormat="false" ht="15" hidden="false" customHeight="false" outlineLevel="0" collapsed="false">
      <c r="A334" s="26" t="n">
        <v>4123824</v>
      </c>
      <c r="B334" s="26" t="s">
        <v>400</v>
      </c>
      <c r="C334" s="26" t="s">
        <v>71</v>
      </c>
      <c r="D334" s="30" t="n">
        <v>0</v>
      </c>
      <c r="E334" s="28" t="n">
        <v>0.130351262349067</v>
      </c>
      <c r="F334" s="29" t="n">
        <v>15.64</v>
      </c>
      <c r="G334" s="30" t="n">
        <v>0</v>
      </c>
      <c r="H334" s="30" t="n">
        <v>75.7621028550325</v>
      </c>
      <c r="I334" s="30" t="n">
        <v>83.8156484458735</v>
      </c>
      <c r="J334" s="37" t="n">
        <f aca="false">(G334+H334+I334)/3</f>
        <v>53.1925837669687</v>
      </c>
      <c r="K334" s="38" t="n">
        <f aca="false">(J334-MIN(J$6:J$404))/(MAX(J$6:J$404)-MIN(J$6:J$404))*100</f>
        <v>45.4484175057467</v>
      </c>
    </row>
    <row r="335" customFormat="false" ht="15" hidden="false" customHeight="false" outlineLevel="0" collapsed="false">
      <c r="A335" s="26" t="n">
        <v>4123857</v>
      </c>
      <c r="B335" s="26" t="s">
        <v>401</v>
      </c>
      <c r="C335" s="26" t="s">
        <v>65</v>
      </c>
      <c r="D335" s="30" t="n">
        <v>9.43</v>
      </c>
      <c r="E335" s="28" t="n">
        <v>0.141836118381317</v>
      </c>
      <c r="F335" s="29" t="n">
        <v>13.89</v>
      </c>
      <c r="G335" s="30" t="n">
        <v>16.9726421886249</v>
      </c>
      <c r="H335" s="30" t="n">
        <v>82.437272917141</v>
      </c>
      <c r="I335" s="30" t="n">
        <v>74.4372990353698</v>
      </c>
      <c r="J335" s="37" t="n">
        <f aca="false">(G335+H335+I335)/3</f>
        <v>57.9490713803786</v>
      </c>
      <c r="K335" s="38" t="n">
        <f aca="false">(J335-MIN(J$6:J$404))/(MAX(J$6:J$404)-MIN(J$6:J$404))*100</f>
        <v>54.3567827285458</v>
      </c>
    </row>
    <row r="336" customFormat="false" ht="15" hidden="false" customHeight="false" outlineLevel="0" collapsed="false">
      <c r="A336" s="26" t="n">
        <v>4123907</v>
      </c>
      <c r="B336" s="26" t="s">
        <v>402</v>
      </c>
      <c r="C336" s="26" t="s">
        <v>65</v>
      </c>
      <c r="D336" s="30" t="n">
        <v>22.9</v>
      </c>
      <c r="E336" s="28" t="n">
        <v>0.115940719320441</v>
      </c>
      <c r="F336" s="29" t="n">
        <v>12.56</v>
      </c>
      <c r="G336" s="30" t="n">
        <v>41.2167026637869</v>
      </c>
      <c r="H336" s="30" t="n">
        <v>67.3864797620395</v>
      </c>
      <c r="I336" s="30" t="n">
        <v>67.3097534833869</v>
      </c>
      <c r="J336" s="37" t="n">
        <f aca="false">(G336+H336+I336)/3</f>
        <v>58.6376453030711</v>
      </c>
      <c r="K336" s="38" t="n">
        <f aca="false">(J336-MIN(J$6:J$404))/(MAX(J$6:J$404)-MIN(J$6:J$404))*100</f>
        <v>55.646404080433</v>
      </c>
    </row>
    <row r="337" customFormat="false" ht="15" hidden="false" customHeight="false" outlineLevel="0" collapsed="false">
      <c r="A337" s="26" t="n">
        <v>4123956</v>
      </c>
      <c r="B337" s="26" t="s">
        <v>403</v>
      </c>
      <c r="C337" s="26" t="s">
        <v>71</v>
      </c>
      <c r="D337" s="30" t="n">
        <v>25.64</v>
      </c>
      <c r="E337" s="28" t="n">
        <v>0.146901072705602</v>
      </c>
      <c r="F337" s="29" t="n">
        <v>10.43</v>
      </c>
      <c r="G337" s="30" t="n">
        <v>46.1483081353492</v>
      </c>
      <c r="H337" s="30" t="n">
        <v>85.3811001080503</v>
      </c>
      <c r="I337" s="30" t="n">
        <v>55.8949624866024</v>
      </c>
      <c r="J337" s="37" t="n">
        <f aca="false">(G337+H337+I337)/3</f>
        <v>62.474790243334</v>
      </c>
      <c r="K337" s="38" t="n">
        <f aca="false">(J337-MIN(J$6:J$404))/(MAX(J$6:J$404)-MIN(J$6:J$404))*100</f>
        <v>62.8329440903989</v>
      </c>
    </row>
    <row r="338" customFormat="false" ht="15" hidden="false" customHeight="false" outlineLevel="0" collapsed="false">
      <c r="A338" s="26" t="n">
        <v>4124020</v>
      </c>
      <c r="B338" s="26" t="s">
        <v>404</v>
      </c>
      <c r="C338" s="26" t="s">
        <v>65</v>
      </c>
      <c r="D338" s="30" t="n">
        <v>0</v>
      </c>
      <c r="E338" s="28" t="n">
        <v>0.14763928950964</v>
      </c>
      <c r="F338" s="29" t="n">
        <v>15.03</v>
      </c>
      <c r="G338" s="30" t="n">
        <v>0</v>
      </c>
      <c r="H338" s="30" t="n">
        <v>85.8101627533133</v>
      </c>
      <c r="I338" s="30" t="n">
        <v>80.5466237942122</v>
      </c>
      <c r="J338" s="37" t="n">
        <f aca="false">(G338+H338+I338)/3</f>
        <v>55.4522621825085</v>
      </c>
      <c r="K338" s="38" t="n">
        <f aca="false">(J338-MIN(J$6:J$404))/(MAX(J$6:J$404)-MIN(J$6:J$404))*100</f>
        <v>49.6805405023361</v>
      </c>
    </row>
    <row r="339" customFormat="false" ht="15" hidden="false" customHeight="false" outlineLevel="0" collapsed="false">
      <c r="A339" s="26" t="n">
        <v>4124053</v>
      </c>
      <c r="B339" s="26" t="s">
        <v>405</v>
      </c>
      <c r="C339" s="26" t="s">
        <v>86</v>
      </c>
      <c r="D339" s="30" t="n">
        <v>25.08</v>
      </c>
      <c r="E339" s="28" t="n">
        <v>0.133088780809496</v>
      </c>
      <c r="F339" s="29" t="n">
        <v>11.42</v>
      </c>
      <c r="G339" s="30" t="n">
        <v>45.1403887688985</v>
      </c>
      <c r="H339" s="30" t="n">
        <v>77.3531895190895</v>
      </c>
      <c r="I339" s="30" t="n">
        <v>61.2004287245445</v>
      </c>
      <c r="J339" s="37" t="n">
        <f aca="false">(G339+H339+I339)/3</f>
        <v>61.2313356708442</v>
      </c>
      <c r="K339" s="38" t="n">
        <f aca="false">(J339-MIN(J$6:J$404))/(MAX(J$6:J$404)-MIN(J$6:J$404))*100</f>
        <v>60.5040938189362</v>
      </c>
    </row>
    <row r="340" customFormat="false" ht="15" hidden="false" customHeight="false" outlineLevel="0" collapsed="false">
      <c r="A340" s="26" t="n">
        <v>4124004</v>
      </c>
      <c r="B340" s="26" t="s">
        <v>406</v>
      </c>
      <c r="C340" s="26" t="s">
        <v>65</v>
      </c>
      <c r="D340" s="30" t="n">
        <v>0</v>
      </c>
      <c r="E340" s="28" t="n">
        <v>0.124229234675372</v>
      </c>
      <c r="F340" s="29" t="n">
        <v>8.52</v>
      </c>
      <c r="G340" s="30" t="n">
        <v>0</v>
      </c>
      <c r="H340" s="30" t="n">
        <v>72.2038888267418</v>
      </c>
      <c r="I340" s="30" t="n">
        <v>45.6591639871383</v>
      </c>
      <c r="J340" s="37" t="n">
        <f aca="false">(G340+H340+I340)/3</f>
        <v>39.2876842712934</v>
      </c>
      <c r="K340" s="38" t="n">
        <f aca="false">(J340-MIN(J$6:J$404))/(MAX(J$6:J$404)-MIN(J$6:J$404))*100</f>
        <v>19.4061078938039</v>
      </c>
    </row>
    <row r="341" customFormat="false" ht="15" hidden="false" customHeight="false" outlineLevel="0" collapsed="false">
      <c r="A341" s="26" t="n">
        <v>4124103</v>
      </c>
      <c r="B341" s="26" t="s">
        <v>407</v>
      </c>
      <c r="C341" s="26" t="s">
        <v>86</v>
      </c>
      <c r="D341" s="30" t="n">
        <v>6.72</v>
      </c>
      <c r="E341" s="28" t="n">
        <v>0.131871351619374</v>
      </c>
      <c r="F341" s="29" t="n">
        <v>12.87</v>
      </c>
      <c r="G341" s="30" t="n">
        <v>12.0950323974082</v>
      </c>
      <c r="H341" s="30" t="n">
        <v>76.6456014692417</v>
      </c>
      <c r="I341" s="30" t="n">
        <v>68.9710610932476</v>
      </c>
      <c r="J341" s="37" t="n">
        <f aca="false">(G341+H341+I341)/3</f>
        <v>52.5705649866325</v>
      </c>
      <c r="K341" s="38" t="n">
        <f aca="false">(J341-MIN(J$6:J$404))/(MAX(J$6:J$404)-MIN(J$6:J$404))*100</f>
        <v>44.283446434435</v>
      </c>
    </row>
    <row r="342" customFormat="false" ht="15" hidden="false" customHeight="false" outlineLevel="0" collapsed="false">
      <c r="A342" s="26" t="n">
        <v>4124202</v>
      </c>
      <c r="B342" s="26" t="s">
        <v>408</v>
      </c>
      <c r="C342" s="26" t="s">
        <v>71</v>
      </c>
      <c r="D342" s="30" t="n">
        <v>0</v>
      </c>
      <c r="E342" s="28" t="n">
        <v>0.115523465703971</v>
      </c>
      <c r="F342" s="29" t="n">
        <v>11.23</v>
      </c>
      <c r="G342" s="30" t="n">
        <v>0</v>
      </c>
      <c r="H342" s="30" t="n">
        <v>67.1439657208408</v>
      </c>
      <c r="I342" s="30" t="n">
        <v>60.1822079314041</v>
      </c>
      <c r="J342" s="37" t="n">
        <f aca="false">(G342+H342+I342)/3</f>
        <v>42.4420578840816</v>
      </c>
      <c r="K342" s="38" t="n">
        <f aca="false">(J342-MIN(J$6:J$404))/(MAX(J$6:J$404)-MIN(J$6:J$404))*100</f>
        <v>25.3138941587477</v>
      </c>
    </row>
    <row r="343" customFormat="false" ht="15" hidden="false" customHeight="false" outlineLevel="0" collapsed="false">
      <c r="A343" s="26" t="n">
        <v>4124301</v>
      </c>
      <c r="B343" s="26" t="s">
        <v>409</v>
      </c>
      <c r="C343" s="26" t="s">
        <v>71</v>
      </c>
      <c r="D343" s="30" t="n">
        <v>0</v>
      </c>
      <c r="E343" s="28" t="n">
        <v>0.118588235294118</v>
      </c>
      <c r="F343" s="29" t="n">
        <v>12.24</v>
      </c>
      <c r="G343" s="30" t="n">
        <v>0</v>
      </c>
      <c r="H343" s="30" t="n">
        <v>68.9252556349643</v>
      </c>
      <c r="I343" s="30" t="n">
        <v>65.5948553054662</v>
      </c>
      <c r="J343" s="37" t="n">
        <f aca="false">(G343+H343+I343)/3</f>
        <v>44.8400369801435</v>
      </c>
      <c r="K343" s="38" t="n">
        <f aca="false">(J343-MIN(J$6:J$404))/(MAX(J$6:J$404)-MIN(J$6:J$404))*100</f>
        <v>29.8050387428587</v>
      </c>
    </row>
    <row r="344" customFormat="false" ht="15" hidden="false" customHeight="false" outlineLevel="0" collapsed="false">
      <c r="A344" s="26" t="n">
        <v>4124400</v>
      </c>
      <c r="B344" s="26" t="s">
        <v>410</v>
      </c>
      <c r="C344" s="26" t="s">
        <v>86</v>
      </c>
      <c r="D344" s="30" t="n">
        <v>3.88</v>
      </c>
      <c r="E344" s="28" t="n">
        <v>0.135977696109492</v>
      </c>
      <c r="F344" s="29" t="n">
        <v>11.28</v>
      </c>
      <c r="G344" s="30" t="n">
        <v>6.98344132469403</v>
      </c>
      <c r="H344" s="30" t="n">
        <v>79.0322702901803</v>
      </c>
      <c r="I344" s="30" t="n">
        <v>60.4501607717042</v>
      </c>
      <c r="J344" s="37" t="n">
        <f aca="false">(G344+H344+I344)/3</f>
        <v>48.8219574621929</v>
      </c>
      <c r="K344" s="38" t="n">
        <f aca="false">(J344-MIN(J$6:J$404))/(MAX(J$6:J$404)-MIN(J$6:J$404))*100</f>
        <v>37.262727025749</v>
      </c>
    </row>
    <row r="345" customFormat="false" ht="15" hidden="false" customHeight="false" outlineLevel="0" collapsed="false">
      <c r="A345" s="26" t="n">
        <v>4124509</v>
      </c>
      <c r="B345" s="26" t="s">
        <v>411</v>
      </c>
      <c r="C345" s="26" t="s">
        <v>65</v>
      </c>
      <c r="D345" s="30" t="n">
        <v>11.11</v>
      </c>
      <c r="E345" s="28" t="n">
        <v>0.136709270344604</v>
      </c>
      <c r="F345" s="29" t="n">
        <v>14.72</v>
      </c>
      <c r="G345" s="30" t="n">
        <v>19.996400287977</v>
      </c>
      <c r="H345" s="30" t="n">
        <v>79.4574721750556</v>
      </c>
      <c r="I345" s="30" t="n">
        <v>78.8853161843516</v>
      </c>
      <c r="J345" s="37" t="n">
        <f aca="false">(G345+H345+I345)/3</f>
        <v>59.4463962157947</v>
      </c>
      <c r="K345" s="38" t="n">
        <f aca="false">(J345-MIN(J$6:J$404))/(MAX(J$6:J$404)-MIN(J$6:J$404))*100</f>
        <v>57.161103390172</v>
      </c>
    </row>
    <row r="346" customFormat="false" ht="15" hidden="false" customHeight="false" outlineLevel="0" collapsed="false">
      <c r="A346" s="26" t="n">
        <v>4126207</v>
      </c>
      <c r="B346" s="26" t="s">
        <v>412</v>
      </c>
      <c r="C346" s="26" t="s">
        <v>65</v>
      </c>
      <c r="D346" s="30" t="n">
        <v>0</v>
      </c>
      <c r="E346" s="28" t="n">
        <v>0.124719940253921</v>
      </c>
      <c r="F346" s="29" t="n">
        <v>13.29</v>
      </c>
      <c r="G346" s="30" t="n">
        <v>0</v>
      </c>
      <c r="H346" s="30" t="n">
        <v>72.489094246648</v>
      </c>
      <c r="I346" s="30" t="n">
        <v>71.2218649517685</v>
      </c>
      <c r="J346" s="37" t="n">
        <f aca="false">(G346+H346+I346)/3</f>
        <v>47.9036530661388</v>
      </c>
      <c r="K346" s="38" t="n">
        <f aca="false">(J346-MIN(J$6:J$404))/(MAX(J$6:J$404)-MIN(J$6:J$404))*100</f>
        <v>35.5428463888926</v>
      </c>
    </row>
    <row r="347" customFormat="false" ht="15" hidden="false" customHeight="false" outlineLevel="0" collapsed="false">
      <c r="A347" s="26" t="n">
        <v>4126256</v>
      </c>
      <c r="B347" s="26" t="s">
        <v>413</v>
      </c>
      <c r="C347" s="26" t="s">
        <v>69</v>
      </c>
      <c r="D347" s="30" t="n">
        <v>10.78</v>
      </c>
      <c r="E347" s="28" t="n">
        <v>0.142644886243721</v>
      </c>
      <c r="F347" s="29" t="n">
        <v>12.6</v>
      </c>
      <c r="G347" s="30" t="n">
        <v>19.4024478041757</v>
      </c>
      <c r="H347" s="30" t="n">
        <v>82.9073408924956</v>
      </c>
      <c r="I347" s="30" t="n">
        <v>67.524115755627</v>
      </c>
      <c r="J347" s="37" t="n">
        <f aca="false">(G347+H347+I347)/3</f>
        <v>56.6113014840994</v>
      </c>
      <c r="K347" s="38" t="n">
        <f aca="false">(J347-MIN(J$6:J$404))/(MAX(J$6:J$404)-MIN(J$6:J$404))*100</f>
        <v>51.8512904853783</v>
      </c>
    </row>
    <row r="348" customFormat="false" ht="15" hidden="false" customHeight="false" outlineLevel="0" collapsed="false">
      <c r="A348" s="26" t="n">
        <v>4126272</v>
      </c>
      <c r="B348" s="26" t="s">
        <v>414</v>
      </c>
      <c r="C348" s="26" t="s">
        <v>65</v>
      </c>
      <c r="D348" s="30" t="n">
        <v>23.81</v>
      </c>
      <c r="E348" s="28" t="n">
        <v>0.156679764243615</v>
      </c>
      <c r="F348" s="29" t="n">
        <v>15.55</v>
      </c>
      <c r="G348" s="30" t="n">
        <v>42.8545716342693</v>
      </c>
      <c r="H348" s="30" t="n">
        <v>91.0646218533684</v>
      </c>
      <c r="I348" s="30" t="n">
        <v>83.3333333333333</v>
      </c>
      <c r="J348" s="37" t="n">
        <f aca="false">(G348+H348+I348)/3</f>
        <v>72.4175089403237</v>
      </c>
      <c r="K348" s="38" t="n">
        <f aca="false">(J348-MIN(J$6:J$404))/(MAX(J$6:J$404)-MIN(J$6:J$404))*100</f>
        <v>81.4545356216423</v>
      </c>
    </row>
    <row r="349" customFormat="false" ht="15" hidden="false" customHeight="false" outlineLevel="0" collapsed="false">
      <c r="A349" s="26" t="n">
        <v>4124608</v>
      </c>
      <c r="B349" s="26" t="s">
        <v>415</v>
      </c>
      <c r="C349" s="26" t="s">
        <v>65</v>
      </c>
      <c r="D349" s="30" t="n">
        <v>0</v>
      </c>
      <c r="E349" s="28" t="n">
        <v>0.131015636860483</v>
      </c>
      <c r="F349" s="29" t="n">
        <v>11.23</v>
      </c>
      <c r="G349" s="30" t="n">
        <v>0</v>
      </c>
      <c r="H349" s="30" t="n">
        <v>76.1482472556395</v>
      </c>
      <c r="I349" s="30" t="n">
        <v>60.1822079314041</v>
      </c>
      <c r="J349" s="37" t="n">
        <f aca="false">(G349+H349+I349)/3</f>
        <v>45.4434850623478</v>
      </c>
      <c r="K349" s="38" t="n">
        <f aca="false">(J349-MIN(J$6:J$404))/(MAX(J$6:J$404)-MIN(J$6:J$404))*100</f>
        <v>30.9352289895689</v>
      </c>
    </row>
    <row r="350" customFormat="false" ht="15" hidden="false" customHeight="false" outlineLevel="0" collapsed="false">
      <c r="A350" s="26" t="n">
        <v>4124707</v>
      </c>
      <c r="B350" s="26" t="s">
        <v>416</v>
      </c>
      <c r="C350" s="26" t="s">
        <v>65</v>
      </c>
      <c r="D350" s="30" t="n">
        <v>0</v>
      </c>
      <c r="E350" s="28" t="n">
        <v>0.140443213296399</v>
      </c>
      <c r="F350" s="29" t="n">
        <v>11.73</v>
      </c>
      <c r="G350" s="30" t="n">
        <v>0</v>
      </c>
      <c r="H350" s="30" t="n">
        <v>81.6276956532995</v>
      </c>
      <c r="I350" s="30" t="n">
        <v>62.8617363344052</v>
      </c>
      <c r="J350" s="37" t="n">
        <f aca="false">(G350+H350+I350)/3</f>
        <v>48.1631439959016</v>
      </c>
      <c r="K350" s="38" t="n">
        <f aca="false">(J350-MIN(J$6:J$404))/(MAX(J$6:J$404)-MIN(J$6:J$404))*100</f>
        <v>36.0288436545667</v>
      </c>
    </row>
    <row r="351" customFormat="false" ht="15" hidden="false" customHeight="false" outlineLevel="0" collapsed="false">
      <c r="A351" s="26" t="n">
        <v>4124806</v>
      </c>
      <c r="B351" s="26" t="s">
        <v>417</v>
      </c>
      <c r="C351" s="26" t="s">
        <v>65</v>
      </c>
      <c r="D351" s="30" t="n">
        <v>6.25</v>
      </c>
      <c r="E351" s="28" t="n">
        <v>0.121908127208481</v>
      </c>
      <c r="F351" s="29" t="n">
        <v>12.03</v>
      </c>
      <c r="G351" s="30" t="n">
        <v>11.2491000719942</v>
      </c>
      <c r="H351" s="30" t="n">
        <v>70.8548264588356</v>
      </c>
      <c r="I351" s="30" t="n">
        <v>64.4694533762058</v>
      </c>
      <c r="J351" s="37" t="n">
        <f aca="false">(G351+H351+I351)/3</f>
        <v>48.8577933023452</v>
      </c>
      <c r="K351" s="38" t="n">
        <f aca="false">(J351-MIN(J$6:J$404))/(MAX(J$6:J$404)-MIN(J$6:J$404))*100</f>
        <v>37.3298435154973</v>
      </c>
    </row>
    <row r="352" customFormat="false" ht="15" hidden="false" customHeight="false" outlineLevel="0" collapsed="false">
      <c r="A352" s="26" t="n">
        <v>4124905</v>
      </c>
      <c r="B352" s="26" t="s">
        <v>418</v>
      </c>
      <c r="C352" s="26" t="s">
        <v>65</v>
      </c>
      <c r="D352" s="30" t="n">
        <v>13.7</v>
      </c>
      <c r="E352" s="28" t="n">
        <v>0.132474042248478</v>
      </c>
      <c r="F352" s="29" t="n">
        <v>9.67</v>
      </c>
      <c r="G352" s="30" t="n">
        <v>24.6580273578114</v>
      </c>
      <c r="H352" s="30" t="n">
        <v>76.9958942750735</v>
      </c>
      <c r="I352" s="30" t="n">
        <v>51.8220793140407</v>
      </c>
      <c r="J352" s="37" t="n">
        <f aca="false">(G352+H352+I352)/3</f>
        <v>51.1586669823085</v>
      </c>
      <c r="K352" s="38" t="n">
        <f aca="false">(J352-MIN(J$6:J$404))/(MAX(J$6:J$404)-MIN(J$6:J$404))*100</f>
        <v>41.6391205994641</v>
      </c>
    </row>
    <row r="353" customFormat="false" ht="15" hidden="false" customHeight="false" outlineLevel="0" collapsed="false">
      <c r="A353" s="26" t="n">
        <v>4125001</v>
      </c>
      <c r="B353" s="26" t="s">
        <v>419</v>
      </c>
      <c r="C353" s="26" t="s">
        <v>65</v>
      </c>
      <c r="D353" s="30" t="n">
        <v>17.54</v>
      </c>
      <c r="E353" s="28" t="n">
        <v>0.113715196400113</v>
      </c>
      <c r="F353" s="29" t="n">
        <v>11.25</v>
      </c>
      <c r="G353" s="30" t="n">
        <v>31.5694744420446</v>
      </c>
      <c r="H353" s="30" t="n">
        <v>66.0929725618972</v>
      </c>
      <c r="I353" s="30" t="n">
        <v>60.2893890675241</v>
      </c>
      <c r="J353" s="37" t="n">
        <f aca="false">(G353+H353+I353)/3</f>
        <v>52.650612023822</v>
      </c>
      <c r="K353" s="38" t="n">
        <f aca="false">(J353-MIN(J$6:J$404))/(MAX(J$6:J$404)-MIN(J$6:J$404))*100</f>
        <v>44.433365513437</v>
      </c>
    </row>
    <row r="354" customFormat="false" ht="15" hidden="false" customHeight="false" outlineLevel="0" collapsed="false">
      <c r="A354" s="26" t="n">
        <v>4125100</v>
      </c>
      <c r="B354" s="26" t="s">
        <v>420</v>
      </c>
      <c r="C354" s="26" t="s">
        <v>65</v>
      </c>
      <c r="D354" s="30" t="n">
        <v>4.93</v>
      </c>
      <c r="E354" s="28" t="n">
        <v>0.137330613434358</v>
      </c>
      <c r="F354" s="29" t="n">
        <v>11.29</v>
      </c>
      <c r="G354" s="30" t="n">
        <v>8.87329013678906</v>
      </c>
      <c r="H354" s="30" t="n">
        <v>79.8186060699321</v>
      </c>
      <c r="I354" s="30" t="n">
        <v>60.5037513397642</v>
      </c>
      <c r="J354" s="37" t="n">
        <f aca="false">(G354+H354+I354)/3</f>
        <v>49.7318825154951</v>
      </c>
      <c r="K354" s="38" t="n">
        <f aca="false">(J354-MIN(J$6:J$404))/(MAX(J$6:J$404)-MIN(J$6:J$404))*100</f>
        <v>38.9669140980203</v>
      </c>
    </row>
    <row r="355" customFormat="false" ht="15" hidden="false" customHeight="false" outlineLevel="0" collapsed="false">
      <c r="A355" s="26" t="n">
        <v>4125209</v>
      </c>
      <c r="B355" s="26" t="s">
        <v>421</v>
      </c>
      <c r="C355" s="26" t="s">
        <v>65</v>
      </c>
      <c r="D355" s="30" t="n">
        <v>0</v>
      </c>
      <c r="E355" s="28" t="n">
        <v>0.125933034762209</v>
      </c>
      <c r="F355" s="29" t="n">
        <v>13.86</v>
      </c>
      <c r="G355" s="30" t="n">
        <v>0</v>
      </c>
      <c r="H355" s="30" t="n">
        <v>73.1941629145963</v>
      </c>
      <c r="I355" s="30" t="n">
        <v>74.2765273311897</v>
      </c>
      <c r="J355" s="37" t="n">
        <f aca="false">(G355+H355+I355)/3</f>
        <v>49.1568967485954</v>
      </c>
      <c r="K355" s="38" t="n">
        <f aca="false">(J355-MIN(J$6:J$404))/(MAX(J$6:J$404)-MIN(J$6:J$404))*100</f>
        <v>37.8900305600471</v>
      </c>
    </row>
    <row r="356" customFormat="false" ht="15" hidden="false" customHeight="false" outlineLevel="0" collapsed="false">
      <c r="A356" s="26" t="n">
        <v>4125308</v>
      </c>
      <c r="B356" s="26" t="s">
        <v>422</v>
      </c>
      <c r="C356" s="26" t="s">
        <v>65</v>
      </c>
      <c r="D356" s="30" t="n">
        <v>0</v>
      </c>
      <c r="E356" s="28" t="n">
        <v>0.112229102167183</v>
      </c>
      <c r="F356" s="29" t="n">
        <v>8.13</v>
      </c>
      <c r="G356" s="30" t="n">
        <v>0</v>
      </c>
      <c r="H356" s="30" t="n">
        <v>65.2292323717485</v>
      </c>
      <c r="I356" s="30" t="n">
        <v>43.5691318327974</v>
      </c>
      <c r="J356" s="37" t="n">
        <f aca="false">(G356+H356+I356)/3</f>
        <v>36.2661214015153</v>
      </c>
      <c r="K356" s="38" t="n">
        <f aca="false">(J356-MIN(J$6:J$404))/(MAX(J$6:J$404)-MIN(J$6:J$404))*100</f>
        <v>13.7470611821621</v>
      </c>
    </row>
    <row r="357" customFormat="false" ht="15" hidden="false" customHeight="false" outlineLevel="0" collapsed="false">
      <c r="A357" s="26" t="n">
        <v>4125357</v>
      </c>
      <c r="B357" s="26" t="s">
        <v>423</v>
      </c>
      <c r="C357" s="26" t="s">
        <v>65</v>
      </c>
      <c r="D357" s="30" t="n">
        <v>11.36</v>
      </c>
      <c r="E357" s="28" t="n">
        <v>0.11269987699877</v>
      </c>
      <c r="F357" s="29" t="n">
        <v>10.3</v>
      </c>
      <c r="G357" s="30" t="n">
        <v>20.4463642908567</v>
      </c>
      <c r="H357" s="30" t="n">
        <v>65.5028537434907</v>
      </c>
      <c r="I357" s="30" t="n">
        <v>55.1982851018221</v>
      </c>
      <c r="J357" s="37" t="n">
        <f aca="false">(G357+H357+I357)/3</f>
        <v>47.0491677120565</v>
      </c>
      <c r="K357" s="38" t="n">
        <f aca="false">(J357-MIN(J$6:J$404))/(MAX(J$6:J$404)-MIN(J$6:J$404))*100</f>
        <v>33.9424916249618</v>
      </c>
    </row>
    <row r="358" customFormat="false" ht="15" hidden="false" customHeight="false" outlineLevel="0" collapsed="false">
      <c r="A358" s="26" t="n">
        <v>4125407</v>
      </c>
      <c r="B358" s="26" t="s">
        <v>424</v>
      </c>
      <c r="C358" s="26" t="s">
        <v>65</v>
      </c>
      <c r="D358" s="30" t="n">
        <v>30.77</v>
      </c>
      <c r="E358" s="28" t="n">
        <v>0.124006622516556</v>
      </c>
      <c r="F358" s="29" t="n">
        <v>10.93</v>
      </c>
      <c r="G358" s="30" t="n">
        <v>55.381569474442</v>
      </c>
      <c r="H358" s="30" t="n">
        <v>72.0745033112583</v>
      </c>
      <c r="I358" s="30" t="n">
        <v>58.5744908896034</v>
      </c>
      <c r="J358" s="37" t="n">
        <f aca="false">(G358+H358+I358)/3</f>
        <v>62.0101878917679</v>
      </c>
      <c r="K358" s="38" t="n">
        <f aca="false">(J358-MIN(J$6:J$404))/(MAX(J$6:J$404)-MIN(J$6:J$404))*100</f>
        <v>61.9627962486484</v>
      </c>
    </row>
    <row r="359" customFormat="false" ht="15" hidden="false" customHeight="false" outlineLevel="0" collapsed="false">
      <c r="A359" s="26" t="n">
        <v>4125456</v>
      </c>
      <c r="B359" s="26" t="s">
        <v>425</v>
      </c>
      <c r="C359" s="26" t="s">
        <v>71</v>
      </c>
      <c r="D359" s="30" t="n">
        <v>17.86</v>
      </c>
      <c r="E359" s="28" t="n">
        <v>0.142279504675259</v>
      </c>
      <c r="F359" s="29" t="n">
        <v>13.65</v>
      </c>
      <c r="G359" s="30" t="n">
        <v>32.1454283657307</v>
      </c>
      <c r="H359" s="30" t="n">
        <v>82.6949756612557</v>
      </c>
      <c r="I359" s="30" t="n">
        <v>73.1511254019293</v>
      </c>
      <c r="J359" s="37" t="n">
        <f aca="false">(G359+H359+I359)/3</f>
        <v>62.6638431429719</v>
      </c>
      <c r="K359" s="38" t="n">
        <f aca="false">(J359-MIN(J$6:J$404))/(MAX(J$6:J$404)-MIN(J$6:J$404))*100</f>
        <v>63.1870188643258</v>
      </c>
    </row>
    <row r="360" customFormat="false" ht="15" hidden="false" customHeight="false" outlineLevel="0" collapsed="false">
      <c r="A360" s="26" t="n">
        <v>4125506</v>
      </c>
      <c r="B360" s="26" t="s">
        <v>426</v>
      </c>
      <c r="C360" s="26" t="s">
        <v>138</v>
      </c>
      <c r="D360" s="30" t="n">
        <v>9.19</v>
      </c>
      <c r="E360" s="28" t="n">
        <v>0.142633514143216</v>
      </c>
      <c r="F360" s="29" t="n">
        <v>12.92</v>
      </c>
      <c r="G360" s="30" t="n">
        <v>16.5406767458603</v>
      </c>
      <c r="H360" s="30" t="n">
        <v>82.9007312576318</v>
      </c>
      <c r="I360" s="30" t="n">
        <v>69.2390139335477</v>
      </c>
      <c r="J360" s="37" t="n">
        <f aca="false">(G360+H360+I360)/3</f>
        <v>56.2268073123466</v>
      </c>
      <c r="K360" s="38" t="n">
        <f aca="false">(J360-MIN(J$6:J$404))/(MAX(J$6:J$404)-MIN(J$6:J$404))*100</f>
        <v>51.131176235873</v>
      </c>
    </row>
    <row r="361" customFormat="false" ht="15" hidden="false" customHeight="false" outlineLevel="0" collapsed="false">
      <c r="A361" s="26" t="n">
        <v>4125555</v>
      </c>
      <c r="B361" s="26" t="s">
        <v>427</v>
      </c>
      <c r="C361" s="26" t="s">
        <v>71</v>
      </c>
      <c r="D361" s="30" t="n">
        <v>0</v>
      </c>
      <c r="E361" s="28" t="n">
        <v>0.11599625818522</v>
      </c>
      <c r="F361" s="29" t="n">
        <v>11.69</v>
      </c>
      <c r="G361" s="30" t="n">
        <v>0</v>
      </c>
      <c r="H361" s="30" t="n">
        <v>67.4187597807367</v>
      </c>
      <c r="I361" s="30" t="n">
        <v>62.6473740621651</v>
      </c>
      <c r="J361" s="37" t="n">
        <f aca="false">(G361+H361+I361)/3</f>
        <v>43.3553779476339</v>
      </c>
      <c r="K361" s="38" t="n">
        <f aca="false">(J361-MIN(J$6:J$404))/(MAX(J$6:J$404)-MIN(J$6:J$404))*100</f>
        <v>27.0244397025846</v>
      </c>
    </row>
    <row r="362" customFormat="false" ht="15" hidden="false" customHeight="false" outlineLevel="0" collapsed="false">
      <c r="A362" s="26" t="n">
        <v>4125605</v>
      </c>
      <c r="B362" s="26" t="s">
        <v>428</v>
      </c>
      <c r="C362" s="26" t="s">
        <v>86</v>
      </c>
      <c r="D362" s="30" t="n">
        <v>15.25</v>
      </c>
      <c r="E362" s="28" t="n">
        <v>0.135722041259501</v>
      </c>
      <c r="F362" s="29" t="n">
        <v>12.27</v>
      </c>
      <c r="G362" s="30" t="n">
        <v>27.447804175666</v>
      </c>
      <c r="H362" s="30" t="n">
        <v>78.8836798684892</v>
      </c>
      <c r="I362" s="30" t="n">
        <v>65.7556270096463</v>
      </c>
      <c r="J362" s="37" t="n">
        <f aca="false">(G362+H362+I362)/3</f>
        <v>57.3623703512671</v>
      </c>
      <c r="K362" s="38" t="n">
        <f aca="false">(J362-MIN(J$6:J$404))/(MAX(J$6:J$404)-MIN(J$6:J$404))*100</f>
        <v>53.2579578248119</v>
      </c>
    </row>
    <row r="363" customFormat="false" ht="15" hidden="false" customHeight="false" outlineLevel="0" collapsed="false">
      <c r="A363" s="26" t="n">
        <v>4125704</v>
      </c>
      <c r="B363" s="26" t="s">
        <v>429</v>
      </c>
      <c r="C363" s="26" t="s">
        <v>86</v>
      </c>
      <c r="D363" s="30" t="n">
        <v>9.26</v>
      </c>
      <c r="E363" s="28" t="n">
        <v>0.136529084540897</v>
      </c>
      <c r="F363" s="29" t="n">
        <v>13.74</v>
      </c>
      <c r="G363" s="30" t="n">
        <v>16.6666666666667</v>
      </c>
      <c r="H363" s="30" t="n">
        <v>79.3527454915736</v>
      </c>
      <c r="I363" s="30" t="n">
        <v>73.6334405144695</v>
      </c>
      <c r="J363" s="37" t="n">
        <f aca="false">(G363+H363+I363)/3</f>
        <v>56.5509508909032</v>
      </c>
      <c r="K363" s="38" t="n">
        <f aca="false">(J363-MIN(J$6:J$404))/(MAX(J$6:J$404)-MIN(J$6:J$404))*100</f>
        <v>51.7382606260997</v>
      </c>
    </row>
    <row r="364" customFormat="false" ht="15" hidden="false" customHeight="false" outlineLevel="0" collapsed="false">
      <c r="A364" s="26" t="n">
        <v>4125753</v>
      </c>
      <c r="B364" s="26" t="s">
        <v>430</v>
      </c>
      <c r="C364" s="26" t="s">
        <v>65</v>
      </c>
      <c r="D364" s="30" t="n">
        <v>22.73</v>
      </c>
      <c r="E364" s="28" t="n">
        <v>0.124135546334716</v>
      </c>
      <c r="F364" s="29" t="n">
        <v>11.76</v>
      </c>
      <c r="G364" s="30" t="n">
        <v>40.9107271418287</v>
      </c>
      <c r="H364" s="30" t="n">
        <v>72.1494357622058</v>
      </c>
      <c r="I364" s="30" t="n">
        <v>63.0225080385852</v>
      </c>
      <c r="J364" s="37" t="n">
        <f aca="false">(G364+H364+I364)/3</f>
        <v>58.6942236475399</v>
      </c>
      <c r="K364" s="38" t="n">
        <f aca="false">(J364-MIN(J$6:J$404))/(MAX(J$6:J$404)-MIN(J$6:J$404))*100</f>
        <v>55.7523689429943</v>
      </c>
    </row>
    <row r="365" customFormat="false" ht="15" hidden="false" customHeight="false" outlineLevel="0" collapsed="false">
      <c r="A365" s="26" t="n">
        <v>4125803</v>
      </c>
      <c r="B365" s="26" t="s">
        <v>431</v>
      </c>
      <c r="C365" s="26" t="s">
        <v>65</v>
      </c>
      <c r="D365" s="30" t="n">
        <v>49.02</v>
      </c>
      <c r="E365" s="28" t="n">
        <v>0.124741081703107</v>
      </c>
      <c r="F365" s="29" t="n">
        <v>10.36</v>
      </c>
      <c r="G365" s="30" t="n">
        <v>88.2289416846652</v>
      </c>
      <c r="H365" s="30" t="n">
        <v>72.5013819730488</v>
      </c>
      <c r="I365" s="30" t="n">
        <v>55.5198285101822</v>
      </c>
      <c r="J365" s="37" t="n">
        <f aca="false">(G365+H365+I365)/3</f>
        <v>72.0833840559654</v>
      </c>
      <c r="K365" s="38" t="n">
        <f aca="false">(J365-MIN(J$6:J$404))/(MAX(J$6:J$404)-MIN(J$6:J$404))*100</f>
        <v>80.8287573705864</v>
      </c>
    </row>
    <row r="366" customFormat="false" ht="15" hidden="false" customHeight="false" outlineLevel="0" collapsed="false">
      <c r="A366" s="26" t="n">
        <v>4125902</v>
      </c>
      <c r="B366" s="26" t="s">
        <v>432</v>
      </c>
      <c r="C366" s="26" t="s">
        <v>71</v>
      </c>
      <c r="D366" s="30" t="n">
        <v>33.33</v>
      </c>
      <c r="E366" s="28" t="n">
        <v>0.124389327320556</v>
      </c>
      <c r="F366" s="29" t="n">
        <v>12.03</v>
      </c>
      <c r="G366" s="30" t="n">
        <v>59.9892008639309</v>
      </c>
      <c r="H366" s="30" t="n">
        <v>72.2969370660317</v>
      </c>
      <c r="I366" s="30" t="n">
        <v>64.4694533762058</v>
      </c>
      <c r="J366" s="37" t="n">
        <f aca="false">(G366+H366+I366)/3</f>
        <v>65.5851971020561</v>
      </c>
      <c r="K366" s="38" t="n">
        <f aca="false">(J366-MIN(J$6:J$404))/(MAX(J$6:J$404)-MIN(J$6:J$404))*100</f>
        <v>68.6583855802238</v>
      </c>
    </row>
    <row r="367" customFormat="false" ht="15" hidden="false" customHeight="false" outlineLevel="0" collapsed="false">
      <c r="A367" s="26" t="n">
        <v>4126009</v>
      </c>
      <c r="B367" s="26" t="s">
        <v>433</v>
      </c>
      <c r="C367" s="26" t="s">
        <v>65</v>
      </c>
      <c r="D367" s="30" t="n">
        <v>0</v>
      </c>
      <c r="E367" s="28" t="n">
        <v>0.131216668733722</v>
      </c>
      <c r="F367" s="29" t="n">
        <v>11.16</v>
      </c>
      <c r="G367" s="30" t="n">
        <v>0</v>
      </c>
      <c r="H367" s="30" t="n">
        <v>76.2650899864502</v>
      </c>
      <c r="I367" s="30" t="n">
        <v>59.8070739549839</v>
      </c>
      <c r="J367" s="37" t="n">
        <f aca="false">(G367+H367+I367)/3</f>
        <v>45.357387980478</v>
      </c>
      <c r="K367" s="38" t="n">
        <f aca="false">(J367-MIN(J$6:J$404))/(MAX(J$6:J$404)-MIN(J$6:J$404))*100</f>
        <v>30.7739788587474</v>
      </c>
    </row>
    <row r="368" customFormat="false" ht="15" hidden="false" customHeight="false" outlineLevel="0" collapsed="false">
      <c r="A368" s="26" t="n">
        <v>4126108</v>
      </c>
      <c r="B368" s="26" t="s">
        <v>434</v>
      </c>
      <c r="C368" s="26" t="s">
        <v>65</v>
      </c>
      <c r="D368" s="30" t="n">
        <v>0</v>
      </c>
      <c r="E368" s="28" t="n">
        <v>0.132454128440367</v>
      </c>
      <c r="F368" s="29" t="n">
        <v>10.51</v>
      </c>
      <c r="G368" s="30" t="n">
        <v>0</v>
      </c>
      <c r="H368" s="30" t="n">
        <v>76.9843200720226</v>
      </c>
      <c r="I368" s="30" t="n">
        <v>56.3236870310825</v>
      </c>
      <c r="J368" s="37" t="n">
        <f aca="false">(G368+H368+I368)/3</f>
        <v>44.4360023677017</v>
      </c>
      <c r="K368" s="38" t="n">
        <f aca="false">(J368-MIN(J$6:J$404))/(MAX(J$6:J$404)-MIN(J$6:J$404))*100</f>
        <v>29.0483274502368</v>
      </c>
    </row>
    <row r="369" customFormat="false" ht="15" hidden="false" customHeight="false" outlineLevel="0" collapsed="false">
      <c r="A369" s="26" t="n">
        <v>4126306</v>
      </c>
      <c r="B369" s="26" t="s">
        <v>435</v>
      </c>
      <c r="C369" s="26" t="s">
        <v>65</v>
      </c>
      <c r="D369" s="30" t="n">
        <v>22.42</v>
      </c>
      <c r="E369" s="28" t="n">
        <v>0.146265199768384</v>
      </c>
      <c r="F369" s="29" t="n">
        <v>13.38</v>
      </c>
      <c r="G369" s="30" t="n">
        <v>40.3527717782577</v>
      </c>
      <c r="H369" s="30" t="n">
        <v>85.0115212485592</v>
      </c>
      <c r="I369" s="30" t="n">
        <v>71.7041800643087</v>
      </c>
      <c r="J369" s="37" t="n">
        <f aca="false">(G369+H369+I369)/3</f>
        <v>65.6894910303752</v>
      </c>
      <c r="K369" s="38" t="n">
        <f aca="false">(J369-MIN(J$6:J$404))/(MAX(J$6:J$404)-MIN(J$6:J$404))*100</f>
        <v>68.8537163535801</v>
      </c>
    </row>
    <row r="370" customFormat="false" ht="15" hidden="false" customHeight="false" outlineLevel="0" collapsed="false">
      <c r="A370" s="26" t="n">
        <v>4126355</v>
      </c>
      <c r="B370" s="26" t="s">
        <v>436</v>
      </c>
      <c r="C370" s="26" t="s">
        <v>65</v>
      </c>
      <c r="D370" s="30" t="n">
        <v>21.74</v>
      </c>
      <c r="E370" s="28" t="n">
        <v>0.121230277611344</v>
      </c>
      <c r="F370" s="29" t="n">
        <v>13.38</v>
      </c>
      <c r="G370" s="30" t="n">
        <v>39.1288696904248</v>
      </c>
      <c r="H370" s="30" t="n">
        <v>70.4608501369111</v>
      </c>
      <c r="I370" s="30" t="n">
        <v>71.7041800643087</v>
      </c>
      <c r="J370" s="37" t="n">
        <f aca="false">(G370+H370+I370)/3</f>
        <v>60.4312999638815</v>
      </c>
      <c r="K370" s="38" t="n">
        <f aca="false">(J370-MIN(J$6:J$404))/(MAX(J$6:J$404)-MIN(J$6:J$404))*100</f>
        <v>59.0057171073454</v>
      </c>
    </row>
    <row r="371" customFormat="false" ht="15" hidden="false" customHeight="false" outlineLevel="0" collapsed="false">
      <c r="A371" s="26" t="n">
        <v>4126405</v>
      </c>
      <c r="B371" s="26" t="s">
        <v>437</v>
      </c>
      <c r="C371" s="26" t="s">
        <v>65</v>
      </c>
      <c r="D371" s="30" t="n">
        <v>0</v>
      </c>
      <c r="E371" s="28" t="n">
        <v>0.117165242165242</v>
      </c>
      <c r="F371" s="29" t="n">
        <v>9.26</v>
      </c>
      <c r="G371" s="30" t="n">
        <v>0</v>
      </c>
      <c r="H371" s="30" t="n">
        <v>68.0981907500599</v>
      </c>
      <c r="I371" s="30" t="n">
        <v>49.6248660235799</v>
      </c>
      <c r="J371" s="37" t="n">
        <f aca="false">(G371+H371+I371)/3</f>
        <v>39.2410189245466</v>
      </c>
      <c r="K371" s="38" t="n">
        <f aca="false">(J371-MIN(J$6:J$404))/(MAX(J$6:J$404)-MIN(J$6:J$404))*100</f>
        <v>19.3187089587374</v>
      </c>
    </row>
    <row r="372" customFormat="false" ht="15" hidden="false" customHeight="false" outlineLevel="0" collapsed="false">
      <c r="A372" s="26" t="n">
        <v>4126504</v>
      </c>
      <c r="B372" s="26" t="s">
        <v>438</v>
      </c>
      <c r="C372" s="26" t="s">
        <v>65</v>
      </c>
      <c r="D372" s="30" t="n">
        <v>12.27</v>
      </c>
      <c r="E372" s="28" t="n">
        <v>0.120025109855618</v>
      </c>
      <c r="F372" s="29" t="n">
        <v>10.55</v>
      </c>
      <c r="G372" s="30" t="n">
        <v>22.0842332613391</v>
      </c>
      <c r="H372" s="30" t="n">
        <v>69.7603886160832</v>
      </c>
      <c r="I372" s="30" t="n">
        <v>56.5380493033226</v>
      </c>
      <c r="J372" s="37" t="n">
        <f aca="false">(G372+H372+I372)/3</f>
        <v>49.4608903935816</v>
      </c>
      <c r="K372" s="38" t="n">
        <f aca="false">(J372-MIN(J$6:J$404))/(MAX(J$6:J$404)-MIN(J$6:J$404))*100</f>
        <v>38.4593763956828</v>
      </c>
    </row>
    <row r="373" customFormat="false" ht="15" hidden="false" customHeight="false" outlineLevel="0" collapsed="false">
      <c r="A373" s="26" t="n">
        <v>4126603</v>
      </c>
      <c r="B373" s="26" t="s">
        <v>439</v>
      </c>
      <c r="C373" s="26" t="s">
        <v>86</v>
      </c>
      <c r="D373" s="30" t="n">
        <v>6.43</v>
      </c>
      <c r="E373" s="28" t="n">
        <v>0.128096093989742</v>
      </c>
      <c r="F373" s="29" t="n">
        <v>11.7</v>
      </c>
      <c r="G373" s="30" t="n">
        <v>11.5730741540677</v>
      </c>
      <c r="H373" s="30" t="n">
        <v>74.451365282449</v>
      </c>
      <c r="I373" s="30" t="n">
        <v>62.7009646302251</v>
      </c>
      <c r="J373" s="37" t="n">
        <f aca="false">(G373+H373+I373)/3</f>
        <v>49.5751346889139</v>
      </c>
      <c r="K373" s="38" t="n">
        <f aca="false">(J373-MIN(J$6:J$404))/(MAX(J$6:J$404)-MIN(J$6:J$404))*100</f>
        <v>38.6733430850046</v>
      </c>
    </row>
    <row r="374" customFormat="false" ht="15" hidden="false" customHeight="false" outlineLevel="0" collapsed="false">
      <c r="A374" s="26" t="n">
        <v>4126652</v>
      </c>
      <c r="B374" s="26" t="s">
        <v>440</v>
      </c>
      <c r="C374" s="26" t="s">
        <v>71</v>
      </c>
      <c r="D374" s="30" t="n">
        <v>0</v>
      </c>
      <c r="E374" s="28" t="n">
        <v>0.120639534883721</v>
      </c>
      <c r="F374" s="29" t="n">
        <v>12.79</v>
      </c>
      <c r="G374" s="30" t="n">
        <v>0</v>
      </c>
      <c r="H374" s="30" t="n">
        <v>70.1175016300804</v>
      </c>
      <c r="I374" s="30" t="n">
        <v>68.5423365487674</v>
      </c>
      <c r="J374" s="37" t="n">
        <f aca="false">(G374+H374+I374)/3</f>
        <v>46.219946059616</v>
      </c>
      <c r="K374" s="38" t="n">
        <f aca="false">(J374-MIN(J$6:J$404))/(MAX(J$6:J$404)-MIN(J$6:J$404))*100</f>
        <v>32.3894529268756</v>
      </c>
    </row>
    <row r="375" customFormat="false" ht="15" hidden="false" customHeight="false" outlineLevel="0" collapsed="false">
      <c r="A375" s="26" t="n">
        <v>4126678</v>
      </c>
      <c r="B375" s="26" t="s">
        <v>441</v>
      </c>
      <c r="C375" s="26" t="s">
        <v>65</v>
      </c>
      <c r="D375" s="30" t="n">
        <v>0</v>
      </c>
      <c r="E375" s="28" t="n">
        <v>0.152050060707948</v>
      </c>
      <c r="F375" s="29" t="n">
        <v>15.5</v>
      </c>
      <c r="G375" s="30" t="n">
        <v>0</v>
      </c>
      <c r="H375" s="30" t="n">
        <v>88.373768929227</v>
      </c>
      <c r="I375" s="30" t="n">
        <v>83.0653804930332</v>
      </c>
      <c r="J375" s="37" t="n">
        <f aca="false">(G375+H375+I375)/3</f>
        <v>57.1463831407534</v>
      </c>
      <c r="K375" s="38" t="n">
        <f aca="false">(J375-MIN(J$6:J$404))/(MAX(J$6:J$404)-MIN(J$6:J$404))*100</f>
        <v>52.8534381222302</v>
      </c>
    </row>
    <row r="376" customFormat="false" ht="15" hidden="false" customHeight="false" outlineLevel="0" collapsed="false">
      <c r="A376" s="26" t="n">
        <v>4126702</v>
      </c>
      <c r="B376" s="26" t="s">
        <v>442</v>
      </c>
      <c r="C376" s="26" t="s">
        <v>71</v>
      </c>
      <c r="D376" s="30" t="n">
        <v>0</v>
      </c>
      <c r="E376" s="28" t="n">
        <v>0.126024590163934</v>
      </c>
      <c r="F376" s="29" t="n">
        <v>11.07</v>
      </c>
      <c r="G376" s="30" t="n">
        <v>0</v>
      </c>
      <c r="H376" s="30" t="n">
        <v>73.2473762831316</v>
      </c>
      <c r="I376" s="30" t="n">
        <v>59.3247588424437</v>
      </c>
      <c r="J376" s="37" t="n">
        <f aca="false">(G376+H376+I376)/3</f>
        <v>44.1907117085251</v>
      </c>
      <c r="K376" s="38" t="n">
        <f aca="false">(J376-MIN(J$6:J$404))/(MAX(J$6:J$404)-MIN(J$6:J$404))*100</f>
        <v>28.5889256909373</v>
      </c>
    </row>
    <row r="377" customFormat="false" ht="15" hidden="false" customHeight="false" outlineLevel="0" collapsed="false">
      <c r="A377" s="26" t="n">
        <v>4126801</v>
      </c>
      <c r="B377" s="26" t="s">
        <v>443</v>
      </c>
      <c r="C377" s="26" t="s">
        <v>65</v>
      </c>
      <c r="D377" s="30" t="n">
        <v>11.83</v>
      </c>
      <c r="E377" s="28" t="n">
        <v>0.137941899300523</v>
      </c>
      <c r="F377" s="29" t="n">
        <v>11.28</v>
      </c>
      <c r="G377" s="30" t="n">
        <v>21.2922966162707</v>
      </c>
      <c r="H377" s="30" t="n">
        <v>80.1738945560704</v>
      </c>
      <c r="I377" s="30" t="n">
        <v>60.4501607717042</v>
      </c>
      <c r="J377" s="37" t="n">
        <f aca="false">(G377+H377+I377)/3</f>
        <v>53.9721173146817</v>
      </c>
      <c r="K377" s="38" t="n">
        <f aca="false">(J377-MIN(J$6:J$404))/(MAX(J$6:J$404)-MIN(J$6:J$404))*100</f>
        <v>46.9083959837467</v>
      </c>
    </row>
    <row r="378" customFormat="false" ht="15" hidden="false" customHeight="false" outlineLevel="0" collapsed="false">
      <c r="A378" s="26" t="n">
        <v>4126900</v>
      </c>
      <c r="B378" s="26" t="s">
        <v>444</v>
      </c>
      <c r="C378" s="26" t="s">
        <v>65</v>
      </c>
      <c r="D378" s="30" t="n">
        <v>0</v>
      </c>
      <c r="E378" s="28" t="n">
        <v>0.120104438642298</v>
      </c>
      <c r="F378" s="29" t="n">
        <v>11.31</v>
      </c>
      <c r="G378" s="30" t="n">
        <v>0</v>
      </c>
      <c r="H378" s="30" t="n">
        <v>69.8064956931261</v>
      </c>
      <c r="I378" s="30" t="n">
        <v>60.6109324758843</v>
      </c>
      <c r="J378" s="37" t="n">
        <f aca="false">(G378+H378+I378)/3</f>
        <v>43.4724760563368</v>
      </c>
      <c r="K378" s="38" t="n">
        <f aca="false">(J378-MIN(J$6:J$404))/(MAX(J$6:J$404)-MIN(J$6:J$404))*100</f>
        <v>27.2437512627121</v>
      </c>
    </row>
    <row r="379" customFormat="false" ht="15" hidden="false" customHeight="false" outlineLevel="0" collapsed="false">
      <c r="A379" s="26" t="n">
        <v>4127007</v>
      </c>
      <c r="B379" s="26" t="s">
        <v>445</v>
      </c>
      <c r="C379" s="26" t="s">
        <v>65</v>
      </c>
      <c r="D379" s="30" t="n">
        <v>8</v>
      </c>
      <c r="E379" s="28" t="n">
        <v>0.136063684927202</v>
      </c>
      <c r="F379" s="29" t="n">
        <v>14.56</v>
      </c>
      <c r="G379" s="30" t="n">
        <v>14.3988480921526</v>
      </c>
      <c r="H379" s="30" t="n">
        <v>79.0822482768478</v>
      </c>
      <c r="I379" s="30" t="n">
        <v>78.0278670953912</v>
      </c>
      <c r="J379" s="37" t="n">
        <f aca="false">(G379+H379+I379)/3</f>
        <v>57.1696544881305</v>
      </c>
      <c r="K379" s="38" t="n">
        <f aca="false">(J379-MIN(J$6:J$404))/(MAX(J$6:J$404)-MIN(J$6:J$404))*100</f>
        <v>52.8970227330841</v>
      </c>
    </row>
    <row r="380" customFormat="false" ht="15" hidden="false" customHeight="false" outlineLevel="0" collapsed="false">
      <c r="A380" s="26" t="n">
        <v>4127106</v>
      </c>
      <c r="B380" s="26" t="s">
        <v>446</v>
      </c>
      <c r="C380" s="26" t="s">
        <v>129</v>
      </c>
      <c r="D380" s="30" t="n">
        <v>9.62</v>
      </c>
      <c r="E380" s="28" t="n">
        <v>0.146837770848325</v>
      </c>
      <c r="F380" s="29" t="n">
        <v>13.89</v>
      </c>
      <c r="G380" s="30" t="n">
        <v>17.3146148308135</v>
      </c>
      <c r="H380" s="30" t="n">
        <v>85.3443081220311</v>
      </c>
      <c r="I380" s="30" t="n">
        <v>74.4372990353698</v>
      </c>
      <c r="J380" s="37" t="n">
        <f aca="false">(G380+H380+I380)/3</f>
        <v>59.0320739960715</v>
      </c>
      <c r="K380" s="38" t="n">
        <f aca="false">(J380-MIN(J$6:J$404))/(MAX(J$6:J$404)-MIN(J$6:J$404))*100</f>
        <v>56.3851245685706</v>
      </c>
    </row>
    <row r="381" customFormat="false" ht="15" hidden="false" customHeight="false" outlineLevel="0" collapsed="false">
      <c r="A381" s="26" t="n">
        <v>4127205</v>
      </c>
      <c r="B381" s="26" t="s">
        <v>447</v>
      </c>
      <c r="C381" s="26" t="s">
        <v>65</v>
      </c>
      <c r="D381" s="30" t="n">
        <v>12.4</v>
      </c>
      <c r="E381" s="28" t="n">
        <v>0.127846083788707</v>
      </c>
      <c r="F381" s="29" t="n">
        <v>11.95</v>
      </c>
      <c r="G381" s="30" t="n">
        <v>22.3182145428366</v>
      </c>
      <c r="H381" s="30" t="n">
        <v>74.3060556151371</v>
      </c>
      <c r="I381" s="30" t="n">
        <v>64.0407288317256</v>
      </c>
      <c r="J381" s="37" t="n">
        <f aca="false">(G381+H381+I381)/3</f>
        <v>53.5549996632331</v>
      </c>
      <c r="K381" s="38" t="n">
        <f aca="false">(J381-MIN(J$6:J$404))/(MAX(J$6:J$404)-MIN(J$6:J$404))*100</f>
        <v>46.1271816335811</v>
      </c>
    </row>
    <row r="382" customFormat="false" ht="15" hidden="false" customHeight="false" outlineLevel="0" collapsed="false">
      <c r="A382" s="26" t="n">
        <v>4127304</v>
      </c>
      <c r="B382" s="26" t="s">
        <v>448</v>
      </c>
      <c r="C382" s="26" t="s">
        <v>65</v>
      </c>
      <c r="D382" s="30" t="n">
        <v>5.56</v>
      </c>
      <c r="E382" s="28" t="n">
        <v>0.136100256030185</v>
      </c>
      <c r="F382" s="29" t="n">
        <v>10.91</v>
      </c>
      <c r="G382" s="30" t="n">
        <v>10.0071994240461</v>
      </c>
      <c r="H382" s="30" t="n">
        <v>79.1035039487587</v>
      </c>
      <c r="I382" s="30" t="n">
        <v>58.4673097534834</v>
      </c>
      <c r="J382" s="37" t="n">
        <f aca="false">(G382+H382+I382)/3</f>
        <v>49.1926710420961</v>
      </c>
      <c r="K382" s="38" t="n">
        <f aca="false">(J382-MIN(J$6:J$404))/(MAX(J$6:J$404)-MIN(J$6:J$404))*100</f>
        <v>37.9570317798534</v>
      </c>
    </row>
    <row r="383" customFormat="false" ht="15" hidden="false" customHeight="false" outlineLevel="0" collapsed="false">
      <c r="A383" s="26" t="n">
        <v>4127403</v>
      </c>
      <c r="B383" s="26" t="s">
        <v>449</v>
      </c>
      <c r="C383" s="26" t="s">
        <v>65</v>
      </c>
      <c r="D383" s="30" t="n">
        <v>4.15</v>
      </c>
      <c r="E383" s="28" t="n">
        <v>0.132733594569237</v>
      </c>
      <c r="F383" s="29" t="n">
        <v>12.53</v>
      </c>
      <c r="G383" s="30" t="n">
        <v>7.46940244780418</v>
      </c>
      <c r="H383" s="30" t="n">
        <v>77.1467499650545</v>
      </c>
      <c r="I383" s="30" t="n">
        <v>67.1489817792069</v>
      </c>
      <c r="J383" s="37" t="n">
        <f aca="false">(G383+H383+I383)/3</f>
        <v>50.5883780640218</v>
      </c>
      <c r="K383" s="38" t="n">
        <f aca="false">(J383-MIN(J$6:J$404))/(MAX(J$6:J$404)-MIN(J$6:J$404))*100</f>
        <v>40.5710337295876</v>
      </c>
    </row>
    <row r="384" customFormat="false" ht="15" hidden="false" customHeight="false" outlineLevel="0" collapsed="false">
      <c r="A384" s="26" t="n">
        <v>4127502</v>
      </c>
      <c r="B384" s="26" t="s">
        <v>450</v>
      </c>
      <c r="C384" s="26" t="s">
        <v>65</v>
      </c>
      <c r="D384" s="30" t="n">
        <v>10.45</v>
      </c>
      <c r="E384" s="28" t="n">
        <v>0.151244927608837</v>
      </c>
      <c r="F384" s="29" t="n">
        <v>12.88</v>
      </c>
      <c r="G384" s="30" t="n">
        <v>18.8084953203744</v>
      </c>
      <c r="H384" s="30" t="n">
        <v>87.9058135326504</v>
      </c>
      <c r="I384" s="30" t="n">
        <v>69.0246516613076</v>
      </c>
      <c r="J384" s="37" t="n">
        <f aca="false">(G384+H384+I384)/3</f>
        <v>58.5796535047775</v>
      </c>
      <c r="K384" s="38" t="n">
        <f aca="false">(J384-MIN(J$6:J$404))/(MAX(J$6:J$404)-MIN(J$6:J$404))*100</f>
        <v>55.5377919781603</v>
      </c>
    </row>
    <row r="385" customFormat="false" ht="15" hidden="false" customHeight="false" outlineLevel="0" collapsed="false">
      <c r="A385" s="26" t="n">
        <v>4127601</v>
      </c>
      <c r="B385" s="26" t="s">
        <v>451</v>
      </c>
      <c r="C385" s="26" t="s">
        <v>65</v>
      </c>
      <c r="D385" s="30" t="n">
        <v>33.82</v>
      </c>
      <c r="E385" s="28" t="n">
        <v>0.142784177969468</v>
      </c>
      <c r="F385" s="29" t="n">
        <v>11.69</v>
      </c>
      <c r="G385" s="30" t="n">
        <v>60.8711303095752</v>
      </c>
      <c r="H385" s="30" t="n">
        <v>82.9882993263666</v>
      </c>
      <c r="I385" s="30" t="n">
        <v>62.6473740621651</v>
      </c>
      <c r="J385" s="37" t="n">
        <f aca="false">(G385+H385+I385)/3</f>
        <v>68.8356012327023</v>
      </c>
      <c r="K385" s="38" t="n">
        <f aca="false">(J385-MIN(J$6:J$404))/(MAX(J$6:J$404)-MIN(J$6:J$404))*100</f>
        <v>74.7460261820529</v>
      </c>
    </row>
    <row r="386" customFormat="false" ht="15" hidden="false" customHeight="false" outlineLevel="0" collapsed="false">
      <c r="A386" s="26" t="n">
        <v>4127700</v>
      </c>
      <c r="B386" s="26" t="s">
        <v>452</v>
      </c>
      <c r="C386" s="26" t="s">
        <v>69</v>
      </c>
      <c r="D386" s="30" t="n">
        <v>7.59</v>
      </c>
      <c r="E386" s="28" t="n">
        <v>0.129992689572672</v>
      </c>
      <c r="F386" s="29" t="n">
        <v>13.39</v>
      </c>
      <c r="G386" s="30" t="n">
        <v>13.6609071274298</v>
      </c>
      <c r="H386" s="30" t="n">
        <v>75.553694995556</v>
      </c>
      <c r="I386" s="30" t="n">
        <v>71.7577706323687</v>
      </c>
      <c r="J386" s="37" t="n">
        <f aca="false">(G386+H386+I386)/3</f>
        <v>53.6574575851182</v>
      </c>
      <c r="K386" s="38" t="n">
        <f aca="false">(J386-MIN(J$6:J$404))/(MAX(J$6:J$404)-MIN(J$6:J$404))*100</f>
        <v>46.3190737738125</v>
      </c>
    </row>
    <row r="387" customFormat="false" ht="15" hidden="false" customHeight="false" outlineLevel="0" collapsed="false">
      <c r="A387" s="26" t="n">
        <v>4127809</v>
      </c>
      <c r="B387" s="26" t="s">
        <v>453</v>
      </c>
      <c r="C387" s="26" t="s">
        <v>65</v>
      </c>
      <c r="D387" s="30" t="n">
        <v>25.32</v>
      </c>
      <c r="E387" s="28" t="n">
        <v>0.119985758366959</v>
      </c>
      <c r="F387" s="29" t="n">
        <v>9.14</v>
      </c>
      <c r="G387" s="30" t="n">
        <v>45.5723542116631</v>
      </c>
      <c r="H387" s="30" t="n">
        <v>69.7375169424412</v>
      </c>
      <c r="I387" s="30" t="n">
        <v>48.9817792068596</v>
      </c>
      <c r="J387" s="37" t="n">
        <f aca="false">(G387+H387+I387)/3</f>
        <v>54.7638834536546</v>
      </c>
      <c r="K387" s="38" t="n">
        <f aca="false">(J387-MIN(J$6:J$404))/(MAX(J$6:J$404)-MIN(J$6:J$404))*100</f>
        <v>48.3912847265094</v>
      </c>
    </row>
    <row r="388" customFormat="false" ht="15" hidden="false" customHeight="false" outlineLevel="0" collapsed="false">
      <c r="A388" s="26" t="n">
        <v>4127858</v>
      </c>
      <c r="B388" s="26" t="s">
        <v>454</v>
      </c>
      <c r="C388" s="26" t="s">
        <v>65</v>
      </c>
      <c r="D388" s="30" t="n">
        <v>14.08</v>
      </c>
      <c r="E388" s="28" t="n">
        <v>0.136775931746745</v>
      </c>
      <c r="F388" s="29" t="n">
        <v>13.56</v>
      </c>
      <c r="G388" s="30" t="n">
        <v>25.3419726421886</v>
      </c>
      <c r="H388" s="30" t="n">
        <v>79.4962167787854</v>
      </c>
      <c r="I388" s="30" t="n">
        <v>72.6688102893891</v>
      </c>
      <c r="J388" s="37" t="n">
        <f aca="false">(G388+H388+I388)/3</f>
        <v>59.1689999034544</v>
      </c>
      <c r="K388" s="38" t="n">
        <f aca="false">(J388-MIN(J$6:J$404))/(MAX(J$6:J$404)-MIN(J$6:J$404))*100</f>
        <v>56.6415713609455</v>
      </c>
    </row>
    <row r="389" customFormat="false" ht="15" hidden="false" customHeight="false" outlineLevel="0" collapsed="false">
      <c r="A389" s="26" t="n">
        <v>4127882</v>
      </c>
      <c r="B389" s="26" t="s">
        <v>455</v>
      </c>
      <c r="C389" s="26" t="s">
        <v>65</v>
      </c>
      <c r="D389" s="30" t="n">
        <v>8.55</v>
      </c>
      <c r="E389" s="28" t="n">
        <v>0.172053384788551</v>
      </c>
      <c r="F389" s="29" t="n">
        <v>16.56</v>
      </c>
      <c r="G389" s="30" t="n">
        <v>15.3887688984881</v>
      </c>
      <c r="H389" s="30" t="n">
        <v>100</v>
      </c>
      <c r="I389" s="30" t="n">
        <v>88.7459807073955</v>
      </c>
      <c r="J389" s="37" t="n">
        <f aca="false">(G389+H389+I389)/3</f>
        <v>68.0449165352945</v>
      </c>
      <c r="K389" s="38" t="n">
        <f aca="false">(J389-MIN(J$6:J$404))/(MAX(J$6:J$404)-MIN(J$6:J$404))*100</f>
        <v>73.2651628574584</v>
      </c>
    </row>
    <row r="390" customFormat="false" ht="15" hidden="false" customHeight="false" outlineLevel="0" collapsed="false">
      <c r="A390" s="26" t="n">
        <v>4127908</v>
      </c>
      <c r="B390" s="26" t="s">
        <v>456</v>
      </c>
      <c r="C390" s="26" t="s">
        <v>65</v>
      </c>
      <c r="D390" s="30" t="n">
        <v>11.11</v>
      </c>
      <c r="E390" s="28" t="n">
        <v>0.13003594892773</v>
      </c>
      <c r="F390" s="29" t="n">
        <v>11.03</v>
      </c>
      <c r="G390" s="30" t="n">
        <v>19.996400287977</v>
      </c>
      <c r="H390" s="30" t="n">
        <v>75.5788379795846</v>
      </c>
      <c r="I390" s="30" t="n">
        <v>59.1103965702036</v>
      </c>
      <c r="J390" s="37" t="n">
        <f aca="false">(G390+H390+I390)/3</f>
        <v>51.5618782792551</v>
      </c>
      <c r="K390" s="38" t="n">
        <f aca="false">(J390-MIN(J$6:J$404))/(MAX(J$6:J$404)-MIN(J$6:J$404))*100</f>
        <v>42.3942899149546</v>
      </c>
    </row>
    <row r="391" customFormat="false" ht="15" hidden="false" customHeight="false" outlineLevel="0" collapsed="false">
      <c r="A391" s="26" t="n">
        <v>4127957</v>
      </c>
      <c r="B391" s="26" t="s">
        <v>457</v>
      </c>
      <c r="C391" s="26" t="s">
        <v>65</v>
      </c>
      <c r="D391" s="30" t="n">
        <v>0</v>
      </c>
      <c r="E391" s="28" t="n">
        <v>0.119103627584499</v>
      </c>
      <c r="F391" s="29" t="n">
        <v>10.03</v>
      </c>
      <c r="G391" s="30" t="n">
        <v>0</v>
      </c>
      <c r="H391" s="30" t="n">
        <v>69.2248093409346</v>
      </c>
      <c r="I391" s="30" t="n">
        <v>53.7513397642015</v>
      </c>
      <c r="J391" s="37" t="n">
        <f aca="false">(G391+H391+I391)/3</f>
        <v>40.992049701712</v>
      </c>
      <c r="K391" s="38" t="n">
        <f aca="false">(J391-MIN(J$6:J$404))/(MAX(J$6:J$404)-MIN(J$6:J$404))*100</f>
        <v>22.5981922554823</v>
      </c>
    </row>
    <row r="392" customFormat="false" ht="15" hidden="false" customHeight="false" outlineLevel="0" collapsed="false">
      <c r="A392" s="26" t="n">
        <v>4127965</v>
      </c>
      <c r="B392" s="26" t="s">
        <v>458</v>
      </c>
      <c r="C392" s="26" t="s">
        <v>65</v>
      </c>
      <c r="D392" s="30" t="n">
        <v>0</v>
      </c>
      <c r="E392" s="28" t="n">
        <v>0.145527369826435</v>
      </c>
      <c r="F392" s="29" t="n">
        <v>14.55</v>
      </c>
      <c r="G392" s="30" t="n">
        <v>0</v>
      </c>
      <c r="H392" s="30" t="n">
        <v>84.5826834533272</v>
      </c>
      <c r="I392" s="30" t="n">
        <v>77.9742765273312</v>
      </c>
      <c r="J392" s="37" t="n">
        <f aca="false">(G392+H392+I392)/3</f>
        <v>54.1856533268861</v>
      </c>
      <c r="K392" s="38" t="n">
        <f aca="false">(J392-MIN(J$6:J$404))/(MAX(J$6:J$404)-MIN(J$6:J$404))*100</f>
        <v>47.3083248681558</v>
      </c>
    </row>
    <row r="393" customFormat="false" ht="15" hidden="false" customHeight="false" outlineLevel="0" collapsed="false">
      <c r="A393" s="26" t="n">
        <v>4128005</v>
      </c>
      <c r="B393" s="26" t="s">
        <v>459</v>
      </c>
      <c r="C393" s="26" t="s">
        <v>86</v>
      </c>
      <c r="D393" s="30" t="n">
        <v>3.04</v>
      </c>
      <c r="E393" s="28" t="n">
        <v>0.12832841730979</v>
      </c>
      <c r="F393" s="29" t="n">
        <v>12</v>
      </c>
      <c r="G393" s="30" t="n">
        <v>5.471562275018</v>
      </c>
      <c r="H393" s="30" t="n">
        <v>74.5863950700548</v>
      </c>
      <c r="I393" s="30" t="n">
        <v>64.3086816720257</v>
      </c>
      <c r="J393" s="37" t="n">
        <f aca="false">(G393+H393+I393)/3</f>
        <v>48.1222130056995</v>
      </c>
      <c r="K393" s="38" t="n">
        <f aca="false">(J393-MIN(J$6:J$404))/(MAX(J$6:J$404)-MIN(J$6:J$404))*100</f>
        <v>35.9521845230212</v>
      </c>
    </row>
    <row r="394" customFormat="false" ht="15" hidden="false" customHeight="false" outlineLevel="0" collapsed="false">
      <c r="A394" s="26" t="n">
        <v>4128104</v>
      </c>
      <c r="B394" s="26" t="s">
        <v>460</v>
      </c>
      <c r="C394" s="26" t="s">
        <v>69</v>
      </c>
      <c r="D394" s="30" t="n">
        <v>14.61</v>
      </c>
      <c r="E394" s="28" t="n">
        <v>0.126273538579786</v>
      </c>
      <c r="F394" s="29" t="n">
        <v>12.93</v>
      </c>
      <c r="G394" s="30" t="n">
        <v>26.2958963282937</v>
      </c>
      <c r="H394" s="30" t="n">
        <v>73.3920688250175</v>
      </c>
      <c r="I394" s="30" t="n">
        <v>69.2926045016077</v>
      </c>
      <c r="J394" s="37" t="n">
        <f aca="false">(G394+H394+I394)/3</f>
        <v>56.3268565516396</v>
      </c>
      <c r="K394" s="38" t="n">
        <f aca="false">(J394-MIN(J$6:J$404))/(MAX(J$6:J$404)-MIN(J$6:J$404))*100</f>
        <v>51.3185571850787</v>
      </c>
    </row>
    <row r="395" customFormat="false" ht="15" hidden="false" customHeight="false" outlineLevel="0" collapsed="false">
      <c r="A395" s="26" t="n">
        <v>4128203</v>
      </c>
      <c r="B395" s="26" t="s">
        <v>461</v>
      </c>
      <c r="C395" s="26" t="s">
        <v>86</v>
      </c>
      <c r="D395" s="30" t="n">
        <v>6.39</v>
      </c>
      <c r="E395" s="28" t="n">
        <v>0.130957788962986</v>
      </c>
      <c r="F395" s="29" t="n">
        <v>13.65</v>
      </c>
      <c r="G395" s="30" t="n">
        <v>11.5010799136069</v>
      </c>
      <c r="H395" s="30" t="n">
        <v>76.114625192599</v>
      </c>
      <c r="I395" s="30" t="n">
        <v>73.1511254019293</v>
      </c>
      <c r="J395" s="37" t="n">
        <f aca="false">(G395+H395+I395)/3</f>
        <v>53.5889435027117</v>
      </c>
      <c r="K395" s="38" t="n">
        <f aca="false">(J395-MIN(J$6:J$404))/(MAX(J$6:J$404)-MIN(J$6:J$404))*100</f>
        <v>46.1907546193043</v>
      </c>
    </row>
    <row r="396" customFormat="false" ht="15" hidden="false" customHeight="false" outlineLevel="0" collapsed="false">
      <c r="A396" s="26" t="n">
        <v>4128302</v>
      </c>
      <c r="B396" s="26" t="s">
        <v>462</v>
      </c>
      <c r="C396" s="26" t="s">
        <v>71</v>
      </c>
      <c r="D396" s="30" t="n">
        <v>0</v>
      </c>
      <c r="E396" s="28" t="n">
        <v>0.125468164794008</v>
      </c>
      <c r="F396" s="29" t="n">
        <v>8.43</v>
      </c>
      <c r="G396" s="30" t="n">
        <v>0</v>
      </c>
      <c r="H396" s="30" t="n">
        <v>72.9239735377507</v>
      </c>
      <c r="I396" s="30" t="n">
        <v>45.1768488745981</v>
      </c>
      <c r="J396" s="37" t="n">
        <f aca="false">(G396+H396+I396)/3</f>
        <v>39.3669408041163</v>
      </c>
      <c r="K396" s="38" t="n">
        <f aca="false">(J396-MIN(J$6:J$404))/(MAX(J$6:J$404)-MIN(J$6:J$404))*100</f>
        <v>19.5545464472206</v>
      </c>
    </row>
    <row r="397" customFormat="false" ht="15" hidden="false" customHeight="false" outlineLevel="0" collapsed="false">
      <c r="A397" s="26" t="n">
        <v>4128401</v>
      </c>
      <c r="B397" s="26" t="s">
        <v>463</v>
      </c>
      <c r="C397" s="26" t="s">
        <v>65</v>
      </c>
      <c r="D397" s="30" t="n">
        <v>0</v>
      </c>
      <c r="E397" s="28" t="n">
        <v>0.116471266576975</v>
      </c>
      <c r="F397" s="29" t="n">
        <v>8.46</v>
      </c>
      <c r="G397" s="30" t="n">
        <v>0</v>
      </c>
      <c r="H397" s="30" t="n">
        <v>67.6948417609539</v>
      </c>
      <c r="I397" s="30" t="n">
        <v>45.3376205787781</v>
      </c>
      <c r="J397" s="37" t="n">
        <f aca="false">(G397+H397+I397)/3</f>
        <v>37.6774874465773</v>
      </c>
      <c r="K397" s="38" t="n">
        <f aca="false">(J397-MIN(J$6:J$404))/(MAX(J$6:J$404)-MIN(J$6:J$404))*100</f>
        <v>16.3903907173896</v>
      </c>
    </row>
    <row r="398" customFormat="false" ht="15" hidden="false" customHeight="false" outlineLevel="0" collapsed="false">
      <c r="A398" s="26" t="n">
        <v>4128534</v>
      </c>
      <c r="B398" s="26" t="s">
        <v>464</v>
      </c>
      <c r="C398" s="26" t="s">
        <v>65</v>
      </c>
      <c r="D398" s="30" t="n">
        <v>25</v>
      </c>
      <c r="E398" s="28" t="n">
        <v>0.14068794546018</v>
      </c>
      <c r="F398" s="29" t="n">
        <v>13.74</v>
      </c>
      <c r="G398" s="30" t="n">
        <v>44.996400287977</v>
      </c>
      <c r="H398" s="30" t="n">
        <v>81.7699376464353</v>
      </c>
      <c r="I398" s="30" t="n">
        <v>73.6334405144695</v>
      </c>
      <c r="J398" s="37" t="n">
        <f aca="false">(G398+H398+I398)/3</f>
        <v>66.7999261496272</v>
      </c>
      <c r="K398" s="38" t="n">
        <f aca="false">(J398-MIN(J$6:J$404))/(MAX(J$6:J$404)-MIN(J$6:J$404))*100</f>
        <v>70.9334361810071</v>
      </c>
    </row>
    <row r="399" customFormat="false" ht="15" hidden="false" customHeight="false" outlineLevel="0" collapsed="false">
      <c r="A399" s="26" t="n">
        <v>4128559</v>
      </c>
      <c r="B399" s="26" t="s">
        <v>465</v>
      </c>
      <c r="C399" s="26" t="s">
        <v>65</v>
      </c>
      <c r="D399" s="30" t="n">
        <v>0</v>
      </c>
      <c r="E399" s="28" t="n">
        <v>0.1253804017042</v>
      </c>
      <c r="F399" s="29" t="n">
        <v>11.44</v>
      </c>
      <c r="G399" s="30" t="n">
        <v>0</v>
      </c>
      <c r="H399" s="30" t="n">
        <v>72.8729643176091</v>
      </c>
      <c r="I399" s="30" t="n">
        <v>61.3076098606645</v>
      </c>
      <c r="J399" s="37" t="n">
        <f aca="false">(G399+H399+I399)/3</f>
        <v>44.7268580594246</v>
      </c>
      <c r="K399" s="38" t="n">
        <f aca="false">(J399-MIN(J$6:J$404))/(MAX(J$6:J$404)-MIN(J$6:J$404))*100</f>
        <v>29.5930673801153</v>
      </c>
    </row>
    <row r="400" customFormat="false" ht="15" hidden="false" customHeight="false" outlineLevel="0" collapsed="false">
      <c r="A400" s="26" t="n">
        <v>4128609</v>
      </c>
      <c r="B400" s="26" t="s">
        <v>466</v>
      </c>
      <c r="C400" s="26" t="s">
        <v>65</v>
      </c>
      <c r="D400" s="30" t="n">
        <v>11.49</v>
      </c>
      <c r="E400" s="28" t="n">
        <v>0.123298033282905</v>
      </c>
      <c r="F400" s="29" t="n">
        <v>12.73</v>
      </c>
      <c r="G400" s="30" t="n">
        <v>20.6803455723542</v>
      </c>
      <c r="H400" s="30" t="n">
        <v>71.6626606529331</v>
      </c>
      <c r="I400" s="30" t="n">
        <v>68.2207931404073</v>
      </c>
      <c r="J400" s="37" t="n">
        <f aca="false">(G400+H400+I400)/3</f>
        <v>53.5212664552315</v>
      </c>
      <c r="K400" s="38" t="n">
        <f aca="false">(J400-MIN(J$6:J$404))/(MAX(J$6:J$404)-MIN(J$6:J$404))*100</f>
        <v>46.0640031368754</v>
      </c>
    </row>
    <row r="401" customFormat="false" ht="15" hidden="false" customHeight="false" outlineLevel="0" collapsed="false">
      <c r="A401" s="26" t="n">
        <v>4128658</v>
      </c>
      <c r="B401" s="26" t="s">
        <v>467</v>
      </c>
      <c r="C401" s="26" t="s">
        <v>71</v>
      </c>
      <c r="D401" s="30" t="n">
        <v>19.23</v>
      </c>
      <c r="E401" s="28" t="n">
        <v>0.13670952505904</v>
      </c>
      <c r="F401" s="29" t="n">
        <v>14.17</v>
      </c>
      <c r="G401" s="30" t="n">
        <v>34.6112311015119</v>
      </c>
      <c r="H401" s="30" t="n">
        <v>79.4576202188942</v>
      </c>
      <c r="I401" s="30" t="n">
        <v>75.9378349410504</v>
      </c>
      <c r="J401" s="37" t="n">
        <f aca="false">(G401+H401+I401)/3</f>
        <v>63.3355620871521</v>
      </c>
      <c r="K401" s="38" t="n">
        <f aca="false">(J401-MIN(J$6:J$404))/(MAX(J$6:J$404)-MIN(J$6:J$404))*100</f>
        <v>64.4450727410898</v>
      </c>
    </row>
    <row r="402" customFormat="false" ht="15" hidden="false" customHeight="false" outlineLevel="0" collapsed="false">
      <c r="A402" s="26" t="n">
        <v>4128708</v>
      </c>
      <c r="B402" s="26" t="s">
        <v>468</v>
      </c>
      <c r="C402" s="26" t="s">
        <v>65</v>
      </c>
      <c r="D402" s="30" t="n">
        <v>0</v>
      </c>
      <c r="E402" s="28" t="n">
        <v>0.158458685349269</v>
      </c>
      <c r="F402" s="29" t="n">
        <v>12.98</v>
      </c>
      <c r="G402" s="30" t="n">
        <v>0</v>
      </c>
      <c r="H402" s="30" t="n">
        <v>92.0985574006636</v>
      </c>
      <c r="I402" s="30" t="n">
        <v>69.5605573419078</v>
      </c>
      <c r="J402" s="37" t="n">
        <f aca="false">(G402+H402+I402)/3</f>
        <v>53.8863715808571</v>
      </c>
      <c r="K402" s="38" t="n">
        <f aca="false">(J402-MIN(J$6:J$404))/(MAX(J$6:J$404)-MIN(J$6:J$404))*100</f>
        <v>46.7478038882154</v>
      </c>
    </row>
    <row r="403" customFormat="false" ht="15" hidden="false" customHeight="false" outlineLevel="0" collapsed="false">
      <c r="A403" s="26" t="n">
        <v>4128500</v>
      </c>
      <c r="B403" s="26" t="s">
        <v>469</v>
      </c>
      <c r="C403" s="26" t="s">
        <v>65</v>
      </c>
      <c r="D403" s="30" t="n">
        <v>6.54</v>
      </c>
      <c r="E403" s="28" t="n">
        <v>0.134615384615385</v>
      </c>
      <c r="F403" s="29" t="n">
        <v>14.07</v>
      </c>
      <c r="G403" s="30" t="n">
        <v>11.7710583153348</v>
      </c>
      <c r="H403" s="30" t="n">
        <v>78.2404744787922</v>
      </c>
      <c r="I403" s="30" t="n">
        <v>75.4019292604502</v>
      </c>
      <c r="J403" s="37" t="n">
        <f aca="false">(G403+H403+I403)/3</f>
        <v>55.1378206848591</v>
      </c>
      <c r="K403" s="38" t="n">
        <f aca="false">(J403-MIN(J$6:J$404))/(MAX(J$6:J$404)-MIN(J$6:J$404))*100</f>
        <v>49.0916270161813</v>
      </c>
    </row>
    <row r="404" customFormat="false" ht="15" hidden="false" customHeight="false" outlineLevel="0" collapsed="false">
      <c r="A404" s="26" t="n">
        <v>4128807</v>
      </c>
      <c r="B404" s="26" t="s">
        <v>470</v>
      </c>
      <c r="C404" s="26" t="s">
        <v>65</v>
      </c>
      <c r="D404" s="30" t="n">
        <v>0</v>
      </c>
      <c r="E404" s="28" t="n">
        <v>0.124870645050017</v>
      </c>
      <c r="F404" s="29" t="n">
        <v>11.9</v>
      </c>
      <c r="G404" s="30" t="n">
        <v>0</v>
      </c>
      <c r="H404" s="30" t="n">
        <v>72.5766861276689</v>
      </c>
      <c r="I404" s="30" t="n">
        <v>63.7727759914255</v>
      </c>
      <c r="J404" s="37" t="n">
        <f aca="false">(G404+H404+I404)/3</f>
        <v>45.4498207063648</v>
      </c>
      <c r="K404" s="38" t="n">
        <f aca="false">(J404-MIN(J$6:J$404))/(MAX(J$6:J$404)-MIN(J$6:J$404))*100</f>
        <v>30.9470949367577</v>
      </c>
    </row>
    <row r="406" customFormat="false" ht="15" hidden="false" customHeight="false" outlineLevel="0" collapsed="false">
      <c r="A406" s="32" t="s">
        <v>492</v>
      </c>
    </row>
    <row r="407" customFormat="false" ht="15" hidden="false" customHeight="false" outlineLevel="0" collapsed="false">
      <c r="A407" s="32" t="s">
        <v>493</v>
      </c>
    </row>
  </sheetData>
  <mergeCells count="4">
    <mergeCell ref="A4:C4"/>
    <mergeCell ref="D4:F4"/>
    <mergeCell ref="G4:I4"/>
    <mergeCell ref="J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07E3E"/>
    <pageSetUpPr fitToPage="true"/>
  </sheetPr>
  <dimension ref="A1:K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10" min="4" style="0" width="13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9" t="s">
        <v>494</v>
      </c>
    </row>
    <row r="2" customFormat="false" ht="15" hidden="false" customHeight="false" outlineLevel="0" collapsed="false">
      <c r="A2" s="2" t="s">
        <v>474</v>
      </c>
    </row>
    <row r="4" customFormat="false" ht="15" hidden="false" customHeight="false" outlineLevel="0" collapsed="false">
      <c r="A4" s="20" t="s">
        <v>46</v>
      </c>
      <c r="B4" s="20"/>
      <c r="C4" s="20"/>
      <c r="D4" s="23" t="s">
        <v>475</v>
      </c>
      <c r="E4" s="23"/>
      <c r="F4" s="23"/>
      <c r="G4" s="23" t="s">
        <v>476</v>
      </c>
      <c r="H4" s="23"/>
      <c r="I4" s="23"/>
      <c r="J4" s="23" t="s">
        <v>477</v>
      </c>
      <c r="K4" s="23"/>
    </row>
    <row r="5" customFormat="false" ht="43.5" hidden="false" customHeight="true" outlineLevel="0" collapsed="false">
      <c r="A5" s="39" t="s">
        <v>47</v>
      </c>
      <c r="B5" s="39" t="s">
        <v>46</v>
      </c>
      <c r="C5" s="39" t="s">
        <v>48</v>
      </c>
      <c r="D5" s="39" t="s">
        <v>60</v>
      </c>
      <c r="E5" s="39" t="s">
        <v>62</v>
      </c>
      <c r="F5" s="39" t="s">
        <v>63</v>
      </c>
      <c r="G5" s="39" t="s">
        <v>495</v>
      </c>
      <c r="H5" s="39" t="s">
        <v>496</v>
      </c>
      <c r="I5" s="39" t="s">
        <v>497</v>
      </c>
      <c r="J5" s="39" t="s">
        <v>498</v>
      </c>
      <c r="K5" s="39" t="s">
        <v>499</v>
      </c>
    </row>
    <row r="6" customFormat="false" ht="15" hidden="false" customHeight="false" outlineLevel="0" collapsed="false">
      <c r="A6" s="26" t="n">
        <v>4100103</v>
      </c>
      <c r="B6" s="26" t="s">
        <v>64</v>
      </c>
      <c r="C6" s="26" t="s">
        <v>65</v>
      </c>
      <c r="D6" s="28" t="n">
        <v>0.0454545454545454</v>
      </c>
      <c r="E6" s="28" t="n">
        <v>0.296610169491525</v>
      </c>
      <c r="F6" s="31" t="n">
        <v>0.410076721309773</v>
      </c>
      <c r="G6" s="30" t="n">
        <v>4.54545454545455</v>
      </c>
      <c r="H6" s="30" t="n">
        <v>45.8136273100177</v>
      </c>
      <c r="I6" s="30" t="n">
        <v>70.4201075014217</v>
      </c>
      <c r="J6" s="40" t="n">
        <f aca="false">(G6+H6+I6)/3</f>
        <v>40.2597297856313</v>
      </c>
      <c r="K6" s="41" t="n">
        <f aca="false">(J6-MIN(J$6:J$404))/(MAX(J$6:J$404)-MIN(J$6:J$404))*100</f>
        <v>51.8193691358021</v>
      </c>
    </row>
    <row r="7" customFormat="false" ht="15" hidden="false" customHeight="false" outlineLevel="0" collapsed="false">
      <c r="A7" s="26" t="n">
        <v>4100202</v>
      </c>
      <c r="B7" s="26" t="s">
        <v>66</v>
      </c>
      <c r="C7" s="26" t="s">
        <v>65</v>
      </c>
      <c r="D7" s="28" t="n">
        <v>0.024390243902439</v>
      </c>
      <c r="E7" s="28" t="n">
        <v>0.291767554479419</v>
      </c>
      <c r="F7" s="31" t="n">
        <v>0.533454037162468</v>
      </c>
      <c r="G7" s="30" t="n">
        <v>2.4390243902439</v>
      </c>
      <c r="H7" s="30" t="n">
        <v>44.9807061613301</v>
      </c>
      <c r="I7" s="30" t="n">
        <v>49.8848447671719</v>
      </c>
      <c r="J7" s="40" t="n">
        <f aca="false">(G7+H7+I7)/3</f>
        <v>32.434858439582</v>
      </c>
      <c r="K7" s="41" t="n">
        <f aca="false">(J7-MIN(J$6:J$404))/(MAX(J$6:J$404)-MIN(J$6:J$404))*100</f>
        <v>39.6745053132032</v>
      </c>
    </row>
    <row r="8" customFormat="false" ht="15" hidden="false" customHeight="false" outlineLevel="0" collapsed="false">
      <c r="A8" s="26" t="n">
        <v>4100301</v>
      </c>
      <c r="B8" s="26" t="s">
        <v>67</v>
      </c>
      <c r="C8" s="26" t="s">
        <v>65</v>
      </c>
      <c r="D8" s="28" t="n">
        <v>0.0714285714285714</v>
      </c>
      <c r="E8" s="28" t="n">
        <v>0.342915811088296</v>
      </c>
      <c r="F8" s="31" t="n">
        <v>0.381042759814886</v>
      </c>
      <c r="G8" s="30" t="n">
        <v>7.14285714285714</v>
      </c>
      <c r="H8" s="30" t="n">
        <v>53.7781151111487</v>
      </c>
      <c r="I8" s="30" t="n">
        <v>75.2526006010887</v>
      </c>
      <c r="J8" s="40" t="n">
        <f aca="false">(G8+H8+I8)/3</f>
        <v>45.3911909516982</v>
      </c>
      <c r="K8" s="41" t="n">
        <f aca="false">(J8-MIN(J$6:J$404))/(MAX(J$6:J$404)-MIN(J$6:J$404))*100</f>
        <v>59.7838319770093</v>
      </c>
    </row>
    <row r="9" customFormat="false" ht="15" hidden="false" customHeight="false" outlineLevel="0" collapsed="false">
      <c r="A9" s="26" t="n">
        <v>4100400</v>
      </c>
      <c r="B9" s="26" t="s">
        <v>68</v>
      </c>
      <c r="C9" s="26" t="s">
        <v>69</v>
      </c>
      <c r="D9" s="28" t="n">
        <v>0.0297131147540983</v>
      </c>
      <c r="E9" s="28" t="n">
        <v>0.174455685067077</v>
      </c>
      <c r="F9" s="31" t="n">
        <v>0.425420189058817</v>
      </c>
      <c r="G9" s="30" t="n">
        <v>2.97131147540984</v>
      </c>
      <c r="H9" s="30" t="n">
        <v>24.803273765541</v>
      </c>
      <c r="I9" s="30" t="n">
        <v>67.8662981621318</v>
      </c>
      <c r="J9" s="40" t="n">
        <f aca="false">(G9+H9+I9)/3</f>
        <v>31.8802944676942</v>
      </c>
      <c r="K9" s="41" t="n">
        <f aca="false">(J9-MIN(J$6:J$404))/(MAX(J$6:J$404)-MIN(J$6:J$404))*100</f>
        <v>38.8137750057462</v>
      </c>
    </row>
    <row r="10" customFormat="false" ht="15" hidden="false" customHeight="false" outlineLevel="0" collapsed="false">
      <c r="A10" s="26" t="n">
        <v>4100459</v>
      </c>
      <c r="B10" s="26" t="s">
        <v>70</v>
      </c>
      <c r="C10" s="26" t="s">
        <v>71</v>
      </c>
      <c r="D10" s="28" t="n">
        <v>0.0476190476190476</v>
      </c>
      <c r="E10" s="28" t="n">
        <v>0.305494505494506</v>
      </c>
      <c r="F10" s="31" t="n">
        <v>0.393666540487439</v>
      </c>
      <c r="G10" s="30" t="n">
        <v>4.76190476190476</v>
      </c>
      <c r="H10" s="30" t="n">
        <v>47.3417172635714</v>
      </c>
      <c r="I10" s="30" t="n">
        <v>73.1514635239948</v>
      </c>
      <c r="J10" s="40" t="n">
        <f aca="false">(G10+H10+I10)/3</f>
        <v>41.751695183157</v>
      </c>
      <c r="K10" s="41" t="n">
        <f aca="false">(J10-MIN(J$6:J$404))/(MAX(J$6:J$404)-MIN(J$6:J$404))*100</f>
        <v>54.1350259408341</v>
      </c>
    </row>
    <row r="11" customFormat="false" ht="15" hidden="false" customHeight="false" outlineLevel="0" collapsed="false">
      <c r="A11" s="26" t="n">
        <v>4128625</v>
      </c>
      <c r="B11" s="26" t="s">
        <v>72</v>
      </c>
      <c r="C11" s="26" t="s">
        <v>71</v>
      </c>
      <c r="D11" s="28" t="n">
        <v>0.074074074074074</v>
      </c>
      <c r="E11" s="28" t="n">
        <v>0.291571753986333</v>
      </c>
      <c r="F11" s="31" t="n">
        <v>0.493953774102279</v>
      </c>
      <c r="G11" s="30" t="n">
        <v>7.40740740740741</v>
      </c>
      <c r="H11" s="30" t="n">
        <v>44.9470288255916</v>
      </c>
      <c r="I11" s="30" t="n">
        <v>56.4593781358619</v>
      </c>
      <c r="J11" s="40" t="n">
        <f aca="false">(G11+H11+I11)/3</f>
        <v>36.271271456287</v>
      </c>
      <c r="K11" s="41" t="n">
        <f aca="false">(J11-MIN(J$6:J$404))/(MAX(J$6:J$404)-MIN(J$6:J$404))*100</f>
        <v>45.6289436157131</v>
      </c>
    </row>
    <row r="12" customFormat="false" ht="15" hidden="false" customHeight="false" outlineLevel="0" collapsed="false">
      <c r="A12" s="26" t="n">
        <v>4100608</v>
      </c>
      <c r="B12" s="26" t="s">
        <v>73</v>
      </c>
      <c r="C12" s="26" t="s">
        <v>65</v>
      </c>
      <c r="D12" s="28" t="n">
        <v>0.0086206896551724</v>
      </c>
      <c r="E12" s="28" t="n">
        <v>0.296257248286769</v>
      </c>
      <c r="F12" s="31" t="n">
        <v>0.403403815314921</v>
      </c>
      <c r="G12" s="30" t="n">
        <v>0.862068965517241</v>
      </c>
      <c r="H12" s="30" t="n">
        <v>45.752925491986</v>
      </c>
      <c r="I12" s="30" t="n">
        <v>71.5307644877419</v>
      </c>
      <c r="J12" s="40" t="n">
        <f aca="false">(G12+H12+I12)/3</f>
        <v>39.3819196484151</v>
      </c>
      <c r="K12" s="41" t="n">
        <f aca="false">(J12-MIN(J$6:J$404))/(MAX(J$6:J$404)-MIN(J$6:J$404))*100</f>
        <v>50.4569333707757</v>
      </c>
    </row>
    <row r="13" customFormat="false" ht="15" hidden="false" customHeight="false" outlineLevel="0" collapsed="false">
      <c r="A13" s="26" t="n">
        <v>4100707</v>
      </c>
      <c r="B13" s="26" t="s">
        <v>74</v>
      </c>
      <c r="C13" s="26" t="s">
        <v>65</v>
      </c>
      <c r="D13" s="28" t="n">
        <v>0.0416666666666666</v>
      </c>
      <c r="E13" s="28" t="n">
        <v>0.280285035629454</v>
      </c>
      <c r="F13" s="31" t="n">
        <v>0.457955838688806</v>
      </c>
      <c r="G13" s="30" t="n">
        <v>4.16666666666667</v>
      </c>
      <c r="H13" s="30" t="n">
        <v>43.005733390125</v>
      </c>
      <c r="I13" s="30" t="n">
        <v>62.4509743745807</v>
      </c>
      <c r="J13" s="40" t="n">
        <f aca="false">(G13+H13+I13)/3</f>
        <v>36.5411248104574</v>
      </c>
      <c r="K13" s="41" t="n">
        <f aca="false">(J13-MIN(J$6:J$404))/(MAX(J$6:J$404)-MIN(J$6:J$404))*100</f>
        <v>46.047778903034</v>
      </c>
    </row>
    <row r="14" customFormat="false" ht="15" hidden="false" customHeight="false" outlineLevel="0" collapsed="false">
      <c r="A14" s="26" t="n">
        <v>4100509</v>
      </c>
      <c r="B14" s="26" t="s">
        <v>75</v>
      </c>
      <c r="C14" s="26" t="s">
        <v>65</v>
      </c>
      <c r="D14" s="28" t="n">
        <v>0</v>
      </c>
      <c r="E14" s="28" t="n">
        <v>0.180335296782963</v>
      </c>
      <c r="F14" s="31" t="n">
        <v>0.401043560452132</v>
      </c>
      <c r="G14" s="30" t="n">
        <v>0</v>
      </c>
      <c r="H14" s="30" t="n">
        <v>25.8145564985251</v>
      </c>
      <c r="I14" s="30" t="n">
        <v>71.923611855122</v>
      </c>
      <c r="J14" s="40" t="n">
        <f aca="false">(G14+H14+I14)/3</f>
        <v>32.5793894512157</v>
      </c>
      <c r="K14" s="41" t="n">
        <f aca="false">(J14-MIN(J$6:J$404))/(MAX(J$6:J$404)-MIN(J$6:J$404))*100</f>
        <v>39.8988296984623</v>
      </c>
    </row>
    <row r="15" customFormat="false" ht="15" hidden="false" customHeight="false" outlineLevel="0" collapsed="false">
      <c r="A15" s="26" t="n">
        <v>4100806</v>
      </c>
      <c r="B15" s="26" t="s">
        <v>76</v>
      </c>
      <c r="C15" s="26" t="s">
        <v>65</v>
      </c>
      <c r="D15" s="28" t="n">
        <v>0.0163934426229508</v>
      </c>
      <c r="E15" s="28" t="n">
        <v>0.258606213266163</v>
      </c>
      <c r="F15" s="31" t="n">
        <v>0.409410859345946</v>
      </c>
      <c r="G15" s="30" t="n">
        <v>1.63934426229508</v>
      </c>
      <c r="H15" s="30" t="n">
        <v>39.2770145925571</v>
      </c>
      <c r="I15" s="30" t="n">
        <v>70.5309354139712</v>
      </c>
      <c r="J15" s="40" t="n">
        <f aca="false">(G15+H15+I15)/3</f>
        <v>37.1490980896078</v>
      </c>
      <c r="K15" s="41" t="n">
        <f aca="false">(J15-MIN(J$6:J$404))/(MAX(J$6:J$404)-MIN(J$6:J$404))*100</f>
        <v>46.9914049840926</v>
      </c>
    </row>
    <row r="16" customFormat="false" ht="15" hidden="false" customHeight="false" outlineLevel="0" collapsed="false">
      <c r="A16" s="26" t="n">
        <v>4100905</v>
      </c>
      <c r="B16" s="26" t="s">
        <v>77</v>
      </c>
      <c r="C16" s="26" t="s">
        <v>71</v>
      </c>
      <c r="D16" s="28" t="n">
        <v>0.0178571428571428</v>
      </c>
      <c r="E16" s="28" t="n">
        <v>0.474025974025974</v>
      </c>
      <c r="F16" s="31" t="n">
        <v>0.431445405906494</v>
      </c>
      <c r="G16" s="30" t="n">
        <v>1.78571428571429</v>
      </c>
      <c r="H16" s="30" t="n">
        <v>76.3288293937529</v>
      </c>
      <c r="I16" s="30" t="n">
        <v>66.8634443543411</v>
      </c>
      <c r="J16" s="40" t="n">
        <f aca="false">(G16+H16+I16)/3</f>
        <v>48.3259960112694</v>
      </c>
      <c r="K16" s="41" t="n">
        <f aca="false">(J16-MIN(J$6:J$404))/(MAX(J$6:J$404)-MIN(J$6:J$404))*100</f>
        <v>64.3388982800947</v>
      </c>
    </row>
    <row r="17" customFormat="false" ht="15" hidden="false" customHeight="false" outlineLevel="0" collapsed="false">
      <c r="A17" s="26" t="n">
        <v>4101002</v>
      </c>
      <c r="B17" s="26" t="s">
        <v>78</v>
      </c>
      <c r="C17" s="26" t="s">
        <v>65</v>
      </c>
      <c r="D17" s="28" t="n">
        <v>0.0099750623441396</v>
      </c>
      <c r="E17" s="28" t="n">
        <v>0.104018024784078</v>
      </c>
      <c r="F17" s="31" t="n">
        <v>0.514804436249808</v>
      </c>
      <c r="G17" s="30" t="n">
        <v>0.997506234413965</v>
      </c>
      <c r="H17" s="30" t="n">
        <v>12.6881217728455</v>
      </c>
      <c r="I17" s="30" t="n">
        <v>52.9889360823665</v>
      </c>
      <c r="J17" s="40" t="n">
        <f aca="false">(G17+H17+I17)/3</f>
        <v>22.224854696542</v>
      </c>
      <c r="K17" s="41" t="n">
        <f aca="false">(J17-MIN(J$6:J$404))/(MAX(J$6:J$404)-MIN(J$6:J$404))*100</f>
        <v>23.8277137681829</v>
      </c>
    </row>
    <row r="18" customFormat="false" ht="15" hidden="false" customHeight="false" outlineLevel="0" collapsed="false">
      <c r="A18" s="26" t="n">
        <v>4101051</v>
      </c>
      <c r="B18" s="26" t="s">
        <v>79</v>
      </c>
      <c r="C18" s="26" t="s">
        <v>71</v>
      </c>
      <c r="D18" s="28" t="n">
        <v>0</v>
      </c>
      <c r="E18" s="28" t="n">
        <v>0.222222222222222</v>
      </c>
      <c r="F18" s="31" t="n">
        <v>0.390824308269983</v>
      </c>
      <c r="G18" s="30" t="n">
        <v>0</v>
      </c>
      <c r="H18" s="30" t="n">
        <v>33.0190329982337</v>
      </c>
      <c r="I18" s="30" t="n">
        <v>73.6245325394279</v>
      </c>
      <c r="J18" s="40" t="n">
        <f aca="false">(G18+H18+I18)/3</f>
        <v>35.5478551792205</v>
      </c>
      <c r="K18" s="41" t="n">
        <f aca="false">(J18-MIN(J$6:J$404))/(MAX(J$6:J$404)-MIN(J$6:J$404))*100</f>
        <v>44.5061402131422</v>
      </c>
    </row>
    <row r="19" customFormat="false" ht="15" hidden="false" customHeight="false" outlineLevel="0" collapsed="false">
      <c r="A19" s="26" t="n">
        <v>4101101</v>
      </c>
      <c r="B19" s="26" t="s">
        <v>80</v>
      </c>
      <c r="C19" s="26" t="s">
        <v>65</v>
      </c>
      <c r="D19" s="28" t="n">
        <v>0.0324675324675324</v>
      </c>
      <c r="E19" s="28" t="n">
        <v>0.294787560227771</v>
      </c>
      <c r="F19" s="31" t="n">
        <v>0.489316147762099</v>
      </c>
      <c r="G19" s="30" t="n">
        <v>3.24675324675325</v>
      </c>
      <c r="H19" s="30" t="n">
        <v>45.5001417659923</v>
      </c>
      <c r="I19" s="30" t="n">
        <v>57.2312775300145</v>
      </c>
      <c r="J19" s="40" t="n">
        <f aca="false">(G19+H19+I19)/3</f>
        <v>35.3260575142534</v>
      </c>
      <c r="K19" s="41" t="n">
        <f aca="false">(J19-MIN(J$6:J$404))/(MAX(J$6:J$404)-MIN(J$6:J$404))*100</f>
        <v>44.161891430246</v>
      </c>
    </row>
    <row r="20" customFormat="false" ht="15" hidden="false" customHeight="false" outlineLevel="0" collapsed="false">
      <c r="A20" s="26" t="n">
        <v>4101200</v>
      </c>
      <c r="B20" s="26" t="s">
        <v>81</v>
      </c>
      <c r="C20" s="26" t="s">
        <v>65</v>
      </c>
      <c r="D20" s="28" t="n">
        <v>0.0568181818181818</v>
      </c>
      <c r="E20" s="28" t="n">
        <v>0.408432708688245</v>
      </c>
      <c r="F20" s="31" t="n">
        <v>0.393462742629754</v>
      </c>
      <c r="G20" s="30" t="n">
        <v>5.68181818181818</v>
      </c>
      <c r="H20" s="30" t="n">
        <v>65.0469046950758</v>
      </c>
      <c r="I20" s="30" t="n">
        <v>73.185384204821</v>
      </c>
      <c r="J20" s="40" t="n">
        <f aca="false">(G20+H20+I20)/3</f>
        <v>47.9713690272383</v>
      </c>
      <c r="K20" s="41" t="n">
        <f aca="false">(J20-MIN(J$6:J$404))/(MAX(J$6:J$404)-MIN(J$6:J$404))*100</f>
        <v>63.7884871310282</v>
      </c>
    </row>
    <row r="21" customFormat="false" ht="15" hidden="false" customHeight="false" outlineLevel="0" collapsed="false">
      <c r="A21" s="26" t="n">
        <v>4101309</v>
      </c>
      <c r="B21" s="26" t="s">
        <v>82</v>
      </c>
      <c r="C21" s="26" t="s">
        <v>65</v>
      </c>
      <c r="D21" s="28" t="n">
        <v>0.0272727272727272</v>
      </c>
      <c r="E21" s="28" t="n">
        <v>0.412621359223301</v>
      </c>
      <c r="F21" s="31" t="n">
        <v>0.358123015557892</v>
      </c>
      <c r="G21" s="30" t="n">
        <v>2.72727272727273</v>
      </c>
      <c r="H21" s="30" t="n">
        <v>65.7673451195959</v>
      </c>
      <c r="I21" s="30" t="n">
        <v>79.0674264211052</v>
      </c>
      <c r="J21" s="40" t="n">
        <f aca="false">(G21+H21+I21)/3</f>
        <v>49.1873480893246</v>
      </c>
      <c r="K21" s="41" t="n">
        <f aca="false">(J21-MIN(J$6:J$404))/(MAX(J$6:J$404)-MIN(J$6:J$404))*100</f>
        <v>65.6757897417765</v>
      </c>
    </row>
    <row r="22" customFormat="false" ht="15" hidden="false" customHeight="false" outlineLevel="0" collapsed="false">
      <c r="A22" s="26" t="n">
        <v>4101408</v>
      </c>
      <c r="B22" s="26" t="s">
        <v>83</v>
      </c>
      <c r="C22" s="26" t="s">
        <v>69</v>
      </c>
      <c r="D22" s="28" t="n">
        <v>0.0584588131089459</v>
      </c>
      <c r="E22" s="28" t="n">
        <v>0.160873822053604</v>
      </c>
      <c r="F22" s="31" t="n">
        <v>0.522503036102228</v>
      </c>
      <c r="G22" s="30" t="n">
        <v>5.8458813108946</v>
      </c>
      <c r="H22" s="30" t="n">
        <v>22.467217540915</v>
      </c>
      <c r="I22" s="30" t="n">
        <v>51.7075597648265</v>
      </c>
      <c r="J22" s="40" t="n">
        <f aca="false">(G22+H22+I22)/3</f>
        <v>26.673552872212</v>
      </c>
      <c r="K22" s="41" t="n">
        <f aca="false">(J22-MIN(J$6:J$404))/(MAX(J$6:J$404)-MIN(J$6:J$404))*100</f>
        <v>30.7324705548405</v>
      </c>
    </row>
    <row r="23" customFormat="false" ht="15" hidden="false" customHeight="false" outlineLevel="0" collapsed="false">
      <c r="A23" s="26" t="n">
        <v>4101507</v>
      </c>
      <c r="B23" s="26" t="s">
        <v>84</v>
      </c>
      <c r="C23" s="26" t="s">
        <v>69</v>
      </c>
      <c r="D23" s="28" t="n">
        <v>0.0236220472440944</v>
      </c>
      <c r="E23" s="28" t="n">
        <v>0.131841126461212</v>
      </c>
      <c r="F23" s="31" t="n">
        <v>0.560470444504712</v>
      </c>
      <c r="G23" s="30" t="n">
        <v>2.36220472440945</v>
      </c>
      <c r="H23" s="30" t="n">
        <v>17.4736456583975</v>
      </c>
      <c r="I23" s="30" t="n">
        <v>45.3881589779391</v>
      </c>
      <c r="J23" s="40" t="n">
        <f aca="false">(G23+H23+I23)/3</f>
        <v>21.741336453582</v>
      </c>
      <c r="K23" s="41" t="n">
        <f aca="false">(J23-MIN(J$6:J$404))/(MAX(J$6:J$404)-MIN(J$6:J$404))*100</f>
        <v>23.0772524561952</v>
      </c>
    </row>
    <row r="24" customFormat="false" ht="15" hidden="false" customHeight="false" outlineLevel="0" collapsed="false">
      <c r="A24" s="26" t="n">
        <v>4101606</v>
      </c>
      <c r="B24" s="26" t="s">
        <v>85</v>
      </c>
      <c r="C24" s="26" t="s">
        <v>86</v>
      </c>
      <c r="D24" s="28" t="n">
        <v>0.0350877192982456</v>
      </c>
      <c r="E24" s="28" t="n">
        <v>0.239859383450514</v>
      </c>
      <c r="F24" s="31" t="n">
        <v>0.551247311625209</v>
      </c>
      <c r="G24" s="30" t="n">
        <v>3.50877192982456</v>
      </c>
      <c r="H24" s="30" t="n">
        <v>36.0525932860391</v>
      </c>
      <c r="I24" s="30" t="n">
        <v>46.9232828019946</v>
      </c>
      <c r="J24" s="40" t="n">
        <f aca="false">(G24+H24+I24)/3</f>
        <v>28.8282160059527</v>
      </c>
      <c r="K24" s="41" t="n">
        <f aca="false">(J24-MIN(J$6:J$404))/(MAX(J$6:J$404)-MIN(J$6:J$404))*100</f>
        <v>34.0766904385408</v>
      </c>
    </row>
    <row r="25" customFormat="false" ht="15" hidden="false" customHeight="false" outlineLevel="0" collapsed="false">
      <c r="A25" s="26" t="n">
        <v>4101655</v>
      </c>
      <c r="B25" s="26" t="s">
        <v>87</v>
      </c>
      <c r="C25" s="26" t="s">
        <v>71</v>
      </c>
      <c r="D25" s="28" t="n">
        <v>0.166666666666667</v>
      </c>
      <c r="E25" s="28" t="n">
        <v>0.398989898989899</v>
      </c>
      <c r="F25" s="31" t="n">
        <v>0.423946873309091</v>
      </c>
      <c r="G25" s="30" t="n">
        <v>16.6666666666667</v>
      </c>
      <c r="H25" s="30" t="n">
        <v>63.4227582615638</v>
      </c>
      <c r="I25" s="30" t="n">
        <v>68.1115209229129</v>
      </c>
      <c r="J25" s="40" t="n">
        <f aca="false">(G25+H25+I25)/3</f>
        <v>49.4003152837144</v>
      </c>
      <c r="K25" s="41" t="n">
        <f aca="false">(J25-MIN(J$6:J$404))/(MAX(J$6:J$404)-MIN(J$6:J$404))*100</f>
        <v>66.0063328855755</v>
      </c>
    </row>
    <row r="26" customFormat="false" ht="15" hidden="false" customHeight="false" outlineLevel="0" collapsed="false">
      <c r="A26" s="26" t="n">
        <v>4101705</v>
      </c>
      <c r="B26" s="26" t="s">
        <v>88</v>
      </c>
      <c r="C26" s="26" t="s">
        <v>65</v>
      </c>
      <c r="D26" s="28" t="n">
        <v>0.0638297872340425</v>
      </c>
      <c r="E26" s="28" t="n">
        <v>0.207383279044517</v>
      </c>
      <c r="F26" s="31" t="n">
        <v>0.497597071343986</v>
      </c>
      <c r="G26" s="30" t="n">
        <v>6.38297872340426</v>
      </c>
      <c r="H26" s="30" t="n">
        <v>30.4667612264772</v>
      </c>
      <c r="I26" s="30" t="n">
        <v>55.8529776354106</v>
      </c>
      <c r="J26" s="40" t="n">
        <f aca="false">(G26+H26+I26)/3</f>
        <v>30.900905861764</v>
      </c>
      <c r="K26" s="41" t="n">
        <f aca="false">(J26-MIN(J$6:J$404))/(MAX(J$6:J$404)-MIN(J$6:J$404))*100</f>
        <v>37.2936808441428</v>
      </c>
    </row>
    <row r="27" customFormat="false" ht="15" hidden="false" customHeight="false" outlineLevel="0" collapsed="false">
      <c r="A27" s="26" t="n">
        <v>4101804</v>
      </c>
      <c r="B27" s="26" t="s">
        <v>89</v>
      </c>
      <c r="C27" s="26" t="s">
        <v>69</v>
      </c>
      <c r="D27" s="28" t="n">
        <v>0.0342639593908629</v>
      </c>
      <c r="E27" s="28" t="n">
        <v>0.162415795586527</v>
      </c>
      <c r="F27" s="31" t="n">
        <v>0.678408388494596</v>
      </c>
      <c r="G27" s="30" t="n">
        <v>3.42639593908629</v>
      </c>
      <c r="H27" s="30" t="n">
        <v>22.7324342395535</v>
      </c>
      <c r="I27" s="30" t="n">
        <v>25.7582403868985</v>
      </c>
      <c r="J27" s="40" t="n">
        <f aca="false">(G27+H27+I27)/3</f>
        <v>17.3056901885128</v>
      </c>
      <c r="K27" s="41" t="n">
        <f aca="false">(J27-MIN(J$6:J$404))/(MAX(J$6:J$404)-MIN(J$6:J$404))*100</f>
        <v>16.1927533414993</v>
      </c>
    </row>
    <row r="28" customFormat="false" ht="15" hidden="false" customHeight="false" outlineLevel="0" collapsed="false">
      <c r="A28" s="26" t="n">
        <v>4101853</v>
      </c>
      <c r="B28" s="26" t="s">
        <v>90</v>
      </c>
      <c r="C28" s="26" t="s">
        <v>71</v>
      </c>
      <c r="D28" s="28" t="n">
        <v>0.111111111111111</v>
      </c>
      <c r="E28" s="28" t="n">
        <v>0.337349397590361</v>
      </c>
      <c r="F28" s="31" t="n">
        <v>0.432860937518063</v>
      </c>
      <c r="G28" s="30" t="n">
        <v>11.1111111111111</v>
      </c>
      <c r="H28" s="30" t="n">
        <v>52.8207019132838</v>
      </c>
      <c r="I28" s="30" t="n">
        <v>66.6278393458247</v>
      </c>
      <c r="J28" s="40" t="n">
        <f aca="false">(G28+H28+I28)/3</f>
        <v>43.5198841234065</v>
      </c>
      <c r="K28" s="41" t="n">
        <f aca="false">(J28-MIN(J$6:J$404))/(MAX(J$6:J$404)-MIN(J$6:J$404))*100</f>
        <v>56.8794051059687</v>
      </c>
    </row>
    <row r="29" customFormat="false" ht="15" hidden="false" customHeight="false" outlineLevel="0" collapsed="false">
      <c r="A29" s="26" t="n">
        <v>4101903</v>
      </c>
      <c r="B29" s="26" t="s">
        <v>91</v>
      </c>
      <c r="C29" s="26" t="s">
        <v>65</v>
      </c>
      <c r="D29" s="28" t="n">
        <v>0.0232558139534883</v>
      </c>
      <c r="E29" s="28" t="n">
        <v>0.250327653997379</v>
      </c>
      <c r="F29" s="31" t="n">
        <v>0.409308987556442</v>
      </c>
      <c r="G29" s="30" t="n">
        <v>2.32558139534884</v>
      </c>
      <c r="H29" s="30" t="n">
        <v>37.8531171573088</v>
      </c>
      <c r="I29" s="30" t="n">
        <v>70.5478912372376</v>
      </c>
      <c r="J29" s="40" t="n">
        <f aca="false">(G29+H29+I29)/3</f>
        <v>36.9088632632984</v>
      </c>
      <c r="K29" s="41" t="n">
        <f aca="false">(J29-MIN(J$6:J$404))/(MAX(J$6:J$404)-MIN(J$6:J$404))*100</f>
        <v>46.6185401634529</v>
      </c>
    </row>
    <row r="30" customFormat="false" ht="15" hidden="false" customHeight="false" outlineLevel="0" collapsed="false">
      <c r="A30" s="26" t="n">
        <v>4102000</v>
      </c>
      <c r="B30" s="26" t="s">
        <v>92</v>
      </c>
      <c r="C30" s="26" t="s">
        <v>86</v>
      </c>
      <c r="D30" s="28" t="n">
        <v>0.0142045454545454</v>
      </c>
      <c r="E30" s="28" t="n">
        <v>0.152285395763657</v>
      </c>
      <c r="F30" s="31" t="n">
        <v>0.469791303901397</v>
      </c>
      <c r="G30" s="30" t="n">
        <v>1.42045454545455</v>
      </c>
      <c r="H30" s="30" t="n">
        <v>20.9900235304562</v>
      </c>
      <c r="I30" s="30" t="n">
        <v>60.4810467096539</v>
      </c>
      <c r="J30" s="40" t="n">
        <f aca="false">(G30+H30+I30)/3</f>
        <v>27.6305082618549</v>
      </c>
      <c r="K30" s="41" t="n">
        <f aca="false">(J30-MIN(J$6:J$404))/(MAX(J$6:J$404)-MIN(J$6:J$404))*100</f>
        <v>32.2177464625885</v>
      </c>
    </row>
    <row r="31" customFormat="false" ht="15" hidden="false" customHeight="false" outlineLevel="0" collapsed="false">
      <c r="A31" s="26" t="n">
        <v>4102109</v>
      </c>
      <c r="B31" s="26" t="s">
        <v>93</v>
      </c>
      <c r="C31" s="26" t="s">
        <v>86</v>
      </c>
      <c r="D31" s="28" t="n">
        <v>0.0168539325842696</v>
      </c>
      <c r="E31" s="28" t="n">
        <v>0.159974093264249</v>
      </c>
      <c r="F31" s="31" t="n">
        <v>0.465516130757045</v>
      </c>
      <c r="G31" s="30" t="n">
        <v>1.68539325842697</v>
      </c>
      <c r="H31" s="30" t="n">
        <v>22.3124657931787</v>
      </c>
      <c r="I31" s="30" t="n">
        <v>61.1926183883448</v>
      </c>
      <c r="J31" s="40" t="n">
        <f aca="false">(G31+H31+I31)/3</f>
        <v>28.3968258133168</v>
      </c>
      <c r="K31" s="41" t="n">
        <f aca="false">(J31-MIN(J$6:J$404))/(MAX(J$6:J$404)-MIN(J$6:J$404))*100</f>
        <v>33.4071362807446</v>
      </c>
    </row>
    <row r="32" customFormat="false" ht="15" hidden="false" customHeight="false" outlineLevel="0" collapsed="false">
      <c r="A32" s="26" t="n">
        <v>4102208</v>
      </c>
      <c r="B32" s="26" t="s">
        <v>94</v>
      </c>
      <c r="C32" s="26" t="s">
        <v>71</v>
      </c>
      <c r="D32" s="28" t="n">
        <v>0</v>
      </c>
      <c r="E32" s="28" t="n">
        <v>0.192592592592593</v>
      </c>
      <c r="F32" s="31" t="n">
        <v>0.479070253584264</v>
      </c>
      <c r="G32" s="30" t="n">
        <v>0</v>
      </c>
      <c r="H32" s="30" t="n">
        <v>27.9227895255232</v>
      </c>
      <c r="I32" s="30" t="n">
        <v>58.9366325819949</v>
      </c>
      <c r="J32" s="40" t="n">
        <f aca="false">(G32+H32+I32)/3</f>
        <v>28.953140702506</v>
      </c>
      <c r="K32" s="41" t="n">
        <f aca="false">(J32-MIN(J$6:J$404))/(MAX(J$6:J$404)-MIN(J$6:J$404))*100</f>
        <v>34.2705841603188</v>
      </c>
    </row>
    <row r="33" customFormat="false" ht="15" hidden="false" customHeight="false" outlineLevel="0" collapsed="false">
      <c r="A33" s="26" t="n">
        <v>4101150</v>
      </c>
      <c r="B33" s="26" t="s">
        <v>95</v>
      </c>
      <c r="C33" s="26" t="s">
        <v>71</v>
      </c>
      <c r="D33" s="28" t="n">
        <v>0.0714285714285714</v>
      </c>
      <c r="E33" s="28" t="n">
        <v>0.225225225225225</v>
      </c>
      <c r="F33" s="31" t="n">
        <v>0.444137699684506</v>
      </c>
      <c r="G33" s="30" t="n">
        <v>7.14285714285714</v>
      </c>
      <c r="H33" s="30" t="n">
        <v>33.5355441610084</v>
      </c>
      <c r="I33" s="30" t="n">
        <v>64.7509037658999</v>
      </c>
      <c r="J33" s="40" t="n">
        <f aca="false">(G33+H33+I33)/3</f>
        <v>35.1431016899218</v>
      </c>
      <c r="K33" s="41" t="n">
        <f aca="false">(J33-MIN(J$6:J$404))/(MAX(J$6:J$404)-MIN(J$6:J$404))*100</f>
        <v>43.8779284775286</v>
      </c>
    </row>
    <row r="34" customFormat="false" ht="15" hidden="false" customHeight="false" outlineLevel="0" collapsed="false">
      <c r="A34" s="26" t="n">
        <v>4102307</v>
      </c>
      <c r="B34" s="26" t="s">
        <v>96</v>
      </c>
      <c r="C34" s="26" t="s">
        <v>65</v>
      </c>
      <c r="D34" s="28" t="n">
        <v>0.0093457943925233</v>
      </c>
      <c r="E34" s="28" t="n">
        <v>0.238461538461538</v>
      </c>
      <c r="F34" s="31" t="n">
        <v>0.594452057924498</v>
      </c>
      <c r="G34" s="30" t="n">
        <v>0.934579439252336</v>
      </c>
      <c r="H34" s="30" t="n">
        <v>35.8121664400078</v>
      </c>
      <c r="I34" s="30" t="n">
        <v>39.7321649656996</v>
      </c>
      <c r="J34" s="40" t="n">
        <f aca="false">(G34+H34+I34)/3</f>
        <v>25.4929702816532</v>
      </c>
      <c r="K34" s="41" t="n">
        <f aca="false">(J34-MIN(J$6:J$404))/(MAX(J$6:J$404)-MIN(J$6:J$404))*100</f>
        <v>28.9001062692722</v>
      </c>
    </row>
    <row r="35" customFormat="false" ht="15" hidden="false" customHeight="false" outlineLevel="0" collapsed="false">
      <c r="A35" s="26" t="n">
        <v>4102406</v>
      </c>
      <c r="B35" s="26" t="s">
        <v>97</v>
      </c>
      <c r="C35" s="26" t="s">
        <v>86</v>
      </c>
      <c r="D35" s="28" t="n">
        <v>0.0244897959183673</v>
      </c>
      <c r="E35" s="28" t="n">
        <v>0.225396825396825</v>
      </c>
      <c r="F35" s="31" t="n">
        <v>0.478216620135386</v>
      </c>
      <c r="G35" s="30" t="n">
        <v>2.44897959183674</v>
      </c>
      <c r="H35" s="30" t="n">
        <v>33.5650590845956</v>
      </c>
      <c r="I35" s="30" t="n">
        <v>59.0787137014478</v>
      </c>
      <c r="J35" s="40" t="n">
        <f aca="false">(G35+H35+I35)/3</f>
        <v>31.69758412596</v>
      </c>
      <c r="K35" s="41" t="n">
        <f aca="false">(J35-MIN(J$6:J$404))/(MAX(J$6:J$404)-MIN(J$6:J$404))*100</f>
        <v>38.5301930628351</v>
      </c>
    </row>
    <row r="36" customFormat="false" ht="15" hidden="false" customHeight="false" outlineLevel="0" collapsed="false">
      <c r="A36" s="26" t="n">
        <v>4102505</v>
      </c>
      <c r="B36" s="26" t="s">
        <v>98</v>
      </c>
      <c r="C36" s="26" t="s">
        <v>65</v>
      </c>
      <c r="D36" s="28" t="n">
        <v>0.0483870967741935</v>
      </c>
      <c r="E36" s="28" t="n">
        <v>0.334164588528678</v>
      </c>
      <c r="F36" s="31" t="n">
        <v>0.399405308047456</v>
      </c>
      <c r="G36" s="30" t="n">
        <v>4.83870967741936</v>
      </c>
      <c r="H36" s="30" t="n">
        <v>52.2729204325392</v>
      </c>
      <c r="I36" s="30" t="n">
        <v>72.1962871303338</v>
      </c>
      <c r="J36" s="40" t="n">
        <f aca="false">(G36+H36+I36)/3</f>
        <v>43.1026390800975</v>
      </c>
      <c r="K36" s="41" t="n">
        <f aca="false">(J36-MIN(J$6:J$404))/(MAX(J$6:J$404)-MIN(J$6:J$404))*100</f>
        <v>56.231805419336</v>
      </c>
    </row>
    <row r="37" customFormat="false" ht="15" hidden="false" customHeight="false" outlineLevel="0" collapsed="false">
      <c r="A37" s="26" t="n">
        <v>4102703</v>
      </c>
      <c r="B37" s="26" t="s">
        <v>99</v>
      </c>
      <c r="C37" s="26" t="s">
        <v>71</v>
      </c>
      <c r="D37" s="28" t="n">
        <v>0</v>
      </c>
      <c r="E37" s="28" t="n">
        <v>0.279279279279279</v>
      </c>
      <c r="F37" s="31" t="n">
        <v>0.415721672297455</v>
      </c>
      <c r="G37" s="30" t="n">
        <v>0</v>
      </c>
      <c r="H37" s="30" t="n">
        <v>42.8327450909534</v>
      </c>
      <c r="I37" s="30" t="n">
        <v>69.4805461983339</v>
      </c>
      <c r="J37" s="40" t="n">
        <f aca="false">(G37+H37+I37)/3</f>
        <v>37.4377637630958</v>
      </c>
      <c r="K37" s="41" t="n">
        <f aca="false">(J37-MIN(J$6:J$404))/(MAX(J$6:J$404)-MIN(J$6:J$404))*100</f>
        <v>47.4394385861453</v>
      </c>
    </row>
    <row r="38" customFormat="false" ht="15" hidden="false" customHeight="false" outlineLevel="0" collapsed="false">
      <c r="A38" s="26" t="n">
        <v>4102604</v>
      </c>
      <c r="B38" s="26" t="s">
        <v>100</v>
      </c>
      <c r="C38" s="26" t="s">
        <v>65</v>
      </c>
      <c r="D38" s="28" t="n">
        <v>0.010752688172043</v>
      </c>
      <c r="E38" s="28" t="n">
        <v>0.277002204261572</v>
      </c>
      <c r="F38" s="31" t="n">
        <v>0.432552587748465</v>
      </c>
      <c r="G38" s="30" t="n">
        <v>1.0752688172043</v>
      </c>
      <c r="H38" s="30" t="n">
        <v>42.4410922474681</v>
      </c>
      <c r="I38" s="30" t="n">
        <v>66.6791619369265</v>
      </c>
      <c r="J38" s="40" t="n">
        <f aca="false">(G38+H38+I38)/3</f>
        <v>36.731841000533</v>
      </c>
      <c r="K38" s="41" t="n">
        <f aca="false">(J38-MIN(J$6:J$404))/(MAX(J$6:J$404)-MIN(J$6:J$404))*100</f>
        <v>46.34378660141</v>
      </c>
    </row>
    <row r="39" customFormat="false" ht="15" hidden="false" customHeight="false" outlineLevel="0" collapsed="false">
      <c r="A39" s="26" t="n">
        <v>4102752</v>
      </c>
      <c r="B39" s="26" t="s">
        <v>101</v>
      </c>
      <c r="C39" s="26" t="s">
        <v>71</v>
      </c>
      <c r="D39" s="28" t="n">
        <v>0.032258064516129</v>
      </c>
      <c r="E39" s="28" t="n">
        <v>0.218487394957983</v>
      </c>
      <c r="F39" s="31" t="n">
        <v>0.371250383143116</v>
      </c>
      <c r="G39" s="30" t="n">
        <v>3.2258064516129</v>
      </c>
      <c r="H39" s="30" t="n">
        <v>32.3766493672198</v>
      </c>
      <c r="I39" s="30" t="n">
        <v>76.8824709411732</v>
      </c>
      <c r="J39" s="40" t="n">
        <f aca="false">(G39+H39+I39)/3</f>
        <v>37.4949755866686</v>
      </c>
      <c r="K39" s="41" t="n">
        <f aca="false">(J39-MIN(J$6:J$404))/(MAX(J$6:J$404)-MIN(J$6:J$404))*100</f>
        <v>47.5282361874868</v>
      </c>
    </row>
    <row r="40" customFormat="false" ht="15" hidden="false" customHeight="false" outlineLevel="0" collapsed="false">
      <c r="A40" s="26" t="n">
        <v>4102802</v>
      </c>
      <c r="B40" s="26" t="s">
        <v>102</v>
      </c>
      <c r="C40" s="26" t="s">
        <v>65</v>
      </c>
      <c r="D40" s="28" t="n">
        <v>0.153846153846154</v>
      </c>
      <c r="E40" s="28" t="n">
        <v>0.244711263579188</v>
      </c>
      <c r="F40" s="31" t="n">
        <v>0.417909321707836</v>
      </c>
      <c r="G40" s="30" t="n">
        <v>15.3846153846154</v>
      </c>
      <c r="H40" s="30" t="n">
        <v>36.8871080182585</v>
      </c>
      <c r="I40" s="30" t="n">
        <v>69.1164277613091</v>
      </c>
      <c r="J40" s="40" t="n">
        <f aca="false">(G40+H40+I40)/3</f>
        <v>40.4627170547276</v>
      </c>
      <c r="K40" s="41" t="n">
        <f aca="false">(J40-MIN(J$6:J$404))/(MAX(J$6:J$404)-MIN(J$6:J$404))*100</f>
        <v>52.1344225893188</v>
      </c>
    </row>
    <row r="41" customFormat="false" ht="15" hidden="false" customHeight="false" outlineLevel="0" collapsed="false">
      <c r="A41" s="26" t="n">
        <v>4102901</v>
      </c>
      <c r="B41" s="26" t="s">
        <v>103</v>
      </c>
      <c r="C41" s="26" t="s">
        <v>65</v>
      </c>
      <c r="D41" s="28" t="n">
        <v>0.0559006211180124</v>
      </c>
      <c r="E41" s="28" t="n">
        <v>0.299658994032396</v>
      </c>
      <c r="F41" s="31" t="n">
        <v>0.478060344797265</v>
      </c>
      <c r="G41" s="30" t="n">
        <v>5.59006211180124</v>
      </c>
      <c r="H41" s="30" t="n">
        <v>46.3380196956151</v>
      </c>
      <c r="I41" s="30" t="n">
        <v>59.1047246022768</v>
      </c>
      <c r="J41" s="40" t="n">
        <f aca="false">(G41+H41+I41)/3</f>
        <v>37.0109354698977</v>
      </c>
      <c r="K41" s="41" t="n">
        <f aca="false">(J41-MIN(J$6:J$404))/(MAX(J$6:J$404)-MIN(J$6:J$404))*100</f>
        <v>46.7769648830934</v>
      </c>
    </row>
    <row r="42" customFormat="false" ht="15" hidden="false" customHeight="false" outlineLevel="0" collapsed="false">
      <c r="A42" s="26" t="n">
        <v>4103008</v>
      </c>
      <c r="B42" s="26" t="s">
        <v>104</v>
      </c>
      <c r="C42" s="26" t="s">
        <v>71</v>
      </c>
      <c r="D42" s="28" t="n">
        <v>0</v>
      </c>
      <c r="E42" s="28" t="n">
        <v>0.236397748592871</v>
      </c>
      <c r="F42" s="31" t="n">
        <v>0.513402121293403</v>
      </c>
      <c r="G42" s="30" t="n">
        <v>0</v>
      </c>
      <c r="H42" s="30" t="n">
        <v>35.4571982619133</v>
      </c>
      <c r="I42" s="30" t="n">
        <v>53.2223412741307</v>
      </c>
      <c r="J42" s="40" t="n">
        <f aca="false">(G42+H42+I42)/3</f>
        <v>29.5598465120146</v>
      </c>
      <c r="K42" s="41" t="n">
        <f aca="false">(J42-MIN(J$6:J$404))/(MAX(J$6:J$404)-MIN(J$6:J$404))*100</f>
        <v>35.212243021021</v>
      </c>
    </row>
    <row r="43" customFormat="false" ht="15" hidden="false" customHeight="false" outlineLevel="0" collapsed="false">
      <c r="A43" s="26" t="n">
        <v>4103024</v>
      </c>
      <c r="B43" s="26" t="s">
        <v>105</v>
      </c>
      <c r="C43" s="26" t="s">
        <v>71</v>
      </c>
      <c r="D43" s="28" t="n">
        <v>0</v>
      </c>
      <c r="E43" s="28" t="n">
        <v>0.184952978056426</v>
      </c>
      <c r="F43" s="31" t="n">
        <v>0.408430093168542</v>
      </c>
      <c r="G43" s="30" t="n">
        <v>0</v>
      </c>
      <c r="H43" s="30" t="n">
        <v>26.6087894451769</v>
      </c>
      <c r="I43" s="30" t="n">
        <v>70.6941768574623</v>
      </c>
      <c r="J43" s="40" t="n">
        <f aca="false">(G43+H43+I43)/3</f>
        <v>32.4343221008798</v>
      </c>
      <c r="K43" s="41" t="n">
        <f aca="false">(J43-MIN(J$6:J$404))/(MAX(J$6:J$404)-MIN(J$6:J$404))*100</f>
        <v>39.6736728700596</v>
      </c>
    </row>
    <row r="44" customFormat="false" ht="15" hidden="false" customHeight="false" outlineLevel="0" collapsed="false">
      <c r="A44" s="26" t="n">
        <v>4103040</v>
      </c>
      <c r="B44" s="26" t="s">
        <v>106</v>
      </c>
      <c r="C44" s="26" t="s">
        <v>65</v>
      </c>
      <c r="D44" s="28" t="n">
        <v>0</v>
      </c>
      <c r="E44" s="28" t="n">
        <v>0.390765765765766</v>
      </c>
      <c r="F44" s="31" t="n">
        <v>0.478805046012692</v>
      </c>
      <c r="G44" s="30" t="n">
        <v>0</v>
      </c>
      <c r="H44" s="30" t="n">
        <v>62.0082220089648</v>
      </c>
      <c r="I44" s="30" t="n">
        <v>58.9807744659685</v>
      </c>
      <c r="J44" s="40" t="n">
        <f aca="false">(G44+H44+I44)/3</f>
        <v>40.3296654916445</v>
      </c>
      <c r="K44" s="41" t="n">
        <f aca="false">(J44-MIN(J$6:J$404))/(MAX(J$6:J$404)-MIN(J$6:J$404))*100</f>
        <v>51.9279152815858</v>
      </c>
    </row>
    <row r="45" customFormat="false" ht="15" hidden="false" customHeight="false" outlineLevel="0" collapsed="false">
      <c r="A45" s="26" t="n">
        <v>4103057</v>
      </c>
      <c r="B45" s="26" t="s">
        <v>107</v>
      </c>
      <c r="C45" s="26" t="s">
        <v>65</v>
      </c>
      <c r="D45" s="28" t="n">
        <v>0.0194174757281553</v>
      </c>
      <c r="E45" s="28" t="n">
        <v>0.375114364135407</v>
      </c>
      <c r="F45" s="31" t="n">
        <v>0.372638153374653</v>
      </c>
      <c r="G45" s="30" t="n">
        <v>1.94174757281553</v>
      </c>
      <c r="H45" s="30" t="n">
        <v>59.3162088317997</v>
      </c>
      <c r="I45" s="30" t="n">
        <v>76.6514866137672</v>
      </c>
      <c r="J45" s="40" t="n">
        <f aca="false">(G45+H45+I45)/3</f>
        <v>45.9698143394608</v>
      </c>
      <c r="K45" s="41" t="n">
        <f aca="false">(J45-MIN(J$6:J$404))/(MAX(J$6:J$404)-MIN(J$6:J$404))*100</f>
        <v>60.6819045379717</v>
      </c>
    </row>
    <row r="46" customFormat="false" ht="15" hidden="false" customHeight="false" outlineLevel="0" collapsed="false">
      <c r="A46" s="26" t="n">
        <v>4103107</v>
      </c>
      <c r="B46" s="26" t="s">
        <v>108</v>
      </c>
      <c r="C46" s="26" t="s">
        <v>65</v>
      </c>
      <c r="D46" s="28" t="n">
        <v>0.0606060606060606</v>
      </c>
      <c r="E46" s="28" t="n">
        <v>0.385578367551327</v>
      </c>
      <c r="F46" s="31" t="n">
        <v>0.475829476287282</v>
      </c>
      <c r="G46" s="30" t="n">
        <v>6.06060606060606</v>
      </c>
      <c r="H46" s="30" t="n">
        <v>61.1159987641543</v>
      </c>
      <c r="I46" s="30" t="n">
        <v>59.4760365461415</v>
      </c>
      <c r="J46" s="40" t="n">
        <f aca="false">(G46+H46+I46)/3</f>
        <v>42.217547123634</v>
      </c>
      <c r="K46" s="41" t="n">
        <f aca="false">(J46-MIN(J$6:J$404))/(MAX(J$6:J$404)-MIN(J$6:J$404))*100</f>
        <v>54.8580676533912</v>
      </c>
    </row>
    <row r="47" customFormat="false" ht="15" hidden="false" customHeight="false" outlineLevel="0" collapsed="false">
      <c r="A47" s="26" t="n">
        <v>4103156</v>
      </c>
      <c r="B47" s="26" t="s">
        <v>109</v>
      </c>
      <c r="C47" s="26" t="s">
        <v>71</v>
      </c>
      <c r="D47" s="28" t="n">
        <v>0.0666666666666666</v>
      </c>
      <c r="E47" s="28" t="n">
        <v>0.278937381404175</v>
      </c>
      <c r="F47" s="31" t="n">
        <v>0.413186530619511</v>
      </c>
      <c r="G47" s="30" t="n">
        <v>6.66666666666667</v>
      </c>
      <c r="H47" s="30" t="n">
        <v>42.7739392659695</v>
      </c>
      <c r="I47" s="30" t="n">
        <v>69.9025022124143</v>
      </c>
      <c r="J47" s="40" t="n">
        <f aca="false">(G47+H47+I47)/3</f>
        <v>39.7810360483502</v>
      </c>
      <c r="K47" s="41" t="n">
        <f aca="false">(J47-MIN(J$6:J$404))/(MAX(J$6:J$404)-MIN(J$6:J$404))*100</f>
        <v>51.0763958657118</v>
      </c>
    </row>
    <row r="48" customFormat="false" ht="15" hidden="false" customHeight="false" outlineLevel="0" collapsed="false">
      <c r="A48" s="26" t="n">
        <v>4103206</v>
      </c>
      <c r="B48" s="26" t="s">
        <v>110</v>
      </c>
      <c r="C48" s="26" t="s">
        <v>65</v>
      </c>
      <c r="D48" s="28" t="n">
        <v>0.142857142857143</v>
      </c>
      <c r="E48" s="28" t="n">
        <v>0.173160173160173</v>
      </c>
      <c r="F48" s="31" t="n">
        <v>0.368688457999509</v>
      </c>
      <c r="G48" s="30" t="n">
        <v>14.2857142857143</v>
      </c>
      <c r="H48" s="30" t="n">
        <v>24.580448027187</v>
      </c>
      <c r="I48" s="30" t="n">
        <v>77.3088848695833</v>
      </c>
      <c r="J48" s="40" t="n">
        <f aca="false">(G48+H48+I48)/3</f>
        <v>38.7250157274948</v>
      </c>
      <c r="K48" s="41" t="n">
        <f aca="false">(J48-MIN(J$6:J$404))/(MAX(J$6:J$404)-MIN(J$6:J$404))*100</f>
        <v>49.4373627847193</v>
      </c>
    </row>
    <row r="49" customFormat="false" ht="15" hidden="false" customHeight="false" outlineLevel="0" collapsed="false">
      <c r="A49" s="26" t="n">
        <v>4103222</v>
      </c>
      <c r="B49" s="26" t="s">
        <v>111</v>
      </c>
      <c r="C49" s="26" t="s">
        <v>71</v>
      </c>
      <c r="D49" s="28" t="n">
        <v>0</v>
      </c>
      <c r="E49" s="28" t="n">
        <v>0.182897862232779</v>
      </c>
      <c r="F49" s="31" t="n">
        <v>0.499930685363547</v>
      </c>
      <c r="G49" s="30" t="n">
        <v>0</v>
      </c>
      <c r="H49" s="30" t="n">
        <v>26.2553131873619</v>
      </c>
      <c r="I49" s="30" t="n">
        <v>55.4645644438866</v>
      </c>
      <c r="J49" s="40" t="n">
        <f aca="false">(G49+H49+I49)/3</f>
        <v>27.2399592104162</v>
      </c>
      <c r="K49" s="41" t="n">
        <f aca="false">(J49-MIN(J$6:J$404))/(MAX(J$6:J$404)-MIN(J$6:J$404))*100</f>
        <v>31.6115812189691</v>
      </c>
    </row>
    <row r="50" customFormat="false" ht="15" hidden="false" customHeight="false" outlineLevel="0" collapsed="false">
      <c r="A50" s="26" t="n">
        <v>4103305</v>
      </c>
      <c r="B50" s="26" t="s">
        <v>112</v>
      </c>
      <c r="C50" s="26" t="s">
        <v>65</v>
      </c>
      <c r="D50" s="28" t="n">
        <v>0.04</v>
      </c>
      <c r="E50" s="28" t="n">
        <v>0.278728606356968</v>
      </c>
      <c r="F50" s="31" t="n">
        <v>0.396048802984286</v>
      </c>
      <c r="G50" s="30" t="n">
        <v>4</v>
      </c>
      <c r="H50" s="30" t="n">
        <v>42.7380303300534</v>
      </c>
      <c r="I50" s="30" t="n">
        <v>72.7549531449466</v>
      </c>
      <c r="J50" s="40" t="n">
        <f aca="false">(G50+H50+I50)/3</f>
        <v>39.8309944916666</v>
      </c>
      <c r="K50" s="41" t="n">
        <f aca="false">(J50-MIN(J$6:J$404))/(MAX(J$6:J$404)-MIN(J$6:J$404))*100</f>
        <v>51.1539356058602</v>
      </c>
    </row>
    <row r="51" customFormat="false" ht="15" hidden="false" customHeight="false" outlineLevel="0" collapsed="false">
      <c r="A51" s="26" t="n">
        <v>4103354</v>
      </c>
      <c r="B51" s="26" t="s">
        <v>113</v>
      </c>
      <c r="C51" s="26" t="s">
        <v>71</v>
      </c>
      <c r="D51" s="28" t="n">
        <v>0</v>
      </c>
      <c r="E51" s="28" t="n">
        <v>0.282952548330404</v>
      </c>
      <c r="F51" s="31" t="n">
        <v>0.4183869129018</v>
      </c>
      <c r="G51" s="30" t="n">
        <v>0</v>
      </c>
      <c r="H51" s="30" t="n">
        <v>43.4645408190574</v>
      </c>
      <c r="I51" s="30" t="n">
        <v>69.0369361580121</v>
      </c>
      <c r="J51" s="40" t="n">
        <f aca="false">(G51+H51+I51)/3</f>
        <v>37.5004923256898</v>
      </c>
      <c r="K51" s="41" t="n">
        <f aca="false">(J51-MIN(J$6:J$404))/(MAX(J$6:J$404)-MIN(J$6:J$404))*100</f>
        <v>47.5367986342281</v>
      </c>
    </row>
    <row r="52" customFormat="false" ht="15" hidden="false" customHeight="false" outlineLevel="0" collapsed="false">
      <c r="A52" s="26" t="n">
        <v>4103370</v>
      </c>
      <c r="B52" s="26" t="s">
        <v>114</v>
      </c>
      <c r="C52" s="26" t="s">
        <v>71</v>
      </c>
      <c r="D52" s="28" t="n">
        <v>0</v>
      </c>
      <c r="E52" s="28" t="n">
        <v>0.217391304347826</v>
      </c>
      <c r="F52" s="31" t="n">
        <v>0.471107058928192</v>
      </c>
      <c r="G52" s="30" t="n">
        <v>0</v>
      </c>
      <c r="H52" s="30" t="n">
        <v>32.1881237363787</v>
      </c>
      <c r="I52" s="30" t="n">
        <v>60.2620487927159</v>
      </c>
      <c r="J52" s="40" t="n">
        <f aca="false">(G52+H52+I52)/3</f>
        <v>30.8167241763649</v>
      </c>
      <c r="K52" s="41" t="n">
        <f aca="false">(J52-MIN(J$6:J$404))/(MAX(J$6:J$404)-MIN(J$6:J$404))*100</f>
        <v>37.1630237303941</v>
      </c>
    </row>
    <row r="53" customFormat="false" ht="15" hidden="false" customHeight="false" outlineLevel="0" collapsed="false">
      <c r="A53" s="26" t="n">
        <v>4103404</v>
      </c>
      <c r="B53" s="26" t="s">
        <v>115</v>
      </c>
      <c r="C53" s="26" t="s">
        <v>71</v>
      </c>
      <c r="D53" s="28" t="n">
        <v>0</v>
      </c>
      <c r="E53" s="28" t="n">
        <v>0.172297297297297</v>
      </c>
      <c r="F53" s="31" t="n">
        <v>0.42762255305127</v>
      </c>
      <c r="G53" s="30" t="n">
        <v>0</v>
      </c>
      <c r="H53" s="30" t="n">
        <v>24.432034917104</v>
      </c>
      <c r="I53" s="30" t="n">
        <v>67.4997305892447</v>
      </c>
      <c r="J53" s="40" t="n">
        <f aca="false">(G53+H53+I53)/3</f>
        <v>30.6439218354496</v>
      </c>
      <c r="K53" s="41" t="n">
        <f aca="false">(J53-MIN(J$6:J$404))/(MAX(J$6:J$404)-MIN(J$6:J$404))*100</f>
        <v>36.894819844882</v>
      </c>
    </row>
    <row r="54" customFormat="false" ht="15" hidden="false" customHeight="false" outlineLevel="0" collapsed="false">
      <c r="A54" s="26" t="n">
        <v>4103453</v>
      </c>
      <c r="B54" s="26" t="s">
        <v>116</v>
      </c>
      <c r="C54" s="26" t="s">
        <v>65</v>
      </c>
      <c r="D54" s="28" t="n">
        <v>0.0288461538461538</v>
      </c>
      <c r="E54" s="28" t="n">
        <v>0.141218637992832</v>
      </c>
      <c r="F54" s="31" t="n">
        <v>0.659858045480929</v>
      </c>
      <c r="G54" s="30" t="n">
        <v>2.88461538461539</v>
      </c>
      <c r="H54" s="30" t="n">
        <v>19.086560923646</v>
      </c>
      <c r="I54" s="30" t="n">
        <v>28.8458109420152</v>
      </c>
      <c r="J54" s="40" t="n">
        <f aca="false">(G54+H54+I54)/3</f>
        <v>16.9389957500922</v>
      </c>
      <c r="K54" s="41" t="n">
        <f aca="false">(J54-MIN(J$6:J$404))/(MAX(J$6:J$404)-MIN(J$6:J$404))*100</f>
        <v>15.6236124799859</v>
      </c>
    </row>
    <row r="55" customFormat="false" ht="15" hidden="false" customHeight="false" outlineLevel="0" collapsed="false">
      <c r="A55" s="26" t="n">
        <v>4103479</v>
      </c>
      <c r="B55" s="26" t="s">
        <v>117</v>
      </c>
      <c r="C55" s="26" t="s">
        <v>71</v>
      </c>
      <c r="D55" s="28" t="n">
        <v>0</v>
      </c>
      <c r="E55" s="28" t="n">
        <v>0.236190476190476</v>
      </c>
      <c r="F55" s="31" t="n">
        <v>0.381894206150173</v>
      </c>
      <c r="G55" s="30" t="n">
        <v>0</v>
      </c>
      <c r="H55" s="30" t="n">
        <v>35.4215477782258</v>
      </c>
      <c r="I55" s="30" t="n">
        <v>75.1108835108894</v>
      </c>
      <c r="J55" s="40" t="n">
        <f aca="false">(G55+H55+I55)/3</f>
        <v>36.8441437630384</v>
      </c>
      <c r="K55" s="41" t="n">
        <f aca="false">(J55-MIN(J$6:J$404))/(MAX(J$6:J$404)-MIN(J$6:J$404))*100</f>
        <v>46.5180900112953</v>
      </c>
    </row>
    <row r="56" customFormat="false" ht="15" hidden="false" customHeight="false" outlineLevel="0" collapsed="false">
      <c r="A56" s="26" t="n">
        <v>4103503</v>
      </c>
      <c r="B56" s="26" t="s">
        <v>118</v>
      </c>
      <c r="C56" s="26" t="s">
        <v>65</v>
      </c>
      <c r="D56" s="28" t="n">
        <v>0.02</v>
      </c>
      <c r="E56" s="28" t="n">
        <v>0.305084745762712</v>
      </c>
      <c r="F56" s="31" t="n">
        <v>0.460825032485374</v>
      </c>
      <c r="G56" s="30" t="n">
        <v>2</v>
      </c>
      <c r="H56" s="30" t="n">
        <v>47.2712393202209</v>
      </c>
      <c r="I56" s="30" t="n">
        <v>61.9734177991211</v>
      </c>
      <c r="J56" s="40" t="n">
        <f aca="false">(G56+H56+I56)/3</f>
        <v>37.081552373114</v>
      </c>
      <c r="K56" s="41" t="n">
        <f aca="false">(J56-MIN(J$6:J$404))/(MAX(J$6:J$404)-MIN(J$6:J$404))*100</f>
        <v>46.886568304697</v>
      </c>
    </row>
    <row r="57" customFormat="false" ht="15" hidden="false" customHeight="false" outlineLevel="0" collapsed="false">
      <c r="A57" s="26" t="n">
        <v>4103602</v>
      </c>
      <c r="B57" s="26" t="s">
        <v>119</v>
      </c>
      <c r="C57" s="26" t="s">
        <v>86</v>
      </c>
      <c r="D57" s="28" t="n">
        <v>0.037037037037037</v>
      </c>
      <c r="E57" s="28" t="n">
        <v>0.286206896551724</v>
      </c>
      <c r="F57" s="31" t="n">
        <v>0.470223219696099</v>
      </c>
      <c r="G57" s="30" t="n">
        <v>3.7037037037037</v>
      </c>
      <c r="H57" s="30" t="n">
        <v>44.0242829112854</v>
      </c>
      <c r="I57" s="30" t="n">
        <v>60.4091574465266</v>
      </c>
      <c r="J57" s="40" t="n">
        <f aca="false">(G57+H57+I57)/3</f>
        <v>36.0457146871719</v>
      </c>
      <c r="K57" s="41" t="n">
        <f aca="false">(J57-MIN(J$6:J$404))/(MAX(J$6:J$404)-MIN(J$6:J$404))*100</f>
        <v>45.278860384434</v>
      </c>
    </row>
    <row r="58" customFormat="false" ht="15" hidden="false" customHeight="false" outlineLevel="0" collapsed="false">
      <c r="A58" s="26" t="n">
        <v>4103701</v>
      </c>
      <c r="B58" s="26" t="s">
        <v>120</v>
      </c>
      <c r="C58" s="26" t="s">
        <v>69</v>
      </c>
      <c r="D58" s="28" t="n">
        <v>0.0555555555555555</v>
      </c>
      <c r="E58" s="28" t="n">
        <v>0.157902758725804</v>
      </c>
      <c r="F58" s="31" t="n">
        <v>0.551403773996952</v>
      </c>
      <c r="G58" s="30" t="n">
        <v>5.55555555555556</v>
      </c>
      <c r="H58" s="30" t="n">
        <v>21.9561999453332</v>
      </c>
      <c r="I58" s="30" t="n">
        <v>46.8972407707706</v>
      </c>
      <c r="J58" s="40" t="n">
        <f aca="false">(G58+H58+I58)/3</f>
        <v>24.8029987572198</v>
      </c>
      <c r="K58" s="41" t="n">
        <f aca="false">(J58-MIN(J$6:J$404))/(MAX(J$6:J$404)-MIN(J$6:J$404))*100</f>
        <v>27.8292119586653</v>
      </c>
    </row>
    <row r="59" customFormat="false" ht="15" hidden="false" customHeight="false" outlineLevel="0" collapsed="false">
      <c r="A59" s="26" t="n">
        <v>4103800</v>
      </c>
      <c r="B59" s="26" t="s">
        <v>121</v>
      </c>
      <c r="C59" s="26" t="s">
        <v>65</v>
      </c>
      <c r="D59" s="28" t="n">
        <v>0.024</v>
      </c>
      <c r="E59" s="28" t="n">
        <v>0.201775625504439</v>
      </c>
      <c r="F59" s="31" t="n">
        <v>0.512329896759212</v>
      </c>
      <c r="G59" s="30" t="n">
        <v>2.4</v>
      </c>
      <c r="H59" s="30" t="n">
        <v>29.5022548148862</v>
      </c>
      <c r="I59" s="30" t="n">
        <v>53.4008053002569</v>
      </c>
      <c r="J59" s="40" t="n">
        <f aca="false">(G59+H59+I59)/3</f>
        <v>28.4343533717144</v>
      </c>
      <c r="K59" s="41" t="n">
        <f aca="false">(J59-MIN(J$6:J$404))/(MAX(J$6:J$404)-MIN(J$6:J$404))*100</f>
        <v>33.4653822334481</v>
      </c>
    </row>
    <row r="60" customFormat="false" ht="15" hidden="false" customHeight="false" outlineLevel="0" collapsed="false">
      <c r="A60" s="26" t="n">
        <v>4104006</v>
      </c>
      <c r="B60" s="26" t="s">
        <v>122</v>
      </c>
      <c r="C60" s="26" t="s">
        <v>86</v>
      </c>
      <c r="D60" s="28" t="n">
        <v>0.0289017341040462</v>
      </c>
      <c r="E60" s="28" t="n">
        <v>0.21594929245283</v>
      </c>
      <c r="F60" s="31" t="n">
        <v>0.5397174785391</v>
      </c>
      <c r="G60" s="30" t="n">
        <v>2.89017341040462</v>
      </c>
      <c r="H60" s="30" t="n">
        <v>31.9401002612525</v>
      </c>
      <c r="I60" s="30" t="n">
        <v>48.8423402078793</v>
      </c>
      <c r="J60" s="40" t="n">
        <f aca="false">(G60+H60+I60)/3</f>
        <v>27.8908712931788</v>
      </c>
      <c r="K60" s="41" t="n">
        <f aca="false">(J60-MIN(J$6:J$404))/(MAX(J$6:J$404)-MIN(J$6:J$404))*100</f>
        <v>32.6218519641396</v>
      </c>
    </row>
    <row r="61" customFormat="false" ht="15" hidden="false" customHeight="false" outlineLevel="0" collapsed="false">
      <c r="A61" s="26" t="n">
        <v>4103909</v>
      </c>
      <c r="B61" s="26" t="s">
        <v>123</v>
      </c>
      <c r="C61" s="26" t="s">
        <v>65</v>
      </c>
      <c r="D61" s="28" t="n">
        <v>0.056701030927835</v>
      </c>
      <c r="E61" s="28" t="n">
        <v>0.299079011148812</v>
      </c>
      <c r="F61" s="31" t="n">
        <v>0.393642538280529</v>
      </c>
      <c r="G61" s="30" t="n">
        <v>5.67010309278351</v>
      </c>
      <c r="H61" s="30" t="n">
        <v>46.2382636736299</v>
      </c>
      <c r="I61" s="30" t="n">
        <v>73.1554585179018</v>
      </c>
      <c r="J61" s="40" t="n">
        <f aca="false">(G61+H61+I61)/3</f>
        <v>41.6879417614384</v>
      </c>
      <c r="K61" s="41" t="n">
        <f aca="false">(J61-MIN(J$6:J$404))/(MAX(J$6:J$404)-MIN(J$6:J$404))*100</f>
        <v>54.0360752244894</v>
      </c>
    </row>
    <row r="62" customFormat="false" ht="15" hidden="false" customHeight="false" outlineLevel="0" collapsed="false">
      <c r="A62" s="26" t="n">
        <v>4103958</v>
      </c>
      <c r="B62" s="26" t="s">
        <v>124</v>
      </c>
      <c r="C62" s="26" t="s">
        <v>71</v>
      </c>
      <c r="D62" s="28" t="n">
        <v>0.1</v>
      </c>
      <c r="E62" s="28" t="n">
        <v>0.398576512455516</v>
      </c>
      <c r="F62" s="31" t="n">
        <v>0.479509114234911</v>
      </c>
      <c r="G62" s="30" t="n">
        <v>10</v>
      </c>
      <c r="H62" s="30" t="n">
        <v>63.3516565146338</v>
      </c>
      <c r="I62" s="30" t="n">
        <v>58.8635873977771</v>
      </c>
      <c r="J62" s="40" t="n">
        <f aca="false">(G62+H62+I62)/3</f>
        <v>44.0717479708036</v>
      </c>
      <c r="K62" s="41" t="n">
        <f aca="false">(J62-MIN(J$6:J$404))/(MAX(J$6:J$404)-MIN(J$6:J$404))*100</f>
        <v>57.7359445912648</v>
      </c>
    </row>
    <row r="63" customFormat="false" ht="15" hidden="false" customHeight="false" outlineLevel="0" collapsed="false">
      <c r="A63" s="26" t="n">
        <v>4104055</v>
      </c>
      <c r="B63" s="26" t="s">
        <v>125</v>
      </c>
      <c r="C63" s="26" t="s">
        <v>71</v>
      </c>
      <c r="D63" s="28" t="n">
        <v>0.0333333333333333</v>
      </c>
      <c r="E63" s="28" t="n">
        <v>0.328897338403042</v>
      </c>
      <c r="F63" s="31" t="n">
        <v>0.413520174695101</v>
      </c>
      <c r="G63" s="30" t="n">
        <v>3.33333333333333</v>
      </c>
      <c r="H63" s="30" t="n">
        <v>51.3669628013623</v>
      </c>
      <c r="I63" s="30" t="n">
        <v>69.8469695668496</v>
      </c>
      <c r="J63" s="40" t="n">
        <f aca="false">(G63+H63+I63)/3</f>
        <v>41.5157552338484</v>
      </c>
      <c r="K63" s="41" t="n">
        <f aca="false">(J63-MIN(J$6:J$404))/(MAX(J$6:J$404)-MIN(J$6:J$404))*100</f>
        <v>53.7688271334748</v>
      </c>
    </row>
    <row r="64" customFormat="false" ht="15" hidden="false" customHeight="false" outlineLevel="0" collapsed="false">
      <c r="A64" s="26" t="n">
        <v>4104204</v>
      </c>
      <c r="B64" s="26" t="s">
        <v>126</v>
      </c>
      <c r="C64" s="26" t="s">
        <v>69</v>
      </c>
      <c r="D64" s="28" t="n">
        <v>0.0401267159450897</v>
      </c>
      <c r="E64" s="28" t="n">
        <v>0.155757748080751</v>
      </c>
      <c r="F64" s="31" t="n">
        <v>0.555496425062272</v>
      </c>
      <c r="G64" s="30" t="n">
        <v>4.01267159450898</v>
      </c>
      <c r="H64" s="30" t="n">
        <v>21.5872619385005</v>
      </c>
      <c r="I64" s="30" t="n">
        <v>46.2160485732819</v>
      </c>
      <c r="J64" s="40" t="n">
        <f aca="false">(G64+H64+I64)/3</f>
        <v>23.9386607020971</v>
      </c>
      <c r="K64" s="41" t="n">
        <f aca="false">(J64-MIN(J$6:J$404))/(MAX(J$6:J$404)-MIN(J$6:J$404))*100</f>
        <v>26.487686007385</v>
      </c>
    </row>
    <row r="65" customFormat="false" ht="15" hidden="false" customHeight="false" outlineLevel="0" collapsed="false">
      <c r="A65" s="26" t="n">
        <v>4104253</v>
      </c>
      <c r="B65" s="26" t="s">
        <v>127</v>
      </c>
      <c r="C65" s="26" t="s">
        <v>86</v>
      </c>
      <c r="D65" s="28" t="n">
        <v>0.0669291338582677</v>
      </c>
      <c r="E65" s="28" t="n">
        <v>0.209892041174994</v>
      </c>
      <c r="F65" s="31" t="n">
        <v>0.441871734359986</v>
      </c>
      <c r="G65" s="30" t="n">
        <v>6.69291338582677</v>
      </c>
      <c r="H65" s="30" t="n">
        <v>30.8982638403081</v>
      </c>
      <c r="I65" s="30" t="n">
        <v>65.1280573209446</v>
      </c>
      <c r="J65" s="40" t="n">
        <f aca="false">(G65+H65+I65)/3</f>
        <v>34.2397448490265</v>
      </c>
      <c r="K65" s="41" t="n">
        <f aca="false">(J65-MIN(J$6:J$404))/(MAX(J$6:J$404)-MIN(J$6:J$404))*100</f>
        <v>42.4758420622132</v>
      </c>
    </row>
    <row r="66" customFormat="false" ht="15" hidden="false" customHeight="false" outlineLevel="0" collapsed="false">
      <c r="A66" s="26" t="n">
        <v>4104303</v>
      </c>
      <c r="B66" s="26" t="s">
        <v>128</v>
      </c>
      <c r="C66" s="26" t="s">
        <v>129</v>
      </c>
      <c r="D66" s="28" t="n">
        <v>0.081081081081081</v>
      </c>
      <c r="E66" s="28" t="n">
        <v>0.186527293844367</v>
      </c>
      <c r="F66" s="31" t="n">
        <v>0.625920172109148</v>
      </c>
      <c r="G66" s="30" t="n">
        <v>8.10810810810811</v>
      </c>
      <c r="H66" s="30" t="n">
        <v>26.8795689540188</v>
      </c>
      <c r="I66" s="30" t="n">
        <v>34.4945247393173</v>
      </c>
      <c r="J66" s="40" t="n">
        <f aca="false">(G66+H66+I66)/3</f>
        <v>23.1607339338147</v>
      </c>
      <c r="K66" s="41" t="n">
        <f aca="false">(J66-MIN(J$6:J$404))/(MAX(J$6:J$404)-MIN(J$6:J$404))*100</f>
        <v>25.2802777003444</v>
      </c>
    </row>
    <row r="67" customFormat="false" ht="15" hidden="false" customHeight="false" outlineLevel="0" collapsed="false">
      <c r="A67" s="26" t="n">
        <v>4104105</v>
      </c>
      <c r="B67" s="26" t="s">
        <v>130</v>
      </c>
      <c r="C67" s="26" t="s">
        <v>65</v>
      </c>
      <c r="D67" s="28" t="n">
        <v>0.023076923076923</v>
      </c>
      <c r="E67" s="28" t="n">
        <v>0.379864636209814</v>
      </c>
      <c r="F67" s="31" t="n">
        <v>0.444917327656317</v>
      </c>
      <c r="G67" s="30" t="n">
        <v>2.30769230769231</v>
      </c>
      <c r="H67" s="30" t="n">
        <v>60.1332471598315</v>
      </c>
      <c r="I67" s="30" t="n">
        <v>64.6211403233622</v>
      </c>
      <c r="J67" s="40" t="n">
        <f aca="false">(G67+H67+I67)/3</f>
        <v>42.354026596962</v>
      </c>
      <c r="K67" s="41" t="n">
        <f aca="false">(J67-MIN(J$6:J$404))/(MAX(J$6:J$404)-MIN(J$6:J$404))*100</f>
        <v>55.0698953684866</v>
      </c>
    </row>
    <row r="68" customFormat="false" ht="15" hidden="false" customHeight="false" outlineLevel="0" collapsed="false">
      <c r="A68" s="26" t="n">
        <v>4104428</v>
      </c>
      <c r="B68" s="26" t="s">
        <v>131</v>
      </c>
      <c r="C68" s="26" t="s">
        <v>65</v>
      </c>
      <c r="D68" s="28" t="n">
        <v>0.0813953488372093</v>
      </c>
      <c r="E68" s="28" t="n">
        <v>0.279111111111111</v>
      </c>
      <c r="F68" s="31" t="n">
        <v>0.533648895003161</v>
      </c>
      <c r="G68" s="30" t="n">
        <v>8.13953488372093</v>
      </c>
      <c r="H68" s="30" t="n">
        <v>42.803820465838</v>
      </c>
      <c r="I68" s="30" t="n">
        <v>49.8524120875759</v>
      </c>
      <c r="J68" s="40" t="n">
        <f aca="false">(G68+H68+I68)/3</f>
        <v>33.5985891457116</v>
      </c>
      <c r="K68" s="41" t="n">
        <f aca="false">(J68-MIN(J$6:J$404))/(MAX(J$6:J$404)-MIN(J$6:J$404))*100</f>
        <v>41.4807140452173</v>
      </c>
    </row>
    <row r="69" customFormat="false" ht="15" hidden="false" customHeight="false" outlineLevel="0" collapsed="false">
      <c r="A69" s="26" t="n">
        <v>4104451</v>
      </c>
      <c r="B69" s="26" t="s">
        <v>132</v>
      </c>
      <c r="C69" s="26" t="s">
        <v>65</v>
      </c>
      <c r="D69" s="28" t="n">
        <v>0.0909090909090909</v>
      </c>
      <c r="E69" s="28" t="n">
        <v>0.299302473050095</v>
      </c>
      <c r="F69" s="31" t="n">
        <v>0.37596339246527</v>
      </c>
      <c r="G69" s="30" t="n">
        <v>9.09090909090909</v>
      </c>
      <c r="H69" s="30" t="n">
        <v>46.2766987222636</v>
      </c>
      <c r="I69" s="30" t="n">
        <v>76.098024594367</v>
      </c>
      <c r="J69" s="40" t="n">
        <f aca="false">(G69+H69+I69)/3</f>
        <v>43.8218774691799</v>
      </c>
      <c r="K69" s="41" t="n">
        <f aca="false">(J69-MIN(J$6:J$404))/(MAX(J$6:J$404)-MIN(J$6:J$404))*100</f>
        <v>57.3481243855004</v>
      </c>
    </row>
    <row r="70" customFormat="false" ht="15" hidden="false" customHeight="false" outlineLevel="0" collapsed="false">
      <c r="A70" s="26" t="n">
        <v>4104501</v>
      </c>
      <c r="B70" s="26" t="s">
        <v>133</v>
      </c>
      <c r="C70" s="26" t="s">
        <v>86</v>
      </c>
      <c r="D70" s="28" t="n">
        <v>0.0136054421768707</v>
      </c>
      <c r="E70" s="28" t="n">
        <v>0.113583138173302</v>
      </c>
      <c r="F70" s="31" t="n">
        <v>0.528743421658723</v>
      </c>
      <c r="G70" s="30" t="n">
        <v>1.36054421768708</v>
      </c>
      <c r="H70" s="30" t="n">
        <v>14.3333042231459</v>
      </c>
      <c r="I70" s="30" t="n">
        <v>50.668892680201</v>
      </c>
      <c r="J70" s="40" t="n">
        <f aca="false">(G70+H70+I70)/3</f>
        <v>22.1209137070113</v>
      </c>
      <c r="K70" s="41" t="n">
        <f aca="false">(J70-MIN(J$6:J$404))/(MAX(J$6:J$404)-MIN(J$6:J$404))*100</f>
        <v>23.6663885389734</v>
      </c>
    </row>
    <row r="71" customFormat="false" ht="15" hidden="false" customHeight="false" outlineLevel="0" collapsed="false">
      <c r="A71" s="26" t="n">
        <v>4104600</v>
      </c>
      <c r="B71" s="26" t="s">
        <v>134</v>
      </c>
      <c r="C71" s="26" t="s">
        <v>65</v>
      </c>
      <c r="D71" s="28" t="n">
        <v>0</v>
      </c>
      <c r="E71" s="28" t="n">
        <v>0.283375959079284</v>
      </c>
      <c r="F71" s="31" t="n">
        <v>0.451480529326906</v>
      </c>
      <c r="G71" s="30" t="n">
        <v>0</v>
      </c>
      <c r="H71" s="30" t="n">
        <v>43.5373667130097</v>
      </c>
      <c r="I71" s="30" t="n">
        <v>63.5287428291232</v>
      </c>
      <c r="J71" s="40" t="n">
        <f aca="false">(G71+H71+I71)/3</f>
        <v>35.688703180711</v>
      </c>
      <c r="K71" s="41" t="n">
        <f aca="false">(J71-MIN(J$6:J$404))/(MAX(J$6:J$404)-MIN(J$6:J$404))*100</f>
        <v>44.7247482543658</v>
      </c>
    </row>
    <row r="72" customFormat="false" ht="15" hidden="false" customHeight="false" outlineLevel="0" collapsed="false">
      <c r="A72" s="26" t="n">
        <v>4104659</v>
      </c>
      <c r="B72" s="26" t="s">
        <v>135</v>
      </c>
      <c r="C72" s="26" t="s">
        <v>86</v>
      </c>
      <c r="D72" s="28" t="n">
        <v>0.0388349514563106</v>
      </c>
      <c r="E72" s="28" t="n">
        <v>0.21492295214923</v>
      </c>
      <c r="F72" s="31" t="n">
        <v>0.703166333797707</v>
      </c>
      <c r="G72" s="30" t="n">
        <v>3.88349514563107</v>
      </c>
      <c r="H72" s="30" t="n">
        <v>31.7635715587886</v>
      </c>
      <c r="I72" s="30" t="n">
        <v>21.6374592850743</v>
      </c>
      <c r="J72" s="40" t="n">
        <f aca="false">(G72+H72+I72)/3</f>
        <v>19.094841996498</v>
      </c>
      <c r="K72" s="41" t="n">
        <f aca="false">(J72-MIN(J$6:J$404))/(MAX(J$6:J$404)-MIN(J$6:J$404))*100</f>
        <v>18.969668654862</v>
      </c>
    </row>
    <row r="73" customFormat="false" ht="15" hidden="false" customHeight="false" outlineLevel="0" collapsed="false">
      <c r="A73" s="26" t="n">
        <v>4104709</v>
      </c>
      <c r="B73" s="26" t="s">
        <v>136</v>
      </c>
      <c r="C73" s="26" t="s">
        <v>65</v>
      </c>
      <c r="D73" s="28" t="n">
        <v>0.050632911392405</v>
      </c>
      <c r="E73" s="28" t="n">
        <v>0.24644128113879</v>
      </c>
      <c r="F73" s="31" t="n">
        <v>0.426471700133727</v>
      </c>
      <c r="G73" s="30" t="n">
        <v>5.06329113924051</v>
      </c>
      <c r="H73" s="30" t="n">
        <v>37.1846679542416</v>
      </c>
      <c r="I73" s="30" t="n">
        <v>67.6912817416335</v>
      </c>
      <c r="J73" s="40" t="n">
        <f aca="false">(G73+H73+I73)/3</f>
        <v>36.6464136117052</v>
      </c>
      <c r="K73" s="41" t="n">
        <f aca="false">(J73-MIN(J$6:J$404))/(MAX(J$6:J$404)-MIN(J$6:J$404))*100</f>
        <v>46.2111960503132</v>
      </c>
    </row>
    <row r="74" customFormat="false" ht="15" hidden="false" customHeight="false" outlineLevel="0" collapsed="false">
      <c r="A74" s="26" t="n">
        <v>4104808</v>
      </c>
      <c r="B74" s="26" t="s">
        <v>137</v>
      </c>
      <c r="C74" s="26" t="s">
        <v>138</v>
      </c>
      <c r="D74" s="28" t="n">
        <v>0.024749868351764</v>
      </c>
      <c r="E74" s="28" t="n">
        <v>0.131711932563491</v>
      </c>
      <c r="F74" s="31" t="n">
        <v>0.688696600297326</v>
      </c>
      <c r="G74" s="30" t="n">
        <v>2.47498683517641</v>
      </c>
      <c r="H74" s="30" t="n">
        <v>17.4514245383159</v>
      </c>
      <c r="I74" s="30" t="n">
        <v>24.0458418720295</v>
      </c>
      <c r="J74" s="40" t="n">
        <f aca="false">(G74+H74+I74)/3</f>
        <v>14.6574177485073</v>
      </c>
      <c r="K74" s="41" t="n">
        <f aca="false">(J74-MIN(J$6:J$404))/(MAX(J$6:J$404)-MIN(J$6:J$404))*100</f>
        <v>12.0824099599117</v>
      </c>
    </row>
    <row r="75" customFormat="false" ht="15" hidden="false" customHeight="false" outlineLevel="0" collapsed="false">
      <c r="A75" s="26" t="n">
        <v>4104907</v>
      </c>
      <c r="B75" s="26" t="s">
        <v>139</v>
      </c>
      <c r="C75" s="26" t="s">
        <v>129</v>
      </c>
      <c r="D75" s="28" t="n">
        <v>0.0439189189189189</v>
      </c>
      <c r="E75" s="28" t="n">
        <v>0.275979714153988</v>
      </c>
      <c r="F75" s="31" t="n">
        <v>0.613282796141849</v>
      </c>
      <c r="G75" s="30" t="n">
        <v>4.39189189189189</v>
      </c>
      <c r="H75" s="30" t="n">
        <v>42.2652257718549</v>
      </c>
      <c r="I75" s="30" t="n">
        <v>36.5979246549858</v>
      </c>
      <c r="J75" s="40" t="n">
        <f aca="false">(G75+H75+I75)/3</f>
        <v>27.7516807729109</v>
      </c>
      <c r="K75" s="41" t="n">
        <f aca="false">(J75-MIN(J$6:J$404))/(MAX(J$6:J$404)-MIN(J$6:J$404))*100</f>
        <v>32.405816474316</v>
      </c>
    </row>
    <row r="76" customFormat="false" ht="15" hidden="false" customHeight="false" outlineLevel="0" collapsed="false">
      <c r="A76" s="26" t="n">
        <v>4105003</v>
      </c>
      <c r="B76" s="26" t="s">
        <v>140</v>
      </c>
      <c r="C76" s="26" t="s">
        <v>65</v>
      </c>
      <c r="D76" s="28" t="n">
        <v>0.0467289719626168</v>
      </c>
      <c r="E76" s="28" t="n">
        <v>0.212482468443198</v>
      </c>
      <c r="F76" s="31" t="n">
        <v>0.430805355764891</v>
      </c>
      <c r="G76" s="30" t="n">
        <v>4.67289719626168</v>
      </c>
      <c r="H76" s="30" t="n">
        <v>31.3438127122358</v>
      </c>
      <c r="I76" s="30" t="n">
        <v>66.9699760755905</v>
      </c>
      <c r="J76" s="40" t="n">
        <f aca="false">(G76+H76+I76)/3</f>
        <v>34.3288953280293</v>
      </c>
      <c r="K76" s="41" t="n">
        <f aca="false">(J76-MIN(J$6:J$404))/(MAX(J$6:J$404)-MIN(J$6:J$404))*100</f>
        <v>42.6142111649531</v>
      </c>
    </row>
    <row r="77" customFormat="false" ht="15" hidden="false" customHeight="false" outlineLevel="0" collapsed="false">
      <c r="A77" s="26" t="n">
        <v>4104402</v>
      </c>
      <c r="B77" s="26" t="s">
        <v>141</v>
      </c>
      <c r="C77" s="26" t="s">
        <v>65</v>
      </c>
      <c r="D77" s="28" t="n">
        <v>0.029126213592233</v>
      </c>
      <c r="E77" s="28" t="n">
        <v>0.332155477031802</v>
      </c>
      <c r="F77" s="31" t="n">
        <v>0.258783314859356</v>
      </c>
      <c r="G77" s="30" t="n">
        <v>2.9126213592233</v>
      </c>
      <c r="H77" s="30" t="n">
        <v>51.9273568369125</v>
      </c>
      <c r="I77" s="30" t="n">
        <v>95.6018018019229</v>
      </c>
      <c r="J77" s="40" t="n">
        <f aca="false">(G77+H77+I77)/3</f>
        <v>50.1472599993529</v>
      </c>
      <c r="K77" s="41" t="n">
        <f aca="false">(J77-MIN(J$6:J$404))/(MAX(J$6:J$404)-MIN(J$6:J$404))*100</f>
        <v>67.1656544198547</v>
      </c>
    </row>
    <row r="78" customFormat="false" ht="15" hidden="false" customHeight="false" outlineLevel="0" collapsed="false">
      <c r="A78" s="26" t="n">
        <v>4105102</v>
      </c>
      <c r="B78" s="26" t="s">
        <v>142</v>
      </c>
      <c r="C78" s="26" t="s">
        <v>65</v>
      </c>
      <c r="D78" s="28" t="n">
        <v>0</v>
      </c>
      <c r="E78" s="28" t="n">
        <v>0.238653001464129</v>
      </c>
      <c r="F78" s="31" t="n">
        <v>0.519110512834481</v>
      </c>
      <c r="G78" s="30" t="n">
        <v>0</v>
      </c>
      <c r="H78" s="30" t="n">
        <v>35.8450977351138</v>
      </c>
      <c r="I78" s="30" t="n">
        <v>52.2722207493337</v>
      </c>
      <c r="J78" s="40" t="n">
        <f aca="false">(G78+H78+I78)/3</f>
        <v>29.3724394948158</v>
      </c>
      <c r="K78" s="41" t="n">
        <f aca="false">(J78-MIN(J$6:J$404))/(MAX(J$6:J$404)-MIN(J$6:J$404))*100</f>
        <v>34.921371439544</v>
      </c>
    </row>
    <row r="79" customFormat="false" ht="15" hidden="false" customHeight="false" outlineLevel="0" collapsed="false">
      <c r="A79" s="26" t="n">
        <v>4105201</v>
      </c>
      <c r="B79" s="26" t="s">
        <v>143</v>
      </c>
      <c r="C79" s="26" t="s">
        <v>65</v>
      </c>
      <c r="D79" s="28" t="n">
        <v>0.032520325203252</v>
      </c>
      <c r="E79" s="28" t="n">
        <v>0.46411272567151</v>
      </c>
      <c r="F79" s="31" t="n">
        <v>0.367289149174286</v>
      </c>
      <c r="G79" s="30" t="n">
        <v>3.2520325203252</v>
      </c>
      <c r="H79" s="30" t="n">
        <v>74.6237683500848</v>
      </c>
      <c r="I79" s="30" t="n">
        <v>77.5417897125337</v>
      </c>
      <c r="J79" s="40" t="n">
        <f aca="false">(G79+H79+I79)/3</f>
        <v>51.8058635276479</v>
      </c>
      <c r="K79" s="41" t="n">
        <f aca="false">(J79-MIN(J$6:J$404))/(MAX(J$6:J$404)-MIN(J$6:J$404))*100</f>
        <v>69.739947733571</v>
      </c>
    </row>
    <row r="80" customFormat="false" ht="15" hidden="false" customHeight="false" outlineLevel="0" collapsed="false">
      <c r="A80" s="26" t="n">
        <v>4105300</v>
      </c>
      <c r="B80" s="26" t="s">
        <v>144</v>
      </c>
      <c r="C80" s="26" t="s">
        <v>65</v>
      </c>
      <c r="D80" s="28" t="n">
        <v>0.025</v>
      </c>
      <c r="E80" s="28" t="n">
        <v>0.103216155572177</v>
      </c>
      <c r="F80" s="31" t="n">
        <v>0.523352596213473</v>
      </c>
      <c r="G80" s="30" t="n">
        <v>2.5</v>
      </c>
      <c r="H80" s="30" t="n">
        <v>12.5502016979676</v>
      </c>
      <c r="I80" s="30" t="n">
        <v>51.5661566229898</v>
      </c>
      <c r="J80" s="40" t="n">
        <f aca="false">(G80+H80+I80)/3</f>
        <v>22.2054527736525</v>
      </c>
      <c r="K80" s="41" t="n">
        <f aca="false">(J80-MIN(J$6:J$404))/(MAX(J$6:J$404)-MIN(J$6:J$404))*100</f>
        <v>23.7976003387131</v>
      </c>
    </row>
    <row r="81" customFormat="false" ht="15" hidden="false" customHeight="false" outlineLevel="0" collapsed="false">
      <c r="A81" s="26" t="n">
        <v>4105409</v>
      </c>
      <c r="B81" s="26" t="s">
        <v>145</v>
      </c>
      <c r="C81" s="26" t="s">
        <v>86</v>
      </c>
      <c r="D81" s="28" t="n">
        <v>0.027906976744186</v>
      </c>
      <c r="E81" s="28" t="n">
        <v>0.213729653220099</v>
      </c>
      <c r="F81" s="31" t="n">
        <v>0.505110765873447</v>
      </c>
      <c r="G81" s="30" t="n">
        <v>2.79069767441861</v>
      </c>
      <c r="H81" s="30" t="n">
        <v>31.5583262703867</v>
      </c>
      <c r="I81" s="30" t="n">
        <v>54.6023774728037</v>
      </c>
      <c r="J81" s="40" t="n">
        <f aca="false">(G81+H81+I81)/3</f>
        <v>29.650467139203</v>
      </c>
      <c r="K81" s="41" t="n">
        <f aca="false">(J81-MIN(J$6:J$404))/(MAX(J$6:J$404)-MIN(J$6:J$404))*100</f>
        <v>35.3528939184031</v>
      </c>
    </row>
    <row r="82" customFormat="false" ht="15" hidden="false" customHeight="false" outlineLevel="0" collapsed="false">
      <c r="A82" s="26" t="n">
        <v>4105508</v>
      </c>
      <c r="B82" s="26" t="s">
        <v>146</v>
      </c>
      <c r="C82" s="26" t="s">
        <v>129</v>
      </c>
      <c r="D82" s="28" t="n">
        <v>0.0397350993377483</v>
      </c>
      <c r="E82" s="28" t="n">
        <v>0.117722015291119</v>
      </c>
      <c r="F82" s="31" t="n">
        <v>0.568670802798773</v>
      </c>
      <c r="G82" s="30" t="n">
        <v>3.97350993377483</v>
      </c>
      <c r="H82" s="30" t="n">
        <v>15.0451837086369</v>
      </c>
      <c r="I82" s="30" t="n">
        <v>44.0232685933518</v>
      </c>
      <c r="J82" s="40" t="n">
        <f aca="false">(G82+H82+I82)/3</f>
        <v>21.0139874119212</v>
      </c>
      <c r="K82" s="41" t="n">
        <f aca="false">(J82-MIN(J$6:J$404))/(MAX(J$6:J$404)-MIN(J$6:J$404))*100</f>
        <v>21.9483450695033</v>
      </c>
    </row>
    <row r="83" customFormat="false" ht="15" hidden="false" customHeight="false" outlineLevel="0" collapsed="false">
      <c r="A83" s="26" t="n">
        <v>4105607</v>
      </c>
      <c r="B83" s="26" t="s">
        <v>147</v>
      </c>
      <c r="C83" s="26" t="s">
        <v>65</v>
      </c>
      <c r="D83" s="28" t="n">
        <v>0</v>
      </c>
      <c r="E83" s="28" t="n">
        <v>0.171119592875318</v>
      </c>
      <c r="F83" s="31" t="n">
        <v>0.509627999151312</v>
      </c>
      <c r="G83" s="30" t="n">
        <v>0</v>
      </c>
      <c r="H83" s="30" t="n">
        <v>24.2294718561303</v>
      </c>
      <c r="I83" s="30" t="n">
        <v>53.8505166339474</v>
      </c>
      <c r="J83" s="40" t="n">
        <f aca="false">(G83+H83+I83)/3</f>
        <v>26.0266628300259</v>
      </c>
      <c r="K83" s="41" t="n">
        <f aca="false">(J83-MIN(J$6:J$404))/(MAX(J$6:J$404)-MIN(J$6:J$404))*100</f>
        <v>29.7284423576853</v>
      </c>
    </row>
    <row r="84" customFormat="false" ht="15" hidden="false" customHeight="false" outlineLevel="0" collapsed="false">
      <c r="A84" s="26" t="n">
        <v>4105706</v>
      </c>
      <c r="B84" s="26" t="s">
        <v>148</v>
      </c>
      <c r="C84" s="26" t="s">
        <v>65</v>
      </c>
      <c r="D84" s="28" t="n">
        <v>0.0526315789473684</v>
      </c>
      <c r="E84" s="28" t="n">
        <v>0.286167800453515</v>
      </c>
      <c r="F84" s="31" t="n">
        <v>0.488296599254641</v>
      </c>
      <c r="G84" s="30" t="n">
        <v>5.26315789473684</v>
      </c>
      <c r="H84" s="30" t="n">
        <v>44.0175584520938</v>
      </c>
      <c r="I84" s="30" t="n">
        <v>57.4009740121132</v>
      </c>
      <c r="J84" s="40" t="n">
        <f aca="false">(G84+H84+I84)/3</f>
        <v>35.5605634529813</v>
      </c>
      <c r="K84" s="41" t="n">
        <f aca="false">(J84-MIN(J$6:J$404))/(MAX(J$6:J$404)-MIN(J$6:J$404))*100</f>
        <v>44.5258645315902</v>
      </c>
    </row>
    <row r="85" customFormat="false" ht="15" hidden="false" customHeight="false" outlineLevel="0" collapsed="false">
      <c r="A85" s="26" t="n">
        <v>4105805</v>
      </c>
      <c r="B85" s="26" t="s">
        <v>149</v>
      </c>
      <c r="C85" s="26" t="s">
        <v>138</v>
      </c>
      <c r="D85" s="28" t="n">
        <v>0.056998556998557</v>
      </c>
      <c r="E85" s="28" t="n">
        <v>0.208840265333711</v>
      </c>
      <c r="F85" s="31" t="n">
        <v>0.495676049455175</v>
      </c>
      <c r="G85" s="30" t="n">
        <v>5.6998556998557</v>
      </c>
      <c r="H85" s="30" t="n">
        <v>30.7173602707092</v>
      </c>
      <c r="I85" s="30" t="n">
        <v>56.1727178480447</v>
      </c>
      <c r="J85" s="40" t="n">
        <f aca="false">(G85+H85+I85)/3</f>
        <v>30.8633112728699</v>
      </c>
      <c r="K85" s="41" t="n">
        <f aca="false">(J85-MIN(J$6:J$404))/(MAX(J$6:J$404)-MIN(J$6:J$404))*100</f>
        <v>37.2353308544249</v>
      </c>
    </row>
    <row r="86" customFormat="false" ht="15" hidden="false" customHeight="false" outlineLevel="0" collapsed="false">
      <c r="A86" s="26" t="n">
        <v>4105904</v>
      </c>
      <c r="B86" s="26" t="s">
        <v>150</v>
      </c>
      <c r="C86" s="26" t="s">
        <v>86</v>
      </c>
      <c r="D86" s="28" t="n">
        <v>0</v>
      </c>
      <c r="E86" s="28" t="n">
        <v>0.131223465843304</v>
      </c>
      <c r="F86" s="31" t="n">
        <v>0.532216889610719</v>
      </c>
      <c r="G86" s="30" t="n">
        <v>0</v>
      </c>
      <c r="H86" s="30" t="n">
        <v>17.3674091332803</v>
      </c>
      <c r="I86" s="30" t="n">
        <v>50.0907590378837</v>
      </c>
      <c r="J86" s="40" t="n">
        <f aca="false">(G86+H86+I86)/3</f>
        <v>22.4860560570547</v>
      </c>
      <c r="K86" s="41" t="n">
        <f aca="false">(J86-MIN(J$6:J$404))/(MAX(J$6:J$404)-MIN(J$6:J$404))*100</f>
        <v>24.2331204277193</v>
      </c>
    </row>
    <row r="87" customFormat="false" ht="15" hidden="false" customHeight="false" outlineLevel="0" collapsed="false">
      <c r="A87" s="26" t="n">
        <v>4106001</v>
      </c>
      <c r="B87" s="26" t="s">
        <v>151</v>
      </c>
      <c r="C87" s="26" t="s">
        <v>65</v>
      </c>
      <c r="D87" s="28" t="n">
        <v>0</v>
      </c>
      <c r="E87" s="28" t="n">
        <v>0.382273948075201</v>
      </c>
      <c r="F87" s="31" t="n">
        <v>0.39471389492093</v>
      </c>
      <c r="G87" s="30" t="n">
        <v>0</v>
      </c>
      <c r="H87" s="30" t="n">
        <v>60.5476445053665</v>
      </c>
      <c r="I87" s="30" t="n">
        <v>72.9771389464258</v>
      </c>
      <c r="J87" s="40" t="n">
        <f aca="false">(G87+H87+I87)/3</f>
        <v>44.5082611505974</v>
      </c>
      <c r="K87" s="41" t="n">
        <f aca="false">(J87-MIN(J$6:J$404))/(MAX(J$6:J$404)-MIN(J$6:J$404))*100</f>
        <v>58.413450059523</v>
      </c>
    </row>
    <row r="88" customFormat="false" ht="15" hidden="false" customHeight="false" outlineLevel="0" collapsed="false">
      <c r="A88" s="26" t="n">
        <v>4106100</v>
      </c>
      <c r="B88" s="26" t="s">
        <v>152</v>
      </c>
      <c r="C88" s="26" t="s">
        <v>71</v>
      </c>
      <c r="D88" s="28" t="n">
        <v>0.0444444444444444</v>
      </c>
      <c r="E88" s="28" t="n">
        <v>0.333333333333333</v>
      </c>
      <c r="F88" s="31" t="n">
        <v>0.408474050392979</v>
      </c>
      <c r="G88" s="30" t="n">
        <v>4.44444444444445</v>
      </c>
      <c r="H88" s="30" t="n">
        <v>52.1299460208983</v>
      </c>
      <c r="I88" s="30" t="n">
        <v>70.6868604950773</v>
      </c>
      <c r="J88" s="40" t="n">
        <f aca="false">(G88+H88+I88)/3</f>
        <v>42.4204169868067</v>
      </c>
      <c r="K88" s="41" t="n">
        <f aca="false">(J88-MIN(J$6:J$404))/(MAX(J$6:J$404)-MIN(J$6:J$404))*100</f>
        <v>55.1729388829592</v>
      </c>
    </row>
    <row r="89" customFormat="false" ht="15" hidden="false" customHeight="false" outlineLevel="0" collapsed="false">
      <c r="A89" s="26" t="n">
        <v>4106209</v>
      </c>
      <c r="B89" s="26" t="s">
        <v>153</v>
      </c>
      <c r="C89" s="26" t="s">
        <v>65</v>
      </c>
      <c r="D89" s="28" t="n">
        <v>0.0352112676056338</v>
      </c>
      <c r="E89" s="28" t="n">
        <v>0.207777354174609</v>
      </c>
      <c r="F89" s="31" t="n">
        <v>0.458211816584137</v>
      </c>
      <c r="G89" s="30" t="n">
        <v>3.52112676056338</v>
      </c>
      <c r="H89" s="30" t="n">
        <v>30.5345414462975</v>
      </c>
      <c r="I89" s="30" t="n">
        <v>62.4083687035263</v>
      </c>
      <c r="J89" s="40" t="n">
        <f aca="false">(G89+H89+I89)/3</f>
        <v>32.1546789701291</v>
      </c>
      <c r="K89" s="41" t="n">
        <f aca="false">(J89-MIN(J$6:J$404))/(MAX(J$6:J$404)-MIN(J$6:J$404))*100</f>
        <v>39.2396430193827</v>
      </c>
    </row>
    <row r="90" customFormat="false" ht="15" hidden="false" customHeight="false" outlineLevel="0" collapsed="false">
      <c r="A90" s="26" t="n">
        <v>4106308</v>
      </c>
      <c r="B90" s="26" t="s">
        <v>154</v>
      </c>
      <c r="C90" s="26" t="s">
        <v>65</v>
      </c>
      <c r="D90" s="28" t="n">
        <v>0.0305676855895196</v>
      </c>
      <c r="E90" s="28" t="n">
        <v>0.193396226415094</v>
      </c>
      <c r="F90" s="31" t="n">
        <v>0.487834545431482</v>
      </c>
      <c r="G90" s="30" t="n">
        <v>3.05676855895197</v>
      </c>
      <c r="H90" s="30" t="n">
        <v>28.0610131102783</v>
      </c>
      <c r="I90" s="30" t="n">
        <v>57.4778795323083</v>
      </c>
      <c r="J90" s="40" t="n">
        <f aca="false">(G90+H90+I90)/3</f>
        <v>29.5318870671795</v>
      </c>
      <c r="K90" s="41" t="n">
        <f aca="false">(J90-MIN(J$6:J$404))/(MAX(J$6:J$404)-MIN(J$6:J$404))*100</f>
        <v>35.1688475918745</v>
      </c>
    </row>
    <row r="91" customFormat="false" ht="15" hidden="false" customHeight="false" outlineLevel="0" collapsed="false">
      <c r="A91" s="26" t="n">
        <v>4106407</v>
      </c>
      <c r="B91" s="26" t="s">
        <v>155</v>
      </c>
      <c r="C91" s="26" t="s">
        <v>86</v>
      </c>
      <c r="D91" s="28" t="n">
        <v>0.0555555555555555</v>
      </c>
      <c r="E91" s="28" t="n">
        <v>0.133459040435785</v>
      </c>
      <c r="F91" s="31" t="n">
        <v>0.577260436070808</v>
      </c>
      <c r="G91" s="30" t="n">
        <v>5.55555555555556</v>
      </c>
      <c r="H91" s="30" t="n">
        <v>17.7519239776135</v>
      </c>
      <c r="I91" s="30" t="n">
        <v>42.5935862014713</v>
      </c>
      <c r="J91" s="40" t="n">
        <f aca="false">(G91+H91+I91)/3</f>
        <v>21.9670219115468</v>
      </c>
      <c r="K91" s="41" t="n">
        <f aca="false">(J91-MIN(J$6:J$404))/(MAX(J$6:J$404)-MIN(J$6:J$404))*100</f>
        <v>23.4275354234809</v>
      </c>
    </row>
    <row r="92" customFormat="false" ht="15" hidden="false" customHeight="false" outlineLevel="0" collapsed="false">
      <c r="A92" s="26" t="n">
        <v>4106456</v>
      </c>
      <c r="B92" s="26" t="s">
        <v>156</v>
      </c>
      <c r="C92" s="26" t="s">
        <v>65</v>
      </c>
      <c r="D92" s="28" t="n">
        <v>0.0238095238095238</v>
      </c>
      <c r="E92" s="28" t="n">
        <v>0.464008859357697</v>
      </c>
      <c r="F92" s="31" t="n">
        <v>0.458679923014503</v>
      </c>
      <c r="G92" s="30" t="n">
        <v>2.38095238095238</v>
      </c>
      <c r="H92" s="30" t="n">
        <v>74.6059035292813</v>
      </c>
      <c r="I92" s="30" t="n">
        <v>62.3304557705961</v>
      </c>
      <c r="J92" s="40" t="n">
        <f aca="false">(G92+H92+I92)/3</f>
        <v>46.4391038936099</v>
      </c>
      <c r="K92" s="41" t="n">
        <f aca="false">(J92-MIN(J$6:J$404))/(MAX(J$6:J$404)-MIN(J$6:J$404))*100</f>
        <v>61.4102817184332</v>
      </c>
    </row>
    <row r="93" customFormat="false" ht="15" hidden="false" customHeight="false" outlineLevel="0" collapsed="false">
      <c r="A93" s="26" t="n">
        <v>4106506</v>
      </c>
      <c r="B93" s="26" t="s">
        <v>157</v>
      </c>
      <c r="C93" s="26" t="s">
        <v>86</v>
      </c>
      <c r="D93" s="28" t="n">
        <v>0.01953125</v>
      </c>
      <c r="E93" s="28" t="n">
        <v>0.187134502923977</v>
      </c>
      <c r="F93" s="31" t="n">
        <v>0.515299324555706</v>
      </c>
      <c r="G93" s="30" t="n">
        <v>1.953125</v>
      </c>
      <c r="H93" s="30" t="n">
        <v>26.9840078331817</v>
      </c>
      <c r="I93" s="30" t="n">
        <v>52.906565499772</v>
      </c>
      <c r="J93" s="40" t="n">
        <f aca="false">(G93+H93+I93)/3</f>
        <v>27.2812327776513</v>
      </c>
      <c r="K93" s="41" t="n">
        <f aca="false">(J93-MIN(J$6:J$404))/(MAX(J$6:J$404)-MIN(J$6:J$404))*100</f>
        <v>31.6756412950234</v>
      </c>
    </row>
    <row r="94" customFormat="false" ht="15" hidden="false" customHeight="false" outlineLevel="0" collapsed="false">
      <c r="A94" s="26" t="n">
        <v>4106555</v>
      </c>
      <c r="B94" s="26" t="s">
        <v>158</v>
      </c>
      <c r="C94" s="26" t="s">
        <v>71</v>
      </c>
      <c r="D94" s="28" t="n">
        <v>0.03125</v>
      </c>
      <c r="E94" s="28" t="n">
        <v>0.280092592592593</v>
      </c>
      <c r="F94" s="31" t="n">
        <v>0.405228554503428</v>
      </c>
      <c r="G94" s="30" t="n">
        <v>3.125</v>
      </c>
      <c r="H94" s="30" t="n">
        <v>42.9726335308715</v>
      </c>
      <c r="I94" s="30" t="n">
        <v>71.2270498348619</v>
      </c>
      <c r="J94" s="40" t="n">
        <f aca="false">(G94+H94+I94)/3</f>
        <v>39.1082277885778</v>
      </c>
      <c r="K94" s="41" t="n">
        <f aca="false">(J94-MIN(J$6:J$404))/(MAX(J$6:J$404)-MIN(J$6:J$404))*100</f>
        <v>50.0321403971819</v>
      </c>
    </row>
    <row r="95" customFormat="false" ht="15" hidden="false" customHeight="false" outlineLevel="0" collapsed="false">
      <c r="A95" s="26" t="n">
        <v>4106803</v>
      </c>
      <c r="B95" s="26" t="s">
        <v>159</v>
      </c>
      <c r="C95" s="26" t="s">
        <v>65</v>
      </c>
      <c r="D95" s="28" t="n">
        <v>0.0151515151515151</v>
      </c>
      <c r="E95" s="28" t="n">
        <v>0.206680584551148</v>
      </c>
      <c r="F95" s="31" t="n">
        <v>0.365829753848321</v>
      </c>
      <c r="G95" s="30" t="n">
        <v>1.51515151515152</v>
      </c>
      <c r="H95" s="30" t="n">
        <v>30.3458990263788</v>
      </c>
      <c r="I95" s="30" t="n">
        <v>77.7846955193645</v>
      </c>
      <c r="J95" s="40" t="n">
        <f aca="false">(G95+H95+I95)/3</f>
        <v>36.5485820202983</v>
      </c>
      <c r="K95" s="41" t="n">
        <f aca="false">(J95-MIN(J$6:J$404))/(MAX(J$6:J$404)-MIN(J$6:J$404))*100</f>
        <v>46.0593531250254</v>
      </c>
    </row>
    <row r="96" customFormat="false" ht="15" hidden="false" customHeight="false" outlineLevel="0" collapsed="false">
      <c r="A96" s="26" t="n">
        <v>4106571</v>
      </c>
      <c r="B96" s="26" t="s">
        <v>160</v>
      </c>
      <c r="C96" s="26" t="s">
        <v>71</v>
      </c>
      <c r="D96" s="28" t="n">
        <v>0</v>
      </c>
      <c r="E96" s="28" t="n">
        <v>0.199630314232902</v>
      </c>
      <c r="F96" s="31" t="n">
        <v>0.470794749481951</v>
      </c>
      <c r="G96" s="30" t="n">
        <v>0</v>
      </c>
      <c r="H96" s="30" t="n">
        <v>29.1332651008343</v>
      </c>
      <c r="I96" s="30" t="n">
        <v>60.3140304433833</v>
      </c>
      <c r="J96" s="40" t="n">
        <f aca="false">(G96+H96+I96)/3</f>
        <v>29.8157651814059</v>
      </c>
      <c r="K96" s="41" t="n">
        <f aca="false">(J96-MIN(J$6:J$404))/(MAX(J$6:J$404)-MIN(J$6:J$404))*100</f>
        <v>35.6094504960022</v>
      </c>
    </row>
    <row r="97" customFormat="false" ht="15" hidden="false" customHeight="false" outlineLevel="0" collapsed="false">
      <c r="A97" s="26" t="n">
        <v>4106605</v>
      </c>
      <c r="B97" s="26" t="s">
        <v>161</v>
      </c>
      <c r="C97" s="26" t="s">
        <v>86</v>
      </c>
      <c r="D97" s="28" t="n">
        <v>0</v>
      </c>
      <c r="E97" s="28" t="n">
        <v>0.194541637508747</v>
      </c>
      <c r="F97" s="31" t="n">
        <v>0.47838679110937</v>
      </c>
      <c r="G97" s="30" t="n">
        <v>0</v>
      </c>
      <c r="H97" s="30" t="n">
        <v>28.2580217763523</v>
      </c>
      <c r="I97" s="30" t="n">
        <v>59.0503899724353</v>
      </c>
      <c r="J97" s="40" t="n">
        <f aca="false">(G97+H97+I97)/3</f>
        <v>29.1028039162625</v>
      </c>
      <c r="K97" s="41" t="n">
        <f aca="false">(J97-MIN(J$6:J$404))/(MAX(J$6:J$404)-MIN(J$6:J$404))*100</f>
        <v>34.5028741584467</v>
      </c>
    </row>
    <row r="98" customFormat="false" ht="15" hidden="false" customHeight="false" outlineLevel="0" collapsed="false">
      <c r="A98" s="26" t="n">
        <v>4106704</v>
      </c>
      <c r="B98" s="26" t="s">
        <v>162</v>
      </c>
      <c r="C98" s="26" t="s">
        <v>71</v>
      </c>
      <c r="D98" s="28" t="n">
        <v>0</v>
      </c>
      <c r="E98" s="28" t="n">
        <v>0.265037593984962</v>
      </c>
      <c r="F98" s="31" t="n">
        <v>0.37703563540403</v>
      </c>
      <c r="G98" s="30" t="n">
        <v>0</v>
      </c>
      <c r="H98" s="30" t="n">
        <v>40.3832006103507</v>
      </c>
      <c r="I98" s="30" t="n">
        <v>75.9195575049332</v>
      </c>
      <c r="J98" s="40" t="n">
        <f aca="false">(G98+H98+I98)/3</f>
        <v>38.767586038428</v>
      </c>
      <c r="K98" s="41" t="n">
        <f aca="false">(J98-MIN(J$6:J$404))/(MAX(J$6:J$404)-MIN(J$6:J$404))*100</f>
        <v>49.5034355169476</v>
      </c>
    </row>
    <row r="99" customFormat="false" ht="15" hidden="false" customHeight="false" outlineLevel="0" collapsed="false">
      <c r="A99" s="26" t="n">
        <v>4106852</v>
      </c>
      <c r="B99" s="26" t="s">
        <v>163</v>
      </c>
      <c r="C99" s="26" t="s">
        <v>71</v>
      </c>
      <c r="D99" s="28" t="n">
        <v>1</v>
      </c>
      <c r="E99" s="28" t="n">
        <v>0.306818181818182</v>
      </c>
      <c r="F99" s="31" t="n">
        <v>0.434606056562365</v>
      </c>
      <c r="G99" s="30" t="n">
        <v>100</v>
      </c>
      <c r="H99" s="30" t="n">
        <v>47.5693872313988</v>
      </c>
      <c r="I99" s="30" t="n">
        <v>66.3373768906351</v>
      </c>
      <c r="J99" s="40" t="n">
        <f aca="false">(G99+H99+I99)/3</f>
        <v>71.3022547073446</v>
      </c>
      <c r="K99" s="41" t="n">
        <f aca="false">(J99-MIN(J$6:J$404))/(MAX(J$6:J$404)-MIN(J$6:J$404))*100</f>
        <v>100</v>
      </c>
    </row>
    <row r="100" customFormat="false" ht="15" hidden="false" customHeight="false" outlineLevel="0" collapsed="false">
      <c r="A100" s="26" t="n">
        <v>4106902</v>
      </c>
      <c r="B100" s="26" t="s">
        <v>164</v>
      </c>
      <c r="C100" s="26" t="s">
        <v>165</v>
      </c>
      <c r="D100" s="28" t="n">
        <v>0.039521185635569</v>
      </c>
      <c r="E100" s="28" t="n">
        <v>0.127146839797894</v>
      </c>
      <c r="F100" s="31" t="n">
        <v>0.833165724748377</v>
      </c>
      <c r="G100" s="30" t="n">
        <v>3.95211856355691</v>
      </c>
      <c r="H100" s="30" t="n">
        <v>16.6662367212625</v>
      </c>
      <c r="I100" s="30" t="n">
        <v>0</v>
      </c>
      <c r="J100" s="40" t="n">
        <f aca="false">(G100+H100+I100)/3</f>
        <v>6.87278509493979</v>
      </c>
      <c r="K100" s="41" t="n">
        <f aca="false">(J100-MIN(J$6:J$404))/(MAX(J$6:J$404)-MIN(J$6:J$404))*100</f>
        <v>0</v>
      </c>
    </row>
    <row r="101" customFormat="false" ht="15" hidden="false" customHeight="false" outlineLevel="0" collapsed="false">
      <c r="A101" s="26" t="n">
        <v>4107009</v>
      </c>
      <c r="B101" s="26" t="s">
        <v>166</v>
      </c>
      <c r="C101" s="26" t="s">
        <v>65</v>
      </c>
      <c r="D101" s="28" t="n">
        <v>0</v>
      </c>
      <c r="E101" s="28" t="n">
        <v>0.314127423822715</v>
      </c>
      <c r="F101" s="31" t="n">
        <v>0.372745114687394</v>
      </c>
      <c r="G101" s="30" t="n">
        <v>0</v>
      </c>
      <c r="H101" s="30" t="n">
        <v>48.8265638252909</v>
      </c>
      <c r="I101" s="30" t="n">
        <v>76.6336836761335</v>
      </c>
      <c r="J101" s="40" t="n">
        <f aca="false">(G101+H101+I101)/3</f>
        <v>41.8200825004748</v>
      </c>
      <c r="K101" s="41" t="n">
        <f aca="false">(J101-MIN(J$6:J$404))/(MAX(J$6:J$404)-MIN(J$6:J$404))*100</f>
        <v>54.2411688560703</v>
      </c>
    </row>
    <row r="102" customFormat="false" ht="15" hidden="false" customHeight="false" outlineLevel="0" collapsed="false">
      <c r="A102" s="26" t="n">
        <v>4107157</v>
      </c>
      <c r="B102" s="26" t="s">
        <v>167</v>
      </c>
      <c r="C102" s="26" t="s">
        <v>71</v>
      </c>
      <c r="D102" s="28" t="n">
        <v>0.0652173913043478</v>
      </c>
      <c r="E102" s="28" t="n">
        <v>0.265700483091787</v>
      </c>
      <c r="F102" s="31" t="n">
        <v>0.388062762036787</v>
      </c>
      <c r="G102" s="30" t="n">
        <v>6.52173913043478</v>
      </c>
      <c r="H102" s="30" t="n">
        <v>40.4972163549286</v>
      </c>
      <c r="I102" s="30" t="n">
        <v>74.0841719557948</v>
      </c>
      <c r="J102" s="40" t="n">
        <f aca="false">(G102+H102+I102)/3</f>
        <v>40.3677091470527</v>
      </c>
      <c r="K102" s="41" t="n">
        <f aca="false">(J102-MIN(J$6:J$404))/(MAX(J$6:J$404)-MIN(J$6:J$404))*100</f>
        <v>51.9869622606113</v>
      </c>
    </row>
    <row r="103" customFormat="false" ht="15" hidden="false" customHeight="false" outlineLevel="0" collapsed="false">
      <c r="A103" s="26" t="n">
        <v>4107108</v>
      </c>
      <c r="B103" s="26" t="s">
        <v>168</v>
      </c>
      <c r="C103" s="26" t="s">
        <v>65</v>
      </c>
      <c r="D103" s="28" t="n">
        <v>0</v>
      </c>
      <c r="E103" s="28" t="n">
        <v>0.274853801169591</v>
      </c>
      <c r="F103" s="31" t="n">
        <v>0.406273334425882</v>
      </c>
      <c r="G103" s="30" t="n">
        <v>0</v>
      </c>
      <c r="H103" s="30" t="n">
        <v>42.0715707458117</v>
      </c>
      <c r="I103" s="30" t="n">
        <v>71.0531537660523</v>
      </c>
      <c r="J103" s="40" t="n">
        <f aca="false">(G103+H103+I103)/3</f>
        <v>37.7082415039546</v>
      </c>
      <c r="K103" s="41" t="n">
        <f aca="false">(J103-MIN(J$6:J$404))/(MAX(J$6:J$404)-MIN(J$6:J$404))*100</f>
        <v>47.8592429745503</v>
      </c>
    </row>
    <row r="104" customFormat="false" ht="15" hidden="false" customHeight="false" outlineLevel="0" collapsed="false">
      <c r="A104" s="26" t="n">
        <v>4107124</v>
      </c>
      <c r="B104" s="26" t="s">
        <v>169</v>
      </c>
      <c r="C104" s="26" t="s">
        <v>71</v>
      </c>
      <c r="D104" s="28" t="n">
        <v>0.125</v>
      </c>
      <c r="E104" s="28" t="n">
        <v>0.430992736077482</v>
      </c>
      <c r="F104" s="31" t="n">
        <v>0.361969151431133</v>
      </c>
      <c r="G104" s="30" t="n">
        <v>12.5</v>
      </c>
      <c r="H104" s="30" t="n">
        <v>68.9271891860975</v>
      </c>
      <c r="I104" s="30" t="n">
        <v>78.4272648960893</v>
      </c>
      <c r="J104" s="40" t="n">
        <f aca="false">(G104+H104+I104)/3</f>
        <v>53.2848180273956</v>
      </c>
      <c r="K104" s="41" t="n">
        <f aca="false">(J104-MIN(J$6:J$404))/(MAX(J$6:J$404)-MIN(J$6:J$404))*100</f>
        <v>72.0354105220198</v>
      </c>
    </row>
    <row r="105" customFormat="false" ht="15" hidden="false" customHeight="false" outlineLevel="0" collapsed="false">
      <c r="A105" s="26" t="n">
        <v>4107207</v>
      </c>
      <c r="B105" s="26" t="s">
        <v>170</v>
      </c>
      <c r="C105" s="26" t="s">
        <v>86</v>
      </c>
      <c r="D105" s="28" t="n">
        <v>0.0319148936170212</v>
      </c>
      <c r="E105" s="28" t="n">
        <v>0.135316228141853</v>
      </c>
      <c r="F105" s="31" t="n">
        <v>0.626059024916391</v>
      </c>
      <c r="G105" s="30" t="n">
        <v>3.19148936170213</v>
      </c>
      <c r="H105" s="30" t="n">
        <v>18.0713569520705</v>
      </c>
      <c r="I105" s="30" t="n">
        <v>34.4714136928626</v>
      </c>
      <c r="J105" s="40" t="n">
        <f aca="false">(G105+H105+I105)/3</f>
        <v>18.5780866688784</v>
      </c>
      <c r="K105" s="41" t="n">
        <f aca="false">(J105-MIN(J$6:J$404))/(MAX(J$6:J$404)-MIN(J$6:J$404))*100</f>
        <v>18.1676205692138</v>
      </c>
    </row>
    <row r="106" customFormat="false" ht="15" hidden="false" customHeight="false" outlineLevel="0" collapsed="false">
      <c r="A106" s="26" t="n">
        <v>4107256</v>
      </c>
      <c r="B106" s="26" t="s">
        <v>171</v>
      </c>
      <c r="C106" s="26" t="s">
        <v>65</v>
      </c>
      <c r="D106" s="28" t="n">
        <v>0.0909090909090909</v>
      </c>
      <c r="E106" s="28" t="n">
        <v>0.140116763969975</v>
      </c>
      <c r="F106" s="31" t="n">
        <v>0.616990335191526</v>
      </c>
      <c r="G106" s="30" t="n">
        <v>9.09090909090909</v>
      </c>
      <c r="H106" s="30" t="n">
        <v>18.8970405561313</v>
      </c>
      <c r="I106" s="30" t="n">
        <v>35.980831569791</v>
      </c>
      <c r="J106" s="40" t="n">
        <f aca="false">(G106+H106+I106)/3</f>
        <v>21.3229270722771</v>
      </c>
      <c r="K106" s="41" t="n">
        <f aca="false">(J106-MIN(J$6:J$404))/(MAX(J$6:J$404)-MIN(J$6:J$404))*100</f>
        <v>22.4278456182653</v>
      </c>
    </row>
    <row r="107" customFormat="false" ht="15" hidden="false" customHeight="false" outlineLevel="0" collapsed="false">
      <c r="A107" s="26" t="n">
        <v>4107306</v>
      </c>
      <c r="B107" s="26" t="s">
        <v>172</v>
      </c>
      <c r="C107" s="26" t="s">
        <v>65</v>
      </c>
      <c r="D107" s="28" t="n">
        <v>0</v>
      </c>
      <c r="E107" s="28" t="n">
        <v>0.209631728045326</v>
      </c>
      <c r="F107" s="31" t="n">
        <v>0.392806165319598</v>
      </c>
      <c r="G107" s="30" t="n">
        <v>0</v>
      </c>
      <c r="H107" s="30" t="n">
        <v>30.8534904460904</v>
      </c>
      <c r="I107" s="30" t="n">
        <v>73.2946667538555</v>
      </c>
      <c r="J107" s="40" t="n">
        <f aca="false">(G107+H107+I107)/3</f>
        <v>34.716052399982</v>
      </c>
      <c r="K107" s="41" t="n">
        <f aca="false">(J107-MIN(J$6:J$404))/(MAX(J$6:J$404)-MIN(J$6:J$404))*100</f>
        <v>43.2151117687944</v>
      </c>
    </row>
    <row r="108" customFormat="false" ht="15" hidden="false" customHeight="false" outlineLevel="0" collapsed="false">
      <c r="A108" s="26" t="n">
        <v>4128633</v>
      </c>
      <c r="B108" s="26" t="s">
        <v>173</v>
      </c>
      <c r="C108" s="26" t="s">
        <v>65</v>
      </c>
      <c r="D108" s="28" t="n">
        <v>0.0555555555555555</v>
      </c>
      <c r="E108" s="28" t="n">
        <v>0.495507060333761</v>
      </c>
      <c r="F108" s="31" t="n">
        <v>0.36976031245245</v>
      </c>
      <c r="G108" s="30" t="n">
        <v>5.55555555555556</v>
      </c>
      <c r="H108" s="30" t="n">
        <v>80.0235379422971</v>
      </c>
      <c r="I108" s="30" t="n">
        <v>77.130482440807</v>
      </c>
      <c r="J108" s="40" t="n">
        <f aca="false">(G108+H108+I108)/3</f>
        <v>54.2365253128866</v>
      </c>
      <c r="K108" s="41" t="n">
        <f aca="false">(J108-MIN(J$6:J$404))/(MAX(J$6:J$404)-MIN(J$6:J$404))*100</f>
        <v>73.5125409271221</v>
      </c>
    </row>
    <row r="109" customFormat="false" ht="15" hidden="false" customHeight="false" outlineLevel="0" collapsed="false">
      <c r="A109" s="26" t="n">
        <v>4107405</v>
      </c>
      <c r="B109" s="26" t="s">
        <v>174</v>
      </c>
      <c r="C109" s="26" t="s">
        <v>65</v>
      </c>
      <c r="D109" s="28" t="n">
        <v>0</v>
      </c>
      <c r="E109" s="28" t="n">
        <v>0.239043824701195</v>
      </c>
      <c r="F109" s="31" t="n">
        <v>0.46431656554856</v>
      </c>
      <c r="G109" s="30" t="n">
        <v>0</v>
      </c>
      <c r="H109" s="30" t="n">
        <v>35.9123186351311</v>
      </c>
      <c r="I109" s="30" t="n">
        <v>61.3922773495798</v>
      </c>
      <c r="J109" s="40" t="n">
        <f aca="false">(G109+H109+I109)/3</f>
        <v>32.434865328237</v>
      </c>
      <c r="K109" s="41" t="n">
        <f aca="false">(J109-MIN(J$6:J$404))/(MAX(J$6:J$404)-MIN(J$6:J$404))*100</f>
        <v>39.6745160049799</v>
      </c>
    </row>
    <row r="110" customFormat="false" ht="15" hidden="false" customHeight="false" outlineLevel="0" collapsed="false">
      <c r="A110" s="26" t="n">
        <v>4107504</v>
      </c>
      <c r="B110" s="26" t="s">
        <v>175</v>
      </c>
      <c r="C110" s="26" t="s">
        <v>65</v>
      </c>
      <c r="D110" s="28" t="n">
        <v>0.0138888888888888</v>
      </c>
      <c r="E110" s="28" t="n">
        <v>0.305436337625179</v>
      </c>
      <c r="F110" s="31" t="n">
        <v>0.439223185348222</v>
      </c>
      <c r="G110" s="30" t="n">
        <v>1.38888888888889</v>
      </c>
      <c r="H110" s="30" t="n">
        <v>47.3317124937486</v>
      </c>
      <c r="I110" s="30" t="n">
        <v>65.56888916629</v>
      </c>
      <c r="J110" s="40" t="n">
        <f aca="false">(G110+H110+I110)/3</f>
        <v>38.0964968496425</v>
      </c>
      <c r="K110" s="41" t="n">
        <f aca="false">(J110-MIN(J$6:J$404))/(MAX(J$6:J$404)-MIN(J$6:J$404))*100</f>
        <v>48.4618481923544</v>
      </c>
    </row>
    <row r="111" customFormat="false" ht="15" hidden="false" customHeight="false" outlineLevel="0" collapsed="false">
      <c r="A111" s="26" t="n">
        <v>4107538</v>
      </c>
      <c r="B111" s="26" t="s">
        <v>176</v>
      </c>
      <c r="C111" s="26" t="s">
        <v>71</v>
      </c>
      <c r="D111" s="28" t="n">
        <v>0.0119047619047619</v>
      </c>
      <c r="E111" s="28" t="n">
        <v>0.106239460370995</v>
      </c>
      <c r="F111" s="31" t="n">
        <v>0.540005082306919</v>
      </c>
      <c r="G111" s="30" t="n">
        <v>1.19047619047619</v>
      </c>
      <c r="H111" s="30" t="n">
        <v>13.0702047334287</v>
      </c>
      <c r="I111" s="30" t="n">
        <v>48.794470638869</v>
      </c>
      <c r="J111" s="40" t="n">
        <f aca="false">(G111+H111+I111)/3</f>
        <v>21.0183838542579</v>
      </c>
      <c r="K111" s="41" t="n">
        <f aca="false">(J111-MIN(J$6:J$404))/(MAX(J$6:J$404)-MIN(J$6:J$404))*100</f>
        <v>21.9551687207971</v>
      </c>
    </row>
    <row r="112" customFormat="false" ht="15" hidden="false" customHeight="false" outlineLevel="0" collapsed="false">
      <c r="A112" s="26" t="n">
        <v>4107520</v>
      </c>
      <c r="B112" s="26" t="s">
        <v>177</v>
      </c>
      <c r="C112" s="26" t="s">
        <v>71</v>
      </c>
      <c r="D112" s="28" t="n">
        <v>0.0476190476190476</v>
      </c>
      <c r="E112" s="28" t="n">
        <v>0.290476190476191</v>
      </c>
      <c r="F112" s="31" t="n">
        <v>0.439396237064133</v>
      </c>
      <c r="G112" s="30" t="n">
        <v>4.76190476190476</v>
      </c>
      <c r="H112" s="30" t="n">
        <v>44.7585938550134</v>
      </c>
      <c r="I112" s="30" t="n">
        <v>65.5400859585991</v>
      </c>
      <c r="J112" s="40" t="n">
        <f aca="false">(G112+H112+I112)/3</f>
        <v>38.3535281918391</v>
      </c>
      <c r="K112" s="41" t="n">
        <f aca="false">(J112-MIN(J$6:J$404))/(MAX(J$6:J$404)-MIN(J$6:J$404))*100</f>
        <v>48.8607826298763</v>
      </c>
    </row>
    <row r="113" customFormat="false" ht="15" hidden="false" customHeight="false" outlineLevel="0" collapsed="false">
      <c r="A113" s="26" t="n">
        <v>4107546</v>
      </c>
      <c r="B113" s="26" t="s">
        <v>178</v>
      </c>
      <c r="C113" s="26" t="s">
        <v>71</v>
      </c>
      <c r="D113" s="28" t="n">
        <v>0.0476190476190476</v>
      </c>
      <c r="E113" s="28" t="n">
        <v>0.440976933514247</v>
      </c>
      <c r="F113" s="31" t="n">
        <v>0.362900258429702</v>
      </c>
      <c r="G113" s="30" t="n">
        <v>4.76190476190476</v>
      </c>
      <c r="H113" s="30" t="n">
        <v>70.6444533454337</v>
      </c>
      <c r="I113" s="30" t="n">
        <v>78.272288864092</v>
      </c>
      <c r="J113" s="40" t="n">
        <f aca="false">(G113+H113+I113)/3</f>
        <v>51.2262156571435</v>
      </c>
      <c r="K113" s="41" t="n">
        <f aca="false">(J113-MIN(J$6:J$404))/(MAX(J$6:J$404)-MIN(J$6:J$404))*100</f>
        <v>68.8402850885244</v>
      </c>
    </row>
    <row r="114" customFormat="false" ht="15" hidden="false" customHeight="false" outlineLevel="0" collapsed="false">
      <c r="A114" s="26" t="n">
        <v>4107553</v>
      </c>
      <c r="B114" s="26" t="s">
        <v>179</v>
      </c>
      <c r="C114" s="26" t="s">
        <v>71</v>
      </c>
      <c r="D114" s="28" t="n">
        <v>0.0606060606060606</v>
      </c>
      <c r="E114" s="28" t="n">
        <v>0.244623655913979</v>
      </c>
      <c r="F114" s="31" t="n">
        <v>0.46010057848568</v>
      </c>
      <c r="G114" s="30" t="n">
        <v>6.06060606060606</v>
      </c>
      <c r="H114" s="30" t="n">
        <v>36.872039656029</v>
      </c>
      <c r="I114" s="30" t="n">
        <v>62.0939979326714</v>
      </c>
      <c r="J114" s="40" t="n">
        <f aca="false">(G114+H114+I114)/3</f>
        <v>35.0088812164355</v>
      </c>
      <c r="K114" s="41" t="n">
        <f aca="false">(J114-MIN(J$6:J$404))/(MAX(J$6:J$404)-MIN(J$6:J$404))*100</f>
        <v>43.6696069217347</v>
      </c>
    </row>
    <row r="115" customFormat="false" ht="15" hidden="false" customHeight="false" outlineLevel="0" collapsed="false">
      <c r="A115" s="26" t="n">
        <v>4107603</v>
      </c>
      <c r="B115" s="26" t="s">
        <v>180</v>
      </c>
      <c r="C115" s="26" t="s">
        <v>65</v>
      </c>
      <c r="D115" s="28" t="n">
        <v>0.111111111111111</v>
      </c>
      <c r="E115" s="28" t="n">
        <v>0.336355785837651</v>
      </c>
      <c r="F115" s="31" t="n">
        <v>0.423726313061679</v>
      </c>
      <c r="G115" s="30" t="n">
        <v>11.1111111111111</v>
      </c>
      <c r="H115" s="30" t="n">
        <v>52.6498024632247</v>
      </c>
      <c r="I115" s="30" t="n">
        <v>68.1482315823888</v>
      </c>
      <c r="J115" s="40" t="n">
        <f aca="false">(G115+H115+I115)/3</f>
        <v>43.9697150522415</v>
      </c>
      <c r="K115" s="41" t="n">
        <f aca="false">(J115-MIN(J$6:J$404))/(MAX(J$6:J$404)-MIN(J$6:J$404))*100</f>
        <v>57.5775808499894</v>
      </c>
    </row>
    <row r="116" customFormat="false" ht="15" hidden="false" customHeight="false" outlineLevel="0" collapsed="false">
      <c r="A116" s="26" t="n">
        <v>4107652</v>
      </c>
      <c r="B116" s="26" t="s">
        <v>181</v>
      </c>
      <c r="C116" s="26" t="s">
        <v>69</v>
      </c>
      <c r="D116" s="28" t="n">
        <v>0.0546697038724373</v>
      </c>
      <c r="E116" s="28" t="n">
        <v>0.138805274091661</v>
      </c>
      <c r="F116" s="31" t="n">
        <v>0.531341069429404</v>
      </c>
      <c r="G116" s="30" t="n">
        <v>5.46697038724374</v>
      </c>
      <c r="H116" s="30" t="n">
        <v>18.6714666351801</v>
      </c>
      <c r="I116" s="30" t="n">
        <v>50.2365329786358</v>
      </c>
      <c r="J116" s="40" t="n">
        <f aca="false">(G116+H116+I116)/3</f>
        <v>24.7916566670199</v>
      </c>
      <c r="K116" s="41" t="n">
        <f aca="false">(J116-MIN(J$6:J$404))/(MAX(J$6:J$404)-MIN(J$6:J$404))*100</f>
        <v>27.8116080729463</v>
      </c>
    </row>
    <row r="117" customFormat="false" ht="15" hidden="false" customHeight="false" outlineLevel="0" collapsed="false">
      <c r="A117" s="26" t="n">
        <v>4107736</v>
      </c>
      <c r="B117" s="26" t="s">
        <v>182</v>
      </c>
      <c r="C117" s="26" t="s">
        <v>65</v>
      </c>
      <c r="D117" s="28" t="n">
        <v>0.043859649122807</v>
      </c>
      <c r="E117" s="28" t="n">
        <v>0.43698468786808</v>
      </c>
      <c r="F117" s="31" t="n">
        <v>0.427383883869827</v>
      </c>
      <c r="G117" s="30" t="n">
        <v>4.3859649122807</v>
      </c>
      <c r="H117" s="30" t="n">
        <v>69.9577942116526</v>
      </c>
      <c r="I117" s="30" t="n">
        <v>67.5394553499402</v>
      </c>
      <c r="J117" s="40" t="n">
        <f aca="false">(G117+H117+I117)/3</f>
        <v>47.2944048246245</v>
      </c>
      <c r="K117" s="41" t="n">
        <f aca="false">(J117-MIN(J$6:J$404))/(MAX(J$6:J$404)-MIN(J$6:J$404))*100</f>
        <v>62.7377812868138</v>
      </c>
    </row>
    <row r="118" customFormat="false" ht="15" hidden="false" customHeight="false" outlineLevel="0" collapsed="false">
      <c r="A118" s="26" t="n">
        <v>4107702</v>
      </c>
      <c r="B118" s="26" t="s">
        <v>183</v>
      </c>
      <c r="C118" s="26" t="s">
        <v>71</v>
      </c>
      <c r="D118" s="28" t="n">
        <v>0</v>
      </c>
      <c r="E118" s="28" t="n">
        <v>0.395948434622468</v>
      </c>
      <c r="F118" s="31" t="n">
        <v>0.412279041858181</v>
      </c>
      <c r="G118" s="30" t="n">
        <v>0</v>
      </c>
      <c r="H118" s="30" t="n">
        <v>62.8996318126762</v>
      </c>
      <c r="I118" s="30" t="n">
        <v>70.0535471594817</v>
      </c>
      <c r="J118" s="40" t="n">
        <f aca="false">(G118+H118+I118)/3</f>
        <v>44.3177263240526</v>
      </c>
      <c r="K118" s="41" t="n">
        <f aca="false">(J118-MIN(J$6:J$404))/(MAX(J$6:J$404)-MIN(J$6:J$404))*100</f>
        <v>58.117723852725</v>
      </c>
    </row>
    <row r="119" customFormat="false" ht="15" hidden="false" customHeight="false" outlineLevel="0" collapsed="false">
      <c r="A119" s="26" t="n">
        <v>4107751</v>
      </c>
      <c r="B119" s="26" t="s">
        <v>184</v>
      </c>
      <c r="C119" s="26" t="s">
        <v>65</v>
      </c>
      <c r="D119" s="28" t="n">
        <v>0.0329670329670329</v>
      </c>
      <c r="E119" s="28" t="n">
        <v>0.370010787486516</v>
      </c>
      <c r="F119" s="31" t="n">
        <v>0.457745661954521</v>
      </c>
      <c r="G119" s="30" t="n">
        <v>3.2967032967033</v>
      </c>
      <c r="H119" s="30" t="n">
        <v>58.4384027468265</v>
      </c>
      <c r="I119" s="30" t="n">
        <v>62.485956773325</v>
      </c>
      <c r="J119" s="40" t="n">
        <f aca="false">(G119+H119+I119)/3</f>
        <v>41.4070209389516</v>
      </c>
      <c r="K119" s="41" t="n">
        <f aca="false">(J119-MIN(J$6:J$404))/(MAX(J$6:J$404)-MIN(J$6:J$404))*100</f>
        <v>53.6000622878988</v>
      </c>
    </row>
    <row r="120" customFormat="false" ht="15" hidden="false" customHeight="false" outlineLevel="0" collapsed="false">
      <c r="A120" s="26" t="n">
        <v>4107850</v>
      </c>
      <c r="B120" s="26" t="s">
        <v>185</v>
      </c>
      <c r="C120" s="26" t="s">
        <v>71</v>
      </c>
      <c r="D120" s="28" t="n">
        <v>0.0336134453781512</v>
      </c>
      <c r="E120" s="28" t="n">
        <v>0.304498269896194</v>
      </c>
      <c r="F120" s="31" t="n">
        <v>0.419435513870489</v>
      </c>
      <c r="G120" s="30" t="n">
        <v>3.36134453781513</v>
      </c>
      <c r="H120" s="30" t="n">
        <v>47.1703665167466</v>
      </c>
      <c r="I120" s="30" t="n">
        <v>68.8624041036665</v>
      </c>
      <c r="J120" s="40" t="n">
        <f aca="false">(G120+H120+I120)/3</f>
        <v>39.7980383860761</v>
      </c>
      <c r="K120" s="41" t="n">
        <f aca="false">(J120-MIN(J$6:J$404))/(MAX(J$6:J$404)-MIN(J$6:J$404))*100</f>
        <v>51.1027849355399</v>
      </c>
    </row>
    <row r="121" customFormat="false" ht="15" hidden="false" customHeight="false" outlineLevel="0" collapsed="false">
      <c r="A121" s="26" t="n">
        <v>4107801</v>
      </c>
      <c r="B121" s="26" t="s">
        <v>186</v>
      </c>
      <c r="C121" s="26" t="s">
        <v>71</v>
      </c>
      <c r="D121" s="28" t="n">
        <v>0</v>
      </c>
      <c r="E121" s="28" t="n">
        <v>0.174418604651163</v>
      </c>
      <c r="F121" s="31" t="n">
        <v>0.413510147915643</v>
      </c>
      <c r="G121" s="30" t="n">
        <v>0</v>
      </c>
      <c r="H121" s="30" t="n">
        <v>24.7968960001106</v>
      </c>
      <c r="I121" s="30" t="n">
        <v>69.8486384518398</v>
      </c>
      <c r="J121" s="40" t="n">
        <f aca="false">(G121+H121+I121)/3</f>
        <v>31.5485114839835</v>
      </c>
      <c r="K121" s="41" t="n">
        <f aca="false">(J121-MIN(J$6:J$404))/(MAX(J$6:J$404)-MIN(J$6:J$404))*100</f>
        <v>38.2988196821859</v>
      </c>
    </row>
    <row r="122" customFormat="false" ht="15" hidden="false" customHeight="false" outlineLevel="0" collapsed="false">
      <c r="A122" s="26" t="n">
        <v>4107900</v>
      </c>
      <c r="B122" s="26" t="s">
        <v>187</v>
      </c>
      <c r="C122" s="26" t="s">
        <v>65</v>
      </c>
      <c r="D122" s="28" t="n">
        <v>0.03125</v>
      </c>
      <c r="E122" s="28" t="n">
        <v>0.105675146771037</v>
      </c>
      <c r="F122" s="31" t="n">
        <v>0.437772565128184</v>
      </c>
      <c r="G122" s="30" t="n">
        <v>3.125</v>
      </c>
      <c r="H122" s="30" t="n">
        <v>12.973143800292</v>
      </c>
      <c r="I122" s="30" t="n">
        <v>65.8103344201458</v>
      </c>
      <c r="J122" s="40" t="n">
        <f aca="false">(G122+H122+I122)/3</f>
        <v>27.3028260734792</v>
      </c>
      <c r="K122" s="41" t="n">
        <f aca="false">(J122-MIN(J$6:J$404))/(MAX(J$6:J$404)-MIN(J$6:J$404))*100</f>
        <v>31.7091559211066</v>
      </c>
    </row>
    <row r="123" customFormat="false" ht="15" hidden="false" customHeight="false" outlineLevel="0" collapsed="false">
      <c r="A123" s="26" t="n">
        <v>4108007</v>
      </c>
      <c r="B123" s="26" t="s">
        <v>188</v>
      </c>
      <c r="C123" s="26" t="s">
        <v>65</v>
      </c>
      <c r="D123" s="28" t="n">
        <v>0.0215827338129496</v>
      </c>
      <c r="E123" s="28" t="n">
        <v>0.434576271186441</v>
      </c>
      <c r="F123" s="31" t="n">
        <v>0.489597572471546</v>
      </c>
      <c r="G123" s="30" t="n">
        <v>2.15827338129496</v>
      </c>
      <c r="H123" s="30" t="n">
        <v>69.5435508361263</v>
      </c>
      <c r="I123" s="30" t="n">
        <v>57.1844364206222</v>
      </c>
      <c r="J123" s="40" t="n">
        <f aca="false">(G123+H123+I123)/3</f>
        <v>42.9620868793478</v>
      </c>
      <c r="K123" s="41" t="n">
        <f aca="false">(J123-MIN(J$6:J$404))/(MAX(J$6:J$404)-MIN(J$6:J$404))*100</f>
        <v>56.0136564859438</v>
      </c>
    </row>
    <row r="124" customFormat="false" ht="15" hidden="false" customHeight="false" outlineLevel="0" collapsed="false">
      <c r="A124" s="26" t="n">
        <v>4108106</v>
      </c>
      <c r="B124" s="26" t="s">
        <v>189</v>
      </c>
      <c r="C124" s="26" t="s">
        <v>71</v>
      </c>
      <c r="D124" s="28" t="n">
        <v>0</v>
      </c>
      <c r="E124" s="28" t="n">
        <v>0.182634730538922</v>
      </c>
      <c r="F124" s="31" t="n">
        <v>0.468014406250685</v>
      </c>
      <c r="G124" s="30" t="n">
        <v>0</v>
      </c>
      <c r="H124" s="30" t="n">
        <v>26.2100550051287</v>
      </c>
      <c r="I124" s="30" t="n">
        <v>60.7767984842574</v>
      </c>
      <c r="J124" s="40" t="n">
        <f aca="false">(G124+H124+I124)/3</f>
        <v>28.9956178297953</v>
      </c>
      <c r="K124" s="41" t="n">
        <f aca="false">(J124-MIN(J$6:J$404))/(MAX(J$6:J$404)-MIN(J$6:J$404))*100</f>
        <v>34.3365122636306</v>
      </c>
    </row>
    <row r="125" customFormat="false" ht="15" hidden="false" customHeight="false" outlineLevel="0" collapsed="false">
      <c r="A125" s="26" t="n">
        <v>4108205</v>
      </c>
      <c r="B125" s="26" t="s">
        <v>190</v>
      </c>
      <c r="C125" s="26" t="s">
        <v>65</v>
      </c>
      <c r="D125" s="28" t="n">
        <v>0.333333333333333</v>
      </c>
      <c r="E125" s="28" t="n">
        <v>0.152027027027027</v>
      </c>
      <c r="F125" s="31" t="n">
        <v>0.431384801606407</v>
      </c>
      <c r="G125" s="30" t="n">
        <v>33.3333333333333</v>
      </c>
      <c r="H125" s="30" t="n">
        <v>20.9455845683747</v>
      </c>
      <c r="I125" s="30" t="n">
        <v>66.8735315021812</v>
      </c>
      <c r="J125" s="40" t="n">
        <f aca="false">(G125+H125+I125)/3</f>
        <v>40.3841498012964</v>
      </c>
      <c r="K125" s="41" t="n">
        <f aca="false">(J125-MIN(J$6:J$404))/(MAX(J$6:J$404)-MIN(J$6:J$404))*100</f>
        <v>52.0124795500482</v>
      </c>
    </row>
    <row r="126" customFormat="false" ht="15" hidden="false" customHeight="false" outlineLevel="0" collapsed="false">
      <c r="A126" s="26" t="n">
        <v>4108304</v>
      </c>
      <c r="B126" s="26" t="s">
        <v>191</v>
      </c>
      <c r="C126" s="26" t="s">
        <v>138</v>
      </c>
      <c r="D126" s="28" t="n">
        <v>0.0381944444444444</v>
      </c>
      <c r="E126" s="28" t="n">
        <v>0.247368421052632</v>
      </c>
      <c r="F126" s="31" t="n">
        <v>0.599420209960127</v>
      </c>
      <c r="G126" s="30" t="n">
        <v>3.81944444444445</v>
      </c>
      <c r="H126" s="30" t="n">
        <v>37.344134366521</v>
      </c>
      <c r="I126" s="30" t="n">
        <v>38.9052519578243</v>
      </c>
      <c r="J126" s="40" t="n">
        <f aca="false">(G126+H126+I126)/3</f>
        <v>26.6896102562632</v>
      </c>
      <c r="K126" s="41" t="n">
        <f aca="false">(J126-MIN(J$6:J$404))/(MAX(J$6:J$404)-MIN(J$6:J$404))*100</f>
        <v>30.7573929764402</v>
      </c>
    </row>
    <row r="127" customFormat="false" ht="15" hidden="false" customHeight="false" outlineLevel="0" collapsed="false">
      <c r="A127" s="26" t="n">
        <v>4108452</v>
      </c>
      <c r="B127" s="26" t="s">
        <v>192</v>
      </c>
      <c r="C127" s="26" t="s">
        <v>71</v>
      </c>
      <c r="D127" s="28" t="n">
        <v>0</v>
      </c>
      <c r="E127" s="28" t="n">
        <v>0.376712328767123</v>
      </c>
      <c r="F127" s="31" t="n">
        <v>0.444404179624968</v>
      </c>
      <c r="G127" s="30" t="n">
        <v>0</v>
      </c>
      <c r="H127" s="30" t="n">
        <v>59.5910558996099</v>
      </c>
      <c r="I127" s="30" t="n">
        <v>64.7065501053184</v>
      </c>
      <c r="J127" s="40" t="n">
        <f aca="false">(G127+H127+I127)/3</f>
        <v>41.4325353349761</v>
      </c>
      <c r="K127" s="41" t="n">
        <f aca="false">(J127-MIN(J$6:J$404))/(MAX(J$6:J$404)-MIN(J$6:J$404))*100</f>
        <v>53.6396627939684</v>
      </c>
    </row>
    <row r="128" customFormat="false" ht="15" hidden="false" customHeight="false" outlineLevel="0" collapsed="false">
      <c r="A128" s="26" t="n">
        <v>4108320</v>
      </c>
      <c r="B128" s="26" t="s">
        <v>193</v>
      </c>
      <c r="C128" s="26" t="s">
        <v>65</v>
      </c>
      <c r="D128" s="28" t="n">
        <v>0.0166666666666666</v>
      </c>
      <c r="E128" s="28" t="n">
        <v>0.234375</v>
      </c>
      <c r="F128" s="31" t="n">
        <v>0.383028441132922</v>
      </c>
      <c r="G128" s="30" t="n">
        <v>1.66666666666667</v>
      </c>
      <c r="H128" s="30" t="n">
        <v>35.1092891100877</v>
      </c>
      <c r="I128" s="30" t="n">
        <v>74.9220982936707</v>
      </c>
      <c r="J128" s="40" t="n">
        <f aca="false">(G128+H128+I128)/3</f>
        <v>37.2326846901417</v>
      </c>
      <c r="K128" s="41" t="n">
        <f aca="false">(J128-MIN(J$6:J$404))/(MAX(J$6:J$404)-MIN(J$6:J$404))*100</f>
        <v>47.1211384756714</v>
      </c>
    </row>
    <row r="129" customFormat="false" ht="15" hidden="false" customHeight="false" outlineLevel="0" collapsed="false">
      <c r="A129" s="26" t="n">
        <v>4108403</v>
      </c>
      <c r="B129" s="26" t="s">
        <v>194</v>
      </c>
      <c r="C129" s="26" t="s">
        <v>129</v>
      </c>
      <c r="D129" s="28" t="n">
        <v>0.045045045045045</v>
      </c>
      <c r="E129" s="28" t="n">
        <v>0.132352941176471</v>
      </c>
      <c r="F129" s="31" t="n">
        <v>0.61733054856709</v>
      </c>
      <c r="G129" s="30" t="n">
        <v>4.50450450450451</v>
      </c>
      <c r="H129" s="30" t="n">
        <v>17.5616768769609</v>
      </c>
      <c r="I129" s="30" t="n">
        <v>35.9242055117136</v>
      </c>
      <c r="J129" s="40" t="n">
        <f aca="false">(G129+H129+I129)/3</f>
        <v>19.330128964393</v>
      </c>
      <c r="K129" s="41" t="n">
        <f aca="false">(J129-MIN(J$6:J$404))/(MAX(J$6:J$404)-MIN(J$6:J$404))*100</f>
        <v>19.3348539796993</v>
      </c>
    </row>
    <row r="130" customFormat="false" ht="15" hidden="false" customHeight="false" outlineLevel="0" collapsed="false">
      <c r="A130" s="26" t="n">
        <v>4108502</v>
      </c>
      <c r="B130" s="26" t="s">
        <v>195</v>
      </c>
      <c r="C130" s="26" t="s">
        <v>65</v>
      </c>
      <c r="D130" s="28" t="n">
        <v>0.0348258706467661</v>
      </c>
      <c r="E130" s="28" t="n">
        <v>0.46689497716895</v>
      </c>
      <c r="F130" s="31" t="n">
        <v>0.440652542662683</v>
      </c>
      <c r="G130" s="30" t="n">
        <v>3.48258706467662</v>
      </c>
      <c r="H130" s="30" t="n">
        <v>75.1023106474575</v>
      </c>
      <c r="I130" s="30" t="n">
        <v>65.3309829694279</v>
      </c>
      <c r="J130" s="40" t="n">
        <f aca="false">(G130+H130+I130)/3</f>
        <v>47.9719602271873</v>
      </c>
      <c r="K130" s="41" t="n">
        <f aca="false">(J130-MIN(J$6:J$404))/(MAX(J$6:J$404)-MIN(J$6:J$404))*100</f>
        <v>63.7894047234786</v>
      </c>
    </row>
    <row r="131" customFormat="false" ht="15" hidden="false" customHeight="false" outlineLevel="0" collapsed="false">
      <c r="A131" s="26" t="n">
        <v>4108551</v>
      </c>
      <c r="B131" s="26" t="s">
        <v>196</v>
      </c>
      <c r="C131" s="26" t="s">
        <v>71</v>
      </c>
      <c r="D131" s="28" t="n">
        <v>0.0149253731343283</v>
      </c>
      <c r="E131" s="28" t="n">
        <v>0.342105263157895</v>
      </c>
      <c r="F131" s="31" t="n">
        <v>0.382597988995205</v>
      </c>
      <c r="G131" s="30" t="n">
        <v>1.49253731343284</v>
      </c>
      <c r="H131" s="30" t="n">
        <v>53.6387023121613</v>
      </c>
      <c r="I131" s="30" t="n">
        <v>74.9937439416689</v>
      </c>
      <c r="J131" s="40" t="n">
        <f aca="false">(G131+H131+I131)/3</f>
        <v>43.374994522421</v>
      </c>
      <c r="K131" s="41" t="n">
        <f aca="false">(J131-MIN(J$6:J$404))/(MAX(J$6:J$404)-MIN(J$6:J$404))*100</f>
        <v>56.6545241596298</v>
      </c>
    </row>
    <row r="132" customFormat="false" ht="15" hidden="false" customHeight="false" outlineLevel="0" collapsed="false">
      <c r="A132" s="26" t="n">
        <v>4108601</v>
      </c>
      <c r="B132" s="26" t="s">
        <v>197</v>
      </c>
      <c r="C132" s="26" t="s">
        <v>86</v>
      </c>
      <c r="D132" s="28" t="n">
        <v>0.0175438596491228</v>
      </c>
      <c r="E132" s="28" t="n">
        <v>0.275666477595009</v>
      </c>
      <c r="F132" s="31" t="n">
        <v>0.476109692000496</v>
      </c>
      <c r="G132" s="30" t="n">
        <v>1.75438596491228</v>
      </c>
      <c r="H132" s="30" t="n">
        <v>42.2113496421473</v>
      </c>
      <c r="I132" s="30" t="n">
        <v>59.4293966654362</v>
      </c>
      <c r="J132" s="40" t="n">
        <f aca="false">(G132+H132+I132)/3</f>
        <v>34.4650440908319</v>
      </c>
      <c r="K132" s="41" t="n">
        <f aca="false">(J132-MIN(J$6:J$404))/(MAX(J$6:J$404)-MIN(J$6:J$404))*100</f>
        <v>42.8255255892712</v>
      </c>
    </row>
    <row r="133" customFormat="false" ht="15" hidden="false" customHeight="false" outlineLevel="0" collapsed="false">
      <c r="A133" s="26" t="n">
        <v>4108650</v>
      </c>
      <c r="B133" s="26" t="s">
        <v>198</v>
      </c>
      <c r="C133" s="26" t="s">
        <v>65</v>
      </c>
      <c r="D133" s="28" t="n">
        <v>0.0185185185185185</v>
      </c>
      <c r="E133" s="28" t="n">
        <v>0.471458773784355</v>
      </c>
      <c r="F133" s="31" t="n">
        <v>0.404061254213576</v>
      </c>
      <c r="G133" s="30" t="n">
        <v>1.85185185185185</v>
      </c>
      <c r="H133" s="30" t="n">
        <v>75.8872755289888</v>
      </c>
      <c r="I133" s="30" t="n">
        <v>71.4213385335274</v>
      </c>
      <c r="J133" s="40" t="n">
        <f aca="false">(G133+H133+I133)/3</f>
        <v>49.7201553047894</v>
      </c>
      <c r="K133" s="41" t="n">
        <f aca="false">(J133-MIN(J$6:J$404))/(MAX(J$6:J$404)-MIN(J$6:J$404))*100</f>
        <v>66.5027517184466</v>
      </c>
    </row>
    <row r="134" customFormat="false" ht="15" hidden="false" customHeight="false" outlineLevel="0" collapsed="false">
      <c r="A134" s="26" t="n">
        <v>4108700</v>
      </c>
      <c r="B134" s="26" t="s">
        <v>199</v>
      </c>
      <c r="C134" s="26" t="s">
        <v>65</v>
      </c>
      <c r="D134" s="28" t="n">
        <v>0.0263157894736842</v>
      </c>
      <c r="E134" s="28" t="n">
        <v>0.448700410396717</v>
      </c>
      <c r="F134" s="31" t="n">
        <v>0.359643625163437</v>
      </c>
      <c r="G134" s="30" t="n">
        <v>2.63157894736842</v>
      </c>
      <c r="H134" s="30" t="n">
        <v>71.9728775998347</v>
      </c>
      <c r="I134" s="30" t="n">
        <v>78.8143319397551</v>
      </c>
      <c r="J134" s="40" t="n">
        <f aca="false">(G134+H134+I134)/3</f>
        <v>51.1395961623194</v>
      </c>
      <c r="K134" s="41" t="n">
        <f aca="false">(J134-MIN(J$6:J$404))/(MAX(J$6:J$404)-MIN(J$6:J$404))*100</f>
        <v>68.7058442878393</v>
      </c>
    </row>
    <row r="135" customFormat="false" ht="15" hidden="false" customHeight="false" outlineLevel="0" collapsed="false">
      <c r="A135" s="26" t="n">
        <v>4108908</v>
      </c>
      <c r="B135" s="26" t="s">
        <v>200</v>
      </c>
      <c r="C135" s="26" t="s">
        <v>65</v>
      </c>
      <c r="D135" s="28" t="n">
        <v>0.0255102040816326</v>
      </c>
      <c r="E135" s="28" t="n">
        <v>0.257174392935982</v>
      </c>
      <c r="F135" s="31" t="n">
        <v>0.452539066487684</v>
      </c>
      <c r="G135" s="30" t="n">
        <v>2.55102040816327</v>
      </c>
      <c r="H135" s="30" t="n">
        <v>39.0307440484097</v>
      </c>
      <c r="I135" s="30" t="n">
        <v>63.3525569674005</v>
      </c>
      <c r="J135" s="40" t="n">
        <f aca="false">(G135+H135+I135)/3</f>
        <v>34.9781071413245</v>
      </c>
      <c r="K135" s="41" t="n">
        <f aca="false">(J135-MIN(J$6:J$404))/(MAX(J$6:J$404)-MIN(J$6:J$404))*100</f>
        <v>43.6218429477394</v>
      </c>
    </row>
    <row r="136" customFormat="false" ht="15" hidden="false" customHeight="false" outlineLevel="0" collapsed="false">
      <c r="A136" s="26" t="n">
        <v>4108809</v>
      </c>
      <c r="B136" s="26" t="s">
        <v>201</v>
      </c>
      <c r="C136" s="26" t="s">
        <v>86</v>
      </c>
      <c r="D136" s="28" t="n">
        <v>0.0309734513274336</v>
      </c>
      <c r="E136" s="28" t="n">
        <v>0.170194003527337</v>
      </c>
      <c r="F136" s="31" t="n">
        <v>0.462481922247842</v>
      </c>
      <c r="G136" s="30" t="n">
        <v>3.09734513274336</v>
      </c>
      <c r="H136" s="30" t="n">
        <v>24.0702721384146</v>
      </c>
      <c r="I136" s="30" t="n">
        <v>61.6976404703729</v>
      </c>
      <c r="J136" s="40" t="n">
        <f aca="false">(G136+H136+I136)/3</f>
        <v>29.6217525805103</v>
      </c>
      <c r="K136" s="41" t="n">
        <f aca="false">(J136-MIN(J$6:J$404))/(MAX(J$6:J$404)-MIN(J$6:J$404))*100</f>
        <v>35.3083264885213</v>
      </c>
    </row>
    <row r="137" customFormat="false" ht="15" hidden="false" customHeight="false" outlineLevel="0" collapsed="false">
      <c r="A137" s="26" t="n">
        <v>4108957</v>
      </c>
      <c r="B137" s="26" t="s">
        <v>202</v>
      </c>
      <c r="C137" s="26" t="s">
        <v>65</v>
      </c>
      <c r="D137" s="28" t="n">
        <v>0.0526315789473684</v>
      </c>
      <c r="E137" s="28" t="n">
        <v>0.264621284755513</v>
      </c>
      <c r="F137" s="31" t="n">
        <v>0.407419319802463</v>
      </c>
      <c r="G137" s="30" t="n">
        <v>5.26315789473684</v>
      </c>
      <c r="H137" s="30" t="n">
        <v>40.3115961650798</v>
      </c>
      <c r="I137" s="30" t="n">
        <v>70.8624127806851</v>
      </c>
      <c r="J137" s="40" t="n">
        <f aca="false">(G137+H137+I137)/3</f>
        <v>38.8123889468339</v>
      </c>
      <c r="K137" s="41" t="n">
        <f aca="false">(J137-MIN(J$6:J$404))/(MAX(J$6:J$404)-MIN(J$6:J$404))*100</f>
        <v>49.5729734297622</v>
      </c>
    </row>
    <row r="138" customFormat="false" ht="15" hidden="false" customHeight="false" outlineLevel="0" collapsed="false">
      <c r="A138" s="26" t="n">
        <v>4109005</v>
      </c>
      <c r="B138" s="26" t="s">
        <v>203</v>
      </c>
      <c r="C138" s="26" t="s">
        <v>71</v>
      </c>
      <c r="D138" s="28" t="n">
        <v>0</v>
      </c>
      <c r="E138" s="28" t="n">
        <v>0.206201550387597</v>
      </c>
      <c r="F138" s="31" t="n">
        <v>0.432120298017711</v>
      </c>
      <c r="G138" s="30" t="n">
        <v>0</v>
      </c>
      <c r="H138" s="30" t="n">
        <v>30.2635060042681</v>
      </c>
      <c r="I138" s="30" t="n">
        <v>66.7511134390078</v>
      </c>
      <c r="J138" s="40" t="n">
        <f aca="false">(G138+H138+I138)/3</f>
        <v>32.338206481092</v>
      </c>
      <c r="K138" s="41" t="n">
        <f aca="false">(J138-MIN(J$6:J$404))/(MAX(J$6:J$404)-MIN(J$6:J$404))*100</f>
        <v>39.5244932782269</v>
      </c>
    </row>
    <row r="139" customFormat="false" ht="15" hidden="false" customHeight="false" outlineLevel="0" collapsed="false">
      <c r="A139" s="26" t="n">
        <v>4109104</v>
      </c>
      <c r="B139" s="26" t="s">
        <v>204</v>
      </c>
      <c r="C139" s="26" t="s">
        <v>71</v>
      </c>
      <c r="D139" s="28" t="n">
        <v>0.0666666666666666</v>
      </c>
      <c r="E139" s="28" t="n">
        <v>0.200819672131148</v>
      </c>
      <c r="F139" s="31" t="n">
        <v>0.410181320857485</v>
      </c>
      <c r="G139" s="30" t="n">
        <v>6.66666666666667</v>
      </c>
      <c r="H139" s="30" t="n">
        <v>29.33783253895</v>
      </c>
      <c r="I139" s="30" t="n">
        <v>70.4026976625115</v>
      </c>
      <c r="J139" s="40" t="n">
        <f aca="false">(G139+H139+I139)/3</f>
        <v>35.4690656227094</v>
      </c>
      <c r="K139" s="41" t="n">
        <f aca="false">(J139-MIN(J$6:J$404))/(MAX(J$6:J$404)-MIN(J$6:J$404))*100</f>
        <v>44.383852140642</v>
      </c>
    </row>
    <row r="140" customFormat="false" ht="15" hidden="false" customHeight="false" outlineLevel="0" collapsed="false">
      <c r="A140" s="26" t="n">
        <v>4109203</v>
      </c>
      <c r="B140" s="26" t="s">
        <v>205</v>
      </c>
      <c r="C140" s="26" t="s">
        <v>71</v>
      </c>
      <c r="D140" s="28" t="n">
        <v>0</v>
      </c>
      <c r="E140" s="28" t="n">
        <v>0.230357142857143</v>
      </c>
      <c r="F140" s="31" t="n">
        <v>0.318707206608658</v>
      </c>
      <c r="G140" s="30" t="n">
        <v>0</v>
      </c>
      <c r="H140" s="30" t="n">
        <v>34.4182248445359</v>
      </c>
      <c r="I140" s="30" t="n">
        <v>85.6279030132681</v>
      </c>
      <c r="J140" s="40" t="n">
        <f aca="false">(G140+H140+I140)/3</f>
        <v>40.0153759526014</v>
      </c>
      <c r="K140" s="41" t="n">
        <f aca="false">(J140-MIN(J$6:J$404))/(MAX(J$6:J$404)-MIN(J$6:J$404))*100</f>
        <v>51.4401112674696</v>
      </c>
    </row>
    <row r="141" customFormat="false" ht="15" hidden="false" customHeight="false" outlineLevel="0" collapsed="false">
      <c r="A141" s="26" t="n">
        <v>4109302</v>
      </c>
      <c r="B141" s="26" t="s">
        <v>206</v>
      </c>
      <c r="C141" s="26" t="s">
        <v>65</v>
      </c>
      <c r="D141" s="28" t="n">
        <v>0.0198019801980198</v>
      </c>
      <c r="E141" s="28" t="n">
        <v>0.165745856353591</v>
      </c>
      <c r="F141" s="31" t="n">
        <v>0.477251461059705</v>
      </c>
      <c r="G141" s="30" t="n">
        <v>1.98019801980198</v>
      </c>
      <c r="H141" s="30" t="n">
        <v>23.3051987546694</v>
      </c>
      <c r="I141" s="30" t="n">
        <v>59.2393574556297</v>
      </c>
      <c r="J141" s="40" t="n">
        <f aca="false">(G141+H141+I141)/3</f>
        <v>28.1749180767003</v>
      </c>
      <c r="K141" s="41" t="n">
        <f aca="false">(J141-MIN(J$6:J$404))/(MAX(J$6:J$404)-MIN(J$6:J$404))*100</f>
        <v>33.0627166573154</v>
      </c>
    </row>
    <row r="142" customFormat="false" ht="15" hidden="false" customHeight="false" outlineLevel="0" collapsed="false">
      <c r="A142" s="26" t="n">
        <v>4109401</v>
      </c>
      <c r="B142" s="26" t="s">
        <v>207</v>
      </c>
      <c r="C142" s="26" t="s">
        <v>69</v>
      </c>
      <c r="D142" s="28" t="n">
        <v>0.0644599303135888</v>
      </c>
      <c r="E142" s="28" t="n">
        <v>0.237055857104362</v>
      </c>
      <c r="F142" s="31" t="n">
        <v>0.632105808957352</v>
      </c>
      <c r="G142" s="30" t="n">
        <v>6.44599303135889</v>
      </c>
      <c r="H142" s="30" t="n">
        <v>35.5703917526165</v>
      </c>
      <c r="I142" s="30" t="n">
        <v>33.4649701815881</v>
      </c>
      <c r="J142" s="40" t="n">
        <f aca="false">(G142+H142+I142)/3</f>
        <v>25.1604516551878</v>
      </c>
      <c r="K142" s="41" t="n">
        <f aca="false">(J142-MIN(J$6:J$404))/(MAX(J$6:J$404)-MIN(J$6:J$404))*100</f>
        <v>28.3840091657794</v>
      </c>
    </row>
    <row r="143" customFormat="false" ht="15" hidden="false" customHeight="false" outlineLevel="0" collapsed="false">
      <c r="A143" s="26" t="n">
        <v>4109500</v>
      </c>
      <c r="B143" s="26" t="s">
        <v>208</v>
      </c>
      <c r="C143" s="26" t="s">
        <v>65</v>
      </c>
      <c r="D143" s="28" t="n">
        <v>0.0144927536231884</v>
      </c>
      <c r="E143" s="28" t="n">
        <v>0.611650485436893</v>
      </c>
      <c r="F143" s="31" t="n">
        <v>0.336767853363384</v>
      </c>
      <c r="G143" s="30" t="n">
        <v>1.44927536231884</v>
      </c>
      <c r="H143" s="30" t="n">
        <v>100</v>
      </c>
      <c r="I143" s="30" t="n">
        <v>82.6218388620463</v>
      </c>
      <c r="J143" s="40" t="n">
        <f aca="false">(G143+H143+I143)/3</f>
        <v>61.3570380747884</v>
      </c>
      <c r="K143" s="41" t="n">
        <f aca="false">(J143-MIN(J$6:J$404))/(MAX(J$6:J$404)-MIN(J$6:J$404))*100</f>
        <v>84.5641805025173</v>
      </c>
    </row>
    <row r="144" customFormat="false" ht="15" hidden="false" customHeight="false" outlineLevel="0" collapsed="false">
      <c r="A144" s="26" t="n">
        <v>4109609</v>
      </c>
      <c r="B144" s="26" t="s">
        <v>209</v>
      </c>
      <c r="C144" s="26" t="s">
        <v>86</v>
      </c>
      <c r="D144" s="28" t="n">
        <v>0.030716723549488</v>
      </c>
      <c r="E144" s="28" t="n">
        <v>0.313852058618283</v>
      </c>
      <c r="F144" s="31" t="n">
        <v>0.4772245005849</v>
      </c>
      <c r="G144" s="30" t="n">
        <v>3.07167235494881</v>
      </c>
      <c r="H144" s="30" t="n">
        <v>48.7792015010487</v>
      </c>
      <c r="I144" s="30" t="n">
        <v>59.2438448318523</v>
      </c>
      <c r="J144" s="40" t="n">
        <f aca="false">(G144+H144+I144)/3</f>
        <v>37.0315728959499</v>
      </c>
      <c r="K144" s="41" t="n">
        <f aca="false">(J144-MIN(J$6:J$404))/(MAX(J$6:J$404)-MIN(J$6:J$404))*100</f>
        <v>46.8089959182336</v>
      </c>
    </row>
    <row r="145" customFormat="false" ht="15" hidden="false" customHeight="false" outlineLevel="0" collapsed="false">
      <c r="A145" s="26" t="n">
        <v>4109658</v>
      </c>
      <c r="B145" s="26" t="s">
        <v>210</v>
      </c>
      <c r="C145" s="26" t="s">
        <v>71</v>
      </c>
      <c r="D145" s="28" t="n">
        <v>0.037037037037037</v>
      </c>
      <c r="E145" s="28" t="n">
        <v>0.323691460055096</v>
      </c>
      <c r="F145" s="31" t="n">
        <v>0.483997682073088</v>
      </c>
      <c r="G145" s="30" t="n">
        <v>3.7037037037037</v>
      </c>
      <c r="H145" s="30" t="n">
        <v>50.4715610065349</v>
      </c>
      <c r="I145" s="30" t="n">
        <v>58.1164977142285</v>
      </c>
      <c r="J145" s="40" t="n">
        <f aca="false">(G145+H145+I145)/3</f>
        <v>37.4305874748223</v>
      </c>
      <c r="K145" s="41" t="n">
        <f aca="false">(J145-MIN(J$6:J$404))/(MAX(J$6:J$404)-MIN(J$6:J$404))*100</f>
        <v>47.4283003782467</v>
      </c>
    </row>
    <row r="146" customFormat="false" ht="15" hidden="false" customHeight="false" outlineLevel="0" collapsed="false">
      <c r="A146" s="26" t="n">
        <v>4109708</v>
      </c>
      <c r="B146" s="26" t="s">
        <v>211</v>
      </c>
      <c r="C146" s="26" t="s">
        <v>86</v>
      </c>
      <c r="D146" s="28" t="n">
        <v>0.0284463894967177</v>
      </c>
      <c r="E146" s="28" t="n">
        <v>0.188331071913161</v>
      </c>
      <c r="F146" s="31" t="n">
        <v>0.449540253935259</v>
      </c>
      <c r="G146" s="30" t="n">
        <v>2.84463894967177</v>
      </c>
      <c r="H146" s="30" t="n">
        <v>27.1898155660831</v>
      </c>
      <c r="I146" s="30" t="n">
        <v>63.8516876481841</v>
      </c>
      <c r="J146" s="40" t="n">
        <f aca="false">(G146+H146+I146)/3</f>
        <v>31.295380721313</v>
      </c>
      <c r="K146" s="41" t="n">
        <f aca="false">(J146-MIN(J$6:J$404))/(MAX(J$6:J$404)-MIN(J$6:J$404))*100</f>
        <v>37.9059392748299</v>
      </c>
    </row>
    <row r="147" customFormat="false" ht="15" hidden="false" customHeight="false" outlineLevel="0" collapsed="false">
      <c r="A147" s="26" t="n">
        <v>4109757</v>
      </c>
      <c r="B147" s="26" t="s">
        <v>212</v>
      </c>
      <c r="C147" s="26" t="s">
        <v>65</v>
      </c>
      <c r="D147" s="28" t="n">
        <v>0.0769230769230769</v>
      </c>
      <c r="E147" s="28" t="n">
        <v>0.343234323432343</v>
      </c>
      <c r="F147" s="31" t="n">
        <v>0.431307311407172</v>
      </c>
      <c r="G147" s="30" t="n">
        <v>7.69230769230769</v>
      </c>
      <c r="H147" s="30" t="n">
        <v>53.8328986664823</v>
      </c>
      <c r="I147" s="30" t="n">
        <v>66.8864291859217</v>
      </c>
      <c r="J147" s="40" t="n">
        <f aca="false">(G147+H147+I147)/3</f>
        <v>42.8038785149039</v>
      </c>
      <c r="K147" s="41" t="n">
        <f aca="false">(J147-MIN(J$6:J$404))/(MAX(J$6:J$404)-MIN(J$6:J$404))*100</f>
        <v>55.768103689381</v>
      </c>
    </row>
    <row r="148" customFormat="false" ht="15" hidden="false" customHeight="false" outlineLevel="0" collapsed="false">
      <c r="A148" s="26" t="n">
        <v>4109807</v>
      </c>
      <c r="B148" s="26" t="s">
        <v>213</v>
      </c>
      <c r="C148" s="26" t="s">
        <v>86</v>
      </c>
      <c r="D148" s="28" t="n">
        <v>0.0476190476190476</v>
      </c>
      <c r="E148" s="28" t="n">
        <v>0.235174781523096</v>
      </c>
      <c r="F148" s="31" t="n">
        <v>0.547648513900719</v>
      </c>
      <c r="G148" s="30" t="n">
        <v>4.76190476190476</v>
      </c>
      <c r="H148" s="30" t="n">
        <v>35.2468501062129</v>
      </c>
      <c r="I148" s="30" t="n">
        <v>47.5222766793461</v>
      </c>
      <c r="J148" s="40" t="n">
        <f aca="false">(G148+H148+I148)/3</f>
        <v>29.1770105158212</v>
      </c>
      <c r="K148" s="41" t="n">
        <f aca="false">(J148-MIN(J$6:J$404))/(MAX(J$6:J$404)-MIN(J$6:J$404))*100</f>
        <v>34.6180490931546</v>
      </c>
    </row>
    <row r="149" customFormat="false" ht="15" hidden="false" customHeight="false" outlineLevel="0" collapsed="false">
      <c r="A149" s="26" t="n">
        <v>4109906</v>
      </c>
      <c r="B149" s="26" t="s">
        <v>214</v>
      </c>
      <c r="C149" s="26" t="s">
        <v>65</v>
      </c>
      <c r="D149" s="28" t="n">
        <v>0.0196078431372549</v>
      </c>
      <c r="E149" s="28" t="n">
        <v>0.323241317898486</v>
      </c>
      <c r="F149" s="31" t="n">
        <v>0.406441782579361</v>
      </c>
      <c r="G149" s="30" t="n">
        <v>1.96078431372549</v>
      </c>
      <c r="H149" s="30" t="n">
        <v>50.3941373581096</v>
      </c>
      <c r="I149" s="30" t="n">
        <v>71.0251167880642</v>
      </c>
      <c r="J149" s="40" t="n">
        <f aca="false">(G149+H149+I149)/3</f>
        <v>41.1266794866331</v>
      </c>
      <c r="K149" s="41" t="n">
        <f aca="false">(J149-MIN(J$6:J$404))/(MAX(J$6:J$404)-MIN(J$6:J$404))*100</f>
        <v>53.1649485829358</v>
      </c>
    </row>
    <row r="150" customFormat="false" ht="15" hidden="false" customHeight="false" outlineLevel="0" collapsed="false">
      <c r="A150" s="26" t="n">
        <v>4110003</v>
      </c>
      <c r="B150" s="26" t="s">
        <v>215</v>
      </c>
      <c r="C150" s="26" t="s">
        <v>65</v>
      </c>
      <c r="D150" s="28" t="n">
        <v>0</v>
      </c>
      <c r="E150" s="28" t="n">
        <v>0.198639455782313</v>
      </c>
      <c r="F150" s="31" t="n">
        <v>0.574392432840311</v>
      </c>
      <c r="G150" s="30" t="n">
        <v>0</v>
      </c>
      <c r="H150" s="30" t="n">
        <v>28.9628392138314</v>
      </c>
      <c r="I150" s="30" t="n">
        <v>43.0709446158109</v>
      </c>
      <c r="J150" s="40" t="n">
        <f aca="false">(G150+H150+I150)/3</f>
        <v>24.0112612765474</v>
      </c>
      <c r="K150" s="41" t="n">
        <f aca="false">(J150-MIN(J$6:J$404))/(MAX(J$6:J$404)-MIN(J$6:J$404))*100</f>
        <v>26.6003682549451</v>
      </c>
    </row>
    <row r="151" customFormat="false" ht="15" hidden="false" customHeight="false" outlineLevel="0" collapsed="false">
      <c r="A151" s="26" t="n">
        <v>4110052</v>
      </c>
      <c r="B151" s="26" t="s">
        <v>216</v>
      </c>
      <c r="C151" s="26" t="s">
        <v>71</v>
      </c>
      <c r="D151" s="28" t="n">
        <v>0</v>
      </c>
      <c r="E151" s="28" t="n">
        <v>0.2</v>
      </c>
      <c r="F151" s="31" t="n">
        <v>0.417576582651086</v>
      </c>
      <c r="G151" s="30" t="n">
        <v>0</v>
      </c>
      <c r="H151" s="30" t="n">
        <v>29.1968503937008</v>
      </c>
      <c r="I151" s="30" t="n">
        <v>69.1718097730273</v>
      </c>
      <c r="J151" s="40" t="n">
        <f aca="false">(G151+H151+I151)/3</f>
        <v>32.7895533889094</v>
      </c>
      <c r="K151" s="41" t="n">
        <f aca="false">(J151-MIN(J$6:J$404))/(MAX(J$6:J$404)-MIN(J$6:J$404))*100</f>
        <v>40.2250219501725</v>
      </c>
    </row>
    <row r="152" customFormat="false" ht="15" hidden="false" customHeight="false" outlineLevel="0" collapsed="false">
      <c r="A152" s="26" t="n">
        <v>4110078</v>
      </c>
      <c r="B152" s="26" t="s">
        <v>217</v>
      </c>
      <c r="C152" s="26" t="s">
        <v>65</v>
      </c>
      <c r="D152" s="28" t="n">
        <v>0.0428571428571428</v>
      </c>
      <c r="E152" s="28" t="n">
        <v>0.230148619957537</v>
      </c>
      <c r="F152" s="31" t="n">
        <v>0.416895588323205</v>
      </c>
      <c r="G152" s="30" t="n">
        <v>4.28571428571429</v>
      </c>
      <c r="H152" s="30" t="n">
        <v>34.3823592775576</v>
      </c>
      <c r="I152" s="30" t="n">
        <v>69.2851563582316</v>
      </c>
      <c r="J152" s="40" t="n">
        <f aca="false">(G152+H152+I152)/3</f>
        <v>35.9844099738345</v>
      </c>
      <c r="K152" s="41" t="n">
        <f aca="false">(J152-MIN(J$6:J$404))/(MAX(J$6:J$404)-MIN(J$6:J$404))*100</f>
        <v>45.1837102711299</v>
      </c>
    </row>
    <row r="153" customFormat="false" ht="15" hidden="false" customHeight="false" outlineLevel="0" collapsed="false">
      <c r="A153" s="26" t="n">
        <v>4110102</v>
      </c>
      <c r="B153" s="26" t="s">
        <v>218</v>
      </c>
      <c r="C153" s="26" t="s">
        <v>86</v>
      </c>
      <c r="D153" s="28" t="n">
        <v>0.0386904761904761</v>
      </c>
      <c r="E153" s="28" t="n">
        <v>0.213766469786461</v>
      </c>
      <c r="F153" s="31" t="n">
        <v>0.498007595984684</v>
      </c>
      <c r="G153" s="30" t="n">
        <v>3.86904761904762</v>
      </c>
      <c r="H153" s="30" t="n">
        <v>31.5646586541645</v>
      </c>
      <c r="I153" s="30" t="n">
        <v>55.7846487753008</v>
      </c>
      <c r="J153" s="40" t="n">
        <f aca="false">(G153+H153+I153)/3</f>
        <v>30.4061183495043</v>
      </c>
      <c r="K153" s="41" t="n">
        <f aca="false">(J153-MIN(J$6:J$404))/(MAX(J$6:J$404)-MIN(J$6:J$404))*100</f>
        <v>36.5257286706479</v>
      </c>
    </row>
    <row r="154" customFormat="false" ht="15" hidden="false" customHeight="false" outlineLevel="0" collapsed="false">
      <c r="A154" s="26" t="n">
        <v>4110300</v>
      </c>
      <c r="B154" s="26" t="s">
        <v>219</v>
      </c>
      <c r="C154" s="26" t="s">
        <v>71</v>
      </c>
      <c r="D154" s="28" t="n">
        <v>0</v>
      </c>
      <c r="E154" s="28" t="n">
        <v>0.33974358974359</v>
      </c>
      <c r="F154" s="31" t="n">
        <v>0.366684950144138</v>
      </c>
      <c r="G154" s="30" t="n">
        <v>0</v>
      </c>
      <c r="H154" s="30" t="n">
        <v>53.2324986952828</v>
      </c>
      <c r="I154" s="30" t="n">
        <v>77.6423542753313</v>
      </c>
      <c r="J154" s="40" t="n">
        <f aca="false">(G154+H154+I154)/3</f>
        <v>43.6249509902047</v>
      </c>
      <c r="K154" s="41" t="n">
        <f aca="false">(J154-MIN(J$6:J$404))/(MAX(J$6:J$404)-MIN(J$6:J$404))*100</f>
        <v>57.0424777921638</v>
      </c>
    </row>
    <row r="155" customFormat="false" ht="15" hidden="false" customHeight="false" outlineLevel="0" collapsed="false">
      <c r="A155" s="26" t="n">
        <v>4110201</v>
      </c>
      <c r="B155" s="26" t="s">
        <v>220</v>
      </c>
      <c r="C155" s="26" t="s">
        <v>65</v>
      </c>
      <c r="D155" s="28" t="n">
        <v>0.0080645161290322</v>
      </c>
      <c r="E155" s="28" t="n">
        <v>0.454481792717087</v>
      </c>
      <c r="F155" s="31" t="n">
        <v>0.413763556257582</v>
      </c>
      <c r="G155" s="30" t="n">
        <v>0.806451612903226</v>
      </c>
      <c r="H155" s="30" t="n">
        <v>72.9672650519129</v>
      </c>
      <c r="I155" s="30" t="n">
        <v>69.8064604643807</v>
      </c>
      <c r="J155" s="40" t="n">
        <f aca="false">(G155+H155+I155)/3</f>
        <v>47.8600590430656</v>
      </c>
      <c r="K155" s="41" t="n">
        <f aca="false">(J155-MIN(J$6:J$404))/(MAX(J$6:J$404)-MIN(J$6:J$404))*100</f>
        <v>63.6157245972958</v>
      </c>
    </row>
    <row r="156" customFormat="false" ht="15" hidden="false" customHeight="false" outlineLevel="0" collapsed="false">
      <c r="A156" s="26" t="n">
        <v>4110409</v>
      </c>
      <c r="B156" s="26" t="s">
        <v>221</v>
      </c>
      <c r="C156" s="26" t="s">
        <v>71</v>
      </c>
      <c r="D156" s="28" t="n">
        <v>0.0238095238095238</v>
      </c>
      <c r="E156" s="28" t="n">
        <v>0.16636197440585</v>
      </c>
      <c r="F156" s="31" t="n">
        <v>0.509281995157404</v>
      </c>
      <c r="G156" s="30" t="n">
        <v>2.38095238095238</v>
      </c>
      <c r="H156" s="30" t="n">
        <v>23.4111699612451</v>
      </c>
      <c r="I156" s="30" t="n">
        <v>53.9081064986067</v>
      </c>
      <c r="J156" s="40" t="n">
        <f aca="false">(G156+H156+I156)/3</f>
        <v>26.5667429469347</v>
      </c>
      <c r="K156" s="41" t="n">
        <f aca="false">(J156-MIN(J$6:J$404))/(MAX(J$6:J$404)-MIN(J$6:J$404))*100</f>
        <v>30.5666924940869</v>
      </c>
    </row>
    <row r="157" customFormat="false" ht="15" hidden="false" customHeight="false" outlineLevel="0" collapsed="false">
      <c r="A157" s="26" t="n">
        <v>4110508</v>
      </c>
      <c r="B157" s="26" t="s">
        <v>222</v>
      </c>
      <c r="C157" s="26" t="s">
        <v>65</v>
      </c>
      <c r="D157" s="28" t="n">
        <v>0.0198019801980198</v>
      </c>
      <c r="E157" s="28" t="n">
        <v>0.206619859578736</v>
      </c>
      <c r="F157" s="31" t="n">
        <v>0.427374091023048</v>
      </c>
      <c r="G157" s="30" t="n">
        <v>1.98019801980198</v>
      </c>
      <c r="H157" s="30" t="n">
        <v>30.3354544393841</v>
      </c>
      <c r="I157" s="30" t="n">
        <v>67.5410852985261</v>
      </c>
      <c r="J157" s="40" t="n">
        <f aca="false">(G157+H157+I157)/3</f>
        <v>33.2855792525707</v>
      </c>
      <c r="K157" s="41" t="n">
        <f aca="false">(J157-MIN(J$6:J$404))/(MAX(J$6:J$404)-MIN(J$6:J$404))*100</f>
        <v>40.9948961500462</v>
      </c>
    </row>
    <row r="158" customFormat="false" ht="15" hidden="false" customHeight="false" outlineLevel="0" collapsed="false">
      <c r="A158" s="26" t="n">
        <v>4110607</v>
      </c>
      <c r="B158" s="26" t="s">
        <v>223</v>
      </c>
      <c r="C158" s="26" t="s">
        <v>65</v>
      </c>
      <c r="D158" s="28" t="n">
        <v>0</v>
      </c>
      <c r="E158" s="28" t="n">
        <v>0.212019230769231</v>
      </c>
      <c r="F158" s="31" t="n">
        <v>0.484037696060304</v>
      </c>
      <c r="G158" s="30" t="n">
        <v>0</v>
      </c>
      <c r="H158" s="30" t="n">
        <v>31.2641366581717</v>
      </c>
      <c r="I158" s="30" t="n">
        <v>58.109837675186</v>
      </c>
      <c r="J158" s="40" t="n">
        <f aca="false">(G158+H158+I158)/3</f>
        <v>29.7913247777859</v>
      </c>
      <c r="K158" s="41" t="n">
        <f aca="false">(J158-MIN(J$6:J$404))/(MAX(J$6:J$404)-MIN(J$6:J$404))*100</f>
        <v>35.5715169172113</v>
      </c>
    </row>
    <row r="159" customFormat="false" ht="15" hidden="false" customHeight="false" outlineLevel="0" collapsed="false">
      <c r="A159" s="26" t="n">
        <v>4110656</v>
      </c>
      <c r="B159" s="26" t="s">
        <v>224</v>
      </c>
      <c r="C159" s="26" t="s">
        <v>71</v>
      </c>
      <c r="D159" s="28" t="n">
        <v>0</v>
      </c>
      <c r="E159" s="28" t="n">
        <v>0.231060606060606</v>
      </c>
      <c r="F159" s="31" t="n">
        <v>0.428291952171737</v>
      </c>
      <c r="G159" s="30" t="n">
        <v>0</v>
      </c>
      <c r="H159" s="30" t="n">
        <v>34.5392192614002</v>
      </c>
      <c r="I159" s="30" t="n">
        <v>67.3883139425307</v>
      </c>
      <c r="J159" s="40" t="n">
        <f aca="false">(G159+H159+I159)/3</f>
        <v>33.9758444013103</v>
      </c>
      <c r="K159" s="41" t="n">
        <f aca="false">(J159-MIN(J$6:J$404))/(MAX(J$6:J$404)-MIN(J$6:J$404))*100</f>
        <v>42.0662461904735</v>
      </c>
    </row>
    <row r="160" customFormat="false" ht="15" hidden="false" customHeight="false" outlineLevel="0" collapsed="false">
      <c r="A160" s="26" t="n">
        <v>4110706</v>
      </c>
      <c r="B160" s="26" t="s">
        <v>225</v>
      </c>
      <c r="C160" s="26" t="s">
        <v>86</v>
      </c>
      <c r="D160" s="28" t="n">
        <v>0.0368663594470046</v>
      </c>
      <c r="E160" s="28" t="n">
        <v>0.244653316986787</v>
      </c>
      <c r="F160" s="31" t="n">
        <v>0.484228036928765</v>
      </c>
      <c r="G160" s="30" t="n">
        <v>3.68663594470046</v>
      </c>
      <c r="H160" s="30" t="n">
        <v>36.8771413076723</v>
      </c>
      <c r="I160" s="30" t="n">
        <v>58.0781568129797</v>
      </c>
      <c r="J160" s="40" t="n">
        <f aca="false">(G160+H160+I160)/3</f>
        <v>32.8806446884508</v>
      </c>
      <c r="K160" s="41" t="n">
        <f aca="false">(J160-MIN(J$6:J$404))/(MAX(J$6:J$404)-MIN(J$6:J$404))*100</f>
        <v>40.3664033709563</v>
      </c>
    </row>
    <row r="161" customFormat="false" ht="15" hidden="false" customHeight="false" outlineLevel="0" collapsed="false">
      <c r="A161" s="26" t="n">
        <v>4110805</v>
      </c>
      <c r="B161" s="26" t="s">
        <v>226</v>
      </c>
      <c r="C161" s="26" t="s">
        <v>65</v>
      </c>
      <c r="D161" s="28" t="n">
        <v>0.0229007633587786</v>
      </c>
      <c r="E161" s="28" t="n">
        <v>0.298976608187135</v>
      </c>
      <c r="F161" s="31" t="n">
        <v>0.448052814537788</v>
      </c>
      <c r="G161" s="30" t="n">
        <v>2.29007633587786</v>
      </c>
      <c r="H161" s="30" t="n">
        <v>46.2206505467849</v>
      </c>
      <c r="I161" s="30" t="n">
        <v>64.0992611880787</v>
      </c>
      <c r="J161" s="40" t="n">
        <f aca="false">(G161+H161+I161)/3</f>
        <v>37.5366626902472</v>
      </c>
      <c r="K161" s="41" t="n">
        <f aca="false">(J161-MIN(J$6:J$404))/(MAX(J$6:J$404)-MIN(J$6:J$404))*100</f>
        <v>47.5929381070111</v>
      </c>
    </row>
    <row r="162" customFormat="false" ht="15" hidden="false" customHeight="false" outlineLevel="0" collapsed="false">
      <c r="A162" s="26" t="n">
        <v>4110904</v>
      </c>
      <c r="B162" s="26" t="s">
        <v>227</v>
      </c>
      <c r="C162" s="26" t="s">
        <v>71</v>
      </c>
      <c r="D162" s="28" t="n">
        <v>0</v>
      </c>
      <c r="E162" s="28" t="n">
        <v>0.201298701298701</v>
      </c>
      <c r="F162" s="31" t="n">
        <v>0.391997114140786</v>
      </c>
      <c r="G162" s="30" t="n">
        <v>0</v>
      </c>
      <c r="H162" s="30" t="n">
        <v>29.4202247017579</v>
      </c>
      <c r="I162" s="30" t="n">
        <v>73.4293274765947</v>
      </c>
      <c r="J162" s="40" t="n">
        <f aca="false">(G162+H162+I162)/3</f>
        <v>34.2831840594509</v>
      </c>
      <c r="K162" s="41" t="n">
        <f aca="false">(J162-MIN(J$6:J$404))/(MAX(J$6:J$404)-MIN(J$6:J$404))*100</f>
        <v>42.5432634001284</v>
      </c>
    </row>
    <row r="163" customFormat="false" ht="15" hidden="false" customHeight="false" outlineLevel="0" collapsed="false">
      <c r="A163" s="26" t="n">
        <v>4110953</v>
      </c>
      <c r="B163" s="26" t="s">
        <v>228</v>
      </c>
      <c r="C163" s="26" t="s">
        <v>65</v>
      </c>
      <c r="D163" s="28" t="n">
        <v>0.0144927536231884</v>
      </c>
      <c r="E163" s="28" t="n">
        <v>0.141395908543923</v>
      </c>
      <c r="F163" s="31" t="n">
        <v>0.633639453603797</v>
      </c>
      <c r="G163" s="30" t="n">
        <v>1.44927536231884</v>
      </c>
      <c r="H163" s="30" t="n">
        <v>19.1170511423965</v>
      </c>
      <c r="I163" s="30" t="n">
        <v>33.2097061118679</v>
      </c>
      <c r="J163" s="40" t="n">
        <f aca="false">(G163+H163+I163)/3</f>
        <v>17.9253442055277</v>
      </c>
      <c r="K163" s="41" t="n">
        <f aca="false">(J163-MIN(J$6:J$404))/(MAX(J$6:J$404)-MIN(J$6:J$404))*100</f>
        <v>17.1545089181674</v>
      </c>
    </row>
    <row r="164" customFormat="false" ht="15" hidden="false" customHeight="false" outlineLevel="0" collapsed="false">
      <c r="A164" s="26" t="n">
        <v>4111001</v>
      </c>
      <c r="B164" s="26" t="s">
        <v>229</v>
      </c>
      <c r="C164" s="26" t="s">
        <v>65</v>
      </c>
      <c r="D164" s="28" t="n">
        <v>0</v>
      </c>
      <c r="E164" s="28" t="n">
        <v>0.342383107088989</v>
      </c>
      <c r="F164" s="31" t="n">
        <v>0.399170427612399</v>
      </c>
      <c r="G164" s="30" t="n">
        <v>0</v>
      </c>
      <c r="H164" s="30" t="n">
        <v>53.6864909729706</v>
      </c>
      <c r="I164" s="30" t="n">
        <v>72.2353812815699</v>
      </c>
      <c r="J164" s="40" t="n">
        <f aca="false">(G164+H164+I164)/3</f>
        <v>41.9739574181802</v>
      </c>
      <c r="K164" s="41" t="n">
        <f aca="false">(J164-MIN(J$6:J$404))/(MAX(J$6:J$404)-MIN(J$6:J$404))*100</f>
        <v>54.4799957758494</v>
      </c>
    </row>
    <row r="165" customFormat="false" ht="15" hidden="false" customHeight="false" outlineLevel="0" collapsed="false">
      <c r="A165" s="26" t="n">
        <v>4111100</v>
      </c>
      <c r="B165" s="26" t="s">
        <v>230</v>
      </c>
      <c r="C165" s="26" t="s">
        <v>65</v>
      </c>
      <c r="D165" s="28" t="n">
        <v>0</v>
      </c>
      <c r="E165" s="28" t="n">
        <v>0.048411497730711</v>
      </c>
      <c r="F165" s="31" t="n">
        <v>0.413901737955634</v>
      </c>
      <c r="G165" s="30" t="n">
        <v>0</v>
      </c>
      <c r="H165" s="30" t="n">
        <v>3.12389825476137</v>
      </c>
      <c r="I165" s="30" t="n">
        <v>69.7834611192016</v>
      </c>
      <c r="J165" s="40" t="n">
        <f aca="false">(G165+H165+I165)/3</f>
        <v>24.3024531246543</v>
      </c>
      <c r="K165" s="41" t="n">
        <f aca="false">(J165-MIN(J$6:J$404))/(MAX(J$6:J$404)-MIN(J$6:J$404))*100</f>
        <v>27.0523226942081</v>
      </c>
    </row>
    <row r="166" customFormat="false" ht="15" hidden="false" customHeight="false" outlineLevel="0" collapsed="false">
      <c r="A166" s="26" t="n">
        <v>4111209</v>
      </c>
      <c r="B166" s="26" t="s">
        <v>231</v>
      </c>
      <c r="C166" s="26" t="s">
        <v>65</v>
      </c>
      <c r="D166" s="28" t="n">
        <v>0.0192307692307692</v>
      </c>
      <c r="E166" s="28" t="n">
        <v>0.228994082840237</v>
      </c>
      <c r="F166" s="31" t="n">
        <v>0.526107840177866</v>
      </c>
      <c r="G166" s="30" t="n">
        <v>1.92307692307692</v>
      </c>
      <c r="H166" s="30" t="n">
        <v>34.1837809516861</v>
      </c>
      <c r="I166" s="30" t="n">
        <v>51.1075661737265</v>
      </c>
      <c r="J166" s="40" t="n">
        <f aca="false">(G166+H166+I166)/3</f>
        <v>29.0714746828298</v>
      </c>
      <c r="K166" s="41" t="n">
        <f aca="false">(J166-MIN(J$6:J$404))/(MAX(J$6:J$404)-MIN(J$6:J$404))*100</f>
        <v>34.4542485316627</v>
      </c>
    </row>
    <row r="167" customFormat="false" ht="15" hidden="false" customHeight="false" outlineLevel="0" collapsed="false">
      <c r="A167" s="26" t="n">
        <v>4111258</v>
      </c>
      <c r="B167" s="26" t="s">
        <v>232</v>
      </c>
      <c r="C167" s="26" t="s">
        <v>86</v>
      </c>
      <c r="D167" s="28" t="n">
        <v>0.0304568527918781</v>
      </c>
      <c r="E167" s="28" t="n">
        <v>0.369283690813436</v>
      </c>
      <c r="F167" s="31" t="n">
        <v>0.348940411140931</v>
      </c>
      <c r="G167" s="30" t="n">
        <v>3.04568527918782</v>
      </c>
      <c r="H167" s="30" t="n">
        <v>58.3133434153218</v>
      </c>
      <c r="I167" s="30" t="n">
        <v>80.5958045754177</v>
      </c>
      <c r="J167" s="40" t="n">
        <f aca="false">(G167+H167+I167)/3</f>
        <v>47.3182777566424</v>
      </c>
      <c r="K167" s="41" t="n">
        <f aca="false">(J167-MIN(J$6:J$404))/(MAX(J$6:J$404)-MIN(J$6:J$404))*100</f>
        <v>62.7748341015608</v>
      </c>
    </row>
    <row r="168" customFormat="false" ht="15" hidden="false" customHeight="false" outlineLevel="0" collapsed="false">
      <c r="A168" s="26" t="n">
        <v>4111308</v>
      </c>
      <c r="B168" s="26" t="s">
        <v>233</v>
      </c>
      <c r="C168" s="26" t="s">
        <v>71</v>
      </c>
      <c r="D168" s="28" t="n">
        <v>0</v>
      </c>
      <c r="E168" s="28" t="n">
        <v>0.361607142857143</v>
      </c>
      <c r="F168" s="31" t="n">
        <v>0.402749618021306</v>
      </c>
      <c r="G168" s="30" t="n">
        <v>0</v>
      </c>
      <c r="H168" s="30" t="n">
        <v>56.9929908525585</v>
      </c>
      <c r="I168" s="30" t="n">
        <v>71.6396509002203</v>
      </c>
      <c r="J168" s="40" t="n">
        <f aca="false">(G168+H168+I168)/3</f>
        <v>42.8775472509263</v>
      </c>
      <c r="K168" s="41" t="n">
        <f aca="false">(J168-MIN(J$6:J$404))/(MAX(J$6:J$404)-MIN(J$6:J$404))*100</f>
        <v>55.8824438142734</v>
      </c>
    </row>
    <row r="169" customFormat="false" ht="15" hidden="false" customHeight="false" outlineLevel="0" collapsed="false">
      <c r="A169" s="26" t="n">
        <v>4111506</v>
      </c>
      <c r="B169" s="26" t="s">
        <v>234</v>
      </c>
      <c r="C169" s="26" t="s">
        <v>86</v>
      </c>
      <c r="D169" s="28" t="n">
        <v>0.0526315789473684</v>
      </c>
      <c r="E169" s="28" t="n">
        <v>0.114293434206971</v>
      </c>
      <c r="F169" s="31" t="n">
        <v>0.460640466102781</v>
      </c>
      <c r="G169" s="30" t="n">
        <v>5.26315789473684</v>
      </c>
      <c r="H169" s="30" t="n">
        <v>14.4554738746241</v>
      </c>
      <c r="I169" s="30" t="n">
        <v>62.0041375398796</v>
      </c>
      <c r="J169" s="40" t="n">
        <f aca="false">(G169+H169+I169)/3</f>
        <v>27.2409231030802</v>
      </c>
      <c r="K169" s="41" t="n">
        <f aca="false">(J169-MIN(J$6:J$404))/(MAX(J$6:J$404)-MIN(J$6:J$404))*100</f>
        <v>31.6130772621149</v>
      </c>
    </row>
    <row r="170" customFormat="false" ht="15" hidden="false" customHeight="false" outlineLevel="0" collapsed="false">
      <c r="A170" s="26" t="n">
        <v>4111407</v>
      </c>
      <c r="B170" s="26" t="s">
        <v>235</v>
      </c>
      <c r="C170" s="26" t="s">
        <v>65</v>
      </c>
      <c r="D170" s="28" t="n">
        <v>0</v>
      </c>
      <c r="E170" s="28" t="n">
        <v>0.367889420521</v>
      </c>
      <c r="F170" s="31" t="n">
        <v>0.403491065903464</v>
      </c>
      <c r="G170" s="30" t="n">
        <v>0</v>
      </c>
      <c r="H170" s="30" t="n">
        <v>58.0735314107223</v>
      </c>
      <c r="I170" s="30" t="n">
        <v>71.5162422577268</v>
      </c>
      <c r="J170" s="40" t="n">
        <f aca="false">(G170+H170+I170)/3</f>
        <v>43.1965912228163</v>
      </c>
      <c r="K170" s="41" t="n">
        <f aca="false">(J170-MIN(J$6:J$404))/(MAX(J$6:J$404)-MIN(J$6:J$404))*100</f>
        <v>56.3776271113103</v>
      </c>
    </row>
    <row r="171" customFormat="false" ht="15" hidden="false" customHeight="false" outlineLevel="0" collapsed="false">
      <c r="A171" s="26" t="n">
        <v>4111555</v>
      </c>
      <c r="B171" s="26" t="s">
        <v>236</v>
      </c>
      <c r="C171" s="26" t="s">
        <v>65</v>
      </c>
      <c r="D171" s="28" t="n">
        <v>0.0625</v>
      </c>
      <c r="E171" s="28" t="n">
        <v>0.252969121140143</v>
      </c>
      <c r="F171" s="31" t="n">
        <v>0.498684293573569</v>
      </c>
      <c r="G171" s="30" t="n">
        <v>6.25</v>
      </c>
      <c r="H171" s="30" t="n">
        <v>38.307444796667</v>
      </c>
      <c r="I171" s="30" t="n">
        <v>55.6720173512555</v>
      </c>
      <c r="J171" s="40" t="n">
        <f aca="false">(G171+H171+I171)/3</f>
        <v>33.4098207159742</v>
      </c>
      <c r="K171" s="41" t="n">
        <f aca="false">(J171-MIN(J$6:J$404))/(MAX(J$6:J$404)-MIN(J$6:J$404))*100</f>
        <v>41.1877294360423</v>
      </c>
    </row>
    <row r="172" customFormat="false" ht="15" hidden="false" customHeight="false" outlineLevel="0" collapsed="false">
      <c r="A172" s="26" t="n">
        <v>4111605</v>
      </c>
      <c r="B172" s="26" t="s">
        <v>237</v>
      </c>
      <c r="C172" s="26" t="s">
        <v>71</v>
      </c>
      <c r="D172" s="28" t="n">
        <v>0.0833333333333333</v>
      </c>
      <c r="E172" s="28" t="n">
        <v>0.159010600706714</v>
      </c>
      <c r="F172" s="31" t="n">
        <v>0.519968115841428</v>
      </c>
      <c r="G172" s="30" t="n">
        <v>8.33333333333333</v>
      </c>
      <c r="H172" s="30" t="n">
        <v>22.1467467909934</v>
      </c>
      <c r="I172" s="30" t="n">
        <v>52.129478925623</v>
      </c>
      <c r="J172" s="40" t="n">
        <f aca="false">(G172+H172+I172)/3</f>
        <v>27.5365196833166</v>
      </c>
      <c r="K172" s="41" t="n">
        <f aca="false">(J172-MIN(J$6:J$404))/(MAX(J$6:J$404)-MIN(J$6:J$404))*100</f>
        <v>32.0718682191329</v>
      </c>
    </row>
    <row r="173" customFormat="false" ht="15" hidden="false" customHeight="false" outlineLevel="0" collapsed="false">
      <c r="A173" s="26" t="n">
        <v>4111704</v>
      </c>
      <c r="B173" s="26" t="s">
        <v>238</v>
      </c>
      <c r="C173" s="26" t="s">
        <v>65</v>
      </c>
      <c r="D173" s="28" t="n">
        <v>0</v>
      </c>
      <c r="E173" s="28" t="n">
        <v>0.298107255520505</v>
      </c>
      <c r="F173" s="31" t="n">
        <v>0.38335700909208</v>
      </c>
      <c r="G173" s="30" t="n">
        <v>0</v>
      </c>
      <c r="H173" s="30" t="n">
        <v>46.0711234380031</v>
      </c>
      <c r="I173" s="30" t="n">
        <v>74.8674105310076</v>
      </c>
      <c r="J173" s="40" t="n">
        <f aca="false">(G173+H173+I173)/3</f>
        <v>40.3128446563369</v>
      </c>
      <c r="K173" s="41" t="n">
        <f aca="false">(J173-MIN(J$6:J$404))/(MAX(J$6:J$404)-MIN(J$6:J$404))*100</f>
        <v>51.9018079189011</v>
      </c>
    </row>
    <row r="174" customFormat="false" ht="15" hidden="false" customHeight="false" outlineLevel="0" collapsed="false">
      <c r="A174" s="26" t="n">
        <v>4111803</v>
      </c>
      <c r="B174" s="26" t="s">
        <v>239</v>
      </c>
      <c r="C174" s="26" t="s">
        <v>86</v>
      </c>
      <c r="D174" s="28" t="n">
        <v>0.0354609929078014</v>
      </c>
      <c r="E174" s="28" t="n">
        <v>0.286741655910013</v>
      </c>
      <c r="F174" s="31" t="n">
        <v>0.568182814437195</v>
      </c>
      <c r="G174" s="30" t="n">
        <v>3.54609929078014</v>
      </c>
      <c r="H174" s="30" t="n">
        <v>44.1162605675442</v>
      </c>
      <c r="I174" s="30" t="n">
        <v>44.1044907300712</v>
      </c>
      <c r="J174" s="40" t="n">
        <f aca="false">(G174+H174+I174)/3</f>
        <v>30.5889501961318</v>
      </c>
      <c r="K174" s="41" t="n">
        <f aca="false">(J174-MIN(J$6:J$404))/(MAX(J$6:J$404)-MIN(J$6:J$404))*100</f>
        <v>36.8094991994562</v>
      </c>
    </row>
    <row r="175" customFormat="false" ht="15" hidden="false" customHeight="false" outlineLevel="0" collapsed="false">
      <c r="A175" s="26" t="n">
        <v>4111902</v>
      </c>
      <c r="B175" s="26" t="s">
        <v>240</v>
      </c>
      <c r="C175" s="26" t="s">
        <v>65</v>
      </c>
      <c r="D175" s="28" t="n">
        <v>0</v>
      </c>
      <c r="E175" s="28" t="n">
        <v>0.173095014111007</v>
      </c>
      <c r="F175" s="31" t="n">
        <v>0.685877412111173</v>
      </c>
      <c r="G175" s="30" t="n">
        <v>0</v>
      </c>
      <c r="H175" s="30" t="n">
        <v>24.5692407868956</v>
      </c>
      <c r="I175" s="30" t="n">
        <v>24.5150753749618</v>
      </c>
      <c r="J175" s="40" t="n">
        <f aca="false">(G175+H175+I175)/3</f>
        <v>16.3614387206192</v>
      </c>
      <c r="K175" s="41" t="n">
        <f aca="false">(J175-MIN(J$6:J$404))/(MAX(J$6:J$404)-MIN(J$6:J$404))*100</f>
        <v>14.7271949975085</v>
      </c>
    </row>
    <row r="176" customFormat="false" ht="15" hidden="false" customHeight="false" outlineLevel="0" collapsed="false">
      <c r="A176" s="26" t="n">
        <v>4112009</v>
      </c>
      <c r="B176" s="26" t="s">
        <v>241</v>
      </c>
      <c r="C176" s="26" t="s">
        <v>86</v>
      </c>
      <c r="D176" s="28" t="n">
        <v>0.04</v>
      </c>
      <c r="E176" s="28" t="n">
        <v>0.216335966095165</v>
      </c>
      <c r="F176" s="31" t="n">
        <v>0.560468956982928</v>
      </c>
      <c r="G176" s="30" t="n">
        <v>4</v>
      </c>
      <c r="H176" s="30" t="n">
        <v>32.0066074383738</v>
      </c>
      <c r="I176" s="30" t="n">
        <v>45.3884065651916</v>
      </c>
      <c r="J176" s="40" t="n">
        <f aca="false">(G176+H176+I176)/3</f>
        <v>27.1316713345218</v>
      </c>
      <c r="K176" s="41" t="n">
        <f aca="false">(J176-MIN(J$6:J$404))/(MAX(J$6:J$404)-MIN(J$6:J$404))*100</f>
        <v>31.4435092535381</v>
      </c>
    </row>
    <row r="177" customFormat="false" ht="15" hidden="false" customHeight="false" outlineLevel="0" collapsed="false">
      <c r="A177" s="26" t="n">
        <v>4112108</v>
      </c>
      <c r="B177" s="26" t="s">
        <v>242</v>
      </c>
      <c r="C177" s="26" t="s">
        <v>86</v>
      </c>
      <c r="D177" s="28" t="n">
        <v>0.0163934426229508</v>
      </c>
      <c r="E177" s="28" t="n">
        <v>0.217355710192386</v>
      </c>
      <c r="F177" s="31" t="n">
        <v>0.524607368951945</v>
      </c>
      <c r="G177" s="30" t="n">
        <v>1.63934426229508</v>
      </c>
      <c r="H177" s="30" t="n">
        <v>32.1820016051002</v>
      </c>
      <c r="I177" s="30" t="n">
        <v>51.3573087673023</v>
      </c>
      <c r="J177" s="40" t="n">
        <f aca="false">(G177+H177+I177)/3</f>
        <v>28.3928848782325</v>
      </c>
      <c r="K177" s="41" t="n">
        <f aca="false">(J177-MIN(J$6:J$404))/(MAX(J$6:J$404)-MIN(J$6:J$404))*100</f>
        <v>33.4010196153305</v>
      </c>
    </row>
    <row r="178" customFormat="false" ht="15" hidden="false" customHeight="false" outlineLevel="0" collapsed="false">
      <c r="A178" s="26" t="n">
        <v>4112207</v>
      </c>
      <c r="B178" s="26" t="s">
        <v>243</v>
      </c>
      <c r="C178" s="26" t="s">
        <v>65</v>
      </c>
      <c r="D178" s="28" t="n">
        <v>0.0588235294117647</v>
      </c>
      <c r="E178" s="28" t="n">
        <v>0.194099378881988</v>
      </c>
      <c r="F178" s="31" t="n">
        <v>0.41589879779989</v>
      </c>
      <c r="G178" s="30" t="n">
        <v>5.88235294117647</v>
      </c>
      <c r="H178" s="30" t="n">
        <v>28.1819540810065</v>
      </c>
      <c r="I178" s="30" t="n">
        <v>69.4510649383123</v>
      </c>
      <c r="J178" s="40" t="n">
        <f aca="false">(G178+H178+I178)/3</f>
        <v>34.5051239868317</v>
      </c>
      <c r="K178" s="41" t="n">
        <f aca="false">(J178-MIN(J$6:J$404))/(MAX(J$6:J$404)-MIN(J$6:J$404))*100</f>
        <v>42.8877329863535</v>
      </c>
    </row>
    <row r="179" customFormat="false" ht="15" hidden="false" customHeight="false" outlineLevel="0" collapsed="false">
      <c r="A179" s="26" t="n">
        <v>4112306</v>
      </c>
      <c r="B179" s="26" t="s">
        <v>244</v>
      </c>
      <c r="C179" s="26" t="s">
        <v>71</v>
      </c>
      <c r="D179" s="28" t="n">
        <v>0.0483870967741935</v>
      </c>
      <c r="E179" s="28" t="n">
        <v>0.282843894899536</v>
      </c>
      <c r="F179" s="31" t="n">
        <v>0.376622626259433</v>
      </c>
      <c r="G179" s="30" t="n">
        <v>4.83870967741936</v>
      </c>
      <c r="H179" s="30" t="n">
        <v>43.4458526226551</v>
      </c>
      <c r="I179" s="30" t="n">
        <v>75.9882998927646</v>
      </c>
      <c r="J179" s="40" t="n">
        <f aca="false">(G179+H179+I179)/3</f>
        <v>41.424287397613</v>
      </c>
      <c r="K179" s="41" t="n">
        <f aca="false">(J179-MIN(J$6:J$404))/(MAX(J$6:J$404)-MIN(J$6:J$404))*100</f>
        <v>53.6268612958144</v>
      </c>
    </row>
    <row r="180" customFormat="false" ht="15" hidden="false" customHeight="false" outlineLevel="0" collapsed="false">
      <c r="A180" s="26" t="n">
        <v>4112405</v>
      </c>
      <c r="B180" s="26" t="s">
        <v>245</v>
      </c>
      <c r="C180" s="26" t="s">
        <v>65</v>
      </c>
      <c r="D180" s="28" t="n">
        <v>0.0392156862745098</v>
      </c>
      <c r="E180" s="28" t="n">
        <v>0.25418410041841</v>
      </c>
      <c r="F180" s="31" t="n">
        <v>0.507650713948279</v>
      </c>
      <c r="G180" s="30" t="n">
        <v>3.92156862745098</v>
      </c>
      <c r="H180" s="30" t="n">
        <v>38.5164190664688</v>
      </c>
      <c r="I180" s="30" t="n">
        <v>54.1796214686911</v>
      </c>
      <c r="J180" s="40" t="n">
        <f aca="false">(G180+H180+I180)/3</f>
        <v>32.2058697208703</v>
      </c>
      <c r="K180" s="41" t="n">
        <f aca="false">(J180-MIN(J$6:J$404))/(MAX(J$6:J$404)-MIN(J$6:J$404))*100</f>
        <v>39.3190954051452</v>
      </c>
    </row>
    <row r="181" customFormat="false" ht="15" hidden="false" customHeight="false" outlineLevel="0" collapsed="false">
      <c r="A181" s="26" t="n">
        <v>4112504</v>
      </c>
      <c r="B181" s="26" t="s">
        <v>246</v>
      </c>
      <c r="C181" s="26" t="s">
        <v>65</v>
      </c>
      <c r="D181" s="28" t="n">
        <v>0.0333333333333333</v>
      </c>
      <c r="E181" s="28" t="n">
        <v>0.265025343953657</v>
      </c>
      <c r="F181" s="31" t="n">
        <v>0.400157725727889</v>
      </c>
      <c r="G181" s="30" t="n">
        <v>3.33333333333333</v>
      </c>
      <c r="H181" s="30" t="n">
        <v>40.3810936268055</v>
      </c>
      <c r="I181" s="30" t="n">
        <v>72.0710526441823</v>
      </c>
      <c r="J181" s="40" t="n">
        <f aca="false">(G181+H181+I181)/3</f>
        <v>38.595159868107</v>
      </c>
      <c r="K181" s="41" t="n">
        <f aca="false">(J181-MIN(J$6:J$404))/(MAX(J$6:J$404)-MIN(J$6:J$404))*100</f>
        <v>49.2358154800945</v>
      </c>
    </row>
    <row r="182" customFormat="false" ht="15" hidden="false" customHeight="false" outlineLevel="0" collapsed="false">
      <c r="A182" s="26" t="n">
        <v>4112603</v>
      </c>
      <c r="B182" s="26" t="s">
        <v>247</v>
      </c>
      <c r="C182" s="26" t="s">
        <v>71</v>
      </c>
      <c r="D182" s="28" t="n">
        <v>0</v>
      </c>
      <c r="E182" s="28" t="n">
        <v>0.296969696969697</v>
      </c>
      <c r="F182" s="31" t="n">
        <v>0.473569479731527</v>
      </c>
      <c r="G182" s="30" t="n">
        <v>0</v>
      </c>
      <c r="H182" s="30" t="n">
        <v>45.875465395299</v>
      </c>
      <c r="I182" s="30" t="n">
        <v>59.852196642754</v>
      </c>
      <c r="J182" s="40" t="n">
        <f aca="false">(G182+H182+I182)/3</f>
        <v>35.2425540126843</v>
      </c>
      <c r="K182" s="41" t="n">
        <f aca="false">(J182-MIN(J$6:J$404))/(MAX(J$6:J$404)-MIN(J$6:J$404))*100</f>
        <v>44.0322869153069</v>
      </c>
    </row>
    <row r="183" customFormat="false" ht="15" hidden="false" customHeight="false" outlineLevel="0" collapsed="false">
      <c r="A183" s="26" t="n">
        <v>4112702</v>
      </c>
      <c r="B183" s="26" t="s">
        <v>248</v>
      </c>
      <c r="C183" s="26" t="s">
        <v>65</v>
      </c>
      <c r="D183" s="28" t="n">
        <v>0.0232558139534883</v>
      </c>
      <c r="E183" s="28" t="n">
        <v>0.258719086873811</v>
      </c>
      <c r="F183" s="31" t="n">
        <v>0.414489004330711</v>
      </c>
      <c r="G183" s="30" t="n">
        <v>2.32558139534884</v>
      </c>
      <c r="H183" s="30" t="n">
        <v>39.296428651842</v>
      </c>
      <c r="I183" s="30" t="n">
        <v>69.6857148744901</v>
      </c>
      <c r="J183" s="40" t="n">
        <f aca="false">(G183+H183+I183)/3</f>
        <v>37.1025749738936</v>
      </c>
      <c r="K183" s="41" t="n">
        <f aca="false">(J183-MIN(J$6:J$404))/(MAX(J$6:J$404)-MIN(J$6:J$404))*100</f>
        <v>46.9191971636743</v>
      </c>
    </row>
    <row r="184" customFormat="false" ht="15" hidden="false" customHeight="false" outlineLevel="0" collapsed="false">
      <c r="A184" s="26" t="n">
        <v>4112751</v>
      </c>
      <c r="B184" s="26" t="s">
        <v>249</v>
      </c>
      <c r="C184" s="26" t="s">
        <v>65</v>
      </c>
      <c r="D184" s="28" t="n">
        <v>0.0666666666666666</v>
      </c>
      <c r="E184" s="28" t="n">
        <v>0.2225</v>
      </c>
      <c r="F184" s="31" t="n">
        <v>0.429095724821619</v>
      </c>
      <c r="G184" s="30" t="n">
        <v>6.66666666666667</v>
      </c>
      <c r="H184" s="30" t="n">
        <v>33.0668102807904</v>
      </c>
      <c r="I184" s="30" t="n">
        <v>67.2545317927906</v>
      </c>
      <c r="J184" s="40" t="n">
        <f aca="false">(G184+H184+I184)/3</f>
        <v>35.6626695800826</v>
      </c>
      <c r="K184" s="41" t="n">
        <f aca="false">(J184-MIN(J$6:J$404))/(MAX(J$6:J$404)-MIN(J$6:J$404))*100</f>
        <v>44.684341898726</v>
      </c>
    </row>
    <row r="185" customFormat="false" ht="15" hidden="false" customHeight="false" outlineLevel="0" collapsed="false">
      <c r="A185" s="26" t="n">
        <v>4112801</v>
      </c>
      <c r="B185" s="26" t="s">
        <v>250</v>
      </c>
      <c r="C185" s="26" t="s">
        <v>65</v>
      </c>
      <c r="D185" s="28" t="n">
        <v>0.0434782608695652</v>
      </c>
      <c r="E185" s="28" t="n">
        <v>0.176858513189448</v>
      </c>
      <c r="F185" s="31" t="n">
        <v>0.64728460670942</v>
      </c>
      <c r="G185" s="30" t="n">
        <v>4.34782608695652</v>
      </c>
      <c r="H185" s="30" t="n">
        <v>25.2165559188365</v>
      </c>
      <c r="I185" s="30" t="n">
        <v>30.9385689734365</v>
      </c>
      <c r="J185" s="40" t="n">
        <f aca="false">(G185+H185+I185)/3</f>
        <v>20.1676503264098</v>
      </c>
      <c r="K185" s="41" t="n">
        <f aca="false">(J185-MIN(J$6:J$404))/(MAX(J$6:J$404)-MIN(J$6:J$404))*100</f>
        <v>20.6347581494142</v>
      </c>
    </row>
    <row r="186" customFormat="false" ht="15" hidden="false" customHeight="false" outlineLevel="0" collapsed="false">
      <c r="A186" s="26" t="n">
        <v>4112900</v>
      </c>
      <c r="B186" s="26" t="s">
        <v>251</v>
      </c>
      <c r="C186" s="26" t="s">
        <v>71</v>
      </c>
      <c r="D186" s="28" t="n">
        <v>0.133333333333333</v>
      </c>
      <c r="E186" s="28" t="n">
        <v>0.366071428571429</v>
      </c>
      <c r="F186" s="31" t="n">
        <v>0.399641476840327</v>
      </c>
      <c r="G186" s="30" t="n">
        <v>13.3333333333333</v>
      </c>
      <c r="H186" s="30" t="n">
        <v>57.7608400365049</v>
      </c>
      <c r="I186" s="30" t="n">
        <v>72.1569785412491</v>
      </c>
      <c r="J186" s="40" t="n">
        <f aca="false">(G186+H186+I186)/3</f>
        <v>47.7503839703624</v>
      </c>
      <c r="K186" s="41" t="n">
        <f aca="false">(J186-MIN(J$6:J$404))/(MAX(J$6:J$404)-MIN(J$6:J$404))*100</f>
        <v>63.445499584793</v>
      </c>
    </row>
    <row r="187" customFormat="false" ht="15" hidden="false" customHeight="false" outlineLevel="0" collapsed="false">
      <c r="A187" s="26" t="n">
        <v>4112959</v>
      </c>
      <c r="B187" s="26" t="s">
        <v>252</v>
      </c>
      <c r="C187" s="26" t="s">
        <v>65</v>
      </c>
      <c r="D187" s="28" t="n">
        <v>0.0465116279069767</v>
      </c>
      <c r="E187" s="28" t="n">
        <v>0.253493013972056</v>
      </c>
      <c r="F187" s="31" t="n">
        <v>0.432685216371317</v>
      </c>
      <c r="G187" s="30" t="n">
        <v>4.65116279069768</v>
      </c>
      <c r="H187" s="30" t="n">
        <v>38.3975534297621</v>
      </c>
      <c r="I187" s="30" t="n">
        <v>66.6570868609895</v>
      </c>
      <c r="J187" s="40" t="n">
        <f aca="false">(G187+H187+I187)/3</f>
        <v>36.5686010271498</v>
      </c>
      <c r="K187" s="41" t="n">
        <f aca="false">(J187-MIN(J$6:J$404))/(MAX(J$6:J$404)-MIN(J$6:J$404))*100</f>
        <v>46.0904243211286</v>
      </c>
    </row>
    <row r="188" customFormat="false" ht="15" hidden="false" customHeight="false" outlineLevel="0" collapsed="false">
      <c r="A188" s="26" t="n">
        <v>4113007</v>
      </c>
      <c r="B188" s="26" t="s">
        <v>253</v>
      </c>
      <c r="C188" s="26" t="s">
        <v>65</v>
      </c>
      <c r="D188" s="28" t="n">
        <v>0</v>
      </c>
      <c r="E188" s="28" t="n">
        <v>0.145654834761322</v>
      </c>
      <c r="F188" s="31" t="n">
        <v>0.596673154393052</v>
      </c>
      <c r="G188" s="30" t="n">
        <v>0</v>
      </c>
      <c r="H188" s="30" t="n">
        <v>19.8495788589924</v>
      </c>
      <c r="I188" s="30" t="n">
        <v>39.3624795075209</v>
      </c>
      <c r="J188" s="40" t="n">
        <f aca="false">(G188+H188+I188)/3</f>
        <v>19.7373527888378</v>
      </c>
      <c r="K188" s="41" t="n">
        <f aca="false">(J188-MIN(J$6:J$404))/(MAX(J$6:J$404)-MIN(J$6:J$404))*100</f>
        <v>19.9668998849264</v>
      </c>
    </row>
    <row r="189" customFormat="false" ht="15" hidden="false" customHeight="false" outlineLevel="0" collapsed="false">
      <c r="A189" s="26" t="n">
        <v>4113106</v>
      </c>
      <c r="B189" s="26" t="s">
        <v>254</v>
      </c>
      <c r="C189" s="26" t="s">
        <v>71</v>
      </c>
      <c r="D189" s="28" t="n">
        <v>0.0566037735849056</v>
      </c>
      <c r="E189" s="28" t="n">
        <v>0.3</v>
      </c>
      <c r="F189" s="31" t="n">
        <v>0.39997718056376</v>
      </c>
      <c r="G189" s="30" t="n">
        <v>5.66037735849057</v>
      </c>
      <c r="H189" s="30" t="n">
        <v>46.3966721140989</v>
      </c>
      <c r="I189" s="30" t="n">
        <v>72.1011030821834</v>
      </c>
      <c r="J189" s="40" t="n">
        <f aca="false">(G189+H189+I189)/3</f>
        <v>41.386050851591</v>
      </c>
      <c r="K189" s="41" t="n">
        <f aca="false">(J189-MIN(J$6:J$404))/(MAX(J$6:J$404)-MIN(J$6:J$404))*100</f>
        <v>53.5675149342006</v>
      </c>
    </row>
    <row r="190" customFormat="false" ht="15" hidden="false" customHeight="false" outlineLevel="0" collapsed="false">
      <c r="A190" s="26" t="n">
        <v>4113205</v>
      </c>
      <c r="B190" s="26" t="s">
        <v>255</v>
      </c>
      <c r="C190" s="26" t="s">
        <v>86</v>
      </c>
      <c r="D190" s="28" t="n">
        <v>0.0412371134020618</v>
      </c>
      <c r="E190" s="28" t="n">
        <v>0.206483698655369</v>
      </c>
      <c r="F190" s="31" t="n">
        <v>0.522238352798991</v>
      </c>
      <c r="G190" s="30" t="n">
        <v>4.12371134020619</v>
      </c>
      <c r="H190" s="30" t="n">
        <v>30.3120350033122</v>
      </c>
      <c r="I190" s="30" t="n">
        <v>51.7516143881239</v>
      </c>
      <c r="J190" s="40" t="n">
        <f aca="false">(G190+H190+I190)/3</f>
        <v>28.7291202438807</v>
      </c>
      <c r="K190" s="41" t="n">
        <f aca="false">(J190-MIN(J$6:J$404))/(MAX(J$6:J$404)-MIN(J$6:J$404))*100</f>
        <v>33.9228854131881</v>
      </c>
    </row>
    <row r="191" customFormat="false" ht="15" hidden="false" customHeight="false" outlineLevel="0" collapsed="false">
      <c r="A191" s="26" t="n">
        <v>4113254</v>
      </c>
      <c r="B191" s="26" t="s">
        <v>256</v>
      </c>
      <c r="C191" s="26" t="s">
        <v>65</v>
      </c>
      <c r="D191" s="28" t="n">
        <v>0.0789473684210526</v>
      </c>
      <c r="E191" s="28" t="n">
        <v>0.461091753774681</v>
      </c>
      <c r="F191" s="31" t="n">
        <v>0.319866626217917</v>
      </c>
      <c r="G191" s="30" t="n">
        <v>7.89473684210526</v>
      </c>
      <c r="H191" s="30" t="n">
        <v>74.1041665696068</v>
      </c>
      <c r="I191" s="30" t="n">
        <v>85.4349259969438</v>
      </c>
      <c r="J191" s="40" t="n">
        <f aca="false">(G191+H191+I191)/3</f>
        <v>55.8112764695519</v>
      </c>
      <c r="K191" s="41" t="n">
        <f aca="false">(J191-MIN(J$6:J$404))/(MAX(J$6:J$404)-MIN(J$6:J$404))*100</f>
        <v>75.9566882499834</v>
      </c>
    </row>
    <row r="192" customFormat="false" ht="15" hidden="false" customHeight="false" outlineLevel="0" collapsed="false">
      <c r="A192" s="26" t="n">
        <v>4113304</v>
      </c>
      <c r="B192" s="26" t="s">
        <v>257</v>
      </c>
      <c r="C192" s="26" t="s">
        <v>86</v>
      </c>
      <c r="D192" s="28" t="n">
        <v>0.025531914893617</v>
      </c>
      <c r="E192" s="28" t="n">
        <v>0.154167583021773</v>
      </c>
      <c r="F192" s="31" t="n">
        <v>0.47675243585116</v>
      </c>
      <c r="G192" s="30" t="n">
        <v>2.5531914893617</v>
      </c>
      <c r="H192" s="30" t="n">
        <v>21.3137563832962</v>
      </c>
      <c r="I192" s="30" t="n">
        <v>59.3224165957777</v>
      </c>
      <c r="J192" s="40" t="n">
        <f aca="false">(G192+H192+I192)/3</f>
        <v>27.7297881561452</v>
      </c>
      <c r="K192" s="41" t="n">
        <f aca="false">(J192-MIN(J$6:J$404))/(MAX(J$6:J$404)-MIN(J$6:J$404))*100</f>
        <v>32.3718372767572</v>
      </c>
    </row>
    <row r="193" customFormat="false" ht="15" hidden="false" customHeight="false" outlineLevel="0" collapsed="false">
      <c r="A193" s="26" t="n">
        <v>4113403</v>
      </c>
      <c r="B193" s="26" t="s">
        <v>258</v>
      </c>
      <c r="C193" s="26" t="s">
        <v>71</v>
      </c>
      <c r="D193" s="28" t="n">
        <v>0</v>
      </c>
      <c r="E193" s="28" t="n">
        <v>0.211009174311927</v>
      </c>
      <c r="F193" s="31" t="n">
        <v>0.445232278671915</v>
      </c>
      <c r="G193" s="30" t="n">
        <v>0</v>
      </c>
      <c r="H193" s="30" t="n">
        <v>31.09040874824</v>
      </c>
      <c r="I193" s="30" t="n">
        <v>64.5687190025624</v>
      </c>
      <c r="J193" s="40" t="n">
        <f aca="false">(G193+H193+I193)/3</f>
        <v>31.8863759169342</v>
      </c>
      <c r="K193" s="41" t="n">
        <f aca="false">(J193-MIN(J$6:J$404))/(MAX(J$6:J$404)-MIN(J$6:J$404))*100</f>
        <v>38.8232139306303</v>
      </c>
    </row>
    <row r="194" customFormat="false" ht="15" hidden="false" customHeight="false" outlineLevel="0" collapsed="false">
      <c r="A194" s="26" t="n">
        <v>4113429</v>
      </c>
      <c r="B194" s="26" t="s">
        <v>259</v>
      </c>
      <c r="C194" s="26" t="s">
        <v>71</v>
      </c>
      <c r="D194" s="28" t="n">
        <v>0.0285714285714285</v>
      </c>
      <c r="E194" s="28" t="n">
        <v>0.293859649122807</v>
      </c>
      <c r="F194" s="31" t="n">
        <v>0.371905472246795</v>
      </c>
      <c r="G194" s="30" t="n">
        <v>2.85714285714286</v>
      </c>
      <c r="H194" s="30" t="n">
        <v>45.3405427102149</v>
      </c>
      <c r="I194" s="30" t="n">
        <v>76.7734360933536</v>
      </c>
      <c r="J194" s="40" t="n">
        <f aca="false">(G194+H194+I194)/3</f>
        <v>41.6570405535704</v>
      </c>
      <c r="K194" s="41" t="n">
        <f aca="false">(J194-MIN(J$6:J$404))/(MAX(J$6:J$404)-MIN(J$6:J$404))*100</f>
        <v>53.9881139296753</v>
      </c>
    </row>
    <row r="195" customFormat="false" ht="15" hidden="false" customHeight="false" outlineLevel="0" collapsed="false">
      <c r="A195" s="26" t="n">
        <v>4113452</v>
      </c>
      <c r="B195" s="26" t="s">
        <v>260</v>
      </c>
      <c r="C195" s="26" t="s">
        <v>65</v>
      </c>
      <c r="D195" s="28" t="n">
        <v>0</v>
      </c>
      <c r="E195" s="28" t="n">
        <v>0.374485596707819</v>
      </c>
      <c r="F195" s="31" t="n">
        <v>0.44178966317647</v>
      </c>
      <c r="G195" s="30" t="n">
        <v>0</v>
      </c>
      <c r="H195" s="30" t="n">
        <v>59.2080619552186</v>
      </c>
      <c r="I195" s="30" t="n">
        <v>65.1417174764178</v>
      </c>
      <c r="J195" s="40" t="n">
        <f aca="false">(G195+H195+I195)/3</f>
        <v>41.4499264772121</v>
      </c>
      <c r="K195" s="41" t="n">
        <f aca="false">(J195-MIN(J$6:J$404))/(MAX(J$6:J$404)-MIN(J$6:J$404))*100</f>
        <v>53.6666553213641</v>
      </c>
    </row>
    <row r="196" customFormat="false" ht="15" hidden="false" customHeight="false" outlineLevel="0" collapsed="false">
      <c r="A196" s="26" t="n">
        <v>4113502</v>
      </c>
      <c r="B196" s="26" t="s">
        <v>261</v>
      </c>
      <c r="C196" s="26" t="s">
        <v>86</v>
      </c>
      <c r="D196" s="28" t="n">
        <v>0.0404040404040404</v>
      </c>
      <c r="E196" s="28" t="n">
        <v>0.179863147605083</v>
      </c>
      <c r="F196" s="31" t="n">
        <v>0.488254228499923</v>
      </c>
      <c r="G196" s="30" t="n">
        <v>4.04040404040404</v>
      </c>
      <c r="H196" s="30" t="n">
        <v>25.7333476816754</v>
      </c>
      <c r="I196" s="30" t="n">
        <v>57.4080263180769</v>
      </c>
      <c r="J196" s="40" t="n">
        <f aca="false">(G196+H196+I196)/3</f>
        <v>29.0605926800521</v>
      </c>
      <c r="K196" s="41" t="n">
        <f aca="false">(J196-MIN(J$6:J$404))/(MAX(J$6:J$404)-MIN(J$6:J$404))*100</f>
        <v>34.4373587406351</v>
      </c>
    </row>
    <row r="197" customFormat="false" ht="15" hidden="false" customHeight="false" outlineLevel="0" collapsed="false">
      <c r="A197" s="26" t="n">
        <v>4113601</v>
      </c>
      <c r="B197" s="26" t="s">
        <v>262</v>
      </c>
      <c r="C197" s="26" t="s">
        <v>71</v>
      </c>
      <c r="D197" s="28" t="n">
        <v>0</v>
      </c>
      <c r="E197" s="28" t="n">
        <v>0.241509433962264</v>
      </c>
      <c r="F197" s="31" t="n">
        <v>0.454204951818163</v>
      </c>
      <c r="G197" s="30" t="n">
        <v>0</v>
      </c>
      <c r="H197" s="30" t="n">
        <v>36.3363990323566</v>
      </c>
      <c r="I197" s="30" t="n">
        <v>63.0752823913564</v>
      </c>
      <c r="J197" s="40" t="n">
        <f aca="false">(G197+H197+I197)/3</f>
        <v>33.1372271412377</v>
      </c>
      <c r="K197" s="41" t="n">
        <f aca="false">(J197-MIN(J$6:J$404))/(MAX(J$6:J$404)-MIN(J$6:J$404))*100</f>
        <v>40.7646410940516</v>
      </c>
    </row>
    <row r="198" customFormat="false" ht="15" hidden="false" customHeight="false" outlineLevel="0" collapsed="false">
      <c r="A198" s="26" t="n">
        <v>4113700</v>
      </c>
      <c r="B198" s="26" t="s">
        <v>263</v>
      </c>
      <c r="C198" s="26" t="s">
        <v>264</v>
      </c>
      <c r="D198" s="28" t="n">
        <v>0.0480859010270775</v>
      </c>
      <c r="E198" s="28" t="n">
        <v>0.196722593154348</v>
      </c>
      <c r="F198" s="31" t="n">
        <v>0.628658284030034</v>
      </c>
      <c r="G198" s="30" t="n">
        <v>4.80859010270775</v>
      </c>
      <c r="H198" s="30" t="n">
        <v>28.6331422591965</v>
      </c>
      <c r="I198" s="30" t="n">
        <v>34.0387857949047</v>
      </c>
      <c r="J198" s="40" t="n">
        <f aca="false">(G198+H198+I198)/3</f>
        <v>22.4935060522696</v>
      </c>
      <c r="K198" s="41" t="n">
        <f aca="false">(J198-MIN(J$6:J$404))/(MAX(J$6:J$404)-MIN(J$6:J$404))*100</f>
        <v>24.2446834519996</v>
      </c>
    </row>
    <row r="199" customFormat="false" ht="15" hidden="false" customHeight="false" outlineLevel="0" collapsed="false">
      <c r="A199" s="26" t="n">
        <v>4113734</v>
      </c>
      <c r="B199" s="26" t="s">
        <v>265</v>
      </c>
      <c r="C199" s="26" t="s">
        <v>65</v>
      </c>
      <c r="D199" s="28" t="n">
        <v>0.0355555555555555</v>
      </c>
      <c r="E199" s="28" t="n">
        <v>0.357997823721436</v>
      </c>
      <c r="F199" s="31" t="n">
        <v>0.48213184735749</v>
      </c>
      <c r="G199" s="30" t="n">
        <v>3.55555555555556</v>
      </c>
      <c r="H199" s="30" t="n">
        <v>56.3721943958968</v>
      </c>
      <c r="I199" s="30" t="n">
        <v>58.4270524206482</v>
      </c>
      <c r="J199" s="40" t="n">
        <f aca="false">(G199+H199+I199)/3</f>
        <v>39.4516007907002</v>
      </c>
      <c r="K199" s="41" t="n">
        <f aca="false">(J199-MIN(J$6:J$404))/(MAX(J$6:J$404)-MIN(J$6:J$404))*100</f>
        <v>50.5650844120683</v>
      </c>
    </row>
    <row r="200" customFormat="false" ht="15" hidden="false" customHeight="false" outlineLevel="0" collapsed="false">
      <c r="A200" s="26" t="n">
        <v>4113759</v>
      </c>
      <c r="B200" s="26" t="s">
        <v>266</v>
      </c>
      <c r="C200" s="26" t="s">
        <v>71</v>
      </c>
      <c r="D200" s="28" t="n">
        <v>0.037037037037037</v>
      </c>
      <c r="E200" s="28" t="n">
        <v>0.344827586206897</v>
      </c>
      <c r="F200" s="31" t="n">
        <v>0.394886506053637</v>
      </c>
      <c r="G200" s="30" t="n">
        <v>3.7037037037037</v>
      </c>
      <c r="H200" s="30" t="n">
        <v>54.106937023243</v>
      </c>
      <c r="I200" s="30" t="n">
        <v>72.9484090706258</v>
      </c>
      <c r="J200" s="40" t="n">
        <f aca="false">(G200+H200+I200)/3</f>
        <v>43.5863499325241</v>
      </c>
      <c r="K200" s="41" t="n">
        <f aca="false">(J200-MIN(J$6:J$404))/(MAX(J$6:J$404)-MIN(J$6:J$404))*100</f>
        <v>56.9825656775479</v>
      </c>
    </row>
    <row r="201" customFormat="false" ht="15" hidden="false" customHeight="false" outlineLevel="0" collapsed="false">
      <c r="A201" s="26" t="n">
        <v>4113809</v>
      </c>
      <c r="B201" s="26" t="s">
        <v>267</v>
      </c>
      <c r="C201" s="26" t="s">
        <v>71</v>
      </c>
      <c r="D201" s="28" t="n">
        <v>0.03125</v>
      </c>
      <c r="E201" s="28" t="n">
        <v>0.302120141342756</v>
      </c>
      <c r="F201" s="31" t="n">
        <v>0.41357468049912</v>
      </c>
      <c r="G201" s="30" t="n">
        <v>3.125</v>
      </c>
      <c r="H201" s="30" t="n">
        <v>46.7613326452735</v>
      </c>
      <c r="I201" s="30" t="n">
        <v>69.8378974696141</v>
      </c>
      <c r="J201" s="40" t="n">
        <f aca="false">(G201+H201+I201)/3</f>
        <v>39.9080767049625</v>
      </c>
      <c r="K201" s="41" t="n">
        <f aca="false">(J201-MIN(J$6:J$404))/(MAX(J$6:J$404)-MIN(J$6:J$404))*100</f>
        <v>51.2735737369198</v>
      </c>
    </row>
    <row r="202" customFormat="false" ht="15" hidden="false" customHeight="false" outlineLevel="0" collapsed="false">
      <c r="A202" s="26" t="n">
        <v>4113908</v>
      </c>
      <c r="B202" s="26" t="s">
        <v>268</v>
      </c>
      <c r="C202" s="26" t="s">
        <v>65</v>
      </c>
      <c r="D202" s="28" t="n">
        <v>0.0084745762711864</v>
      </c>
      <c r="E202" s="28" t="n">
        <v>0.156838905775076</v>
      </c>
      <c r="F202" s="31" t="n">
        <v>0.53625280952931</v>
      </c>
      <c r="G202" s="30" t="n">
        <v>0.847457627118644</v>
      </c>
      <c r="H202" s="30" t="n">
        <v>21.7732191344408</v>
      </c>
      <c r="I202" s="30" t="n">
        <v>49.419009329845</v>
      </c>
      <c r="J202" s="40" t="n">
        <f aca="false">(G202+H202+I202)/3</f>
        <v>24.0132286971348</v>
      </c>
      <c r="K202" s="41" t="n">
        <f aca="false">(J202-MIN(J$6:J$404))/(MAX(J$6:J$404)-MIN(J$6:J$404))*100</f>
        <v>26.60342185852</v>
      </c>
    </row>
    <row r="203" customFormat="false" ht="15" hidden="false" customHeight="false" outlineLevel="0" collapsed="false">
      <c r="A203" s="26" t="n">
        <v>4114005</v>
      </c>
      <c r="B203" s="26" t="s">
        <v>269</v>
      </c>
      <c r="C203" s="26" t="s">
        <v>65</v>
      </c>
      <c r="D203" s="28" t="n">
        <v>0.15</v>
      </c>
      <c r="E203" s="28" t="n">
        <v>0.312384473197782</v>
      </c>
      <c r="F203" s="31" t="n">
        <v>0.379428490564677</v>
      </c>
      <c r="G203" s="30" t="n">
        <v>15</v>
      </c>
      <c r="H203" s="30" t="n">
        <v>48.5267794251279</v>
      </c>
      <c r="I203" s="30" t="n">
        <v>75.5212840535351</v>
      </c>
      <c r="J203" s="40" t="n">
        <f aca="false">(G203+H203+I203)/3</f>
        <v>46.3493544928877</v>
      </c>
      <c r="K203" s="41" t="n">
        <f aca="false">(J203-MIN(J$6:J$404))/(MAX(J$6:J$404)-MIN(J$6:J$404))*100</f>
        <v>61.2709830384004</v>
      </c>
    </row>
    <row r="204" customFormat="false" ht="15" hidden="false" customHeight="false" outlineLevel="0" collapsed="false">
      <c r="A204" s="26" t="n">
        <v>4114104</v>
      </c>
      <c r="B204" s="26" t="s">
        <v>270</v>
      </c>
      <c r="C204" s="26" t="s">
        <v>86</v>
      </c>
      <c r="D204" s="28" t="n">
        <v>0.0185185185185185</v>
      </c>
      <c r="E204" s="28" t="n">
        <v>0.120978404583517</v>
      </c>
      <c r="F204" s="31" t="n">
        <v>0.467491134493988</v>
      </c>
      <c r="G204" s="30" t="n">
        <v>1.85185185185185</v>
      </c>
      <c r="H204" s="30" t="n">
        <v>15.6052768614514</v>
      </c>
      <c r="I204" s="30" t="n">
        <v>60.8638932871465</v>
      </c>
      <c r="J204" s="40" t="n">
        <f aca="false">(G204+H204+I204)/3</f>
        <v>26.1070073334833</v>
      </c>
      <c r="K204" s="41" t="n">
        <f aca="false">(J204-MIN(J$6:J$404))/(MAX(J$6:J$404)-MIN(J$6:J$404))*100</f>
        <v>29.8531438396945</v>
      </c>
    </row>
    <row r="205" customFormat="false" ht="15" hidden="false" customHeight="false" outlineLevel="0" collapsed="false">
      <c r="A205" s="26" t="n">
        <v>4114203</v>
      </c>
      <c r="B205" s="26" t="s">
        <v>271</v>
      </c>
      <c r="C205" s="26" t="s">
        <v>86</v>
      </c>
      <c r="D205" s="28" t="n">
        <v>0</v>
      </c>
      <c r="E205" s="28" t="n">
        <v>0.0890829694323144</v>
      </c>
      <c r="F205" s="31" t="n">
        <v>0.594735167441845</v>
      </c>
      <c r="G205" s="30" t="n">
        <v>0</v>
      </c>
      <c r="H205" s="30" t="n">
        <v>10.1193188784993</v>
      </c>
      <c r="I205" s="30" t="n">
        <v>39.6850434322061</v>
      </c>
      <c r="J205" s="40" t="n">
        <f aca="false">(G205+H205+I205)/3</f>
        <v>16.6014541035685</v>
      </c>
      <c r="K205" s="41" t="n">
        <f aca="false">(J205-MIN(J$6:J$404))/(MAX(J$6:J$404)-MIN(J$6:J$404))*100</f>
        <v>15.0997192234462</v>
      </c>
    </row>
    <row r="206" customFormat="false" ht="15" hidden="false" customHeight="false" outlineLevel="0" collapsed="false">
      <c r="A206" s="26" t="n">
        <v>4114302</v>
      </c>
      <c r="B206" s="26" t="s">
        <v>272</v>
      </c>
      <c r="C206" s="26" t="s">
        <v>86</v>
      </c>
      <c r="D206" s="28" t="n">
        <v>0.169230769230769</v>
      </c>
      <c r="E206" s="28" t="n">
        <v>0.215071064628587</v>
      </c>
      <c r="F206" s="31" t="n">
        <v>0.462308991933146</v>
      </c>
      <c r="G206" s="30" t="n">
        <v>16.9230769230769</v>
      </c>
      <c r="H206" s="30" t="n">
        <v>31.7890466411837</v>
      </c>
      <c r="I206" s="30" t="n">
        <v>61.7264234717088</v>
      </c>
      <c r="J206" s="40" t="n">
        <f aca="false">(G206+H206+I206)/3</f>
        <v>36.8128490119898</v>
      </c>
      <c r="K206" s="41" t="n">
        <f aca="false">(J206-MIN(J$6:J$404))/(MAX(J$6:J$404)-MIN(J$6:J$404))*100</f>
        <v>46.4695179040952</v>
      </c>
    </row>
    <row r="207" customFormat="false" ht="15" hidden="false" customHeight="false" outlineLevel="0" collapsed="false">
      <c r="A207" s="26" t="n">
        <v>4114351</v>
      </c>
      <c r="B207" s="26" t="s">
        <v>273</v>
      </c>
      <c r="C207" s="26" t="s">
        <v>71</v>
      </c>
      <c r="D207" s="28" t="n">
        <v>0</v>
      </c>
      <c r="E207" s="28" t="n">
        <v>0.154494382022472</v>
      </c>
      <c r="F207" s="31" t="n">
        <v>0.414858451883686</v>
      </c>
      <c r="G207" s="30" t="n">
        <v>0</v>
      </c>
      <c r="H207" s="30" t="n">
        <v>21.3699652288005</v>
      </c>
      <c r="I207" s="30" t="n">
        <v>69.6242229988204</v>
      </c>
      <c r="J207" s="40" t="n">
        <f aca="false">(G207+H207+I207)/3</f>
        <v>30.3313960758736</v>
      </c>
      <c r="K207" s="41" t="n">
        <f aca="false">(J207-MIN(J$6:J$404))/(MAX(J$6:J$404)-MIN(J$6:J$404))*100</f>
        <v>36.4097533660548</v>
      </c>
    </row>
    <row r="208" customFormat="false" ht="15" hidden="false" customHeight="false" outlineLevel="0" collapsed="false">
      <c r="A208" s="26" t="n">
        <v>4114401</v>
      </c>
      <c r="B208" s="26" t="s">
        <v>274</v>
      </c>
      <c r="C208" s="26" t="s">
        <v>65</v>
      </c>
      <c r="D208" s="28" t="n">
        <v>0.0153846153846153</v>
      </c>
      <c r="E208" s="28" t="n">
        <v>0.263418662262593</v>
      </c>
      <c r="F208" s="31" t="n">
        <v>0.488755276249661</v>
      </c>
      <c r="G208" s="30" t="n">
        <v>1.53846153846154</v>
      </c>
      <c r="H208" s="30" t="n">
        <v>40.1047472403282</v>
      </c>
      <c r="I208" s="30" t="n">
        <v>57.3246305405617</v>
      </c>
      <c r="J208" s="40" t="n">
        <f aca="false">(G208+H208+I208)/3</f>
        <v>32.9892797731172</v>
      </c>
      <c r="K208" s="41" t="n">
        <f aca="false">(J208-MIN(J$6:J$404))/(MAX(J$6:J$404)-MIN(J$6:J$404))*100</f>
        <v>40.5350142338423</v>
      </c>
    </row>
    <row r="209" customFormat="false" ht="15" hidden="false" customHeight="false" outlineLevel="0" collapsed="false">
      <c r="A209" s="26" t="n">
        <v>4114500</v>
      </c>
      <c r="B209" s="26" t="s">
        <v>275</v>
      </c>
      <c r="C209" s="26" t="s">
        <v>65</v>
      </c>
      <c r="D209" s="28" t="n">
        <v>0.0384615384615384</v>
      </c>
      <c r="E209" s="28" t="n">
        <v>0.287769784172662</v>
      </c>
      <c r="F209" s="31" t="n">
        <v>0.467424147666881</v>
      </c>
      <c r="G209" s="30" t="n">
        <v>3.84615384615385</v>
      </c>
      <c r="H209" s="30" t="n">
        <v>44.2930967957769</v>
      </c>
      <c r="I209" s="30" t="n">
        <v>60.8750427604907</v>
      </c>
      <c r="J209" s="40" t="n">
        <f aca="false">(G209+H209+I209)/3</f>
        <v>36.3380978008071</v>
      </c>
      <c r="K209" s="41" t="n">
        <f aca="false">(J209-MIN(J$6:J$404))/(MAX(J$6:J$404)-MIN(J$6:J$404))*100</f>
        <v>45.7326637688079</v>
      </c>
    </row>
    <row r="210" customFormat="false" ht="15" hidden="false" customHeight="false" outlineLevel="0" collapsed="false">
      <c r="A210" s="26" t="n">
        <v>4114609</v>
      </c>
      <c r="B210" s="26" t="s">
        <v>276</v>
      </c>
      <c r="C210" s="26" t="s">
        <v>86</v>
      </c>
      <c r="D210" s="28" t="n">
        <v>0.0300546448087431</v>
      </c>
      <c r="E210" s="28" t="n">
        <v>0.099668233342549</v>
      </c>
      <c r="F210" s="31" t="n">
        <v>0.636931713981989</v>
      </c>
      <c r="G210" s="30" t="n">
        <v>3.00546448087432</v>
      </c>
      <c r="H210" s="30" t="n">
        <v>11.9399653996933</v>
      </c>
      <c r="I210" s="30" t="n">
        <v>32.661733160856</v>
      </c>
      <c r="J210" s="40" t="n">
        <f aca="false">(G210+H210+I210)/3</f>
        <v>15.8690543471412</v>
      </c>
      <c r="K210" s="41" t="n">
        <f aca="false">(J210-MIN(J$6:J$404))/(MAX(J$6:J$404)-MIN(J$6:J$404))*100</f>
        <v>13.962972699172</v>
      </c>
    </row>
    <row r="211" customFormat="false" ht="15" hidden="false" customHeight="false" outlineLevel="0" collapsed="false">
      <c r="A211" s="26" t="n">
        <v>4114708</v>
      </c>
      <c r="B211" s="26" t="s">
        <v>277</v>
      </c>
      <c r="C211" s="26" t="s">
        <v>65</v>
      </c>
      <c r="D211" s="28" t="n">
        <v>0</v>
      </c>
      <c r="E211" s="28" t="n">
        <v>0.274310595065312</v>
      </c>
      <c r="F211" s="31" t="n">
        <v>0.414093818511857</v>
      </c>
      <c r="G211" s="30" t="n">
        <v>0</v>
      </c>
      <c r="H211" s="30" t="n">
        <v>41.9781402643014</v>
      </c>
      <c r="I211" s="30" t="n">
        <v>69.7514906985379</v>
      </c>
      <c r="J211" s="40" t="n">
        <f aca="false">(G211+H211+I211)/3</f>
        <v>37.2432103209464</v>
      </c>
      <c r="K211" s="41" t="n">
        <f aca="false">(J211-MIN(J$6:J$404))/(MAX(J$6:J$404)-MIN(J$6:J$404))*100</f>
        <v>47.1374751471791</v>
      </c>
    </row>
    <row r="212" customFormat="false" ht="15" hidden="false" customHeight="false" outlineLevel="0" collapsed="false">
      <c r="A212" s="26" t="n">
        <v>4114807</v>
      </c>
      <c r="B212" s="26" t="s">
        <v>278</v>
      </c>
      <c r="C212" s="26" t="s">
        <v>86</v>
      </c>
      <c r="D212" s="28" t="n">
        <v>0.0528169014084507</v>
      </c>
      <c r="E212" s="28" t="n">
        <v>0.166543438077634</v>
      </c>
      <c r="F212" s="31" t="n">
        <v>0.558040950696286</v>
      </c>
      <c r="G212" s="30" t="n">
        <v>5.28169014084507</v>
      </c>
      <c r="H212" s="30" t="n">
        <v>23.4423813892792</v>
      </c>
      <c r="I212" s="30" t="n">
        <v>45.7925306675196</v>
      </c>
      <c r="J212" s="40" t="n">
        <f aca="false">(G212+H212+I212)/3</f>
        <v>24.8388673992146</v>
      </c>
      <c r="K212" s="41" t="n">
        <f aca="false">(J212-MIN(J$6:J$404))/(MAX(J$6:J$404)-MIN(J$6:J$404))*100</f>
        <v>27.8848831324475</v>
      </c>
    </row>
    <row r="213" customFormat="false" ht="15" hidden="false" customHeight="false" outlineLevel="0" collapsed="false">
      <c r="A213" s="26" t="n">
        <v>4114906</v>
      </c>
      <c r="B213" s="26" t="s">
        <v>279</v>
      </c>
      <c r="C213" s="26" t="s">
        <v>65</v>
      </c>
      <c r="D213" s="28" t="n">
        <v>0</v>
      </c>
      <c r="E213" s="28" t="n">
        <v>0.339070567986231</v>
      </c>
      <c r="F213" s="31" t="n">
        <v>0.437627535927602</v>
      </c>
      <c r="G213" s="30" t="n">
        <v>0</v>
      </c>
      <c r="H213" s="30" t="n">
        <v>53.1167401528776</v>
      </c>
      <c r="I213" s="30" t="n">
        <v>65.8344734826428</v>
      </c>
      <c r="J213" s="40" t="n">
        <f aca="false">(G213+H213+I213)/3</f>
        <v>39.6504045451735</v>
      </c>
      <c r="K213" s="41" t="n">
        <f aca="false">(J213-MIN(J$6:J$404))/(MAX(J$6:J$404)-MIN(J$6:J$404))*100</f>
        <v>50.8736446961576</v>
      </c>
    </row>
    <row r="214" customFormat="false" ht="15" hidden="false" customHeight="false" outlineLevel="0" collapsed="false">
      <c r="A214" s="26" t="n">
        <v>4115002</v>
      </c>
      <c r="B214" s="26" t="s">
        <v>280</v>
      </c>
      <c r="C214" s="26" t="s">
        <v>65</v>
      </c>
      <c r="D214" s="28" t="n">
        <v>0.032258064516129</v>
      </c>
      <c r="E214" s="28" t="n">
        <v>0.202162162162162</v>
      </c>
      <c r="F214" s="31" t="n">
        <v>0.397964002452708</v>
      </c>
      <c r="G214" s="30" t="n">
        <v>3.2258064516129</v>
      </c>
      <c r="H214" s="30" t="n">
        <v>29.5687384308986</v>
      </c>
      <c r="I214" s="30" t="n">
        <v>72.436182032115</v>
      </c>
      <c r="J214" s="40" t="n">
        <f aca="false">(G214+H214+I214)/3</f>
        <v>35.0769089715422</v>
      </c>
      <c r="K214" s="41" t="n">
        <f aca="false">(J214-MIN(J$6:J$404))/(MAX(J$6:J$404)-MIN(J$6:J$404))*100</f>
        <v>43.7751917659309</v>
      </c>
    </row>
    <row r="215" customFormat="false" ht="15" hidden="false" customHeight="false" outlineLevel="0" collapsed="false">
      <c r="A215" s="26" t="n">
        <v>4115101</v>
      </c>
      <c r="B215" s="26" t="s">
        <v>281</v>
      </c>
      <c r="C215" s="26" t="s">
        <v>65</v>
      </c>
      <c r="D215" s="28" t="n">
        <v>0.0294117647058823</v>
      </c>
      <c r="E215" s="28" t="n">
        <v>0.326666666666667</v>
      </c>
      <c r="F215" s="31" t="n">
        <v>0.406252767918288</v>
      </c>
      <c r="G215" s="30" t="n">
        <v>2.94117647058824</v>
      </c>
      <c r="H215" s="30" t="n">
        <v>50.9832912395385</v>
      </c>
      <c r="I215" s="30" t="n">
        <v>71.0565769126335</v>
      </c>
      <c r="J215" s="40" t="n">
        <f aca="false">(G215+H215+I215)/3</f>
        <v>41.6603482075867</v>
      </c>
      <c r="K215" s="41" t="n">
        <f aca="false">(J215-MIN(J$6:J$404))/(MAX(J$6:J$404)-MIN(J$6:J$404))*100</f>
        <v>53.9932476891741</v>
      </c>
    </row>
    <row r="216" customFormat="false" ht="15" hidden="false" customHeight="false" outlineLevel="0" collapsed="false">
      <c r="A216" s="26" t="n">
        <v>4115200</v>
      </c>
      <c r="B216" s="26" t="s">
        <v>282</v>
      </c>
      <c r="C216" s="26" t="s">
        <v>138</v>
      </c>
      <c r="D216" s="28" t="n">
        <v>0.0370751802265705</v>
      </c>
      <c r="E216" s="28" t="n">
        <v>0.114772017489069</v>
      </c>
      <c r="F216" s="31" t="n">
        <v>0.671675410367447</v>
      </c>
      <c r="G216" s="30" t="n">
        <v>3.70751802265706</v>
      </c>
      <c r="H216" s="30" t="n">
        <v>14.5377893459286</v>
      </c>
      <c r="I216" s="30" t="n">
        <v>26.8788959455755</v>
      </c>
      <c r="J216" s="40" t="n">
        <f aca="false">(G216+H216+I216)/3</f>
        <v>15.0414011047204</v>
      </c>
      <c r="K216" s="41" t="n">
        <f aca="false">(J216-MIN(J$6:J$404))/(MAX(J$6:J$404)-MIN(J$6:J$404))*100</f>
        <v>12.6783846878166</v>
      </c>
    </row>
    <row r="217" customFormat="false" ht="15" hidden="false" customHeight="false" outlineLevel="0" collapsed="false">
      <c r="A217" s="26" t="n">
        <v>4115309</v>
      </c>
      <c r="B217" s="26" t="s">
        <v>283</v>
      </c>
      <c r="C217" s="26" t="s">
        <v>65</v>
      </c>
      <c r="D217" s="28" t="n">
        <v>0.176470588235294</v>
      </c>
      <c r="E217" s="28" t="n">
        <v>0.169570267131243</v>
      </c>
      <c r="F217" s="31" t="n">
        <v>0.479986861063246</v>
      </c>
      <c r="G217" s="30" t="n">
        <v>17.6470588235294</v>
      </c>
      <c r="H217" s="30" t="n">
        <v>23.9629905902811</v>
      </c>
      <c r="I217" s="30" t="n">
        <v>58.7840698902635</v>
      </c>
      <c r="J217" s="40" t="n">
        <f aca="false">(G217+H217+I217)/3</f>
        <v>33.4647064346913</v>
      </c>
      <c r="K217" s="41" t="n">
        <f aca="false">(J217-MIN(J$6:J$404))/(MAX(J$6:J$404)-MIN(J$6:J$404))*100</f>
        <v>41.2729167254106</v>
      </c>
    </row>
    <row r="218" customFormat="false" ht="15" hidden="false" customHeight="false" outlineLevel="0" collapsed="false">
      <c r="A218" s="26" t="n">
        <v>4115358</v>
      </c>
      <c r="B218" s="26" t="s">
        <v>284</v>
      </c>
      <c r="C218" s="26" t="s">
        <v>65</v>
      </c>
      <c r="D218" s="28" t="n">
        <v>0</v>
      </c>
      <c r="E218" s="28" t="n">
        <v>0.107617896009674</v>
      </c>
      <c r="F218" s="31" t="n">
        <v>0.50687367860632</v>
      </c>
      <c r="G218" s="30" t="n">
        <v>0</v>
      </c>
      <c r="H218" s="30" t="n">
        <v>13.3072932058118</v>
      </c>
      <c r="I218" s="30" t="n">
        <v>54.3089533867236</v>
      </c>
      <c r="J218" s="40" t="n">
        <f aca="false">(G218+H218+I218)/3</f>
        <v>22.5387488641785</v>
      </c>
      <c r="K218" s="41" t="n">
        <f aca="false">(J218-MIN(J$6:J$404))/(MAX(J$6:J$404)-MIN(J$6:J$404))*100</f>
        <v>24.3149041323514</v>
      </c>
    </row>
    <row r="219" customFormat="false" ht="15" hidden="false" customHeight="false" outlineLevel="0" collapsed="false">
      <c r="A219" s="26" t="n">
        <v>4115408</v>
      </c>
      <c r="B219" s="26" t="s">
        <v>285</v>
      </c>
      <c r="C219" s="26" t="s">
        <v>65</v>
      </c>
      <c r="D219" s="28" t="n">
        <v>0.0418250950570342</v>
      </c>
      <c r="E219" s="28" t="n">
        <v>0.246930422919509</v>
      </c>
      <c r="F219" s="31" t="n">
        <v>0.524091647425799</v>
      </c>
      <c r="G219" s="30" t="n">
        <v>4.18250950570342</v>
      </c>
      <c r="H219" s="30" t="n">
        <v>37.2687994684852</v>
      </c>
      <c r="I219" s="30" t="n">
        <v>51.4431468888721</v>
      </c>
      <c r="J219" s="40" t="n">
        <f aca="false">(G219+H219+I219)/3</f>
        <v>30.9648186210202</v>
      </c>
      <c r="K219" s="41" t="n">
        <f aca="false">(J219-MIN(J$6:J$404))/(MAX(J$6:J$404)-MIN(J$6:J$404))*100</f>
        <v>37.3928788658566</v>
      </c>
    </row>
    <row r="220" customFormat="false" ht="15" hidden="false" customHeight="false" outlineLevel="0" collapsed="false">
      <c r="A220" s="26" t="n">
        <v>4115457</v>
      </c>
      <c r="B220" s="26" t="s">
        <v>286</v>
      </c>
      <c r="C220" s="26" t="s">
        <v>71</v>
      </c>
      <c r="D220" s="28" t="n">
        <v>0</v>
      </c>
      <c r="E220" s="28" t="n">
        <v>0.376395534290271</v>
      </c>
      <c r="F220" s="31" t="n">
        <v>0.457936686905581</v>
      </c>
      <c r="G220" s="30" t="n">
        <v>0</v>
      </c>
      <c r="H220" s="30" t="n">
        <v>59.5365678143712</v>
      </c>
      <c r="I220" s="30" t="n">
        <v>62.4541620505132</v>
      </c>
      <c r="J220" s="40" t="n">
        <f aca="false">(G220+H220+I220)/3</f>
        <v>40.6635766216281</v>
      </c>
      <c r="K220" s="41" t="n">
        <f aca="false">(J220-MIN(J$6:J$404))/(MAX(J$6:J$404)-MIN(J$6:J$404))*100</f>
        <v>52.4461736686134</v>
      </c>
    </row>
    <row r="221" customFormat="false" ht="15" hidden="false" customHeight="false" outlineLevel="0" collapsed="false">
      <c r="A221" s="26" t="n">
        <v>4115507</v>
      </c>
      <c r="B221" s="26" t="s">
        <v>287</v>
      </c>
      <c r="C221" s="26" t="s">
        <v>71</v>
      </c>
      <c r="D221" s="28" t="n">
        <v>0</v>
      </c>
      <c r="E221" s="28" t="n">
        <v>0.230103806228374</v>
      </c>
      <c r="F221" s="31" t="n">
        <v>0.426608604261943</v>
      </c>
      <c r="G221" s="30" t="n">
        <v>0</v>
      </c>
      <c r="H221" s="30" t="n">
        <v>34.3746513960352</v>
      </c>
      <c r="I221" s="30" t="n">
        <v>67.6684950387222</v>
      </c>
      <c r="J221" s="40" t="n">
        <f aca="false">(G221+H221+I221)/3</f>
        <v>34.0143821449191</v>
      </c>
      <c r="K221" s="41" t="n">
        <f aca="false">(J221-MIN(J$6:J$404))/(MAX(J$6:J$404)-MIN(J$6:J$404))*100</f>
        <v>42.1260600362814</v>
      </c>
    </row>
    <row r="222" customFormat="false" ht="15" hidden="false" customHeight="false" outlineLevel="0" collapsed="false">
      <c r="A222" s="26" t="n">
        <v>4115606</v>
      </c>
      <c r="B222" s="26" t="s">
        <v>288</v>
      </c>
      <c r="C222" s="26" t="s">
        <v>65</v>
      </c>
      <c r="D222" s="28" t="n">
        <v>0.0206185567010309</v>
      </c>
      <c r="E222" s="28" t="n">
        <v>0.0720149253731343</v>
      </c>
      <c r="F222" s="31" t="n">
        <v>0.639773958334607</v>
      </c>
      <c r="G222" s="30" t="n">
        <v>2.06185567010309</v>
      </c>
      <c r="H222" s="30" t="n">
        <v>7.18364572916135</v>
      </c>
      <c r="I222" s="30" t="n">
        <v>32.1886621256128</v>
      </c>
      <c r="J222" s="40" t="n">
        <f aca="false">(G222+H222+I222)/3</f>
        <v>13.8113878416258</v>
      </c>
      <c r="K222" s="41" t="n">
        <f aca="false">(J222-MIN(J$6:J$404))/(MAX(J$6:J$404)-MIN(J$6:J$404))*100</f>
        <v>10.7692998071026</v>
      </c>
    </row>
    <row r="223" customFormat="false" ht="15" hidden="false" customHeight="false" outlineLevel="0" collapsed="false">
      <c r="A223" s="26" t="n">
        <v>4115705</v>
      </c>
      <c r="B223" s="26" t="s">
        <v>289</v>
      </c>
      <c r="C223" s="26" t="s">
        <v>86</v>
      </c>
      <c r="D223" s="28" t="n">
        <v>0.0344827586206896</v>
      </c>
      <c r="E223" s="28" t="n">
        <v>0.21726618705036</v>
      </c>
      <c r="F223" s="31" t="n">
        <v>0.454941034570066</v>
      </c>
      <c r="G223" s="30" t="n">
        <v>3.44827586206897</v>
      </c>
      <c r="H223" s="30" t="n">
        <v>32.1666037842731</v>
      </c>
      <c r="I223" s="30" t="n">
        <v>62.952766736027</v>
      </c>
      <c r="J223" s="40" t="n">
        <f aca="false">(G223+H223+I223)/3</f>
        <v>32.8558821274564</v>
      </c>
      <c r="K223" s="41" t="n">
        <f aca="false">(J223-MIN(J$6:J$404))/(MAX(J$6:J$404)-MIN(J$6:J$404))*100</f>
        <v>40.3279697766035</v>
      </c>
    </row>
    <row r="224" customFormat="false" ht="15" hidden="false" customHeight="false" outlineLevel="0" collapsed="false">
      <c r="A224" s="26" t="n">
        <v>4115739</v>
      </c>
      <c r="B224" s="26" t="s">
        <v>290</v>
      </c>
      <c r="C224" s="26" t="s">
        <v>71</v>
      </c>
      <c r="D224" s="28" t="n">
        <v>0.0344827586206896</v>
      </c>
      <c r="E224" s="28" t="n">
        <v>0.392307692307692</v>
      </c>
      <c r="F224" s="31" t="n">
        <v>0.377074790509339</v>
      </c>
      <c r="G224" s="30" t="n">
        <v>3.44827586206897</v>
      </c>
      <c r="H224" s="30" t="n">
        <v>62.2734306252357</v>
      </c>
      <c r="I224" s="30" t="n">
        <v>75.9130404205782</v>
      </c>
      <c r="J224" s="40" t="n">
        <f aca="false">(G224+H224+I224)/3</f>
        <v>47.2115823026276</v>
      </c>
      <c r="K224" s="41" t="n">
        <f aca="false">(J224-MIN(J$6:J$404))/(MAX(J$6:J$404)-MIN(J$6:J$404))*100</f>
        <v>62.6092337099129</v>
      </c>
    </row>
    <row r="225" customFormat="false" ht="15" hidden="false" customHeight="false" outlineLevel="0" collapsed="false">
      <c r="A225" s="26" t="n">
        <v>4115754</v>
      </c>
      <c r="B225" s="26" t="s">
        <v>291</v>
      </c>
      <c r="C225" s="26" t="s">
        <v>65</v>
      </c>
      <c r="D225" s="28" t="n">
        <v>0</v>
      </c>
      <c r="E225" s="28" t="n">
        <v>0.325349301397206</v>
      </c>
      <c r="F225" s="31" t="n">
        <v>0.440085308040039</v>
      </c>
      <c r="G225" s="30" t="n">
        <v>0</v>
      </c>
      <c r="H225" s="30" t="n">
        <v>50.7567067617847</v>
      </c>
      <c r="I225" s="30" t="n">
        <v>65.4253950736907</v>
      </c>
      <c r="J225" s="40" t="n">
        <f aca="false">(G225+H225+I225)/3</f>
        <v>38.7273672784918</v>
      </c>
      <c r="K225" s="41" t="n">
        <f aca="false">(J225-MIN(J$6:J$404))/(MAX(J$6:J$404)-MIN(J$6:J$404))*100</f>
        <v>49.4410125912614</v>
      </c>
    </row>
    <row r="226" customFormat="false" ht="15" hidden="false" customHeight="false" outlineLevel="0" collapsed="false">
      <c r="A226" s="26" t="n">
        <v>4115804</v>
      </c>
      <c r="B226" s="26" t="s">
        <v>292</v>
      </c>
      <c r="C226" s="26" t="s">
        <v>86</v>
      </c>
      <c r="D226" s="28" t="n">
        <v>0.0156006240249609</v>
      </c>
      <c r="E226" s="28" t="n">
        <v>0.105693309322621</v>
      </c>
      <c r="F226" s="31" t="n">
        <v>0.696641785849118</v>
      </c>
      <c r="G226" s="30" t="n">
        <v>1.5600624024961</v>
      </c>
      <c r="H226" s="30" t="n">
        <v>12.9762677267842</v>
      </c>
      <c r="I226" s="30" t="n">
        <v>22.7234231465872</v>
      </c>
      <c r="J226" s="40" t="n">
        <f aca="false">(G226+H226+I226)/3</f>
        <v>12.4199177586225</v>
      </c>
      <c r="K226" s="41" t="n">
        <f aca="false">(J226-MIN(J$6:J$404))/(MAX(J$6:J$404)-MIN(J$6:J$404))*100</f>
        <v>8.60962025149858</v>
      </c>
    </row>
    <row r="227" customFormat="false" ht="15" hidden="false" customHeight="false" outlineLevel="0" collapsed="false">
      <c r="A227" s="26" t="n">
        <v>4115853</v>
      </c>
      <c r="B227" s="26" t="s">
        <v>293</v>
      </c>
      <c r="C227" s="26" t="s">
        <v>65</v>
      </c>
      <c r="D227" s="28" t="n">
        <v>0</v>
      </c>
      <c r="E227" s="28" t="n">
        <v>0.0882758620689655</v>
      </c>
      <c r="F227" s="31" t="n">
        <v>0.511620691923626</v>
      </c>
      <c r="G227" s="30" t="n">
        <v>0</v>
      </c>
      <c r="H227" s="30" t="n">
        <v>9.98049785091112</v>
      </c>
      <c r="I227" s="30" t="n">
        <v>53.5188473206276</v>
      </c>
      <c r="J227" s="40" t="n">
        <f aca="false">(G227+H227+I227)/3</f>
        <v>21.1664483905129</v>
      </c>
      <c r="K227" s="41" t="n">
        <f aca="false">(J227-MIN(J$6:J$404))/(MAX(J$6:J$404)-MIN(J$6:J$404))*100</f>
        <v>22.1849774358861</v>
      </c>
    </row>
    <row r="228" customFormat="false" ht="15" hidden="false" customHeight="false" outlineLevel="0" collapsed="false">
      <c r="A228" s="26" t="n">
        <v>4115903</v>
      </c>
      <c r="B228" s="26" t="s">
        <v>294</v>
      </c>
      <c r="C228" s="26" t="s">
        <v>71</v>
      </c>
      <c r="D228" s="28" t="n">
        <v>0</v>
      </c>
      <c r="E228" s="28" t="n">
        <v>0.28023598820059</v>
      </c>
      <c r="F228" s="31" t="n">
        <v>0.483629220040209</v>
      </c>
      <c r="G228" s="30" t="n">
        <v>0</v>
      </c>
      <c r="H228" s="30" t="n">
        <v>42.997297319802</v>
      </c>
      <c r="I228" s="30" t="n">
        <v>58.1778255571992</v>
      </c>
      <c r="J228" s="40" t="n">
        <f aca="false">(G228+H228+I228)/3</f>
        <v>33.7250409590004</v>
      </c>
      <c r="K228" s="41" t="n">
        <f aca="false">(J228-MIN(J$6:J$404))/(MAX(J$6:J$404)-MIN(J$6:J$404))*100</f>
        <v>41.6769779816574</v>
      </c>
    </row>
    <row r="229" customFormat="false" ht="15" hidden="false" customHeight="false" outlineLevel="0" collapsed="false">
      <c r="A229" s="26" t="n">
        <v>4116000</v>
      </c>
      <c r="B229" s="26" t="s">
        <v>295</v>
      </c>
      <c r="C229" s="26" t="s">
        <v>71</v>
      </c>
      <c r="D229" s="28" t="n">
        <v>0</v>
      </c>
      <c r="E229" s="28" t="n">
        <v>0.213636363636364</v>
      </c>
      <c r="F229" s="31" t="n">
        <v>0.431173166315015</v>
      </c>
      <c r="G229" s="30" t="n">
        <v>0</v>
      </c>
      <c r="H229" s="30" t="n">
        <v>31.5422806283005</v>
      </c>
      <c r="I229" s="30" t="n">
        <v>66.9087566672169</v>
      </c>
      <c r="J229" s="40" t="n">
        <f aca="false">(G229+H229+I229)/3</f>
        <v>32.8170124318392</v>
      </c>
      <c r="K229" s="41" t="n">
        <f aca="false">(J229-MIN(J$6:J$404))/(MAX(J$6:J$404)-MIN(J$6:J$404))*100</f>
        <v>40.2676407131314</v>
      </c>
    </row>
    <row r="230" customFormat="false" ht="15" hidden="false" customHeight="false" outlineLevel="0" collapsed="false">
      <c r="A230" s="26" t="n">
        <v>4116059</v>
      </c>
      <c r="B230" s="26" t="s">
        <v>296</v>
      </c>
      <c r="C230" s="26" t="s">
        <v>65</v>
      </c>
      <c r="D230" s="28" t="n">
        <v>0.0238095238095238</v>
      </c>
      <c r="E230" s="28" t="n">
        <v>0.23533950617284</v>
      </c>
      <c r="F230" s="31" t="n">
        <v>0.488000404273752</v>
      </c>
      <c r="G230" s="30" t="n">
        <v>2.38095238095238</v>
      </c>
      <c r="H230" s="30" t="n">
        <v>35.2751824522983</v>
      </c>
      <c r="I230" s="30" t="n">
        <v>57.4502735264612</v>
      </c>
      <c r="J230" s="40" t="n">
        <f aca="false">(G230+H230+I230)/3</f>
        <v>31.702136119904</v>
      </c>
      <c r="K230" s="41" t="n">
        <f aca="false">(J230-MIN(J$6:J$404))/(MAX(J$6:J$404)-MIN(J$6:J$404))*100</f>
        <v>38.5372581434128</v>
      </c>
    </row>
    <row r="231" customFormat="false" ht="15" hidden="false" customHeight="false" outlineLevel="0" collapsed="false">
      <c r="A231" s="26" t="n">
        <v>4116109</v>
      </c>
      <c r="B231" s="26" t="s">
        <v>297</v>
      </c>
      <c r="C231" s="26" t="s">
        <v>65</v>
      </c>
      <c r="D231" s="28" t="n">
        <v>0.0303030303030303</v>
      </c>
      <c r="E231" s="28" t="n">
        <v>0.324132492113565</v>
      </c>
      <c r="F231" s="31" t="n">
        <v>0.42655626933417</v>
      </c>
      <c r="G231" s="30" t="n">
        <v>3.03030303030303</v>
      </c>
      <c r="H231" s="30" t="n">
        <v>50.5474177343212</v>
      </c>
      <c r="I231" s="30" t="n">
        <v>67.6772058092926</v>
      </c>
      <c r="J231" s="40" t="n">
        <f aca="false">(G231+H231+I231)/3</f>
        <v>40.4183088579723</v>
      </c>
      <c r="K231" s="41" t="n">
        <f aca="false">(J231-MIN(J$6:J$404))/(MAX(J$6:J$404)-MIN(J$6:J$404))*100</f>
        <v>52.0654973024547</v>
      </c>
    </row>
    <row r="232" customFormat="false" ht="15" hidden="false" customHeight="false" outlineLevel="0" collapsed="false">
      <c r="A232" s="26" t="n">
        <v>4116208</v>
      </c>
      <c r="B232" s="26" t="s">
        <v>298</v>
      </c>
      <c r="C232" s="26" t="s">
        <v>65</v>
      </c>
      <c r="D232" s="28" t="n">
        <v>0.0303030303030303</v>
      </c>
      <c r="E232" s="28" t="n">
        <v>0.295990078544853</v>
      </c>
      <c r="F232" s="31" t="n">
        <v>0.391755017063348</v>
      </c>
      <c r="G232" s="30" t="n">
        <v>3.03030303030303</v>
      </c>
      <c r="H232" s="30" t="n">
        <v>45.7069727726857</v>
      </c>
      <c r="I232" s="30" t="n">
        <v>73.4696227858096</v>
      </c>
      <c r="J232" s="40" t="n">
        <f aca="false">(G232+H232+I232)/3</f>
        <v>40.7356328629328</v>
      </c>
      <c r="K232" s="41" t="n">
        <f aca="false">(J232-MIN(J$6:J$404))/(MAX(J$6:J$404)-MIN(J$6:J$404))*100</f>
        <v>52.5580110649759</v>
      </c>
    </row>
    <row r="233" customFormat="false" ht="15" hidden="false" customHeight="false" outlineLevel="0" collapsed="false">
      <c r="A233" s="26" t="n">
        <v>4116307</v>
      </c>
      <c r="B233" s="26" t="s">
        <v>299</v>
      </c>
      <c r="C233" s="26" t="s">
        <v>71</v>
      </c>
      <c r="D233" s="28" t="n">
        <v>0</v>
      </c>
      <c r="E233" s="28" t="n">
        <v>0.245098039215686</v>
      </c>
      <c r="F233" s="31" t="n">
        <v>0.396484910991143</v>
      </c>
      <c r="G233" s="30" t="n">
        <v>0</v>
      </c>
      <c r="H233" s="30" t="n">
        <v>36.9536327381941</v>
      </c>
      <c r="I233" s="30" t="n">
        <v>72.6823661183978</v>
      </c>
      <c r="J233" s="40" t="n">
        <f aca="false">(G233+H233+I233)/3</f>
        <v>36.5453329521973</v>
      </c>
      <c r="K233" s="41" t="n">
        <f aca="false">(J233-MIN(J$6:J$404))/(MAX(J$6:J$404)-MIN(J$6:J$404))*100</f>
        <v>46.0543102958348</v>
      </c>
    </row>
    <row r="234" customFormat="false" ht="15" hidden="false" customHeight="false" outlineLevel="0" collapsed="false">
      <c r="A234" s="26" t="n">
        <v>4116406</v>
      </c>
      <c r="B234" s="26" t="s">
        <v>300</v>
      </c>
      <c r="C234" s="26" t="s">
        <v>71</v>
      </c>
      <c r="D234" s="28" t="n">
        <v>0.0588235294117647</v>
      </c>
      <c r="E234" s="28" t="n">
        <v>0.166666666666667</v>
      </c>
      <c r="F234" s="31" t="n">
        <v>0.396647397894998</v>
      </c>
      <c r="G234" s="30" t="n">
        <v>5.88235294117647</v>
      </c>
      <c r="H234" s="30" t="n">
        <v>23.4635764869014</v>
      </c>
      <c r="I234" s="30" t="n">
        <v>72.6553213473353</v>
      </c>
      <c r="J234" s="40" t="n">
        <f aca="false">(G234+H234+I234)/3</f>
        <v>34.0004169251377</v>
      </c>
      <c r="K234" s="41" t="n">
        <f aca="false">(J234-MIN(J$6:J$404))/(MAX(J$6:J$404)-MIN(J$6:J$404))*100</f>
        <v>42.1043848310292</v>
      </c>
    </row>
    <row r="235" customFormat="false" ht="15" hidden="false" customHeight="false" outlineLevel="0" collapsed="false">
      <c r="A235" s="26" t="n">
        <v>4116505</v>
      </c>
      <c r="B235" s="26" t="s">
        <v>301</v>
      </c>
      <c r="C235" s="26" t="s">
        <v>71</v>
      </c>
      <c r="D235" s="28" t="n">
        <v>0</v>
      </c>
      <c r="E235" s="28" t="n">
        <v>0.225609756097561</v>
      </c>
      <c r="F235" s="31" t="n">
        <v>0.419301763196141</v>
      </c>
      <c r="G235" s="30" t="n">
        <v>0</v>
      </c>
      <c r="H235" s="30" t="n">
        <v>33.6016827855101</v>
      </c>
      <c r="I235" s="30" t="n">
        <v>68.8846659369674</v>
      </c>
      <c r="J235" s="40" t="n">
        <f aca="false">(G235+H235+I235)/3</f>
        <v>34.1621162408258</v>
      </c>
      <c r="K235" s="41" t="n">
        <f aca="false">(J235-MIN(J$6:J$404))/(MAX(J$6:J$404)-MIN(J$6:J$404))*100</f>
        <v>42.355355879931</v>
      </c>
    </row>
    <row r="236" customFormat="false" ht="15" hidden="false" customHeight="false" outlineLevel="0" collapsed="false">
      <c r="A236" s="26" t="n">
        <v>4116604</v>
      </c>
      <c r="B236" s="26" t="s">
        <v>302</v>
      </c>
      <c r="C236" s="26" t="s">
        <v>71</v>
      </c>
      <c r="D236" s="28" t="n">
        <v>0</v>
      </c>
      <c r="E236" s="28" t="n">
        <v>0.310810810810811</v>
      </c>
      <c r="F236" s="31" t="n">
        <v>0.453636699639402</v>
      </c>
      <c r="G236" s="30" t="n">
        <v>0</v>
      </c>
      <c r="H236" s="30" t="n">
        <v>48.2561123000879</v>
      </c>
      <c r="I236" s="30" t="n">
        <v>63.1698638604823</v>
      </c>
      <c r="J236" s="40" t="n">
        <f aca="false">(G236+H236+I236)/3</f>
        <v>37.1419920535234</v>
      </c>
      <c r="K236" s="41" t="n">
        <f aca="false">(J236-MIN(J$6:J$404))/(MAX(J$6:J$404)-MIN(J$6:J$404))*100</f>
        <v>46.9803758135482</v>
      </c>
    </row>
    <row r="237" customFormat="false" ht="15" hidden="false" customHeight="false" outlineLevel="0" collapsed="false">
      <c r="A237" s="26" t="n">
        <v>4116703</v>
      </c>
      <c r="B237" s="26" t="s">
        <v>303</v>
      </c>
      <c r="C237" s="26" t="s">
        <v>65</v>
      </c>
      <c r="D237" s="28" t="n">
        <v>0.0181818181818181</v>
      </c>
      <c r="E237" s="28" t="n">
        <v>0.139172487909726</v>
      </c>
      <c r="F237" s="31" t="n">
        <v>0.512017070287251</v>
      </c>
      <c r="G237" s="30" t="n">
        <v>1.81818181818182</v>
      </c>
      <c r="H237" s="30" t="n">
        <v>18.73462675722</v>
      </c>
      <c r="I237" s="30" t="n">
        <v>53.4528730061195</v>
      </c>
      <c r="J237" s="40" t="n">
        <f aca="false">(G237+H237+I237)/3</f>
        <v>24.6685605271738</v>
      </c>
      <c r="K237" s="41" t="n">
        <f aca="false">(J237-MIN(J$6:J$404))/(MAX(J$6:J$404)-MIN(J$6:J$404))*100</f>
        <v>27.6205524262266</v>
      </c>
    </row>
    <row r="238" customFormat="false" ht="15" hidden="false" customHeight="false" outlineLevel="0" collapsed="false">
      <c r="A238" s="26" t="n">
        <v>4116802</v>
      </c>
      <c r="B238" s="26" t="s">
        <v>304</v>
      </c>
      <c r="C238" s="26" t="s">
        <v>65</v>
      </c>
      <c r="D238" s="28" t="n">
        <v>0</v>
      </c>
      <c r="E238" s="28" t="n">
        <v>0.374854481955763</v>
      </c>
      <c r="F238" s="31" t="n">
        <v>0.416287905377903</v>
      </c>
      <c r="G238" s="30" t="n">
        <v>0</v>
      </c>
      <c r="H238" s="30" t="n">
        <v>59.2715095602177</v>
      </c>
      <c r="I238" s="30" t="n">
        <v>69.3863007935327</v>
      </c>
      <c r="J238" s="40" t="n">
        <f aca="false">(G238+H238+I238)/3</f>
        <v>42.8859367845835</v>
      </c>
      <c r="K238" s="41" t="n">
        <f aca="false">(J238-MIN(J$6:J$404))/(MAX(J$6:J$404)-MIN(J$6:J$404))*100</f>
        <v>55.8954650818823</v>
      </c>
    </row>
    <row r="239" customFormat="false" ht="15" hidden="false" customHeight="false" outlineLevel="0" collapsed="false">
      <c r="A239" s="26" t="n">
        <v>4116901</v>
      </c>
      <c r="B239" s="26" t="s">
        <v>305</v>
      </c>
      <c r="C239" s="26" t="s">
        <v>86</v>
      </c>
      <c r="D239" s="28" t="n">
        <v>0.0112994350282485</v>
      </c>
      <c r="E239" s="28" t="n">
        <v>0.23503041946846</v>
      </c>
      <c r="F239" s="31" t="n">
        <v>0.468112771759115</v>
      </c>
      <c r="G239" s="30" t="n">
        <v>1.12994350282486</v>
      </c>
      <c r="H239" s="30" t="n">
        <v>35.2220200901835</v>
      </c>
      <c r="I239" s="30" t="n">
        <v>60.7604262561404</v>
      </c>
      <c r="J239" s="40" t="n">
        <f aca="false">(G239+H239+I239)/3</f>
        <v>32.3707966163829</v>
      </c>
      <c r="K239" s="41" t="n">
        <f aca="false">(J239-MIN(J$6:J$404))/(MAX(J$6:J$404)-MIN(J$6:J$404))*100</f>
        <v>39.5750759316105</v>
      </c>
    </row>
    <row r="240" customFormat="false" ht="15" hidden="false" customHeight="false" outlineLevel="0" collapsed="false">
      <c r="A240" s="26" t="n">
        <v>4116950</v>
      </c>
      <c r="B240" s="26" t="s">
        <v>306</v>
      </c>
      <c r="C240" s="26" t="s">
        <v>65</v>
      </c>
      <c r="D240" s="28" t="n">
        <v>0.0925925925925925</v>
      </c>
      <c r="E240" s="28" t="n">
        <v>0.15521978021978</v>
      </c>
      <c r="F240" s="31" t="n">
        <v>0.449443088003142</v>
      </c>
      <c r="G240" s="30" t="n">
        <v>9.25925925925926</v>
      </c>
      <c r="H240" s="30" t="n">
        <v>21.4947324255005</v>
      </c>
      <c r="I240" s="30" t="n">
        <v>63.8678602154917</v>
      </c>
      <c r="J240" s="40" t="n">
        <f aca="false">(G240+H240+I240)/3</f>
        <v>31.5406173000838</v>
      </c>
      <c r="K240" s="41" t="n">
        <f aca="false">(J240-MIN(J$6:J$404))/(MAX(J$6:J$404)-MIN(J$6:J$404))*100</f>
        <v>38.2865672394029</v>
      </c>
    </row>
    <row r="241" customFormat="false" ht="15" hidden="false" customHeight="false" outlineLevel="0" collapsed="false">
      <c r="A241" s="26" t="n">
        <v>4117008</v>
      </c>
      <c r="B241" s="26" t="s">
        <v>307</v>
      </c>
      <c r="C241" s="26" t="s">
        <v>65</v>
      </c>
      <c r="D241" s="28" t="n">
        <v>0.166666666666667</v>
      </c>
      <c r="E241" s="28" t="n">
        <v>0.242197253433209</v>
      </c>
      <c r="F241" s="31" t="n">
        <v>0.420487901617766</v>
      </c>
      <c r="G241" s="30" t="n">
        <v>16.6666666666667</v>
      </c>
      <c r="H241" s="30" t="n">
        <v>36.4547027551172</v>
      </c>
      <c r="I241" s="30" t="n">
        <v>68.6872417673872</v>
      </c>
      <c r="J241" s="40" t="n">
        <f aca="false">(G241+H241+I241)/3</f>
        <v>40.6028703963904</v>
      </c>
      <c r="K241" s="41" t="n">
        <f aca="false">(J241-MIN(J$6:J$404))/(MAX(J$6:J$404)-MIN(J$6:J$404))*100</f>
        <v>52.3519524595875</v>
      </c>
    </row>
    <row r="242" customFormat="false" ht="15" hidden="false" customHeight="false" outlineLevel="0" collapsed="false">
      <c r="A242" s="26" t="n">
        <v>4117057</v>
      </c>
      <c r="B242" s="26" t="s">
        <v>308</v>
      </c>
      <c r="C242" s="26" t="s">
        <v>65</v>
      </c>
      <c r="D242" s="28" t="n">
        <v>0.0272727272727272</v>
      </c>
      <c r="E242" s="28" t="n">
        <v>0.408814589665654</v>
      </c>
      <c r="F242" s="31" t="n">
        <v>0.430358538898012</v>
      </c>
      <c r="G242" s="30" t="n">
        <v>2.72727272727273</v>
      </c>
      <c r="H242" s="30" t="n">
        <v>65.1125875423741</v>
      </c>
      <c r="I242" s="30" t="n">
        <v>67.0443455145108</v>
      </c>
      <c r="J242" s="40" t="n">
        <f aca="false">(G242+H242+I242)/3</f>
        <v>44.9614019280526</v>
      </c>
      <c r="K242" s="41" t="n">
        <f aca="false">(J242-MIN(J$6:J$404))/(MAX(J$6:J$404)-MIN(J$6:J$404))*100</f>
        <v>59.1167629692538</v>
      </c>
    </row>
    <row r="243" customFormat="false" ht="15" hidden="false" customHeight="false" outlineLevel="0" collapsed="false">
      <c r="A243" s="26" t="n">
        <v>4117107</v>
      </c>
      <c r="B243" s="26" t="s">
        <v>309</v>
      </c>
      <c r="C243" s="26" t="s">
        <v>65</v>
      </c>
      <c r="D243" s="28" t="n">
        <v>0.0327868852459016</v>
      </c>
      <c r="E243" s="28" t="n">
        <v>0.213066509711595</v>
      </c>
      <c r="F243" s="31" t="n">
        <v>0.517519167063536</v>
      </c>
      <c r="G243" s="30" t="n">
        <v>3.27868852459016</v>
      </c>
      <c r="H243" s="30" t="n">
        <v>31.4442667691737</v>
      </c>
      <c r="I243" s="30" t="n">
        <v>52.5370887542951</v>
      </c>
      <c r="J243" s="40" t="n">
        <f aca="false">(G243+H243+I243)/3</f>
        <v>29.086681349353</v>
      </c>
      <c r="K243" s="41" t="n">
        <f aca="false">(J243-MIN(J$6:J$404))/(MAX(J$6:J$404)-MIN(J$6:J$404))*100</f>
        <v>34.4778505675239</v>
      </c>
    </row>
    <row r="244" customFormat="false" ht="15" hidden="false" customHeight="false" outlineLevel="0" collapsed="false">
      <c r="A244" s="26" t="n">
        <v>4117206</v>
      </c>
      <c r="B244" s="26" t="s">
        <v>310</v>
      </c>
      <c r="C244" s="26" t="s">
        <v>65</v>
      </c>
      <c r="D244" s="28" t="n">
        <v>0</v>
      </c>
      <c r="E244" s="28" t="n">
        <v>0.227405247813411</v>
      </c>
      <c r="F244" s="31" t="n">
        <v>0.431476157540825</v>
      </c>
      <c r="G244" s="30" t="n">
        <v>0</v>
      </c>
      <c r="H244" s="30" t="n">
        <v>33.9105041596408</v>
      </c>
      <c r="I244" s="30" t="n">
        <v>66.8583259670094</v>
      </c>
      <c r="J244" s="40" t="n">
        <f aca="false">(G244+H244+I244)/3</f>
        <v>33.5896100422167</v>
      </c>
      <c r="K244" s="41" t="n">
        <f aca="false">(J244-MIN(J$6:J$404))/(MAX(J$6:J$404)-MIN(J$6:J$404))*100</f>
        <v>41.466777715229</v>
      </c>
    </row>
    <row r="245" customFormat="false" ht="15" hidden="false" customHeight="false" outlineLevel="0" collapsed="false">
      <c r="A245" s="26" t="n">
        <v>4117255</v>
      </c>
      <c r="B245" s="26" t="s">
        <v>311</v>
      </c>
      <c r="C245" s="26" t="s">
        <v>65</v>
      </c>
      <c r="D245" s="28" t="n">
        <v>0</v>
      </c>
      <c r="E245" s="28" t="n">
        <v>0.144329896907216</v>
      </c>
      <c r="F245" s="31" t="n">
        <v>0.451063157014869</v>
      </c>
      <c r="G245" s="30" t="n">
        <v>0</v>
      </c>
      <c r="H245" s="30" t="n">
        <v>19.6216919101802</v>
      </c>
      <c r="I245" s="30" t="n">
        <v>63.598211434648</v>
      </c>
      <c r="J245" s="40" t="n">
        <f aca="false">(G245+H245+I245)/3</f>
        <v>27.7399677816094</v>
      </c>
      <c r="K245" s="41" t="n">
        <f aca="false">(J245-MIN(J$6:J$404))/(MAX(J$6:J$404)-MIN(J$6:J$404))*100</f>
        <v>32.3876369186376</v>
      </c>
    </row>
    <row r="246" customFormat="false" ht="15" hidden="false" customHeight="false" outlineLevel="0" collapsed="false">
      <c r="A246" s="26" t="n">
        <v>4117214</v>
      </c>
      <c r="B246" s="26" t="s">
        <v>312</v>
      </c>
      <c r="C246" s="26" t="s">
        <v>71</v>
      </c>
      <c r="D246" s="28" t="n">
        <v>0.0793650793650793</v>
      </c>
      <c r="E246" s="28" t="n">
        <v>0.358928571428571</v>
      </c>
      <c r="F246" s="31" t="n">
        <v>0.386987265845214</v>
      </c>
      <c r="G246" s="30" t="n">
        <v>7.93650793650794</v>
      </c>
      <c r="H246" s="30" t="n">
        <v>56.5322813421907</v>
      </c>
      <c r="I246" s="30" t="n">
        <v>74.2631805256523</v>
      </c>
      <c r="J246" s="40" t="n">
        <f aca="false">(G246+H246+I246)/3</f>
        <v>46.2439899347837</v>
      </c>
      <c r="K246" s="41" t="n">
        <f aca="false">(J246-MIN(J$6:J$404))/(MAX(J$6:J$404)-MIN(J$6:J$404))*100</f>
        <v>61.1074483100566</v>
      </c>
    </row>
    <row r="247" customFormat="false" ht="15" hidden="false" customHeight="false" outlineLevel="0" collapsed="false">
      <c r="A247" s="26" t="n">
        <v>4117222</v>
      </c>
      <c r="B247" s="26" t="s">
        <v>313</v>
      </c>
      <c r="C247" s="26" t="s">
        <v>65</v>
      </c>
      <c r="D247" s="28" t="n">
        <v>0.0476190476190476</v>
      </c>
      <c r="E247" s="28" t="n">
        <v>0.135009310986965</v>
      </c>
      <c r="F247" s="31" t="n">
        <v>0.511196397189833</v>
      </c>
      <c r="G247" s="30" t="n">
        <v>4.76190476190476</v>
      </c>
      <c r="H247" s="30" t="n">
        <v>18.0185677486003</v>
      </c>
      <c r="I247" s="30" t="n">
        <v>53.5894681132341</v>
      </c>
      <c r="J247" s="40" t="n">
        <f aca="false">(G247+H247+I247)/3</f>
        <v>25.4566468745797</v>
      </c>
      <c r="K247" s="41" t="n">
        <f aca="false">(J247-MIN(J$6:J$404))/(MAX(J$6:J$404)-MIN(J$6:J$404))*100</f>
        <v>28.8437292615271</v>
      </c>
    </row>
    <row r="248" customFormat="false" ht="15" hidden="false" customHeight="false" outlineLevel="0" collapsed="false">
      <c r="A248" s="26" t="n">
        <v>4117271</v>
      </c>
      <c r="B248" s="26" t="s">
        <v>314</v>
      </c>
      <c r="C248" s="26" t="s">
        <v>65</v>
      </c>
      <c r="D248" s="28" t="n">
        <v>0.0519480519480519</v>
      </c>
      <c r="E248" s="28" t="n">
        <v>0.264452644526445</v>
      </c>
      <c r="F248" s="31" t="n">
        <v>0.362029783476815</v>
      </c>
      <c r="G248" s="30" t="n">
        <v>5.1948051948052</v>
      </c>
      <c r="H248" s="30" t="n">
        <v>40.2825903463313</v>
      </c>
      <c r="I248" s="30" t="n">
        <v>78.4171731301954</v>
      </c>
      <c r="J248" s="40" t="n">
        <f aca="false">(G248+H248+I248)/3</f>
        <v>41.2981895571106</v>
      </c>
      <c r="K248" s="41" t="n">
        <f aca="false">(J248-MIN(J$6:J$404))/(MAX(J$6:J$404)-MIN(J$6:J$404))*100</f>
        <v>53.4311467551532</v>
      </c>
    </row>
    <row r="249" customFormat="false" ht="15" hidden="false" customHeight="false" outlineLevel="0" collapsed="false">
      <c r="A249" s="26" t="n">
        <v>4117297</v>
      </c>
      <c r="B249" s="26" t="s">
        <v>315</v>
      </c>
      <c r="C249" s="26" t="s">
        <v>71</v>
      </c>
      <c r="D249" s="28" t="n">
        <v>0</v>
      </c>
      <c r="E249" s="28" t="n">
        <v>0.238095238095238</v>
      </c>
      <c r="F249" s="31" t="n">
        <v>0.458092375127266</v>
      </c>
      <c r="G249" s="30" t="n">
        <v>0</v>
      </c>
      <c r="H249" s="30" t="n">
        <v>35.7491634300429</v>
      </c>
      <c r="I249" s="30" t="n">
        <v>62.4282488709726</v>
      </c>
      <c r="J249" s="40" t="n">
        <f aca="false">(G249+H249+I249)/3</f>
        <v>32.7258041003385</v>
      </c>
      <c r="K249" s="41" t="n">
        <f aca="false">(J249-MIN(J$6:J$404))/(MAX(J$6:J$404)-MIN(J$6:J$404))*100</f>
        <v>40.1260776488235</v>
      </c>
    </row>
    <row r="250" customFormat="false" ht="15" hidden="false" customHeight="false" outlineLevel="0" collapsed="false">
      <c r="A250" s="26" t="n">
        <v>4117305</v>
      </c>
      <c r="B250" s="26" t="s">
        <v>316</v>
      </c>
      <c r="C250" s="26" t="s">
        <v>86</v>
      </c>
      <c r="D250" s="28" t="n">
        <v>0.034375</v>
      </c>
      <c r="E250" s="28" t="n">
        <v>0.382361228515075</v>
      </c>
      <c r="F250" s="31" t="n">
        <v>0.67350889755949</v>
      </c>
      <c r="G250" s="30" t="n">
        <v>3.4375</v>
      </c>
      <c r="H250" s="30" t="n">
        <v>60.5626565854215</v>
      </c>
      <c r="I250" s="30" t="n">
        <v>26.5737252507175</v>
      </c>
      <c r="J250" s="40" t="n">
        <f aca="false">(G250+H250+I250)/3</f>
        <v>30.1912939453797</v>
      </c>
      <c r="K250" s="41" t="n">
        <f aca="false">(J250-MIN(J$6:J$404))/(MAX(J$6:J$404)-MIN(J$6:J$404))*100</f>
        <v>36.1923029798623</v>
      </c>
    </row>
    <row r="251" customFormat="false" ht="15" hidden="false" customHeight="false" outlineLevel="0" collapsed="false">
      <c r="A251" s="26" t="n">
        <v>4117404</v>
      </c>
      <c r="B251" s="26" t="s">
        <v>317</v>
      </c>
      <c r="C251" s="26" t="s">
        <v>71</v>
      </c>
      <c r="D251" s="28" t="n">
        <v>0</v>
      </c>
      <c r="E251" s="28" t="n">
        <v>0.160458452722063</v>
      </c>
      <c r="F251" s="31" t="n">
        <v>0.432539578584225</v>
      </c>
      <c r="G251" s="30" t="n">
        <v>0</v>
      </c>
      <c r="H251" s="30" t="n">
        <v>22.3957747564087</v>
      </c>
      <c r="I251" s="30" t="n">
        <v>66.6813272183138</v>
      </c>
      <c r="J251" s="40" t="n">
        <f aca="false">(G251+H251+I251)/3</f>
        <v>29.6923673249075</v>
      </c>
      <c r="K251" s="41" t="n">
        <f aca="false">(J251-MIN(J$6:J$404))/(MAX(J$6:J$404)-MIN(J$6:J$404))*100</f>
        <v>35.4179265594546</v>
      </c>
    </row>
    <row r="252" customFormat="false" ht="15" hidden="false" customHeight="false" outlineLevel="0" collapsed="false">
      <c r="A252" s="26" t="n">
        <v>4117453</v>
      </c>
      <c r="B252" s="26" t="s">
        <v>318</v>
      </c>
      <c r="C252" s="26" t="s">
        <v>65</v>
      </c>
      <c r="D252" s="28" t="n">
        <v>0</v>
      </c>
      <c r="E252" s="28" t="n">
        <v>0.129689174705252</v>
      </c>
      <c r="F252" s="31" t="n">
        <v>0.475477204101866</v>
      </c>
      <c r="G252" s="30" t="n">
        <v>0</v>
      </c>
      <c r="H252" s="30" t="n">
        <v>17.1035137928635</v>
      </c>
      <c r="I252" s="30" t="n">
        <v>59.5346697059853</v>
      </c>
      <c r="J252" s="40" t="n">
        <f aca="false">(G252+H252+I252)/3</f>
        <v>25.5460611662829</v>
      </c>
      <c r="K252" s="41" t="n">
        <f aca="false">(J252-MIN(J$6:J$404))/(MAX(J$6:J$404)-MIN(J$6:J$404))*100</f>
        <v>28.9825078239476</v>
      </c>
    </row>
    <row r="253" customFormat="false" ht="15" hidden="false" customHeight="false" outlineLevel="0" collapsed="false">
      <c r="A253" s="26" t="n">
        <v>4117503</v>
      </c>
      <c r="B253" s="26" t="s">
        <v>319</v>
      </c>
      <c r="C253" s="26" t="s">
        <v>86</v>
      </c>
      <c r="D253" s="28" t="n">
        <v>0.0231213872832369</v>
      </c>
      <c r="E253" s="28" t="n">
        <v>0.195096426969652</v>
      </c>
      <c r="F253" s="31" t="n">
        <v>0.430688897760879</v>
      </c>
      <c r="G253" s="30" t="n">
        <v>2.3121387283237</v>
      </c>
      <c r="H253" s="30" t="n">
        <v>28.3534445745514</v>
      </c>
      <c r="I253" s="30" t="n">
        <v>66.9893596688659</v>
      </c>
      <c r="J253" s="40" t="n">
        <f aca="false">(G253+H253+I253)/3</f>
        <v>32.551647657247</v>
      </c>
      <c r="K253" s="41" t="n">
        <f aca="false">(J253-MIN(J$6:J$404))/(MAX(J$6:J$404)-MIN(J$6:J$404))*100</f>
        <v>39.8557720819157</v>
      </c>
    </row>
    <row r="254" customFormat="false" ht="15" hidden="false" customHeight="false" outlineLevel="0" collapsed="false">
      <c r="A254" s="26" t="n">
        <v>4117602</v>
      </c>
      <c r="B254" s="26" t="s">
        <v>320</v>
      </c>
      <c r="C254" s="26" t="s">
        <v>86</v>
      </c>
      <c r="D254" s="28" t="n">
        <v>0.0347826086956521</v>
      </c>
      <c r="E254" s="28" t="n">
        <v>0.264136227739503</v>
      </c>
      <c r="F254" s="31" t="n">
        <v>0.528652745968086</v>
      </c>
      <c r="G254" s="30" t="n">
        <v>3.47826086956522</v>
      </c>
      <c r="H254" s="30" t="n">
        <v>40.2281672230839</v>
      </c>
      <c r="I254" s="30" t="n">
        <v>50.6839849937107</v>
      </c>
      <c r="J254" s="40" t="n">
        <f aca="false">(G254+H254+I254)/3</f>
        <v>31.4634710287866</v>
      </c>
      <c r="K254" s="41" t="n">
        <f aca="false">(J254-MIN(J$6:J$404))/(MAX(J$6:J$404)-MIN(J$6:J$404))*100</f>
        <v>38.1668296848936</v>
      </c>
    </row>
    <row r="255" customFormat="false" ht="15" hidden="false" customHeight="false" outlineLevel="0" collapsed="false">
      <c r="A255" s="26" t="n">
        <v>4117701</v>
      </c>
      <c r="B255" s="26" t="s">
        <v>321</v>
      </c>
      <c r="C255" s="26" t="s">
        <v>86</v>
      </c>
      <c r="D255" s="28" t="n">
        <v>0.0294117647058823</v>
      </c>
      <c r="E255" s="28" t="n">
        <v>0.133453561767358</v>
      </c>
      <c r="F255" s="31" t="n">
        <v>0.538420960498952</v>
      </c>
      <c r="G255" s="30" t="n">
        <v>2.94117647058824</v>
      </c>
      <c r="H255" s="30" t="n">
        <v>17.7509816564115</v>
      </c>
      <c r="I255" s="30" t="n">
        <v>49.058136267391</v>
      </c>
      <c r="J255" s="40" t="n">
        <f aca="false">(G255+H255+I255)/3</f>
        <v>23.2500981314636</v>
      </c>
      <c r="K255" s="41" t="n">
        <f aca="false">(J255-MIN(J$6:J$404))/(MAX(J$6:J$404)-MIN(J$6:J$404))*100</f>
        <v>25.4189785125448</v>
      </c>
    </row>
    <row r="256" customFormat="false" ht="15" hidden="false" customHeight="false" outlineLevel="0" collapsed="false">
      <c r="A256" s="26" t="n">
        <v>4117800</v>
      </c>
      <c r="B256" s="26" t="s">
        <v>322</v>
      </c>
      <c r="C256" s="26" t="s">
        <v>65</v>
      </c>
      <c r="D256" s="28" t="n">
        <v>0.032258064516129</v>
      </c>
      <c r="E256" s="28" t="n">
        <v>0.400109170305677</v>
      </c>
      <c r="F256" s="31" t="n">
        <v>0.392476013896396</v>
      </c>
      <c r="G256" s="30" t="n">
        <v>3.2258064516129</v>
      </c>
      <c r="H256" s="30" t="n">
        <v>63.6152709324451</v>
      </c>
      <c r="I256" s="30" t="n">
        <v>73.3496180726671</v>
      </c>
      <c r="J256" s="40" t="n">
        <f aca="false">(G256+H256+I256)/3</f>
        <v>46.7302318189084</v>
      </c>
      <c r="K256" s="41" t="n">
        <f aca="false">(J256-MIN(J$6:J$404))/(MAX(J$6:J$404)-MIN(J$6:J$404))*100</f>
        <v>61.8621369440774</v>
      </c>
    </row>
    <row r="257" customFormat="false" ht="15" hidden="false" customHeight="false" outlineLevel="0" collapsed="false">
      <c r="A257" s="26" t="n">
        <v>4117909</v>
      </c>
      <c r="B257" s="26" t="s">
        <v>323</v>
      </c>
      <c r="C257" s="26" t="s">
        <v>86</v>
      </c>
      <c r="D257" s="28" t="n">
        <v>0.0242290748898678</v>
      </c>
      <c r="E257" s="28" t="n">
        <v>0.0987932092452444</v>
      </c>
      <c r="F257" s="31" t="n">
        <v>0.723374552470137</v>
      </c>
      <c r="G257" s="30" t="n">
        <v>2.42290748898678</v>
      </c>
      <c r="H257" s="30" t="n">
        <v>11.7894628149464</v>
      </c>
      <c r="I257" s="30" t="n">
        <v>18.2739473058952</v>
      </c>
      <c r="J257" s="40" t="n">
        <f aca="false">(G257+H257+I257)/3</f>
        <v>10.8287725366095</v>
      </c>
      <c r="K257" s="41" t="n">
        <f aca="false">(J257-MIN(J$6:J$404))/(MAX(J$6:J$404)-MIN(J$6:J$404))*100</f>
        <v>6.14002794911728</v>
      </c>
    </row>
    <row r="258" customFormat="false" ht="15" hidden="false" customHeight="false" outlineLevel="0" collapsed="false">
      <c r="A258" s="26" t="n">
        <v>4118006</v>
      </c>
      <c r="B258" s="26" t="s">
        <v>324</v>
      </c>
      <c r="C258" s="26" t="s">
        <v>65</v>
      </c>
      <c r="D258" s="28" t="n">
        <v>0.0070921985815602</v>
      </c>
      <c r="E258" s="28" t="n">
        <v>0.10567296996663</v>
      </c>
      <c r="F258" s="31" t="n">
        <v>0.577436559667302</v>
      </c>
      <c r="G258" s="30" t="n">
        <v>0.709219858156028</v>
      </c>
      <c r="H258" s="30" t="n">
        <v>12.9727693938147</v>
      </c>
      <c r="I258" s="30" t="n">
        <v>42.5642717014538</v>
      </c>
      <c r="J258" s="40" t="n">
        <f aca="false">(G258+H258+I258)/3</f>
        <v>18.7487536511415</v>
      </c>
      <c r="K258" s="41" t="n">
        <f aca="false">(J258-MIN(J$6:J$404))/(MAX(J$6:J$404)-MIN(J$6:J$404))*100</f>
        <v>18.4325101970344</v>
      </c>
    </row>
    <row r="259" customFormat="false" ht="15" hidden="false" customHeight="false" outlineLevel="0" collapsed="false">
      <c r="A259" s="26" t="n">
        <v>4118105</v>
      </c>
      <c r="B259" s="26" t="s">
        <v>325</v>
      </c>
      <c r="C259" s="26" t="s">
        <v>65</v>
      </c>
      <c r="D259" s="28" t="n">
        <v>0.0202020202020202</v>
      </c>
      <c r="E259" s="28" t="n">
        <v>0.224137931034483</v>
      </c>
      <c r="F259" s="31" t="n">
        <v>0.502663897180177</v>
      </c>
      <c r="G259" s="30" t="n">
        <v>2.02020202020202</v>
      </c>
      <c r="H259" s="30" t="n">
        <v>33.3485314986245</v>
      </c>
      <c r="I259" s="30" t="n">
        <v>55.0096410864205</v>
      </c>
      <c r="J259" s="40" t="n">
        <f aca="false">(G259+H259+I259)/3</f>
        <v>30.1261248684157</v>
      </c>
      <c r="K259" s="41" t="n">
        <f aca="false">(J259-MIN(J$6:J$404))/(MAX(J$6:J$404)-MIN(J$6:J$404))*100</f>
        <v>36.0911550465392</v>
      </c>
    </row>
    <row r="260" customFormat="false" ht="15" hidden="false" customHeight="false" outlineLevel="0" collapsed="false">
      <c r="A260" s="26" t="n">
        <v>4118204</v>
      </c>
      <c r="B260" s="26" t="s">
        <v>326</v>
      </c>
      <c r="C260" s="26" t="s">
        <v>69</v>
      </c>
      <c r="D260" s="28" t="n">
        <v>0.0341047503045067</v>
      </c>
      <c r="E260" s="28" t="n">
        <v>0.224919482766909</v>
      </c>
      <c r="F260" s="31" t="n">
        <v>0.611478727076827</v>
      </c>
      <c r="G260" s="30" t="n">
        <v>3.41047503045067</v>
      </c>
      <c r="H260" s="30" t="n">
        <v>33.4829570032544</v>
      </c>
      <c r="I260" s="30" t="n">
        <v>36.8981989151683</v>
      </c>
      <c r="J260" s="40" t="n">
        <f aca="false">(G260+H260+I260)/3</f>
        <v>24.5972103162911</v>
      </c>
      <c r="K260" s="41" t="n">
        <f aca="false">(J260-MIN(J$6:J$404))/(MAX(J$6:J$404)-MIN(J$6:J$404))*100</f>
        <v>27.5098108489454</v>
      </c>
    </row>
    <row r="261" customFormat="false" ht="15" hidden="false" customHeight="false" outlineLevel="0" collapsed="false">
      <c r="A261" s="26" t="n">
        <v>4118303</v>
      </c>
      <c r="B261" s="26" t="s">
        <v>327</v>
      </c>
      <c r="C261" s="26" t="s">
        <v>71</v>
      </c>
      <c r="D261" s="28" t="n">
        <v>0.0833333333333333</v>
      </c>
      <c r="E261" s="28" t="n">
        <v>0.303514376996805</v>
      </c>
      <c r="F261" s="31" t="n">
        <v>0.344670248208187</v>
      </c>
      <c r="G261" s="30" t="n">
        <v>8.33333333333333</v>
      </c>
      <c r="H261" s="30" t="n">
        <v>47.0011386921321</v>
      </c>
      <c r="I261" s="30" t="n">
        <v>81.3065423405887</v>
      </c>
      <c r="J261" s="40" t="n">
        <f aca="false">(G261+H261+I261)/3</f>
        <v>45.5470047886847</v>
      </c>
      <c r="K261" s="41" t="n">
        <f aca="false">(J261-MIN(J$6:J$404))/(MAX(J$6:J$404)-MIN(J$6:J$404))*100</f>
        <v>60.0256682639195</v>
      </c>
    </row>
    <row r="262" customFormat="false" ht="15" hidden="false" customHeight="false" outlineLevel="0" collapsed="false">
      <c r="A262" s="26" t="n">
        <v>4118402</v>
      </c>
      <c r="B262" s="26" t="s">
        <v>328</v>
      </c>
      <c r="C262" s="26" t="s">
        <v>129</v>
      </c>
      <c r="D262" s="28" t="n">
        <v>0.0302197802197802</v>
      </c>
      <c r="E262" s="28" t="n">
        <v>0.187197554970711</v>
      </c>
      <c r="F262" s="31" t="n">
        <v>0.571904652493266</v>
      </c>
      <c r="G262" s="30" t="n">
        <v>3.02197802197802</v>
      </c>
      <c r="H262" s="30" t="n">
        <v>26.994852672811</v>
      </c>
      <c r="I262" s="30" t="n">
        <v>43.4850176785825</v>
      </c>
      <c r="J262" s="40" t="n">
        <f aca="false">(G262+H262+I262)/3</f>
        <v>24.5006161244572</v>
      </c>
      <c r="K262" s="41" t="n">
        <f aca="false">(J262-MIN(J$6:J$404))/(MAX(J$6:J$404)-MIN(J$6:J$404))*100</f>
        <v>27.3598884727175</v>
      </c>
    </row>
    <row r="263" customFormat="false" ht="15" hidden="false" customHeight="false" outlineLevel="0" collapsed="false">
      <c r="A263" s="26" t="n">
        <v>4118451</v>
      </c>
      <c r="B263" s="26" t="s">
        <v>329</v>
      </c>
      <c r="C263" s="26" t="s">
        <v>65</v>
      </c>
      <c r="D263" s="28" t="n">
        <v>0</v>
      </c>
      <c r="E263" s="28" t="n">
        <v>0.151476251604621</v>
      </c>
      <c r="F263" s="31" t="n">
        <v>0.518289114507144</v>
      </c>
      <c r="G263" s="30" t="n">
        <v>0</v>
      </c>
      <c r="H263" s="30" t="n">
        <v>20.8508521776411</v>
      </c>
      <c r="I263" s="30" t="n">
        <v>52.4089365657279</v>
      </c>
      <c r="J263" s="40" t="n">
        <f aca="false">(G263+H263+I263)/3</f>
        <v>24.419929581123</v>
      </c>
      <c r="K263" s="41" t="n">
        <f aca="false">(J263-MIN(J$6:J$404))/(MAX(J$6:J$404)-MIN(J$6:J$404))*100</f>
        <v>27.2346561158169</v>
      </c>
    </row>
    <row r="264" customFormat="false" ht="15" hidden="false" customHeight="false" outlineLevel="0" collapsed="false">
      <c r="A264" s="26" t="n">
        <v>4118501</v>
      </c>
      <c r="B264" s="26" t="s">
        <v>330</v>
      </c>
      <c r="C264" s="26" t="s">
        <v>129</v>
      </c>
      <c r="D264" s="28" t="n">
        <v>0.0221518987341772</v>
      </c>
      <c r="E264" s="28" t="n">
        <v>0.122404916126889</v>
      </c>
      <c r="F264" s="31" t="n">
        <v>0.687079657627193</v>
      </c>
      <c r="G264" s="30" t="n">
        <v>2.21518987341772</v>
      </c>
      <c r="H264" s="30" t="n">
        <v>15.8506343037323</v>
      </c>
      <c r="I264" s="30" t="n">
        <v>24.3149702959048</v>
      </c>
      <c r="J264" s="40" t="n">
        <f aca="false">(G264+H264+I264)/3</f>
        <v>14.1269314910183</v>
      </c>
      <c r="K264" s="41" t="n">
        <f aca="false">(J264-MIN(J$6:J$404))/(MAX(J$6:J$404)-MIN(J$6:J$404))*100</f>
        <v>11.2590503068208</v>
      </c>
    </row>
    <row r="265" customFormat="false" ht="15" hidden="false" customHeight="false" outlineLevel="0" collapsed="false">
      <c r="A265" s="26" t="n">
        <v>4118600</v>
      </c>
      <c r="B265" s="26" t="s">
        <v>331</v>
      </c>
      <c r="C265" s="26" t="s">
        <v>65</v>
      </c>
      <c r="D265" s="28" t="n">
        <v>0.0131578947368421</v>
      </c>
      <c r="E265" s="28" t="n">
        <v>0.181303116147309</v>
      </c>
      <c r="F265" s="31" t="n">
        <v>0.426669503020145</v>
      </c>
      <c r="G265" s="30" t="n">
        <v>1.31578947368421</v>
      </c>
      <c r="H265" s="30" t="n">
        <v>25.981019703768</v>
      </c>
      <c r="I265" s="30" t="n">
        <v>67.6583588804567</v>
      </c>
      <c r="J265" s="40" t="n">
        <f aca="false">(G265+H265+I265)/3</f>
        <v>31.6517226859696</v>
      </c>
      <c r="K265" s="41" t="n">
        <f aca="false">(J265-MIN(J$6:J$404))/(MAX(J$6:J$404)-MIN(J$6:J$404))*100</f>
        <v>38.4590122192455</v>
      </c>
    </row>
    <row r="266" customFormat="false" ht="15" hidden="false" customHeight="false" outlineLevel="0" collapsed="false">
      <c r="A266" s="26" t="n">
        <v>4118709</v>
      </c>
      <c r="B266" s="26" t="s">
        <v>332</v>
      </c>
      <c r="C266" s="26" t="s">
        <v>65</v>
      </c>
      <c r="D266" s="28" t="n">
        <v>0.0128205128205128</v>
      </c>
      <c r="E266" s="28" t="n">
        <v>0.156976744186047</v>
      </c>
      <c r="F266" s="31" t="n">
        <v>0.390718923071943</v>
      </c>
      <c r="G266" s="30" t="n">
        <v>1.28205128205128</v>
      </c>
      <c r="H266" s="30" t="n">
        <v>21.79692709539</v>
      </c>
      <c r="I266" s="30" t="n">
        <v>73.6420731441581</v>
      </c>
      <c r="J266" s="40" t="n">
        <f aca="false">(G266+H266+I266)/3</f>
        <v>32.2403505071998</v>
      </c>
      <c r="K266" s="41" t="n">
        <f aca="false">(J266-MIN(J$6:J$404))/(MAX(J$6:J$404)-MIN(J$6:J$404))*100</f>
        <v>39.3726125092544</v>
      </c>
    </row>
    <row r="267" customFormat="false" ht="15" hidden="false" customHeight="false" outlineLevel="0" collapsed="false">
      <c r="A267" s="26" t="n">
        <v>4118808</v>
      </c>
      <c r="B267" s="26" t="s">
        <v>333</v>
      </c>
      <c r="C267" s="26" t="s">
        <v>65</v>
      </c>
      <c r="D267" s="28" t="n">
        <v>0.0555555555555555</v>
      </c>
      <c r="E267" s="28" t="n">
        <v>0.253824362606232</v>
      </c>
      <c r="F267" s="31" t="n">
        <v>0.433505412137992</v>
      </c>
      <c r="G267" s="30" t="n">
        <v>5.55555555555556</v>
      </c>
      <c r="H267" s="30" t="n">
        <v>38.4545448041134</v>
      </c>
      <c r="I267" s="30" t="n">
        <v>66.520571202128</v>
      </c>
      <c r="J267" s="40" t="n">
        <f aca="false">(G267+H267+I267)/3</f>
        <v>36.8435571872657</v>
      </c>
      <c r="K267" s="41" t="n">
        <f aca="false">(J267-MIN(J$6:J$404))/(MAX(J$6:J$404)-MIN(J$6:J$404))*100</f>
        <v>46.5171795959585</v>
      </c>
    </row>
    <row r="268" customFormat="false" ht="15" hidden="false" customHeight="false" outlineLevel="0" collapsed="false">
      <c r="A268" s="26" t="n">
        <v>4118857</v>
      </c>
      <c r="B268" s="26" t="s">
        <v>334</v>
      </c>
      <c r="C268" s="26" t="s">
        <v>65</v>
      </c>
      <c r="D268" s="28" t="n">
        <v>0.0178571428571428</v>
      </c>
      <c r="E268" s="28" t="n">
        <v>0.213756613756614</v>
      </c>
      <c r="F268" s="31" t="n">
        <v>0.458401521960922</v>
      </c>
      <c r="G268" s="30" t="n">
        <v>1.78571428571429</v>
      </c>
      <c r="H268" s="30" t="n">
        <v>31.5629634346021</v>
      </c>
      <c r="I268" s="30" t="n">
        <v>62.3767936143176</v>
      </c>
      <c r="J268" s="40" t="n">
        <f aca="false">(G268+H268+I268)/3</f>
        <v>31.908490444878</v>
      </c>
      <c r="K268" s="41" t="n">
        <f aca="false">(J268-MIN(J$6:J$404))/(MAX(J$6:J$404)-MIN(J$6:J$404))*100</f>
        <v>38.8575375531541</v>
      </c>
    </row>
    <row r="269" customFormat="false" ht="15" hidden="false" customHeight="false" outlineLevel="0" collapsed="false">
      <c r="A269" s="26" t="n">
        <v>4118907</v>
      </c>
      <c r="B269" s="26" t="s">
        <v>335</v>
      </c>
      <c r="C269" s="26" t="s">
        <v>65</v>
      </c>
      <c r="D269" s="28" t="n">
        <v>0</v>
      </c>
      <c r="E269" s="28" t="n">
        <v>0.13855421686747</v>
      </c>
      <c r="F269" s="31" t="n">
        <v>0.431021615980356</v>
      </c>
      <c r="G269" s="30" t="n">
        <v>0</v>
      </c>
      <c r="H269" s="30" t="n">
        <v>18.6282852402031</v>
      </c>
      <c r="I269" s="30" t="n">
        <v>66.9339811253613</v>
      </c>
      <c r="J269" s="40" t="n">
        <f aca="false">(G269+H269+I269)/3</f>
        <v>28.5207554551881</v>
      </c>
      <c r="K269" s="41" t="n">
        <f aca="false">(J269-MIN(J$6:J$404))/(MAX(J$6:J$404)-MIN(J$6:J$404))*100</f>
        <v>33.5994855932826</v>
      </c>
    </row>
    <row r="270" customFormat="false" ht="15" hidden="false" customHeight="false" outlineLevel="0" collapsed="false">
      <c r="A270" s="26" t="n">
        <v>4119004</v>
      </c>
      <c r="B270" s="26" t="s">
        <v>336</v>
      </c>
      <c r="C270" s="26" t="s">
        <v>65</v>
      </c>
      <c r="D270" s="28" t="n">
        <v>0</v>
      </c>
      <c r="E270" s="28" t="n">
        <v>0.160739687055477</v>
      </c>
      <c r="F270" s="31" t="n">
        <v>0.3125625367588</v>
      </c>
      <c r="G270" s="30" t="n">
        <v>0</v>
      </c>
      <c r="H270" s="30" t="n">
        <v>22.4441465603724</v>
      </c>
      <c r="I270" s="30" t="n">
        <v>86.6506389101385</v>
      </c>
      <c r="J270" s="40" t="n">
        <f aca="false">(G270+H270+I270)/3</f>
        <v>36.3649284901703</v>
      </c>
      <c r="K270" s="41" t="n">
        <f aca="false">(J270-MIN(J$6:J$404))/(MAX(J$6:J$404)-MIN(J$6:J$404))*100</f>
        <v>45.7743072737514</v>
      </c>
    </row>
    <row r="271" customFormat="false" ht="15" hidden="false" customHeight="false" outlineLevel="0" collapsed="false">
      <c r="A271" s="26" t="n">
        <v>4119103</v>
      </c>
      <c r="B271" s="26" t="s">
        <v>337</v>
      </c>
      <c r="C271" s="26" t="s">
        <v>65</v>
      </c>
      <c r="D271" s="28" t="n">
        <v>0.0052631578947368</v>
      </c>
      <c r="E271" s="28" t="n">
        <v>0.159090909090909</v>
      </c>
      <c r="F271" s="31" t="n">
        <v>0.571887009292471</v>
      </c>
      <c r="G271" s="30" t="n">
        <v>0.526315789473684</v>
      </c>
      <c r="H271" s="30" t="n">
        <v>22.1605596899015</v>
      </c>
      <c r="I271" s="30" t="n">
        <v>43.4879542618702</v>
      </c>
      <c r="J271" s="40" t="n">
        <f aca="false">(G271+H271+I271)/3</f>
        <v>22.0582765804151</v>
      </c>
      <c r="K271" s="41" t="n">
        <f aca="false">(J271-MIN(J$6:J$404))/(MAX(J$6:J$404)-MIN(J$6:J$404))*100</f>
        <v>23.5691704073125</v>
      </c>
    </row>
    <row r="272" customFormat="false" ht="15" hidden="false" customHeight="false" outlineLevel="0" collapsed="false">
      <c r="A272" s="26" t="n">
        <v>4119152</v>
      </c>
      <c r="B272" s="26" t="s">
        <v>338</v>
      </c>
      <c r="C272" s="26" t="s">
        <v>69</v>
      </c>
      <c r="D272" s="28" t="n">
        <v>0.0378378378378378</v>
      </c>
      <c r="E272" s="28" t="n">
        <v>0.183993183009963</v>
      </c>
      <c r="F272" s="31" t="n">
        <v>0.604869864046681</v>
      </c>
      <c r="G272" s="30" t="n">
        <v>3.78378378378378</v>
      </c>
      <c r="H272" s="30" t="n">
        <v>26.4437064083041</v>
      </c>
      <c r="I272" s="30" t="n">
        <v>37.9981964127696</v>
      </c>
      <c r="J272" s="40" t="n">
        <f aca="false">(G272+H272+I272)/3</f>
        <v>22.7418955349525</v>
      </c>
      <c r="K272" s="41" t="n">
        <f aca="false">(J272-MIN(J$6:J$404))/(MAX(J$6:J$404)-MIN(J$6:J$404))*100</f>
        <v>24.6302049907879</v>
      </c>
    </row>
    <row r="273" customFormat="false" ht="15" hidden="false" customHeight="false" outlineLevel="0" collapsed="false">
      <c r="A273" s="26" t="n">
        <v>4119251</v>
      </c>
      <c r="B273" s="26" t="s">
        <v>339</v>
      </c>
      <c r="C273" s="26" t="s">
        <v>71</v>
      </c>
      <c r="D273" s="28" t="n">
        <v>0</v>
      </c>
      <c r="E273" s="28" t="n">
        <v>0.328402366863905</v>
      </c>
      <c r="F273" s="31" t="n">
        <v>0.420648918468574</v>
      </c>
      <c r="G273" s="30" t="n">
        <v>0</v>
      </c>
      <c r="H273" s="30" t="n">
        <v>51.2818285790641</v>
      </c>
      <c r="I273" s="30" t="n">
        <v>68.6604416760321</v>
      </c>
      <c r="J273" s="40" t="n">
        <f aca="false">(G273+H273+I273)/3</f>
        <v>39.9807567516987</v>
      </c>
      <c r="K273" s="41" t="n">
        <f aca="false">(J273-MIN(J$6:J$404))/(MAX(J$6:J$404)-MIN(J$6:J$404))*100</f>
        <v>51.3863793322063</v>
      </c>
    </row>
    <row r="274" customFormat="false" ht="15" hidden="false" customHeight="false" outlineLevel="0" collapsed="false">
      <c r="A274" s="26" t="n">
        <v>4119202</v>
      </c>
      <c r="B274" s="26" t="s">
        <v>340</v>
      </c>
      <c r="C274" s="26" t="s">
        <v>65</v>
      </c>
      <c r="D274" s="28" t="n">
        <v>0.0405405405405405</v>
      </c>
      <c r="E274" s="28" t="n">
        <v>0.349306431273644</v>
      </c>
      <c r="F274" s="31" t="n">
        <v>0.390476069217043</v>
      </c>
      <c r="G274" s="30" t="n">
        <v>4.05405405405405</v>
      </c>
      <c r="H274" s="30" t="n">
        <v>54.8772903898564</v>
      </c>
      <c r="I274" s="30" t="n">
        <v>73.6824944135133</v>
      </c>
      <c r="J274" s="40" t="n">
        <f aca="false">(G274+H274+I274)/3</f>
        <v>44.2046129524746</v>
      </c>
      <c r="K274" s="41" t="n">
        <f aca="false">(J274-MIN(J$6:J$404))/(MAX(J$6:J$404)-MIN(J$6:J$404))*100</f>
        <v>57.9421623088252</v>
      </c>
    </row>
    <row r="275" customFormat="false" ht="15" hidden="false" customHeight="false" outlineLevel="0" collapsed="false">
      <c r="A275" s="26" t="n">
        <v>4119301</v>
      </c>
      <c r="B275" s="26" t="s">
        <v>341</v>
      </c>
      <c r="C275" s="26" t="s">
        <v>86</v>
      </c>
      <c r="D275" s="28" t="n">
        <v>0.106796116504854</v>
      </c>
      <c r="E275" s="28" t="n">
        <v>0.333264076459589</v>
      </c>
      <c r="F275" s="31" t="n">
        <v>0.431491842284128</v>
      </c>
      <c r="G275" s="30" t="n">
        <v>10.6796116504854</v>
      </c>
      <c r="H275" s="30" t="n">
        <v>52.1180339620851</v>
      </c>
      <c r="I275" s="30" t="n">
        <v>66.85571535482</v>
      </c>
      <c r="J275" s="40" t="n">
        <f aca="false">(G275+H275+I275)/3</f>
        <v>43.2177869891302</v>
      </c>
      <c r="K275" s="41" t="n">
        <f aca="false">(J275-MIN(J$6:J$404))/(MAX(J$6:J$404)-MIN(J$6:J$404))*100</f>
        <v>56.4105247378798</v>
      </c>
    </row>
    <row r="276" customFormat="false" ht="15" hidden="false" customHeight="false" outlineLevel="0" collapsed="false">
      <c r="A276" s="26" t="n">
        <v>4119400</v>
      </c>
      <c r="B276" s="26" t="s">
        <v>342</v>
      </c>
      <c r="C276" s="26" t="s">
        <v>86</v>
      </c>
      <c r="D276" s="28" t="n">
        <v>0.0306122448979591</v>
      </c>
      <c r="E276" s="28" t="n">
        <v>0.251046025104603</v>
      </c>
      <c r="F276" s="31" t="n">
        <v>0.508348137351018</v>
      </c>
      <c r="G276" s="30" t="n">
        <v>3.06122448979592</v>
      </c>
      <c r="H276" s="30" t="n">
        <v>37.9766757070421</v>
      </c>
      <c r="I276" s="30" t="n">
        <v>54.0635403826886</v>
      </c>
      <c r="J276" s="40" t="n">
        <f aca="false">(G276+H276+I276)/3</f>
        <v>31.7004801931755</v>
      </c>
      <c r="K276" s="41" t="n">
        <f aca="false">(J276-MIN(J$6:J$404))/(MAX(J$6:J$404)-MIN(J$6:J$404))*100</f>
        <v>38.5346880047195</v>
      </c>
    </row>
    <row r="277" customFormat="false" ht="15" hidden="false" customHeight="false" outlineLevel="0" collapsed="false">
      <c r="A277" s="26" t="n">
        <v>4119509</v>
      </c>
      <c r="B277" s="26" t="s">
        <v>343</v>
      </c>
      <c r="C277" s="26" t="s">
        <v>69</v>
      </c>
      <c r="D277" s="28" t="n">
        <v>0.0602409638554216</v>
      </c>
      <c r="E277" s="28" t="n">
        <v>0.240214664877793</v>
      </c>
      <c r="F277" s="31" t="n">
        <v>0.433210659680456</v>
      </c>
      <c r="G277" s="30" t="n">
        <v>6.02409638554217</v>
      </c>
      <c r="H277" s="30" t="n">
        <v>36.1137010581367</v>
      </c>
      <c r="I277" s="30" t="n">
        <v>66.5696306188874</v>
      </c>
      <c r="J277" s="40" t="n">
        <f aca="false">(G277+H277+I277)/3</f>
        <v>36.2358093541888</v>
      </c>
      <c r="K277" s="41" t="n">
        <f aca="false">(J277-MIN(J$6:J$404))/(MAX(J$6:J$404)-MIN(J$6:J$404))*100</f>
        <v>45.5739034263222</v>
      </c>
    </row>
    <row r="278" customFormat="false" ht="15" hidden="false" customHeight="false" outlineLevel="0" collapsed="false">
      <c r="A278" s="26" t="n">
        <v>4119608</v>
      </c>
      <c r="B278" s="26" t="s">
        <v>344</v>
      </c>
      <c r="C278" s="26" t="s">
        <v>86</v>
      </c>
      <c r="D278" s="28" t="n">
        <v>0.027906976744186</v>
      </c>
      <c r="E278" s="28" t="n">
        <v>0.290026833631485</v>
      </c>
      <c r="F278" s="31" t="n">
        <v>0.507363615155097</v>
      </c>
      <c r="G278" s="30" t="n">
        <v>2.79069767441861</v>
      </c>
      <c r="H278" s="30" t="n">
        <v>44.6813052788356</v>
      </c>
      <c r="I278" s="30" t="n">
        <v>54.227406988322</v>
      </c>
      <c r="J278" s="40" t="n">
        <f aca="false">(G278+H278+I278)/3</f>
        <v>33.8998033138587</v>
      </c>
      <c r="K278" s="41" t="n">
        <f aca="false">(J278-MIN(J$6:J$404))/(MAX(J$6:J$404)-MIN(J$6:J$404))*100</f>
        <v>41.9482239750043</v>
      </c>
    </row>
    <row r="279" customFormat="false" ht="15" hidden="false" customHeight="false" outlineLevel="0" collapsed="false">
      <c r="A279" s="26" t="n">
        <v>4119657</v>
      </c>
      <c r="B279" s="26" t="s">
        <v>345</v>
      </c>
      <c r="C279" s="26" t="s">
        <v>71</v>
      </c>
      <c r="D279" s="28" t="n">
        <v>0</v>
      </c>
      <c r="E279" s="28" t="n">
        <v>0.241379310344828</v>
      </c>
      <c r="F279" s="31" t="n">
        <v>0.429110089404607</v>
      </c>
      <c r="G279" s="30" t="n">
        <v>0</v>
      </c>
      <c r="H279" s="30" t="n">
        <v>36.3140180021414</v>
      </c>
      <c r="I279" s="30" t="n">
        <v>67.2521409117468</v>
      </c>
      <c r="J279" s="40" t="n">
        <f aca="false">(G279+H279+I279)/3</f>
        <v>34.5220529712961</v>
      </c>
      <c r="K279" s="41" t="n">
        <f aca="false">(J279-MIN(J$6:J$404))/(MAX(J$6:J$404)-MIN(J$6:J$404))*100</f>
        <v>42.9140082056998</v>
      </c>
    </row>
    <row r="280" customFormat="false" ht="15" hidden="false" customHeight="false" outlineLevel="0" collapsed="false">
      <c r="A280" s="26" t="n">
        <v>4119707</v>
      </c>
      <c r="B280" s="26" t="s">
        <v>346</v>
      </c>
      <c r="C280" s="26" t="s">
        <v>71</v>
      </c>
      <c r="D280" s="28" t="n">
        <v>0.0208333333333333</v>
      </c>
      <c r="E280" s="28" t="n">
        <v>0.385608856088561</v>
      </c>
      <c r="F280" s="31" t="n">
        <v>0.42306562404301</v>
      </c>
      <c r="G280" s="30" t="n">
        <v>2.08333333333333</v>
      </c>
      <c r="H280" s="30" t="n">
        <v>61.1212427382036</v>
      </c>
      <c r="I280" s="30" t="n">
        <v>68.2581984955952</v>
      </c>
      <c r="J280" s="40" t="n">
        <f aca="false">(G280+H280+I280)/3</f>
        <v>43.8209248557107</v>
      </c>
      <c r="K280" s="41" t="n">
        <f aca="false">(J280-MIN(J$6:J$404))/(MAX(J$6:J$404)-MIN(J$6:J$404))*100</f>
        <v>57.3466458486214</v>
      </c>
    </row>
    <row r="281" customFormat="false" ht="15" hidden="false" customHeight="false" outlineLevel="0" collapsed="false">
      <c r="A281" s="26" t="n">
        <v>4119806</v>
      </c>
      <c r="B281" s="26" t="s">
        <v>347</v>
      </c>
      <c r="C281" s="26" t="s">
        <v>65</v>
      </c>
      <c r="D281" s="28" t="n">
        <v>0.0172413793103448</v>
      </c>
      <c r="E281" s="28" t="n">
        <v>0.179834905660377</v>
      </c>
      <c r="F281" s="31" t="n">
        <v>0.474818940114263</v>
      </c>
      <c r="G281" s="30" t="n">
        <v>1.72413793103448</v>
      </c>
      <c r="H281" s="30" t="n">
        <v>25.7284901175356</v>
      </c>
      <c r="I281" s="30" t="n">
        <v>59.6442329902933</v>
      </c>
      <c r="J281" s="40" t="n">
        <f aca="false">(G281+H281+I281)/3</f>
        <v>29.0322870129544</v>
      </c>
      <c r="K281" s="41" t="n">
        <f aca="false">(J281-MIN(J$6:J$404))/(MAX(J$6:J$404)-MIN(J$6:J$404))*100</f>
        <v>34.3934259451799</v>
      </c>
    </row>
    <row r="282" customFormat="false" ht="15" hidden="false" customHeight="false" outlineLevel="0" collapsed="false">
      <c r="A282" s="26" t="n">
        <v>4119905</v>
      </c>
      <c r="B282" s="26" t="s">
        <v>348</v>
      </c>
      <c r="C282" s="26" t="s">
        <v>138</v>
      </c>
      <c r="D282" s="28" t="n">
        <v>0.0213592233009708</v>
      </c>
      <c r="E282" s="28" t="n">
        <v>0.175081180582846</v>
      </c>
      <c r="F282" s="31" t="n">
        <v>0.594994538951176</v>
      </c>
      <c r="G282" s="30" t="n">
        <v>2.13592233009709</v>
      </c>
      <c r="H282" s="30" t="n">
        <v>24.9108578791223</v>
      </c>
      <c r="I282" s="30" t="n">
        <v>39.6418729186229</v>
      </c>
      <c r="J282" s="40" t="n">
        <f aca="false">(G282+H282+I282)/3</f>
        <v>22.2295510426141</v>
      </c>
      <c r="K282" s="41" t="n">
        <f aca="false">(J282-MIN(J$6:J$404))/(MAX(J$6:J$404)-MIN(J$6:J$404))*100</f>
        <v>23.8350028955036</v>
      </c>
    </row>
    <row r="283" customFormat="false" ht="15" hidden="false" customHeight="false" outlineLevel="0" collapsed="false">
      <c r="A283" s="26" t="n">
        <v>4119954</v>
      </c>
      <c r="B283" s="26" t="s">
        <v>349</v>
      </c>
      <c r="C283" s="26" t="s">
        <v>86</v>
      </c>
      <c r="D283" s="28" t="n">
        <v>0.0495867768595041</v>
      </c>
      <c r="E283" s="28" t="n">
        <v>0.233899218539477</v>
      </c>
      <c r="F283" s="31" t="n">
        <v>0.447846534817188</v>
      </c>
      <c r="G283" s="30" t="n">
        <v>4.95867768595041</v>
      </c>
      <c r="H283" s="30" t="n">
        <v>35.027455547099</v>
      </c>
      <c r="I283" s="30" t="n">
        <v>64.133594957054</v>
      </c>
      <c r="J283" s="40" t="n">
        <f aca="false">(G283+H283+I283)/3</f>
        <v>34.7065760633678</v>
      </c>
      <c r="K283" s="41" t="n">
        <f aca="false">(J283-MIN(J$6:J$404))/(MAX(J$6:J$404)-MIN(J$6:J$404))*100</f>
        <v>43.2004036908432</v>
      </c>
    </row>
    <row r="284" customFormat="false" ht="15" hidden="false" customHeight="false" outlineLevel="0" collapsed="false">
      <c r="A284" s="26" t="n">
        <v>4120002</v>
      </c>
      <c r="B284" s="26" t="s">
        <v>350</v>
      </c>
      <c r="C284" s="26" t="s">
        <v>65</v>
      </c>
      <c r="D284" s="28" t="n">
        <v>0.0405405405405405</v>
      </c>
      <c r="E284" s="28" t="n">
        <v>0.26883425852498</v>
      </c>
      <c r="F284" s="31" t="n">
        <v>0.368867480932547</v>
      </c>
      <c r="G284" s="30" t="n">
        <v>4.05405405405405</v>
      </c>
      <c r="H284" s="30" t="n">
        <v>41.0362201425553</v>
      </c>
      <c r="I284" s="30" t="n">
        <v>77.2790877959479</v>
      </c>
      <c r="J284" s="40" t="n">
        <f aca="false">(G284+H284+I284)/3</f>
        <v>40.7897873308524</v>
      </c>
      <c r="K284" s="41" t="n">
        <f aca="false">(J284-MIN(J$6:J$404))/(MAX(J$6:J$404)-MIN(J$6:J$404))*100</f>
        <v>52.6420633911015</v>
      </c>
    </row>
    <row r="285" customFormat="false" ht="15" hidden="false" customHeight="false" outlineLevel="0" collapsed="false">
      <c r="A285" s="26" t="n">
        <v>4120101</v>
      </c>
      <c r="B285" s="26" t="s">
        <v>351</v>
      </c>
      <c r="C285" s="26" t="s">
        <v>71</v>
      </c>
      <c r="D285" s="28" t="n">
        <v>0.05</v>
      </c>
      <c r="E285" s="28" t="n">
        <v>0.196819085487078</v>
      </c>
      <c r="F285" s="31" t="n">
        <v>0.519925483106021</v>
      </c>
      <c r="G285" s="30" t="n">
        <v>5</v>
      </c>
      <c r="H285" s="30" t="n">
        <v>28.6497387683999</v>
      </c>
      <c r="I285" s="30" t="n">
        <v>52.1365748363794</v>
      </c>
      <c r="J285" s="40" t="n">
        <f aca="false">(G285+H285+I285)/3</f>
        <v>28.5954378682597</v>
      </c>
      <c r="K285" s="41" t="n">
        <f aca="false">(J285-MIN(J$6:J$404))/(MAX(J$6:J$404)-MIN(J$6:J$404))*100</f>
        <v>33.7153990309081</v>
      </c>
    </row>
    <row r="286" customFormat="false" ht="15" hidden="false" customHeight="false" outlineLevel="0" collapsed="false">
      <c r="A286" s="26" t="n">
        <v>4120150</v>
      </c>
      <c r="B286" s="26" t="s">
        <v>352</v>
      </c>
      <c r="C286" s="26" t="s">
        <v>71</v>
      </c>
      <c r="D286" s="28" t="n">
        <v>0.0344827586206896</v>
      </c>
      <c r="E286" s="28" t="n">
        <v>0.325358851674641</v>
      </c>
      <c r="F286" s="31" t="n">
        <v>0.537354837293183</v>
      </c>
      <c r="G286" s="30" t="n">
        <v>3.44827586206897</v>
      </c>
      <c r="H286" s="30" t="n">
        <v>50.7583493924774</v>
      </c>
      <c r="I286" s="30" t="n">
        <v>49.2355847714878</v>
      </c>
      <c r="J286" s="40" t="n">
        <f aca="false">(G286+H286+I286)/3</f>
        <v>34.4807366753447</v>
      </c>
      <c r="K286" s="41" t="n">
        <f aca="false">(J286-MIN(J$6:J$404))/(MAX(J$6:J$404)-MIN(J$6:J$404))*100</f>
        <v>42.8498818110548</v>
      </c>
    </row>
    <row r="287" customFormat="false" ht="15" hidden="false" customHeight="false" outlineLevel="0" collapsed="false">
      <c r="A287" s="26" t="n">
        <v>4120200</v>
      </c>
      <c r="B287" s="26" t="s">
        <v>353</v>
      </c>
      <c r="C287" s="26" t="s">
        <v>71</v>
      </c>
      <c r="D287" s="28" t="n">
        <v>0</v>
      </c>
      <c r="E287" s="28" t="n">
        <v>0.253164556962025</v>
      </c>
      <c r="F287" s="31" t="n">
        <v>0.525944781825206</v>
      </c>
      <c r="G287" s="30" t="n">
        <v>0</v>
      </c>
      <c r="H287" s="30" t="n">
        <v>38.3410594096087</v>
      </c>
      <c r="I287" s="30" t="n">
        <v>51.1347060583136</v>
      </c>
      <c r="J287" s="40" t="n">
        <f aca="false">(G287+H287+I287)/3</f>
        <v>29.8252551559741</v>
      </c>
      <c r="K287" s="41" t="n">
        <f aca="false">(J287-MIN(J$6:J$404))/(MAX(J$6:J$404)-MIN(J$6:J$404))*100</f>
        <v>35.6241797412145</v>
      </c>
    </row>
    <row r="288" customFormat="false" ht="15" hidden="false" customHeight="false" outlineLevel="0" collapsed="false">
      <c r="A288" s="26" t="n">
        <v>4120309</v>
      </c>
      <c r="B288" s="26" t="s">
        <v>354</v>
      </c>
      <c r="C288" s="26" t="s">
        <v>71</v>
      </c>
      <c r="D288" s="28" t="n">
        <v>0</v>
      </c>
      <c r="E288" s="28" t="n">
        <v>0.233050847457627</v>
      </c>
      <c r="F288" s="31" t="n">
        <v>0.412446293803041</v>
      </c>
      <c r="G288" s="30" t="n">
        <v>0</v>
      </c>
      <c r="H288" s="30" t="n">
        <v>34.8815372334934</v>
      </c>
      <c r="I288" s="30" t="n">
        <v>70.0257092817747</v>
      </c>
      <c r="J288" s="40" t="n">
        <f aca="false">(G288+H288+I288)/3</f>
        <v>34.969082171756</v>
      </c>
      <c r="K288" s="41" t="n">
        <f aca="false">(J288-MIN(J$6:J$404))/(MAX(J$6:J$404)-MIN(J$6:J$404))*100</f>
        <v>43.6078354297158</v>
      </c>
    </row>
    <row r="289" customFormat="false" ht="15" hidden="false" customHeight="false" outlineLevel="0" collapsed="false">
      <c r="A289" s="26" t="n">
        <v>4120333</v>
      </c>
      <c r="B289" s="26" t="s">
        <v>355</v>
      </c>
      <c r="C289" s="26" t="s">
        <v>71</v>
      </c>
      <c r="D289" s="28" t="n">
        <v>0</v>
      </c>
      <c r="E289" s="28" t="n">
        <v>0.256513026052104</v>
      </c>
      <c r="F289" s="31" t="n">
        <v>0.527166615889125</v>
      </c>
      <c r="G289" s="30" t="n">
        <v>0</v>
      </c>
      <c r="H289" s="30" t="n">
        <v>38.9169901234649</v>
      </c>
      <c r="I289" s="30" t="n">
        <v>50.931340607</v>
      </c>
      <c r="J289" s="40" t="n">
        <f aca="false">(G289+H289+I289)/3</f>
        <v>29.9494435768216</v>
      </c>
      <c r="K289" s="41" t="n">
        <f aca="false">(J289-MIN(J$6:J$404))/(MAX(J$6:J$404)-MIN(J$6:J$404))*100</f>
        <v>35.8169307006662</v>
      </c>
    </row>
    <row r="290" customFormat="false" ht="15" hidden="false" customHeight="false" outlineLevel="0" collapsed="false">
      <c r="A290" s="26" t="n">
        <v>4120358</v>
      </c>
      <c r="B290" s="26" t="s">
        <v>356</v>
      </c>
      <c r="C290" s="26" t="s">
        <v>65</v>
      </c>
      <c r="D290" s="28" t="n">
        <v>0</v>
      </c>
      <c r="E290" s="28" t="n">
        <v>0.196927374301676</v>
      </c>
      <c r="F290" s="31" t="n">
        <v>0.500234124437634</v>
      </c>
      <c r="G290" s="30" t="n">
        <v>0</v>
      </c>
      <c r="H290" s="30" t="n">
        <v>28.6683642514539</v>
      </c>
      <c r="I290" s="30" t="n">
        <v>55.4140592025693</v>
      </c>
      <c r="J290" s="40" t="n">
        <f aca="false">(G290+H290+I290)/3</f>
        <v>28.0274744846744</v>
      </c>
      <c r="K290" s="41" t="n">
        <f aca="false">(J290-MIN(J$6:J$404))/(MAX(J$6:J$404)-MIN(J$6:J$404))*100</f>
        <v>32.8338717003215</v>
      </c>
    </row>
    <row r="291" customFormat="false" ht="15" hidden="false" customHeight="false" outlineLevel="0" collapsed="false">
      <c r="A291" s="26" t="n">
        <v>4120408</v>
      </c>
      <c r="B291" s="26" t="s">
        <v>357</v>
      </c>
      <c r="C291" s="26" t="s">
        <v>71</v>
      </c>
      <c r="D291" s="28" t="n">
        <v>0.0689655172413793</v>
      </c>
      <c r="E291" s="28" t="n">
        <v>0.14018691588785</v>
      </c>
      <c r="F291" s="31" t="n">
        <v>0.398182317716304</v>
      </c>
      <c r="G291" s="30" t="n">
        <v>6.89655172413793</v>
      </c>
      <c r="H291" s="30" t="n">
        <v>18.9091065609393</v>
      </c>
      <c r="I291" s="30" t="n">
        <v>72.3998450339736</v>
      </c>
      <c r="J291" s="40" t="n">
        <f aca="false">(G291+H291+I291)/3</f>
        <v>32.7351677730169</v>
      </c>
      <c r="K291" s="41" t="n">
        <f aca="false">(J291-MIN(J$6:J$404))/(MAX(J$6:J$404)-MIN(J$6:J$404))*100</f>
        <v>40.1406108627934</v>
      </c>
    </row>
    <row r="292" customFormat="false" ht="15" hidden="false" customHeight="false" outlineLevel="0" collapsed="false">
      <c r="A292" s="26" t="n">
        <v>4120507</v>
      </c>
      <c r="B292" s="26" t="s">
        <v>358</v>
      </c>
      <c r="C292" s="26" t="s">
        <v>65</v>
      </c>
      <c r="D292" s="28" t="n">
        <v>0</v>
      </c>
      <c r="E292" s="28" t="n">
        <v>0.261244019138756</v>
      </c>
      <c r="F292" s="31" t="n">
        <v>0.415208506712437</v>
      </c>
      <c r="G292" s="30" t="n">
        <v>0</v>
      </c>
      <c r="H292" s="30" t="n">
        <v>39.7307124999734</v>
      </c>
      <c r="I292" s="30" t="n">
        <v>69.5659589019715</v>
      </c>
      <c r="J292" s="40" t="n">
        <f aca="false">(G292+H292+I292)/3</f>
        <v>36.4322238006483</v>
      </c>
      <c r="K292" s="41" t="n">
        <f aca="false">(J292-MIN(J$6:J$404))/(MAX(J$6:J$404)-MIN(J$6:J$404))*100</f>
        <v>45.8787553017778</v>
      </c>
    </row>
    <row r="293" customFormat="false" ht="15" hidden="false" customHeight="false" outlineLevel="0" collapsed="false">
      <c r="A293" s="26" t="n">
        <v>4120606</v>
      </c>
      <c r="B293" s="26" t="s">
        <v>359</v>
      </c>
      <c r="C293" s="26" t="s">
        <v>86</v>
      </c>
      <c r="D293" s="28" t="n">
        <v>0.0374707259953161</v>
      </c>
      <c r="E293" s="28" t="n">
        <v>0.26701405337123</v>
      </c>
      <c r="F293" s="31" t="n">
        <v>0.444803108243619</v>
      </c>
      <c r="G293" s="30" t="n">
        <v>3.74707259953162</v>
      </c>
      <c r="H293" s="30" t="n">
        <v>40.7231481011648</v>
      </c>
      <c r="I293" s="30" t="n">
        <v>64.6401513192886</v>
      </c>
      <c r="J293" s="40" t="n">
        <f aca="false">(G293+H293+I293)/3</f>
        <v>36.3701240066617</v>
      </c>
      <c r="K293" s="41" t="n">
        <f aca="false">(J293-MIN(J$6:J$404))/(MAX(J$6:J$404)-MIN(J$6:J$404))*100</f>
        <v>45.782371155889</v>
      </c>
    </row>
    <row r="294" customFormat="false" ht="15" hidden="false" customHeight="false" outlineLevel="0" collapsed="false">
      <c r="A294" s="26" t="n">
        <v>4120655</v>
      </c>
      <c r="B294" s="26" t="s">
        <v>360</v>
      </c>
      <c r="C294" s="26" t="s">
        <v>71</v>
      </c>
      <c r="D294" s="28" t="n">
        <v>0.0350877192982456</v>
      </c>
      <c r="E294" s="28" t="n">
        <v>0.201478743068392</v>
      </c>
      <c r="F294" s="31" t="n">
        <v>0.496764258849415</v>
      </c>
      <c r="G294" s="30" t="n">
        <v>3.50877192982456</v>
      </c>
      <c r="H294" s="30" t="n">
        <v>29.4511915651669</v>
      </c>
      <c r="I294" s="30" t="n">
        <v>55.9915932574654</v>
      </c>
      <c r="J294" s="40" t="n">
        <f aca="false">(G294+H294+I294)/3</f>
        <v>29.6505189174856</v>
      </c>
      <c r="K294" s="41" t="n">
        <f aca="false">(J294-MIN(J$6:J$404))/(MAX(J$6:J$404)-MIN(J$6:J$404))*100</f>
        <v>35.3529742826881</v>
      </c>
    </row>
    <row r="295" customFormat="false" ht="15" hidden="false" customHeight="false" outlineLevel="0" collapsed="false">
      <c r="A295" s="26" t="n">
        <v>4120705</v>
      </c>
      <c r="B295" s="26" t="s">
        <v>361</v>
      </c>
      <c r="C295" s="26" t="s">
        <v>65</v>
      </c>
      <c r="D295" s="28" t="n">
        <v>0.03125</v>
      </c>
      <c r="E295" s="28" t="n">
        <v>0.250770811921891</v>
      </c>
      <c r="F295" s="31" t="n">
        <v>0.447680877249672</v>
      </c>
      <c r="G295" s="30" t="n">
        <v>3.125</v>
      </c>
      <c r="H295" s="30" t="n">
        <v>37.9293395302647</v>
      </c>
      <c r="I295" s="30" t="n">
        <v>64.1611674621724</v>
      </c>
      <c r="J295" s="40" t="n">
        <f aca="false">(G295+H295+I295)/3</f>
        <v>35.0718356641457</v>
      </c>
      <c r="K295" s="41" t="n">
        <f aca="false">(J295-MIN(J$6:J$404))/(MAX(J$6:J$404)-MIN(J$6:J$404))*100</f>
        <v>43.7673175626711</v>
      </c>
    </row>
    <row r="296" customFormat="false" ht="15" hidden="false" customHeight="false" outlineLevel="0" collapsed="false">
      <c r="A296" s="26" t="n">
        <v>4120804</v>
      </c>
      <c r="B296" s="26" t="s">
        <v>362</v>
      </c>
      <c r="C296" s="26" t="s">
        <v>86</v>
      </c>
      <c r="D296" s="28" t="n">
        <v>0.0233644859813084</v>
      </c>
      <c r="E296" s="28" t="n">
        <v>0.154328732747804</v>
      </c>
      <c r="F296" s="31" t="n">
        <v>0.720594667566375</v>
      </c>
      <c r="G296" s="30" t="n">
        <v>2.33644859813084</v>
      </c>
      <c r="H296" s="30" t="n">
        <v>21.3414738488765</v>
      </c>
      <c r="I296" s="30" t="n">
        <v>18.7366390614679</v>
      </c>
      <c r="J296" s="40" t="n">
        <f aca="false">(G296+H296+I296)/3</f>
        <v>14.1381871694917</v>
      </c>
      <c r="K296" s="41" t="n">
        <f aca="false">(J296-MIN(J$6:J$404))/(MAX(J$6:J$404)-MIN(J$6:J$404))*100</f>
        <v>11.2765200742132</v>
      </c>
    </row>
    <row r="297" customFormat="false" ht="15" hidden="false" customHeight="false" outlineLevel="0" collapsed="false">
      <c r="A297" s="26" t="n">
        <v>4120853</v>
      </c>
      <c r="B297" s="26" t="s">
        <v>363</v>
      </c>
      <c r="C297" s="26" t="s">
        <v>71</v>
      </c>
      <c r="D297" s="28" t="n">
        <v>0</v>
      </c>
      <c r="E297" s="28" t="n">
        <v>0.0302491103202846</v>
      </c>
      <c r="F297" s="31" t="n">
        <v>0.595615477133677</v>
      </c>
      <c r="G297" s="30" t="n">
        <v>0</v>
      </c>
      <c r="H297" s="30" t="n">
        <v>0</v>
      </c>
      <c r="I297" s="30" t="n">
        <v>39.5385222448686</v>
      </c>
      <c r="J297" s="40" t="n">
        <f aca="false">(G297+H297+I297)/3</f>
        <v>13.1795074149562</v>
      </c>
      <c r="K297" s="41" t="n">
        <f aca="false">(J297-MIN(J$6:J$404))/(MAX(J$6:J$404)-MIN(J$6:J$404))*100</f>
        <v>9.78856780593789</v>
      </c>
    </row>
    <row r="298" customFormat="false" ht="15" hidden="false" customHeight="false" outlineLevel="0" collapsed="false">
      <c r="A298" s="26" t="n">
        <v>4120903</v>
      </c>
      <c r="B298" s="26" t="s">
        <v>364</v>
      </c>
      <c r="C298" s="26" t="s">
        <v>86</v>
      </c>
      <c r="D298" s="28" t="n">
        <v>0.053030303030303</v>
      </c>
      <c r="E298" s="28" t="n">
        <v>0.340263805052537</v>
      </c>
      <c r="F298" s="31" t="n">
        <v>0.452948243102466</v>
      </c>
      <c r="G298" s="30" t="n">
        <v>5.3030303030303</v>
      </c>
      <c r="H298" s="30" t="n">
        <v>53.3219748009841</v>
      </c>
      <c r="I298" s="30" t="n">
        <v>63.284452476464</v>
      </c>
      <c r="J298" s="40" t="n">
        <f aca="false">(G298+H298+I298)/3</f>
        <v>40.6364858601594</v>
      </c>
      <c r="K298" s="41" t="n">
        <f aca="false">(J298-MIN(J$6:J$404))/(MAX(J$6:J$404)-MIN(J$6:J$404))*100</f>
        <v>52.4041265097098</v>
      </c>
    </row>
    <row r="299" customFormat="false" ht="15" hidden="false" customHeight="false" outlineLevel="0" collapsed="false">
      <c r="A299" s="26" t="n">
        <v>4121000</v>
      </c>
      <c r="B299" s="26" t="s">
        <v>365</v>
      </c>
      <c r="C299" s="26" t="s">
        <v>65</v>
      </c>
      <c r="D299" s="28" t="n">
        <v>0</v>
      </c>
      <c r="E299" s="28" t="n">
        <v>0.31458469587966</v>
      </c>
      <c r="F299" s="31" t="n">
        <v>0.411125119823469</v>
      </c>
      <c r="G299" s="30" t="n">
        <v>0</v>
      </c>
      <c r="H299" s="30" t="n">
        <v>48.9052138038627</v>
      </c>
      <c r="I299" s="30" t="n">
        <v>70.2456091442466</v>
      </c>
      <c r="J299" s="40" t="n">
        <f aca="false">(G299+H299+I299)/3</f>
        <v>39.7169409827031</v>
      </c>
      <c r="K299" s="41" t="n">
        <f aca="false">(J299-MIN(J$6:J$404))/(MAX(J$6:J$404)-MIN(J$6:J$404))*100</f>
        <v>50.9769148890211</v>
      </c>
    </row>
    <row r="300" customFormat="false" ht="15" hidden="false" customHeight="false" outlineLevel="0" collapsed="false">
      <c r="A300" s="26" t="n">
        <v>4121109</v>
      </c>
      <c r="B300" s="26" t="s">
        <v>366</v>
      </c>
      <c r="C300" s="26" t="s">
        <v>65</v>
      </c>
      <c r="D300" s="28" t="n">
        <v>0</v>
      </c>
      <c r="E300" s="28" t="n">
        <v>0.260032102728732</v>
      </c>
      <c r="F300" s="31" t="n">
        <v>0.434387736898993</v>
      </c>
      <c r="G300" s="30" t="n">
        <v>0</v>
      </c>
      <c r="H300" s="30" t="n">
        <v>39.522265038049</v>
      </c>
      <c r="I300" s="30" t="n">
        <v>66.3737146210875</v>
      </c>
      <c r="J300" s="40" t="n">
        <f aca="false">(G300+H300+I300)/3</f>
        <v>35.2986598863788</v>
      </c>
      <c r="K300" s="41" t="n">
        <f aca="false">(J300-MIN(J$6:J$404))/(MAX(J$6:J$404)-MIN(J$6:J$404))*100</f>
        <v>44.1193679886604</v>
      </c>
    </row>
    <row r="301" customFormat="false" ht="15" hidden="false" customHeight="false" outlineLevel="0" collapsed="false">
      <c r="A301" s="26" t="n">
        <v>4121208</v>
      </c>
      <c r="B301" s="26" t="s">
        <v>367</v>
      </c>
      <c r="C301" s="26" t="s">
        <v>65</v>
      </c>
      <c r="D301" s="28" t="n">
        <v>0.0275229357798165</v>
      </c>
      <c r="E301" s="28" t="n">
        <v>0.190920661858294</v>
      </c>
      <c r="F301" s="31" t="n">
        <v>0.430276735196931</v>
      </c>
      <c r="G301" s="30" t="n">
        <v>2.75229357798165</v>
      </c>
      <c r="H301" s="30" t="n">
        <v>27.6352204199353</v>
      </c>
      <c r="I301" s="30" t="n">
        <v>67.0579611494655</v>
      </c>
      <c r="J301" s="40" t="n">
        <f aca="false">(G301+H301+I301)/3</f>
        <v>32.4818250491275</v>
      </c>
      <c r="K301" s="41" t="n">
        <f aca="false">(J301-MIN(J$6:J$404))/(MAX(J$6:J$404)-MIN(J$6:J$404))*100</f>
        <v>39.7474014736528</v>
      </c>
    </row>
    <row r="302" customFormat="false" ht="15" hidden="false" customHeight="false" outlineLevel="0" collapsed="false">
      <c r="A302" s="26" t="n">
        <v>4121257</v>
      </c>
      <c r="B302" s="26" t="s">
        <v>368</v>
      </c>
      <c r="C302" s="26" t="s">
        <v>71</v>
      </c>
      <c r="D302" s="28" t="n">
        <v>0</v>
      </c>
      <c r="E302" s="28" t="n">
        <v>0.166666666666667</v>
      </c>
      <c r="F302" s="31" t="n">
        <v>0.399982897023432</v>
      </c>
      <c r="G302" s="30" t="n">
        <v>0</v>
      </c>
      <c r="H302" s="30" t="n">
        <v>23.4635764869014</v>
      </c>
      <c r="I302" s="30" t="n">
        <v>72.1001516187765</v>
      </c>
      <c r="J302" s="40" t="n">
        <f aca="false">(G302+H302+I302)/3</f>
        <v>31.854576035226</v>
      </c>
      <c r="K302" s="41" t="n">
        <f aca="false">(J302-MIN(J$6:J$404))/(MAX(J$6:J$404)-MIN(J$6:J$404))*100</f>
        <v>38.773857817815</v>
      </c>
    </row>
    <row r="303" customFormat="false" ht="15" hidden="false" customHeight="false" outlineLevel="0" collapsed="false">
      <c r="A303" s="26" t="n">
        <v>4121307</v>
      </c>
      <c r="B303" s="26" t="s">
        <v>369</v>
      </c>
      <c r="C303" s="26" t="s">
        <v>71</v>
      </c>
      <c r="D303" s="28" t="n">
        <v>0</v>
      </c>
      <c r="E303" s="28" t="n">
        <v>0.311046511627907</v>
      </c>
      <c r="F303" s="31" t="n">
        <v>0.388191586768386</v>
      </c>
      <c r="G303" s="30" t="n">
        <v>0</v>
      </c>
      <c r="H303" s="30" t="n">
        <v>48.296652420422</v>
      </c>
      <c r="I303" s="30" t="n">
        <v>74.0627300100711</v>
      </c>
      <c r="J303" s="40" t="n">
        <f aca="false">(G303+H303+I303)/3</f>
        <v>40.7864608101644</v>
      </c>
      <c r="K303" s="41" t="n">
        <f aca="false">(J303-MIN(J$6:J$404))/(MAX(J$6:J$404)-MIN(J$6:J$404))*100</f>
        <v>52.6369003489283</v>
      </c>
    </row>
    <row r="304" customFormat="false" ht="15" hidden="false" customHeight="false" outlineLevel="0" collapsed="false">
      <c r="A304" s="26" t="n">
        <v>4121356</v>
      </c>
      <c r="B304" s="26" t="s">
        <v>370</v>
      </c>
      <c r="C304" s="26" t="s">
        <v>71</v>
      </c>
      <c r="D304" s="28" t="n">
        <v>0</v>
      </c>
      <c r="E304" s="28" t="n">
        <v>0.211180124223603</v>
      </c>
      <c r="F304" s="31" t="n">
        <v>0.519778691400214</v>
      </c>
      <c r="G304" s="30" t="n">
        <v>0</v>
      </c>
      <c r="H304" s="30" t="n">
        <v>31.1198118282795</v>
      </c>
      <c r="I304" s="30" t="n">
        <v>52.1610072551359</v>
      </c>
      <c r="J304" s="40" t="n">
        <f aca="false">(G304+H304+I304)/3</f>
        <v>27.7602730278051</v>
      </c>
      <c r="K304" s="41" t="n">
        <f aca="false">(J304-MIN(J$6:J$404))/(MAX(J$6:J$404)-MIN(J$6:J$404))*100</f>
        <v>32.419152382474</v>
      </c>
    </row>
    <row r="305" customFormat="false" ht="15" hidden="false" customHeight="false" outlineLevel="0" collapsed="false">
      <c r="A305" s="26" t="n">
        <v>4121406</v>
      </c>
      <c r="B305" s="26" t="s">
        <v>371</v>
      </c>
      <c r="C305" s="26" t="s">
        <v>65</v>
      </c>
      <c r="D305" s="28" t="n">
        <v>0</v>
      </c>
      <c r="E305" s="28" t="n">
        <v>0.124096897577561</v>
      </c>
      <c r="F305" s="31" t="n">
        <v>0.487129998750929</v>
      </c>
      <c r="G305" s="30" t="n">
        <v>0</v>
      </c>
      <c r="H305" s="30" t="n">
        <v>16.14165209679</v>
      </c>
      <c r="I305" s="30" t="n">
        <v>57.5951462364321</v>
      </c>
      <c r="J305" s="40" t="n">
        <f aca="false">(G305+H305+I305)/3</f>
        <v>24.5789327777407</v>
      </c>
      <c r="K305" s="41" t="n">
        <f aca="false">(J305-MIN(J$6:J$404))/(MAX(J$6:J$404)-MIN(J$6:J$404))*100</f>
        <v>27.4814425593097</v>
      </c>
    </row>
    <row r="306" customFormat="false" ht="15" hidden="false" customHeight="false" outlineLevel="0" collapsed="false">
      <c r="A306" s="26" t="n">
        <v>4121505</v>
      </c>
      <c r="B306" s="26" t="s">
        <v>372</v>
      </c>
      <c r="C306" s="26" t="s">
        <v>65</v>
      </c>
      <c r="D306" s="28" t="n">
        <v>0.018450184501845</v>
      </c>
      <c r="E306" s="28" t="n">
        <v>0.341261633919338</v>
      </c>
      <c r="F306" s="31" t="n">
        <v>0.406545143556634</v>
      </c>
      <c r="G306" s="30" t="n">
        <v>1.8450184501845</v>
      </c>
      <c r="H306" s="30" t="n">
        <v>53.4935995871485</v>
      </c>
      <c r="I306" s="30" t="n">
        <v>71.0079131002541</v>
      </c>
      <c r="J306" s="40" t="n">
        <f aca="false">(G306+H306+I306)/3</f>
        <v>42.1155103791957</v>
      </c>
      <c r="K306" s="41" t="n">
        <f aca="false">(J306-MIN(J$6:J$404))/(MAX(J$6:J$404)-MIN(J$6:J$404))*100</f>
        <v>54.6996979740316</v>
      </c>
    </row>
    <row r="307" customFormat="false" ht="15" hidden="false" customHeight="false" outlineLevel="0" collapsed="false">
      <c r="A307" s="26" t="n">
        <v>4121604</v>
      </c>
      <c r="B307" s="26" t="s">
        <v>373</v>
      </c>
      <c r="C307" s="26" t="s">
        <v>65</v>
      </c>
      <c r="D307" s="28" t="n">
        <v>0</v>
      </c>
      <c r="E307" s="28" t="n">
        <v>0.087719298245614</v>
      </c>
      <c r="F307" s="31" t="n">
        <v>0.481084649222907</v>
      </c>
      <c r="G307" s="30" t="n">
        <v>0</v>
      </c>
      <c r="H307" s="30" t="n">
        <v>9.88476986553443</v>
      </c>
      <c r="I307" s="30" t="n">
        <v>58.6013509833934</v>
      </c>
      <c r="J307" s="40" t="n">
        <f aca="false">(G307+H307+I307)/3</f>
        <v>22.8287069496426</v>
      </c>
      <c r="K307" s="41" t="n">
        <f aca="false">(J307-MIN(J$6:J$404))/(MAX(J$6:J$404)-MIN(J$6:J$404))*100</f>
        <v>24.7649436673785</v>
      </c>
    </row>
    <row r="308" customFormat="false" ht="15" hidden="false" customHeight="false" outlineLevel="0" collapsed="false">
      <c r="A308" s="26" t="n">
        <v>4121703</v>
      </c>
      <c r="B308" s="26" t="s">
        <v>374</v>
      </c>
      <c r="C308" s="26" t="s">
        <v>86</v>
      </c>
      <c r="D308" s="28" t="n">
        <v>0.0206185567010309</v>
      </c>
      <c r="E308" s="28" t="n">
        <v>0.370826010544815</v>
      </c>
      <c r="F308" s="31" t="n">
        <v>0.411071334344546</v>
      </c>
      <c r="G308" s="30" t="n">
        <v>2.06185567010309</v>
      </c>
      <c r="H308" s="30" t="n">
        <v>58.5786196594776</v>
      </c>
      <c r="I308" s="30" t="n">
        <v>70.2545613485749</v>
      </c>
      <c r="J308" s="40" t="n">
        <f aca="false">(G308+H308+I308)/3</f>
        <v>43.6316788927185</v>
      </c>
      <c r="K308" s="41" t="n">
        <f aca="false">(J308-MIN(J$6:J$404))/(MAX(J$6:J$404)-MIN(J$6:J$404))*100</f>
        <v>57.0529200673435</v>
      </c>
    </row>
    <row r="309" customFormat="false" ht="15" hidden="false" customHeight="false" outlineLevel="0" collapsed="false">
      <c r="A309" s="26" t="n">
        <v>4121752</v>
      </c>
      <c r="B309" s="26" t="s">
        <v>375</v>
      </c>
      <c r="C309" s="26" t="s">
        <v>65</v>
      </c>
      <c r="D309" s="28" t="n">
        <v>0</v>
      </c>
      <c r="E309" s="28" t="n">
        <v>0.341050756901158</v>
      </c>
      <c r="F309" s="31" t="n">
        <v>0.438525624533576</v>
      </c>
      <c r="G309" s="30" t="n">
        <v>0</v>
      </c>
      <c r="H309" s="30" t="n">
        <v>53.4573291159721</v>
      </c>
      <c r="I309" s="30" t="n">
        <v>65.6849931235115</v>
      </c>
      <c r="J309" s="40" t="n">
        <f aca="false">(G309+H309+I309)/3</f>
        <v>39.7141074131612</v>
      </c>
      <c r="K309" s="41" t="n">
        <f aca="false">(J309-MIN(J$6:J$404))/(MAX(J$6:J$404)-MIN(J$6:J$404))*100</f>
        <v>50.9725169488255</v>
      </c>
    </row>
    <row r="310" customFormat="false" ht="15" hidden="false" customHeight="false" outlineLevel="0" collapsed="false">
      <c r="A310" s="26" t="n">
        <v>4121802</v>
      </c>
      <c r="B310" s="26" t="s">
        <v>376</v>
      </c>
      <c r="C310" s="26" t="s">
        <v>65</v>
      </c>
      <c r="D310" s="28" t="n">
        <v>0.037037037037037</v>
      </c>
      <c r="E310" s="28" t="n">
        <v>0.238064516129032</v>
      </c>
      <c r="F310" s="31" t="n">
        <v>0.463783669958343</v>
      </c>
      <c r="G310" s="30" t="n">
        <v>3.7037037037037</v>
      </c>
      <c r="H310" s="30" t="n">
        <v>35.7438793066265</v>
      </c>
      <c r="I310" s="30" t="n">
        <v>61.4809739700193</v>
      </c>
      <c r="J310" s="40" t="n">
        <f aca="false">(G310+H310+I310)/3</f>
        <v>33.6428523267832</v>
      </c>
      <c r="K310" s="41" t="n">
        <f aca="false">(J310-MIN(J$6:J$404))/(MAX(J$6:J$404)-MIN(J$6:J$404))*100</f>
        <v>41.5494142554438</v>
      </c>
    </row>
    <row r="311" customFormat="false" ht="15" hidden="false" customHeight="false" outlineLevel="0" collapsed="false">
      <c r="A311" s="26" t="n">
        <v>4121901</v>
      </c>
      <c r="B311" s="26" t="s">
        <v>377</v>
      </c>
      <c r="C311" s="26" t="s">
        <v>65</v>
      </c>
      <c r="D311" s="28" t="n">
        <v>0.0769230769230769</v>
      </c>
      <c r="E311" s="28" t="n">
        <v>0.341756919374248</v>
      </c>
      <c r="F311" s="31" t="n">
        <v>0.282589978665162</v>
      </c>
      <c r="G311" s="30" t="n">
        <v>7.69230769230769</v>
      </c>
      <c r="H311" s="30" t="n">
        <v>53.5787878024</v>
      </c>
      <c r="I311" s="30" t="n">
        <v>91.6393546316353</v>
      </c>
      <c r="J311" s="40" t="n">
        <f aca="false">(G311+H311+I311)/3</f>
        <v>50.9701500421143</v>
      </c>
      <c r="K311" s="41" t="n">
        <f aca="false">(J311-MIN(J$6:J$404))/(MAX(J$6:J$404)-MIN(J$6:J$404))*100</f>
        <v>68.4428495414532</v>
      </c>
    </row>
    <row r="312" customFormat="false" ht="15" hidden="false" customHeight="false" outlineLevel="0" collapsed="false">
      <c r="A312" s="26" t="n">
        <v>4122008</v>
      </c>
      <c r="B312" s="26" t="s">
        <v>378</v>
      </c>
      <c r="C312" s="26" t="s">
        <v>65</v>
      </c>
      <c r="D312" s="28" t="n">
        <v>0.0409356725146198</v>
      </c>
      <c r="E312" s="28" t="n">
        <v>0.17550574084199</v>
      </c>
      <c r="F312" s="31" t="n">
        <v>0.468197068409376</v>
      </c>
      <c r="G312" s="30" t="n">
        <v>4.09356725146199</v>
      </c>
      <c r="H312" s="30" t="n">
        <v>24.9838814867908</v>
      </c>
      <c r="I312" s="30" t="n">
        <v>60.7463956878081</v>
      </c>
      <c r="J312" s="40" t="n">
        <f aca="false">(G312+H312+I312)/3</f>
        <v>29.9412814753536</v>
      </c>
      <c r="K312" s="41" t="n">
        <f aca="false">(J312-MIN(J$6:J$404))/(MAX(J$6:J$404)-MIN(J$6:J$404))*100</f>
        <v>35.8042624270996</v>
      </c>
    </row>
    <row r="313" customFormat="false" ht="15" hidden="false" customHeight="false" outlineLevel="0" collapsed="false">
      <c r="A313" s="26" t="n">
        <v>4122107</v>
      </c>
      <c r="B313" s="26" t="s">
        <v>379</v>
      </c>
      <c r="C313" s="26" t="s">
        <v>71</v>
      </c>
      <c r="D313" s="28" t="n">
        <v>0</v>
      </c>
      <c r="E313" s="28" t="n">
        <v>0.290229885057471</v>
      </c>
      <c r="F313" s="31" t="n">
        <v>0.382356753171235</v>
      </c>
      <c r="G313" s="30" t="n">
        <v>0</v>
      </c>
      <c r="H313" s="30" t="n">
        <v>44.716229762106</v>
      </c>
      <c r="I313" s="30" t="n">
        <v>75.0338959014671</v>
      </c>
      <c r="J313" s="40" t="n">
        <f aca="false">(G313+H313+I313)/3</f>
        <v>39.9167085545244</v>
      </c>
      <c r="K313" s="41" t="n">
        <f aca="false">(J313-MIN(J$6:J$404))/(MAX(J$6:J$404)-MIN(J$6:J$404))*100</f>
        <v>51.2869710993594</v>
      </c>
    </row>
    <row r="314" customFormat="false" ht="15" hidden="false" customHeight="false" outlineLevel="0" collapsed="false">
      <c r="A314" s="26" t="n">
        <v>4122156</v>
      </c>
      <c r="B314" s="26" t="s">
        <v>380</v>
      </c>
      <c r="C314" s="26" t="s">
        <v>65</v>
      </c>
      <c r="D314" s="28" t="n">
        <v>0.03690036900369</v>
      </c>
      <c r="E314" s="28" t="n">
        <v>0.428226196230063</v>
      </c>
      <c r="F314" s="31" t="n">
        <v>0.413904729695443</v>
      </c>
      <c r="G314" s="30" t="n">
        <v>3.690036900369</v>
      </c>
      <c r="H314" s="30" t="n">
        <v>68.4513492645177</v>
      </c>
      <c r="I314" s="30" t="n">
        <v>69.7829631657278</v>
      </c>
      <c r="J314" s="40" t="n">
        <f aca="false">(G314+H314+I314)/3</f>
        <v>47.3081164435382</v>
      </c>
      <c r="K314" s="41" t="n">
        <f aca="false">(J314-MIN(J$6:J$404))/(MAX(J$6:J$404)-MIN(J$6:J$404))*100</f>
        <v>62.7590628820157</v>
      </c>
    </row>
    <row r="315" customFormat="false" ht="15" hidden="false" customHeight="false" outlineLevel="0" collapsed="false">
      <c r="A315" s="26" t="n">
        <v>4122172</v>
      </c>
      <c r="B315" s="26" t="s">
        <v>381</v>
      </c>
      <c r="C315" s="26" t="s">
        <v>71</v>
      </c>
      <c r="D315" s="28" t="n">
        <v>0.2</v>
      </c>
      <c r="E315" s="28" t="n">
        <v>0.446886446886447</v>
      </c>
      <c r="F315" s="31" t="n">
        <v>0.232358627954237</v>
      </c>
      <c r="G315" s="30" t="n">
        <v>20</v>
      </c>
      <c r="H315" s="30" t="n">
        <v>71.6608791099952</v>
      </c>
      <c r="I315" s="30" t="n">
        <v>100</v>
      </c>
      <c r="J315" s="40" t="n">
        <f aca="false">(G315+H315+I315)/3</f>
        <v>63.8869597033317</v>
      </c>
      <c r="K315" s="41" t="n">
        <f aca="false">(J315-MIN(J$6:J$404))/(MAX(J$6:J$404)-MIN(J$6:J$404))*100</f>
        <v>88.4908333894072</v>
      </c>
    </row>
    <row r="316" customFormat="false" ht="15" hidden="false" customHeight="false" outlineLevel="0" collapsed="false">
      <c r="A316" s="26" t="n">
        <v>4122206</v>
      </c>
      <c r="B316" s="26" t="s">
        <v>382</v>
      </c>
      <c r="C316" s="26" t="s">
        <v>86</v>
      </c>
      <c r="D316" s="28" t="n">
        <v>0.0289389067524115</v>
      </c>
      <c r="E316" s="28" t="n">
        <v>0.310395314787701</v>
      </c>
      <c r="F316" s="31" t="n">
        <v>0.47507288021277</v>
      </c>
      <c r="G316" s="30" t="n">
        <v>2.89389067524116</v>
      </c>
      <c r="H316" s="30" t="n">
        <v>48.1846477248578</v>
      </c>
      <c r="I316" s="30" t="n">
        <v>59.6019664957958</v>
      </c>
      <c r="J316" s="40" t="n">
        <f aca="false">(G316+H316+I316)/3</f>
        <v>36.8935016319649</v>
      </c>
      <c r="K316" s="41" t="n">
        <f aca="false">(J316-MIN(J$6:J$404))/(MAX(J$6:J$404)-MIN(J$6:J$404))*100</f>
        <v>46.594697609066</v>
      </c>
    </row>
    <row r="317" customFormat="false" ht="15" hidden="false" customHeight="false" outlineLevel="0" collapsed="false">
      <c r="A317" s="26" t="n">
        <v>4122305</v>
      </c>
      <c r="B317" s="26" t="s">
        <v>383</v>
      </c>
      <c r="C317" s="26" t="s">
        <v>86</v>
      </c>
      <c r="D317" s="28" t="n">
        <v>0.0481927710843373</v>
      </c>
      <c r="E317" s="28" t="n">
        <v>0.132258064516129</v>
      </c>
      <c r="F317" s="31" t="n">
        <v>0.508722999120142</v>
      </c>
      <c r="G317" s="30" t="n">
        <v>4.81927710843374</v>
      </c>
      <c r="H317" s="30" t="n">
        <v>17.5453582605278</v>
      </c>
      <c r="I317" s="30" t="n">
        <v>54.0011473498626</v>
      </c>
      <c r="J317" s="40" t="n">
        <f aca="false">(G317+H317+I317)/3</f>
        <v>25.4552609062747</v>
      </c>
      <c r="K317" s="41" t="n">
        <f aca="false">(J317-MIN(J$6:J$404))/(MAX(J$6:J$404)-MIN(J$6:J$404))*100</f>
        <v>28.8415781211975</v>
      </c>
    </row>
    <row r="318" customFormat="false" ht="15" hidden="false" customHeight="false" outlineLevel="0" collapsed="false">
      <c r="A318" s="26" t="n">
        <v>4122404</v>
      </c>
      <c r="B318" s="26" t="s">
        <v>384</v>
      </c>
      <c r="C318" s="26" t="s">
        <v>129</v>
      </c>
      <c r="D318" s="28" t="n">
        <v>0.038235294117647</v>
      </c>
      <c r="E318" s="28" t="n">
        <v>0.139038520174815</v>
      </c>
      <c r="F318" s="31" t="n">
        <v>0.60285433910674</v>
      </c>
      <c r="G318" s="30" t="n">
        <v>3.82352941176471</v>
      </c>
      <c r="H318" s="30" t="n">
        <v>18.7115845456524</v>
      </c>
      <c r="I318" s="30" t="n">
        <v>38.3336659754121</v>
      </c>
      <c r="J318" s="40" t="n">
        <f aca="false">(G318+H318+I318)/3</f>
        <v>20.2895933109431</v>
      </c>
      <c r="K318" s="41" t="n">
        <f aca="false">(J318-MIN(J$6:J$404))/(MAX(J$6:J$404)-MIN(J$6:J$404))*100</f>
        <v>20.824024001309</v>
      </c>
    </row>
    <row r="319" customFormat="false" ht="15" hidden="false" customHeight="false" outlineLevel="0" collapsed="false">
      <c r="A319" s="26" t="n">
        <v>4122503</v>
      </c>
      <c r="B319" s="26" t="s">
        <v>385</v>
      </c>
      <c r="C319" s="26" t="s">
        <v>65</v>
      </c>
      <c r="D319" s="28" t="n">
        <v>0.009009009009009</v>
      </c>
      <c r="E319" s="28" t="n">
        <v>0.255390835579515</v>
      </c>
      <c r="F319" s="31" t="n">
        <v>0.450567369781323</v>
      </c>
      <c r="G319" s="30" t="n">
        <v>0.900900900900901</v>
      </c>
      <c r="H319" s="30" t="n">
        <v>38.7239753628162</v>
      </c>
      <c r="I319" s="30" t="n">
        <v>63.680731637254</v>
      </c>
      <c r="J319" s="40" t="n">
        <f aca="false">(G319+H319+I319)/3</f>
        <v>34.435202633657</v>
      </c>
      <c r="K319" s="41" t="n">
        <f aca="false">(J319-MIN(J$6:J$404))/(MAX(J$6:J$404)-MIN(J$6:J$404))*100</f>
        <v>42.7792091173921</v>
      </c>
    </row>
    <row r="320" customFormat="false" ht="15" hidden="false" customHeight="false" outlineLevel="0" collapsed="false">
      <c r="A320" s="26" t="n">
        <v>4122602</v>
      </c>
      <c r="B320" s="26" t="s">
        <v>386</v>
      </c>
      <c r="C320" s="26" t="s">
        <v>65</v>
      </c>
      <c r="D320" s="28" t="n">
        <v>0</v>
      </c>
      <c r="E320" s="28" t="n">
        <v>0.221153846153846</v>
      </c>
      <c r="F320" s="31" t="n">
        <v>0.519616022067142</v>
      </c>
      <c r="G320" s="30" t="n">
        <v>0</v>
      </c>
      <c r="H320" s="30" t="n">
        <v>32.8352742191696</v>
      </c>
      <c r="I320" s="30" t="n">
        <v>52.1880823902233</v>
      </c>
      <c r="J320" s="40" t="n">
        <f aca="false">(G320+H320+I320)/3</f>
        <v>28.3411188697977</v>
      </c>
      <c r="K320" s="41" t="n">
        <f aca="false">(J320-MIN(J$6:J$404))/(MAX(J$6:J$404)-MIN(J$6:J$404))*100</f>
        <v>33.3206743808496</v>
      </c>
    </row>
    <row r="321" customFormat="false" ht="15" hidden="false" customHeight="false" outlineLevel="0" collapsed="false">
      <c r="A321" s="26" t="n">
        <v>4122651</v>
      </c>
      <c r="B321" s="26" t="s">
        <v>387</v>
      </c>
      <c r="C321" s="26" t="s">
        <v>65</v>
      </c>
      <c r="D321" s="28" t="n">
        <v>0.0263157894736842</v>
      </c>
      <c r="E321" s="28" t="n">
        <v>0.34248788368336</v>
      </c>
      <c r="F321" s="31" t="n">
        <v>0.3468983292844</v>
      </c>
      <c r="G321" s="30" t="n">
        <v>2.63157894736842</v>
      </c>
      <c r="H321" s="30" t="n">
        <v>53.704512360407</v>
      </c>
      <c r="I321" s="30" t="n">
        <v>80.935694344934</v>
      </c>
      <c r="J321" s="40" t="n">
        <f aca="false">(G321+H321+I321)/3</f>
        <v>45.7572618842365</v>
      </c>
      <c r="K321" s="41" t="n">
        <f aca="false">(J321-MIN(J$6:J$404))/(MAX(J$6:J$404)-MIN(J$6:J$404))*100</f>
        <v>60.3520051045246</v>
      </c>
    </row>
    <row r="322" customFormat="false" ht="15" hidden="false" customHeight="false" outlineLevel="0" collapsed="false">
      <c r="A322" s="26" t="n">
        <v>4122701</v>
      </c>
      <c r="B322" s="26" t="s">
        <v>388</v>
      </c>
      <c r="C322" s="26" t="s">
        <v>65</v>
      </c>
      <c r="D322" s="28" t="n">
        <v>0.115384615384615</v>
      </c>
      <c r="E322" s="28" t="n">
        <v>0.138218151540383</v>
      </c>
      <c r="F322" s="31" t="n">
        <v>0.647425583961213</v>
      </c>
      <c r="G322" s="30" t="n">
        <v>11.5384615384615</v>
      </c>
      <c r="H322" s="30" t="n">
        <v>18.5704826030801</v>
      </c>
      <c r="I322" s="30" t="n">
        <v>30.9151043285372</v>
      </c>
      <c r="J322" s="40" t="n">
        <f aca="false">(G322+H322+I322)/3</f>
        <v>20.3413494900263</v>
      </c>
      <c r="K322" s="41" t="n">
        <f aca="false">(J322-MIN(J$6:J$404))/(MAX(J$6:J$404)-MIN(J$6:J$404))*100</f>
        <v>20.9043539798026</v>
      </c>
    </row>
    <row r="323" customFormat="false" ht="15" hidden="false" customHeight="false" outlineLevel="0" collapsed="false">
      <c r="A323" s="26" t="n">
        <v>4122800</v>
      </c>
      <c r="B323" s="26" t="s">
        <v>389</v>
      </c>
      <c r="C323" s="26" t="s">
        <v>71</v>
      </c>
      <c r="D323" s="28" t="n">
        <v>0</v>
      </c>
      <c r="E323" s="28" t="n">
        <v>0.14638783269962</v>
      </c>
      <c r="F323" s="31" t="n">
        <v>0.405080797582324</v>
      </c>
      <c r="G323" s="30" t="n">
        <v>0</v>
      </c>
      <c r="H323" s="30" t="n">
        <v>19.9756531975938</v>
      </c>
      <c r="I323" s="30" t="n">
        <v>71.2516429067301</v>
      </c>
      <c r="J323" s="40" t="n">
        <f aca="false">(G323+H323+I323)/3</f>
        <v>30.4090987014413</v>
      </c>
      <c r="K323" s="41" t="n">
        <f aca="false">(J323-MIN(J$6:J$404))/(MAX(J$6:J$404)-MIN(J$6:J$404))*100</f>
        <v>36.5303544295668</v>
      </c>
    </row>
    <row r="324" customFormat="false" ht="15" hidden="false" customHeight="false" outlineLevel="0" collapsed="false">
      <c r="A324" s="26" t="n">
        <v>4122909</v>
      </c>
      <c r="B324" s="26" t="s">
        <v>390</v>
      </c>
      <c r="C324" s="26" t="s">
        <v>65</v>
      </c>
      <c r="D324" s="28" t="n">
        <v>0.0697674418604651</v>
      </c>
      <c r="E324" s="28" t="n">
        <v>0.252713178294574</v>
      </c>
      <c r="F324" s="31" t="n">
        <v>0.345190710422876</v>
      </c>
      <c r="G324" s="30" t="n">
        <v>6.97674418604651</v>
      </c>
      <c r="H324" s="30" t="n">
        <v>38.2634230835231</v>
      </c>
      <c r="I324" s="30" t="n">
        <v>81.2199151656658</v>
      </c>
      <c r="J324" s="40" t="n">
        <f aca="false">(G324+H324+I324)/3</f>
        <v>42.1533608117451</v>
      </c>
      <c r="K324" s="41" t="n">
        <f aca="false">(J324-MIN(J$6:J$404))/(MAX(J$6:J$404)-MIN(J$6:J$404))*100</f>
        <v>54.7584450547962</v>
      </c>
    </row>
    <row r="325" customFormat="false" ht="15" hidden="false" customHeight="false" outlineLevel="0" collapsed="false">
      <c r="A325" s="26" t="n">
        <v>4123006</v>
      </c>
      <c r="B325" s="26" t="s">
        <v>391</v>
      </c>
      <c r="C325" s="26" t="s">
        <v>65</v>
      </c>
      <c r="D325" s="28" t="n">
        <v>0.0127795527156549</v>
      </c>
      <c r="E325" s="28" t="n">
        <v>0.173353145121347</v>
      </c>
      <c r="F325" s="31" t="n">
        <v>0.395547864978128</v>
      </c>
      <c r="G325" s="30" t="n">
        <v>1.2779552715655</v>
      </c>
      <c r="H325" s="30" t="n">
        <v>24.6136388604793</v>
      </c>
      <c r="I325" s="30" t="n">
        <v>72.8383306564359</v>
      </c>
      <c r="J325" s="40" t="n">
        <f aca="false">(G325+H325+I325)/3</f>
        <v>32.9099749294936</v>
      </c>
      <c r="K325" s="41" t="n">
        <f aca="false">(J325-MIN(J$6:J$404))/(MAX(J$6:J$404)-MIN(J$6:J$404))*100</f>
        <v>40.4119263920508</v>
      </c>
    </row>
    <row r="326" customFormat="false" ht="15" hidden="false" customHeight="false" outlineLevel="0" collapsed="false">
      <c r="A326" s="26" t="n">
        <v>4123105</v>
      </c>
      <c r="B326" s="26" t="s">
        <v>392</v>
      </c>
      <c r="C326" s="26" t="s">
        <v>71</v>
      </c>
      <c r="D326" s="28" t="n">
        <v>0.142857142857143</v>
      </c>
      <c r="E326" s="28" t="n">
        <v>0.336538461538462</v>
      </c>
      <c r="F326" s="31" t="n">
        <v>0.363818354985758</v>
      </c>
      <c r="G326" s="30" t="n">
        <v>14.2857142857143</v>
      </c>
      <c r="H326" s="30" t="n">
        <v>52.6812223580906</v>
      </c>
      <c r="I326" s="30" t="n">
        <v>78.1194783262414</v>
      </c>
      <c r="J326" s="40" t="n">
        <f aca="false">(G326+H326+I326)/3</f>
        <v>48.3621383233487</v>
      </c>
      <c r="K326" s="41" t="n">
        <f aca="false">(J326-MIN(J$6:J$404))/(MAX(J$6:J$404)-MIN(J$6:J$404))*100</f>
        <v>64.3949942130532</v>
      </c>
    </row>
    <row r="327" customFormat="false" ht="15" hidden="false" customHeight="false" outlineLevel="0" collapsed="false">
      <c r="A327" s="26" t="n">
        <v>4123204</v>
      </c>
      <c r="B327" s="26" t="s">
        <v>393</v>
      </c>
      <c r="C327" s="26" t="s">
        <v>71</v>
      </c>
      <c r="D327" s="28" t="n">
        <v>0</v>
      </c>
      <c r="E327" s="28" t="n">
        <v>0.271028037383178</v>
      </c>
      <c r="F327" s="31" t="n">
        <v>0.402119303552447</v>
      </c>
      <c r="G327" s="30" t="n">
        <v>0</v>
      </c>
      <c r="H327" s="30" t="n">
        <v>41.4135461951051</v>
      </c>
      <c r="I327" s="30" t="n">
        <v>71.7445621890887</v>
      </c>
      <c r="J327" s="40" t="n">
        <f aca="false">(G327+H327+I327)/3</f>
        <v>37.7193694613979</v>
      </c>
      <c r="K327" s="41" t="n">
        <f aca="false">(J327-MIN(J$6:J$404))/(MAX(J$6:J$404)-MIN(J$6:J$404))*100</f>
        <v>47.876514508074</v>
      </c>
    </row>
    <row r="328" customFormat="false" ht="15" hidden="false" customHeight="false" outlineLevel="0" collapsed="false">
      <c r="A328" s="26" t="n">
        <v>4123303</v>
      </c>
      <c r="B328" s="26" t="s">
        <v>394</v>
      </c>
      <c r="C328" s="26" t="s">
        <v>65</v>
      </c>
      <c r="D328" s="28" t="n">
        <v>0.0384615384615384</v>
      </c>
      <c r="E328" s="28" t="n">
        <v>0.298630136986301</v>
      </c>
      <c r="F328" s="31" t="n">
        <v>0.398289184726045</v>
      </c>
      <c r="G328" s="30" t="n">
        <v>3.84615384615385</v>
      </c>
      <c r="H328" s="30" t="n">
        <v>46.1610581179291</v>
      </c>
      <c r="I328" s="30" t="n">
        <v>72.3820577923927</v>
      </c>
      <c r="J328" s="40" t="n">
        <f aca="false">(G328+H328+I328)/3</f>
        <v>40.7964232521586</v>
      </c>
      <c r="K328" s="41" t="n">
        <f aca="false">(J328-MIN(J$6:J$404))/(MAX(J$6:J$404)-MIN(J$6:J$404))*100</f>
        <v>52.6523629036476</v>
      </c>
    </row>
    <row r="329" customFormat="false" ht="15" hidden="false" customHeight="false" outlineLevel="0" collapsed="false">
      <c r="A329" s="26" t="n">
        <v>4123402</v>
      </c>
      <c r="B329" s="26" t="s">
        <v>395</v>
      </c>
      <c r="C329" s="26" t="s">
        <v>65</v>
      </c>
      <c r="D329" s="28" t="n">
        <v>0</v>
      </c>
      <c r="E329" s="28" t="n">
        <v>0.143708116157856</v>
      </c>
      <c r="F329" s="31" t="n">
        <v>0.460492011021118</v>
      </c>
      <c r="G329" s="30" t="n">
        <v>0</v>
      </c>
      <c r="H329" s="30" t="n">
        <v>19.5147467297983</v>
      </c>
      <c r="I329" s="30" t="n">
        <v>62.028846815528</v>
      </c>
      <c r="J329" s="40" t="n">
        <f aca="false">(G329+H329+I329)/3</f>
        <v>27.1811978484421</v>
      </c>
      <c r="K329" s="41" t="n">
        <f aca="false">(J329-MIN(J$6:J$404))/(MAX(J$6:J$404)-MIN(J$6:J$404))*100</f>
        <v>31.5203786026391</v>
      </c>
    </row>
    <row r="330" customFormat="false" ht="15" hidden="false" customHeight="false" outlineLevel="0" collapsed="false">
      <c r="A330" s="26" t="n">
        <v>4123501</v>
      </c>
      <c r="B330" s="26" t="s">
        <v>396</v>
      </c>
      <c r="C330" s="26" t="s">
        <v>86</v>
      </c>
      <c r="D330" s="28" t="n">
        <v>0.032</v>
      </c>
      <c r="E330" s="28" t="n">
        <v>0.151943462897527</v>
      </c>
      <c r="F330" s="31" t="n">
        <v>0.541305306181732</v>
      </c>
      <c r="G330" s="30" t="n">
        <v>3.2</v>
      </c>
      <c r="H330" s="30" t="n">
        <v>20.9312116870784</v>
      </c>
      <c r="I330" s="30" t="n">
        <v>48.5780577699546</v>
      </c>
      <c r="J330" s="40" t="n">
        <f aca="false">(G330+H330+I330)/3</f>
        <v>24.2364231523443</v>
      </c>
      <c r="K330" s="41" t="n">
        <f aca="false">(J330-MIN(J$6:J$404))/(MAX(J$6:J$404)-MIN(J$6:J$404))*100</f>
        <v>26.9498385783102</v>
      </c>
    </row>
    <row r="331" customFormat="false" ht="15" hidden="false" customHeight="false" outlineLevel="0" collapsed="false">
      <c r="A331" s="26" t="n">
        <v>4123600</v>
      </c>
      <c r="B331" s="26" t="s">
        <v>397</v>
      </c>
      <c r="C331" s="26" t="s">
        <v>71</v>
      </c>
      <c r="D331" s="28" t="n">
        <v>0</v>
      </c>
      <c r="E331" s="28" t="n">
        <v>0.251184834123223</v>
      </c>
      <c r="F331" s="31" t="n">
        <v>0.417382813403051</v>
      </c>
      <c r="G331" s="30" t="n">
        <v>0</v>
      </c>
      <c r="H331" s="30" t="n">
        <v>38.0005506107766</v>
      </c>
      <c r="I331" s="30" t="n">
        <v>69.2040612642412</v>
      </c>
      <c r="J331" s="40" t="n">
        <f aca="false">(G331+H331+I331)/3</f>
        <v>35.7348706250059</v>
      </c>
      <c r="K331" s="41" t="n">
        <f aca="false">(J331-MIN(J$6:J$404))/(MAX(J$6:J$404)-MIN(J$6:J$404))*100</f>
        <v>44.7964040425831</v>
      </c>
    </row>
    <row r="332" customFormat="false" ht="15" hidden="false" customHeight="false" outlineLevel="0" collapsed="false">
      <c r="A332" s="26" t="n">
        <v>4123709</v>
      </c>
      <c r="B332" s="26" t="s">
        <v>398</v>
      </c>
      <c r="C332" s="26" t="s">
        <v>65</v>
      </c>
      <c r="D332" s="28" t="n">
        <v>0</v>
      </c>
      <c r="E332" s="28" t="n">
        <v>0.132776230269267</v>
      </c>
      <c r="F332" s="31" t="n">
        <v>0.392908973311158</v>
      </c>
      <c r="G332" s="30" t="n">
        <v>0</v>
      </c>
      <c r="H332" s="30" t="n">
        <v>17.6344818462837</v>
      </c>
      <c r="I332" s="30" t="n">
        <v>73.2775551065216</v>
      </c>
      <c r="J332" s="40" t="n">
        <f aca="false">(G332+H332+I332)/3</f>
        <v>30.3040123176017</v>
      </c>
      <c r="K332" s="41" t="n">
        <f aca="false">(J332-MIN(J$6:J$404))/(MAX(J$6:J$404)-MIN(J$6:J$404))*100</f>
        <v>36.3672514512686</v>
      </c>
    </row>
    <row r="333" customFormat="false" ht="15" hidden="false" customHeight="false" outlineLevel="0" collapsed="false">
      <c r="A333" s="26" t="n">
        <v>4123808</v>
      </c>
      <c r="B333" s="26" t="s">
        <v>399</v>
      </c>
      <c r="C333" s="26" t="s">
        <v>65</v>
      </c>
      <c r="D333" s="28" t="n">
        <v>0.0606060606060606</v>
      </c>
      <c r="E333" s="28" t="n">
        <v>0.125205930807249</v>
      </c>
      <c r="F333" s="31" t="n">
        <v>0.436512497178011</v>
      </c>
      <c r="G333" s="30" t="n">
        <v>6.06060606060606</v>
      </c>
      <c r="H333" s="30" t="n">
        <v>16.3324038351163</v>
      </c>
      <c r="I333" s="30" t="n">
        <v>66.0200636255591</v>
      </c>
      <c r="J333" s="40" t="n">
        <f aca="false">(G333+H333+I333)/3</f>
        <v>29.4710245070938</v>
      </c>
      <c r="K333" s="41" t="n">
        <f aca="false">(J333-MIN(J$6:J$404))/(MAX(J$6:J$404)-MIN(J$6:J$404))*100</f>
        <v>35.0743837379085</v>
      </c>
    </row>
    <row r="334" customFormat="false" ht="15" hidden="false" customHeight="false" outlineLevel="0" collapsed="false">
      <c r="A334" s="26" t="n">
        <v>4123824</v>
      </c>
      <c r="B334" s="26" t="s">
        <v>400</v>
      </c>
      <c r="C334" s="26" t="s">
        <v>71</v>
      </c>
      <c r="D334" s="28" t="n">
        <v>0.0465116279069767</v>
      </c>
      <c r="E334" s="28" t="n">
        <v>0.196868008948546</v>
      </c>
      <c r="F334" s="31" t="n">
        <v>0.420017166627564</v>
      </c>
      <c r="G334" s="30" t="n">
        <v>4.65116279069768</v>
      </c>
      <c r="H334" s="30" t="n">
        <v>28.6581535165519</v>
      </c>
      <c r="I334" s="30" t="n">
        <v>68.7655922051089</v>
      </c>
      <c r="J334" s="40" t="n">
        <f aca="false">(G334+H334+I334)/3</f>
        <v>34.0249695041195</v>
      </c>
      <c r="K334" s="41" t="n">
        <f aca="false">(J334-MIN(J$6:J$404))/(MAX(J$6:J$404)-MIN(J$6:J$404))*100</f>
        <v>42.1424925154932</v>
      </c>
    </row>
    <row r="335" customFormat="false" ht="15" hidden="false" customHeight="false" outlineLevel="0" collapsed="false">
      <c r="A335" s="26" t="n">
        <v>4123857</v>
      </c>
      <c r="B335" s="26" t="s">
        <v>401</v>
      </c>
      <c r="C335" s="26" t="s">
        <v>65</v>
      </c>
      <c r="D335" s="28" t="n">
        <v>0.0256410256410256</v>
      </c>
      <c r="E335" s="28" t="n">
        <v>0.4375</v>
      </c>
      <c r="F335" s="31" t="n">
        <v>0.402168792981911</v>
      </c>
      <c r="G335" s="30" t="n">
        <v>2.56410256410256</v>
      </c>
      <c r="H335" s="30" t="n">
        <v>70.0464269796464</v>
      </c>
      <c r="I335" s="30" t="n">
        <v>71.7363250311509</v>
      </c>
      <c r="J335" s="40" t="n">
        <f aca="false">(G335+H335+I335)/3</f>
        <v>48.1156181916333</v>
      </c>
      <c r="K335" s="41" t="n">
        <f aca="false">(J335-MIN(J$6:J$404))/(MAX(J$6:J$404)-MIN(J$6:J$404))*100</f>
        <v>64.0123740654741</v>
      </c>
    </row>
    <row r="336" customFormat="false" ht="15" hidden="false" customHeight="false" outlineLevel="0" collapsed="false">
      <c r="A336" s="26" t="n">
        <v>4123907</v>
      </c>
      <c r="B336" s="26" t="s">
        <v>402</v>
      </c>
      <c r="C336" s="26" t="s">
        <v>65</v>
      </c>
      <c r="D336" s="28" t="n">
        <v>0</v>
      </c>
      <c r="E336" s="28" t="n">
        <v>0.394388152766952</v>
      </c>
      <c r="F336" s="31" t="n">
        <v>0.43952394625254</v>
      </c>
      <c r="G336" s="30" t="n">
        <v>0</v>
      </c>
      <c r="H336" s="30" t="n">
        <v>62.6312661151918</v>
      </c>
      <c r="I336" s="30" t="n">
        <v>65.5188296869792</v>
      </c>
      <c r="J336" s="40" t="n">
        <f aca="false">(G336+H336+I336)/3</f>
        <v>42.7166986007237</v>
      </c>
      <c r="K336" s="41" t="n">
        <f aca="false">(J336-MIN(J$6:J$404))/(MAX(J$6:J$404)-MIN(J$6:J$404))*100</f>
        <v>55.6327930703355</v>
      </c>
    </row>
    <row r="337" customFormat="false" ht="15" hidden="false" customHeight="false" outlineLevel="0" collapsed="false">
      <c r="A337" s="26" t="n">
        <v>4123956</v>
      </c>
      <c r="B337" s="26" t="s">
        <v>403</v>
      </c>
      <c r="C337" s="26" t="s">
        <v>71</v>
      </c>
      <c r="D337" s="28" t="n">
        <v>0.0454545454545454</v>
      </c>
      <c r="E337" s="28" t="n">
        <v>0.342213114754098</v>
      </c>
      <c r="F337" s="31" t="n">
        <v>0.396896511646898</v>
      </c>
      <c r="G337" s="30" t="n">
        <v>4.54545454545455</v>
      </c>
      <c r="H337" s="30" t="n">
        <v>53.657252594431</v>
      </c>
      <c r="I337" s="30" t="n">
        <v>72.6138581633568</v>
      </c>
      <c r="J337" s="40" t="n">
        <f aca="false">(G337+H337+I337)/3</f>
        <v>43.6055217677474</v>
      </c>
      <c r="K337" s="41" t="n">
        <f aca="false">(J337-MIN(J$6:J$404))/(MAX(J$6:J$404)-MIN(J$6:J$404))*100</f>
        <v>57.01232199145</v>
      </c>
    </row>
    <row r="338" customFormat="false" ht="15" hidden="false" customHeight="false" outlineLevel="0" collapsed="false">
      <c r="A338" s="26" t="n">
        <v>4124020</v>
      </c>
      <c r="B338" s="26" t="s">
        <v>404</v>
      </c>
      <c r="C338" s="26" t="s">
        <v>65</v>
      </c>
      <c r="D338" s="28" t="n">
        <v>0.0357142857142857</v>
      </c>
      <c r="E338" s="28" t="n">
        <v>0.238002908385846</v>
      </c>
      <c r="F338" s="31" t="n">
        <v>0.545002218714545</v>
      </c>
      <c r="G338" s="30" t="n">
        <v>3.57142857142857</v>
      </c>
      <c r="H338" s="30" t="n">
        <v>35.7332828846325</v>
      </c>
      <c r="I338" s="30" t="n">
        <v>47.9627333917075</v>
      </c>
      <c r="J338" s="40" t="n">
        <f aca="false">(G338+H338+I338)/3</f>
        <v>29.0891482825895</v>
      </c>
      <c r="K338" s="41" t="n">
        <f aca="false">(J338-MIN(J$6:J$404))/(MAX(J$6:J$404)-MIN(J$6:J$404))*100</f>
        <v>34.4816794570855</v>
      </c>
    </row>
    <row r="339" customFormat="false" ht="15" hidden="false" customHeight="false" outlineLevel="0" collapsed="false">
      <c r="A339" s="26" t="n">
        <v>4124053</v>
      </c>
      <c r="B339" s="26" t="s">
        <v>405</v>
      </c>
      <c r="C339" s="26" t="s">
        <v>86</v>
      </c>
      <c r="D339" s="28" t="n">
        <v>0.0588235294117647</v>
      </c>
      <c r="E339" s="28" t="n">
        <v>0.15001565925462</v>
      </c>
      <c r="F339" s="31" t="n">
        <v>0.44390151239057</v>
      </c>
      <c r="G339" s="30" t="n">
        <v>5.88235294117647</v>
      </c>
      <c r="H339" s="30" t="n">
        <v>20.599632897379</v>
      </c>
      <c r="I339" s="30" t="n">
        <v>64.7902154343533</v>
      </c>
      <c r="J339" s="40" t="n">
        <f aca="false">(G339+H339+I339)/3</f>
        <v>30.4240670909696</v>
      </c>
      <c r="K339" s="41" t="n">
        <f aca="false">(J339-MIN(J$6:J$404))/(MAX(J$6:J$404)-MIN(J$6:J$404))*100</f>
        <v>36.5535866393278</v>
      </c>
    </row>
    <row r="340" customFormat="false" ht="15" hidden="false" customHeight="false" outlineLevel="0" collapsed="false">
      <c r="A340" s="26" t="n">
        <v>4124004</v>
      </c>
      <c r="B340" s="26" t="s">
        <v>406</v>
      </c>
      <c r="C340" s="26" t="s">
        <v>65</v>
      </c>
      <c r="D340" s="28" t="n">
        <v>0</v>
      </c>
      <c r="E340" s="28" t="n">
        <v>0.258992805755396</v>
      </c>
      <c r="F340" s="31" t="n">
        <v>0.379471813367311</v>
      </c>
      <c r="G340" s="30" t="n">
        <v>0</v>
      </c>
      <c r="H340" s="30" t="n">
        <v>39.3435078114896</v>
      </c>
      <c r="I340" s="30" t="n">
        <v>75.5140732860749</v>
      </c>
      <c r="J340" s="40" t="n">
        <f aca="false">(G340+H340+I340)/3</f>
        <v>38.2858603658548</v>
      </c>
      <c r="K340" s="41" t="n">
        <f aca="false">(J340-MIN(J$6:J$404))/(MAX(J$6:J$404)-MIN(J$6:J$404))*100</f>
        <v>48.7557564261975</v>
      </c>
    </row>
    <row r="341" customFormat="false" ht="15" hidden="false" customHeight="false" outlineLevel="0" collapsed="false">
      <c r="A341" s="26" t="n">
        <v>4124103</v>
      </c>
      <c r="B341" s="26" t="s">
        <v>407</v>
      </c>
      <c r="C341" s="26" t="s">
        <v>86</v>
      </c>
      <c r="D341" s="28" t="n">
        <v>0.0239043824701195</v>
      </c>
      <c r="E341" s="28" t="n">
        <v>0.244421015638728</v>
      </c>
      <c r="F341" s="31" t="n">
        <v>0.457397207701044</v>
      </c>
      <c r="G341" s="30" t="n">
        <v>2.39043824701195</v>
      </c>
      <c r="H341" s="30" t="n">
        <v>36.8371858899522</v>
      </c>
      <c r="I341" s="30" t="n">
        <v>62.543954465985</v>
      </c>
      <c r="J341" s="40" t="n">
        <f aca="false">(G341+H341+I341)/3</f>
        <v>33.9238595343164</v>
      </c>
      <c r="K341" s="41" t="n">
        <f aca="false">(J341-MIN(J$6:J$404))/(MAX(J$6:J$404)-MIN(J$6:J$404))*100</f>
        <v>41.9855612689513</v>
      </c>
    </row>
    <row r="342" customFormat="false" ht="15" hidden="false" customHeight="false" outlineLevel="0" collapsed="false">
      <c r="A342" s="26" t="n">
        <v>4124202</v>
      </c>
      <c r="B342" s="26" t="s">
        <v>408</v>
      </c>
      <c r="C342" s="26" t="s">
        <v>71</v>
      </c>
      <c r="D342" s="28" t="n">
        <v>0.125</v>
      </c>
      <c r="E342" s="28" t="n">
        <v>0.304635761589404</v>
      </c>
      <c r="F342" s="31" t="n">
        <v>0.369746643244614</v>
      </c>
      <c r="G342" s="30" t="n">
        <v>12.5</v>
      </c>
      <c r="H342" s="30" t="n">
        <v>47.1940148428591</v>
      </c>
      <c r="I342" s="30" t="n">
        <v>77.1327575816815</v>
      </c>
      <c r="J342" s="40" t="n">
        <f aca="false">(G342+H342+I342)/3</f>
        <v>45.6089241415135</v>
      </c>
      <c r="K342" s="41" t="n">
        <f aca="false">(J342-MIN(J$6:J$404))/(MAX(J$6:J$404)-MIN(J$6:J$404))*100</f>
        <v>60.1217723498313</v>
      </c>
    </row>
    <row r="343" customFormat="false" ht="15" hidden="false" customHeight="false" outlineLevel="0" collapsed="false">
      <c r="A343" s="26" t="n">
        <v>4124301</v>
      </c>
      <c r="B343" s="26" t="s">
        <v>409</v>
      </c>
      <c r="C343" s="26" t="s">
        <v>71</v>
      </c>
      <c r="D343" s="28" t="n">
        <v>0.0555555555555555</v>
      </c>
      <c r="E343" s="28" t="n">
        <v>0.252293577981651</v>
      </c>
      <c r="F343" s="31" t="n">
        <v>0.419316244001654</v>
      </c>
      <c r="G343" s="30" t="n">
        <v>5.55555555555556</v>
      </c>
      <c r="H343" s="30" t="n">
        <v>38.1912525777622</v>
      </c>
      <c r="I343" s="30" t="n">
        <v>68.8822557115239</v>
      </c>
      <c r="J343" s="40" t="n">
        <f aca="false">(G343+H343+I343)/3</f>
        <v>37.5430212816139</v>
      </c>
      <c r="K343" s="41" t="n">
        <f aca="false">(J343-MIN(J$6:J$404))/(MAX(J$6:J$404)-MIN(J$6:J$404))*100</f>
        <v>47.6028071799757</v>
      </c>
    </row>
    <row r="344" customFormat="false" ht="15" hidden="false" customHeight="false" outlineLevel="0" collapsed="false">
      <c r="A344" s="26" t="n">
        <v>4124400</v>
      </c>
      <c r="B344" s="26" t="s">
        <v>410</v>
      </c>
      <c r="C344" s="26" t="s">
        <v>86</v>
      </c>
      <c r="D344" s="28" t="n">
        <v>0.0510948905109489</v>
      </c>
      <c r="E344" s="28" t="n">
        <v>0.163687676387582</v>
      </c>
      <c r="F344" s="31" t="n">
        <v>0.472282528336562</v>
      </c>
      <c r="G344" s="30" t="n">
        <v>5.10948905109489</v>
      </c>
      <c r="H344" s="30" t="n">
        <v>22.9511954698309</v>
      </c>
      <c r="I344" s="30" t="n">
        <v>60.0664004033007</v>
      </c>
      <c r="J344" s="40" t="n">
        <f aca="false">(G344+H344+I344)/3</f>
        <v>29.3756949747422</v>
      </c>
      <c r="K344" s="41" t="n">
        <f aca="false">(J344-MIN(J$6:J$404))/(MAX(J$6:J$404)-MIN(J$6:J$404))*100</f>
        <v>34.9264242204313</v>
      </c>
    </row>
    <row r="345" customFormat="false" ht="15" hidden="false" customHeight="false" outlineLevel="0" collapsed="false">
      <c r="A345" s="26" t="n">
        <v>4124509</v>
      </c>
      <c r="B345" s="26" t="s">
        <v>411</v>
      </c>
      <c r="C345" s="26" t="s">
        <v>65</v>
      </c>
      <c r="D345" s="28" t="n">
        <v>0.0352112676056338</v>
      </c>
      <c r="E345" s="28" t="n">
        <v>0.0762229806598407</v>
      </c>
      <c r="F345" s="31" t="n">
        <v>0.707621002023935</v>
      </c>
      <c r="G345" s="30" t="n">
        <v>3.52112676056338</v>
      </c>
      <c r="H345" s="30" t="n">
        <v>7.90742373637065</v>
      </c>
      <c r="I345" s="30" t="n">
        <v>20.8960119469857</v>
      </c>
      <c r="J345" s="40" t="n">
        <f aca="false">(G345+H345+I345)/3</f>
        <v>10.7748541479733</v>
      </c>
      <c r="K345" s="41" t="n">
        <f aca="false">(J345-MIN(J$6:J$404))/(MAX(J$6:J$404)-MIN(J$6:J$404))*100</f>
        <v>6.05634203805735</v>
      </c>
    </row>
    <row r="346" customFormat="false" ht="15" hidden="false" customHeight="false" outlineLevel="0" collapsed="false">
      <c r="A346" s="26" t="n">
        <v>4126207</v>
      </c>
      <c r="B346" s="26" t="s">
        <v>412</v>
      </c>
      <c r="C346" s="26" t="s">
        <v>65</v>
      </c>
      <c r="D346" s="28" t="n">
        <v>0.03125</v>
      </c>
      <c r="E346" s="28" t="n">
        <v>0.367664670658683</v>
      </c>
      <c r="F346" s="31" t="n">
        <v>0.397292223833179</v>
      </c>
      <c r="G346" s="30" t="n">
        <v>3.125</v>
      </c>
      <c r="H346" s="30" t="n">
        <v>58.0348748350869</v>
      </c>
      <c r="I346" s="30" t="n">
        <v>72.5479947292542</v>
      </c>
      <c r="J346" s="40" t="n">
        <f aca="false">(G346+H346+I346)/3</f>
        <v>44.5692898547804</v>
      </c>
      <c r="K346" s="41" t="n">
        <f aca="false">(J346-MIN(J$6:J$404))/(MAX(J$6:J$404)-MIN(J$6:J$404))*100</f>
        <v>58.5081717832157</v>
      </c>
    </row>
    <row r="347" customFormat="false" ht="15" hidden="false" customHeight="false" outlineLevel="0" collapsed="false">
      <c r="A347" s="26" t="n">
        <v>4126256</v>
      </c>
      <c r="B347" s="26" t="s">
        <v>413</v>
      </c>
      <c r="C347" s="26" t="s">
        <v>69</v>
      </c>
      <c r="D347" s="28" t="n">
        <v>0.026595744680851</v>
      </c>
      <c r="E347" s="28" t="n">
        <v>0.0589148177951488</v>
      </c>
      <c r="F347" s="31" t="n">
        <v>0.451571067306848</v>
      </c>
      <c r="G347" s="30" t="n">
        <v>2.65957446808511</v>
      </c>
      <c r="H347" s="30" t="n">
        <v>4.93045058056749</v>
      </c>
      <c r="I347" s="30" t="n">
        <v>63.5136734365636</v>
      </c>
      <c r="J347" s="40" t="n">
        <f aca="false">(G347+H347+I347)/3</f>
        <v>23.7012328284054</v>
      </c>
      <c r="K347" s="41" t="n">
        <f aca="false">(J347-MIN(J$6:J$404))/(MAX(J$6:J$404)-MIN(J$6:J$404))*100</f>
        <v>26.1191778152176</v>
      </c>
    </row>
    <row r="348" customFormat="false" ht="15" hidden="false" customHeight="false" outlineLevel="0" collapsed="false">
      <c r="A348" s="26" t="n">
        <v>4126272</v>
      </c>
      <c r="B348" s="26" t="s">
        <v>414</v>
      </c>
      <c r="C348" s="26" t="s">
        <v>65</v>
      </c>
      <c r="D348" s="28" t="n">
        <v>0</v>
      </c>
      <c r="E348" s="28" t="n">
        <v>0.247228381374723</v>
      </c>
      <c r="F348" s="31" t="n">
        <v>0.637059547970948</v>
      </c>
      <c r="G348" s="30" t="n">
        <v>0</v>
      </c>
      <c r="H348" s="30" t="n">
        <v>37.3200477915829</v>
      </c>
      <c r="I348" s="30" t="n">
        <v>32.6404561170858</v>
      </c>
      <c r="J348" s="40" t="n">
        <f aca="false">(G348+H348+I348)/3</f>
        <v>23.3201679695562</v>
      </c>
      <c r="K348" s="41" t="n">
        <f aca="false">(J348-MIN(J$6:J$404))/(MAX(J$6:J$404)-MIN(J$6:J$404))*100</f>
        <v>25.5277328426894</v>
      </c>
    </row>
    <row r="349" customFormat="false" ht="15" hidden="false" customHeight="false" outlineLevel="0" collapsed="false">
      <c r="A349" s="26" t="n">
        <v>4124608</v>
      </c>
      <c r="B349" s="26" t="s">
        <v>415</v>
      </c>
      <c r="C349" s="26" t="s">
        <v>65</v>
      </c>
      <c r="D349" s="28" t="n">
        <v>0</v>
      </c>
      <c r="E349" s="28" t="n">
        <v>0.32004555808656</v>
      </c>
      <c r="F349" s="31" t="n">
        <v>0.531279433152283</v>
      </c>
      <c r="G349" s="30" t="n">
        <v>0</v>
      </c>
      <c r="H349" s="30" t="n">
        <v>49.8444723678462</v>
      </c>
      <c r="I349" s="30" t="n">
        <v>50.2467918915964</v>
      </c>
      <c r="J349" s="40" t="n">
        <f aca="false">(G349+H349+I349)/3</f>
        <v>33.3637547531475</v>
      </c>
      <c r="K349" s="41" t="n">
        <f aca="false">(J349-MIN(J$6:J$404))/(MAX(J$6:J$404)-MIN(J$6:J$404))*100</f>
        <v>41.1162311556688</v>
      </c>
    </row>
    <row r="350" customFormat="false" ht="15" hidden="false" customHeight="false" outlineLevel="0" collapsed="false">
      <c r="A350" s="26" t="n">
        <v>4124707</v>
      </c>
      <c r="B350" s="26" t="s">
        <v>416</v>
      </c>
      <c r="C350" s="26" t="s">
        <v>65</v>
      </c>
      <c r="D350" s="28" t="n">
        <v>0.0909090909090909</v>
      </c>
      <c r="E350" s="28" t="n">
        <v>0.274258760107817</v>
      </c>
      <c r="F350" s="31" t="n">
        <v>0.356163000645656</v>
      </c>
      <c r="G350" s="30" t="n">
        <v>9.09090909090909</v>
      </c>
      <c r="H350" s="30" t="n">
        <v>41.9692247440234</v>
      </c>
      <c r="I350" s="30" t="n">
        <v>79.3936567407359</v>
      </c>
      <c r="J350" s="40" t="n">
        <f aca="false">(G350+H350+I350)/3</f>
        <v>43.4845968585561</v>
      </c>
      <c r="K350" s="41" t="n">
        <f aca="false">(J350-MIN(J$6:J$404))/(MAX(J$6:J$404)-MIN(J$6:J$404))*100</f>
        <v>56.8246362788114</v>
      </c>
    </row>
    <row r="351" customFormat="false" ht="15" hidden="false" customHeight="false" outlineLevel="0" collapsed="false">
      <c r="A351" s="26" t="n">
        <v>4124806</v>
      </c>
      <c r="B351" s="26" t="s">
        <v>417</v>
      </c>
      <c r="C351" s="26" t="s">
        <v>65</v>
      </c>
      <c r="D351" s="28" t="n">
        <v>0.0272727272727272</v>
      </c>
      <c r="E351" s="28" t="n">
        <v>0.149520766773163</v>
      </c>
      <c r="F351" s="31" t="n">
        <v>0.554070902808634</v>
      </c>
      <c r="G351" s="30" t="n">
        <v>2.72727272727273</v>
      </c>
      <c r="H351" s="30" t="n">
        <v>20.5145122728608</v>
      </c>
      <c r="I351" s="30" t="n">
        <v>46.4533164519812</v>
      </c>
      <c r="J351" s="40" t="n">
        <f aca="false">(G351+H351+I351)/3</f>
        <v>23.2317004840383</v>
      </c>
      <c r="K351" s="41" t="n">
        <f aca="false">(J351-MIN(J$6:J$404))/(MAX(J$6:J$404)-MIN(J$6:J$404))*100</f>
        <v>25.3904238037509</v>
      </c>
    </row>
    <row r="352" customFormat="false" ht="15" hidden="false" customHeight="false" outlineLevel="0" collapsed="false">
      <c r="A352" s="26" t="n">
        <v>4124905</v>
      </c>
      <c r="B352" s="26" t="s">
        <v>418</v>
      </c>
      <c r="C352" s="26" t="s">
        <v>65</v>
      </c>
      <c r="D352" s="28" t="n">
        <v>0.0103092783505154</v>
      </c>
      <c r="E352" s="28" t="n">
        <v>0.39142091152815</v>
      </c>
      <c r="F352" s="31" t="n">
        <v>0.38550964982546</v>
      </c>
      <c r="G352" s="30" t="n">
        <v>1.03092783505155</v>
      </c>
      <c r="H352" s="30" t="n">
        <v>62.1209059121037</v>
      </c>
      <c r="I352" s="30" t="n">
        <v>74.5091190353068</v>
      </c>
      <c r="J352" s="40" t="n">
        <f aca="false">(G352+H352+I352)/3</f>
        <v>45.8869842608207</v>
      </c>
      <c r="K352" s="41" t="n">
        <f aca="false">(J352-MIN(J$6:J$404))/(MAX(J$6:J$404)-MIN(J$6:J$404))*100</f>
        <v>60.5533452325197</v>
      </c>
    </row>
    <row r="353" customFormat="false" ht="15" hidden="false" customHeight="false" outlineLevel="0" collapsed="false">
      <c r="A353" s="26" t="n">
        <v>4125001</v>
      </c>
      <c r="B353" s="26" t="s">
        <v>419</v>
      </c>
      <c r="C353" s="26" t="s">
        <v>65</v>
      </c>
      <c r="D353" s="28" t="n">
        <v>0</v>
      </c>
      <c r="E353" s="28" t="n">
        <v>0.293367346938776</v>
      </c>
      <c r="F353" s="31" t="n">
        <v>0.426742425149666</v>
      </c>
      <c r="G353" s="30" t="n">
        <v>0</v>
      </c>
      <c r="H353" s="30" t="n">
        <v>45.2558676122358</v>
      </c>
      <c r="I353" s="30" t="n">
        <v>67.6462215189125</v>
      </c>
      <c r="J353" s="40" t="n">
        <f aca="false">(G353+H353+I353)/3</f>
        <v>37.6340297103828</v>
      </c>
      <c r="K353" s="41" t="n">
        <f aca="false">(J353-MIN(J$6:J$404))/(MAX(J$6:J$404)-MIN(J$6:J$404))*100</f>
        <v>47.7440599782936</v>
      </c>
    </row>
    <row r="354" customFormat="false" ht="15" hidden="false" customHeight="false" outlineLevel="0" collapsed="false">
      <c r="A354" s="26" t="n">
        <v>4125100</v>
      </c>
      <c r="B354" s="26" t="s">
        <v>420</v>
      </c>
      <c r="C354" s="26" t="s">
        <v>65</v>
      </c>
      <c r="D354" s="28" t="n">
        <v>0.0390625</v>
      </c>
      <c r="E354" s="28" t="n">
        <v>0.19845644983462</v>
      </c>
      <c r="F354" s="31" t="n">
        <v>0.42347802208546</v>
      </c>
      <c r="G354" s="30" t="n">
        <v>3.90625</v>
      </c>
      <c r="H354" s="30" t="n">
        <v>28.9313625170905</v>
      </c>
      <c r="I354" s="30" t="n">
        <v>68.1895578213005</v>
      </c>
      <c r="J354" s="40" t="n">
        <f aca="false">(G354+H354+I354)/3</f>
        <v>33.6757234461303</v>
      </c>
      <c r="K354" s="41" t="n">
        <f aca="false">(J354-MIN(J$6:J$404))/(MAX(J$6:J$404)-MIN(J$6:J$404))*100</f>
        <v>41.6004330199081</v>
      </c>
    </row>
    <row r="355" customFormat="false" ht="15" hidden="false" customHeight="false" outlineLevel="0" collapsed="false">
      <c r="A355" s="26" t="n">
        <v>4125209</v>
      </c>
      <c r="B355" s="26" t="s">
        <v>421</v>
      </c>
      <c r="C355" s="26" t="s">
        <v>65</v>
      </c>
      <c r="D355" s="28" t="n">
        <v>0.0202020202020202</v>
      </c>
      <c r="E355" s="28" t="n">
        <v>0.147826086956522</v>
      </c>
      <c r="F355" s="31" t="n">
        <v>0.501135190678148</v>
      </c>
      <c r="G355" s="30" t="n">
        <v>2.02020202020202</v>
      </c>
      <c r="H355" s="30" t="n">
        <v>20.223030365667</v>
      </c>
      <c r="I355" s="30" t="n">
        <v>55.2640832376843</v>
      </c>
      <c r="J355" s="40" t="n">
        <f aca="false">(G355+H355+I355)/3</f>
        <v>25.8357718745178</v>
      </c>
      <c r="K355" s="41" t="n">
        <f aca="false">(J355-MIN(J$6:J$404))/(MAX(J$6:J$404)-MIN(J$6:J$404))*100</f>
        <v>29.432163408539</v>
      </c>
    </row>
    <row r="356" customFormat="false" ht="15" hidden="false" customHeight="false" outlineLevel="0" collapsed="false">
      <c r="A356" s="26" t="n">
        <v>4125308</v>
      </c>
      <c r="B356" s="26" t="s">
        <v>422</v>
      </c>
      <c r="C356" s="26" t="s">
        <v>65</v>
      </c>
      <c r="D356" s="28" t="n">
        <v>0.105263157894737</v>
      </c>
      <c r="E356" s="28" t="n">
        <v>0.135135135135135</v>
      </c>
      <c r="F356" s="31" t="n">
        <v>0.451822255931056</v>
      </c>
      <c r="G356" s="30" t="n">
        <v>10.5263157894737</v>
      </c>
      <c r="H356" s="30" t="n">
        <v>18.0402092777669</v>
      </c>
      <c r="I356" s="30" t="n">
        <v>63.4718649050819</v>
      </c>
      <c r="J356" s="40" t="n">
        <f aca="false">(G356+H356+I356)/3</f>
        <v>30.6794633241075</v>
      </c>
      <c r="K356" s="41" t="n">
        <f aca="false">(J356-MIN(J$6:J$404))/(MAX(J$6:J$404)-MIN(J$6:J$404))*100</f>
        <v>36.949983248945</v>
      </c>
    </row>
    <row r="357" customFormat="false" ht="15" hidden="false" customHeight="false" outlineLevel="0" collapsed="false">
      <c r="A357" s="26" t="n">
        <v>4125357</v>
      </c>
      <c r="B357" s="26" t="s">
        <v>423</v>
      </c>
      <c r="C357" s="26" t="s">
        <v>65</v>
      </c>
      <c r="D357" s="28" t="n">
        <v>0.0357142857142857</v>
      </c>
      <c r="E357" s="28" t="n">
        <v>0.134831460674157</v>
      </c>
      <c r="F357" s="31" t="n">
        <v>0.290591390872337</v>
      </c>
      <c r="G357" s="30" t="n">
        <v>3.57142857142857</v>
      </c>
      <c r="H357" s="30" t="n">
        <v>17.9879778118683</v>
      </c>
      <c r="I357" s="30" t="n">
        <v>90.3075773856824</v>
      </c>
      <c r="J357" s="40" t="n">
        <f aca="false">(G357+H357+I357)/3</f>
        <v>37.2889945896598</v>
      </c>
      <c r="K357" s="41" t="n">
        <f aca="false">(J357-MIN(J$6:J$404))/(MAX(J$6:J$404)-MIN(J$6:J$404))*100</f>
        <v>47.2085362144031</v>
      </c>
    </row>
    <row r="358" customFormat="false" ht="15" hidden="false" customHeight="false" outlineLevel="0" collapsed="false">
      <c r="A358" s="26" t="n">
        <v>4125407</v>
      </c>
      <c r="B358" s="26" t="s">
        <v>424</v>
      </c>
      <c r="C358" s="26" t="s">
        <v>65</v>
      </c>
      <c r="D358" s="28" t="n">
        <v>0.0204081632653061</v>
      </c>
      <c r="E358" s="28" t="n">
        <v>0.306226175349428</v>
      </c>
      <c r="F358" s="31" t="n">
        <v>0.36626397246278</v>
      </c>
      <c r="G358" s="30" t="n">
        <v>2.04081632653061</v>
      </c>
      <c r="H358" s="30" t="n">
        <v>47.4675631742</v>
      </c>
      <c r="I358" s="30" t="n">
        <v>77.7124229685281</v>
      </c>
      <c r="J358" s="40" t="n">
        <f aca="false">(G358+H358+I358)/3</f>
        <v>42.4069341564196</v>
      </c>
      <c r="K358" s="41" t="n">
        <f aca="false">(J358-MIN(J$6:J$404))/(MAX(J$6:J$404)-MIN(J$6:J$404))*100</f>
        <v>55.1520123869501</v>
      </c>
    </row>
    <row r="359" customFormat="false" ht="15" hidden="false" customHeight="false" outlineLevel="0" collapsed="false">
      <c r="A359" s="26" t="n">
        <v>4125456</v>
      </c>
      <c r="B359" s="26" t="s">
        <v>425</v>
      </c>
      <c r="C359" s="26" t="s">
        <v>71</v>
      </c>
      <c r="D359" s="28" t="n">
        <v>0</v>
      </c>
      <c r="E359" s="28" t="n">
        <v>0.263063063063063</v>
      </c>
      <c r="F359" s="31" t="n">
        <v>0.385307431022024</v>
      </c>
      <c r="G359" s="30" t="n">
        <v>0</v>
      </c>
      <c r="H359" s="30" t="n">
        <v>40.0435848119699</v>
      </c>
      <c r="I359" s="30" t="n">
        <v>74.542776893963</v>
      </c>
      <c r="J359" s="40" t="n">
        <f aca="false">(G359+H359+I359)/3</f>
        <v>38.1954539019776</v>
      </c>
      <c r="K359" s="41" t="n">
        <f aca="false">(J359-MIN(J$6:J$404))/(MAX(J$6:J$404)-MIN(J$6:J$404))*100</f>
        <v>48.6154379284339</v>
      </c>
    </row>
    <row r="360" customFormat="false" ht="15" hidden="false" customHeight="false" outlineLevel="0" collapsed="false">
      <c r="A360" s="26" t="n">
        <v>4125506</v>
      </c>
      <c r="B360" s="26" t="s">
        <v>426</v>
      </c>
      <c r="C360" s="26" t="s">
        <v>138</v>
      </c>
      <c r="D360" s="28" t="n">
        <v>0.0656544932293803</v>
      </c>
      <c r="E360" s="28" t="n">
        <v>0.141684550543154</v>
      </c>
      <c r="F360" s="31" t="n">
        <v>0.694160408347026</v>
      </c>
      <c r="G360" s="30" t="n">
        <v>6.56544932293804</v>
      </c>
      <c r="H360" s="30" t="n">
        <v>19.1666970516743</v>
      </c>
      <c r="I360" s="30" t="n">
        <v>23.1364305020816</v>
      </c>
      <c r="J360" s="40" t="n">
        <f aca="false">(G360+H360+I360)/3</f>
        <v>16.2895256255646</v>
      </c>
      <c r="K360" s="41" t="n">
        <f aca="false">(J360-MIN(J$6:J$404))/(MAX(J$6:J$404)-MIN(J$6:J$404))*100</f>
        <v>14.6155797762641</v>
      </c>
    </row>
    <row r="361" customFormat="false" ht="15" hidden="false" customHeight="false" outlineLevel="0" collapsed="false">
      <c r="A361" s="26" t="n">
        <v>4125555</v>
      </c>
      <c r="B361" s="26" t="s">
        <v>427</v>
      </c>
      <c r="C361" s="26" t="s">
        <v>71</v>
      </c>
      <c r="D361" s="28" t="n">
        <v>0</v>
      </c>
      <c r="E361" s="28" t="n">
        <v>0.150214592274678</v>
      </c>
      <c r="F361" s="31" t="n">
        <v>0.450625806372627</v>
      </c>
      <c r="G361" s="30" t="n">
        <v>0</v>
      </c>
      <c r="H361" s="30" t="n">
        <v>20.6338490221721</v>
      </c>
      <c r="I361" s="30" t="n">
        <v>63.6710052888778</v>
      </c>
      <c r="J361" s="40" t="n">
        <f aca="false">(G361+H361+I361)/3</f>
        <v>28.1016181036833</v>
      </c>
      <c r="K361" s="41" t="n">
        <f aca="false">(J361-MIN(J$6:J$404))/(MAX(J$6:J$404)-MIN(J$6:J$404))*100</f>
        <v>32.9489488838757</v>
      </c>
    </row>
    <row r="362" customFormat="false" ht="15" hidden="false" customHeight="false" outlineLevel="0" collapsed="false">
      <c r="A362" s="26" t="n">
        <v>4125605</v>
      </c>
      <c r="B362" s="26" t="s">
        <v>428</v>
      </c>
      <c r="C362" s="26" t="s">
        <v>86</v>
      </c>
      <c r="D362" s="28" t="n">
        <v>0.0198675496688741</v>
      </c>
      <c r="E362" s="28" t="n">
        <v>0.214772319827895</v>
      </c>
      <c r="F362" s="31" t="n">
        <v>0.527050758717067</v>
      </c>
      <c r="G362" s="30" t="n">
        <v>1.98675496688742</v>
      </c>
      <c r="H362" s="30" t="n">
        <v>31.7376630680658</v>
      </c>
      <c r="I362" s="30" t="n">
        <v>50.950624196138</v>
      </c>
      <c r="J362" s="40" t="n">
        <f aca="false">(G362+H362+I362)/3</f>
        <v>28.2250140770304</v>
      </c>
      <c r="K362" s="41" t="n">
        <f aca="false">(J362-MIN(J$6:J$404))/(MAX(J$6:J$404)-MIN(J$6:J$404))*100</f>
        <v>33.1404698976128</v>
      </c>
    </row>
    <row r="363" customFormat="false" ht="15" hidden="false" customHeight="false" outlineLevel="0" collapsed="false">
      <c r="A363" s="26" t="n">
        <v>4125704</v>
      </c>
      <c r="B363" s="26" t="s">
        <v>429</v>
      </c>
      <c r="C363" s="26" t="s">
        <v>86</v>
      </c>
      <c r="D363" s="28" t="n">
        <v>0.0344827586206896</v>
      </c>
      <c r="E363" s="28" t="n">
        <v>0.167680700900462</v>
      </c>
      <c r="F363" s="31" t="n">
        <v>0.557464468084178</v>
      </c>
      <c r="G363" s="30" t="n">
        <v>3.44827586206897</v>
      </c>
      <c r="H363" s="30" t="n">
        <v>23.6379885672981</v>
      </c>
      <c r="I363" s="30" t="n">
        <v>45.8884820328053</v>
      </c>
      <c r="J363" s="40" t="n">
        <f aca="false">(G363+H363+I363)/3</f>
        <v>24.3249154873908</v>
      </c>
      <c r="K363" s="41" t="n">
        <f aca="false">(J363-MIN(J$6:J$404))/(MAX(J$6:J$404)-MIN(J$6:J$404))*100</f>
        <v>27.087186185824</v>
      </c>
    </row>
    <row r="364" customFormat="false" ht="15" hidden="false" customHeight="false" outlineLevel="0" collapsed="false">
      <c r="A364" s="26" t="n">
        <v>4125753</v>
      </c>
      <c r="B364" s="26" t="s">
        <v>430</v>
      </c>
      <c r="C364" s="26" t="s">
        <v>65</v>
      </c>
      <c r="D364" s="28" t="n">
        <v>0</v>
      </c>
      <c r="E364" s="28" t="n">
        <v>0.356763925729443</v>
      </c>
      <c r="F364" s="31" t="n">
        <v>0.427189082539242</v>
      </c>
      <c r="G364" s="30" t="n">
        <v>0</v>
      </c>
      <c r="H364" s="30" t="n">
        <v>56.1599661410624</v>
      </c>
      <c r="I364" s="30" t="n">
        <v>67.571878623837</v>
      </c>
      <c r="J364" s="40" t="n">
        <f aca="false">(G364+H364+I364)/3</f>
        <v>41.2439482549665</v>
      </c>
      <c r="K364" s="41" t="n">
        <f aca="false">(J364-MIN(J$6:J$404))/(MAX(J$6:J$404)-MIN(J$6:J$404))*100</f>
        <v>53.3469596549481</v>
      </c>
    </row>
    <row r="365" customFormat="false" ht="15" hidden="false" customHeight="false" outlineLevel="0" collapsed="false">
      <c r="A365" s="26" t="n">
        <v>4125803</v>
      </c>
      <c r="B365" s="26" t="s">
        <v>431</v>
      </c>
      <c r="C365" s="26" t="s">
        <v>65</v>
      </c>
      <c r="D365" s="28" t="n">
        <v>0.0209790209790209</v>
      </c>
      <c r="E365" s="28" t="n">
        <v>0.301792828685259</v>
      </c>
      <c r="F365" s="31" t="n">
        <v>0.480377889451978</v>
      </c>
      <c r="G365" s="30" t="n">
        <v>2.0979020979021</v>
      </c>
      <c r="H365" s="30" t="n">
        <v>46.7050354517156</v>
      </c>
      <c r="I365" s="30" t="n">
        <v>58.7189860404192</v>
      </c>
      <c r="J365" s="40" t="n">
        <f aca="false">(G365+H365+I365)/3</f>
        <v>35.840641196679</v>
      </c>
      <c r="K365" s="41" t="n">
        <f aca="false">(J365-MIN(J$6:J$404))/(MAX(J$6:J$404)-MIN(J$6:J$404))*100</f>
        <v>44.9605689384131</v>
      </c>
    </row>
    <row r="366" customFormat="false" ht="15" hidden="false" customHeight="false" outlineLevel="0" collapsed="false">
      <c r="A366" s="26" t="n">
        <v>4125902</v>
      </c>
      <c r="B366" s="26" t="s">
        <v>432</v>
      </c>
      <c r="C366" s="26" t="s">
        <v>71</v>
      </c>
      <c r="D366" s="28" t="n">
        <v>0.08</v>
      </c>
      <c r="E366" s="28" t="n">
        <v>0.116923076923077</v>
      </c>
      <c r="F366" s="31" t="n">
        <v>0.514365592703369</v>
      </c>
      <c r="G366" s="30" t="n">
        <v>8</v>
      </c>
      <c r="H366" s="30" t="n">
        <v>14.9077677336777</v>
      </c>
      <c r="I366" s="30" t="n">
        <v>53.0619784197124</v>
      </c>
      <c r="J366" s="40" t="n">
        <f aca="false">(G366+H366+I366)/3</f>
        <v>25.3232487177967</v>
      </c>
      <c r="K366" s="41" t="n">
        <f aca="false">(J366-MIN(J$6:J$404))/(MAX(J$6:J$404)-MIN(J$6:J$404))*100</f>
        <v>28.6366840109834</v>
      </c>
    </row>
    <row r="367" customFormat="false" ht="15" hidden="false" customHeight="false" outlineLevel="0" collapsed="false">
      <c r="A367" s="26" t="n">
        <v>4126009</v>
      </c>
      <c r="B367" s="26" t="s">
        <v>433</v>
      </c>
      <c r="C367" s="26" t="s">
        <v>65</v>
      </c>
      <c r="D367" s="28" t="n">
        <v>0.0555555555555555</v>
      </c>
      <c r="E367" s="28" t="n">
        <v>0.35395537525355</v>
      </c>
      <c r="F367" s="31" t="n">
        <v>0.35364729502353</v>
      </c>
      <c r="G367" s="30" t="n">
        <v>5.55555555555556</v>
      </c>
      <c r="H367" s="30" t="n">
        <v>55.6769004662813</v>
      </c>
      <c r="I367" s="30" t="n">
        <v>79.8123777637648</v>
      </c>
      <c r="J367" s="40" t="n">
        <f aca="false">(G367+H367+I367)/3</f>
        <v>47.0149445952006</v>
      </c>
      <c r="K367" s="41" t="n">
        <f aca="false">(J367-MIN(J$6:J$404))/(MAX(J$6:J$404)-MIN(J$6:J$404))*100</f>
        <v>62.3040353145047</v>
      </c>
    </row>
    <row r="368" customFormat="false" ht="15" hidden="false" customHeight="false" outlineLevel="0" collapsed="false">
      <c r="A368" s="26" t="n">
        <v>4126108</v>
      </c>
      <c r="B368" s="26" t="s">
        <v>434</v>
      </c>
      <c r="C368" s="26" t="s">
        <v>65</v>
      </c>
      <c r="D368" s="28" t="n">
        <v>0.0909090909090909</v>
      </c>
      <c r="E368" s="28" t="n">
        <v>0.200303490136571</v>
      </c>
      <c r="F368" s="31" t="n">
        <v>0.449789298328</v>
      </c>
      <c r="G368" s="30" t="n">
        <v>9.09090909090909</v>
      </c>
      <c r="H368" s="30" t="n">
        <v>29.2490501561299</v>
      </c>
      <c r="I368" s="30" t="n">
        <v>63.8102360085364</v>
      </c>
      <c r="J368" s="40" t="n">
        <f aca="false">(G368+H368+I368)/3</f>
        <v>34.0500650851918</v>
      </c>
      <c r="K368" s="41" t="n">
        <f aca="false">(J368-MIN(J$6:J$404))/(MAX(J$6:J$404)-MIN(J$6:J$404))*100</f>
        <v>42.1814429852445</v>
      </c>
    </row>
    <row r="369" customFormat="false" ht="15" hidden="false" customHeight="false" outlineLevel="0" collapsed="false">
      <c r="A369" s="26" t="n">
        <v>4126306</v>
      </c>
      <c r="B369" s="26" t="s">
        <v>435</v>
      </c>
      <c r="C369" s="26" t="s">
        <v>65</v>
      </c>
      <c r="D369" s="28" t="n">
        <v>0.0263736263736263</v>
      </c>
      <c r="E369" s="28" t="n">
        <v>0.233306836248013</v>
      </c>
      <c r="F369" s="31" t="n">
        <v>0.531976228236251</v>
      </c>
      <c r="G369" s="30" t="n">
        <v>2.63736263736264</v>
      </c>
      <c r="H369" s="30" t="n">
        <v>34.9255668490639</v>
      </c>
      <c r="I369" s="30" t="n">
        <v>50.1308153847132</v>
      </c>
      <c r="J369" s="40" t="n">
        <f aca="false">(G369+H369+I369)/3</f>
        <v>29.2312482903799</v>
      </c>
      <c r="K369" s="41" t="n">
        <f aca="false">(J369-MIN(J$6:J$404))/(MAX(J$6:J$404)-MIN(J$6:J$404))*100</f>
        <v>34.7022307182479</v>
      </c>
    </row>
    <row r="370" customFormat="false" ht="15" hidden="false" customHeight="false" outlineLevel="0" collapsed="false">
      <c r="A370" s="26" t="n">
        <v>4126355</v>
      </c>
      <c r="B370" s="26" t="s">
        <v>436</v>
      </c>
      <c r="C370" s="26" t="s">
        <v>65</v>
      </c>
      <c r="D370" s="28" t="n">
        <v>0.0232558139534883</v>
      </c>
      <c r="E370" s="28" t="n">
        <v>0.103327495621716</v>
      </c>
      <c r="F370" s="31" t="n">
        <v>0.445848568789496</v>
      </c>
      <c r="G370" s="30" t="n">
        <v>2.32558139534884</v>
      </c>
      <c r="H370" s="30" t="n">
        <v>12.5693519879919</v>
      </c>
      <c r="I370" s="30" t="n">
        <v>64.4661419656284</v>
      </c>
      <c r="J370" s="40" t="n">
        <f aca="false">(G370+H370+I370)/3</f>
        <v>26.4536917829897</v>
      </c>
      <c r="K370" s="41" t="n">
        <f aca="false">(J370-MIN(J$6:J$404))/(MAX(J$6:J$404)-MIN(J$6:J$404))*100</f>
        <v>30.3912275017082</v>
      </c>
    </row>
    <row r="371" customFormat="false" ht="15" hidden="false" customHeight="false" outlineLevel="0" collapsed="false">
      <c r="A371" s="26" t="n">
        <v>4126405</v>
      </c>
      <c r="B371" s="26" t="s">
        <v>437</v>
      </c>
      <c r="C371" s="26" t="s">
        <v>65</v>
      </c>
      <c r="D371" s="28" t="n">
        <v>0.0303030303030303</v>
      </c>
      <c r="E371" s="28" t="n">
        <v>0.172881355932203</v>
      </c>
      <c r="F371" s="31" t="n">
        <v>0.485675415222754</v>
      </c>
      <c r="G371" s="30" t="n">
        <v>3.03030303030303</v>
      </c>
      <c r="H371" s="30" t="n">
        <v>24.5324919610504</v>
      </c>
      <c r="I371" s="30" t="n">
        <v>57.8372511542897</v>
      </c>
      <c r="J371" s="40" t="n">
        <f aca="false">(G371+H371+I371)/3</f>
        <v>28.4666820485477</v>
      </c>
      <c r="K371" s="41" t="n">
        <f aca="false">(J371-MIN(J$6:J$404))/(MAX(J$6:J$404)-MIN(J$6:J$404))*100</f>
        <v>33.5155590811357</v>
      </c>
    </row>
    <row r="372" customFormat="false" ht="15" hidden="false" customHeight="false" outlineLevel="0" collapsed="false">
      <c r="A372" s="26" t="n">
        <v>4126504</v>
      </c>
      <c r="B372" s="26" t="s">
        <v>438</v>
      </c>
      <c r="C372" s="26" t="s">
        <v>65</v>
      </c>
      <c r="D372" s="28" t="n">
        <v>0.0149253731343283</v>
      </c>
      <c r="E372" s="28" t="n">
        <v>0.175429184549356</v>
      </c>
      <c r="F372" s="31" t="n">
        <v>0.500425789689079</v>
      </c>
      <c r="G372" s="30" t="n">
        <v>1.49253731343284</v>
      </c>
      <c r="H372" s="30" t="n">
        <v>24.970713940942</v>
      </c>
      <c r="I372" s="30" t="n">
        <v>55.3821579063849</v>
      </c>
      <c r="J372" s="40" t="n">
        <f aca="false">(G372+H372+I372)/3</f>
        <v>27.2818030535866</v>
      </c>
      <c r="K372" s="41" t="n">
        <f aca="false">(J372-MIN(J$6:J$404))/(MAX(J$6:J$404)-MIN(J$6:J$404))*100</f>
        <v>31.6765264116304</v>
      </c>
    </row>
    <row r="373" customFormat="false" ht="15" hidden="false" customHeight="false" outlineLevel="0" collapsed="false">
      <c r="A373" s="26" t="n">
        <v>4126603</v>
      </c>
      <c r="B373" s="26" t="s">
        <v>439</v>
      </c>
      <c r="C373" s="26" t="s">
        <v>86</v>
      </c>
      <c r="D373" s="28" t="n">
        <v>0.0864197530864197</v>
      </c>
      <c r="E373" s="28" t="n">
        <v>0.176072997634336</v>
      </c>
      <c r="F373" s="31" t="n">
        <v>0.506315682864422</v>
      </c>
      <c r="G373" s="30" t="n">
        <v>8.64197530864198</v>
      </c>
      <c r="H373" s="30" t="n">
        <v>25.0814486437711</v>
      </c>
      <c r="I373" s="30" t="n">
        <v>54.4018277460437</v>
      </c>
      <c r="J373" s="40" t="n">
        <f aca="false">(G373+H373+I373)/3</f>
        <v>29.3750838994856</v>
      </c>
      <c r="K373" s="41" t="n">
        <f aca="false">(J373-MIN(J$6:J$404))/(MAX(J$6:J$404)-MIN(J$6:J$404))*100</f>
        <v>34.9254757798183</v>
      </c>
    </row>
    <row r="374" customFormat="false" ht="15" hidden="false" customHeight="false" outlineLevel="0" collapsed="false">
      <c r="A374" s="26" t="n">
        <v>4126652</v>
      </c>
      <c r="B374" s="26" t="s">
        <v>440</v>
      </c>
      <c r="C374" s="26" t="s">
        <v>71</v>
      </c>
      <c r="D374" s="28" t="n">
        <v>0</v>
      </c>
      <c r="E374" s="28" t="n">
        <v>0.182038834951456</v>
      </c>
      <c r="F374" s="31" t="n">
        <v>0.454827763494396</v>
      </c>
      <c r="G374" s="30" t="n">
        <v>0</v>
      </c>
      <c r="H374" s="30" t="n">
        <v>26.1075620264448</v>
      </c>
      <c r="I374" s="30" t="n">
        <v>62.9716198881077</v>
      </c>
      <c r="J374" s="40" t="n">
        <f aca="false">(G374+H374+I374)/3</f>
        <v>29.6930606381842</v>
      </c>
      <c r="K374" s="41" t="n">
        <f aca="false">(J374-MIN(J$6:J$404))/(MAX(J$6:J$404)-MIN(J$6:J$404))*100</f>
        <v>35.4190026404481</v>
      </c>
    </row>
    <row r="375" customFormat="false" ht="15" hidden="false" customHeight="false" outlineLevel="0" collapsed="false">
      <c r="A375" s="26" t="n">
        <v>4126678</v>
      </c>
      <c r="B375" s="26" t="s">
        <v>441</v>
      </c>
      <c r="C375" s="26" t="s">
        <v>65</v>
      </c>
      <c r="D375" s="28" t="n">
        <v>0.0275229357798165</v>
      </c>
      <c r="E375" s="28" t="n">
        <v>0.244558258642766</v>
      </c>
      <c r="F375" s="31" t="n">
        <v>0.424711209077638</v>
      </c>
      <c r="G375" s="30" t="n">
        <v>2.75229357798165</v>
      </c>
      <c r="H375" s="30" t="n">
        <v>36.8607914419704</v>
      </c>
      <c r="I375" s="30" t="n">
        <v>67.9843027571112</v>
      </c>
      <c r="J375" s="40" t="n">
        <f aca="false">(G375+H375+I375)/3</f>
        <v>35.8657959256878</v>
      </c>
      <c r="K375" s="41" t="n">
        <f aca="false">(J375-MIN(J$6:J$404))/(MAX(J$6:J$404)-MIN(J$6:J$404))*100</f>
        <v>44.9996112107771</v>
      </c>
    </row>
    <row r="376" customFormat="false" ht="15" hidden="false" customHeight="false" outlineLevel="0" collapsed="false">
      <c r="A376" s="26" t="n">
        <v>4126702</v>
      </c>
      <c r="B376" s="26" t="s">
        <v>442</v>
      </c>
      <c r="C376" s="26" t="s">
        <v>71</v>
      </c>
      <c r="D376" s="28" t="n">
        <v>0.0256410256410256</v>
      </c>
      <c r="E376" s="28" t="n">
        <v>0.239870340356564</v>
      </c>
      <c r="F376" s="31" t="n">
        <v>0.470545173374072</v>
      </c>
      <c r="G376" s="30" t="n">
        <v>2.56410256410256</v>
      </c>
      <c r="H376" s="30" t="n">
        <v>36.0544778543458</v>
      </c>
      <c r="I376" s="30" t="n">
        <v>60.3555705831738</v>
      </c>
      <c r="J376" s="40" t="n">
        <f aca="false">(G376+H376+I376)/3</f>
        <v>32.9913836672074</v>
      </c>
      <c r="K376" s="41" t="n">
        <f aca="false">(J376-MIN(J$6:J$404))/(MAX(J$6:J$404)-MIN(J$6:J$404))*100</f>
        <v>40.5382796558655</v>
      </c>
    </row>
    <row r="377" customFormat="false" ht="15" hidden="false" customHeight="false" outlineLevel="0" collapsed="false">
      <c r="A377" s="26" t="n">
        <v>4126801</v>
      </c>
      <c r="B377" s="26" t="s">
        <v>443</v>
      </c>
      <c r="C377" s="26" t="s">
        <v>65</v>
      </c>
      <c r="D377" s="28" t="n">
        <v>0.029585798816568</v>
      </c>
      <c r="E377" s="28" t="n">
        <v>0.163531114327062</v>
      </c>
      <c r="F377" s="31" t="n">
        <v>0.541604165205979</v>
      </c>
      <c r="G377" s="30" t="n">
        <v>2.95857988165681</v>
      </c>
      <c r="H377" s="30" t="n">
        <v>22.9242670745397</v>
      </c>
      <c r="I377" s="30" t="n">
        <v>48.5283148448392</v>
      </c>
      <c r="J377" s="40" t="n">
        <f aca="false">(G377+H377+I377)/3</f>
        <v>24.8037206003452</v>
      </c>
      <c r="K377" s="41" t="n">
        <f aca="false">(J377-MIN(J$6:J$404))/(MAX(J$6:J$404)-MIN(J$6:J$404))*100</f>
        <v>27.8303323204031</v>
      </c>
    </row>
    <row r="378" customFormat="false" ht="15" hidden="false" customHeight="false" outlineLevel="0" collapsed="false">
      <c r="A378" s="26" t="n">
        <v>4126900</v>
      </c>
      <c r="B378" s="26" t="s">
        <v>444</v>
      </c>
      <c r="C378" s="26" t="s">
        <v>65</v>
      </c>
      <c r="D378" s="28" t="n">
        <v>0</v>
      </c>
      <c r="E378" s="28" t="n">
        <v>0.240524781341108</v>
      </c>
      <c r="F378" s="31" t="n">
        <v>0.415865054663001</v>
      </c>
      <c r="G378" s="30" t="n">
        <v>0</v>
      </c>
      <c r="H378" s="30" t="n">
        <v>36.1670405369525</v>
      </c>
      <c r="I378" s="30" t="n">
        <v>69.4566812396291</v>
      </c>
      <c r="J378" s="40" t="n">
        <f aca="false">(G378+H378+I378)/3</f>
        <v>35.2079072588606</v>
      </c>
      <c r="K378" s="41" t="n">
        <f aca="false">(J378-MIN(J$6:J$404))/(MAX(J$6:J$404)-MIN(J$6:J$404))*100</f>
        <v>43.9785122155736</v>
      </c>
    </row>
    <row r="379" customFormat="false" ht="15" hidden="false" customHeight="false" outlineLevel="0" collapsed="false">
      <c r="A379" s="26" t="n">
        <v>4127007</v>
      </c>
      <c r="B379" s="26" t="s">
        <v>445</v>
      </c>
      <c r="C379" s="26" t="s">
        <v>65</v>
      </c>
      <c r="D379" s="28" t="n">
        <v>0.03125</v>
      </c>
      <c r="E379" s="28" t="n">
        <v>0.372790161414297</v>
      </c>
      <c r="F379" s="31" t="n">
        <v>0.443751105578145</v>
      </c>
      <c r="G379" s="30" t="n">
        <v>3.125</v>
      </c>
      <c r="H379" s="30" t="n">
        <v>58.916450107348</v>
      </c>
      <c r="I379" s="30" t="n">
        <v>64.8152495614845</v>
      </c>
      <c r="J379" s="40" t="n">
        <f aca="false">(G379+H379+I379)/3</f>
        <v>42.2855665562775</v>
      </c>
      <c r="K379" s="41" t="n">
        <f aca="false">(J379-MIN(J$6:J$404))/(MAX(J$6:J$404)-MIN(J$6:J$404))*100</f>
        <v>54.9636395804189</v>
      </c>
    </row>
    <row r="380" customFormat="false" ht="15" hidden="false" customHeight="false" outlineLevel="0" collapsed="false">
      <c r="A380" s="26" t="n">
        <v>4127106</v>
      </c>
      <c r="B380" s="26" t="s">
        <v>446</v>
      </c>
      <c r="C380" s="26" t="s">
        <v>129</v>
      </c>
      <c r="D380" s="28" t="n">
        <v>0.0294117647058823</v>
      </c>
      <c r="E380" s="28" t="n">
        <v>0.0918424491319768</v>
      </c>
      <c r="F380" s="31" t="n">
        <v>0.607306126153505</v>
      </c>
      <c r="G380" s="30" t="n">
        <v>2.94117647058824</v>
      </c>
      <c r="H380" s="30" t="n">
        <v>10.5939444672519</v>
      </c>
      <c r="I380" s="30" t="n">
        <v>37.5926981888264</v>
      </c>
      <c r="J380" s="40" t="n">
        <f aca="false">(G380+H380+I380)/3</f>
        <v>17.0426063755555</v>
      </c>
      <c r="K380" s="41" t="n">
        <f aca="false">(J380-MIN(J$6:J$404))/(MAX(J$6:J$404)-MIN(J$6:J$404))*100</f>
        <v>15.7844249561503</v>
      </c>
    </row>
    <row r="381" customFormat="false" ht="15" hidden="false" customHeight="false" outlineLevel="0" collapsed="false">
      <c r="A381" s="26" t="n">
        <v>4127205</v>
      </c>
      <c r="B381" s="26" t="s">
        <v>447</v>
      </c>
      <c r="C381" s="26" t="s">
        <v>65</v>
      </c>
      <c r="D381" s="28" t="n">
        <v>0.0275862068965517</v>
      </c>
      <c r="E381" s="28" t="n">
        <v>0.118606701940035</v>
      </c>
      <c r="F381" s="31" t="n">
        <v>0.496645092797615</v>
      </c>
      <c r="G381" s="30" t="n">
        <v>2.75862068965517</v>
      </c>
      <c r="H381" s="30" t="n">
        <v>15.1973482350346</v>
      </c>
      <c r="I381" s="30" t="n">
        <v>56.0114275857276</v>
      </c>
      <c r="J381" s="40" t="n">
        <f aca="false">(G381+H381+I381)/3</f>
        <v>24.6557988368058</v>
      </c>
      <c r="K381" s="41" t="n">
        <f aca="false">(J381-MIN(J$6:J$404))/(MAX(J$6:J$404)-MIN(J$6:J$404))*100</f>
        <v>27.6007452006747</v>
      </c>
    </row>
    <row r="382" customFormat="false" ht="15" hidden="false" customHeight="false" outlineLevel="0" collapsed="false">
      <c r="A382" s="26" t="n">
        <v>4127304</v>
      </c>
      <c r="B382" s="26" t="s">
        <v>448</v>
      </c>
      <c r="C382" s="26" t="s">
        <v>65</v>
      </c>
      <c r="D382" s="28" t="n">
        <v>0.0397350993377483</v>
      </c>
      <c r="E382" s="28" t="n">
        <v>0.231635388739946</v>
      </c>
      <c r="F382" s="31" t="n">
        <v>0.425394265756175</v>
      </c>
      <c r="G382" s="30" t="n">
        <v>3.97350993377483</v>
      </c>
      <c r="H382" s="30" t="n">
        <v>34.6380808575265</v>
      </c>
      <c r="I382" s="30" t="n">
        <v>67.8706129085423</v>
      </c>
      <c r="J382" s="40" t="n">
        <f aca="false">(G382+H382+I382)/3</f>
        <v>35.4940678999479</v>
      </c>
      <c r="K382" s="41" t="n">
        <f aca="false">(J382-MIN(J$6:J$404))/(MAX(J$6:J$404)-MIN(J$6:J$404))*100</f>
        <v>44.4226577949316</v>
      </c>
    </row>
    <row r="383" customFormat="false" ht="15" hidden="false" customHeight="false" outlineLevel="0" collapsed="false">
      <c r="A383" s="26" t="n">
        <v>4127403</v>
      </c>
      <c r="B383" s="26" t="s">
        <v>449</v>
      </c>
      <c r="C383" s="26" t="s">
        <v>65</v>
      </c>
      <c r="D383" s="28" t="n">
        <v>0.0792079207920792</v>
      </c>
      <c r="E383" s="28" t="n">
        <v>0.132757912042746</v>
      </c>
      <c r="F383" s="31" t="n">
        <v>0.472463806171341</v>
      </c>
      <c r="G383" s="30" t="n">
        <v>7.92079207920792</v>
      </c>
      <c r="H383" s="30" t="n">
        <v>17.6313311439797</v>
      </c>
      <c r="I383" s="30" t="n">
        <v>60.0362280175639</v>
      </c>
      <c r="J383" s="40" t="n">
        <f aca="false">(G383+H383+I383)/3</f>
        <v>28.5294504135838</v>
      </c>
      <c r="K383" s="41" t="n">
        <f aca="false">(J383-MIN(J$6:J$404))/(MAX(J$6:J$404)-MIN(J$6:J$404))*100</f>
        <v>33.6129809059835</v>
      </c>
    </row>
    <row r="384" customFormat="false" ht="15" hidden="false" customHeight="false" outlineLevel="0" collapsed="false">
      <c r="A384" s="26" t="n">
        <v>4127502</v>
      </c>
      <c r="B384" s="26" t="s">
        <v>450</v>
      </c>
      <c r="C384" s="26" t="s">
        <v>65</v>
      </c>
      <c r="D384" s="28" t="n">
        <v>0.0429184549356223</v>
      </c>
      <c r="E384" s="28" t="n">
        <v>0.397353240583644</v>
      </c>
      <c r="F384" s="31" t="n">
        <v>0.560409088361693</v>
      </c>
      <c r="G384" s="30" t="n">
        <v>4.29184549356223</v>
      </c>
      <c r="H384" s="30" t="n">
        <v>63.1412559335161</v>
      </c>
      <c r="I384" s="30" t="n">
        <v>45.3983712646026</v>
      </c>
      <c r="J384" s="40" t="n">
        <f aca="false">(G384+H384+I384)/3</f>
        <v>37.610490897227</v>
      </c>
      <c r="K384" s="41" t="n">
        <f aca="false">(J384-MIN(J$6:J$404))/(MAX(J$6:J$404)-MIN(J$6:J$404))*100</f>
        <v>47.7075257443515</v>
      </c>
    </row>
    <row r="385" customFormat="false" ht="15" hidden="false" customHeight="false" outlineLevel="0" collapsed="false">
      <c r="A385" s="26" t="n">
        <v>4127601</v>
      </c>
      <c r="B385" s="26" t="s">
        <v>451</v>
      </c>
      <c r="C385" s="26" t="s">
        <v>65</v>
      </c>
      <c r="D385" s="28" t="n">
        <v>0.0290456431535269</v>
      </c>
      <c r="E385" s="28" t="n">
        <v>0.327855711422846</v>
      </c>
      <c r="F385" s="31" t="n">
        <v>0.417362719640287</v>
      </c>
      <c r="G385" s="30" t="n">
        <v>2.9045643153527</v>
      </c>
      <c r="H385" s="30" t="n">
        <v>51.187804817777</v>
      </c>
      <c r="I385" s="30" t="n">
        <v>69.2074057258614</v>
      </c>
      <c r="J385" s="40" t="n">
        <f aca="false">(G385+H385+I385)/3</f>
        <v>41.099924952997</v>
      </c>
      <c r="K385" s="41" t="n">
        <f aca="false">(J385-MIN(J$6:J$404))/(MAX(J$6:J$404)-MIN(J$6:J$404))*100</f>
        <v>53.1234232781382</v>
      </c>
    </row>
    <row r="386" customFormat="false" ht="15" hidden="false" customHeight="false" outlineLevel="0" collapsed="false">
      <c r="A386" s="26" t="n">
        <v>4127700</v>
      </c>
      <c r="B386" s="26" t="s">
        <v>452</v>
      </c>
      <c r="C386" s="26" t="s">
        <v>69</v>
      </c>
      <c r="D386" s="28" t="n">
        <v>0.035890218156228</v>
      </c>
      <c r="E386" s="28" t="n">
        <v>0.0764448068494546</v>
      </c>
      <c r="F386" s="31" t="n">
        <v>0.693730536201786</v>
      </c>
      <c r="G386" s="30" t="n">
        <v>3.5890218156228</v>
      </c>
      <c r="H386" s="30" t="n">
        <v>7.9455774455134</v>
      </c>
      <c r="I386" s="30" t="n">
        <v>23.2079796145228</v>
      </c>
      <c r="J386" s="40" t="n">
        <f aca="false">(G386+H386+I386)/3</f>
        <v>11.5808596252197</v>
      </c>
      <c r="K386" s="41" t="n">
        <f aca="false">(J386-MIN(J$6:J$404))/(MAX(J$6:J$404)-MIN(J$6:J$404))*100</f>
        <v>7.30733088228529</v>
      </c>
    </row>
    <row r="387" customFormat="false" ht="15" hidden="false" customHeight="false" outlineLevel="0" collapsed="false">
      <c r="A387" s="26" t="n">
        <v>4127809</v>
      </c>
      <c r="B387" s="26" t="s">
        <v>453</v>
      </c>
      <c r="C387" s="26" t="s">
        <v>65</v>
      </c>
      <c r="D387" s="28" t="n">
        <v>0.0416666666666666</v>
      </c>
      <c r="E387" s="28" t="n">
        <v>0.254980079681275</v>
      </c>
      <c r="F387" s="31" t="n">
        <v>0.400019393881889</v>
      </c>
      <c r="G387" s="30" t="n">
        <v>4.16666666666667</v>
      </c>
      <c r="H387" s="30" t="n">
        <v>38.6533260806129</v>
      </c>
      <c r="I387" s="30" t="n">
        <v>72.0940769804024</v>
      </c>
      <c r="J387" s="40" t="n">
        <f aca="false">(G387+H387+I387)/3</f>
        <v>38.3046899092273</v>
      </c>
      <c r="K387" s="41" t="n">
        <f aca="false">(J387-MIN(J$6:J$404))/(MAX(J$6:J$404)-MIN(J$6:J$404))*100</f>
        <v>48.7849814741232</v>
      </c>
    </row>
    <row r="388" customFormat="false" ht="15" hidden="false" customHeight="false" outlineLevel="0" collapsed="false">
      <c r="A388" s="26" t="n">
        <v>4127858</v>
      </c>
      <c r="B388" s="26" t="s">
        <v>454</v>
      </c>
      <c r="C388" s="26" t="s">
        <v>65</v>
      </c>
      <c r="D388" s="28" t="n">
        <v>0.0289855072463768</v>
      </c>
      <c r="E388" s="28" t="n">
        <v>0.344804765056254</v>
      </c>
      <c r="F388" s="31" t="n">
        <v>0.447767499933108</v>
      </c>
      <c r="G388" s="30" t="n">
        <v>2.89855072463768</v>
      </c>
      <c r="H388" s="30" t="n">
        <v>54.1030118260179</v>
      </c>
      <c r="I388" s="30" t="n">
        <v>64.1467497424254</v>
      </c>
      <c r="J388" s="40" t="n">
        <f aca="false">(G388+H388+I388)/3</f>
        <v>40.3827707643603</v>
      </c>
      <c r="K388" s="41" t="n">
        <f aca="false">(J388-MIN(J$6:J$404))/(MAX(J$6:J$404)-MIN(J$6:J$404))*100</f>
        <v>52.0103391677909</v>
      </c>
    </row>
    <row r="389" customFormat="false" ht="15" hidden="false" customHeight="false" outlineLevel="0" collapsed="false">
      <c r="A389" s="26" t="n">
        <v>4127882</v>
      </c>
      <c r="B389" s="26" t="s">
        <v>455</v>
      </c>
      <c r="C389" s="26" t="s">
        <v>65</v>
      </c>
      <c r="D389" s="28" t="n">
        <v>0.0625</v>
      </c>
      <c r="E389" s="28" t="n">
        <v>0.450417052826691</v>
      </c>
      <c r="F389" s="31" t="n">
        <v>0.487600150701434</v>
      </c>
      <c r="G389" s="30" t="n">
        <v>6.25</v>
      </c>
      <c r="H389" s="30" t="n">
        <v>72.268137037367</v>
      </c>
      <c r="I389" s="30" t="n">
        <v>57.5168928414551</v>
      </c>
      <c r="J389" s="40" t="n">
        <f aca="false">(G389+H389+I389)/3</f>
        <v>45.3450099596074</v>
      </c>
      <c r="K389" s="41" t="n">
        <f aca="false">(J389-MIN(J$6:J$404))/(MAX(J$6:J$404)-MIN(J$6:J$404))*100</f>
        <v>59.7121551614641</v>
      </c>
    </row>
    <row r="390" customFormat="false" ht="15" hidden="false" customHeight="false" outlineLevel="0" collapsed="false">
      <c r="A390" s="26" t="n">
        <v>4127908</v>
      </c>
      <c r="B390" s="26" t="s">
        <v>456</v>
      </c>
      <c r="C390" s="26" t="s">
        <v>65</v>
      </c>
      <c r="D390" s="28" t="n">
        <v>0</v>
      </c>
      <c r="E390" s="28" t="n">
        <v>0.190058479532164</v>
      </c>
      <c r="F390" s="31" t="n">
        <v>0.335283654700404</v>
      </c>
      <c r="G390" s="30" t="n">
        <v>0</v>
      </c>
      <c r="H390" s="30" t="n">
        <v>27.4869265969361</v>
      </c>
      <c r="I390" s="30" t="n">
        <v>82.8688730051015</v>
      </c>
      <c r="J390" s="40" t="n">
        <f aca="false">(G390+H390+I390)/3</f>
        <v>36.7852665340125</v>
      </c>
      <c r="K390" s="41" t="n">
        <f aca="false">(J390-MIN(J$6:J$404))/(MAX(J$6:J$404)-MIN(J$6:J$404))*100</f>
        <v>46.4267075594761</v>
      </c>
    </row>
    <row r="391" customFormat="false" ht="15" hidden="false" customHeight="false" outlineLevel="0" collapsed="false">
      <c r="A391" s="26" t="n">
        <v>4127957</v>
      </c>
      <c r="B391" s="26" t="s">
        <v>457</v>
      </c>
      <c r="C391" s="26" t="s">
        <v>65</v>
      </c>
      <c r="D391" s="28" t="n">
        <v>0</v>
      </c>
      <c r="E391" s="28" t="n">
        <v>0.127567567567568</v>
      </c>
      <c r="F391" s="31" t="n">
        <v>0.489513879495309</v>
      </c>
      <c r="G391" s="30" t="n">
        <v>0</v>
      </c>
      <c r="H391" s="30" t="n">
        <v>16.7386011475746</v>
      </c>
      <c r="I391" s="30" t="n">
        <v>57.1983665117751</v>
      </c>
      <c r="J391" s="40" t="n">
        <f aca="false">(G391+H391+I391)/3</f>
        <v>24.6456558864499</v>
      </c>
      <c r="K391" s="41" t="n">
        <f aca="false">(J391-MIN(J$6:J$404))/(MAX(J$6:J$404)-MIN(J$6:J$404))*100</f>
        <v>27.5850024816722</v>
      </c>
    </row>
    <row r="392" customFormat="false" ht="15" hidden="false" customHeight="false" outlineLevel="0" collapsed="false">
      <c r="A392" s="26" t="n">
        <v>4127965</v>
      </c>
      <c r="B392" s="26" t="s">
        <v>458</v>
      </c>
      <c r="C392" s="26" t="s">
        <v>65</v>
      </c>
      <c r="D392" s="28" t="n">
        <v>0.0311111111111111</v>
      </c>
      <c r="E392" s="28" t="n">
        <v>0.233497536945813</v>
      </c>
      <c r="F392" s="31" t="n">
        <v>0.47992488139153</v>
      </c>
      <c r="G392" s="30" t="n">
        <v>3.11111111111111</v>
      </c>
      <c r="H392" s="30" t="n">
        <v>34.9583670291051</v>
      </c>
      <c r="I392" s="30" t="n">
        <v>58.7943859587731</v>
      </c>
      <c r="J392" s="40" t="n">
        <f aca="false">(G392+H392+I392)/3</f>
        <v>32.2879546996631</v>
      </c>
      <c r="K392" s="41" t="n">
        <f aca="false">(J392-MIN(J$6:J$404))/(MAX(J$6:J$404)-MIN(J$6:J$404))*100</f>
        <v>39.446498252455</v>
      </c>
    </row>
    <row r="393" customFormat="false" ht="15" hidden="false" customHeight="false" outlineLevel="0" collapsed="false">
      <c r="A393" s="26" t="n">
        <v>4128005</v>
      </c>
      <c r="B393" s="26" t="s">
        <v>459</v>
      </c>
      <c r="C393" s="26" t="s">
        <v>86</v>
      </c>
      <c r="D393" s="28" t="n">
        <v>0.0384615384615384</v>
      </c>
      <c r="E393" s="28" t="n">
        <v>0.200127877237852</v>
      </c>
      <c r="F393" s="31" t="n">
        <v>0.620215696134368</v>
      </c>
      <c r="G393" s="30" t="n">
        <v>3.84615384615385</v>
      </c>
      <c r="H393" s="30" t="n">
        <v>29.2188450506323</v>
      </c>
      <c r="I393" s="30" t="n">
        <v>35.4439935463967</v>
      </c>
      <c r="J393" s="40" t="n">
        <f aca="false">(G393+H393+I393)/3</f>
        <v>22.8363308143943</v>
      </c>
      <c r="K393" s="41" t="n">
        <f aca="false">(J393-MIN(J$6:J$404))/(MAX(J$6:J$404)-MIN(J$6:J$404))*100</f>
        <v>24.7767765519227</v>
      </c>
    </row>
    <row r="394" customFormat="false" ht="15" hidden="false" customHeight="false" outlineLevel="0" collapsed="false">
      <c r="A394" s="26" t="n">
        <v>4128104</v>
      </c>
      <c r="B394" s="26" t="s">
        <v>460</v>
      </c>
      <c r="C394" s="26" t="s">
        <v>69</v>
      </c>
      <c r="D394" s="28" t="n">
        <v>0.0194986072423398</v>
      </c>
      <c r="E394" s="28" t="n">
        <v>0.153398186751373</v>
      </c>
      <c r="F394" s="31" t="n">
        <v>0.54299762993637</v>
      </c>
      <c r="G394" s="30" t="n">
        <v>1.94986072423398</v>
      </c>
      <c r="H394" s="30" t="n">
        <v>21.1814215964641</v>
      </c>
      <c r="I394" s="30" t="n">
        <v>48.2963827092458</v>
      </c>
      <c r="J394" s="40" t="n">
        <f aca="false">(G394+H394+I394)/3</f>
        <v>23.809221676648</v>
      </c>
      <c r="K394" s="41" t="n">
        <f aca="false">(J394-MIN(J$6:J$404))/(MAX(J$6:J$404)-MIN(J$6:J$404))*100</f>
        <v>26.2867856643776</v>
      </c>
    </row>
    <row r="395" customFormat="false" ht="15" hidden="false" customHeight="false" outlineLevel="0" collapsed="false">
      <c r="A395" s="26" t="n">
        <v>4128203</v>
      </c>
      <c r="B395" s="26" t="s">
        <v>461</v>
      </c>
      <c r="C395" s="26" t="s">
        <v>86</v>
      </c>
      <c r="D395" s="28" t="n">
        <v>0.0277777777777777</v>
      </c>
      <c r="E395" s="28" t="n">
        <v>0.200640044524837</v>
      </c>
      <c r="F395" s="31" t="n">
        <v>0.519331662575669</v>
      </c>
      <c r="G395" s="30" t="n">
        <v>2.77777777777778</v>
      </c>
      <c r="H395" s="30" t="n">
        <v>29.3069369109038</v>
      </c>
      <c r="I395" s="30" t="n">
        <v>52.2354119728781</v>
      </c>
      <c r="J395" s="40" t="n">
        <f aca="false">(G395+H395+I395)/3</f>
        <v>28.1067088871866</v>
      </c>
      <c r="K395" s="41" t="n">
        <f aca="false">(J395-MIN(J$6:J$404))/(MAX(J$6:J$404)-MIN(J$6:J$404))*100</f>
        <v>32.9568502115351</v>
      </c>
    </row>
    <row r="396" customFormat="false" ht="15" hidden="false" customHeight="false" outlineLevel="0" collapsed="false">
      <c r="A396" s="26" t="n">
        <v>4128302</v>
      </c>
      <c r="B396" s="26" t="s">
        <v>462</v>
      </c>
      <c r="C396" s="26" t="s">
        <v>71</v>
      </c>
      <c r="D396" s="28" t="n">
        <v>0</v>
      </c>
      <c r="E396" s="28" t="n">
        <v>0.205761316872428</v>
      </c>
      <c r="F396" s="31" t="n">
        <v>0.421164462316371</v>
      </c>
      <c r="G396" s="30" t="n">
        <v>0</v>
      </c>
      <c r="H396" s="30" t="n">
        <v>30.1877866245056</v>
      </c>
      <c r="I396" s="30" t="n">
        <v>68.5746331277397</v>
      </c>
      <c r="J396" s="40" t="n">
        <f aca="false">(G396+H396+I396)/3</f>
        <v>32.9208065840818</v>
      </c>
      <c r="K396" s="41" t="n">
        <f aca="false">(J396-MIN(J$6:J$404))/(MAX(J$6:J$404)-MIN(J$6:J$404))*100</f>
        <v>40.4287380384191</v>
      </c>
    </row>
    <row r="397" customFormat="false" ht="15" hidden="false" customHeight="false" outlineLevel="0" collapsed="false">
      <c r="A397" s="26" t="n">
        <v>4128401</v>
      </c>
      <c r="B397" s="26" t="s">
        <v>463</v>
      </c>
      <c r="C397" s="26" t="s">
        <v>65</v>
      </c>
      <c r="D397" s="28" t="n">
        <v>0</v>
      </c>
      <c r="E397" s="28" t="n">
        <v>0.308462238398544</v>
      </c>
      <c r="F397" s="31" t="n">
        <v>0.407368723465101</v>
      </c>
      <c r="G397" s="30" t="n">
        <v>0</v>
      </c>
      <c r="H397" s="30" t="n">
        <v>47.8521620322036</v>
      </c>
      <c r="I397" s="30" t="n">
        <v>70.8708341754443</v>
      </c>
      <c r="J397" s="40" t="n">
        <f aca="false">(G397+H397+I397)/3</f>
        <v>39.574332069216</v>
      </c>
      <c r="K397" s="41" t="n">
        <f aca="false">(J397-MIN(J$6:J$404))/(MAX(J$6:J$404)-MIN(J$6:J$404))*100</f>
        <v>50.7555737630657</v>
      </c>
    </row>
    <row r="398" customFormat="false" ht="15" hidden="false" customHeight="false" outlineLevel="0" collapsed="false">
      <c r="A398" s="26" t="n">
        <v>4128534</v>
      </c>
      <c r="B398" s="26" t="s">
        <v>464</v>
      </c>
      <c r="C398" s="26" t="s">
        <v>65</v>
      </c>
      <c r="D398" s="28" t="n">
        <v>0</v>
      </c>
      <c r="E398" s="28" t="n">
        <v>0.221407624633431</v>
      </c>
      <c r="F398" s="31" t="n">
        <v>0.468242243445458</v>
      </c>
      <c r="G398" s="30" t="n">
        <v>0</v>
      </c>
      <c r="H398" s="30" t="n">
        <v>32.878923665223</v>
      </c>
      <c r="I398" s="30" t="n">
        <v>60.7388766294742</v>
      </c>
      <c r="J398" s="40" t="n">
        <f aca="false">(G398+H398+I398)/3</f>
        <v>31.2059334315657</v>
      </c>
      <c r="K398" s="41" t="n">
        <f aca="false">(J398-MIN(J$6:J$404))/(MAX(J$6:J$404)-MIN(J$6:J$404))*100</f>
        <v>37.7671094966471</v>
      </c>
    </row>
    <row r="399" customFormat="false" ht="15" hidden="false" customHeight="false" outlineLevel="0" collapsed="false">
      <c r="A399" s="26" t="n">
        <v>4128559</v>
      </c>
      <c r="B399" s="26" t="s">
        <v>465</v>
      </c>
      <c r="C399" s="26" t="s">
        <v>65</v>
      </c>
      <c r="D399" s="28" t="n">
        <v>0.03125</v>
      </c>
      <c r="E399" s="28" t="n">
        <v>0.170755642787046</v>
      </c>
      <c r="F399" s="31" t="n">
        <v>0.381672753036828</v>
      </c>
      <c r="G399" s="30" t="n">
        <v>3.125</v>
      </c>
      <c r="H399" s="30" t="n">
        <v>24.1668730897963</v>
      </c>
      <c r="I399" s="30" t="n">
        <v>75.1477427814485</v>
      </c>
      <c r="J399" s="40" t="n">
        <f aca="false">(G399+H399+I399)/3</f>
        <v>34.1465386237483</v>
      </c>
      <c r="K399" s="41" t="n">
        <f aca="false">(J399-MIN(J$6:J$404))/(MAX(J$6:J$404)-MIN(J$6:J$404))*100</f>
        <v>42.3311780973553</v>
      </c>
    </row>
    <row r="400" customFormat="false" ht="15" hidden="false" customHeight="false" outlineLevel="0" collapsed="false">
      <c r="A400" s="26" t="n">
        <v>4128609</v>
      </c>
      <c r="B400" s="26" t="s">
        <v>466</v>
      </c>
      <c r="C400" s="26" t="s">
        <v>65</v>
      </c>
      <c r="D400" s="28" t="n">
        <v>0.0129870129870129</v>
      </c>
      <c r="E400" s="28" t="n">
        <v>0.146469968387777</v>
      </c>
      <c r="F400" s="31" t="n">
        <v>0.485625945722112</v>
      </c>
      <c r="G400" s="30" t="n">
        <v>1.2987012987013</v>
      </c>
      <c r="H400" s="30" t="n">
        <v>19.9897803895256</v>
      </c>
      <c r="I400" s="30" t="n">
        <v>57.8454849952189</v>
      </c>
      <c r="J400" s="40" t="n">
        <f aca="false">(G400+H400+I400)/3</f>
        <v>26.3779888944819</v>
      </c>
      <c r="K400" s="41" t="n">
        <f aca="false">(J400-MIN(J$6:J$404))/(MAX(J$6:J$404)-MIN(J$6:J$404))*100</f>
        <v>30.2737301996767</v>
      </c>
    </row>
    <row r="401" customFormat="false" ht="15" hidden="false" customHeight="false" outlineLevel="0" collapsed="false">
      <c r="A401" s="26" t="n">
        <v>4128658</v>
      </c>
      <c r="B401" s="26" t="s">
        <v>467</v>
      </c>
      <c r="C401" s="26" t="s">
        <v>71</v>
      </c>
      <c r="D401" s="28" t="n">
        <v>0</v>
      </c>
      <c r="E401" s="28" t="n">
        <v>0.226377952755906</v>
      </c>
      <c r="F401" s="31" t="n">
        <v>0.445553021256557</v>
      </c>
      <c r="G401" s="30" t="n">
        <v>0</v>
      </c>
      <c r="H401" s="30" t="n">
        <v>33.7338112412074</v>
      </c>
      <c r="I401" s="30" t="n">
        <v>64.5153337169435</v>
      </c>
      <c r="J401" s="40" t="n">
        <f aca="false">(G401+H401+I401)/3</f>
        <v>32.7497149860503</v>
      </c>
      <c r="K401" s="41" t="n">
        <f aca="false">(J401-MIN(J$6:J$404))/(MAX(J$6:J$404)-MIN(J$6:J$404))*100</f>
        <v>40.1631893709215</v>
      </c>
    </row>
    <row r="402" customFormat="false" ht="15" hidden="false" customHeight="false" outlineLevel="0" collapsed="false">
      <c r="A402" s="26" t="n">
        <v>4128708</v>
      </c>
      <c r="B402" s="26" t="s">
        <v>468</v>
      </c>
      <c r="C402" s="26" t="s">
        <v>65</v>
      </c>
      <c r="D402" s="28" t="n">
        <v>0.0677966101694915</v>
      </c>
      <c r="E402" s="28" t="n">
        <v>0.168519602106495</v>
      </c>
      <c r="F402" s="31" t="n">
        <v>0.551580331520972</v>
      </c>
      <c r="G402" s="30" t="n">
        <v>6.77966101694915</v>
      </c>
      <c r="H402" s="30" t="n">
        <v>23.782278079146</v>
      </c>
      <c r="I402" s="30" t="n">
        <v>46.867854046652</v>
      </c>
      <c r="J402" s="40" t="n">
        <f aca="false">(G402+H402+I402)/3</f>
        <v>25.8099310475824</v>
      </c>
      <c r="K402" s="41" t="n">
        <f aca="false">(J402-MIN(J$6:J$404))/(MAX(J$6:J$404)-MIN(J$6:J$404))*100</f>
        <v>29.3920562540167</v>
      </c>
    </row>
    <row r="403" customFormat="false" ht="15" hidden="false" customHeight="false" outlineLevel="0" collapsed="false">
      <c r="A403" s="26" t="n">
        <v>4128500</v>
      </c>
      <c r="B403" s="26" t="s">
        <v>469</v>
      </c>
      <c r="C403" s="26" t="s">
        <v>65</v>
      </c>
      <c r="D403" s="28" t="n">
        <v>0.086092715231788</v>
      </c>
      <c r="E403" s="28" t="n">
        <v>0.245733788395904</v>
      </c>
      <c r="F403" s="31" t="n">
        <v>0.492197198534923</v>
      </c>
      <c r="G403" s="30" t="n">
        <v>8.60927152317881</v>
      </c>
      <c r="H403" s="30" t="n">
        <v>37.0629804637805</v>
      </c>
      <c r="I403" s="30" t="n">
        <v>56.7517474465323</v>
      </c>
      <c r="J403" s="40" t="n">
        <f aca="false">(G403+H403+I403)/3</f>
        <v>34.1413331444972</v>
      </c>
      <c r="K403" s="41" t="n">
        <f aca="false">(J403-MIN(J$6:J$404))/(MAX(J$6:J$404)-MIN(J$6:J$404))*100</f>
        <v>42.3230987521699</v>
      </c>
    </row>
    <row r="404" customFormat="false" ht="15" hidden="false" customHeight="false" outlineLevel="0" collapsed="false">
      <c r="A404" s="26" t="n">
        <v>4128807</v>
      </c>
      <c r="B404" s="26" t="s">
        <v>470</v>
      </c>
      <c r="C404" s="26" t="s">
        <v>65</v>
      </c>
      <c r="D404" s="28" t="n">
        <v>0</v>
      </c>
      <c r="E404" s="28" t="n">
        <v>0.244870041039672</v>
      </c>
      <c r="F404" s="31" t="n">
        <v>0.336517607650211</v>
      </c>
      <c r="G404" s="30" t="n">
        <v>0</v>
      </c>
      <c r="H404" s="30" t="n">
        <v>36.9144174583938</v>
      </c>
      <c r="I404" s="30" t="n">
        <v>82.6634904527995</v>
      </c>
      <c r="J404" s="40" t="n">
        <f aca="false">(G404+H404+I404)/3</f>
        <v>39.8593026370644</v>
      </c>
      <c r="K404" s="41" t="n">
        <f aca="false">(J404-MIN(J$6:J$404))/(MAX(J$6:J$404)-MIN(J$6:J$404))*100</f>
        <v>51.1978722478473</v>
      </c>
    </row>
    <row r="406" customFormat="false" ht="15" hidden="false" customHeight="false" outlineLevel="0" collapsed="false">
      <c r="A406" s="32" t="s">
        <v>500</v>
      </c>
    </row>
    <row r="407" customFormat="false" ht="15" hidden="false" customHeight="false" outlineLevel="0" collapsed="false">
      <c r="A407" s="32" t="s">
        <v>501</v>
      </c>
    </row>
  </sheetData>
  <mergeCells count="4">
    <mergeCell ref="A4:C4"/>
    <mergeCell ref="D4:F4"/>
    <mergeCell ref="G4:I4"/>
    <mergeCell ref="J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278F"/>
    <pageSetUpPr fitToPage="true"/>
  </sheetPr>
  <dimension ref="A1:J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6" min="4" style="0" width="10"/>
    <col collapsed="false" customWidth="true" hidden="false" outlineLevel="0" max="10" min="7" style="0" width="11"/>
  </cols>
  <sheetData>
    <row r="1" customFormat="false" ht="17.35" hidden="false" customHeight="false" outlineLevel="0" collapsed="false">
      <c r="A1" s="19" t="s">
        <v>502</v>
      </c>
    </row>
    <row r="2" customFormat="false" ht="15" hidden="false" customHeight="false" outlineLevel="0" collapsed="false">
      <c r="A2" s="2" t="s">
        <v>503</v>
      </c>
    </row>
    <row r="4" customFormat="false" ht="15" hidden="false" customHeight="false" outlineLevel="0" collapsed="false">
      <c r="A4" s="20" t="s">
        <v>46</v>
      </c>
      <c r="B4" s="20"/>
      <c r="C4" s="20"/>
      <c r="D4" s="42" t="s">
        <v>504</v>
      </c>
      <c r="E4" s="43" t="s">
        <v>505</v>
      </c>
      <c r="F4" s="44" t="s">
        <v>504</v>
      </c>
      <c r="G4" s="45" t="s">
        <v>43</v>
      </c>
      <c r="H4" s="45"/>
      <c r="I4" s="45"/>
      <c r="J4" s="45"/>
    </row>
    <row r="5" customFormat="false" ht="43.5" hidden="false" customHeight="true" outlineLevel="0" collapsed="false">
      <c r="A5" s="46" t="s">
        <v>47</v>
      </c>
      <c r="B5" s="46" t="s">
        <v>46</v>
      </c>
      <c r="C5" s="46" t="s">
        <v>48</v>
      </c>
      <c r="D5" s="46" t="s">
        <v>506</v>
      </c>
      <c r="E5" s="46" t="s">
        <v>507</v>
      </c>
      <c r="F5" s="46" t="s">
        <v>508</v>
      </c>
      <c r="G5" s="46" t="s">
        <v>509</v>
      </c>
      <c r="H5" s="46" t="s">
        <v>510</v>
      </c>
      <c r="I5" s="46" t="s">
        <v>511</v>
      </c>
      <c r="J5" s="46" t="s">
        <v>512</v>
      </c>
    </row>
    <row r="6" customFormat="false" ht="15" hidden="false" customHeight="false" outlineLevel="0" collapsed="false">
      <c r="A6" s="25" t="n">
        <v>4100103</v>
      </c>
      <c r="B6" s="26" t="s">
        <v>64</v>
      </c>
      <c r="C6" s="26" t="s">
        <v>65</v>
      </c>
      <c r="D6" s="47" t="n">
        <f aca="false">'2 Fator educacional'!K6</f>
        <v>49.2606778185101</v>
      </c>
      <c r="E6" s="48" t="n">
        <f aca="false">'3 Fator demográfico'!K6</f>
        <v>29.0633600606737</v>
      </c>
      <c r="F6" s="49" t="n">
        <f aca="false">'4 Fator socioeconômico'!K6</f>
        <v>51.8193691358021</v>
      </c>
      <c r="G6" s="50" t="n">
        <f aca="false">(2*D6+E6+2*F6)/500</f>
        <v>0.462446907938596</v>
      </c>
      <c r="H6" s="25" t="n">
        <f aca="false">RANK(G6,G$6:G$404,0)</f>
        <v>222</v>
      </c>
      <c r="I6" s="25" t="n">
        <f aca="false">COUNTIFS(C$6:C$404,C6,G$6:G$404,"&gt;"&amp;G6)+1</f>
        <v>131</v>
      </c>
      <c r="J6" s="25" t="n">
        <f aca="false">COUNTIF(C$6:C$404,C6)</f>
        <v>205</v>
      </c>
    </row>
    <row r="7" customFormat="false" ht="15" hidden="false" customHeight="false" outlineLevel="0" collapsed="false">
      <c r="A7" s="25" t="n">
        <v>4100202</v>
      </c>
      <c r="B7" s="26" t="s">
        <v>66</v>
      </c>
      <c r="C7" s="26" t="s">
        <v>65</v>
      </c>
      <c r="D7" s="47" t="n">
        <f aca="false">'2 Fator educacional'!K7</f>
        <v>74.2810667460311</v>
      </c>
      <c r="E7" s="48" t="n">
        <f aca="false">'3 Fator demográfico'!K7</f>
        <v>36.2166720831346</v>
      </c>
      <c r="F7" s="49" t="n">
        <f aca="false">'4 Fator socioeconômico'!K7</f>
        <v>39.6745053132032</v>
      </c>
      <c r="G7" s="50" t="n">
        <f aca="false">(2*D7+E7+2*F7)/500</f>
        <v>0.528255632403206</v>
      </c>
      <c r="H7" s="25" t="n">
        <f aca="false">RANK(G7,G$6:G$404,0)</f>
        <v>120</v>
      </c>
      <c r="I7" s="25" t="n">
        <f aca="false">COUNTIFS(C$6:C$404,C7,G$6:G$404,"&gt;"&amp;G7)+1</f>
        <v>73</v>
      </c>
      <c r="J7" s="25" t="n">
        <f aca="false">COUNTIF(C$6:C$404,C7)</f>
        <v>205</v>
      </c>
    </row>
    <row r="8" customFormat="false" ht="15" hidden="false" customHeight="false" outlineLevel="0" collapsed="false">
      <c r="A8" s="25" t="n">
        <v>4100301</v>
      </c>
      <c r="B8" s="26" t="s">
        <v>67</v>
      </c>
      <c r="C8" s="26" t="s">
        <v>65</v>
      </c>
      <c r="D8" s="47" t="n">
        <f aca="false">'2 Fator educacional'!K8</f>
        <v>70.9486157644388</v>
      </c>
      <c r="E8" s="48" t="n">
        <f aca="false">'3 Fator demográfico'!K8</f>
        <v>48.3919293151771</v>
      </c>
      <c r="F8" s="49" t="n">
        <f aca="false">'4 Fator socioeconômico'!K8</f>
        <v>59.7838319770093</v>
      </c>
      <c r="G8" s="50" t="n">
        <f aca="false">(2*D8+E8+2*F8)/500</f>
        <v>0.619713649596147</v>
      </c>
      <c r="H8" s="25" t="n">
        <f aca="false">RANK(G8,G$6:G$404,0)</f>
        <v>41</v>
      </c>
      <c r="I8" s="25" t="n">
        <f aca="false">COUNTIFS(C$6:C$404,C8,G$6:G$404,"&gt;"&amp;G8)+1</f>
        <v>29</v>
      </c>
      <c r="J8" s="25" t="n">
        <f aca="false">COUNTIF(C$6:C$404,C8)</f>
        <v>205</v>
      </c>
    </row>
    <row r="9" customFormat="false" ht="15" hidden="false" customHeight="false" outlineLevel="0" collapsed="false">
      <c r="A9" s="25" t="n">
        <v>4100400</v>
      </c>
      <c r="B9" s="26" t="s">
        <v>68</v>
      </c>
      <c r="C9" s="26" t="s">
        <v>69</v>
      </c>
      <c r="D9" s="47" t="n">
        <f aca="false">'2 Fator educacional'!K9</f>
        <v>100</v>
      </c>
      <c r="E9" s="48" t="n">
        <f aca="false">'3 Fator demográfico'!K9</f>
        <v>55.3691155630587</v>
      </c>
      <c r="F9" s="49" t="n">
        <f aca="false">'4 Fator socioeconômico'!K9</f>
        <v>38.8137750057462</v>
      </c>
      <c r="G9" s="50" t="n">
        <f aca="false">(2*D9+E9+2*F9)/500</f>
        <v>0.665993331149102</v>
      </c>
      <c r="H9" s="25" t="n">
        <f aca="false">RANK(G9,G$6:G$404,0)</f>
        <v>22</v>
      </c>
      <c r="I9" s="25" t="n">
        <f aca="false">COUNTIFS(C$6:C$404,C9,G$6:G$404,"&gt;"&amp;G9)+1</f>
        <v>1</v>
      </c>
      <c r="J9" s="25" t="n">
        <f aca="false">COUNTIF(C$6:C$404,C9)</f>
        <v>14</v>
      </c>
    </row>
    <row r="10" customFormat="false" ht="15" hidden="false" customHeight="false" outlineLevel="0" collapsed="false">
      <c r="A10" s="25" t="n">
        <v>4100459</v>
      </c>
      <c r="B10" s="26" t="s">
        <v>70</v>
      </c>
      <c r="C10" s="26" t="s">
        <v>71</v>
      </c>
      <c r="D10" s="47" t="n">
        <f aca="false">'2 Fator educacional'!K10</f>
        <v>57.5846589911575</v>
      </c>
      <c r="E10" s="48" t="n">
        <f aca="false">'3 Fator demográfico'!K10</f>
        <v>54.7138992071026</v>
      </c>
      <c r="F10" s="49" t="n">
        <f aca="false">'4 Fator socioeconômico'!K10</f>
        <v>54.1350259408341</v>
      </c>
      <c r="G10" s="50" t="n">
        <f aca="false">(2*D10+E10+2*F10)/500</f>
        <v>0.556306538142172</v>
      </c>
      <c r="H10" s="25" t="n">
        <f aca="false">RANK(G10,G$6:G$404,0)</f>
        <v>85</v>
      </c>
      <c r="I10" s="25" t="n">
        <f aca="false">COUNTIFS(C$6:C$404,C10,G$6:G$404,"&gt;"&amp;G10)+1</f>
        <v>21</v>
      </c>
      <c r="J10" s="25" t="n">
        <f aca="false">COUNTIF(C$6:C$404,C10)</f>
        <v>102</v>
      </c>
    </row>
    <row r="11" customFormat="false" ht="15" hidden="false" customHeight="false" outlineLevel="0" collapsed="false">
      <c r="A11" s="25" t="n">
        <v>4128625</v>
      </c>
      <c r="B11" s="26" t="s">
        <v>72</v>
      </c>
      <c r="C11" s="26" t="s">
        <v>71</v>
      </c>
      <c r="D11" s="47" t="n">
        <f aca="false">'2 Fator educacional'!K11</f>
        <v>29.720045146022</v>
      </c>
      <c r="E11" s="48" t="n">
        <f aca="false">'3 Fator demográfico'!K11</f>
        <v>94.0854636289342</v>
      </c>
      <c r="F11" s="49" t="n">
        <f aca="false">'4 Fator socioeconômico'!K11</f>
        <v>45.6289436157131</v>
      </c>
      <c r="G11" s="50" t="n">
        <f aca="false">(2*D11+E11+2*F11)/500</f>
        <v>0.489566882304809</v>
      </c>
      <c r="H11" s="25" t="n">
        <f aca="false">RANK(G11,G$6:G$404,0)</f>
        <v>175</v>
      </c>
      <c r="I11" s="25" t="n">
        <f aca="false">COUNTIFS(C$6:C$404,C11,G$6:G$404,"&gt;"&amp;G11)+1</f>
        <v>42</v>
      </c>
      <c r="J11" s="25" t="n">
        <f aca="false">COUNTIF(C$6:C$404,C11)</f>
        <v>102</v>
      </c>
    </row>
    <row r="12" customFormat="false" ht="15" hidden="false" customHeight="false" outlineLevel="0" collapsed="false">
      <c r="A12" s="25" t="n">
        <v>4100608</v>
      </c>
      <c r="B12" s="26" t="s">
        <v>73</v>
      </c>
      <c r="C12" s="26" t="s">
        <v>65</v>
      </c>
      <c r="D12" s="47" t="n">
        <f aca="false">'2 Fator educacional'!K12</f>
        <v>68.1489266714997</v>
      </c>
      <c r="E12" s="48" t="n">
        <f aca="false">'3 Fator demográfico'!K12</f>
        <v>48.1537434552119</v>
      </c>
      <c r="F12" s="49" t="n">
        <f aca="false">'4 Fator socioeconômico'!K12</f>
        <v>50.4569333707757</v>
      </c>
      <c r="G12" s="50" t="n">
        <f aca="false">(2*D12+E12+2*F12)/500</f>
        <v>0.570730927079525</v>
      </c>
      <c r="H12" s="25" t="n">
        <f aca="false">RANK(G12,G$6:G$404,0)</f>
        <v>70</v>
      </c>
      <c r="I12" s="25" t="n">
        <f aca="false">COUNTIFS(C$6:C$404,C12,G$6:G$404,"&gt;"&amp;G12)+1</f>
        <v>46</v>
      </c>
      <c r="J12" s="25" t="n">
        <f aca="false">COUNTIF(C$6:C$404,C12)</f>
        <v>205</v>
      </c>
    </row>
    <row r="13" customFormat="false" ht="15" hidden="false" customHeight="false" outlineLevel="0" collapsed="false">
      <c r="A13" s="25" t="n">
        <v>4100707</v>
      </c>
      <c r="B13" s="26" t="s">
        <v>74</v>
      </c>
      <c r="C13" s="26" t="s">
        <v>65</v>
      </c>
      <c r="D13" s="47" t="n">
        <f aca="false">'2 Fator educacional'!K13</f>
        <v>56.8044804913379</v>
      </c>
      <c r="E13" s="48" t="n">
        <f aca="false">'3 Fator demográfico'!K13</f>
        <v>43.1142773905664</v>
      </c>
      <c r="F13" s="49" t="n">
        <f aca="false">'4 Fator socioeconômico'!K13</f>
        <v>46.047778903034</v>
      </c>
      <c r="G13" s="50" t="n">
        <f aca="false">(2*D13+E13+2*F13)/500</f>
        <v>0.49763759235862</v>
      </c>
      <c r="H13" s="25" t="n">
        <f aca="false">RANK(G13,G$6:G$404,0)</f>
        <v>163</v>
      </c>
      <c r="I13" s="25" t="n">
        <f aca="false">COUNTIFS(C$6:C$404,C13,G$6:G$404,"&gt;"&amp;G13)+1</f>
        <v>97</v>
      </c>
      <c r="J13" s="25" t="n">
        <f aca="false">COUNTIF(C$6:C$404,C13)</f>
        <v>205</v>
      </c>
    </row>
    <row r="14" customFormat="false" ht="15" hidden="false" customHeight="false" outlineLevel="0" collapsed="false">
      <c r="A14" s="25" t="n">
        <v>4100509</v>
      </c>
      <c r="B14" s="26" t="s">
        <v>75</v>
      </c>
      <c r="C14" s="26" t="s">
        <v>65</v>
      </c>
      <c r="D14" s="47" t="n">
        <f aca="false">'2 Fator educacional'!K14</f>
        <v>48.0496982059776</v>
      </c>
      <c r="E14" s="48" t="n">
        <f aca="false">'3 Fator demográfico'!K14</f>
        <v>36.1623798416338</v>
      </c>
      <c r="F14" s="49" t="n">
        <f aca="false">'4 Fator socioeconômico'!K14</f>
        <v>39.8988296984623</v>
      </c>
      <c r="G14" s="50" t="n">
        <f aca="false">(2*D14+E14+2*F14)/500</f>
        <v>0.424118871301027</v>
      </c>
      <c r="H14" s="25" t="n">
        <f aca="false">RANK(G14,G$6:G$404,0)</f>
        <v>279</v>
      </c>
      <c r="I14" s="25" t="n">
        <f aca="false">COUNTIFS(C$6:C$404,C14,G$6:G$404,"&gt;"&amp;G14)+1</f>
        <v>158</v>
      </c>
      <c r="J14" s="25" t="n">
        <f aca="false">COUNTIF(C$6:C$404,C14)</f>
        <v>205</v>
      </c>
    </row>
    <row r="15" customFormat="false" ht="15" hidden="false" customHeight="false" outlineLevel="0" collapsed="false">
      <c r="A15" s="25" t="n">
        <v>4100806</v>
      </c>
      <c r="B15" s="26" t="s">
        <v>76</v>
      </c>
      <c r="C15" s="26" t="s">
        <v>65</v>
      </c>
      <c r="D15" s="47" t="n">
        <f aca="false">'2 Fator educacional'!K15</f>
        <v>51.4821716464836</v>
      </c>
      <c r="E15" s="48" t="n">
        <f aca="false">'3 Fator demográfico'!K15</f>
        <v>16.5366521539263</v>
      </c>
      <c r="F15" s="49" t="n">
        <f aca="false">'4 Fator socioeconômico'!K15</f>
        <v>46.9914049840926</v>
      </c>
      <c r="G15" s="50" t="n">
        <f aca="false">(2*D15+E15+2*F15)/500</f>
        <v>0.426967610830157</v>
      </c>
      <c r="H15" s="25" t="n">
        <f aca="false">RANK(G15,G$6:G$404,0)</f>
        <v>273</v>
      </c>
      <c r="I15" s="25" t="n">
        <f aca="false">COUNTIFS(C$6:C$404,C15,G$6:G$404,"&gt;"&amp;G15)+1</f>
        <v>155</v>
      </c>
      <c r="J15" s="25" t="n">
        <f aca="false">COUNTIF(C$6:C$404,C15)</f>
        <v>205</v>
      </c>
    </row>
    <row r="16" customFormat="false" ht="15" hidden="false" customHeight="false" outlineLevel="0" collapsed="false">
      <c r="A16" s="25" t="n">
        <v>4100905</v>
      </c>
      <c r="B16" s="26" t="s">
        <v>77</v>
      </c>
      <c r="C16" s="26" t="s">
        <v>71</v>
      </c>
      <c r="D16" s="47" t="n">
        <f aca="false">'2 Fator educacional'!K16</f>
        <v>61.6685663647413</v>
      </c>
      <c r="E16" s="48" t="n">
        <f aca="false">'3 Fator demográfico'!K16</f>
        <v>33.9018356576462</v>
      </c>
      <c r="F16" s="49" t="n">
        <f aca="false">'4 Fator socioeconômico'!K16</f>
        <v>64.3388982800947</v>
      </c>
      <c r="G16" s="50" t="n">
        <f aca="false">(2*D16+E16+2*F16)/500</f>
        <v>0.571833529894636</v>
      </c>
      <c r="H16" s="25" t="n">
        <f aca="false">RANK(G16,G$6:G$404,0)</f>
        <v>68</v>
      </c>
      <c r="I16" s="25" t="n">
        <f aca="false">COUNTIFS(C$6:C$404,C16,G$6:G$404,"&gt;"&amp;G16)+1</f>
        <v>16</v>
      </c>
      <c r="J16" s="25" t="n">
        <f aca="false">COUNTIF(C$6:C$404,C16)</f>
        <v>102</v>
      </c>
    </row>
    <row r="17" customFormat="false" ht="15" hidden="false" customHeight="false" outlineLevel="0" collapsed="false">
      <c r="A17" s="25" t="n">
        <v>4101002</v>
      </c>
      <c r="B17" s="26" t="s">
        <v>78</v>
      </c>
      <c r="C17" s="26" t="s">
        <v>65</v>
      </c>
      <c r="D17" s="47" t="n">
        <f aca="false">'2 Fator educacional'!K17</f>
        <v>62.5092685072356</v>
      </c>
      <c r="E17" s="48" t="n">
        <f aca="false">'3 Fator demográfico'!K17</f>
        <v>43.2549366792187</v>
      </c>
      <c r="F17" s="49" t="n">
        <f aca="false">'4 Fator socioeconômico'!K17</f>
        <v>23.8277137681829</v>
      </c>
      <c r="G17" s="50" t="n">
        <f aca="false">(2*D17+E17+2*F17)/500</f>
        <v>0.431857802460111</v>
      </c>
      <c r="H17" s="25" t="n">
        <f aca="false">RANK(G17,G$6:G$404,0)</f>
        <v>264</v>
      </c>
      <c r="I17" s="25" t="n">
        <f aca="false">COUNTIFS(C$6:C$404,C17,G$6:G$404,"&gt;"&amp;G17)+1</f>
        <v>151</v>
      </c>
      <c r="J17" s="25" t="n">
        <f aca="false">COUNTIF(C$6:C$404,C17)</f>
        <v>205</v>
      </c>
    </row>
    <row r="18" customFormat="false" ht="15" hidden="false" customHeight="false" outlineLevel="0" collapsed="false">
      <c r="A18" s="25" t="n">
        <v>4101051</v>
      </c>
      <c r="B18" s="26" t="s">
        <v>79</v>
      </c>
      <c r="C18" s="26" t="s">
        <v>71</v>
      </c>
      <c r="D18" s="47" t="n">
        <f aca="false">'2 Fator educacional'!K18</f>
        <v>43.0741974433442</v>
      </c>
      <c r="E18" s="48" t="n">
        <f aca="false">'3 Fator demográfico'!K18</f>
        <v>29.1755419687107</v>
      </c>
      <c r="F18" s="49" t="n">
        <f aca="false">'4 Fator socioeconômico'!K18</f>
        <v>44.5061402131422</v>
      </c>
      <c r="G18" s="50" t="n">
        <f aca="false">(2*D18+E18+2*F18)/500</f>
        <v>0.408672434563367</v>
      </c>
      <c r="H18" s="25" t="n">
        <f aca="false">RANK(G18,G$6:G$404,0)</f>
        <v>297</v>
      </c>
      <c r="I18" s="25" t="n">
        <f aca="false">COUNTIFS(C$6:C$404,C18,G$6:G$404,"&gt;"&amp;G18)+1</f>
        <v>70</v>
      </c>
      <c r="J18" s="25" t="n">
        <f aca="false">COUNTIF(C$6:C$404,C18)</f>
        <v>102</v>
      </c>
    </row>
    <row r="19" customFormat="false" ht="15" hidden="false" customHeight="false" outlineLevel="0" collapsed="false">
      <c r="A19" s="25" t="n">
        <v>4101101</v>
      </c>
      <c r="B19" s="26" t="s">
        <v>80</v>
      </c>
      <c r="C19" s="26" t="s">
        <v>65</v>
      </c>
      <c r="D19" s="47" t="n">
        <f aca="false">'2 Fator educacional'!K19</f>
        <v>48.3124078288643</v>
      </c>
      <c r="E19" s="48" t="n">
        <f aca="false">'3 Fator demográfico'!K19</f>
        <v>38.2472814821385</v>
      </c>
      <c r="F19" s="49" t="n">
        <f aca="false">'4 Fator socioeconômico'!K19</f>
        <v>44.161891430246</v>
      </c>
      <c r="G19" s="50" t="n">
        <f aca="false">(2*D19+E19+2*F19)/500</f>
        <v>0.446391760000718</v>
      </c>
      <c r="H19" s="25" t="n">
        <f aca="false">RANK(G19,G$6:G$404,0)</f>
        <v>243</v>
      </c>
      <c r="I19" s="25" t="n">
        <f aca="false">COUNTIFS(C$6:C$404,C19,G$6:G$404,"&gt;"&amp;G19)+1</f>
        <v>144</v>
      </c>
      <c r="J19" s="25" t="n">
        <f aca="false">COUNTIF(C$6:C$404,C19)</f>
        <v>205</v>
      </c>
    </row>
    <row r="20" customFormat="false" ht="15" hidden="false" customHeight="false" outlineLevel="0" collapsed="false">
      <c r="A20" s="25" t="n">
        <v>4101200</v>
      </c>
      <c r="B20" s="26" t="s">
        <v>81</v>
      </c>
      <c r="C20" s="26" t="s">
        <v>65</v>
      </c>
      <c r="D20" s="47" t="n">
        <f aca="false">'2 Fator educacional'!K20</f>
        <v>71.1113634868665</v>
      </c>
      <c r="E20" s="48" t="n">
        <f aca="false">'3 Fator demográfico'!K20</f>
        <v>30.306251356133</v>
      </c>
      <c r="F20" s="49" t="n">
        <f aca="false">'4 Fator socioeconômico'!K20</f>
        <v>63.7884871310282</v>
      </c>
      <c r="G20" s="50" t="n">
        <f aca="false">(2*D20+E20+2*F20)/500</f>
        <v>0.600211905183845</v>
      </c>
      <c r="H20" s="25" t="n">
        <f aca="false">RANK(G20,G$6:G$404,0)</f>
        <v>49</v>
      </c>
      <c r="I20" s="25" t="n">
        <f aca="false">COUNTIFS(C$6:C$404,C20,G$6:G$404,"&gt;"&amp;G20)+1</f>
        <v>34</v>
      </c>
      <c r="J20" s="25" t="n">
        <f aca="false">COUNTIF(C$6:C$404,C20)</f>
        <v>205</v>
      </c>
    </row>
    <row r="21" customFormat="false" ht="15" hidden="false" customHeight="false" outlineLevel="0" collapsed="false">
      <c r="A21" s="25" t="n">
        <v>4101309</v>
      </c>
      <c r="B21" s="26" t="s">
        <v>82</v>
      </c>
      <c r="C21" s="26" t="s">
        <v>65</v>
      </c>
      <c r="D21" s="47" t="n">
        <f aca="false">'2 Fator educacional'!K21</f>
        <v>92.6977018843723</v>
      </c>
      <c r="E21" s="48" t="n">
        <f aca="false">'3 Fator demográfico'!K21</f>
        <v>31.7159580031905</v>
      </c>
      <c r="F21" s="49" t="n">
        <f aca="false">'4 Fator socioeconômico'!K21</f>
        <v>65.6757897417765</v>
      </c>
      <c r="G21" s="50" t="n">
        <f aca="false">(2*D21+E21+2*F21)/500</f>
        <v>0.696925882510976</v>
      </c>
      <c r="H21" s="25" t="n">
        <f aca="false">RANK(G21,G$6:G$404,0)</f>
        <v>10</v>
      </c>
      <c r="I21" s="25" t="n">
        <f aca="false">COUNTIFS(C$6:C$404,C21,G$6:G$404,"&gt;"&amp;G21)+1</f>
        <v>8</v>
      </c>
      <c r="J21" s="25" t="n">
        <f aca="false">COUNTIF(C$6:C$404,C21)</f>
        <v>205</v>
      </c>
    </row>
    <row r="22" customFormat="false" ht="15" hidden="false" customHeight="false" outlineLevel="0" collapsed="false">
      <c r="A22" s="25" t="n">
        <v>4101408</v>
      </c>
      <c r="B22" s="26" t="s">
        <v>83</v>
      </c>
      <c r="C22" s="26" t="s">
        <v>69</v>
      </c>
      <c r="D22" s="47" t="n">
        <f aca="false">'2 Fator educacional'!K22</f>
        <v>47.9466661352646</v>
      </c>
      <c r="E22" s="48" t="n">
        <f aca="false">'3 Fator demográfico'!K22</f>
        <v>44.0572172758024</v>
      </c>
      <c r="F22" s="49" t="n">
        <f aca="false">'4 Fator socioeconômico'!K22</f>
        <v>30.7324705548405</v>
      </c>
      <c r="G22" s="50" t="n">
        <f aca="false">(2*D22+E22+2*F22)/500</f>
        <v>0.402830981312025</v>
      </c>
      <c r="H22" s="25" t="n">
        <f aca="false">RANK(G22,G$6:G$404,0)</f>
        <v>307</v>
      </c>
      <c r="I22" s="25" t="n">
        <f aca="false">COUNTIFS(C$6:C$404,C22,G$6:G$404,"&gt;"&amp;G22)+1</f>
        <v>10</v>
      </c>
      <c r="J22" s="25" t="n">
        <f aca="false">COUNTIF(C$6:C$404,C22)</f>
        <v>14</v>
      </c>
    </row>
    <row r="23" customFormat="false" ht="15" hidden="false" customHeight="false" outlineLevel="0" collapsed="false">
      <c r="A23" s="25" t="n">
        <v>4101507</v>
      </c>
      <c r="B23" s="26" t="s">
        <v>84</v>
      </c>
      <c r="C23" s="26" t="s">
        <v>69</v>
      </c>
      <c r="D23" s="47" t="n">
        <f aca="false">'2 Fator educacional'!K23</f>
        <v>53.0645658064626</v>
      </c>
      <c r="E23" s="48" t="n">
        <f aca="false">'3 Fator demográfico'!K23</f>
        <v>44.5308975697652</v>
      </c>
      <c r="F23" s="49" t="n">
        <f aca="false">'4 Fator socioeconômico'!K23</f>
        <v>23.0772524561952</v>
      </c>
      <c r="G23" s="50" t="n">
        <f aca="false">(2*D23+E23+2*F23)/500</f>
        <v>0.393629068190162</v>
      </c>
      <c r="H23" s="25" t="n">
        <f aca="false">RANK(G23,G$6:G$404,0)</f>
        <v>316</v>
      </c>
      <c r="I23" s="25" t="n">
        <f aca="false">COUNTIFS(C$6:C$404,C23,G$6:G$404,"&gt;"&amp;G23)+1</f>
        <v>11</v>
      </c>
      <c r="J23" s="25" t="n">
        <f aca="false">COUNTIF(C$6:C$404,C23)</f>
        <v>14</v>
      </c>
    </row>
    <row r="24" customFormat="false" ht="15" hidden="false" customHeight="false" outlineLevel="0" collapsed="false">
      <c r="A24" s="25" t="n">
        <v>4101606</v>
      </c>
      <c r="B24" s="26" t="s">
        <v>85</v>
      </c>
      <c r="C24" s="26" t="s">
        <v>86</v>
      </c>
      <c r="D24" s="47" t="n">
        <f aca="false">'2 Fator educacional'!K24</f>
        <v>62.3809013678086</v>
      </c>
      <c r="E24" s="48" t="n">
        <f aca="false">'3 Fator demográfico'!K24</f>
        <v>64.6892165205691</v>
      </c>
      <c r="F24" s="49" t="n">
        <f aca="false">'4 Fator socioeconômico'!K24</f>
        <v>34.0766904385408</v>
      </c>
      <c r="G24" s="50" t="n">
        <f aca="false">(2*D24+E24+2*F24)/500</f>
        <v>0.515208800266536</v>
      </c>
      <c r="H24" s="25" t="n">
        <f aca="false">RANK(G24,G$6:G$404,0)</f>
        <v>133</v>
      </c>
      <c r="I24" s="25" t="n">
        <f aca="false">COUNTIFS(C$6:C$404,C24,G$6:G$404,"&gt;"&amp;G24)+1</f>
        <v>16</v>
      </c>
      <c r="J24" s="25" t="n">
        <f aca="false">COUNTIF(C$6:C$404,C24)</f>
        <v>62</v>
      </c>
    </row>
    <row r="25" customFormat="false" ht="15" hidden="false" customHeight="false" outlineLevel="0" collapsed="false">
      <c r="A25" s="25" t="n">
        <v>4101655</v>
      </c>
      <c r="B25" s="26" t="s">
        <v>87</v>
      </c>
      <c r="C25" s="26" t="s">
        <v>71</v>
      </c>
      <c r="D25" s="47" t="n">
        <f aca="false">'2 Fator educacional'!K25</f>
        <v>59.0446851430027</v>
      </c>
      <c r="E25" s="48" t="n">
        <f aca="false">'3 Fator demográfico'!K25</f>
        <v>34.968128786489</v>
      </c>
      <c r="F25" s="49" t="n">
        <f aca="false">'4 Fator socioeconômico'!K25</f>
        <v>66.0063328855755</v>
      </c>
      <c r="G25" s="50" t="n">
        <f aca="false">(2*D25+E25+2*F25)/500</f>
        <v>0.570140329687291</v>
      </c>
      <c r="H25" s="25" t="n">
        <f aca="false">RANK(G25,G$6:G$404,0)</f>
        <v>72</v>
      </c>
      <c r="I25" s="25" t="n">
        <f aca="false">COUNTIFS(C$6:C$404,C25,G$6:G$404,"&gt;"&amp;G25)+1</f>
        <v>17</v>
      </c>
      <c r="J25" s="25" t="n">
        <f aca="false">COUNTIF(C$6:C$404,C25)</f>
        <v>102</v>
      </c>
    </row>
    <row r="26" customFormat="false" ht="15" hidden="false" customHeight="false" outlineLevel="0" collapsed="false">
      <c r="A26" s="25" t="n">
        <v>4101705</v>
      </c>
      <c r="B26" s="26" t="s">
        <v>88</v>
      </c>
      <c r="C26" s="26" t="s">
        <v>65</v>
      </c>
      <c r="D26" s="47" t="n">
        <f aca="false">'2 Fator educacional'!K26</f>
        <v>69.3355975290592</v>
      </c>
      <c r="E26" s="48" t="n">
        <f aca="false">'3 Fator demográfico'!K26</f>
        <v>35.7026089351501</v>
      </c>
      <c r="F26" s="49" t="n">
        <f aca="false">'4 Fator socioeconômico'!K26</f>
        <v>37.2936808441428</v>
      </c>
      <c r="G26" s="50" t="n">
        <f aca="false">(2*D26+E26+2*F26)/500</f>
        <v>0.497922331363108</v>
      </c>
      <c r="H26" s="25" t="n">
        <f aca="false">RANK(G26,G$6:G$404,0)</f>
        <v>161</v>
      </c>
      <c r="I26" s="25" t="n">
        <f aca="false">COUNTIFS(C$6:C$404,C26,G$6:G$404,"&gt;"&amp;G26)+1</f>
        <v>96</v>
      </c>
      <c r="J26" s="25" t="n">
        <f aca="false">COUNTIF(C$6:C$404,C26)</f>
        <v>205</v>
      </c>
    </row>
    <row r="27" customFormat="false" ht="15" hidden="false" customHeight="false" outlineLevel="0" collapsed="false">
      <c r="A27" s="25" t="n">
        <v>4101804</v>
      </c>
      <c r="B27" s="26" t="s">
        <v>89</v>
      </c>
      <c r="C27" s="26" t="s">
        <v>69</v>
      </c>
      <c r="D27" s="47" t="n">
        <f aca="false">'2 Fator educacional'!K27</f>
        <v>48.892272958046</v>
      </c>
      <c r="E27" s="48" t="n">
        <f aca="false">'3 Fator demográfico'!K27</f>
        <v>49.4686093593841</v>
      </c>
      <c r="F27" s="49" t="n">
        <f aca="false">'4 Fator socioeconômico'!K27</f>
        <v>16.1927533414993</v>
      </c>
      <c r="G27" s="50" t="n">
        <f aca="false">(2*D27+E27+2*F27)/500</f>
        <v>0.35927732391695</v>
      </c>
      <c r="H27" s="25" t="n">
        <f aca="false">RANK(G27,G$6:G$404,0)</f>
        <v>354</v>
      </c>
      <c r="I27" s="25" t="n">
        <f aca="false">COUNTIFS(C$6:C$404,C27,G$6:G$404,"&gt;"&amp;G27)+1</f>
        <v>13</v>
      </c>
      <c r="J27" s="25" t="n">
        <f aca="false">COUNTIF(C$6:C$404,C27)</f>
        <v>14</v>
      </c>
    </row>
    <row r="28" customFormat="false" ht="15" hidden="false" customHeight="false" outlineLevel="0" collapsed="false">
      <c r="A28" s="25" t="n">
        <v>4101853</v>
      </c>
      <c r="B28" s="26" t="s">
        <v>90</v>
      </c>
      <c r="C28" s="26" t="s">
        <v>71</v>
      </c>
      <c r="D28" s="47" t="n">
        <f aca="false">'2 Fator educacional'!K28</f>
        <v>32.4342390186483</v>
      </c>
      <c r="E28" s="48" t="n">
        <f aca="false">'3 Fator demográfico'!K28</f>
        <v>29.12197181074</v>
      </c>
      <c r="F28" s="49" t="n">
        <f aca="false">'4 Fator socioeconômico'!K28</f>
        <v>56.8794051059687</v>
      </c>
      <c r="G28" s="50" t="n">
        <f aca="false">(2*D28+E28+2*F28)/500</f>
        <v>0.415498520119948</v>
      </c>
      <c r="H28" s="25" t="n">
        <f aca="false">RANK(G28,G$6:G$404,0)</f>
        <v>287</v>
      </c>
      <c r="I28" s="25" t="n">
        <f aca="false">COUNTIFS(C$6:C$404,C28,G$6:G$404,"&gt;"&amp;G28)+1</f>
        <v>66</v>
      </c>
      <c r="J28" s="25" t="n">
        <f aca="false">COUNTIF(C$6:C$404,C28)</f>
        <v>102</v>
      </c>
    </row>
    <row r="29" customFormat="false" ht="15" hidden="false" customHeight="false" outlineLevel="0" collapsed="false">
      <c r="A29" s="25" t="n">
        <v>4101903</v>
      </c>
      <c r="B29" s="26" t="s">
        <v>91</v>
      </c>
      <c r="C29" s="26" t="s">
        <v>65</v>
      </c>
      <c r="D29" s="47" t="n">
        <f aca="false">'2 Fator educacional'!K29</f>
        <v>42.565118493671</v>
      </c>
      <c r="E29" s="48" t="n">
        <f aca="false">'3 Fator demográfico'!K29</f>
        <v>35.873498245421</v>
      </c>
      <c r="F29" s="49" t="n">
        <f aca="false">'4 Fator socioeconômico'!K29</f>
        <v>46.6185401634529</v>
      </c>
      <c r="G29" s="50" t="n">
        <f aca="false">(2*D29+E29+2*F29)/500</f>
        <v>0.428481631119337</v>
      </c>
      <c r="H29" s="25" t="n">
        <f aca="false">RANK(G29,G$6:G$404,0)</f>
        <v>271</v>
      </c>
      <c r="I29" s="25" t="n">
        <f aca="false">COUNTIFS(C$6:C$404,C29,G$6:G$404,"&gt;"&amp;G29)+1</f>
        <v>154</v>
      </c>
      <c r="J29" s="25" t="n">
        <f aca="false">COUNTIF(C$6:C$404,C29)</f>
        <v>205</v>
      </c>
    </row>
    <row r="30" customFormat="false" ht="15" hidden="false" customHeight="false" outlineLevel="0" collapsed="false">
      <c r="A30" s="25" t="n">
        <v>4102000</v>
      </c>
      <c r="B30" s="26" t="s">
        <v>92</v>
      </c>
      <c r="C30" s="26" t="s">
        <v>86</v>
      </c>
      <c r="D30" s="47" t="n">
        <f aca="false">'2 Fator educacional'!K30</f>
        <v>44.4305884367086</v>
      </c>
      <c r="E30" s="48" t="n">
        <f aca="false">'3 Fator demográfico'!K30</f>
        <v>37.8228309914933</v>
      </c>
      <c r="F30" s="49" t="n">
        <f aca="false">'4 Fator socioeconômico'!K30</f>
        <v>32.2177464625885</v>
      </c>
      <c r="G30" s="50" t="n">
        <f aca="false">(2*D30+E30+2*F30)/500</f>
        <v>0.382239001580175</v>
      </c>
      <c r="H30" s="25" t="n">
        <f aca="false">RANK(G30,G$6:G$404,0)</f>
        <v>330</v>
      </c>
      <c r="I30" s="25" t="n">
        <f aca="false">COUNTIFS(C$6:C$404,C30,G$6:G$404,"&gt;"&amp;G30)+1</f>
        <v>51</v>
      </c>
      <c r="J30" s="25" t="n">
        <f aca="false">COUNTIF(C$6:C$404,C30)</f>
        <v>62</v>
      </c>
    </row>
    <row r="31" customFormat="false" ht="15" hidden="false" customHeight="false" outlineLevel="0" collapsed="false">
      <c r="A31" s="25" t="n">
        <v>4102109</v>
      </c>
      <c r="B31" s="26" t="s">
        <v>93</v>
      </c>
      <c r="C31" s="26" t="s">
        <v>86</v>
      </c>
      <c r="D31" s="47" t="n">
        <f aca="false">'2 Fator educacional'!K31</f>
        <v>50.4142647852123</v>
      </c>
      <c r="E31" s="48" t="n">
        <f aca="false">'3 Fator demográfico'!K31</f>
        <v>56.8743931901684</v>
      </c>
      <c r="F31" s="49" t="n">
        <f aca="false">'4 Fator socioeconômico'!K31</f>
        <v>33.4071362807446</v>
      </c>
      <c r="G31" s="50" t="n">
        <f aca="false">(2*D31+E31+2*F31)/500</f>
        <v>0.449034390644164</v>
      </c>
      <c r="H31" s="25" t="n">
        <f aca="false">RANK(G31,G$6:G$404,0)</f>
        <v>238</v>
      </c>
      <c r="I31" s="25" t="n">
        <f aca="false">COUNTIFS(C$6:C$404,C31,G$6:G$404,"&gt;"&amp;G31)+1</f>
        <v>32</v>
      </c>
      <c r="J31" s="25" t="n">
        <f aca="false">COUNTIF(C$6:C$404,C31)</f>
        <v>62</v>
      </c>
    </row>
    <row r="32" customFormat="false" ht="15" hidden="false" customHeight="false" outlineLevel="0" collapsed="false">
      <c r="A32" s="25" t="n">
        <v>4102208</v>
      </c>
      <c r="B32" s="26" t="s">
        <v>94</v>
      </c>
      <c r="C32" s="26" t="s">
        <v>71</v>
      </c>
      <c r="D32" s="47" t="n">
        <f aca="false">'2 Fator educacional'!K32</f>
        <v>29.4692983011296</v>
      </c>
      <c r="E32" s="48" t="n">
        <f aca="false">'3 Fator demográfico'!K32</f>
        <v>12.7783140532818</v>
      </c>
      <c r="F32" s="49" t="n">
        <f aca="false">'4 Fator socioeconômico'!K32</f>
        <v>34.2705841603188</v>
      </c>
      <c r="G32" s="50" t="n">
        <f aca="false">(2*D32+E32+2*F32)/500</f>
        <v>0.280516157952357</v>
      </c>
      <c r="H32" s="25" t="n">
        <f aca="false">RANK(G32,G$6:G$404,0)</f>
        <v>396</v>
      </c>
      <c r="I32" s="25" t="n">
        <f aca="false">COUNTIFS(C$6:C$404,C32,G$6:G$404,"&gt;"&amp;G32)+1</f>
        <v>100</v>
      </c>
      <c r="J32" s="25" t="n">
        <f aca="false">COUNTIF(C$6:C$404,C32)</f>
        <v>102</v>
      </c>
    </row>
    <row r="33" customFormat="false" ht="15" hidden="false" customHeight="false" outlineLevel="0" collapsed="false">
      <c r="A33" s="25" t="n">
        <v>4101150</v>
      </c>
      <c r="B33" s="26" t="s">
        <v>95</v>
      </c>
      <c r="C33" s="26" t="s">
        <v>71</v>
      </c>
      <c r="D33" s="47" t="n">
        <f aca="false">'2 Fator educacional'!K33</f>
        <v>31.489737123037</v>
      </c>
      <c r="E33" s="48" t="n">
        <f aca="false">'3 Fator demográfico'!K33</f>
        <v>40.7896141540956</v>
      </c>
      <c r="F33" s="49" t="n">
        <f aca="false">'4 Fator socioeconômico'!K33</f>
        <v>43.8779284775286</v>
      </c>
      <c r="G33" s="50" t="n">
        <f aca="false">(2*D33+E33+2*F33)/500</f>
        <v>0.383049890710454</v>
      </c>
      <c r="H33" s="25" t="n">
        <f aca="false">RANK(G33,G$6:G$404,0)</f>
        <v>328</v>
      </c>
      <c r="I33" s="25" t="n">
        <f aca="false">COUNTIFS(C$6:C$404,C33,G$6:G$404,"&gt;"&amp;G33)+1</f>
        <v>77</v>
      </c>
      <c r="J33" s="25" t="n">
        <f aca="false">COUNTIF(C$6:C$404,C33)</f>
        <v>102</v>
      </c>
    </row>
    <row r="34" customFormat="false" ht="15" hidden="false" customHeight="false" outlineLevel="0" collapsed="false">
      <c r="A34" s="25" t="n">
        <v>4102307</v>
      </c>
      <c r="B34" s="26" t="s">
        <v>96</v>
      </c>
      <c r="C34" s="26" t="s">
        <v>65</v>
      </c>
      <c r="D34" s="47" t="n">
        <f aca="false">'2 Fator educacional'!K34</f>
        <v>63.4778118619973</v>
      </c>
      <c r="E34" s="48" t="n">
        <f aca="false">'3 Fator demográfico'!K34</f>
        <v>60.6327550415729</v>
      </c>
      <c r="F34" s="49" t="n">
        <f aca="false">'4 Fator socioeconômico'!K34</f>
        <v>28.9001062692722</v>
      </c>
      <c r="G34" s="50" t="n">
        <f aca="false">(2*D34+E34+2*F34)/500</f>
        <v>0.490777182608224</v>
      </c>
      <c r="H34" s="25" t="n">
        <f aca="false">RANK(G34,G$6:G$404,0)</f>
        <v>173</v>
      </c>
      <c r="I34" s="25" t="n">
        <f aca="false">COUNTIFS(C$6:C$404,C34,G$6:G$404,"&gt;"&amp;G34)+1</f>
        <v>105</v>
      </c>
      <c r="J34" s="25" t="n">
        <f aca="false">COUNTIF(C$6:C$404,C34)</f>
        <v>205</v>
      </c>
    </row>
    <row r="35" customFormat="false" ht="15" hidden="false" customHeight="false" outlineLevel="0" collapsed="false">
      <c r="A35" s="25" t="n">
        <v>4102406</v>
      </c>
      <c r="B35" s="26" t="s">
        <v>97</v>
      </c>
      <c r="C35" s="26" t="s">
        <v>86</v>
      </c>
      <c r="D35" s="47" t="n">
        <f aca="false">'2 Fator educacional'!K35</f>
        <v>49.3194224244132</v>
      </c>
      <c r="E35" s="48" t="n">
        <f aca="false">'3 Fator demográfico'!K35</f>
        <v>36.9809249743462</v>
      </c>
      <c r="F35" s="49" t="n">
        <f aca="false">'4 Fator socioeconômico'!K35</f>
        <v>38.5301930628351</v>
      </c>
      <c r="G35" s="50" t="n">
        <f aca="false">(2*D35+E35+2*F35)/500</f>
        <v>0.425360311897685</v>
      </c>
      <c r="H35" s="25" t="n">
        <f aca="false">RANK(G35,G$6:G$404,0)</f>
        <v>276</v>
      </c>
      <c r="I35" s="25" t="n">
        <f aca="false">COUNTIFS(C$6:C$404,C35,G$6:G$404,"&gt;"&amp;G35)+1</f>
        <v>40</v>
      </c>
      <c r="J35" s="25" t="n">
        <f aca="false">COUNTIF(C$6:C$404,C35)</f>
        <v>62</v>
      </c>
    </row>
    <row r="36" customFormat="false" ht="15" hidden="false" customHeight="false" outlineLevel="0" collapsed="false">
      <c r="A36" s="25" t="n">
        <v>4102505</v>
      </c>
      <c r="B36" s="26" t="s">
        <v>98</v>
      </c>
      <c r="C36" s="26" t="s">
        <v>65</v>
      </c>
      <c r="D36" s="47" t="n">
        <f aca="false">'2 Fator educacional'!K36</f>
        <v>66.0865761067876</v>
      </c>
      <c r="E36" s="48" t="n">
        <f aca="false">'3 Fator demográfico'!K36</f>
        <v>23.9773147072312</v>
      </c>
      <c r="F36" s="49" t="n">
        <f aca="false">'4 Fator socioeconômico'!K36</f>
        <v>56.231805419336</v>
      </c>
      <c r="G36" s="50" t="n">
        <f aca="false">(2*D36+E36+2*F36)/500</f>
        <v>0.537228155518957</v>
      </c>
      <c r="H36" s="25" t="n">
        <f aca="false">RANK(G36,G$6:G$404,0)</f>
        <v>107</v>
      </c>
      <c r="I36" s="25" t="n">
        <f aca="false">COUNTIFS(C$6:C$404,C36,G$6:G$404,"&gt;"&amp;G36)+1</f>
        <v>66</v>
      </c>
      <c r="J36" s="25" t="n">
        <f aca="false">COUNTIF(C$6:C$404,C36)</f>
        <v>205</v>
      </c>
    </row>
    <row r="37" customFormat="false" ht="15" hidden="false" customHeight="false" outlineLevel="0" collapsed="false">
      <c r="A37" s="25" t="n">
        <v>4102703</v>
      </c>
      <c r="B37" s="26" t="s">
        <v>99</v>
      </c>
      <c r="C37" s="26" t="s">
        <v>71</v>
      </c>
      <c r="D37" s="47" t="n">
        <f aca="false">'2 Fator educacional'!K37</f>
        <v>48.8684250963713</v>
      </c>
      <c r="E37" s="48" t="n">
        <f aca="false">'3 Fator demográfico'!K37</f>
        <v>21.4515345677182</v>
      </c>
      <c r="F37" s="49" t="n">
        <f aca="false">'4 Fator socioeconômico'!K37</f>
        <v>47.4394385861453</v>
      </c>
      <c r="G37" s="50" t="n">
        <f aca="false">(2*D37+E37+2*F37)/500</f>
        <v>0.428134523865503</v>
      </c>
      <c r="H37" s="25" t="n">
        <f aca="false">RANK(G37,G$6:G$404,0)</f>
        <v>272</v>
      </c>
      <c r="I37" s="25" t="n">
        <f aca="false">COUNTIFS(C$6:C$404,C37,G$6:G$404,"&gt;"&amp;G37)+1</f>
        <v>61</v>
      </c>
      <c r="J37" s="25" t="n">
        <f aca="false">COUNTIF(C$6:C$404,C37)</f>
        <v>102</v>
      </c>
    </row>
    <row r="38" customFormat="false" ht="15" hidden="false" customHeight="false" outlineLevel="0" collapsed="false">
      <c r="A38" s="25" t="n">
        <v>4102604</v>
      </c>
      <c r="B38" s="26" t="s">
        <v>100</v>
      </c>
      <c r="C38" s="26" t="s">
        <v>65</v>
      </c>
      <c r="D38" s="47" t="n">
        <f aca="false">'2 Fator educacional'!K38</f>
        <v>53.2353358558019</v>
      </c>
      <c r="E38" s="48" t="n">
        <f aca="false">'3 Fator demográfico'!K38</f>
        <v>41.1406715796323</v>
      </c>
      <c r="F38" s="49" t="n">
        <f aca="false">'4 Fator socioeconômico'!K38</f>
        <v>46.34378660141</v>
      </c>
      <c r="G38" s="50" t="n">
        <f aca="false">(2*D38+E38+2*F38)/500</f>
        <v>0.480597832988112</v>
      </c>
      <c r="H38" s="25" t="n">
        <f aca="false">RANK(G38,G$6:G$404,0)</f>
        <v>195</v>
      </c>
      <c r="I38" s="25" t="n">
        <f aca="false">COUNTIFS(C$6:C$404,C38,G$6:G$404,"&gt;"&amp;G38)+1</f>
        <v>116</v>
      </c>
      <c r="J38" s="25" t="n">
        <f aca="false">COUNTIF(C$6:C$404,C38)</f>
        <v>205</v>
      </c>
    </row>
    <row r="39" customFormat="false" ht="15" hidden="false" customHeight="false" outlineLevel="0" collapsed="false">
      <c r="A39" s="25" t="n">
        <v>4102752</v>
      </c>
      <c r="B39" s="26" t="s">
        <v>101</v>
      </c>
      <c r="C39" s="26" t="s">
        <v>71</v>
      </c>
      <c r="D39" s="47" t="n">
        <f aca="false">'2 Fator educacional'!K39</f>
        <v>64.1770980454556</v>
      </c>
      <c r="E39" s="48" t="n">
        <f aca="false">'3 Fator demográfico'!K39</f>
        <v>59.4635862526546</v>
      </c>
      <c r="F39" s="49" t="n">
        <f aca="false">'4 Fator socioeconômico'!K39</f>
        <v>47.5282361874868</v>
      </c>
      <c r="G39" s="50" t="n">
        <f aca="false">(2*D39+E39+2*F39)/500</f>
        <v>0.565748509437079</v>
      </c>
      <c r="H39" s="25" t="n">
        <f aca="false">RANK(G39,G$6:G$404,0)</f>
        <v>79</v>
      </c>
      <c r="I39" s="25" t="n">
        <f aca="false">COUNTIFS(C$6:C$404,C39,G$6:G$404,"&gt;"&amp;G39)+1</f>
        <v>18</v>
      </c>
      <c r="J39" s="25" t="n">
        <f aca="false">COUNTIF(C$6:C$404,C39)</f>
        <v>102</v>
      </c>
    </row>
    <row r="40" customFormat="false" ht="15" hidden="false" customHeight="false" outlineLevel="0" collapsed="false">
      <c r="A40" s="25" t="n">
        <v>4102802</v>
      </c>
      <c r="B40" s="26" t="s">
        <v>102</v>
      </c>
      <c r="C40" s="26" t="s">
        <v>65</v>
      </c>
      <c r="D40" s="47" t="n">
        <f aca="false">'2 Fator educacional'!K40</f>
        <v>62.6078259571324</v>
      </c>
      <c r="E40" s="48" t="n">
        <f aca="false">'3 Fator demográfico'!K40</f>
        <v>46.7325523748698</v>
      </c>
      <c r="F40" s="49" t="n">
        <f aca="false">'4 Fator socioeconômico'!K40</f>
        <v>52.1344225893188</v>
      </c>
      <c r="G40" s="50" t="n">
        <f aca="false">(2*D40+E40+2*F40)/500</f>
        <v>0.552434098935544</v>
      </c>
      <c r="H40" s="25" t="n">
        <f aca="false">RANK(G40,G$6:G$404,0)</f>
        <v>89</v>
      </c>
      <c r="I40" s="25" t="n">
        <f aca="false">COUNTIFS(C$6:C$404,C40,G$6:G$404,"&gt;"&amp;G40)+1</f>
        <v>56</v>
      </c>
      <c r="J40" s="25" t="n">
        <f aca="false">COUNTIF(C$6:C$404,C40)</f>
        <v>205</v>
      </c>
    </row>
    <row r="41" customFormat="false" ht="15" hidden="false" customHeight="false" outlineLevel="0" collapsed="false">
      <c r="A41" s="25" t="n">
        <v>4102901</v>
      </c>
      <c r="B41" s="26" t="s">
        <v>103</v>
      </c>
      <c r="C41" s="26" t="s">
        <v>65</v>
      </c>
      <c r="D41" s="47" t="n">
        <f aca="false">'2 Fator educacional'!K41</f>
        <v>66.3872150901052</v>
      </c>
      <c r="E41" s="48" t="n">
        <f aca="false">'3 Fator demográfico'!K41</f>
        <v>69.7948957418359</v>
      </c>
      <c r="F41" s="49" t="n">
        <f aca="false">'4 Fator socioeconômico'!K41</f>
        <v>46.7769648830934</v>
      </c>
      <c r="G41" s="50" t="n">
        <f aca="false">(2*D41+E41+2*F41)/500</f>
        <v>0.592246511376466</v>
      </c>
      <c r="H41" s="25" t="n">
        <f aca="false">RANK(G41,G$6:G$404,0)</f>
        <v>53</v>
      </c>
      <c r="I41" s="25" t="n">
        <f aca="false">COUNTIFS(C$6:C$404,C41,G$6:G$404,"&gt;"&amp;G41)+1</f>
        <v>36</v>
      </c>
      <c r="J41" s="25" t="n">
        <f aca="false">COUNTIF(C$6:C$404,C41)</f>
        <v>205</v>
      </c>
    </row>
    <row r="42" customFormat="false" ht="15" hidden="false" customHeight="false" outlineLevel="0" collapsed="false">
      <c r="A42" s="25" t="n">
        <v>4103008</v>
      </c>
      <c r="B42" s="26" t="s">
        <v>104</v>
      </c>
      <c r="C42" s="26" t="s">
        <v>71</v>
      </c>
      <c r="D42" s="47" t="n">
        <f aca="false">'2 Fator educacional'!K42</f>
        <v>38.0754805645129</v>
      </c>
      <c r="E42" s="48" t="n">
        <f aca="false">'3 Fator demográfico'!K42</f>
        <v>18.8298794505967</v>
      </c>
      <c r="F42" s="49" t="n">
        <f aca="false">'4 Fator socioeconômico'!K42</f>
        <v>35.212243021021</v>
      </c>
      <c r="G42" s="50" t="n">
        <f aca="false">(2*D42+E42+2*F42)/500</f>
        <v>0.330810653243329</v>
      </c>
      <c r="H42" s="25" t="n">
        <f aca="false">RANK(G42,G$6:G$404,0)</f>
        <v>370</v>
      </c>
      <c r="I42" s="25" t="n">
        <f aca="false">COUNTIFS(C$6:C$404,C42,G$6:G$404,"&gt;"&amp;G42)+1</f>
        <v>91</v>
      </c>
      <c r="J42" s="25" t="n">
        <f aca="false">COUNTIF(C$6:C$404,C42)</f>
        <v>102</v>
      </c>
    </row>
    <row r="43" customFormat="false" ht="15" hidden="false" customHeight="false" outlineLevel="0" collapsed="false">
      <c r="A43" s="25" t="n">
        <v>4103024</v>
      </c>
      <c r="B43" s="26" t="s">
        <v>105</v>
      </c>
      <c r="C43" s="26" t="s">
        <v>71</v>
      </c>
      <c r="D43" s="47" t="n">
        <f aca="false">'2 Fator educacional'!K43</f>
        <v>35.7260415837735</v>
      </c>
      <c r="E43" s="48" t="n">
        <f aca="false">'3 Fator demográfico'!K43</f>
        <v>34.2505584663142</v>
      </c>
      <c r="F43" s="49" t="n">
        <f aca="false">'4 Fator socioeconômico'!K43</f>
        <v>39.6736728700596</v>
      </c>
      <c r="G43" s="50" t="n">
        <f aca="false">(2*D43+E43+2*F43)/500</f>
        <v>0.370099974747961</v>
      </c>
      <c r="H43" s="25" t="n">
        <f aca="false">RANK(G43,G$6:G$404,0)</f>
        <v>343</v>
      </c>
      <c r="I43" s="25" t="n">
        <f aca="false">COUNTIFS(C$6:C$404,C43,G$6:G$404,"&gt;"&amp;G43)+1</f>
        <v>83</v>
      </c>
      <c r="J43" s="25" t="n">
        <f aca="false">COUNTIF(C$6:C$404,C43)</f>
        <v>102</v>
      </c>
    </row>
    <row r="44" customFormat="false" ht="15" hidden="false" customHeight="false" outlineLevel="0" collapsed="false">
      <c r="A44" s="25" t="n">
        <v>4103040</v>
      </c>
      <c r="B44" s="26" t="s">
        <v>106</v>
      </c>
      <c r="C44" s="26" t="s">
        <v>65</v>
      </c>
      <c r="D44" s="47" t="n">
        <f aca="false">'2 Fator educacional'!K44</f>
        <v>77.7034709535464</v>
      </c>
      <c r="E44" s="48" t="n">
        <f aca="false">'3 Fator demográfico'!K44</f>
        <v>57.5753049631791</v>
      </c>
      <c r="F44" s="49" t="n">
        <f aca="false">'4 Fator socioeconômico'!K44</f>
        <v>51.9279152815858</v>
      </c>
      <c r="G44" s="50" t="n">
        <f aca="false">(2*D44+E44+2*F44)/500</f>
        <v>0.633676154866887</v>
      </c>
      <c r="H44" s="25" t="n">
        <f aca="false">RANK(G44,G$6:G$404,0)</f>
        <v>34</v>
      </c>
      <c r="I44" s="25" t="n">
        <f aca="false">COUNTIFS(C$6:C$404,C44,G$6:G$404,"&gt;"&amp;G44)+1</f>
        <v>23</v>
      </c>
      <c r="J44" s="25" t="n">
        <f aca="false">COUNTIF(C$6:C$404,C44)</f>
        <v>205</v>
      </c>
    </row>
    <row r="45" customFormat="false" ht="15" hidden="false" customHeight="false" outlineLevel="0" collapsed="false">
      <c r="A45" s="25" t="n">
        <v>4103057</v>
      </c>
      <c r="B45" s="26" t="s">
        <v>107</v>
      </c>
      <c r="C45" s="26" t="s">
        <v>65</v>
      </c>
      <c r="D45" s="47" t="n">
        <f aca="false">'2 Fator educacional'!K45</f>
        <v>52.6838782462674</v>
      </c>
      <c r="E45" s="48" t="n">
        <f aca="false">'3 Fator demográfico'!K45</f>
        <v>41.829751725071</v>
      </c>
      <c r="F45" s="49" t="n">
        <f aca="false">'4 Fator socioeconômico'!K45</f>
        <v>60.6819045379717</v>
      </c>
      <c r="G45" s="50" t="n">
        <f aca="false">(2*D45+E45+2*F45)/500</f>
        <v>0.537122634587099</v>
      </c>
      <c r="H45" s="25" t="n">
        <f aca="false">RANK(G45,G$6:G$404,0)</f>
        <v>108</v>
      </c>
      <c r="I45" s="25" t="n">
        <f aca="false">COUNTIFS(C$6:C$404,C45,G$6:G$404,"&gt;"&amp;G45)+1</f>
        <v>67</v>
      </c>
      <c r="J45" s="25" t="n">
        <f aca="false">COUNTIF(C$6:C$404,C45)</f>
        <v>205</v>
      </c>
    </row>
    <row r="46" customFormat="false" ht="15" hidden="false" customHeight="false" outlineLevel="0" collapsed="false">
      <c r="A46" s="25" t="n">
        <v>4103107</v>
      </c>
      <c r="B46" s="26" t="s">
        <v>108</v>
      </c>
      <c r="C46" s="26" t="s">
        <v>65</v>
      </c>
      <c r="D46" s="47" t="n">
        <f aca="false">'2 Fator educacional'!K46</f>
        <v>73.0900481428538</v>
      </c>
      <c r="E46" s="48" t="n">
        <f aca="false">'3 Fator demográfico'!K46</f>
        <v>60.3915669693349</v>
      </c>
      <c r="F46" s="49" t="n">
        <f aca="false">'4 Fator socioeconômico'!K46</f>
        <v>54.8580676533912</v>
      </c>
      <c r="G46" s="50" t="n">
        <f aca="false">(2*D46+E46+2*F46)/500</f>
        <v>0.63257559712365</v>
      </c>
      <c r="H46" s="25" t="n">
        <f aca="false">RANK(G46,G$6:G$404,0)</f>
        <v>36</v>
      </c>
      <c r="I46" s="25" t="n">
        <f aca="false">COUNTIFS(C$6:C$404,C46,G$6:G$404,"&gt;"&amp;G46)+1</f>
        <v>25</v>
      </c>
      <c r="J46" s="25" t="n">
        <f aca="false">COUNTIF(C$6:C$404,C46)</f>
        <v>205</v>
      </c>
    </row>
    <row r="47" customFormat="false" ht="15" hidden="false" customHeight="false" outlineLevel="0" collapsed="false">
      <c r="A47" s="25" t="n">
        <v>4103156</v>
      </c>
      <c r="B47" s="26" t="s">
        <v>109</v>
      </c>
      <c r="C47" s="26" t="s">
        <v>71</v>
      </c>
      <c r="D47" s="47" t="n">
        <f aca="false">'2 Fator educacional'!K47</f>
        <v>16.8634500650168</v>
      </c>
      <c r="E47" s="48" t="n">
        <f aca="false">'3 Fator demográfico'!K47</f>
        <v>30.0626780207966</v>
      </c>
      <c r="F47" s="49" t="n">
        <f aca="false">'4 Fator socioeconômico'!K47</f>
        <v>51.0763958657118</v>
      </c>
      <c r="G47" s="50" t="n">
        <f aca="false">(2*D47+E47+2*F47)/500</f>
        <v>0.331884739764508</v>
      </c>
      <c r="H47" s="25" t="n">
        <f aca="false">RANK(G47,G$6:G$404,0)</f>
        <v>369</v>
      </c>
      <c r="I47" s="25" t="n">
        <f aca="false">COUNTIFS(C$6:C$404,C47,G$6:G$404,"&gt;"&amp;G47)+1</f>
        <v>90</v>
      </c>
      <c r="J47" s="25" t="n">
        <f aca="false">COUNTIF(C$6:C$404,C47)</f>
        <v>102</v>
      </c>
    </row>
    <row r="48" customFormat="false" ht="15" hidden="false" customHeight="false" outlineLevel="0" collapsed="false">
      <c r="A48" s="25" t="n">
        <v>4103206</v>
      </c>
      <c r="B48" s="26" t="s">
        <v>110</v>
      </c>
      <c r="C48" s="26" t="s">
        <v>65</v>
      </c>
      <c r="D48" s="47" t="n">
        <f aca="false">'2 Fator educacional'!K48</f>
        <v>44.1315201476722</v>
      </c>
      <c r="E48" s="48" t="n">
        <f aca="false">'3 Fator demográfico'!K48</f>
        <v>32.1578344459778</v>
      </c>
      <c r="F48" s="49" t="n">
        <f aca="false">'4 Fator socioeconômico'!K48</f>
        <v>49.4373627847193</v>
      </c>
      <c r="G48" s="50" t="n">
        <f aca="false">(2*D48+E48+2*F48)/500</f>
        <v>0.438591200621522</v>
      </c>
      <c r="H48" s="25" t="n">
        <f aca="false">RANK(G48,G$6:G$404,0)</f>
        <v>255</v>
      </c>
      <c r="I48" s="25" t="n">
        <f aca="false">COUNTIFS(C$6:C$404,C48,G$6:G$404,"&gt;"&amp;G48)+1</f>
        <v>149</v>
      </c>
      <c r="J48" s="25" t="n">
        <f aca="false">COUNTIF(C$6:C$404,C48)</f>
        <v>205</v>
      </c>
    </row>
    <row r="49" customFormat="false" ht="15" hidden="false" customHeight="false" outlineLevel="0" collapsed="false">
      <c r="A49" s="25" t="n">
        <v>4103222</v>
      </c>
      <c r="B49" s="26" t="s">
        <v>111</v>
      </c>
      <c r="C49" s="26" t="s">
        <v>71</v>
      </c>
      <c r="D49" s="47" t="n">
        <f aca="false">'2 Fator educacional'!K49</f>
        <v>29.8546809079917</v>
      </c>
      <c r="E49" s="48" t="n">
        <f aca="false">'3 Fator demográfico'!K49</f>
        <v>34.2994646779474</v>
      </c>
      <c r="F49" s="49" t="n">
        <f aca="false">'4 Fator socioeconômico'!K49</f>
        <v>31.6115812189691</v>
      </c>
      <c r="G49" s="50" t="n">
        <f aca="false">(2*D49+E49+2*F49)/500</f>
        <v>0.314463977863738</v>
      </c>
      <c r="H49" s="25" t="n">
        <f aca="false">RANK(G49,G$6:G$404,0)</f>
        <v>381</v>
      </c>
      <c r="I49" s="25" t="n">
        <f aca="false">COUNTIFS(C$6:C$404,C49,G$6:G$404,"&gt;"&amp;G49)+1</f>
        <v>95</v>
      </c>
      <c r="J49" s="25" t="n">
        <f aca="false">COUNTIF(C$6:C$404,C49)</f>
        <v>102</v>
      </c>
    </row>
    <row r="50" customFormat="false" ht="15" hidden="false" customHeight="false" outlineLevel="0" collapsed="false">
      <c r="A50" s="25" t="n">
        <v>4103305</v>
      </c>
      <c r="B50" s="26" t="s">
        <v>112</v>
      </c>
      <c r="C50" s="26" t="s">
        <v>65</v>
      </c>
      <c r="D50" s="47" t="n">
        <f aca="false">'2 Fator educacional'!K50</f>
        <v>52.405818747968</v>
      </c>
      <c r="E50" s="48" t="n">
        <f aca="false">'3 Fator demográfico'!K50</f>
        <v>39.5878800566635</v>
      </c>
      <c r="F50" s="49" t="n">
        <f aca="false">'4 Fator socioeconômico'!K50</f>
        <v>51.1539356058602</v>
      </c>
      <c r="G50" s="50" t="n">
        <f aca="false">(2*D50+E50+2*F50)/500</f>
        <v>0.49341477752864</v>
      </c>
      <c r="H50" s="25" t="n">
        <f aca="false">RANK(G50,G$6:G$404,0)</f>
        <v>170</v>
      </c>
      <c r="I50" s="25" t="n">
        <f aca="false">COUNTIFS(C$6:C$404,C50,G$6:G$404,"&gt;"&amp;G50)+1</f>
        <v>103</v>
      </c>
      <c r="J50" s="25" t="n">
        <f aca="false">COUNTIF(C$6:C$404,C50)</f>
        <v>205</v>
      </c>
    </row>
    <row r="51" customFormat="false" ht="15" hidden="false" customHeight="false" outlineLevel="0" collapsed="false">
      <c r="A51" s="25" t="n">
        <v>4103354</v>
      </c>
      <c r="B51" s="26" t="s">
        <v>113</v>
      </c>
      <c r="C51" s="26" t="s">
        <v>71</v>
      </c>
      <c r="D51" s="47" t="n">
        <f aca="false">'2 Fator educacional'!K51</f>
        <v>41.1201239208016</v>
      </c>
      <c r="E51" s="48" t="n">
        <f aca="false">'3 Fator demográfico'!K51</f>
        <v>28.4590924648895</v>
      </c>
      <c r="F51" s="49" t="n">
        <f aca="false">'4 Fator socioeconômico'!K51</f>
        <v>47.5367986342281</v>
      </c>
      <c r="G51" s="50" t="n">
        <f aca="false">(2*D51+E51+2*F51)/500</f>
        <v>0.411545875149898</v>
      </c>
      <c r="H51" s="25" t="n">
        <f aca="false">RANK(G51,G$6:G$404,0)</f>
        <v>291</v>
      </c>
      <c r="I51" s="25" t="n">
        <f aca="false">COUNTIFS(C$6:C$404,C51,G$6:G$404,"&gt;"&amp;G51)+1</f>
        <v>68</v>
      </c>
      <c r="J51" s="25" t="n">
        <f aca="false">COUNTIF(C$6:C$404,C51)</f>
        <v>102</v>
      </c>
    </row>
    <row r="52" customFormat="false" ht="15" hidden="false" customHeight="false" outlineLevel="0" collapsed="false">
      <c r="A52" s="25" t="n">
        <v>4103370</v>
      </c>
      <c r="B52" s="26" t="s">
        <v>114</v>
      </c>
      <c r="C52" s="26" t="s">
        <v>71</v>
      </c>
      <c r="D52" s="47" t="n">
        <f aca="false">'2 Fator educacional'!K52</f>
        <v>59.0424616273386</v>
      </c>
      <c r="E52" s="48" t="n">
        <f aca="false">'3 Fator demográfico'!K52</f>
        <v>57.3803320100062</v>
      </c>
      <c r="F52" s="49" t="n">
        <f aca="false">'4 Fator socioeconômico'!K52</f>
        <v>37.1630237303941</v>
      </c>
      <c r="G52" s="50" t="n">
        <f aca="false">(2*D52+E52+2*F52)/500</f>
        <v>0.499582605450943</v>
      </c>
      <c r="H52" s="25" t="n">
        <f aca="false">RANK(G52,G$6:G$404,0)</f>
        <v>158</v>
      </c>
      <c r="I52" s="25" t="n">
        <f aca="false">COUNTIFS(C$6:C$404,C52,G$6:G$404,"&gt;"&amp;G52)+1</f>
        <v>40</v>
      </c>
      <c r="J52" s="25" t="n">
        <f aca="false">COUNTIF(C$6:C$404,C52)</f>
        <v>102</v>
      </c>
    </row>
    <row r="53" customFormat="false" ht="15" hidden="false" customHeight="false" outlineLevel="0" collapsed="false">
      <c r="A53" s="25" t="n">
        <v>4103404</v>
      </c>
      <c r="B53" s="26" t="s">
        <v>115</v>
      </c>
      <c r="C53" s="26" t="s">
        <v>71</v>
      </c>
      <c r="D53" s="47" t="n">
        <f aca="false">'2 Fator educacional'!K53</f>
        <v>41.83127007765</v>
      </c>
      <c r="E53" s="48" t="n">
        <f aca="false">'3 Fator demográfico'!K53</f>
        <v>17.8125930120603</v>
      </c>
      <c r="F53" s="49" t="n">
        <f aca="false">'4 Fator socioeconômico'!K53</f>
        <v>36.894819844882</v>
      </c>
      <c r="G53" s="50" t="n">
        <f aca="false">(2*D53+E53+2*F53)/500</f>
        <v>0.350529545714249</v>
      </c>
      <c r="H53" s="25" t="n">
        <f aca="false">RANK(G53,G$6:G$404,0)</f>
        <v>358</v>
      </c>
      <c r="I53" s="25" t="n">
        <f aca="false">COUNTIFS(C$6:C$404,C53,G$6:G$404,"&gt;"&amp;G53)+1</f>
        <v>88</v>
      </c>
      <c r="J53" s="25" t="n">
        <f aca="false">COUNTIF(C$6:C$404,C53)</f>
        <v>102</v>
      </c>
    </row>
    <row r="54" customFormat="false" ht="15" hidden="false" customHeight="false" outlineLevel="0" collapsed="false">
      <c r="A54" s="25" t="n">
        <v>4103453</v>
      </c>
      <c r="B54" s="26" t="s">
        <v>116</v>
      </c>
      <c r="C54" s="26" t="s">
        <v>65</v>
      </c>
      <c r="D54" s="47" t="n">
        <f aca="false">'2 Fator educacional'!K54</f>
        <v>41.6251601172436</v>
      </c>
      <c r="E54" s="48" t="n">
        <f aca="false">'3 Fator demográfico'!K54</f>
        <v>44.5693956833258</v>
      </c>
      <c r="F54" s="49" t="n">
        <f aca="false">'4 Fator socioeconômico'!K54</f>
        <v>15.6236124799859</v>
      </c>
      <c r="G54" s="50" t="n">
        <f aca="false">(2*D54+E54+2*F54)/500</f>
        <v>0.31813388175557</v>
      </c>
      <c r="H54" s="25" t="n">
        <f aca="false">RANK(G54,G$6:G$404,0)</f>
        <v>377</v>
      </c>
      <c r="I54" s="25" t="n">
        <f aca="false">COUNTIFS(C$6:C$404,C54,G$6:G$404,"&gt;"&amp;G54)+1</f>
        <v>196</v>
      </c>
      <c r="J54" s="25" t="n">
        <f aca="false">COUNTIF(C$6:C$404,C54)</f>
        <v>205</v>
      </c>
    </row>
    <row r="55" customFormat="false" ht="15" hidden="false" customHeight="false" outlineLevel="0" collapsed="false">
      <c r="A55" s="25" t="n">
        <v>4103479</v>
      </c>
      <c r="B55" s="26" t="s">
        <v>117</v>
      </c>
      <c r="C55" s="26" t="s">
        <v>71</v>
      </c>
      <c r="D55" s="47" t="n">
        <f aca="false">'2 Fator educacional'!K55</f>
        <v>64.1813242875768</v>
      </c>
      <c r="E55" s="48" t="n">
        <f aca="false">'3 Fator demográfico'!K55</f>
        <v>42.9363323479128</v>
      </c>
      <c r="F55" s="49" t="n">
        <f aca="false">'4 Fator socioeconômico'!K55</f>
        <v>46.5180900112953</v>
      </c>
      <c r="G55" s="50" t="n">
        <f aca="false">(2*D55+E55+2*F55)/500</f>
        <v>0.528670321891314</v>
      </c>
      <c r="H55" s="25" t="n">
        <f aca="false">RANK(G55,G$6:G$404,0)</f>
        <v>118</v>
      </c>
      <c r="I55" s="25" t="n">
        <f aca="false">COUNTIFS(C$6:C$404,C55,G$6:G$404,"&gt;"&amp;G55)+1</f>
        <v>28</v>
      </c>
      <c r="J55" s="25" t="n">
        <f aca="false">COUNTIF(C$6:C$404,C55)</f>
        <v>102</v>
      </c>
    </row>
    <row r="56" customFormat="false" ht="15" hidden="false" customHeight="false" outlineLevel="0" collapsed="false">
      <c r="A56" s="25" t="n">
        <v>4103503</v>
      </c>
      <c r="B56" s="26" t="s">
        <v>118</v>
      </c>
      <c r="C56" s="26" t="s">
        <v>65</v>
      </c>
      <c r="D56" s="47" t="n">
        <f aca="false">'2 Fator educacional'!K56</f>
        <v>38.9836731210974</v>
      </c>
      <c r="E56" s="48" t="n">
        <f aca="false">'3 Fator demográfico'!K56</f>
        <v>60.683836732827</v>
      </c>
      <c r="F56" s="49" t="n">
        <f aca="false">'4 Fator socioeconômico'!K56</f>
        <v>46.886568304697</v>
      </c>
      <c r="G56" s="50" t="n">
        <f aca="false">(2*D56+E56+2*F56)/500</f>
        <v>0.464848639168832</v>
      </c>
      <c r="H56" s="25" t="n">
        <f aca="false">RANK(G56,G$6:G$404,0)</f>
        <v>217</v>
      </c>
      <c r="I56" s="25" t="n">
        <f aca="false">COUNTIFS(C$6:C$404,C56,G$6:G$404,"&gt;"&amp;G56)+1</f>
        <v>128</v>
      </c>
      <c r="J56" s="25" t="n">
        <f aca="false">COUNTIF(C$6:C$404,C56)</f>
        <v>205</v>
      </c>
    </row>
    <row r="57" customFormat="false" ht="15" hidden="false" customHeight="false" outlineLevel="0" collapsed="false">
      <c r="A57" s="25" t="n">
        <v>4103602</v>
      </c>
      <c r="B57" s="26" t="s">
        <v>119</v>
      </c>
      <c r="C57" s="26" t="s">
        <v>86</v>
      </c>
      <c r="D57" s="47" t="n">
        <f aca="false">'2 Fator educacional'!K57</f>
        <v>60.281486490099</v>
      </c>
      <c r="E57" s="48" t="n">
        <f aca="false">'3 Fator demográfico'!K57</f>
        <v>36.3707648906557</v>
      </c>
      <c r="F57" s="49" t="n">
        <f aca="false">'4 Fator socioeconômico'!K57</f>
        <v>45.278860384434</v>
      </c>
      <c r="G57" s="50" t="n">
        <f aca="false">(2*D57+E57+2*F57)/500</f>
        <v>0.494982917279444</v>
      </c>
      <c r="H57" s="25" t="n">
        <f aca="false">RANK(G57,G$6:G$404,0)</f>
        <v>167</v>
      </c>
      <c r="I57" s="25" t="n">
        <f aca="false">COUNTIFS(C$6:C$404,C57,G$6:G$404,"&gt;"&amp;G57)+1</f>
        <v>20</v>
      </c>
      <c r="J57" s="25" t="n">
        <f aca="false">COUNTIF(C$6:C$404,C57)</f>
        <v>62</v>
      </c>
    </row>
    <row r="58" customFormat="false" ht="15" hidden="false" customHeight="false" outlineLevel="0" collapsed="false">
      <c r="A58" s="25" t="n">
        <v>4103701</v>
      </c>
      <c r="B58" s="26" t="s">
        <v>120</v>
      </c>
      <c r="C58" s="26" t="s">
        <v>69</v>
      </c>
      <c r="D58" s="47" t="n">
        <f aca="false">'2 Fator educacional'!K58</f>
        <v>60.8447319663038</v>
      </c>
      <c r="E58" s="48" t="n">
        <f aca="false">'3 Fator demográfico'!K58</f>
        <v>38.693440354627</v>
      </c>
      <c r="F58" s="49" t="n">
        <f aca="false">'4 Fator socioeconômico'!K58</f>
        <v>27.8292119586653</v>
      </c>
      <c r="G58" s="50" t="n">
        <f aca="false">(2*D58+E58+2*F58)/500</f>
        <v>0.43208265640913</v>
      </c>
      <c r="H58" s="25" t="n">
        <f aca="false">RANK(G58,G$6:G$404,0)</f>
        <v>263</v>
      </c>
      <c r="I58" s="25" t="n">
        <f aca="false">COUNTIFS(C$6:C$404,C58,G$6:G$404,"&gt;"&amp;G58)+1</f>
        <v>9</v>
      </c>
      <c r="J58" s="25" t="n">
        <f aca="false">COUNTIF(C$6:C$404,C58)</f>
        <v>14</v>
      </c>
    </row>
    <row r="59" customFormat="false" ht="15" hidden="false" customHeight="false" outlineLevel="0" collapsed="false">
      <c r="A59" s="25" t="n">
        <v>4103800</v>
      </c>
      <c r="B59" s="26" t="s">
        <v>121</v>
      </c>
      <c r="C59" s="26" t="s">
        <v>65</v>
      </c>
      <c r="D59" s="47" t="n">
        <f aca="false">'2 Fator educacional'!K59</f>
        <v>53.4295732989644</v>
      </c>
      <c r="E59" s="48" t="n">
        <f aca="false">'3 Fator demográfico'!K59</f>
        <v>31.7975622349261</v>
      </c>
      <c r="F59" s="49" t="n">
        <f aca="false">'4 Fator socioeconômico'!K59</f>
        <v>33.4653822334481</v>
      </c>
      <c r="G59" s="50" t="n">
        <f aca="false">(2*D59+E59+2*F59)/500</f>
        <v>0.411174946599502</v>
      </c>
      <c r="H59" s="25" t="n">
        <f aca="false">RANK(G59,G$6:G$404,0)</f>
        <v>292</v>
      </c>
      <c r="I59" s="25" t="n">
        <f aca="false">COUNTIFS(C$6:C$404,C59,G$6:G$404,"&gt;"&amp;G59)+1</f>
        <v>162</v>
      </c>
      <c r="J59" s="25" t="n">
        <f aca="false">COUNTIF(C$6:C$404,C59)</f>
        <v>205</v>
      </c>
    </row>
    <row r="60" customFormat="false" ht="15" hidden="false" customHeight="false" outlineLevel="0" collapsed="false">
      <c r="A60" s="25" t="n">
        <v>4104006</v>
      </c>
      <c r="B60" s="26" t="s">
        <v>122</v>
      </c>
      <c r="C60" s="26" t="s">
        <v>86</v>
      </c>
      <c r="D60" s="47" t="n">
        <f aca="false">'2 Fator educacional'!K60</f>
        <v>62.3568534918983</v>
      </c>
      <c r="E60" s="48" t="n">
        <f aca="false">'3 Fator demográfico'!K60</f>
        <v>58.9742808515289</v>
      </c>
      <c r="F60" s="49" t="n">
        <f aca="false">'4 Fator socioeconômico'!K60</f>
        <v>32.6218519641396</v>
      </c>
      <c r="G60" s="50" t="n">
        <f aca="false">(2*D60+E60+2*F60)/500</f>
        <v>0.49786338352721</v>
      </c>
      <c r="H60" s="25" t="n">
        <f aca="false">RANK(G60,G$6:G$404,0)</f>
        <v>162</v>
      </c>
      <c r="I60" s="25" t="n">
        <f aca="false">COUNTIFS(C$6:C$404,C60,G$6:G$404,"&gt;"&amp;G60)+1</f>
        <v>19</v>
      </c>
      <c r="J60" s="25" t="n">
        <f aca="false">COUNTIF(C$6:C$404,C60)</f>
        <v>62</v>
      </c>
    </row>
    <row r="61" customFormat="false" ht="15" hidden="false" customHeight="false" outlineLevel="0" collapsed="false">
      <c r="A61" s="25" t="n">
        <v>4103909</v>
      </c>
      <c r="B61" s="26" t="s">
        <v>123</v>
      </c>
      <c r="C61" s="26" t="s">
        <v>65</v>
      </c>
      <c r="D61" s="47" t="n">
        <f aca="false">'2 Fator educacional'!K61</f>
        <v>56.8525515997155</v>
      </c>
      <c r="E61" s="48" t="n">
        <f aca="false">'3 Fator demográfico'!K61</f>
        <v>61.1184011198124</v>
      </c>
      <c r="F61" s="49" t="n">
        <f aca="false">'4 Fator socioeconômico'!K61</f>
        <v>54.0360752244894</v>
      </c>
      <c r="G61" s="50" t="n">
        <f aca="false">(2*D61+E61+2*F61)/500</f>
        <v>0.565791309536445</v>
      </c>
      <c r="H61" s="25" t="n">
        <f aca="false">RANK(G61,G$6:G$404,0)</f>
        <v>78</v>
      </c>
      <c r="I61" s="25" t="n">
        <f aca="false">COUNTIFS(C$6:C$404,C61,G$6:G$404,"&gt;"&amp;G61)+1</f>
        <v>51</v>
      </c>
      <c r="J61" s="25" t="n">
        <f aca="false">COUNTIF(C$6:C$404,C61)</f>
        <v>205</v>
      </c>
    </row>
    <row r="62" customFormat="false" ht="15" hidden="false" customHeight="false" outlineLevel="0" collapsed="false">
      <c r="A62" s="25" t="n">
        <v>4103958</v>
      </c>
      <c r="B62" s="26" t="s">
        <v>124</v>
      </c>
      <c r="C62" s="26" t="s">
        <v>71</v>
      </c>
      <c r="D62" s="47" t="n">
        <f aca="false">'2 Fator educacional'!K62</f>
        <v>79.2557049914394</v>
      </c>
      <c r="E62" s="48" t="n">
        <f aca="false">'3 Fator demográfico'!K62</f>
        <v>56.6585618864926</v>
      </c>
      <c r="F62" s="49" t="n">
        <f aca="false">'4 Fator socioeconômico'!K62</f>
        <v>57.7359445912648</v>
      </c>
      <c r="G62" s="50" t="n">
        <f aca="false">(2*D62+E62+2*F62)/500</f>
        <v>0.661283722103802</v>
      </c>
      <c r="H62" s="25" t="n">
        <f aca="false">RANK(G62,G$6:G$404,0)</f>
        <v>23</v>
      </c>
      <c r="I62" s="25" t="n">
        <f aca="false">COUNTIFS(C$6:C$404,C62,G$6:G$404,"&gt;"&amp;G62)+1</f>
        <v>6</v>
      </c>
      <c r="J62" s="25" t="n">
        <f aca="false">COUNTIF(C$6:C$404,C62)</f>
        <v>102</v>
      </c>
    </row>
    <row r="63" customFormat="false" ht="15" hidden="false" customHeight="false" outlineLevel="0" collapsed="false">
      <c r="A63" s="25" t="n">
        <v>4104055</v>
      </c>
      <c r="B63" s="26" t="s">
        <v>125</v>
      </c>
      <c r="C63" s="26" t="s">
        <v>71</v>
      </c>
      <c r="D63" s="47" t="n">
        <f aca="false">'2 Fator educacional'!K63</f>
        <v>34.9529304473009</v>
      </c>
      <c r="E63" s="48" t="n">
        <f aca="false">'3 Fator demográfico'!K63</f>
        <v>40.7405319379343</v>
      </c>
      <c r="F63" s="49" t="n">
        <f aca="false">'4 Fator socioeconômico'!K63</f>
        <v>53.7688271334748</v>
      </c>
      <c r="G63" s="50" t="n">
        <f aca="false">(2*D63+E63+2*F63)/500</f>
        <v>0.436368094198971</v>
      </c>
      <c r="H63" s="25" t="n">
        <f aca="false">RANK(G63,G$6:G$404,0)</f>
        <v>256</v>
      </c>
      <c r="I63" s="25" t="n">
        <f aca="false">COUNTIFS(C$6:C$404,C63,G$6:G$404,"&gt;"&amp;G63)+1</f>
        <v>57</v>
      </c>
      <c r="J63" s="25" t="n">
        <f aca="false">COUNTIF(C$6:C$404,C63)</f>
        <v>102</v>
      </c>
    </row>
    <row r="64" customFormat="false" ht="15" hidden="false" customHeight="false" outlineLevel="0" collapsed="false">
      <c r="A64" s="25" t="n">
        <v>4104204</v>
      </c>
      <c r="B64" s="26" t="s">
        <v>126</v>
      </c>
      <c r="C64" s="26" t="s">
        <v>69</v>
      </c>
      <c r="D64" s="47" t="n">
        <f aca="false">'2 Fator educacional'!K64</f>
        <v>62.5544948494852</v>
      </c>
      <c r="E64" s="48" t="n">
        <f aca="false">'3 Fator demográfico'!K64</f>
        <v>45.3932097246757</v>
      </c>
      <c r="F64" s="49" t="n">
        <f aca="false">'4 Fator socioeconômico'!K64</f>
        <v>26.487686007385</v>
      </c>
      <c r="G64" s="50" t="n">
        <f aca="false">(2*D64+E64+2*F64)/500</f>
        <v>0.446955142876832</v>
      </c>
      <c r="H64" s="25" t="n">
        <f aca="false">RANK(G64,G$6:G$404,0)</f>
        <v>242</v>
      </c>
      <c r="I64" s="25" t="n">
        <f aca="false">COUNTIFS(C$6:C$404,C64,G$6:G$404,"&gt;"&amp;G64)+1</f>
        <v>8</v>
      </c>
      <c r="J64" s="25" t="n">
        <f aca="false">COUNTIF(C$6:C$404,C64)</f>
        <v>14</v>
      </c>
    </row>
    <row r="65" customFormat="false" ht="15" hidden="false" customHeight="false" outlineLevel="0" collapsed="false">
      <c r="A65" s="25" t="n">
        <v>4104253</v>
      </c>
      <c r="B65" s="26" t="s">
        <v>127</v>
      </c>
      <c r="C65" s="26" t="s">
        <v>86</v>
      </c>
      <c r="D65" s="47" t="n">
        <f aca="false">'2 Fator educacional'!K65</f>
        <v>84.8830954938771</v>
      </c>
      <c r="E65" s="48" t="n">
        <f aca="false">'3 Fator demográfico'!K65</f>
        <v>40.4351302247715</v>
      </c>
      <c r="F65" s="49" t="n">
        <f aca="false">'4 Fator socioeconômico'!K65</f>
        <v>42.4758420622132</v>
      </c>
      <c r="G65" s="50" t="n">
        <f aca="false">(2*D65+E65+2*F65)/500</f>
        <v>0.590306010673904</v>
      </c>
      <c r="H65" s="25" t="n">
        <f aca="false">RANK(G65,G$6:G$404,0)</f>
        <v>55</v>
      </c>
      <c r="I65" s="25" t="n">
        <f aca="false">COUNTIFS(C$6:C$404,C65,G$6:G$404,"&gt;"&amp;G65)+1</f>
        <v>6</v>
      </c>
      <c r="J65" s="25" t="n">
        <f aca="false">COUNTIF(C$6:C$404,C65)</f>
        <v>62</v>
      </c>
    </row>
    <row r="66" customFormat="false" ht="15" hidden="false" customHeight="false" outlineLevel="0" collapsed="false">
      <c r="A66" s="25" t="n">
        <v>4104303</v>
      </c>
      <c r="B66" s="26" t="s">
        <v>128</v>
      </c>
      <c r="C66" s="26" t="s">
        <v>129</v>
      </c>
      <c r="D66" s="47" t="n">
        <f aca="false">'2 Fator educacional'!K66</f>
        <v>53.827124495986</v>
      </c>
      <c r="E66" s="48" t="n">
        <f aca="false">'3 Fator demográfico'!K66</f>
        <v>45.8465927531405</v>
      </c>
      <c r="F66" s="49" t="n">
        <f aca="false">'4 Fator socioeconômico'!K66</f>
        <v>25.2802777003444</v>
      </c>
      <c r="G66" s="50" t="n">
        <f aca="false">(2*D66+E66+2*F66)/500</f>
        <v>0.408122794291602</v>
      </c>
      <c r="H66" s="25" t="n">
        <f aca="false">RANK(G66,G$6:G$404,0)</f>
        <v>299</v>
      </c>
      <c r="I66" s="25" t="n">
        <f aca="false">COUNTIFS(C$6:C$404,C66,G$6:G$404,"&gt;"&amp;G66)+1</f>
        <v>5</v>
      </c>
      <c r="J66" s="25" t="n">
        <f aca="false">COUNTIF(C$6:C$404,C66)</f>
        <v>8</v>
      </c>
    </row>
    <row r="67" customFormat="false" ht="15" hidden="false" customHeight="false" outlineLevel="0" collapsed="false">
      <c r="A67" s="25" t="n">
        <v>4104105</v>
      </c>
      <c r="B67" s="26" t="s">
        <v>130</v>
      </c>
      <c r="C67" s="26" t="s">
        <v>65</v>
      </c>
      <c r="D67" s="47" t="n">
        <f aca="false">'2 Fator educacional'!K67</f>
        <v>70.6222184803061</v>
      </c>
      <c r="E67" s="48" t="n">
        <f aca="false">'3 Fator demográfico'!K67</f>
        <v>76.4818960294636</v>
      </c>
      <c r="F67" s="49" t="n">
        <f aca="false">'4 Fator socioeconômico'!K67</f>
        <v>55.0698953684866</v>
      </c>
      <c r="G67" s="50" t="n">
        <f aca="false">(2*D67+E67+2*F67)/500</f>
        <v>0.655732247454098</v>
      </c>
      <c r="H67" s="25" t="n">
        <f aca="false">RANK(G67,G$6:G$404,0)</f>
        <v>26</v>
      </c>
      <c r="I67" s="25" t="n">
        <f aca="false">COUNTIFS(C$6:C$404,C67,G$6:G$404,"&gt;"&amp;G67)+1</f>
        <v>17</v>
      </c>
      <c r="J67" s="25" t="n">
        <f aca="false">COUNTIF(C$6:C$404,C67)</f>
        <v>205</v>
      </c>
    </row>
    <row r="68" customFormat="false" ht="15" hidden="false" customHeight="false" outlineLevel="0" collapsed="false">
      <c r="A68" s="25" t="n">
        <v>4104428</v>
      </c>
      <c r="B68" s="26" t="s">
        <v>131</v>
      </c>
      <c r="C68" s="26" t="s">
        <v>65</v>
      </c>
      <c r="D68" s="47" t="n">
        <f aca="false">'2 Fator educacional'!K68</f>
        <v>67.1339261538681</v>
      </c>
      <c r="E68" s="48" t="n">
        <f aca="false">'3 Fator demográfico'!K68</f>
        <v>54.0973680676056</v>
      </c>
      <c r="F68" s="49" t="n">
        <f aca="false">'4 Fator socioeconômico'!K68</f>
        <v>41.4807140452173</v>
      </c>
      <c r="G68" s="50" t="n">
        <f aca="false">(2*D68+E68+2*F68)/500</f>
        <v>0.542653296931553</v>
      </c>
      <c r="H68" s="25" t="n">
        <f aca="false">RANK(G68,G$6:G$404,0)</f>
        <v>99</v>
      </c>
      <c r="I68" s="25" t="n">
        <f aca="false">COUNTIFS(C$6:C$404,C68,G$6:G$404,"&gt;"&amp;G68)+1</f>
        <v>61</v>
      </c>
      <c r="J68" s="25" t="n">
        <f aca="false">COUNTIF(C$6:C$404,C68)</f>
        <v>205</v>
      </c>
    </row>
    <row r="69" customFormat="false" ht="15" hidden="false" customHeight="false" outlineLevel="0" collapsed="false">
      <c r="A69" s="25" t="n">
        <v>4104451</v>
      </c>
      <c r="B69" s="26" t="s">
        <v>132</v>
      </c>
      <c r="C69" s="26" t="s">
        <v>65</v>
      </c>
      <c r="D69" s="47" t="n">
        <f aca="false">'2 Fator educacional'!K69</f>
        <v>54.0288331621064</v>
      </c>
      <c r="E69" s="48" t="n">
        <f aca="false">'3 Fator demográfico'!K69</f>
        <v>68.3455181195661</v>
      </c>
      <c r="F69" s="49" t="n">
        <f aca="false">'4 Fator socioeconômico'!K69</f>
        <v>57.3481243855004</v>
      </c>
      <c r="G69" s="50" t="n">
        <f aca="false">(2*D69+E69+2*F69)/500</f>
        <v>0.582198866429559</v>
      </c>
      <c r="H69" s="25" t="n">
        <f aca="false">RANK(G69,G$6:G$404,0)</f>
        <v>59</v>
      </c>
      <c r="I69" s="25" t="n">
        <f aca="false">COUNTIFS(C$6:C$404,C69,G$6:G$404,"&gt;"&amp;G69)+1</f>
        <v>40</v>
      </c>
      <c r="J69" s="25" t="n">
        <f aca="false">COUNTIF(C$6:C$404,C69)</f>
        <v>205</v>
      </c>
    </row>
    <row r="70" customFormat="false" ht="15" hidden="false" customHeight="false" outlineLevel="0" collapsed="false">
      <c r="A70" s="25" t="n">
        <v>4104501</v>
      </c>
      <c r="B70" s="26" t="s">
        <v>133</v>
      </c>
      <c r="C70" s="26" t="s">
        <v>86</v>
      </c>
      <c r="D70" s="47" t="n">
        <f aca="false">'2 Fator educacional'!K70</f>
        <v>41.9895548666223</v>
      </c>
      <c r="E70" s="48" t="n">
        <f aca="false">'3 Fator demográfico'!K70</f>
        <v>43.2891688795495</v>
      </c>
      <c r="F70" s="49" t="n">
        <f aca="false">'4 Fator socioeconômico'!K70</f>
        <v>23.6663885389734</v>
      </c>
      <c r="G70" s="50" t="n">
        <f aca="false">(2*D70+E70+2*F70)/500</f>
        <v>0.349202111381482</v>
      </c>
      <c r="H70" s="25" t="n">
        <f aca="false">RANK(G70,G$6:G$404,0)</f>
        <v>361</v>
      </c>
      <c r="I70" s="25" t="n">
        <f aca="false">COUNTIFS(C$6:C$404,C70,G$6:G$404,"&gt;"&amp;G70)+1</f>
        <v>56</v>
      </c>
      <c r="J70" s="25" t="n">
        <f aca="false">COUNTIF(C$6:C$404,C70)</f>
        <v>62</v>
      </c>
    </row>
    <row r="71" customFormat="false" ht="15" hidden="false" customHeight="false" outlineLevel="0" collapsed="false">
      <c r="A71" s="25" t="n">
        <v>4104600</v>
      </c>
      <c r="B71" s="26" t="s">
        <v>134</v>
      </c>
      <c r="C71" s="26" t="s">
        <v>65</v>
      </c>
      <c r="D71" s="47" t="n">
        <f aca="false">'2 Fator educacional'!K71</f>
        <v>53.9121890993911</v>
      </c>
      <c r="E71" s="48" t="n">
        <f aca="false">'3 Fator demográfico'!K71</f>
        <v>59.0619372971673</v>
      </c>
      <c r="F71" s="49" t="n">
        <f aca="false">'4 Fator socioeconômico'!K71</f>
        <v>44.7247482543658</v>
      </c>
      <c r="G71" s="50" t="n">
        <f aca="false">(2*D71+E71+2*F71)/500</f>
        <v>0.512671624009362</v>
      </c>
      <c r="H71" s="25" t="n">
        <f aca="false">RANK(G71,G$6:G$404,0)</f>
        <v>139</v>
      </c>
      <c r="I71" s="25" t="n">
        <f aca="false">COUNTIFS(C$6:C$404,C71,G$6:G$404,"&gt;"&amp;G71)+1</f>
        <v>86</v>
      </c>
      <c r="J71" s="25" t="n">
        <f aca="false">COUNTIF(C$6:C$404,C71)</f>
        <v>205</v>
      </c>
    </row>
    <row r="72" customFormat="false" ht="15" hidden="false" customHeight="false" outlineLevel="0" collapsed="false">
      <c r="A72" s="25" t="n">
        <v>4104659</v>
      </c>
      <c r="B72" s="26" t="s">
        <v>135</v>
      </c>
      <c r="C72" s="26" t="s">
        <v>86</v>
      </c>
      <c r="D72" s="47" t="n">
        <f aca="false">'2 Fator educacional'!K72</f>
        <v>70.8484561940396</v>
      </c>
      <c r="E72" s="48" t="n">
        <f aca="false">'3 Fator demográfico'!K72</f>
        <v>63.9840203177744</v>
      </c>
      <c r="F72" s="49" t="n">
        <f aca="false">'4 Fator socioeconômico'!K72</f>
        <v>18.969668654862</v>
      </c>
      <c r="G72" s="50" t="n">
        <f aca="false">(2*D72+E72+2*F72)/500</f>
        <v>0.487240540031155</v>
      </c>
      <c r="H72" s="25" t="n">
        <f aca="false">RANK(G72,G$6:G$404,0)</f>
        <v>179</v>
      </c>
      <c r="I72" s="25" t="n">
        <f aca="false">COUNTIFS(C$6:C$404,C72,G$6:G$404,"&gt;"&amp;G72)+1</f>
        <v>22</v>
      </c>
      <c r="J72" s="25" t="n">
        <f aca="false">COUNTIF(C$6:C$404,C72)</f>
        <v>62</v>
      </c>
    </row>
    <row r="73" customFormat="false" ht="15" hidden="false" customHeight="false" outlineLevel="0" collapsed="false">
      <c r="A73" s="25" t="n">
        <v>4104709</v>
      </c>
      <c r="B73" s="26" t="s">
        <v>136</v>
      </c>
      <c r="C73" s="26" t="s">
        <v>65</v>
      </c>
      <c r="D73" s="47" t="n">
        <f aca="false">'2 Fator educacional'!K73</f>
        <v>62.8500321696691</v>
      </c>
      <c r="E73" s="48" t="n">
        <f aca="false">'3 Fator demográfico'!K73</f>
        <v>51.798969400578</v>
      </c>
      <c r="F73" s="49" t="n">
        <f aca="false">'4 Fator socioeconômico'!K73</f>
        <v>46.2111960503132</v>
      </c>
      <c r="G73" s="50" t="n">
        <f aca="false">(2*D73+E73+2*F73)/500</f>
        <v>0.539842851681086</v>
      </c>
      <c r="H73" s="25" t="n">
        <f aca="false">RANK(G73,G$6:G$404,0)</f>
        <v>103</v>
      </c>
      <c r="I73" s="25" t="n">
        <f aca="false">COUNTIFS(C$6:C$404,C73,G$6:G$404,"&gt;"&amp;G73)+1</f>
        <v>64</v>
      </c>
      <c r="J73" s="25" t="n">
        <f aca="false">COUNTIF(C$6:C$404,C73)</f>
        <v>205</v>
      </c>
    </row>
    <row r="74" customFormat="false" ht="15" hidden="false" customHeight="false" outlineLevel="0" collapsed="false">
      <c r="A74" s="25" t="n">
        <v>4104808</v>
      </c>
      <c r="B74" s="26" t="s">
        <v>137</v>
      </c>
      <c r="C74" s="26" t="s">
        <v>138</v>
      </c>
      <c r="D74" s="47" t="n">
        <f aca="false">'2 Fator educacional'!K74</f>
        <v>62.1922639828162</v>
      </c>
      <c r="E74" s="48" t="n">
        <f aca="false">'3 Fator demográfico'!K74</f>
        <v>46.3639308697054</v>
      </c>
      <c r="F74" s="49" t="n">
        <f aca="false">'4 Fator socioeconômico'!K74</f>
        <v>12.0824099599117</v>
      </c>
      <c r="G74" s="50" t="n">
        <f aca="false">(2*D74+E74+2*F74)/500</f>
        <v>0.389826557510322</v>
      </c>
      <c r="H74" s="25" t="n">
        <f aca="false">RANK(G74,G$6:G$404,0)</f>
        <v>321</v>
      </c>
      <c r="I74" s="25" t="n">
        <f aca="false">COUNTIFS(C$6:C$404,C74,G$6:G$404,"&gt;"&amp;G74)+1</f>
        <v>5</v>
      </c>
      <c r="J74" s="25" t="n">
        <f aca="false">COUNTIF(C$6:C$404,C74)</f>
        <v>6</v>
      </c>
    </row>
    <row r="75" customFormat="false" ht="15" hidden="false" customHeight="false" outlineLevel="0" collapsed="false">
      <c r="A75" s="25" t="n">
        <v>4104907</v>
      </c>
      <c r="B75" s="26" t="s">
        <v>139</v>
      </c>
      <c r="C75" s="26" t="s">
        <v>129</v>
      </c>
      <c r="D75" s="47" t="n">
        <f aca="false">'2 Fator educacional'!K75</f>
        <v>73.0724579137199</v>
      </c>
      <c r="E75" s="48" t="n">
        <f aca="false">'3 Fator demográfico'!K75</f>
        <v>56.4313874198752</v>
      </c>
      <c r="F75" s="49" t="n">
        <f aca="false">'4 Fator socioeconômico'!K75</f>
        <v>32.405816474316</v>
      </c>
      <c r="G75" s="50" t="n">
        <f aca="false">(2*D75+E75+2*F75)/500</f>
        <v>0.534775872391894</v>
      </c>
      <c r="H75" s="25" t="n">
        <f aca="false">RANK(G75,G$6:G$404,0)</f>
        <v>110</v>
      </c>
      <c r="I75" s="25" t="n">
        <f aca="false">COUNTIFS(C$6:C$404,C75,G$6:G$404,"&gt;"&amp;G75)+1</f>
        <v>1</v>
      </c>
      <c r="J75" s="25" t="n">
        <f aca="false">COUNTIF(C$6:C$404,C75)</f>
        <v>8</v>
      </c>
    </row>
    <row r="76" customFormat="false" ht="15" hidden="false" customHeight="false" outlineLevel="0" collapsed="false">
      <c r="A76" s="25" t="n">
        <v>4105003</v>
      </c>
      <c r="B76" s="26" t="s">
        <v>140</v>
      </c>
      <c r="C76" s="26" t="s">
        <v>65</v>
      </c>
      <c r="D76" s="47" t="n">
        <f aca="false">'2 Fator educacional'!K76</f>
        <v>66.1243920186567</v>
      </c>
      <c r="E76" s="48" t="n">
        <f aca="false">'3 Fator demográfico'!K76</f>
        <v>30.7924470533799</v>
      </c>
      <c r="F76" s="49" t="n">
        <f aca="false">'4 Fator socioeconômico'!K76</f>
        <v>42.6142111649531</v>
      </c>
      <c r="G76" s="50" t="n">
        <f aca="false">(2*D76+E76+2*F76)/500</f>
        <v>0.496539306841199</v>
      </c>
      <c r="H76" s="25" t="n">
        <f aca="false">RANK(G76,G$6:G$404,0)</f>
        <v>165</v>
      </c>
      <c r="I76" s="25" t="n">
        <f aca="false">COUNTIFS(C$6:C$404,C76,G$6:G$404,"&gt;"&amp;G76)+1</f>
        <v>99</v>
      </c>
      <c r="J76" s="25" t="n">
        <f aca="false">COUNTIF(C$6:C$404,C76)</f>
        <v>205</v>
      </c>
    </row>
    <row r="77" customFormat="false" ht="15" hidden="false" customHeight="false" outlineLevel="0" collapsed="false">
      <c r="A77" s="25" t="n">
        <v>4104402</v>
      </c>
      <c r="B77" s="26" t="s">
        <v>141</v>
      </c>
      <c r="C77" s="26" t="s">
        <v>65</v>
      </c>
      <c r="D77" s="47" t="n">
        <f aca="false">'2 Fator educacional'!K77</f>
        <v>72.629348056365</v>
      </c>
      <c r="E77" s="48" t="n">
        <f aca="false">'3 Fator demográfico'!K77</f>
        <v>46.4263578625584</v>
      </c>
      <c r="F77" s="49" t="n">
        <f aca="false">'4 Fator socioeconômico'!K77</f>
        <v>67.1656544198547</v>
      </c>
      <c r="G77" s="50" t="n">
        <f aca="false">(2*D77+E77+2*F77)/500</f>
        <v>0.652032725629996</v>
      </c>
      <c r="H77" s="25" t="n">
        <f aca="false">RANK(G77,G$6:G$404,0)</f>
        <v>28</v>
      </c>
      <c r="I77" s="25" t="n">
        <f aca="false">COUNTIFS(C$6:C$404,C77,G$6:G$404,"&gt;"&amp;G77)+1</f>
        <v>18</v>
      </c>
      <c r="J77" s="25" t="n">
        <f aca="false">COUNTIF(C$6:C$404,C77)</f>
        <v>205</v>
      </c>
    </row>
    <row r="78" customFormat="false" ht="15" hidden="false" customHeight="false" outlineLevel="0" collapsed="false">
      <c r="A78" s="25" t="n">
        <v>4105102</v>
      </c>
      <c r="B78" s="26" t="s">
        <v>142</v>
      </c>
      <c r="C78" s="26" t="s">
        <v>65</v>
      </c>
      <c r="D78" s="47" t="n">
        <f aca="false">'2 Fator educacional'!K78</f>
        <v>65.3673353273971</v>
      </c>
      <c r="E78" s="48" t="n">
        <f aca="false">'3 Fator demográfico'!K78</f>
        <v>23.0977052055037</v>
      </c>
      <c r="F78" s="49" t="n">
        <f aca="false">'4 Fator socioeconômico'!K78</f>
        <v>34.921371439544</v>
      </c>
      <c r="G78" s="50" t="n">
        <f aca="false">(2*D78+E78+2*F78)/500</f>
        <v>0.447350237478772</v>
      </c>
      <c r="H78" s="25" t="n">
        <f aca="false">RANK(G78,G$6:G$404,0)</f>
        <v>241</v>
      </c>
      <c r="I78" s="25" t="n">
        <f aca="false">COUNTIFS(C$6:C$404,C78,G$6:G$404,"&gt;"&amp;G78)+1</f>
        <v>143</v>
      </c>
      <c r="J78" s="25" t="n">
        <f aca="false">COUNTIF(C$6:C$404,C78)</f>
        <v>205</v>
      </c>
    </row>
    <row r="79" customFormat="false" ht="15" hidden="false" customHeight="false" outlineLevel="0" collapsed="false">
      <c r="A79" s="25" t="n">
        <v>4105201</v>
      </c>
      <c r="B79" s="26" t="s">
        <v>143</v>
      </c>
      <c r="C79" s="26" t="s">
        <v>65</v>
      </c>
      <c r="D79" s="47" t="n">
        <f aca="false">'2 Fator educacional'!K79</f>
        <v>91.4560492707425</v>
      </c>
      <c r="E79" s="48" t="n">
        <f aca="false">'3 Fator demográfico'!K79</f>
        <v>39.6210906831176</v>
      </c>
      <c r="F79" s="49" t="n">
        <f aca="false">'4 Fator socioeconômico'!K79</f>
        <v>69.739947733571</v>
      </c>
      <c r="G79" s="50" t="n">
        <f aca="false">(2*D79+E79+2*F79)/500</f>
        <v>0.724026169383489</v>
      </c>
      <c r="H79" s="25" t="n">
        <f aca="false">RANK(G79,G$6:G$404,0)</f>
        <v>4</v>
      </c>
      <c r="I79" s="25" t="n">
        <f aca="false">COUNTIFS(C$6:C$404,C79,G$6:G$404,"&gt;"&amp;G79)+1</f>
        <v>3</v>
      </c>
      <c r="J79" s="25" t="n">
        <f aca="false">COUNTIF(C$6:C$404,C79)</f>
        <v>205</v>
      </c>
    </row>
    <row r="80" customFormat="false" ht="15" hidden="false" customHeight="false" outlineLevel="0" collapsed="false">
      <c r="A80" s="25" t="n">
        <v>4105300</v>
      </c>
      <c r="B80" s="26" t="s">
        <v>144</v>
      </c>
      <c r="C80" s="26" t="s">
        <v>65</v>
      </c>
      <c r="D80" s="47" t="n">
        <f aca="false">'2 Fator educacional'!K80</f>
        <v>52.3456779701734</v>
      </c>
      <c r="E80" s="48" t="n">
        <f aca="false">'3 Fator demográfico'!K80</f>
        <v>30.8025265597375</v>
      </c>
      <c r="F80" s="49" t="n">
        <f aca="false">'4 Fator socioeconômico'!K80</f>
        <v>23.7976003387131</v>
      </c>
      <c r="G80" s="50" t="n">
        <f aca="false">(2*D80+E80+2*F80)/500</f>
        <v>0.366178166355021</v>
      </c>
      <c r="H80" s="25" t="n">
        <f aca="false">RANK(G80,G$6:G$404,0)</f>
        <v>347</v>
      </c>
      <c r="I80" s="25" t="n">
        <f aca="false">COUNTIFS(C$6:C$404,C80,G$6:G$404,"&gt;"&amp;G80)+1</f>
        <v>187</v>
      </c>
      <c r="J80" s="25" t="n">
        <f aca="false">COUNTIF(C$6:C$404,C80)</f>
        <v>205</v>
      </c>
    </row>
    <row r="81" customFormat="false" ht="15" hidden="false" customHeight="false" outlineLevel="0" collapsed="false">
      <c r="A81" s="25" t="n">
        <v>4105409</v>
      </c>
      <c r="B81" s="26" t="s">
        <v>145</v>
      </c>
      <c r="C81" s="26" t="s">
        <v>86</v>
      </c>
      <c r="D81" s="47" t="n">
        <f aca="false">'2 Fator educacional'!K81</f>
        <v>50.0656531804634</v>
      </c>
      <c r="E81" s="48" t="n">
        <f aca="false">'3 Fator demográfico'!K81</f>
        <v>49.3367944133903</v>
      </c>
      <c r="F81" s="49" t="n">
        <f aca="false">'4 Fator socioeconômico'!K81</f>
        <v>35.3528939184031</v>
      </c>
      <c r="G81" s="50" t="n">
        <f aca="false">(2*D81+E81+2*F81)/500</f>
        <v>0.440347777222246</v>
      </c>
      <c r="H81" s="25" t="n">
        <f aca="false">RANK(G81,G$6:G$404,0)</f>
        <v>249</v>
      </c>
      <c r="I81" s="25" t="n">
        <f aca="false">COUNTIFS(C$6:C$404,C81,G$6:G$404,"&gt;"&amp;G81)+1</f>
        <v>35</v>
      </c>
      <c r="J81" s="25" t="n">
        <f aca="false">COUNTIF(C$6:C$404,C81)</f>
        <v>62</v>
      </c>
    </row>
    <row r="82" customFormat="false" ht="15" hidden="false" customHeight="false" outlineLevel="0" collapsed="false">
      <c r="A82" s="25" t="n">
        <v>4105508</v>
      </c>
      <c r="B82" s="26" t="s">
        <v>146</v>
      </c>
      <c r="C82" s="26" t="s">
        <v>129</v>
      </c>
      <c r="D82" s="47" t="n">
        <f aca="false">'2 Fator educacional'!K82</f>
        <v>48.9363390344713</v>
      </c>
      <c r="E82" s="48" t="n">
        <f aca="false">'3 Fator demográfico'!K82</f>
        <v>44.947973091678</v>
      </c>
      <c r="F82" s="49" t="n">
        <f aca="false">'4 Fator socioeconômico'!K82</f>
        <v>21.9483450695033</v>
      </c>
      <c r="G82" s="50" t="n">
        <f aca="false">(2*D82+E82+2*F82)/500</f>
        <v>0.373434682599254</v>
      </c>
      <c r="H82" s="25" t="n">
        <f aca="false">RANK(G82,G$6:G$404,0)</f>
        <v>339</v>
      </c>
      <c r="I82" s="25" t="n">
        <f aca="false">COUNTIFS(C$6:C$404,C82,G$6:G$404,"&gt;"&amp;G82)+1</f>
        <v>6</v>
      </c>
      <c r="J82" s="25" t="n">
        <f aca="false">COUNTIF(C$6:C$404,C82)</f>
        <v>8</v>
      </c>
    </row>
    <row r="83" customFormat="false" ht="15" hidden="false" customHeight="false" outlineLevel="0" collapsed="false">
      <c r="A83" s="25" t="n">
        <v>4105607</v>
      </c>
      <c r="B83" s="26" t="s">
        <v>147</v>
      </c>
      <c r="C83" s="26" t="s">
        <v>65</v>
      </c>
      <c r="D83" s="47" t="n">
        <f aca="false">'2 Fator educacional'!K83</f>
        <v>42.2976640164948</v>
      </c>
      <c r="E83" s="48" t="n">
        <f aca="false">'3 Fator demográfico'!K83</f>
        <v>53.1879002850241</v>
      </c>
      <c r="F83" s="49" t="n">
        <f aca="false">'4 Fator socioeconômico'!K83</f>
        <v>29.7284423576853</v>
      </c>
      <c r="G83" s="50" t="n">
        <f aca="false">(2*D83+E83+2*F83)/500</f>
        <v>0.394480226066768</v>
      </c>
      <c r="H83" s="25" t="n">
        <f aca="false">RANK(G83,G$6:G$404,0)</f>
        <v>315</v>
      </c>
      <c r="I83" s="25" t="n">
        <f aca="false">COUNTIFS(C$6:C$404,C83,G$6:G$404,"&gt;"&amp;G83)+1</f>
        <v>173</v>
      </c>
      <c r="J83" s="25" t="n">
        <f aca="false">COUNTIF(C$6:C$404,C83)</f>
        <v>205</v>
      </c>
    </row>
    <row r="84" customFormat="false" ht="15" hidden="false" customHeight="false" outlineLevel="0" collapsed="false">
      <c r="A84" s="25" t="n">
        <v>4105706</v>
      </c>
      <c r="B84" s="26" t="s">
        <v>148</v>
      </c>
      <c r="C84" s="26" t="s">
        <v>65</v>
      </c>
      <c r="D84" s="47" t="n">
        <f aca="false">'2 Fator educacional'!K84</f>
        <v>57.669275675348</v>
      </c>
      <c r="E84" s="48" t="n">
        <f aca="false">'3 Fator demográfico'!K84</f>
        <v>75.8619481762031</v>
      </c>
      <c r="F84" s="49" t="n">
        <f aca="false">'4 Fator socioeconômico'!K84</f>
        <v>44.5258645315902</v>
      </c>
      <c r="G84" s="50" t="n">
        <f aca="false">(2*D84+E84+2*F84)/500</f>
        <v>0.560504457180159</v>
      </c>
      <c r="H84" s="25" t="n">
        <f aca="false">RANK(G84,G$6:G$404,0)</f>
        <v>82</v>
      </c>
      <c r="I84" s="25" t="n">
        <f aca="false">COUNTIFS(C$6:C$404,C84,G$6:G$404,"&gt;"&amp;G84)+1</f>
        <v>52</v>
      </c>
      <c r="J84" s="25" t="n">
        <f aca="false">COUNTIF(C$6:C$404,C84)</f>
        <v>205</v>
      </c>
    </row>
    <row r="85" customFormat="false" ht="15" hidden="false" customHeight="false" outlineLevel="0" collapsed="false">
      <c r="A85" s="25" t="n">
        <v>4105805</v>
      </c>
      <c r="B85" s="26" t="s">
        <v>149</v>
      </c>
      <c r="C85" s="26" t="s">
        <v>138</v>
      </c>
      <c r="D85" s="47" t="n">
        <f aca="false">'2 Fator educacional'!K85</f>
        <v>66.4093538695029</v>
      </c>
      <c r="E85" s="48" t="n">
        <f aca="false">'3 Fator demográfico'!K85</f>
        <v>50.1924807602884</v>
      </c>
      <c r="F85" s="49" t="n">
        <f aca="false">'4 Fator socioeconômico'!K85</f>
        <v>37.2353308544249</v>
      </c>
      <c r="G85" s="50" t="n">
        <f aca="false">(2*D85+E85+2*F85)/500</f>
        <v>0.514963700416288</v>
      </c>
      <c r="H85" s="25" t="n">
        <f aca="false">RANK(G85,G$6:G$404,0)</f>
        <v>134</v>
      </c>
      <c r="I85" s="25" t="n">
        <f aca="false">COUNTIFS(C$6:C$404,C85,G$6:G$404,"&gt;"&amp;G85)+1</f>
        <v>1</v>
      </c>
      <c r="J85" s="25" t="n">
        <f aca="false">COUNTIF(C$6:C$404,C85)</f>
        <v>6</v>
      </c>
    </row>
    <row r="86" customFormat="false" ht="15" hidden="false" customHeight="false" outlineLevel="0" collapsed="false">
      <c r="A86" s="25" t="n">
        <v>4105904</v>
      </c>
      <c r="B86" s="26" t="s">
        <v>150</v>
      </c>
      <c r="C86" s="26" t="s">
        <v>86</v>
      </c>
      <c r="D86" s="47" t="n">
        <f aca="false">'2 Fator educacional'!K86</f>
        <v>62.4083267040657</v>
      </c>
      <c r="E86" s="48" t="n">
        <f aca="false">'3 Fator demográfico'!K86</f>
        <v>42.6430105200371</v>
      </c>
      <c r="F86" s="49" t="n">
        <f aca="false">'4 Fator socioeconômico'!K86</f>
        <v>24.2331204277193</v>
      </c>
      <c r="G86" s="50" t="n">
        <f aca="false">(2*D86+E86+2*F86)/500</f>
        <v>0.431851809567214</v>
      </c>
      <c r="H86" s="25" t="n">
        <f aca="false">RANK(G86,G$6:G$404,0)</f>
        <v>265</v>
      </c>
      <c r="I86" s="25" t="n">
        <f aca="false">COUNTIFS(C$6:C$404,C86,G$6:G$404,"&gt;"&amp;G86)+1</f>
        <v>37</v>
      </c>
      <c r="J86" s="25" t="n">
        <f aca="false">COUNTIF(C$6:C$404,C86)</f>
        <v>62</v>
      </c>
    </row>
    <row r="87" customFormat="false" ht="15" hidden="false" customHeight="false" outlineLevel="0" collapsed="false">
      <c r="A87" s="25" t="n">
        <v>4106001</v>
      </c>
      <c r="B87" s="26" t="s">
        <v>151</v>
      </c>
      <c r="C87" s="26" t="s">
        <v>65</v>
      </c>
      <c r="D87" s="47" t="n">
        <f aca="false">'2 Fator educacional'!K87</f>
        <v>67.6518648846933</v>
      </c>
      <c r="E87" s="48" t="n">
        <f aca="false">'3 Fator demográfico'!K87</f>
        <v>43.0871851872786</v>
      </c>
      <c r="F87" s="49" t="n">
        <f aca="false">'4 Fator socioeconômico'!K87</f>
        <v>58.413450059523</v>
      </c>
      <c r="G87" s="50" t="n">
        <f aca="false">(2*D87+E87+2*F87)/500</f>
        <v>0.590435630151422</v>
      </c>
      <c r="H87" s="25" t="n">
        <f aca="false">RANK(G87,G$6:G$404,0)</f>
        <v>54</v>
      </c>
      <c r="I87" s="25" t="n">
        <f aca="false">COUNTIFS(C$6:C$404,C87,G$6:G$404,"&gt;"&amp;G87)+1</f>
        <v>37</v>
      </c>
      <c r="J87" s="25" t="n">
        <f aca="false">COUNTIF(C$6:C$404,C87)</f>
        <v>205</v>
      </c>
    </row>
    <row r="88" customFormat="false" ht="15" hidden="false" customHeight="false" outlineLevel="0" collapsed="false">
      <c r="A88" s="25" t="n">
        <v>4106100</v>
      </c>
      <c r="B88" s="26" t="s">
        <v>152</v>
      </c>
      <c r="C88" s="26" t="s">
        <v>71</v>
      </c>
      <c r="D88" s="47" t="n">
        <f aca="false">'2 Fator educacional'!K88</f>
        <v>33.3172422627488</v>
      </c>
      <c r="E88" s="48" t="n">
        <f aca="false">'3 Fator demográfico'!K88</f>
        <v>36.4958204467319</v>
      </c>
      <c r="F88" s="49" t="n">
        <f aca="false">'4 Fator socioeconômico'!K88</f>
        <v>55.1729388829592</v>
      </c>
      <c r="G88" s="50" t="n">
        <f aca="false">(2*D88+E88+2*F88)/500</f>
        <v>0.426952365476296</v>
      </c>
      <c r="H88" s="25" t="n">
        <f aca="false">RANK(G88,G$6:G$404,0)</f>
        <v>274</v>
      </c>
      <c r="I88" s="25" t="n">
        <f aca="false">COUNTIFS(C$6:C$404,C88,G$6:G$404,"&gt;"&amp;G88)+1</f>
        <v>62</v>
      </c>
      <c r="J88" s="25" t="n">
        <f aca="false">COUNTIF(C$6:C$404,C88)</f>
        <v>102</v>
      </c>
    </row>
    <row r="89" customFormat="false" ht="15" hidden="false" customHeight="false" outlineLevel="0" collapsed="false">
      <c r="A89" s="25" t="n">
        <v>4106209</v>
      </c>
      <c r="B89" s="26" t="s">
        <v>153</v>
      </c>
      <c r="C89" s="26" t="s">
        <v>65</v>
      </c>
      <c r="D89" s="47" t="n">
        <f aca="false">'2 Fator educacional'!K89</f>
        <v>81.4305867899522</v>
      </c>
      <c r="E89" s="48" t="n">
        <f aca="false">'3 Fator demográfico'!K89</f>
        <v>51.5511206859725</v>
      </c>
      <c r="F89" s="49" t="n">
        <f aca="false">'4 Fator socioeconômico'!K89</f>
        <v>39.2396430193827</v>
      </c>
      <c r="G89" s="50" t="n">
        <f aca="false">(2*D89+E89+2*F89)/500</f>
        <v>0.585783160609284</v>
      </c>
      <c r="H89" s="25" t="n">
        <f aca="false">RANK(G89,G$6:G$404,0)</f>
        <v>57</v>
      </c>
      <c r="I89" s="25" t="n">
        <f aca="false">COUNTIFS(C$6:C$404,C89,G$6:G$404,"&gt;"&amp;G89)+1</f>
        <v>39</v>
      </c>
      <c r="J89" s="25" t="n">
        <f aca="false">COUNTIF(C$6:C$404,C89)</f>
        <v>205</v>
      </c>
    </row>
    <row r="90" customFormat="false" ht="15" hidden="false" customHeight="false" outlineLevel="0" collapsed="false">
      <c r="A90" s="25" t="n">
        <v>4106308</v>
      </c>
      <c r="B90" s="26" t="s">
        <v>154</v>
      </c>
      <c r="C90" s="26" t="s">
        <v>65</v>
      </c>
      <c r="D90" s="47" t="n">
        <f aca="false">'2 Fator educacional'!K90</f>
        <v>42.6250739268289</v>
      </c>
      <c r="E90" s="48" t="n">
        <f aca="false">'3 Fator demográfico'!K90</f>
        <v>48.5798582853767</v>
      </c>
      <c r="F90" s="49" t="n">
        <f aca="false">'4 Fator socioeconômico'!K90</f>
        <v>35.1688475918745</v>
      </c>
      <c r="G90" s="50" t="n">
        <f aca="false">(2*D90+E90+2*F90)/500</f>
        <v>0.408335402645567</v>
      </c>
      <c r="H90" s="25" t="n">
        <f aca="false">RANK(G90,G$6:G$404,0)</f>
        <v>298</v>
      </c>
      <c r="I90" s="25" t="n">
        <f aca="false">COUNTIFS(C$6:C$404,C90,G$6:G$404,"&gt;"&amp;G90)+1</f>
        <v>166</v>
      </c>
      <c r="J90" s="25" t="n">
        <f aca="false">COUNTIF(C$6:C$404,C90)</f>
        <v>205</v>
      </c>
    </row>
    <row r="91" customFormat="false" ht="15" hidden="false" customHeight="false" outlineLevel="0" collapsed="false">
      <c r="A91" s="25" t="n">
        <v>4106407</v>
      </c>
      <c r="B91" s="26" t="s">
        <v>155</v>
      </c>
      <c r="C91" s="26" t="s">
        <v>86</v>
      </c>
      <c r="D91" s="47" t="n">
        <f aca="false">'2 Fator educacional'!K91</f>
        <v>57.8986400736727</v>
      </c>
      <c r="E91" s="48" t="n">
        <f aca="false">'3 Fator demográfico'!K91</f>
        <v>33.916601383669</v>
      </c>
      <c r="F91" s="49" t="n">
        <f aca="false">'4 Fator socioeconômico'!K91</f>
        <v>23.4275354234809</v>
      </c>
      <c r="G91" s="50" t="n">
        <f aca="false">(2*D91+E91+2*F91)/500</f>
        <v>0.393137904755953</v>
      </c>
      <c r="H91" s="25" t="n">
        <f aca="false">RANK(G91,G$6:G$404,0)</f>
        <v>317</v>
      </c>
      <c r="I91" s="25" t="n">
        <f aca="false">COUNTIFS(C$6:C$404,C91,G$6:G$404,"&gt;"&amp;G91)+1</f>
        <v>49</v>
      </c>
      <c r="J91" s="25" t="n">
        <f aca="false">COUNTIF(C$6:C$404,C91)</f>
        <v>62</v>
      </c>
    </row>
    <row r="92" customFormat="false" ht="15" hidden="false" customHeight="false" outlineLevel="0" collapsed="false">
      <c r="A92" s="25" t="n">
        <v>4106456</v>
      </c>
      <c r="B92" s="26" t="s">
        <v>156</v>
      </c>
      <c r="C92" s="26" t="s">
        <v>65</v>
      </c>
      <c r="D92" s="47" t="n">
        <f aca="false">'2 Fator educacional'!K92</f>
        <v>66.7891289935364</v>
      </c>
      <c r="E92" s="48" t="n">
        <f aca="false">'3 Fator demográfico'!K92</f>
        <v>89.2538603193232</v>
      </c>
      <c r="F92" s="49" t="n">
        <f aca="false">'4 Fator socioeconômico'!K92</f>
        <v>61.4102817184332</v>
      </c>
      <c r="G92" s="50" t="n">
        <f aca="false">(2*D92+E92+2*F92)/500</f>
        <v>0.691305363486525</v>
      </c>
      <c r="H92" s="25" t="n">
        <f aca="false">RANK(G92,G$6:G$404,0)</f>
        <v>13</v>
      </c>
      <c r="I92" s="25" t="n">
        <f aca="false">COUNTIFS(C$6:C$404,C92,G$6:G$404,"&gt;"&amp;G92)+1</f>
        <v>9</v>
      </c>
      <c r="J92" s="25" t="n">
        <f aca="false">COUNTIF(C$6:C$404,C92)</f>
        <v>205</v>
      </c>
    </row>
    <row r="93" customFormat="false" ht="15" hidden="false" customHeight="false" outlineLevel="0" collapsed="false">
      <c r="A93" s="25" t="n">
        <v>4106506</v>
      </c>
      <c r="B93" s="26" t="s">
        <v>157</v>
      </c>
      <c r="C93" s="26" t="s">
        <v>86</v>
      </c>
      <c r="D93" s="47" t="n">
        <f aca="false">'2 Fator educacional'!K93</f>
        <v>60.6107944909512</v>
      </c>
      <c r="E93" s="48" t="n">
        <f aca="false">'3 Fator demográfico'!K93</f>
        <v>52.7474315850484</v>
      </c>
      <c r="F93" s="49" t="n">
        <f aca="false">'4 Fator socioeconômico'!K93</f>
        <v>31.6756412950234</v>
      </c>
      <c r="G93" s="50" t="n">
        <f aca="false">(2*D93+E93+2*F93)/500</f>
        <v>0.474640606313995</v>
      </c>
      <c r="H93" s="25" t="n">
        <f aca="false">RANK(G93,G$6:G$404,0)</f>
        <v>206</v>
      </c>
      <c r="I93" s="25" t="n">
        <f aca="false">COUNTIFS(C$6:C$404,C93,G$6:G$404,"&gt;"&amp;G93)+1</f>
        <v>27</v>
      </c>
      <c r="J93" s="25" t="n">
        <f aca="false">COUNTIF(C$6:C$404,C93)</f>
        <v>62</v>
      </c>
    </row>
    <row r="94" customFormat="false" ht="15" hidden="false" customHeight="false" outlineLevel="0" collapsed="false">
      <c r="A94" s="25" t="n">
        <v>4106555</v>
      </c>
      <c r="B94" s="26" t="s">
        <v>158</v>
      </c>
      <c r="C94" s="26" t="s">
        <v>71</v>
      </c>
      <c r="D94" s="47" t="n">
        <f aca="false">'2 Fator educacional'!K94</f>
        <v>63.1139870712036</v>
      </c>
      <c r="E94" s="48" t="n">
        <f aca="false">'3 Fator demográfico'!K94</f>
        <v>24.9101809003519</v>
      </c>
      <c r="F94" s="49" t="n">
        <f aca="false">'4 Fator socioeconômico'!K94</f>
        <v>50.0321403971819</v>
      </c>
      <c r="G94" s="50" t="n">
        <f aca="false">(2*D94+E94+2*F94)/500</f>
        <v>0.502404871674246</v>
      </c>
      <c r="H94" s="25" t="n">
        <f aca="false">RANK(G94,G$6:G$404,0)</f>
        <v>153</v>
      </c>
      <c r="I94" s="25" t="n">
        <f aca="false">COUNTIFS(C$6:C$404,C94,G$6:G$404,"&gt;"&amp;G94)+1</f>
        <v>38</v>
      </c>
      <c r="J94" s="25" t="n">
        <f aca="false">COUNTIF(C$6:C$404,C94)</f>
        <v>102</v>
      </c>
    </row>
    <row r="95" customFormat="false" ht="15" hidden="false" customHeight="false" outlineLevel="0" collapsed="false">
      <c r="A95" s="25" t="n">
        <v>4106803</v>
      </c>
      <c r="B95" s="26" t="s">
        <v>159</v>
      </c>
      <c r="C95" s="26" t="s">
        <v>65</v>
      </c>
      <c r="D95" s="47" t="n">
        <f aca="false">'2 Fator educacional'!K95</f>
        <v>74.1351481884312</v>
      </c>
      <c r="E95" s="48" t="n">
        <f aca="false">'3 Fator demográfico'!K95</f>
        <v>61.7423767989121</v>
      </c>
      <c r="F95" s="49" t="n">
        <f aca="false">'4 Fator socioeconômico'!K95</f>
        <v>46.0593531250254</v>
      </c>
      <c r="G95" s="50" t="n">
        <f aca="false">(2*D95+E95+2*F95)/500</f>
        <v>0.604262758851651</v>
      </c>
      <c r="H95" s="25" t="n">
        <f aca="false">RANK(G95,G$6:G$404,0)</f>
        <v>48</v>
      </c>
      <c r="I95" s="25" t="n">
        <f aca="false">COUNTIFS(C$6:C$404,C95,G$6:G$404,"&gt;"&amp;G95)+1</f>
        <v>33</v>
      </c>
      <c r="J95" s="25" t="n">
        <f aca="false">COUNTIF(C$6:C$404,C95)</f>
        <v>205</v>
      </c>
    </row>
    <row r="96" customFormat="false" ht="15" hidden="false" customHeight="false" outlineLevel="0" collapsed="false">
      <c r="A96" s="25" t="n">
        <v>4106571</v>
      </c>
      <c r="B96" s="26" t="s">
        <v>160</v>
      </c>
      <c r="C96" s="26" t="s">
        <v>71</v>
      </c>
      <c r="D96" s="47" t="n">
        <f aca="false">'2 Fator educacional'!K96</f>
        <v>42.3372303220325</v>
      </c>
      <c r="E96" s="48" t="n">
        <f aca="false">'3 Fator demográfico'!K96</f>
        <v>49.5502536959114</v>
      </c>
      <c r="F96" s="49" t="n">
        <f aca="false">'4 Fator socioeconômico'!K96</f>
        <v>35.6094504960022</v>
      </c>
      <c r="G96" s="50" t="n">
        <f aca="false">(2*D96+E96+2*F96)/500</f>
        <v>0.410887230663961</v>
      </c>
      <c r="H96" s="25" t="n">
        <f aca="false">RANK(G96,G$6:G$404,0)</f>
        <v>293</v>
      </c>
      <c r="I96" s="25" t="n">
        <f aca="false">COUNTIFS(C$6:C$404,C96,G$6:G$404,"&gt;"&amp;G96)+1</f>
        <v>69</v>
      </c>
      <c r="J96" s="25" t="n">
        <f aca="false">COUNTIF(C$6:C$404,C96)</f>
        <v>102</v>
      </c>
    </row>
    <row r="97" customFormat="false" ht="15" hidden="false" customHeight="false" outlineLevel="0" collapsed="false">
      <c r="A97" s="25" t="n">
        <v>4106605</v>
      </c>
      <c r="B97" s="26" t="s">
        <v>161</v>
      </c>
      <c r="C97" s="26" t="s">
        <v>86</v>
      </c>
      <c r="D97" s="47" t="n">
        <f aca="false">'2 Fator educacional'!K97</f>
        <v>42.2868468236478</v>
      </c>
      <c r="E97" s="48" t="n">
        <f aca="false">'3 Fator demográfico'!K97</f>
        <v>41.3121579441831</v>
      </c>
      <c r="F97" s="49" t="n">
        <f aca="false">'4 Fator socioeconômico'!K97</f>
        <v>34.5028741584467</v>
      </c>
      <c r="G97" s="50" t="n">
        <f aca="false">(2*D97+E97+2*F97)/500</f>
        <v>0.389783199816745</v>
      </c>
      <c r="H97" s="25" t="n">
        <f aca="false">RANK(G97,G$6:G$404,0)</f>
        <v>322</v>
      </c>
      <c r="I97" s="25" t="n">
        <f aca="false">COUNTIFS(C$6:C$404,C97,G$6:G$404,"&gt;"&amp;G97)+1</f>
        <v>50</v>
      </c>
      <c r="J97" s="25" t="n">
        <f aca="false">COUNTIF(C$6:C$404,C97)</f>
        <v>62</v>
      </c>
    </row>
    <row r="98" customFormat="false" ht="15" hidden="false" customHeight="false" outlineLevel="0" collapsed="false">
      <c r="A98" s="25" t="n">
        <v>4106704</v>
      </c>
      <c r="B98" s="26" t="s">
        <v>162</v>
      </c>
      <c r="C98" s="26" t="s">
        <v>71</v>
      </c>
      <c r="D98" s="47" t="n">
        <f aca="false">'2 Fator educacional'!K98</f>
        <v>55.6399771332288</v>
      </c>
      <c r="E98" s="48" t="n">
        <f aca="false">'3 Fator demográfico'!K98</f>
        <v>76.2877880944588</v>
      </c>
      <c r="F98" s="49" t="n">
        <f aca="false">'4 Fator socioeconômico'!K98</f>
        <v>49.5034355169476</v>
      </c>
      <c r="G98" s="50" t="n">
        <f aca="false">(2*D98+E98+2*F98)/500</f>
        <v>0.573149226789623</v>
      </c>
      <c r="H98" s="25" t="n">
        <f aca="false">RANK(G98,G$6:G$404,0)</f>
        <v>67</v>
      </c>
      <c r="I98" s="25" t="n">
        <f aca="false">COUNTIFS(C$6:C$404,C98,G$6:G$404,"&gt;"&amp;G98)+1</f>
        <v>15</v>
      </c>
      <c r="J98" s="25" t="n">
        <f aca="false">COUNTIF(C$6:C$404,C98)</f>
        <v>102</v>
      </c>
    </row>
    <row r="99" customFormat="false" ht="15" hidden="false" customHeight="false" outlineLevel="0" collapsed="false">
      <c r="A99" s="25" t="n">
        <v>4106852</v>
      </c>
      <c r="B99" s="26" t="s">
        <v>163</v>
      </c>
      <c r="C99" s="26" t="s">
        <v>71</v>
      </c>
      <c r="D99" s="47" t="n">
        <f aca="false">'2 Fator educacional'!K99</f>
        <v>56.8385541928519</v>
      </c>
      <c r="E99" s="48" t="n">
        <f aca="false">'3 Fator demográfico'!K99</f>
        <v>34.6617153345989</v>
      </c>
      <c r="F99" s="49" t="n">
        <f aca="false">'4 Fator socioeconômico'!K99</f>
        <v>100</v>
      </c>
      <c r="G99" s="50" t="n">
        <f aca="false">(2*D99+E99+2*F99)/500</f>
        <v>0.696677647440606</v>
      </c>
      <c r="H99" s="25" t="n">
        <f aca="false">RANK(G99,G$6:G$404,0)</f>
        <v>11</v>
      </c>
      <c r="I99" s="25" t="n">
        <f aca="false">COUNTIFS(C$6:C$404,C99,G$6:G$404,"&gt;"&amp;G99)+1</f>
        <v>3</v>
      </c>
      <c r="J99" s="25" t="n">
        <f aca="false">COUNTIF(C$6:C$404,C99)</f>
        <v>102</v>
      </c>
    </row>
    <row r="100" customFormat="false" ht="15" hidden="false" customHeight="false" outlineLevel="0" collapsed="false">
      <c r="A100" s="25" t="n">
        <v>4106902</v>
      </c>
      <c r="B100" s="26" t="s">
        <v>164</v>
      </c>
      <c r="C100" s="26" t="s">
        <v>165</v>
      </c>
      <c r="D100" s="47" t="n">
        <f aca="false">'2 Fator educacional'!K100</f>
        <v>56.511036138399</v>
      </c>
      <c r="E100" s="48" t="n">
        <f aca="false">'3 Fator demográfico'!K100</f>
        <v>29.9022540598341</v>
      </c>
      <c r="F100" s="49" t="n">
        <f aca="false">'4 Fator socioeconômico'!K100</f>
        <v>0</v>
      </c>
      <c r="G100" s="50" t="n">
        <f aca="false">(2*D100+E100+2*F100)/500</f>
        <v>0.285848652673264</v>
      </c>
      <c r="H100" s="25" t="n">
        <f aca="false">RANK(G100,G$6:G$404,0)</f>
        <v>395</v>
      </c>
      <c r="I100" s="25" t="n">
        <f aca="false">COUNTIFS(C$6:C$404,C100,G$6:G$404,"&gt;"&amp;G100)+1</f>
        <v>1</v>
      </c>
      <c r="J100" s="25" t="n">
        <f aca="false">COUNTIF(C$6:C$404,C100)</f>
        <v>1</v>
      </c>
    </row>
    <row r="101" customFormat="false" ht="15" hidden="false" customHeight="false" outlineLevel="0" collapsed="false">
      <c r="A101" s="25" t="n">
        <v>4107009</v>
      </c>
      <c r="B101" s="26" t="s">
        <v>166</v>
      </c>
      <c r="C101" s="26" t="s">
        <v>65</v>
      </c>
      <c r="D101" s="47" t="n">
        <f aca="false">'2 Fator educacional'!K101</f>
        <v>70.2780041586458</v>
      </c>
      <c r="E101" s="48" t="n">
        <f aca="false">'3 Fator demográfico'!K101</f>
        <v>45.0525855326157</v>
      </c>
      <c r="F101" s="49" t="n">
        <f aca="false">'4 Fator socioeconômico'!K101</f>
        <v>54.2411688560703</v>
      </c>
      <c r="G101" s="50" t="n">
        <f aca="false">(2*D101+E101+2*F101)/500</f>
        <v>0.588181863124096</v>
      </c>
      <c r="H101" s="25" t="n">
        <f aca="false">RANK(G101,G$6:G$404,0)</f>
        <v>56</v>
      </c>
      <c r="I101" s="25" t="n">
        <f aca="false">COUNTIFS(C$6:C$404,C101,G$6:G$404,"&gt;"&amp;G101)+1</f>
        <v>38</v>
      </c>
      <c r="J101" s="25" t="n">
        <f aca="false">COUNTIF(C$6:C$404,C101)</f>
        <v>205</v>
      </c>
    </row>
    <row r="102" customFormat="false" ht="15" hidden="false" customHeight="false" outlineLevel="0" collapsed="false">
      <c r="A102" s="25" t="n">
        <v>4107157</v>
      </c>
      <c r="B102" s="26" t="s">
        <v>167</v>
      </c>
      <c r="C102" s="26" t="s">
        <v>71</v>
      </c>
      <c r="D102" s="47" t="n">
        <f aca="false">'2 Fator educacional'!K102</f>
        <v>76.6798523725228</v>
      </c>
      <c r="E102" s="48" t="n">
        <f aca="false">'3 Fator demográfico'!K102</f>
        <v>86.696207374668</v>
      </c>
      <c r="F102" s="49" t="n">
        <f aca="false">'4 Fator socioeconômico'!K102</f>
        <v>51.9869622606113</v>
      </c>
      <c r="G102" s="50" t="n">
        <f aca="false">(2*D102+E102+2*F102)/500</f>
        <v>0.688059673281872</v>
      </c>
      <c r="H102" s="25" t="n">
        <f aca="false">RANK(G102,G$6:G$404,0)</f>
        <v>14</v>
      </c>
      <c r="I102" s="25" t="n">
        <f aca="false">COUNTIFS(C$6:C$404,C102,G$6:G$404,"&gt;"&amp;G102)+1</f>
        <v>5</v>
      </c>
      <c r="J102" s="25" t="n">
        <f aca="false">COUNTIF(C$6:C$404,C102)</f>
        <v>102</v>
      </c>
    </row>
    <row r="103" customFormat="false" ht="15" hidden="false" customHeight="false" outlineLevel="0" collapsed="false">
      <c r="A103" s="25" t="n">
        <v>4107108</v>
      </c>
      <c r="B103" s="26" t="s">
        <v>168</v>
      </c>
      <c r="C103" s="26" t="s">
        <v>65</v>
      </c>
      <c r="D103" s="47" t="n">
        <f aca="false">'2 Fator educacional'!K103</f>
        <v>29.8887574438626</v>
      </c>
      <c r="E103" s="48" t="n">
        <f aca="false">'3 Fator demográfico'!K103</f>
        <v>14.8630202554708</v>
      </c>
      <c r="F103" s="49" t="n">
        <f aca="false">'4 Fator socioeconômico'!K103</f>
        <v>47.8592429745503</v>
      </c>
      <c r="G103" s="50" t="n">
        <f aca="false">(2*D103+E103+2*F103)/500</f>
        <v>0.340718042184593</v>
      </c>
      <c r="H103" s="25" t="n">
        <f aca="false">RANK(G103,G$6:G$404,0)</f>
        <v>365</v>
      </c>
      <c r="I103" s="25" t="n">
        <f aca="false">COUNTIFS(C$6:C$404,C103,G$6:G$404,"&gt;"&amp;G103)+1</f>
        <v>192</v>
      </c>
      <c r="J103" s="25" t="n">
        <f aca="false">COUNTIF(C$6:C$404,C103)</f>
        <v>205</v>
      </c>
    </row>
    <row r="104" customFormat="false" ht="15" hidden="false" customHeight="false" outlineLevel="0" collapsed="false">
      <c r="A104" s="25" t="n">
        <v>4107124</v>
      </c>
      <c r="B104" s="26" t="s">
        <v>169</v>
      </c>
      <c r="C104" s="26" t="s">
        <v>71</v>
      </c>
      <c r="D104" s="47" t="n">
        <f aca="false">'2 Fator educacional'!K104</f>
        <v>80.6475642309118</v>
      </c>
      <c r="E104" s="48" t="n">
        <f aca="false">'3 Fator demográfico'!K104</f>
        <v>89.0607153099514</v>
      </c>
      <c r="F104" s="49" t="n">
        <f aca="false">'4 Fator socioeconômico'!K104</f>
        <v>72.0354105220198</v>
      </c>
      <c r="G104" s="50" t="n">
        <f aca="false">(2*D104+E104+2*F104)/500</f>
        <v>0.788853329631629</v>
      </c>
      <c r="H104" s="25" t="n">
        <f aca="false">RANK(G104,G$6:G$404,0)</f>
        <v>1</v>
      </c>
      <c r="I104" s="25" t="n">
        <f aca="false">COUNTIFS(C$6:C$404,C104,G$6:G$404,"&gt;"&amp;G104)+1</f>
        <v>1</v>
      </c>
      <c r="J104" s="25" t="n">
        <f aca="false">COUNTIF(C$6:C$404,C104)</f>
        <v>102</v>
      </c>
    </row>
    <row r="105" customFormat="false" ht="15" hidden="false" customHeight="false" outlineLevel="0" collapsed="false">
      <c r="A105" s="25" t="n">
        <v>4107207</v>
      </c>
      <c r="B105" s="26" t="s">
        <v>170</v>
      </c>
      <c r="C105" s="26" t="s">
        <v>86</v>
      </c>
      <c r="D105" s="47" t="n">
        <f aca="false">'2 Fator educacional'!K105</f>
        <v>45.6916042856922</v>
      </c>
      <c r="E105" s="48" t="n">
        <f aca="false">'3 Fator demográfico'!K105</f>
        <v>46.0632713785281</v>
      </c>
      <c r="F105" s="49" t="n">
        <f aca="false">'4 Fator socioeconômico'!K105</f>
        <v>18.1676205692138</v>
      </c>
      <c r="G105" s="50" t="n">
        <f aca="false">(2*D105+E105+2*F105)/500</f>
        <v>0.34756344217668</v>
      </c>
      <c r="H105" s="25" t="n">
        <f aca="false">RANK(G105,G$6:G$404,0)</f>
        <v>362</v>
      </c>
      <c r="I105" s="25" t="n">
        <f aca="false">COUNTIFS(C$6:C$404,C105,G$6:G$404,"&gt;"&amp;G105)+1</f>
        <v>57</v>
      </c>
      <c r="J105" s="25" t="n">
        <f aca="false">COUNTIF(C$6:C$404,C105)</f>
        <v>62</v>
      </c>
    </row>
    <row r="106" customFormat="false" ht="15" hidden="false" customHeight="false" outlineLevel="0" collapsed="false">
      <c r="A106" s="25" t="n">
        <v>4107256</v>
      </c>
      <c r="B106" s="26" t="s">
        <v>171</v>
      </c>
      <c r="C106" s="26" t="s">
        <v>65</v>
      </c>
      <c r="D106" s="47" t="n">
        <f aca="false">'2 Fator educacional'!K106</f>
        <v>41.4808632886661</v>
      </c>
      <c r="E106" s="48" t="n">
        <f aca="false">'3 Fator demográfico'!K106</f>
        <v>30.2056685100622</v>
      </c>
      <c r="F106" s="49" t="n">
        <f aca="false">'4 Fator socioeconômico'!K106</f>
        <v>22.4278456182653</v>
      </c>
      <c r="G106" s="50" t="n">
        <f aca="false">(2*D106+E106+2*F106)/500</f>
        <v>0.31604617264785</v>
      </c>
      <c r="H106" s="25" t="n">
        <f aca="false">RANK(G106,G$6:G$404,0)</f>
        <v>380</v>
      </c>
      <c r="I106" s="25" t="n">
        <f aca="false">COUNTIFS(C$6:C$404,C106,G$6:G$404,"&gt;"&amp;G106)+1</f>
        <v>197</v>
      </c>
      <c r="J106" s="25" t="n">
        <f aca="false">COUNTIF(C$6:C$404,C106)</f>
        <v>205</v>
      </c>
    </row>
    <row r="107" customFormat="false" ht="15" hidden="false" customHeight="false" outlineLevel="0" collapsed="false">
      <c r="A107" s="25" t="n">
        <v>4107306</v>
      </c>
      <c r="B107" s="26" t="s">
        <v>172</v>
      </c>
      <c r="C107" s="26" t="s">
        <v>65</v>
      </c>
      <c r="D107" s="47" t="n">
        <f aca="false">'2 Fator educacional'!K107</f>
        <v>49.8051442239506</v>
      </c>
      <c r="E107" s="48" t="n">
        <f aca="false">'3 Fator demográfico'!K107</f>
        <v>53.4689716333377</v>
      </c>
      <c r="F107" s="49" t="n">
        <f aca="false">'4 Fator socioeconômico'!K107</f>
        <v>43.2151117687944</v>
      </c>
      <c r="G107" s="50" t="n">
        <f aca="false">(2*D107+E107+2*F107)/500</f>
        <v>0.479018967237655</v>
      </c>
      <c r="H107" s="25" t="n">
        <f aca="false">RANK(G107,G$6:G$404,0)</f>
        <v>197</v>
      </c>
      <c r="I107" s="25" t="n">
        <f aca="false">COUNTIFS(C$6:C$404,C107,G$6:G$404,"&gt;"&amp;G107)+1</f>
        <v>118</v>
      </c>
      <c r="J107" s="25" t="n">
        <f aca="false">COUNTIF(C$6:C$404,C107)</f>
        <v>205</v>
      </c>
    </row>
    <row r="108" customFormat="false" ht="15" hidden="false" customHeight="false" outlineLevel="0" collapsed="false">
      <c r="A108" s="25" t="n">
        <v>4128633</v>
      </c>
      <c r="B108" s="26" t="s">
        <v>173</v>
      </c>
      <c r="C108" s="26" t="s">
        <v>65</v>
      </c>
      <c r="D108" s="47" t="n">
        <f aca="false">'2 Fator educacional'!K108</f>
        <v>94.7086371419187</v>
      </c>
      <c r="E108" s="48" t="n">
        <f aca="false">'3 Fator demográfico'!K108</f>
        <v>36.8766506002035</v>
      </c>
      <c r="F108" s="49" t="n">
        <f aca="false">'4 Fator socioeconômico'!K108</f>
        <v>73.5125409271221</v>
      </c>
      <c r="G108" s="50" t="n">
        <f aca="false">(2*D108+E108+2*F108)/500</f>
        <v>0.74663801347657</v>
      </c>
      <c r="H108" s="25" t="n">
        <f aca="false">RANK(G108,G$6:G$404,0)</f>
        <v>3</v>
      </c>
      <c r="I108" s="25" t="n">
        <f aca="false">COUNTIFS(C$6:C$404,C108,G$6:G$404,"&gt;"&amp;G108)+1</f>
        <v>2</v>
      </c>
      <c r="J108" s="25" t="n">
        <f aca="false">COUNTIF(C$6:C$404,C108)</f>
        <v>205</v>
      </c>
    </row>
    <row r="109" customFormat="false" ht="15" hidden="false" customHeight="false" outlineLevel="0" collapsed="false">
      <c r="A109" s="25" t="n">
        <v>4107405</v>
      </c>
      <c r="B109" s="26" t="s">
        <v>174</v>
      </c>
      <c r="C109" s="26" t="s">
        <v>65</v>
      </c>
      <c r="D109" s="47" t="n">
        <f aca="false">'2 Fator educacional'!K109</f>
        <v>60.5792040896237</v>
      </c>
      <c r="E109" s="48" t="n">
        <f aca="false">'3 Fator demográfico'!K109</f>
        <v>42.2045278093635</v>
      </c>
      <c r="F109" s="49" t="n">
        <f aca="false">'4 Fator socioeconômico'!K109</f>
        <v>39.6745160049799</v>
      </c>
      <c r="G109" s="50" t="n">
        <f aca="false">(2*D109+E109+2*F109)/500</f>
        <v>0.485423935997141</v>
      </c>
      <c r="H109" s="25" t="n">
        <f aca="false">RANK(G109,G$6:G$404,0)</f>
        <v>183</v>
      </c>
      <c r="I109" s="25" t="n">
        <f aca="false">COUNTIFS(C$6:C$404,C109,G$6:G$404,"&gt;"&amp;G109)+1</f>
        <v>109</v>
      </c>
      <c r="J109" s="25" t="n">
        <f aca="false">COUNTIF(C$6:C$404,C109)</f>
        <v>205</v>
      </c>
    </row>
    <row r="110" customFormat="false" ht="15" hidden="false" customHeight="false" outlineLevel="0" collapsed="false">
      <c r="A110" s="25" t="n">
        <v>4107504</v>
      </c>
      <c r="B110" s="26" t="s">
        <v>175</v>
      </c>
      <c r="C110" s="26" t="s">
        <v>65</v>
      </c>
      <c r="D110" s="47" t="n">
        <f aca="false">'2 Fator educacional'!K110</f>
        <v>32.321370393945</v>
      </c>
      <c r="E110" s="48" t="n">
        <f aca="false">'3 Fator demográfico'!K110</f>
        <v>28.0849244178448</v>
      </c>
      <c r="F110" s="49" t="n">
        <f aca="false">'4 Fator socioeconômico'!K110</f>
        <v>48.4618481923544</v>
      </c>
      <c r="G110" s="50" t="n">
        <f aca="false">(2*D110+E110+2*F110)/500</f>
        <v>0.379302723180887</v>
      </c>
      <c r="H110" s="25" t="n">
        <f aca="false">RANK(G110,G$6:G$404,0)</f>
        <v>333</v>
      </c>
      <c r="I110" s="25" t="n">
        <f aca="false">COUNTIFS(C$6:C$404,C110,G$6:G$404,"&gt;"&amp;G110)+1</f>
        <v>182</v>
      </c>
      <c r="J110" s="25" t="n">
        <f aca="false">COUNTIF(C$6:C$404,C110)</f>
        <v>205</v>
      </c>
    </row>
    <row r="111" customFormat="false" ht="15" hidden="false" customHeight="false" outlineLevel="0" collapsed="false">
      <c r="A111" s="25" t="n">
        <v>4107538</v>
      </c>
      <c r="B111" s="26" t="s">
        <v>176</v>
      </c>
      <c r="C111" s="26" t="s">
        <v>71</v>
      </c>
      <c r="D111" s="47" t="n">
        <f aca="false">'2 Fator educacional'!K111</f>
        <v>38.543497923031</v>
      </c>
      <c r="E111" s="48" t="n">
        <f aca="false">'3 Fator demográfico'!K111</f>
        <v>45.6070589759846</v>
      </c>
      <c r="F111" s="49" t="n">
        <f aca="false">'4 Fator socioeconômico'!K111</f>
        <v>21.9551687207971</v>
      </c>
      <c r="G111" s="50" t="n">
        <f aca="false">(2*D111+E111+2*F111)/500</f>
        <v>0.333208784527281</v>
      </c>
      <c r="H111" s="25" t="n">
        <f aca="false">RANK(G111,G$6:G$404,0)</f>
        <v>368</v>
      </c>
      <c r="I111" s="25" t="n">
        <f aca="false">COUNTIFS(C$6:C$404,C111,G$6:G$404,"&gt;"&amp;G111)+1</f>
        <v>89</v>
      </c>
      <c r="J111" s="25" t="n">
        <f aca="false">COUNTIF(C$6:C$404,C111)</f>
        <v>102</v>
      </c>
    </row>
    <row r="112" customFormat="false" ht="15" hidden="false" customHeight="false" outlineLevel="0" collapsed="false">
      <c r="A112" s="25" t="n">
        <v>4107520</v>
      </c>
      <c r="B112" s="26" t="s">
        <v>177</v>
      </c>
      <c r="C112" s="26" t="s">
        <v>71</v>
      </c>
      <c r="D112" s="47" t="n">
        <f aca="false">'2 Fator educacional'!K112</f>
        <v>35.5365365899835</v>
      </c>
      <c r="E112" s="48" t="n">
        <f aca="false">'3 Fator demográfico'!K112</f>
        <v>11.4959193223885</v>
      </c>
      <c r="F112" s="49" t="n">
        <f aca="false">'4 Fator socioeconômico'!K112</f>
        <v>48.8607826298763</v>
      </c>
      <c r="G112" s="50" t="n">
        <f aca="false">(2*D112+E112+2*F112)/500</f>
        <v>0.360581115524216</v>
      </c>
      <c r="H112" s="25" t="n">
        <f aca="false">RANK(G112,G$6:G$404,0)</f>
        <v>352</v>
      </c>
      <c r="I112" s="25" t="n">
        <f aca="false">COUNTIFS(C$6:C$404,C112,G$6:G$404,"&gt;"&amp;G112)+1</f>
        <v>86</v>
      </c>
      <c r="J112" s="25" t="n">
        <f aca="false">COUNTIF(C$6:C$404,C112)</f>
        <v>102</v>
      </c>
    </row>
    <row r="113" customFormat="false" ht="15" hidden="false" customHeight="false" outlineLevel="0" collapsed="false">
      <c r="A113" s="25" t="n">
        <v>4107546</v>
      </c>
      <c r="B113" s="26" t="s">
        <v>178</v>
      </c>
      <c r="C113" s="26" t="s">
        <v>71</v>
      </c>
      <c r="D113" s="47" t="n">
        <f aca="false">'2 Fator educacional'!K113</f>
        <v>89.4805002082657</v>
      </c>
      <c r="E113" s="48" t="n">
        <f aca="false">'3 Fator demográfico'!K113</f>
        <v>41.0913824282033</v>
      </c>
      <c r="F113" s="49" t="n">
        <f aca="false">'4 Fator socioeconômico'!K113</f>
        <v>68.8402850885244</v>
      </c>
      <c r="G113" s="50" t="n">
        <f aca="false">(2*D113+E113+2*F113)/500</f>
        <v>0.715465906043567</v>
      </c>
      <c r="H113" s="25" t="n">
        <f aca="false">RANK(G113,G$6:G$404,0)</f>
        <v>7</v>
      </c>
      <c r="I113" s="25" t="n">
        <f aca="false">COUNTIFS(C$6:C$404,C113,G$6:G$404,"&gt;"&amp;G113)+1</f>
        <v>2</v>
      </c>
      <c r="J113" s="25" t="n">
        <f aca="false">COUNTIF(C$6:C$404,C113)</f>
        <v>102</v>
      </c>
    </row>
    <row r="114" customFormat="false" ht="15" hidden="false" customHeight="false" outlineLevel="0" collapsed="false">
      <c r="A114" s="25" t="n">
        <v>4107553</v>
      </c>
      <c r="B114" s="26" t="s">
        <v>179</v>
      </c>
      <c r="C114" s="26" t="s">
        <v>71</v>
      </c>
      <c r="D114" s="47" t="n">
        <f aca="false">'2 Fator educacional'!K114</f>
        <v>82.7426398287502</v>
      </c>
      <c r="E114" s="48" t="n">
        <f aca="false">'3 Fator demográfico'!K114</f>
        <v>24.0389572820254</v>
      </c>
      <c r="F114" s="49" t="n">
        <f aca="false">'4 Fator socioeconômico'!K114</f>
        <v>43.6696069217347</v>
      </c>
      <c r="G114" s="50" t="n">
        <f aca="false">(2*D114+E114+2*F114)/500</f>
        <v>0.55372690156599</v>
      </c>
      <c r="H114" s="25" t="n">
        <f aca="false">RANK(G114,G$6:G$404,0)</f>
        <v>87</v>
      </c>
      <c r="I114" s="25" t="n">
        <f aca="false">COUNTIFS(C$6:C$404,C114,G$6:G$404,"&gt;"&amp;G114)+1</f>
        <v>22</v>
      </c>
      <c r="J114" s="25" t="n">
        <f aca="false">COUNTIF(C$6:C$404,C114)</f>
        <v>102</v>
      </c>
    </row>
    <row r="115" customFormat="false" ht="15" hidden="false" customHeight="false" outlineLevel="0" collapsed="false">
      <c r="A115" s="25" t="n">
        <v>4107603</v>
      </c>
      <c r="B115" s="26" t="s">
        <v>180</v>
      </c>
      <c r="C115" s="26" t="s">
        <v>65</v>
      </c>
      <c r="D115" s="47" t="n">
        <f aca="false">'2 Fator educacional'!K115</f>
        <v>48.1021717583528</v>
      </c>
      <c r="E115" s="48" t="n">
        <f aca="false">'3 Fator demográfico'!K115</f>
        <v>57.6462818308503</v>
      </c>
      <c r="F115" s="49" t="n">
        <f aca="false">'4 Fator socioeconômico'!K115</f>
        <v>57.5775808499894</v>
      </c>
      <c r="G115" s="50" t="n">
        <f aca="false">(2*D115+E115+2*F115)/500</f>
        <v>0.538011574095069</v>
      </c>
      <c r="H115" s="25" t="n">
        <f aca="false">RANK(G115,G$6:G$404,0)</f>
        <v>106</v>
      </c>
      <c r="I115" s="25" t="n">
        <f aca="false">COUNTIFS(C$6:C$404,C115,G$6:G$404,"&gt;"&amp;G115)+1</f>
        <v>65</v>
      </c>
      <c r="J115" s="25" t="n">
        <f aca="false">COUNTIF(C$6:C$404,C115)</f>
        <v>205</v>
      </c>
    </row>
    <row r="116" customFormat="false" ht="15" hidden="false" customHeight="false" outlineLevel="0" collapsed="false">
      <c r="A116" s="25" t="n">
        <v>4107652</v>
      </c>
      <c r="B116" s="26" t="s">
        <v>181</v>
      </c>
      <c r="C116" s="26" t="s">
        <v>69</v>
      </c>
      <c r="D116" s="47" t="n">
        <f aca="false">'2 Fator educacional'!K116</f>
        <v>76.7056739469232</v>
      </c>
      <c r="E116" s="48" t="n">
        <f aca="false">'3 Fator demográfico'!K116</f>
        <v>60.1651642390739</v>
      </c>
      <c r="F116" s="49" t="n">
        <f aca="false">'4 Fator socioeconômico'!K116</f>
        <v>27.8116080729463</v>
      </c>
      <c r="G116" s="50" t="n">
        <f aca="false">(2*D116+E116+2*F116)/500</f>
        <v>0.538399456557626</v>
      </c>
      <c r="H116" s="25" t="n">
        <f aca="false">RANK(G116,G$6:G$404,0)</f>
        <v>104</v>
      </c>
      <c r="I116" s="25" t="n">
        <f aca="false">COUNTIFS(C$6:C$404,C116,G$6:G$404,"&gt;"&amp;G116)+1</f>
        <v>3</v>
      </c>
      <c r="J116" s="25" t="n">
        <f aca="false">COUNTIF(C$6:C$404,C116)</f>
        <v>14</v>
      </c>
    </row>
    <row r="117" customFormat="false" ht="15" hidden="false" customHeight="false" outlineLevel="0" collapsed="false">
      <c r="A117" s="25" t="n">
        <v>4107736</v>
      </c>
      <c r="B117" s="26" t="s">
        <v>182</v>
      </c>
      <c r="C117" s="26" t="s">
        <v>65</v>
      </c>
      <c r="D117" s="47" t="n">
        <f aca="false">'2 Fator educacional'!K117</f>
        <v>63.1127007762998</v>
      </c>
      <c r="E117" s="48" t="n">
        <f aca="false">'3 Fator demográfico'!K117</f>
        <v>33.5089824565675</v>
      </c>
      <c r="F117" s="49" t="n">
        <f aca="false">'4 Fator socioeconômico'!K117</f>
        <v>62.7377812868138</v>
      </c>
      <c r="G117" s="50" t="n">
        <f aca="false">(2*D117+E117+2*F117)/500</f>
        <v>0.570419893165589</v>
      </c>
      <c r="H117" s="25" t="n">
        <f aca="false">RANK(G117,G$6:G$404,0)</f>
        <v>71</v>
      </c>
      <c r="I117" s="25" t="n">
        <f aca="false">COUNTIFS(C$6:C$404,C117,G$6:G$404,"&gt;"&amp;G117)+1</f>
        <v>47</v>
      </c>
      <c r="J117" s="25" t="n">
        <f aca="false">COUNTIF(C$6:C$404,C117)</f>
        <v>205</v>
      </c>
    </row>
    <row r="118" customFormat="false" ht="15" hidden="false" customHeight="false" outlineLevel="0" collapsed="false">
      <c r="A118" s="25" t="n">
        <v>4107702</v>
      </c>
      <c r="B118" s="26" t="s">
        <v>183</v>
      </c>
      <c r="C118" s="26" t="s">
        <v>71</v>
      </c>
      <c r="D118" s="47" t="n">
        <f aca="false">'2 Fator educacional'!K118</f>
        <v>29.9257634254232</v>
      </c>
      <c r="E118" s="48" t="n">
        <f aca="false">'3 Fator demográfico'!K118</f>
        <v>55.9190555400028</v>
      </c>
      <c r="F118" s="49" t="n">
        <f aca="false">'4 Fator socioeconômico'!K118</f>
        <v>58.117723852725</v>
      </c>
      <c r="G118" s="50" t="n">
        <f aca="false">(2*D118+E118+2*F118)/500</f>
        <v>0.464012060192599</v>
      </c>
      <c r="H118" s="25" t="n">
        <f aca="false">RANK(G118,G$6:G$404,0)</f>
        <v>219</v>
      </c>
      <c r="I118" s="25" t="n">
        <f aca="false">COUNTIFS(C$6:C$404,C118,G$6:G$404,"&gt;"&amp;G118)+1</f>
        <v>53</v>
      </c>
      <c r="J118" s="25" t="n">
        <f aca="false">COUNTIF(C$6:C$404,C118)</f>
        <v>102</v>
      </c>
    </row>
    <row r="119" customFormat="false" ht="15" hidden="false" customHeight="false" outlineLevel="0" collapsed="false">
      <c r="A119" s="25" t="n">
        <v>4107751</v>
      </c>
      <c r="B119" s="26" t="s">
        <v>184</v>
      </c>
      <c r="C119" s="26" t="s">
        <v>65</v>
      </c>
      <c r="D119" s="47" t="n">
        <f aca="false">'2 Fator educacional'!K119</f>
        <v>73.926992433357</v>
      </c>
      <c r="E119" s="48" t="n">
        <f aca="false">'3 Fator demográfico'!K119</f>
        <v>24.8871383041257</v>
      </c>
      <c r="F119" s="49" t="n">
        <f aca="false">'4 Fator socioeconômico'!K119</f>
        <v>53.6000622878988</v>
      </c>
      <c r="G119" s="50" t="n">
        <f aca="false">(2*D119+E119+2*F119)/500</f>
        <v>0.559882495493274</v>
      </c>
      <c r="H119" s="25" t="n">
        <f aca="false">RANK(G119,G$6:G$404,0)</f>
        <v>83</v>
      </c>
      <c r="I119" s="25" t="n">
        <f aca="false">COUNTIFS(C$6:C$404,C119,G$6:G$404,"&gt;"&amp;G119)+1</f>
        <v>53</v>
      </c>
      <c r="J119" s="25" t="n">
        <f aca="false">COUNTIF(C$6:C$404,C119)</f>
        <v>205</v>
      </c>
    </row>
    <row r="120" customFormat="false" ht="15" hidden="false" customHeight="false" outlineLevel="0" collapsed="false">
      <c r="A120" s="25" t="n">
        <v>4107850</v>
      </c>
      <c r="B120" s="26" t="s">
        <v>185</v>
      </c>
      <c r="C120" s="26" t="s">
        <v>71</v>
      </c>
      <c r="D120" s="47" t="n">
        <f aca="false">'2 Fator educacional'!K120</f>
        <v>47.2602168830019</v>
      </c>
      <c r="E120" s="48" t="n">
        <f aca="false">'3 Fator demográfico'!K120</f>
        <v>59.5517135386719</v>
      </c>
      <c r="F120" s="49" t="n">
        <f aca="false">'4 Fator socioeconômico'!K120</f>
        <v>51.1027849355399</v>
      </c>
      <c r="G120" s="50" t="n">
        <f aca="false">(2*D120+E120+2*F120)/500</f>
        <v>0.512555434351511</v>
      </c>
      <c r="H120" s="25" t="n">
        <f aca="false">RANK(G120,G$6:G$404,0)</f>
        <v>140</v>
      </c>
      <c r="I120" s="25" t="n">
        <f aca="false">COUNTIFS(C$6:C$404,C120,G$6:G$404,"&gt;"&amp;G120)+1</f>
        <v>32</v>
      </c>
      <c r="J120" s="25" t="n">
        <f aca="false">COUNTIF(C$6:C$404,C120)</f>
        <v>102</v>
      </c>
    </row>
    <row r="121" customFormat="false" ht="15" hidden="false" customHeight="false" outlineLevel="0" collapsed="false">
      <c r="A121" s="25" t="n">
        <v>4107801</v>
      </c>
      <c r="B121" s="26" t="s">
        <v>186</v>
      </c>
      <c r="C121" s="26" t="s">
        <v>71</v>
      </c>
      <c r="D121" s="47" t="n">
        <f aca="false">'2 Fator educacional'!K121</f>
        <v>26.4744808019576</v>
      </c>
      <c r="E121" s="48" t="n">
        <f aca="false">'3 Fator demográfico'!K121</f>
        <v>17.3718068127043</v>
      </c>
      <c r="F121" s="49" t="n">
        <f aca="false">'4 Fator socioeconômico'!K121</f>
        <v>38.2988196821859</v>
      </c>
      <c r="G121" s="50" t="n">
        <f aca="false">(2*D121+E121+2*F121)/500</f>
        <v>0.293836815561983</v>
      </c>
      <c r="H121" s="25" t="n">
        <f aca="false">RANK(G121,G$6:G$404,0)</f>
        <v>391</v>
      </c>
      <c r="I121" s="25" t="n">
        <f aca="false">COUNTIFS(C$6:C$404,C121,G$6:G$404,"&gt;"&amp;G121)+1</f>
        <v>98</v>
      </c>
      <c r="J121" s="25" t="n">
        <f aca="false">COUNTIF(C$6:C$404,C121)</f>
        <v>102</v>
      </c>
    </row>
    <row r="122" customFormat="false" ht="15" hidden="false" customHeight="false" outlineLevel="0" collapsed="false">
      <c r="A122" s="25" t="n">
        <v>4107900</v>
      </c>
      <c r="B122" s="26" t="s">
        <v>187</v>
      </c>
      <c r="C122" s="26" t="s">
        <v>65</v>
      </c>
      <c r="D122" s="47" t="n">
        <f aca="false">'2 Fator educacional'!K122</f>
        <v>36.2623012310948</v>
      </c>
      <c r="E122" s="48" t="n">
        <f aca="false">'3 Fator demográfico'!K122</f>
        <v>44.2378678778816</v>
      </c>
      <c r="F122" s="49" t="n">
        <f aca="false">'4 Fator socioeconômico'!K122</f>
        <v>31.7091559211066</v>
      </c>
      <c r="G122" s="50" t="n">
        <f aca="false">(2*D122+E122+2*F122)/500</f>
        <v>0.360361564364569</v>
      </c>
      <c r="H122" s="25" t="n">
        <f aca="false">RANK(G122,G$6:G$404,0)</f>
        <v>353</v>
      </c>
      <c r="I122" s="25" t="n">
        <f aca="false">COUNTIFS(C$6:C$404,C122,G$6:G$404,"&gt;"&amp;G122)+1</f>
        <v>188</v>
      </c>
      <c r="J122" s="25" t="n">
        <f aca="false">COUNTIF(C$6:C$404,C122)</f>
        <v>205</v>
      </c>
    </row>
    <row r="123" customFormat="false" ht="15" hidden="false" customHeight="false" outlineLevel="0" collapsed="false">
      <c r="A123" s="25" t="n">
        <v>4108007</v>
      </c>
      <c r="B123" s="26" t="s">
        <v>188</v>
      </c>
      <c r="C123" s="26" t="s">
        <v>65</v>
      </c>
      <c r="D123" s="47" t="n">
        <f aca="false">'2 Fator educacional'!K123</f>
        <v>54.8064949650275</v>
      </c>
      <c r="E123" s="48" t="n">
        <f aca="false">'3 Fator demográfico'!K123</f>
        <v>35.1150174176136</v>
      </c>
      <c r="F123" s="49" t="n">
        <f aca="false">'4 Fator socioeconômico'!K123</f>
        <v>56.0136564859438</v>
      </c>
      <c r="G123" s="50" t="n">
        <f aca="false">(2*D123+E123+2*F123)/500</f>
        <v>0.513510640639112</v>
      </c>
      <c r="H123" s="25" t="n">
        <f aca="false">RANK(G123,G$6:G$404,0)</f>
        <v>136</v>
      </c>
      <c r="I123" s="25" t="n">
        <f aca="false">COUNTIFS(C$6:C$404,C123,G$6:G$404,"&gt;"&amp;G123)+1</f>
        <v>84</v>
      </c>
      <c r="J123" s="25" t="n">
        <f aca="false">COUNTIF(C$6:C$404,C123)</f>
        <v>205</v>
      </c>
    </row>
    <row r="124" customFormat="false" ht="15" hidden="false" customHeight="false" outlineLevel="0" collapsed="false">
      <c r="A124" s="25" t="n">
        <v>4108106</v>
      </c>
      <c r="B124" s="26" t="s">
        <v>189</v>
      </c>
      <c r="C124" s="26" t="s">
        <v>71</v>
      </c>
      <c r="D124" s="47" t="n">
        <f aca="false">'2 Fator educacional'!K124</f>
        <v>40.3590993054673</v>
      </c>
      <c r="E124" s="48" t="n">
        <f aca="false">'3 Fator demográfico'!K124</f>
        <v>39.2892095848784</v>
      </c>
      <c r="F124" s="49" t="n">
        <f aca="false">'4 Fator socioeconômico'!K124</f>
        <v>34.3365122636306</v>
      </c>
      <c r="G124" s="50" t="n">
        <f aca="false">(2*D124+E124+2*F124)/500</f>
        <v>0.377360865446148</v>
      </c>
      <c r="H124" s="25" t="n">
        <f aca="false">RANK(G124,G$6:G$404,0)</f>
        <v>336</v>
      </c>
      <c r="I124" s="25" t="n">
        <f aca="false">COUNTIFS(C$6:C$404,C124,G$6:G$404,"&gt;"&amp;G124)+1</f>
        <v>80</v>
      </c>
      <c r="J124" s="25" t="n">
        <f aca="false">COUNTIF(C$6:C$404,C124)</f>
        <v>102</v>
      </c>
    </row>
    <row r="125" customFormat="false" ht="15" hidden="false" customHeight="false" outlineLevel="0" collapsed="false">
      <c r="A125" s="25" t="n">
        <v>4108205</v>
      </c>
      <c r="B125" s="26" t="s">
        <v>190</v>
      </c>
      <c r="C125" s="26" t="s">
        <v>65</v>
      </c>
      <c r="D125" s="47" t="n">
        <f aca="false">'2 Fator educacional'!K125</f>
        <v>35.4801240496642</v>
      </c>
      <c r="E125" s="48" t="n">
        <f aca="false">'3 Fator demográfico'!K125</f>
        <v>20.0947373364214</v>
      </c>
      <c r="F125" s="49" t="n">
        <f aca="false">'4 Fator socioeconômico'!K125</f>
        <v>52.0124795500482</v>
      </c>
      <c r="G125" s="50" t="n">
        <f aca="false">(2*D125+E125+2*F125)/500</f>
        <v>0.390159889071692</v>
      </c>
      <c r="H125" s="25" t="n">
        <f aca="false">RANK(G125,G$6:G$404,0)</f>
        <v>320</v>
      </c>
      <c r="I125" s="25" t="n">
        <f aca="false">COUNTIFS(C$6:C$404,C125,G$6:G$404,"&gt;"&amp;G125)+1</f>
        <v>175</v>
      </c>
      <c r="J125" s="25" t="n">
        <f aca="false">COUNTIF(C$6:C$404,C125)</f>
        <v>205</v>
      </c>
    </row>
    <row r="126" customFormat="false" ht="15" hidden="false" customHeight="false" outlineLevel="0" collapsed="false">
      <c r="A126" s="25" t="n">
        <v>4108304</v>
      </c>
      <c r="B126" s="26" t="s">
        <v>191</v>
      </c>
      <c r="C126" s="26" t="s">
        <v>138</v>
      </c>
      <c r="D126" s="47" t="n">
        <f aca="false">'2 Fator educacional'!K126</f>
        <v>59.854018377484</v>
      </c>
      <c r="E126" s="48" t="n">
        <f aca="false">'3 Fator demográfico'!K126</f>
        <v>53.393821239307</v>
      </c>
      <c r="F126" s="49" t="n">
        <f aca="false">'4 Fator socioeconômico'!K126</f>
        <v>30.7573929764402</v>
      </c>
      <c r="G126" s="50" t="n">
        <f aca="false">(2*D126+E126+2*F126)/500</f>
        <v>0.469233287894311</v>
      </c>
      <c r="H126" s="25" t="n">
        <f aca="false">RANK(G126,G$6:G$404,0)</f>
        <v>211</v>
      </c>
      <c r="I126" s="25" t="n">
        <f aca="false">COUNTIFS(C$6:C$404,C126,G$6:G$404,"&gt;"&amp;G126)+1</f>
        <v>3</v>
      </c>
      <c r="J126" s="25" t="n">
        <f aca="false">COUNTIF(C$6:C$404,C126)</f>
        <v>6</v>
      </c>
    </row>
    <row r="127" customFormat="false" ht="15" hidden="false" customHeight="false" outlineLevel="0" collapsed="false">
      <c r="A127" s="25" t="n">
        <v>4108452</v>
      </c>
      <c r="B127" s="26" t="s">
        <v>192</v>
      </c>
      <c r="C127" s="26" t="s">
        <v>71</v>
      </c>
      <c r="D127" s="47" t="n">
        <f aca="false">'2 Fator educacional'!K127</f>
        <v>61.9677472272927</v>
      </c>
      <c r="E127" s="48" t="n">
        <f aca="false">'3 Fator demográfico'!K127</f>
        <v>50.2560353891221</v>
      </c>
      <c r="F127" s="49" t="n">
        <f aca="false">'4 Fator socioeconômico'!K127</f>
        <v>53.6396627939684</v>
      </c>
      <c r="G127" s="50" t="n">
        <f aca="false">(2*D127+E127+2*F127)/500</f>
        <v>0.562941710863289</v>
      </c>
      <c r="H127" s="25" t="n">
        <f aca="false">RANK(G127,G$6:G$404,0)</f>
        <v>81</v>
      </c>
      <c r="I127" s="25" t="n">
        <f aca="false">COUNTIFS(C$6:C$404,C127,G$6:G$404,"&gt;"&amp;G127)+1</f>
        <v>20</v>
      </c>
      <c r="J127" s="25" t="n">
        <f aca="false">COUNTIF(C$6:C$404,C127)</f>
        <v>102</v>
      </c>
    </row>
    <row r="128" customFormat="false" ht="15" hidden="false" customHeight="false" outlineLevel="0" collapsed="false">
      <c r="A128" s="25" t="n">
        <v>4108320</v>
      </c>
      <c r="B128" s="26" t="s">
        <v>193</v>
      </c>
      <c r="C128" s="26" t="s">
        <v>65</v>
      </c>
      <c r="D128" s="47" t="n">
        <f aca="false">'2 Fator educacional'!K128</f>
        <v>83.979998499117</v>
      </c>
      <c r="E128" s="48" t="n">
        <f aca="false">'3 Fator demográfico'!K128</f>
        <v>74.5912832757499</v>
      </c>
      <c r="F128" s="49" t="n">
        <f aca="false">'4 Fator socioeconômico'!K128</f>
        <v>47.1211384756714</v>
      </c>
      <c r="G128" s="50" t="n">
        <f aca="false">(2*D128+E128+2*F128)/500</f>
        <v>0.673587114450653</v>
      </c>
      <c r="H128" s="25" t="n">
        <f aca="false">RANK(G128,G$6:G$404,0)</f>
        <v>19</v>
      </c>
      <c r="I128" s="25" t="n">
        <f aca="false">COUNTIFS(C$6:C$404,C128,G$6:G$404,"&gt;"&amp;G128)+1</f>
        <v>13</v>
      </c>
      <c r="J128" s="25" t="n">
        <f aca="false">COUNTIF(C$6:C$404,C128)</f>
        <v>205</v>
      </c>
    </row>
    <row r="129" customFormat="false" ht="15" hidden="false" customHeight="false" outlineLevel="0" collapsed="false">
      <c r="A129" s="25" t="n">
        <v>4108403</v>
      </c>
      <c r="B129" s="26" t="s">
        <v>194</v>
      </c>
      <c r="C129" s="26" t="s">
        <v>129</v>
      </c>
      <c r="D129" s="47" t="n">
        <f aca="false">'2 Fator educacional'!K129</f>
        <v>44.9247260125373</v>
      </c>
      <c r="E129" s="48" t="n">
        <f aca="false">'3 Fator demográfico'!K129</f>
        <v>46.7036974767722</v>
      </c>
      <c r="F129" s="49" t="n">
        <f aca="false">'4 Fator socioeconômico'!K129</f>
        <v>19.3348539796993</v>
      </c>
      <c r="G129" s="50" t="n">
        <f aca="false">(2*D129+E129+2*F129)/500</f>
        <v>0.350445714922491</v>
      </c>
      <c r="H129" s="25" t="n">
        <f aca="false">RANK(G129,G$6:G$404,0)</f>
        <v>359</v>
      </c>
      <c r="I129" s="25" t="n">
        <f aca="false">COUNTIFS(C$6:C$404,C129,G$6:G$404,"&gt;"&amp;G129)+1</f>
        <v>7</v>
      </c>
      <c r="J129" s="25" t="n">
        <f aca="false">COUNTIF(C$6:C$404,C129)</f>
        <v>8</v>
      </c>
    </row>
    <row r="130" customFormat="false" ht="15" hidden="false" customHeight="false" outlineLevel="0" collapsed="false">
      <c r="A130" s="25" t="n">
        <v>4108502</v>
      </c>
      <c r="B130" s="26" t="s">
        <v>195</v>
      </c>
      <c r="C130" s="26" t="s">
        <v>65</v>
      </c>
      <c r="D130" s="47" t="n">
        <f aca="false">'2 Fator educacional'!K130</f>
        <v>87.4132754211553</v>
      </c>
      <c r="E130" s="48" t="n">
        <f aca="false">'3 Fator demográfico'!K130</f>
        <v>56.0868445266142</v>
      </c>
      <c r="F130" s="49" t="n">
        <f aca="false">'4 Fator socioeconômico'!K130</f>
        <v>63.7894047234786</v>
      </c>
      <c r="G130" s="50" t="n">
        <f aca="false">(2*D130+E130+2*F130)/500</f>
        <v>0.716984409631764</v>
      </c>
      <c r="H130" s="25" t="n">
        <f aca="false">RANK(G130,G$6:G$404,0)</f>
        <v>5</v>
      </c>
      <c r="I130" s="25" t="n">
        <f aca="false">COUNTIFS(C$6:C$404,C130,G$6:G$404,"&gt;"&amp;G130)+1</f>
        <v>4</v>
      </c>
      <c r="J130" s="25" t="n">
        <f aca="false">COUNTIF(C$6:C$404,C130)</f>
        <v>205</v>
      </c>
    </row>
    <row r="131" customFormat="false" ht="15" hidden="false" customHeight="false" outlineLevel="0" collapsed="false">
      <c r="A131" s="25" t="n">
        <v>4108551</v>
      </c>
      <c r="B131" s="26" t="s">
        <v>196</v>
      </c>
      <c r="C131" s="26" t="s">
        <v>71</v>
      </c>
      <c r="D131" s="47" t="n">
        <f aca="false">'2 Fator educacional'!K131</f>
        <v>46.3555292118307</v>
      </c>
      <c r="E131" s="48" t="n">
        <f aca="false">'3 Fator demográfico'!K131</f>
        <v>26.7656605109939</v>
      </c>
      <c r="F131" s="49" t="n">
        <f aca="false">'4 Fator socioeconômico'!K131</f>
        <v>56.6545241596298</v>
      </c>
      <c r="G131" s="50" t="n">
        <f aca="false">(2*D131+E131+2*F131)/500</f>
        <v>0.46557153450783</v>
      </c>
      <c r="H131" s="25" t="n">
        <f aca="false">RANK(G131,G$6:G$404,0)</f>
        <v>215</v>
      </c>
      <c r="I131" s="25" t="n">
        <f aca="false">COUNTIFS(C$6:C$404,C131,G$6:G$404,"&gt;"&amp;G131)+1</f>
        <v>51</v>
      </c>
      <c r="J131" s="25" t="n">
        <f aca="false">COUNTIF(C$6:C$404,C131)</f>
        <v>102</v>
      </c>
    </row>
    <row r="132" customFormat="false" ht="15" hidden="false" customHeight="false" outlineLevel="0" collapsed="false">
      <c r="A132" s="25" t="n">
        <v>4108601</v>
      </c>
      <c r="B132" s="26" t="s">
        <v>197</v>
      </c>
      <c r="C132" s="26" t="s">
        <v>86</v>
      </c>
      <c r="D132" s="47" t="n">
        <f aca="false">'2 Fator educacional'!K132</f>
        <v>42.4721876632636</v>
      </c>
      <c r="E132" s="48" t="n">
        <f aca="false">'3 Fator demográfico'!K132</f>
        <v>36.1724448240082</v>
      </c>
      <c r="F132" s="49" t="n">
        <f aca="false">'4 Fator socioeconômico'!K132</f>
        <v>42.8255255892712</v>
      </c>
      <c r="G132" s="50" t="n">
        <f aca="false">(2*D132+E132+2*F132)/500</f>
        <v>0.413535742658155</v>
      </c>
      <c r="H132" s="25" t="n">
        <f aca="false">RANK(G132,G$6:G$404,0)</f>
        <v>289</v>
      </c>
      <c r="I132" s="25" t="n">
        <f aca="false">COUNTIFS(C$6:C$404,C132,G$6:G$404,"&gt;"&amp;G132)+1</f>
        <v>44</v>
      </c>
      <c r="J132" s="25" t="n">
        <f aca="false">COUNTIF(C$6:C$404,C132)</f>
        <v>62</v>
      </c>
    </row>
    <row r="133" customFormat="false" ht="15" hidden="false" customHeight="false" outlineLevel="0" collapsed="false">
      <c r="A133" s="25" t="n">
        <v>4108650</v>
      </c>
      <c r="B133" s="26" t="s">
        <v>198</v>
      </c>
      <c r="C133" s="26" t="s">
        <v>65</v>
      </c>
      <c r="D133" s="47" t="n">
        <f aca="false">'2 Fator educacional'!K133</f>
        <v>60.6425265730847</v>
      </c>
      <c r="E133" s="48" t="n">
        <f aca="false">'3 Fator demográfico'!K133</f>
        <v>70.3174915801268</v>
      </c>
      <c r="F133" s="49" t="n">
        <f aca="false">'4 Fator socioeconômico'!K133</f>
        <v>66.5027517184466</v>
      </c>
      <c r="G133" s="50" t="n">
        <f aca="false">(2*D133+E133+2*F133)/500</f>
        <v>0.649216096326379</v>
      </c>
      <c r="H133" s="25" t="n">
        <f aca="false">RANK(G133,G$6:G$404,0)</f>
        <v>30</v>
      </c>
      <c r="I133" s="25" t="n">
        <f aca="false">COUNTIFS(C$6:C$404,C133,G$6:G$404,"&gt;"&amp;G133)+1</f>
        <v>19</v>
      </c>
      <c r="J133" s="25" t="n">
        <f aca="false">COUNTIF(C$6:C$404,C133)</f>
        <v>205</v>
      </c>
    </row>
    <row r="134" customFormat="false" ht="15" hidden="false" customHeight="false" outlineLevel="0" collapsed="false">
      <c r="A134" s="25" t="n">
        <v>4108700</v>
      </c>
      <c r="B134" s="26" t="s">
        <v>199</v>
      </c>
      <c r="C134" s="26" t="s">
        <v>65</v>
      </c>
      <c r="D134" s="47" t="n">
        <f aca="false">'2 Fator educacional'!K134</f>
        <v>55.3513381779292</v>
      </c>
      <c r="E134" s="48" t="n">
        <f aca="false">'3 Fator demográfico'!K134</f>
        <v>62.1665147391725</v>
      </c>
      <c r="F134" s="49" t="n">
        <f aca="false">'4 Fator socioeconômico'!K134</f>
        <v>68.7058442878393</v>
      </c>
      <c r="G134" s="50" t="n">
        <f aca="false">(2*D134+E134+2*F134)/500</f>
        <v>0.620561759341419</v>
      </c>
      <c r="H134" s="25" t="n">
        <f aca="false">RANK(G134,G$6:G$404,0)</f>
        <v>39</v>
      </c>
      <c r="I134" s="25" t="n">
        <f aca="false">COUNTIFS(C$6:C$404,C134,G$6:G$404,"&gt;"&amp;G134)+1</f>
        <v>28</v>
      </c>
      <c r="J134" s="25" t="n">
        <f aca="false">COUNTIF(C$6:C$404,C134)</f>
        <v>205</v>
      </c>
    </row>
    <row r="135" customFormat="false" ht="15" hidden="false" customHeight="false" outlineLevel="0" collapsed="false">
      <c r="A135" s="25" t="n">
        <v>4108908</v>
      </c>
      <c r="B135" s="26" t="s">
        <v>200</v>
      </c>
      <c r="C135" s="26" t="s">
        <v>65</v>
      </c>
      <c r="D135" s="47" t="n">
        <f aca="false">'2 Fator educacional'!K135</f>
        <v>54.3022584728693</v>
      </c>
      <c r="E135" s="48" t="n">
        <f aca="false">'3 Fator demográfico'!K135</f>
        <v>88.2410820876505</v>
      </c>
      <c r="F135" s="49" t="n">
        <f aca="false">'4 Fator socioeconômico'!K135</f>
        <v>43.6218429477394</v>
      </c>
      <c r="G135" s="50" t="n">
        <f aca="false">(2*D135+E135+2*F135)/500</f>
        <v>0.568178569857736</v>
      </c>
      <c r="H135" s="25" t="n">
        <f aca="false">RANK(G135,G$6:G$404,0)</f>
        <v>76</v>
      </c>
      <c r="I135" s="25" t="n">
        <f aca="false">COUNTIFS(C$6:C$404,C135,G$6:G$404,"&gt;"&amp;G135)+1</f>
        <v>49</v>
      </c>
      <c r="J135" s="25" t="n">
        <f aca="false">COUNTIF(C$6:C$404,C135)</f>
        <v>205</v>
      </c>
    </row>
    <row r="136" customFormat="false" ht="15" hidden="false" customHeight="false" outlineLevel="0" collapsed="false">
      <c r="A136" s="25" t="n">
        <v>4108809</v>
      </c>
      <c r="B136" s="26" t="s">
        <v>201</v>
      </c>
      <c r="C136" s="26" t="s">
        <v>86</v>
      </c>
      <c r="D136" s="47" t="n">
        <f aca="false">'2 Fator educacional'!K136</f>
        <v>60.948926023523</v>
      </c>
      <c r="E136" s="48" t="n">
        <f aca="false">'3 Fator demográfico'!K136</f>
        <v>48.7946443716267</v>
      </c>
      <c r="F136" s="49" t="n">
        <f aca="false">'4 Fator socioeconômico'!K136</f>
        <v>35.3083264885213</v>
      </c>
      <c r="G136" s="50" t="n">
        <f aca="false">(2*D136+E136+2*F136)/500</f>
        <v>0.48261829879143</v>
      </c>
      <c r="H136" s="25" t="n">
        <f aca="false">RANK(G136,G$6:G$404,0)</f>
        <v>189</v>
      </c>
      <c r="I136" s="25" t="n">
        <f aca="false">COUNTIFS(C$6:C$404,C136,G$6:G$404,"&gt;"&amp;G136)+1</f>
        <v>24</v>
      </c>
      <c r="J136" s="25" t="n">
        <f aca="false">COUNTIF(C$6:C$404,C136)</f>
        <v>62</v>
      </c>
    </row>
    <row r="137" customFormat="false" ht="15" hidden="false" customHeight="false" outlineLevel="0" collapsed="false">
      <c r="A137" s="25" t="n">
        <v>4108957</v>
      </c>
      <c r="B137" s="26" t="s">
        <v>202</v>
      </c>
      <c r="C137" s="26" t="s">
        <v>65</v>
      </c>
      <c r="D137" s="47" t="n">
        <f aca="false">'2 Fator educacional'!K137</f>
        <v>89.4850796125994</v>
      </c>
      <c r="E137" s="48" t="n">
        <f aca="false">'3 Fator demográfico'!K137</f>
        <v>71.5257176056855</v>
      </c>
      <c r="F137" s="49" t="n">
        <f aca="false">'4 Fator socioeconômico'!K137</f>
        <v>49.5729734297622</v>
      </c>
      <c r="G137" s="50" t="n">
        <f aca="false">(2*D137+E137+2*F137)/500</f>
        <v>0.699283647380817</v>
      </c>
      <c r="H137" s="25" t="n">
        <f aca="false">RANK(G137,G$6:G$404,0)</f>
        <v>9</v>
      </c>
      <c r="I137" s="25" t="n">
        <f aca="false">COUNTIFS(C$6:C$404,C137,G$6:G$404,"&gt;"&amp;G137)+1</f>
        <v>7</v>
      </c>
      <c r="J137" s="25" t="n">
        <f aca="false">COUNTIF(C$6:C$404,C137)</f>
        <v>205</v>
      </c>
    </row>
    <row r="138" customFormat="false" ht="15" hidden="false" customHeight="false" outlineLevel="0" collapsed="false">
      <c r="A138" s="25" t="n">
        <v>4109005</v>
      </c>
      <c r="B138" s="26" t="s">
        <v>203</v>
      </c>
      <c r="C138" s="26" t="s">
        <v>71</v>
      </c>
      <c r="D138" s="47" t="n">
        <f aca="false">'2 Fator educacional'!K138</f>
        <v>57.3533013389277</v>
      </c>
      <c r="E138" s="48" t="n">
        <f aca="false">'3 Fator demográfico'!K138</f>
        <v>50.5958894380369</v>
      </c>
      <c r="F138" s="49" t="n">
        <f aca="false">'4 Fator socioeconômico'!K138</f>
        <v>39.5244932782269</v>
      </c>
      <c r="G138" s="50" t="n">
        <f aca="false">(2*D138+E138+2*F138)/500</f>
        <v>0.488702957344692</v>
      </c>
      <c r="H138" s="25" t="n">
        <f aca="false">RANK(G138,G$6:G$404,0)</f>
        <v>176</v>
      </c>
      <c r="I138" s="25" t="n">
        <f aca="false">COUNTIFS(C$6:C$404,C138,G$6:G$404,"&gt;"&amp;G138)+1</f>
        <v>43</v>
      </c>
      <c r="J138" s="25" t="n">
        <f aca="false">COUNTIF(C$6:C$404,C138)</f>
        <v>102</v>
      </c>
    </row>
    <row r="139" customFormat="false" ht="15" hidden="false" customHeight="false" outlineLevel="0" collapsed="false">
      <c r="A139" s="25" t="n">
        <v>4109104</v>
      </c>
      <c r="B139" s="26" t="s">
        <v>204</v>
      </c>
      <c r="C139" s="26" t="s">
        <v>71</v>
      </c>
      <c r="D139" s="47" t="n">
        <f aca="false">'2 Fator educacional'!K139</f>
        <v>29.5574403985276</v>
      </c>
      <c r="E139" s="48" t="n">
        <f aca="false">'3 Fator demográfico'!K139</f>
        <v>91.0254094075513</v>
      </c>
      <c r="F139" s="49" t="n">
        <f aca="false">'4 Fator socioeconômico'!K139</f>
        <v>44.383852140642</v>
      </c>
      <c r="G139" s="50" t="n">
        <f aca="false">(2*D139+E139+2*F139)/500</f>
        <v>0.477815988971781</v>
      </c>
      <c r="H139" s="25" t="n">
        <f aca="false">RANK(G139,G$6:G$404,0)</f>
        <v>201</v>
      </c>
      <c r="I139" s="25" t="n">
        <f aca="false">COUNTIFS(C$6:C$404,C139,G$6:G$404,"&gt;"&amp;G139)+1</f>
        <v>50</v>
      </c>
      <c r="J139" s="25" t="n">
        <f aca="false">COUNTIF(C$6:C$404,C139)</f>
        <v>102</v>
      </c>
    </row>
    <row r="140" customFormat="false" ht="15" hidden="false" customHeight="false" outlineLevel="0" collapsed="false">
      <c r="A140" s="25" t="n">
        <v>4109203</v>
      </c>
      <c r="B140" s="26" t="s">
        <v>205</v>
      </c>
      <c r="C140" s="26" t="s">
        <v>71</v>
      </c>
      <c r="D140" s="47" t="n">
        <f aca="false">'2 Fator educacional'!K140</f>
        <v>61.2758021613392</v>
      </c>
      <c r="E140" s="48" t="n">
        <f aca="false">'3 Fator demográfico'!K140</f>
        <v>27.9746754258008</v>
      </c>
      <c r="F140" s="49" t="n">
        <f aca="false">'4 Fator socioeconômico'!K140</f>
        <v>51.4401112674696</v>
      </c>
      <c r="G140" s="50" t="n">
        <f aca="false">(2*D140+E140+2*F140)/500</f>
        <v>0.506813004566837</v>
      </c>
      <c r="H140" s="25" t="n">
        <f aca="false">RANK(G140,G$6:G$404,0)</f>
        <v>150</v>
      </c>
      <c r="I140" s="25" t="n">
        <f aca="false">COUNTIFS(C$6:C$404,C140,G$6:G$404,"&gt;"&amp;G140)+1</f>
        <v>35</v>
      </c>
      <c r="J140" s="25" t="n">
        <f aca="false">COUNTIF(C$6:C$404,C140)</f>
        <v>102</v>
      </c>
    </row>
    <row r="141" customFormat="false" ht="15" hidden="false" customHeight="false" outlineLevel="0" collapsed="false">
      <c r="A141" s="25" t="n">
        <v>4109302</v>
      </c>
      <c r="B141" s="26" t="s">
        <v>206</v>
      </c>
      <c r="C141" s="26" t="s">
        <v>65</v>
      </c>
      <c r="D141" s="47" t="n">
        <f aca="false">'2 Fator educacional'!K141</f>
        <v>67.4505750306413</v>
      </c>
      <c r="E141" s="48" t="n">
        <f aca="false">'3 Fator demográfico'!K141</f>
        <v>37.4416374407099</v>
      </c>
      <c r="F141" s="49" t="n">
        <f aca="false">'4 Fator socioeconômico'!K141</f>
        <v>33.0627166573154</v>
      </c>
      <c r="G141" s="50" t="n">
        <f aca="false">(2*D141+E141+2*F141)/500</f>
        <v>0.476936441633247</v>
      </c>
      <c r="H141" s="25" t="n">
        <f aca="false">RANK(G141,G$6:G$404,0)</f>
        <v>203</v>
      </c>
      <c r="I141" s="25" t="n">
        <f aca="false">COUNTIFS(C$6:C$404,C141,G$6:G$404,"&gt;"&amp;G141)+1</f>
        <v>120</v>
      </c>
      <c r="J141" s="25" t="n">
        <f aca="false">COUNTIF(C$6:C$404,C141)</f>
        <v>205</v>
      </c>
    </row>
    <row r="142" customFormat="false" ht="15" hidden="false" customHeight="false" outlineLevel="0" collapsed="false">
      <c r="A142" s="25" t="n">
        <v>4109401</v>
      </c>
      <c r="B142" s="26" t="s">
        <v>207</v>
      </c>
      <c r="C142" s="26" t="s">
        <v>69</v>
      </c>
      <c r="D142" s="47" t="n">
        <f aca="false">'2 Fator educacional'!K142</f>
        <v>61.0834033875619</v>
      </c>
      <c r="E142" s="48" t="n">
        <f aca="false">'3 Fator demográfico'!K142</f>
        <v>55.6002771199879</v>
      </c>
      <c r="F142" s="49" t="n">
        <f aca="false">'4 Fator socioeconômico'!K142</f>
        <v>28.3840091657794</v>
      </c>
      <c r="G142" s="50" t="n">
        <f aca="false">(2*D142+E142+2*F142)/500</f>
        <v>0.469070204453341</v>
      </c>
      <c r="H142" s="25" t="n">
        <f aca="false">RANK(G142,G$6:G$404,0)</f>
        <v>213</v>
      </c>
      <c r="I142" s="25" t="n">
        <f aca="false">COUNTIFS(C$6:C$404,C142,G$6:G$404,"&gt;"&amp;G142)+1</f>
        <v>6</v>
      </c>
      <c r="J142" s="25" t="n">
        <f aca="false">COUNTIF(C$6:C$404,C142)</f>
        <v>14</v>
      </c>
    </row>
    <row r="143" customFormat="false" ht="15" hidden="false" customHeight="false" outlineLevel="0" collapsed="false">
      <c r="A143" s="25" t="n">
        <v>4109500</v>
      </c>
      <c r="B143" s="26" t="s">
        <v>208</v>
      </c>
      <c r="C143" s="26" t="s">
        <v>65</v>
      </c>
      <c r="D143" s="47" t="n">
        <f aca="false">'2 Fator educacional'!K143</f>
        <v>88.0587259070134</v>
      </c>
      <c r="E143" s="48" t="n">
        <f aca="false">'3 Fator demográfico'!K143</f>
        <v>42.452138967616</v>
      </c>
      <c r="F143" s="49" t="n">
        <f aca="false">'4 Fator socioeconômico'!K143</f>
        <v>84.5641805025173</v>
      </c>
      <c r="G143" s="50" t="n">
        <f aca="false">(2*D143+E143+2*F143)/500</f>
        <v>0.775395903573355</v>
      </c>
      <c r="H143" s="25" t="n">
        <f aca="false">RANK(G143,G$6:G$404,0)</f>
        <v>2</v>
      </c>
      <c r="I143" s="25" t="n">
        <f aca="false">COUNTIFS(C$6:C$404,C143,G$6:G$404,"&gt;"&amp;G143)+1</f>
        <v>1</v>
      </c>
      <c r="J143" s="25" t="n">
        <f aca="false">COUNTIF(C$6:C$404,C143)</f>
        <v>205</v>
      </c>
    </row>
    <row r="144" customFormat="false" ht="15" hidden="false" customHeight="false" outlineLevel="0" collapsed="false">
      <c r="A144" s="25" t="n">
        <v>4109609</v>
      </c>
      <c r="B144" s="26" t="s">
        <v>209</v>
      </c>
      <c r="C144" s="26" t="s">
        <v>86</v>
      </c>
      <c r="D144" s="47" t="n">
        <f aca="false">'2 Fator educacional'!K144</f>
        <v>27.1722923616469</v>
      </c>
      <c r="E144" s="48" t="n">
        <f aca="false">'3 Fator demográfico'!K144</f>
        <v>52.5284265273832</v>
      </c>
      <c r="F144" s="49" t="n">
        <f aca="false">'4 Fator socioeconômico'!K144</f>
        <v>46.8089959182336</v>
      </c>
      <c r="G144" s="50" t="n">
        <f aca="false">(2*D144+E144+2*F144)/500</f>
        <v>0.400982006174288</v>
      </c>
      <c r="H144" s="25" t="n">
        <f aca="false">RANK(G144,G$6:G$404,0)</f>
        <v>309</v>
      </c>
      <c r="I144" s="25" t="n">
        <f aca="false">COUNTIFS(C$6:C$404,C144,G$6:G$404,"&gt;"&amp;G144)+1</f>
        <v>47</v>
      </c>
      <c r="J144" s="25" t="n">
        <f aca="false">COUNTIF(C$6:C$404,C144)</f>
        <v>62</v>
      </c>
    </row>
    <row r="145" customFormat="false" ht="15" hidden="false" customHeight="false" outlineLevel="0" collapsed="false">
      <c r="A145" s="25" t="n">
        <v>4109658</v>
      </c>
      <c r="B145" s="26" t="s">
        <v>210</v>
      </c>
      <c r="C145" s="26" t="s">
        <v>71</v>
      </c>
      <c r="D145" s="47" t="n">
        <f aca="false">'2 Fator educacional'!K145</f>
        <v>80.2371867461229</v>
      </c>
      <c r="E145" s="48" t="n">
        <f aca="false">'3 Fator demográfico'!K145</f>
        <v>54.6935684564648</v>
      </c>
      <c r="F145" s="49" t="n">
        <f aca="false">'4 Fator socioeconômico'!K145</f>
        <v>47.4283003782467</v>
      </c>
      <c r="G145" s="50" t="n">
        <f aca="false">(2*D145+E145+2*F145)/500</f>
        <v>0.620049085410408</v>
      </c>
      <c r="H145" s="25" t="n">
        <f aca="false">RANK(G145,G$6:G$404,0)</f>
        <v>40</v>
      </c>
      <c r="I145" s="25" t="n">
        <f aca="false">COUNTIFS(C$6:C$404,C145,G$6:G$404,"&gt;"&amp;G145)+1</f>
        <v>9</v>
      </c>
      <c r="J145" s="25" t="n">
        <f aca="false">COUNTIF(C$6:C$404,C145)</f>
        <v>102</v>
      </c>
    </row>
    <row r="146" customFormat="false" ht="15" hidden="false" customHeight="false" outlineLevel="0" collapsed="false">
      <c r="A146" s="25" t="n">
        <v>4109708</v>
      </c>
      <c r="B146" s="26" t="s">
        <v>211</v>
      </c>
      <c r="C146" s="26" t="s">
        <v>86</v>
      </c>
      <c r="D146" s="47" t="n">
        <f aca="false">'2 Fator educacional'!K146</f>
        <v>54.1026049113377</v>
      </c>
      <c r="E146" s="48" t="n">
        <f aca="false">'3 Fator demográfico'!K146</f>
        <v>44.7453044292034</v>
      </c>
      <c r="F146" s="49" t="n">
        <f aca="false">'4 Fator socioeconômico'!K146</f>
        <v>37.9059392748299</v>
      </c>
      <c r="G146" s="50" t="n">
        <f aca="false">(2*D146+E146+2*F146)/500</f>
        <v>0.457524785603077</v>
      </c>
      <c r="H146" s="25" t="n">
        <f aca="false">RANK(G146,G$6:G$404,0)</f>
        <v>231</v>
      </c>
      <c r="I146" s="25" t="n">
        <f aca="false">COUNTIFS(C$6:C$404,C146,G$6:G$404,"&gt;"&amp;G146)+1</f>
        <v>29</v>
      </c>
      <c r="J146" s="25" t="n">
        <f aca="false">COUNTIF(C$6:C$404,C146)</f>
        <v>62</v>
      </c>
    </row>
    <row r="147" customFormat="false" ht="15" hidden="false" customHeight="false" outlineLevel="0" collapsed="false">
      <c r="A147" s="25" t="n">
        <v>4109757</v>
      </c>
      <c r="B147" s="26" t="s">
        <v>212</v>
      </c>
      <c r="C147" s="26" t="s">
        <v>65</v>
      </c>
      <c r="D147" s="47" t="n">
        <f aca="false">'2 Fator educacional'!K147</f>
        <v>43.5017491070114</v>
      </c>
      <c r="E147" s="48" t="n">
        <f aca="false">'3 Fator demográfico'!K147</f>
        <v>41.7828033261</v>
      </c>
      <c r="F147" s="49" t="n">
        <f aca="false">'4 Fator socioeconômico'!K147</f>
        <v>55.768103689381</v>
      </c>
      <c r="G147" s="50" t="n">
        <f aca="false">(2*D147+E147+2*F147)/500</f>
        <v>0.480645017837769</v>
      </c>
      <c r="H147" s="25" t="n">
        <f aca="false">RANK(G147,G$6:G$404,0)</f>
        <v>194</v>
      </c>
      <c r="I147" s="25" t="n">
        <f aca="false">COUNTIFS(C$6:C$404,C147,G$6:G$404,"&gt;"&amp;G147)+1</f>
        <v>115</v>
      </c>
      <c r="J147" s="25" t="n">
        <f aca="false">COUNTIF(C$6:C$404,C147)</f>
        <v>205</v>
      </c>
    </row>
    <row r="148" customFormat="false" ht="15" hidden="false" customHeight="false" outlineLevel="0" collapsed="false">
      <c r="A148" s="25" t="n">
        <v>4109807</v>
      </c>
      <c r="B148" s="26" t="s">
        <v>213</v>
      </c>
      <c r="C148" s="26" t="s">
        <v>86</v>
      </c>
      <c r="D148" s="47" t="n">
        <f aca="false">'2 Fator educacional'!K148</f>
        <v>44.5443792088922</v>
      </c>
      <c r="E148" s="48" t="n">
        <f aca="false">'3 Fator demográfico'!K148</f>
        <v>56.082721415544</v>
      </c>
      <c r="F148" s="49" t="n">
        <f aca="false">'4 Fator socioeconômico'!K148</f>
        <v>34.6180490931546</v>
      </c>
      <c r="G148" s="50" t="n">
        <f aca="false">(2*D148+E148+2*F148)/500</f>
        <v>0.428815156039276</v>
      </c>
      <c r="H148" s="25" t="n">
        <f aca="false">RANK(G148,G$6:G$404,0)</f>
        <v>269</v>
      </c>
      <c r="I148" s="25" t="n">
        <f aca="false">COUNTIFS(C$6:C$404,C148,G$6:G$404,"&gt;"&amp;G148)+1</f>
        <v>39</v>
      </c>
      <c r="J148" s="25" t="n">
        <f aca="false">COUNTIF(C$6:C$404,C148)</f>
        <v>62</v>
      </c>
    </row>
    <row r="149" customFormat="false" ht="15" hidden="false" customHeight="false" outlineLevel="0" collapsed="false">
      <c r="A149" s="25" t="n">
        <v>4109906</v>
      </c>
      <c r="B149" s="26" t="s">
        <v>214</v>
      </c>
      <c r="C149" s="26" t="s">
        <v>65</v>
      </c>
      <c r="D149" s="47" t="n">
        <f aca="false">'2 Fator educacional'!K149</f>
        <v>57.2263526788776</v>
      </c>
      <c r="E149" s="48" t="n">
        <f aca="false">'3 Fator demográfico'!K149</f>
        <v>68.4927976873997</v>
      </c>
      <c r="F149" s="49" t="n">
        <f aca="false">'4 Fator socioeconômico'!K149</f>
        <v>53.1649485829358</v>
      </c>
      <c r="G149" s="50" t="n">
        <f aca="false">(2*D149+E149+2*F149)/500</f>
        <v>0.578550800422053</v>
      </c>
      <c r="H149" s="25" t="n">
        <f aca="false">RANK(G149,G$6:G$404,0)</f>
        <v>63</v>
      </c>
      <c r="I149" s="25" t="n">
        <f aca="false">COUNTIFS(C$6:C$404,C149,G$6:G$404,"&gt;"&amp;G149)+1</f>
        <v>42</v>
      </c>
      <c r="J149" s="25" t="n">
        <f aca="false">COUNTIF(C$6:C$404,C149)</f>
        <v>205</v>
      </c>
    </row>
    <row r="150" customFormat="false" ht="15" hidden="false" customHeight="false" outlineLevel="0" collapsed="false">
      <c r="A150" s="25" t="n">
        <v>4110003</v>
      </c>
      <c r="B150" s="26" t="s">
        <v>215</v>
      </c>
      <c r="C150" s="26" t="s">
        <v>65</v>
      </c>
      <c r="D150" s="47" t="n">
        <f aca="false">'2 Fator educacional'!K150</f>
        <v>40.4767221177841</v>
      </c>
      <c r="E150" s="48" t="n">
        <f aca="false">'3 Fator demográfico'!K150</f>
        <v>22.2082878163093</v>
      </c>
      <c r="F150" s="49" t="n">
        <f aca="false">'4 Fator socioeconômico'!K150</f>
        <v>26.6003682549451</v>
      </c>
      <c r="G150" s="50" t="n">
        <f aca="false">(2*D150+E150+2*F150)/500</f>
        <v>0.312724937123536</v>
      </c>
      <c r="H150" s="25" t="n">
        <f aca="false">RANK(G150,G$6:G$404,0)</f>
        <v>383</v>
      </c>
      <c r="I150" s="25" t="n">
        <f aca="false">COUNTIFS(C$6:C$404,C150,G$6:G$404,"&gt;"&amp;G150)+1</f>
        <v>198</v>
      </c>
      <c r="J150" s="25" t="n">
        <f aca="false">COUNTIF(C$6:C$404,C150)</f>
        <v>205</v>
      </c>
    </row>
    <row r="151" customFormat="false" ht="15" hidden="false" customHeight="false" outlineLevel="0" collapsed="false">
      <c r="A151" s="25" t="n">
        <v>4110052</v>
      </c>
      <c r="B151" s="26" t="s">
        <v>216</v>
      </c>
      <c r="C151" s="26" t="s">
        <v>71</v>
      </c>
      <c r="D151" s="47" t="n">
        <f aca="false">'2 Fator educacional'!K151</f>
        <v>31.4940478544886</v>
      </c>
      <c r="E151" s="48" t="n">
        <f aca="false">'3 Fator demográfico'!K151</f>
        <v>13.4808607345141</v>
      </c>
      <c r="F151" s="49" t="n">
        <f aca="false">'4 Fator socioeconômico'!K151</f>
        <v>40.2250219501725</v>
      </c>
      <c r="G151" s="50" t="n">
        <f aca="false">(2*D151+E151+2*F151)/500</f>
        <v>0.313838000687673</v>
      </c>
      <c r="H151" s="25" t="n">
        <f aca="false">RANK(G151,G$6:G$404,0)</f>
        <v>382</v>
      </c>
      <c r="I151" s="25" t="n">
        <f aca="false">COUNTIFS(C$6:C$404,C151,G$6:G$404,"&gt;"&amp;G151)+1</f>
        <v>96</v>
      </c>
      <c r="J151" s="25" t="n">
        <f aca="false">COUNTIF(C$6:C$404,C151)</f>
        <v>102</v>
      </c>
    </row>
    <row r="152" customFormat="false" ht="15" hidden="false" customHeight="false" outlineLevel="0" collapsed="false">
      <c r="A152" s="25" t="n">
        <v>4110078</v>
      </c>
      <c r="B152" s="26" t="s">
        <v>217</v>
      </c>
      <c r="C152" s="26" t="s">
        <v>65</v>
      </c>
      <c r="D152" s="47" t="n">
        <f aca="false">'2 Fator educacional'!K152</f>
        <v>88.1821866603701</v>
      </c>
      <c r="E152" s="48" t="n">
        <f aca="false">'3 Fator demográfico'!K152</f>
        <v>51.7081031732502</v>
      </c>
      <c r="F152" s="49" t="n">
        <f aca="false">'4 Fator socioeconômico'!K152</f>
        <v>45.1837102711299</v>
      </c>
      <c r="G152" s="50" t="n">
        <f aca="false">(2*D152+E152+2*F152)/500</f>
        <v>0.6368797940725</v>
      </c>
      <c r="H152" s="25" t="n">
        <f aca="false">RANK(G152,G$6:G$404,0)</f>
        <v>33</v>
      </c>
      <c r="I152" s="25" t="n">
        <f aca="false">COUNTIFS(C$6:C$404,C152,G$6:G$404,"&gt;"&amp;G152)+1</f>
        <v>22</v>
      </c>
      <c r="J152" s="25" t="n">
        <f aca="false">COUNTIF(C$6:C$404,C152)</f>
        <v>205</v>
      </c>
    </row>
    <row r="153" customFormat="false" ht="15" hidden="false" customHeight="false" outlineLevel="0" collapsed="false">
      <c r="A153" s="25" t="n">
        <v>4110102</v>
      </c>
      <c r="B153" s="26" t="s">
        <v>218</v>
      </c>
      <c r="C153" s="26" t="s">
        <v>86</v>
      </c>
      <c r="D153" s="47" t="n">
        <f aca="false">'2 Fator educacional'!K153</f>
        <v>67.8931608503389</v>
      </c>
      <c r="E153" s="48" t="n">
        <f aca="false">'3 Fator demográfico'!K153</f>
        <v>58.5013228283572</v>
      </c>
      <c r="F153" s="49" t="n">
        <f aca="false">'4 Fator socioeconômico'!K153</f>
        <v>36.5257286706479</v>
      </c>
      <c r="G153" s="50" t="n">
        <f aca="false">(2*D153+E153+2*F153)/500</f>
        <v>0.534678203740662</v>
      </c>
      <c r="H153" s="25" t="n">
        <f aca="false">RANK(G153,G$6:G$404,0)</f>
        <v>111</v>
      </c>
      <c r="I153" s="25" t="n">
        <f aca="false">COUNTIFS(C$6:C$404,C153,G$6:G$404,"&gt;"&amp;G153)+1</f>
        <v>13</v>
      </c>
      <c r="J153" s="25" t="n">
        <f aca="false">COUNTIF(C$6:C$404,C153)</f>
        <v>62</v>
      </c>
    </row>
    <row r="154" customFormat="false" ht="15" hidden="false" customHeight="false" outlineLevel="0" collapsed="false">
      <c r="A154" s="25" t="n">
        <v>4110300</v>
      </c>
      <c r="B154" s="26" t="s">
        <v>219</v>
      </c>
      <c r="C154" s="26" t="s">
        <v>71</v>
      </c>
      <c r="D154" s="47" t="n">
        <f aca="false">'2 Fator educacional'!K154</f>
        <v>31.4279729260806</v>
      </c>
      <c r="E154" s="48" t="n">
        <f aca="false">'3 Fator demográfico'!K154</f>
        <v>34.496989383819</v>
      </c>
      <c r="F154" s="49" t="n">
        <f aca="false">'4 Fator socioeconômico'!K154</f>
        <v>57.0424777921638</v>
      </c>
      <c r="G154" s="50" t="n">
        <f aca="false">(2*D154+E154+2*F154)/500</f>
        <v>0.422875781640615</v>
      </c>
      <c r="H154" s="25" t="n">
        <f aca="false">RANK(G154,G$6:G$404,0)</f>
        <v>281</v>
      </c>
      <c r="I154" s="25" t="n">
        <f aca="false">COUNTIFS(C$6:C$404,C154,G$6:G$404,"&gt;"&amp;G154)+1</f>
        <v>64</v>
      </c>
      <c r="J154" s="25" t="n">
        <f aca="false">COUNTIF(C$6:C$404,C154)</f>
        <v>102</v>
      </c>
    </row>
    <row r="155" customFormat="false" ht="15" hidden="false" customHeight="false" outlineLevel="0" collapsed="false">
      <c r="A155" s="25" t="n">
        <v>4110201</v>
      </c>
      <c r="B155" s="26" t="s">
        <v>220</v>
      </c>
      <c r="C155" s="26" t="s">
        <v>65</v>
      </c>
      <c r="D155" s="47" t="n">
        <f aca="false">'2 Fator educacional'!K155</f>
        <v>77.6925210093932</v>
      </c>
      <c r="E155" s="48" t="n">
        <f aca="false">'3 Fator demográfico'!K155</f>
        <v>58.5645964348064</v>
      </c>
      <c r="F155" s="49" t="n">
        <f aca="false">'4 Fator socioeconômico'!K155</f>
        <v>63.6157245972958</v>
      </c>
      <c r="G155" s="50" t="n">
        <f aca="false">(2*D155+E155+2*F155)/500</f>
        <v>0.682362175296368</v>
      </c>
      <c r="H155" s="25" t="n">
        <f aca="false">RANK(G155,G$6:G$404,0)</f>
        <v>17</v>
      </c>
      <c r="I155" s="25" t="n">
        <f aca="false">COUNTIFS(C$6:C$404,C155,G$6:G$404,"&gt;"&amp;G155)+1</f>
        <v>12</v>
      </c>
      <c r="J155" s="25" t="n">
        <f aca="false">COUNTIF(C$6:C$404,C155)</f>
        <v>205</v>
      </c>
    </row>
    <row r="156" customFormat="false" ht="15" hidden="false" customHeight="false" outlineLevel="0" collapsed="false">
      <c r="A156" s="25" t="n">
        <v>4110409</v>
      </c>
      <c r="B156" s="26" t="s">
        <v>221</v>
      </c>
      <c r="C156" s="26" t="s">
        <v>71</v>
      </c>
      <c r="D156" s="47" t="n">
        <f aca="false">'2 Fator educacional'!K156</f>
        <v>28.0666944701986</v>
      </c>
      <c r="E156" s="48" t="n">
        <f aca="false">'3 Fator demográfico'!K156</f>
        <v>25.9379904861333</v>
      </c>
      <c r="F156" s="49" t="n">
        <f aca="false">'4 Fator socioeconômico'!K156</f>
        <v>30.5666924940869</v>
      </c>
      <c r="G156" s="50" t="n">
        <f aca="false">(2*D156+E156+2*F156)/500</f>
        <v>0.286409528829409</v>
      </c>
      <c r="H156" s="25" t="n">
        <f aca="false">RANK(G156,G$6:G$404,0)</f>
        <v>394</v>
      </c>
      <c r="I156" s="25" t="n">
        <f aca="false">COUNTIFS(C$6:C$404,C156,G$6:G$404,"&gt;"&amp;G156)+1</f>
        <v>99</v>
      </c>
      <c r="J156" s="25" t="n">
        <f aca="false">COUNTIF(C$6:C$404,C156)</f>
        <v>102</v>
      </c>
    </row>
    <row r="157" customFormat="false" ht="15" hidden="false" customHeight="false" outlineLevel="0" collapsed="false">
      <c r="A157" s="25" t="n">
        <v>4110508</v>
      </c>
      <c r="B157" s="26" t="s">
        <v>222</v>
      </c>
      <c r="C157" s="26" t="s">
        <v>65</v>
      </c>
      <c r="D157" s="47" t="n">
        <f aca="false">'2 Fator educacional'!K157</f>
        <v>73.4426564125357</v>
      </c>
      <c r="E157" s="48" t="n">
        <f aca="false">'3 Fator demográfico'!K157</f>
        <v>56.0626980471657</v>
      </c>
      <c r="F157" s="49" t="n">
        <f aca="false">'4 Fator socioeconômico'!K157</f>
        <v>40.9948961500462</v>
      </c>
      <c r="G157" s="50" t="n">
        <f aca="false">(2*D157+E157+2*F157)/500</f>
        <v>0.569875606344659</v>
      </c>
      <c r="H157" s="25" t="n">
        <f aca="false">RANK(G157,G$6:G$404,0)</f>
        <v>73</v>
      </c>
      <c r="I157" s="25" t="n">
        <f aca="false">COUNTIFS(C$6:C$404,C157,G$6:G$404,"&gt;"&amp;G157)+1</f>
        <v>48</v>
      </c>
      <c r="J157" s="25" t="n">
        <f aca="false">COUNTIF(C$6:C$404,C157)</f>
        <v>205</v>
      </c>
    </row>
    <row r="158" customFormat="false" ht="15" hidden="false" customHeight="false" outlineLevel="0" collapsed="false">
      <c r="A158" s="25" t="n">
        <v>4110607</v>
      </c>
      <c r="B158" s="26" t="s">
        <v>223</v>
      </c>
      <c r="C158" s="26" t="s">
        <v>65</v>
      </c>
      <c r="D158" s="47" t="n">
        <f aca="false">'2 Fator educacional'!K158</f>
        <v>53.2616732251209</v>
      </c>
      <c r="E158" s="48" t="n">
        <f aca="false">'3 Fator demográfico'!K158</f>
        <v>36.6591578792808</v>
      </c>
      <c r="F158" s="49" t="n">
        <f aca="false">'4 Fator socioeconômico'!K158</f>
        <v>35.5715169172113</v>
      </c>
      <c r="G158" s="50" t="n">
        <f aca="false">(2*D158+E158+2*F158)/500</f>
        <v>0.42865107632789</v>
      </c>
      <c r="H158" s="25" t="n">
        <f aca="false">RANK(G158,G$6:G$404,0)</f>
        <v>270</v>
      </c>
      <c r="I158" s="25" t="n">
        <f aca="false">COUNTIFS(C$6:C$404,C158,G$6:G$404,"&gt;"&amp;G158)+1</f>
        <v>153</v>
      </c>
      <c r="J158" s="25" t="n">
        <f aca="false">COUNTIF(C$6:C$404,C158)</f>
        <v>205</v>
      </c>
    </row>
    <row r="159" customFormat="false" ht="15" hidden="false" customHeight="false" outlineLevel="0" collapsed="false">
      <c r="A159" s="25" t="n">
        <v>4110656</v>
      </c>
      <c r="B159" s="26" t="s">
        <v>224</v>
      </c>
      <c r="C159" s="26" t="s">
        <v>71</v>
      </c>
      <c r="D159" s="47" t="n">
        <f aca="false">'2 Fator educacional'!K159</f>
        <v>52.1547920568798</v>
      </c>
      <c r="E159" s="48" t="n">
        <f aca="false">'3 Fator demográfico'!K159</f>
        <v>26.4898707215554</v>
      </c>
      <c r="F159" s="49" t="n">
        <f aca="false">'4 Fator socioeconômico'!K159</f>
        <v>42.0662461904735</v>
      </c>
      <c r="G159" s="50" t="n">
        <f aca="false">(2*D159+E159+2*F159)/500</f>
        <v>0.429863894432524</v>
      </c>
      <c r="H159" s="25" t="n">
        <f aca="false">RANK(G159,G$6:G$404,0)</f>
        <v>267</v>
      </c>
      <c r="I159" s="25" t="n">
        <f aca="false">COUNTIFS(C$6:C$404,C159,G$6:G$404,"&gt;"&amp;G159)+1</f>
        <v>60</v>
      </c>
      <c r="J159" s="25" t="n">
        <f aca="false">COUNTIF(C$6:C$404,C159)</f>
        <v>102</v>
      </c>
    </row>
    <row r="160" customFormat="false" ht="15" hidden="false" customHeight="false" outlineLevel="0" collapsed="false">
      <c r="A160" s="25" t="n">
        <v>4110706</v>
      </c>
      <c r="B160" s="26" t="s">
        <v>225</v>
      </c>
      <c r="C160" s="26" t="s">
        <v>86</v>
      </c>
      <c r="D160" s="47" t="n">
        <f aca="false">'2 Fator educacional'!K160</f>
        <v>65.3229459410416</v>
      </c>
      <c r="E160" s="48" t="n">
        <f aca="false">'3 Fator demográfico'!K160</f>
        <v>42.0902272811867</v>
      </c>
      <c r="F160" s="49" t="n">
        <f aca="false">'4 Fator socioeconômico'!K160</f>
        <v>40.3664033709563</v>
      </c>
      <c r="G160" s="50" t="n">
        <f aca="false">(2*D160+E160+2*F160)/500</f>
        <v>0.506937851810365</v>
      </c>
      <c r="H160" s="25" t="n">
        <f aca="false">RANK(G160,G$6:G$404,0)</f>
        <v>149</v>
      </c>
      <c r="I160" s="25" t="n">
        <f aca="false">COUNTIFS(C$6:C$404,C160,G$6:G$404,"&gt;"&amp;G160)+1</f>
        <v>17</v>
      </c>
      <c r="J160" s="25" t="n">
        <f aca="false">COUNTIF(C$6:C$404,C160)</f>
        <v>62</v>
      </c>
    </row>
    <row r="161" customFormat="false" ht="15" hidden="false" customHeight="false" outlineLevel="0" collapsed="false">
      <c r="A161" s="25" t="n">
        <v>4110805</v>
      </c>
      <c r="B161" s="26" t="s">
        <v>226</v>
      </c>
      <c r="C161" s="26" t="s">
        <v>65</v>
      </c>
      <c r="D161" s="47" t="n">
        <f aca="false">'2 Fator educacional'!K161</f>
        <v>54.204872177292</v>
      </c>
      <c r="E161" s="48" t="n">
        <f aca="false">'3 Fator demográfico'!K161</f>
        <v>57.574200510339</v>
      </c>
      <c r="F161" s="49" t="n">
        <f aca="false">'4 Fator socioeconômico'!K161</f>
        <v>47.5929381070111</v>
      </c>
      <c r="G161" s="50" t="n">
        <f aca="false">(2*D161+E161+2*F161)/500</f>
        <v>0.52233964215789</v>
      </c>
      <c r="H161" s="25" t="n">
        <f aca="false">RANK(G161,G$6:G$404,0)</f>
        <v>125</v>
      </c>
      <c r="I161" s="25" t="n">
        <f aca="false">COUNTIFS(C$6:C$404,C161,G$6:G$404,"&gt;"&amp;G161)+1</f>
        <v>77</v>
      </c>
      <c r="J161" s="25" t="n">
        <f aca="false">COUNTIF(C$6:C$404,C161)</f>
        <v>205</v>
      </c>
    </row>
    <row r="162" customFormat="false" ht="15" hidden="false" customHeight="false" outlineLevel="0" collapsed="false">
      <c r="A162" s="25" t="n">
        <v>4110904</v>
      </c>
      <c r="B162" s="26" t="s">
        <v>227</v>
      </c>
      <c r="C162" s="26" t="s">
        <v>71</v>
      </c>
      <c r="D162" s="47" t="n">
        <f aca="false">'2 Fator educacional'!K162</f>
        <v>39.6579622359675</v>
      </c>
      <c r="E162" s="48" t="n">
        <f aca="false">'3 Fator demográfico'!K162</f>
        <v>39.5575484009462</v>
      </c>
      <c r="F162" s="49" t="n">
        <f aca="false">'4 Fator socioeconômico'!K162</f>
        <v>42.5432634001284</v>
      </c>
      <c r="G162" s="50" t="n">
        <f aca="false">(2*D162+E162+2*F162)/500</f>
        <v>0.407919999346276</v>
      </c>
      <c r="H162" s="25" t="n">
        <f aca="false">RANK(G162,G$6:G$404,0)</f>
        <v>300</v>
      </c>
      <c r="I162" s="25" t="n">
        <f aca="false">COUNTIFS(C$6:C$404,C162,G$6:G$404,"&gt;"&amp;G162)+1</f>
        <v>71</v>
      </c>
      <c r="J162" s="25" t="n">
        <f aca="false">COUNTIF(C$6:C$404,C162)</f>
        <v>102</v>
      </c>
    </row>
    <row r="163" customFormat="false" ht="15" hidden="false" customHeight="false" outlineLevel="0" collapsed="false">
      <c r="A163" s="25" t="n">
        <v>4110953</v>
      </c>
      <c r="B163" s="26" t="s">
        <v>228</v>
      </c>
      <c r="C163" s="26" t="s">
        <v>65</v>
      </c>
      <c r="D163" s="47" t="n">
        <f aca="false">'2 Fator educacional'!K163</f>
        <v>35.1371146077433</v>
      </c>
      <c r="E163" s="48" t="n">
        <f aca="false">'3 Fator demográfico'!K163</f>
        <v>58.8624336092446</v>
      </c>
      <c r="F163" s="49" t="n">
        <f aca="false">'4 Fator socioeconômico'!K163</f>
        <v>17.1545089181674</v>
      </c>
      <c r="G163" s="50" t="n">
        <f aca="false">(2*D163+E163+2*F163)/500</f>
        <v>0.326891361322132</v>
      </c>
      <c r="H163" s="25" t="n">
        <f aca="false">RANK(G163,G$6:G$404,0)</f>
        <v>374</v>
      </c>
      <c r="I163" s="25" t="n">
        <f aca="false">COUNTIFS(C$6:C$404,C163,G$6:G$404,"&gt;"&amp;G163)+1</f>
        <v>194</v>
      </c>
      <c r="J163" s="25" t="n">
        <f aca="false">COUNTIF(C$6:C$404,C163)</f>
        <v>205</v>
      </c>
    </row>
    <row r="164" customFormat="false" ht="15" hidden="false" customHeight="false" outlineLevel="0" collapsed="false">
      <c r="A164" s="25" t="n">
        <v>4111001</v>
      </c>
      <c r="B164" s="26" t="s">
        <v>229</v>
      </c>
      <c r="C164" s="26" t="s">
        <v>65</v>
      </c>
      <c r="D164" s="47" t="n">
        <f aca="false">'2 Fator educacional'!K164</f>
        <v>55.2447601074189</v>
      </c>
      <c r="E164" s="48" t="n">
        <f aca="false">'3 Fator demográfico'!K164</f>
        <v>21.6091467390749</v>
      </c>
      <c r="F164" s="49" t="n">
        <f aca="false">'4 Fator socioeconômico'!K164</f>
        <v>54.4799957758494</v>
      </c>
      <c r="G164" s="50" t="n">
        <f aca="false">(2*D164+E164+2*F164)/500</f>
        <v>0.482117317011223</v>
      </c>
      <c r="H164" s="25" t="n">
        <f aca="false">RANK(G164,G$6:G$404,0)</f>
        <v>191</v>
      </c>
      <c r="I164" s="25" t="n">
        <f aca="false">COUNTIFS(C$6:C$404,C164,G$6:G$404,"&gt;"&amp;G164)+1</f>
        <v>113</v>
      </c>
      <c r="J164" s="25" t="n">
        <f aca="false">COUNTIF(C$6:C$404,C164)</f>
        <v>205</v>
      </c>
    </row>
    <row r="165" customFormat="false" ht="15" hidden="false" customHeight="false" outlineLevel="0" collapsed="false">
      <c r="A165" s="25" t="n">
        <v>4111100</v>
      </c>
      <c r="B165" s="26" t="s">
        <v>230</v>
      </c>
      <c r="C165" s="26" t="s">
        <v>65</v>
      </c>
      <c r="D165" s="47" t="n">
        <f aca="false">'2 Fator educacional'!K165</f>
        <v>37.6894682537579</v>
      </c>
      <c r="E165" s="48" t="n">
        <f aca="false">'3 Fator demográfico'!K165</f>
        <v>34.1864492296511</v>
      </c>
      <c r="F165" s="49" t="n">
        <f aca="false">'4 Fator socioeconômico'!K165</f>
        <v>27.0523226942081</v>
      </c>
      <c r="G165" s="50" t="n">
        <f aca="false">(2*D165+E165+2*F165)/500</f>
        <v>0.327340062251167</v>
      </c>
      <c r="H165" s="25" t="n">
        <f aca="false">RANK(G165,G$6:G$404,0)</f>
        <v>372</v>
      </c>
      <c r="I165" s="25" t="n">
        <f aca="false">COUNTIFS(C$6:C$404,C165,G$6:G$404,"&gt;"&amp;G165)+1</f>
        <v>193</v>
      </c>
      <c r="J165" s="25" t="n">
        <f aca="false">COUNTIF(C$6:C$404,C165)</f>
        <v>205</v>
      </c>
    </row>
    <row r="166" customFormat="false" ht="15" hidden="false" customHeight="false" outlineLevel="0" collapsed="false">
      <c r="A166" s="25" t="n">
        <v>4111209</v>
      </c>
      <c r="B166" s="26" t="s">
        <v>231</v>
      </c>
      <c r="C166" s="26" t="s">
        <v>65</v>
      </c>
      <c r="D166" s="47" t="n">
        <f aca="false">'2 Fator educacional'!K166</f>
        <v>54.0401045058083</v>
      </c>
      <c r="E166" s="48" t="n">
        <f aca="false">'3 Fator demográfico'!K166</f>
        <v>52.8386215285509</v>
      </c>
      <c r="F166" s="49" t="n">
        <f aca="false">'4 Fator socioeconômico'!K166</f>
        <v>34.4542485316627</v>
      </c>
      <c r="G166" s="50" t="n">
        <f aca="false">(2*D166+E166+2*F166)/500</f>
        <v>0.459654655206985</v>
      </c>
      <c r="H166" s="25" t="n">
        <f aca="false">RANK(G166,G$6:G$404,0)</f>
        <v>225</v>
      </c>
      <c r="I166" s="25" t="n">
        <f aca="false">COUNTIFS(C$6:C$404,C166,G$6:G$404,"&gt;"&amp;G166)+1</f>
        <v>134</v>
      </c>
      <c r="J166" s="25" t="n">
        <f aca="false">COUNTIF(C$6:C$404,C166)</f>
        <v>205</v>
      </c>
    </row>
    <row r="167" customFormat="false" ht="15" hidden="false" customHeight="false" outlineLevel="0" collapsed="false">
      <c r="A167" s="25" t="n">
        <v>4111258</v>
      </c>
      <c r="B167" s="26" t="s">
        <v>232</v>
      </c>
      <c r="C167" s="26" t="s">
        <v>86</v>
      </c>
      <c r="D167" s="47" t="n">
        <f aca="false">'2 Fator educacional'!K167</f>
        <v>70.0466515630357</v>
      </c>
      <c r="E167" s="48" t="n">
        <f aca="false">'3 Fator demográfico'!K167</f>
        <v>58.9654525490333</v>
      </c>
      <c r="F167" s="49" t="n">
        <f aca="false">'4 Fator socioeconômico'!K167</f>
        <v>62.7748341015608</v>
      </c>
      <c r="G167" s="50" t="n">
        <f aca="false">(2*D167+E167+2*F167)/500</f>
        <v>0.649216847756453</v>
      </c>
      <c r="H167" s="25" t="n">
        <f aca="false">RANK(G167,G$6:G$404,0)</f>
        <v>29</v>
      </c>
      <c r="I167" s="25" t="n">
        <f aca="false">COUNTIFS(C$6:C$404,C167,G$6:G$404,"&gt;"&amp;G167)+1</f>
        <v>2</v>
      </c>
      <c r="J167" s="25" t="n">
        <f aca="false">COUNTIF(C$6:C$404,C167)</f>
        <v>62</v>
      </c>
    </row>
    <row r="168" customFormat="false" ht="15" hidden="false" customHeight="false" outlineLevel="0" collapsed="false">
      <c r="A168" s="25" t="n">
        <v>4111308</v>
      </c>
      <c r="B168" s="26" t="s">
        <v>233</v>
      </c>
      <c r="C168" s="26" t="s">
        <v>71</v>
      </c>
      <c r="D168" s="47" t="n">
        <f aca="false">'2 Fator educacional'!K168</f>
        <v>60.5985770230074</v>
      </c>
      <c r="E168" s="48" t="n">
        <f aca="false">'3 Fator demográfico'!K168</f>
        <v>56.9208289783419</v>
      </c>
      <c r="F168" s="49" t="n">
        <f aca="false">'4 Fator socioeconômico'!K168</f>
        <v>55.8824438142734</v>
      </c>
      <c r="G168" s="50" t="n">
        <f aca="false">(2*D168+E168+2*F168)/500</f>
        <v>0.579765741305807</v>
      </c>
      <c r="H168" s="25" t="n">
        <f aca="false">RANK(G168,G$6:G$404,0)</f>
        <v>60</v>
      </c>
      <c r="I168" s="25" t="n">
        <f aca="false">COUNTIFS(C$6:C$404,C168,G$6:G$404,"&gt;"&amp;G168)+1</f>
        <v>12</v>
      </c>
      <c r="J168" s="25" t="n">
        <f aca="false">COUNTIF(C$6:C$404,C168)</f>
        <v>102</v>
      </c>
    </row>
    <row r="169" customFormat="false" ht="15" hidden="false" customHeight="false" outlineLevel="0" collapsed="false">
      <c r="A169" s="25" t="n">
        <v>4111506</v>
      </c>
      <c r="B169" s="26" t="s">
        <v>234</v>
      </c>
      <c r="C169" s="26" t="s">
        <v>86</v>
      </c>
      <c r="D169" s="47" t="n">
        <f aca="false">'2 Fator educacional'!K169</f>
        <v>47.2905082410169</v>
      </c>
      <c r="E169" s="48" t="n">
        <f aca="false">'3 Fator demográfico'!K169</f>
        <v>53.691377884129</v>
      </c>
      <c r="F169" s="49" t="n">
        <f aca="false">'4 Fator socioeconômico'!K169</f>
        <v>31.6130772621149</v>
      </c>
      <c r="G169" s="50" t="n">
        <f aca="false">(2*D169+E169+2*F169)/500</f>
        <v>0.422997097780785</v>
      </c>
      <c r="H169" s="25" t="n">
        <f aca="false">RANK(G169,G$6:G$404,0)</f>
        <v>280</v>
      </c>
      <c r="I169" s="25" t="n">
        <f aca="false">COUNTIFS(C$6:C$404,C169,G$6:G$404,"&gt;"&amp;G169)+1</f>
        <v>41</v>
      </c>
      <c r="J169" s="25" t="n">
        <f aca="false">COUNTIF(C$6:C$404,C169)</f>
        <v>62</v>
      </c>
    </row>
    <row r="170" customFormat="false" ht="15" hidden="false" customHeight="false" outlineLevel="0" collapsed="false">
      <c r="A170" s="25" t="n">
        <v>4111407</v>
      </c>
      <c r="B170" s="26" t="s">
        <v>235</v>
      </c>
      <c r="C170" s="26" t="s">
        <v>65</v>
      </c>
      <c r="D170" s="47" t="n">
        <f aca="false">'2 Fator educacional'!K170</f>
        <v>70.7160860751243</v>
      </c>
      <c r="E170" s="48" t="n">
        <f aca="false">'3 Fator demográfico'!K170</f>
        <v>62.1645626336369</v>
      </c>
      <c r="F170" s="49" t="n">
        <f aca="false">'4 Fator socioeconômico'!K170</f>
        <v>56.3776271113103</v>
      </c>
      <c r="G170" s="50" t="n">
        <f aca="false">(2*D170+E170+2*F170)/500</f>
        <v>0.632703978013012</v>
      </c>
      <c r="H170" s="25" t="n">
        <f aca="false">RANK(G170,G$6:G$404,0)</f>
        <v>35</v>
      </c>
      <c r="I170" s="25" t="n">
        <f aca="false">COUNTIFS(C$6:C$404,C170,G$6:G$404,"&gt;"&amp;G170)+1</f>
        <v>24</v>
      </c>
      <c r="J170" s="25" t="n">
        <f aca="false">COUNTIF(C$6:C$404,C170)</f>
        <v>205</v>
      </c>
    </row>
    <row r="171" customFormat="false" ht="15" hidden="false" customHeight="false" outlineLevel="0" collapsed="false">
      <c r="A171" s="25" t="n">
        <v>4111555</v>
      </c>
      <c r="B171" s="26" t="s">
        <v>236</v>
      </c>
      <c r="C171" s="26" t="s">
        <v>65</v>
      </c>
      <c r="D171" s="47" t="n">
        <f aca="false">'2 Fator educacional'!K171</f>
        <v>47.8833129563071</v>
      </c>
      <c r="E171" s="48" t="n">
        <f aca="false">'3 Fator demográfico'!K171</f>
        <v>53.4641992562035</v>
      </c>
      <c r="F171" s="49" t="n">
        <f aca="false">'4 Fator socioeconômico'!K171</f>
        <v>41.1877294360423</v>
      </c>
      <c r="G171" s="50" t="n">
        <f aca="false">(2*D171+E171+2*F171)/500</f>
        <v>0.463212568081805</v>
      </c>
      <c r="H171" s="25" t="n">
        <f aca="false">RANK(G171,G$6:G$404,0)</f>
        <v>220</v>
      </c>
      <c r="I171" s="25" t="n">
        <f aca="false">COUNTIFS(C$6:C$404,C171,G$6:G$404,"&gt;"&amp;G171)+1</f>
        <v>129</v>
      </c>
      <c r="J171" s="25" t="n">
        <f aca="false">COUNTIF(C$6:C$404,C171)</f>
        <v>205</v>
      </c>
    </row>
    <row r="172" customFormat="false" ht="15" hidden="false" customHeight="false" outlineLevel="0" collapsed="false">
      <c r="A172" s="25" t="n">
        <v>4111605</v>
      </c>
      <c r="B172" s="26" t="s">
        <v>237</v>
      </c>
      <c r="C172" s="26" t="s">
        <v>71</v>
      </c>
      <c r="D172" s="47" t="n">
        <f aca="false">'2 Fator educacional'!K172</f>
        <v>0</v>
      </c>
      <c r="E172" s="48" t="n">
        <f aca="false">'3 Fator demográfico'!K172</f>
        <v>56.0743302906314</v>
      </c>
      <c r="F172" s="49" t="n">
        <f aca="false">'4 Fator socioeconômico'!K172</f>
        <v>32.0718682191329</v>
      </c>
      <c r="G172" s="50" t="n">
        <f aca="false">(2*D172+E172+2*F172)/500</f>
        <v>0.240436133457795</v>
      </c>
      <c r="H172" s="25" t="n">
        <f aca="false">RANK(G172,G$6:G$404,0)</f>
        <v>399</v>
      </c>
      <c r="I172" s="25" t="n">
        <f aca="false">COUNTIFS(C$6:C$404,C172,G$6:G$404,"&gt;"&amp;G172)+1</f>
        <v>102</v>
      </c>
      <c r="J172" s="25" t="n">
        <f aca="false">COUNTIF(C$6:C$404,C172)</f>
        <v>102</v>
      </c>
    </row>
    <row r="173" customFormat="false" ht="15" hidden="false" customHeight="false" outlineLevel="0" collapsed="false">
      <c r="A173" s="25" t="n">
        <v>4111704</v>
      </c>
      <c r="B173" s="26" t="s">
        <v>238</v>
      </c>
      <c r="C173" s="26" t="s">
        <v>65</v>
      </c>
      <c r="D173" s="47" t="n">
        <f aca="false">'2 Fator educacional'!K173</f>
        <v>51.1943727951658</v>
      </c>
      <c r="E173" s="48" t="n">
        <f aca="false">'3 Fator demográfico'!K173</f>
        <v>41.0035021638919</v>
      </c>
      <c r="F173" s="49" t="n">
        <f aca="false">'4 Fator socioeconômico'!K173</f>
        <v>51.9018079189011</v>
      </c>
      <c r="G173" s="50" t="n">
        <f aca="false">(2*D173+E173+2*F173)/500</f>
        <v>0.494391727184051</v>
      </c>
      <c r="H173" s="25" t="n">
        <f aca="false">RANK(G173,G$6:G$404,0)</f>
        <v>168</v>
      </c>
      <c r="I173" s="25" t="n">
        <f aca="false">COUNTIFS(C$6:C$404,C173,G$6:G$404,"&gt;"&amp;G173)+1</f>
        <v>101</v>
      </c>
      <c r="J173" s="25" t="n">
        <f aca="false">COUNTIF(C$6:C$404,C173)</f>
        <v>205</v>
      </c>
    </row>
    <row r="174" customFormat="false" ht="15" hidden="false" customHeight="false" outlineLevel="0" collapsed="false">
      <c r="A174" s="25" t="n">
        <v>4111803</v>
      </c>
      <c r="B174" s="26" t="s">
        <v>239</v>
      </c>
      <c r="C174" s="26" t="s">
        <v>86</v>
      </c>
      <c r="D174" s="47" t="n">
        <f aca="false">'2 Fator educacional'!K174</f>
        <v>45.9814534913427</v>
      </c>
      <c r="E174" s="48" t="n">
        <f aca="false">'3 Fator demográfico'!K174</f>
        <v>42.9487621477377</v>
      </c>
      <c r="F174" s="49" t="n">
        <f aca="false">'4 Fator socioeconômico'!K174</f>
        <v>36.8094991994562</v>
      </c>
      <c r="G174" s="50" t="n">
        <f aca="false">(2*D174+E174+2*F174)/500</f>
        <v>0.417061335058671</v>
      </c>
      <c r="H174" s="25" t="n">
        <f aca="false">RANK(G174,G$6:G$404,0)</f>
        <v>286</v>
      </c>
      <c r="I174" s="25" t="n">
        <f aca="false">COUNTIFS(C$6:C$404,C174,G$6:G$404,"&gt;"&amp;G174)+1</f>
        <v>43</v>
      </c>
      <c r="J174" s="25" t="n">
        <f aca="false">COUNTIF(C$6:C$404,C174)</f>
        <v>62</v>
      </c>
    </row>
    <row r="175" customFormat="false" ht="15" hidden="false" customHeight="false" outlineLevel="0" collapsed="false">
      <c r="A175" s="25" t="n">
        <v>4111902</v>
      </c>
      <c r="B175" s="26" t="s">
        <v>240</v>
      </c>
      <c r="C175" s="26" t="s">
        <v>65</v>
      </c>
      <c r="D175" s="47" t="n">
        <f aca="false">'2 Fator educacional'!K175</f>
        <v>55.0846595561</v>
      </c>
      <c r="E175" s="48" t="n">
        <f aca="false">'3 Fator demográfico'!K175</f>
        <v>55.0677620523561</v>
      </c>
      <c r="F175" s="49" t="n">
        <f aca="false">'4 Fator socioeconômico'!K175</f>
        <v>14.7271949975085</v>
      </c>
      <c r="G175" s="50" t="n">
        <f aca="false">(2*D175+E175+2*F175)/500</f>
        <v>0.389382942319146</v>
      </c>
      <c r="H175" s="25" t="n">
        <f aca="false">RANK(G175,G$6:G$404,0)</f>
        <v>324</v>
      </c>
      <c r="I175" s="25" t="n">
        <f aca="false">COUNTIFS(C$6:C$404,C175,G$6:G$404,"&gt;"&amp;G175)+1</f>
        <v>176</v>
      </c>
      <c r="J175" s="25" t="n">
        <f aca="false">COUNTIF(C$6:C$404,C175)</f>
        <v>205</v>
      </c>
    </row>
    <row r="176" customFormat="false" ht="15" hidden="false" customHeight="false" outlineLevel="0" collapsed="false">
      <c r="A176" s="25" t="n">
        <v>4112009</v>
      </c>
      <c r="B176" s="26" t="s">
        <v>241</v>
      </c>
      <c r="C176" s="26" t="s">
        <v>86</v>
      </c>
      <c r="D176" s="47" t="n">
        <f aca="false">'2 Fator educacional'!K176</f>
        <v>75.6958660072936</v>
      </c>
      <c r="E176" s="48" t="n">
        <f aca="false">'3 Fator demográfico'!K176</f>
        <v>51.5029028832921</v>
      </c>
      <c r="F176" s="49" t="n">
        <f aca="false">'4 Fator socioeconômico'!K176</f>
        <v>31.4435092535381</v>
      </c>
      <c r="G176" s="50" t="n">
        <f aca="false">(2*D176+E176+2*F176)/500</f>
        <v>0.531563306809911</v>
      </c>
      <c r="H176" s="25" t="n">
        <f aca="false">RANK(G176,G$6:G$404,0)</f>
        <v>113</v>
      </c>
      <c r="I176" s="25" t="n">
        <f aca="false">COUNTIFS(C$6:C$404,C176,G$6:G$404,"&gt;"&amp;G176)+1</f>
        <v>15</v>
      </c>
      <c r="J176" s="25" t="n">
        <f aca="false">COUNTIF(C$6:C$404,C176)</f>
        <v>62</v>
      </c>
    </row>
    <row r="177" customFormat="false" ht="15" hidden="false" customHeight="false" outlineLevel="0" collapsed="false">
      <c r="A177" s="25" t="n">
        <v>4112108</v>
      </c>
      <c r="B177" s="26" t="s">
        <v>242</v>
      </c>
      <c r="C177" s="26" t="s">
        <v>86</v>
      </c>
      <c r="D177" s="47" t="n">
        <f aca="false">'2 Fator educacional'!K177</f>
        <v>42.6481464700689</v>
      </c>
      <c r="E177" s="48" t="n">
        <f aca="false">'3 Fator demográfico'!K177</f>
        <v>35.0449157732453</v>
      </c>
      <c r="F177" s="49" t="n">
        <f aca="false">'4 Fator socioeconômico'!K177</f>
        <v>33.4010196153305</v>
      </c>
      <c r="G177" s="50" t="n">
        <f aca="false">(2*D177+E177+2*F177)/500</f>
        <v>0.374286495888088</v>
      </c>
      <c r="H177" s="25" t="n">
        <f aca="false">RANK(G177,G$6:G$404,0)</f>
        <v>337</v>
      </c>
      <c r="I177" s="25" t="n">
        <f aca="false">COUNTIFS(C$6:C$404,C177,G$6:G$404,"&gt;"&amp;G177)+1</f>
        <v>53</v>
      </c>
      <c r="J177" s="25" t="n">
        <f aca="false">COUNTIF(C$6:C$404,C177)</f>
        <v>62</v>
      </c>
    </row>
    <row r="178" customFormat="false" ht="15" hidden="false" customHeight="false" outlineLevel="0" collapsed="false">
      <c r="A178" s="25" t="n">
        <v>4112207</v>
      </c>
      <c r="B178" s="26" t="s">
        <v>243</v>
      </c>
      <c r="C178" s="26" t="s">
        <v>65</v>
      </c>
      <c r="D178" s="47" t="n">
        <f aca="false">'2 Fator educacional'!K178</f>
        <v>57.9083730377015</v>
      </c>
      <c r="E178" s="48" t="n">
        <f aca="false">'3 Fator demográfico'!K178</f>
        <v>24.0910475326216</v>
      </c>
      <c r="F178" s="49" t="n">
        <f aca="false">'4 Fator socioeconômico'!K178</f>
        <v>42.8877329863535</v>
      </c>
      <c r="G178" s="50" t="n">
        <f aca="false">(2*D178+E178+2*F178)/500</f>
        <v>0.451366519161463</v>
      </c>
      <c r="H178" s="25" t="n">
        <f aca="false">RANK(G178,G$6:G$404,0)</f>
        <v>236</v>
      </c>
      <c r="I178" s="25" t="n">
        <f aca="false">COUNTIFS(C$6:C$404,C178,G$6:G$404,"&gt;"&amp;G178)+1</f>
        <v>141</v>
      </c>
      <c r="J178" s="25" t="n">
        <f aca="false">COUNTIF(C$6:C$404,C178)</f>
        <v>205</v>
      </c>
    </row>
    <row r="179" customFormat="false" ht="15" hidden="false" customHeight="false" outlineLevel="0" collapsed="false">
      <c r="A179" s="25" t="n">
        <v>4112306</v>
      </c>
      <c r="B179" s="26" t="s">
        <v>244</v>
      </c>
      <c r="C179" s="26" t="s">
        <v>71</v>
      </c>
      <c r="D179" s="47" t="n">
        <f aca="false">'2 Fator educacional'!K179</f>
        <v>76.827705354019</v>
      </c>
      <c r="E179" s="48" t="n">
        <f aca="false">'3 Fator demográfico'!K179</f>
        <v>66.6208187725464</v>
      </c>
      <c r="F179" s="49" t="n">
        <f aca="false">'4 Fator socioeconômico'!K179</f>
        <v>53.6268612958144</v>
      </c>
      <c r="G179" s="50" t="n">
        <f aca="false">(2*D179+E179+2*F179)/500</f>
        <v>0.655059904144426</v>
      </c>
      <c r="H179" s="25" t="n">
        <f aca="false">RANK(G179,G$6:G$404,0)</f>
        <v>27</v>
      </c>
      <c r="I179" s="25" t="n">
        <f aca="false">COUNTIFS(C$6:C$404,C179,G$6:G$404,"&gt;"&amp;G179)+1</f>
        <v>8</v>
      </c>
      <c r="J179" s="25" t="n">
        <f aca="false">COUNTIF(C$6:C$404,C179)</f>
        <v>102</v>
      </c>
    </row>
    <row r="180" customFormat="false" ht="15" hidden="false" customHeight="false" outlineLevel="0" collapsed="false">
      <c r="A180" s="25" t="n">
        <v>4112405</v>
      </c>
      <c r="B180" s="26" t="s">
        <v>245</v>
      </c>
      <c r="C180" s="26" t="s">
        <v>65</v>
      </c>
      <c r="D180" s="47" t="n">
        <f aca="false">'2 Fator educacional'!K180</f>
        <v>55.4942619243561</v>
      </c>
      <c r="E180" s="48" t="n">
        <f aca="false">'3 Fator demográfico'!K180</f>
        <v>40.9080586178776</v>
      </c>
      <c r="F180" s="49" t="n">
        <f aca="false">'4 Fator socioeconômico'!K180</f>
        <v>39.3190954051452</v>
      </c>
      <c r="G180" s="50" t="n">
        <f aca="false">(2*D180+E180+2*F180)/500</f>
        <v>0.46106954655376</v>
      </c>
      <c r="H180" s="25" t="n">
        <f aca="false">RANK(G180,G$6:G$404,0)</f>
        <v>224</v>
      </c>
      <c r="I180" s="25" t="n">
        <f aca="false">COUNTIFS(C$6:C$404,C180,G$6:G$404,"&gt;"&amp;G180)+1</f>
        <v>133</v>
      </c>
      <c r="J180" s="25" t="n">
        <f aca="false">COUNTIF(C$6:C$404,C180)</f>
        <v>205</v>
      </c>
    </row>
    <row r="181" customFormat="false" ht="15" hidden="false" customHeight="false" outlineLevel="0" collapsed="false">
      <c r="A181" s="25" t="n">
        <v>4112504</v>
      </c>
      <c r="B181" s="26" t="s">
        <v>246</v>
      </c>
      <c r="C181" s="26" t="s">
        <v>65</v>
      </c>
      <c r="D181" s="47" t="n">
        <f aca="false">'2 Fator educacional'!K181</f>
        <v>58.5249079464293</v>
      </c>
      <c r="E181" s="48" t="n">
        <f aca="false">'3 Fator demográfico'!K181</f>
        <v>37.9871224921186</v>
      </c>
      <c r="F181" s="49" t="n">
        <f aca="false">'4 Fator socioeconômico'!K181</f>
        <v>49.2358154800945</v>
      </c>
      <c r="G181" s="50" t="n">
        <f aca="false">(2*D181+E181+2*F181)/500</f>
        <v>0.507017138690333</v>
      </c>
      <c r="H181" s="25" t="n">
        <f aca="false">RANK(G181,G$6:G$404,0)</f>
        <v>148</v>
      </c>
      <c r="I181" s="25" t="n">
        <f aca="false">COUNTIFS(C$6:C$404,C181,G$6:G$404,"&gt;"&amp;G181)+1</f>
        <v>92</v>
      </c>
      <c r="J181" s="25" t="n">
        <f aca="false">COUNTIF(C$6:C$404,C181)</f>
        <v>205</v>
      </c>
    </row>
    <row r="182" customFormat="false" ht="15" hidden="false" customHeight="false" outlineLevel="0" collapsed="false">
      <c r="A182" s="25" t="n">
        <v>4112603</v>
      </c>
      <c r="B182" s="26" t="s">
        <v>247</v>
      </c>
      <c r="C182" s="26" t="s">
        <v>71</v>
      </c>
      <c r="D182" s="47" t="n">
        <f aca="false">'2 Fator educacional'!K182</f>
        <v>42.5406205223592</v>
      </c>
      <c r="E182" s="48" t="n">
        <f aca="false">'3 Fator demográfico'!K182</f>
        <v>37.6939471286024</v>
      </c>
      <c r="F182" s="49" t="n">
        <f aca="false">'4 Fator socioeconômico'!K182</f>
        <v>44.0322869153069</v>
      </c>
      <c r="G182" s="50" t="n">
        <f aca="false">(2*D182+E182+2*F182)/500</f>
        <v>0.421679524007869</v>
      </c>
      <c r="H182" s="25" t="n">
        <f aca="false">RANK(G182,G$6:G$404,0)</f>
        <v>282</v>
      </c>
      <c r="I182" s="25" t="n">
        <f aca="false">COUNTIFS(C$6:C$404,C182,G$6:G$404,"&gt;"&amp;G182)+1</f>
        <v>65</v>
      </c>
      <c r="J182" s="25" t="n">
        <f aca="false">COUNTIF(C$6:C$404,C182)</f>
        <v>102</v>
      </c>
    </row>
    <row r="183" customFormat="false" ht="15" hidden="false" customHeight="false" outlineLevel="0" collapsed="false">
      <c r="A183" s="25" t="n">
        <v>4112702</v>
      </c>
      <c r="B183" s="26" t="s">
        <v>248</v>
      </c>
      <c r="C183" s="26" t="s">
        <v>65</v>
      </c>
      <c r="D183" s="47" t="n">
        <f aca="false">'2 Fator educacional'!K183</f>
        <v>56.2436684087671</v>
      </c>
      <c r="E183" s="48" t="n">
        <f aca="false">'3 Fator demográfico'!K183</f>
        <v>58.4553404594102</v>
      </c>
      <c r="F183" s="49" t="n">
        <f aca="false">'4 Fator socioeconômico'!K183</f>
        <v>46.9191971636743</v>
      </c>
      <c r="G183" s="50" t="n">
        <f aca="false">(2*D183+E183+2*F183)/500</f>
        <v>0.529562143208586</v>
      </c>
      <c r="H183" s="25" t="n">
        <f aca="false">RANK(G183,G$6:G$404,0)</f>
        <v>116</v>
      </c>
      <c r="I183" s="25" t="n">
        <f aca="false">COUNTIFS(C$6:C$404,C183,G$6:G$404,"&gt;"&amp;G183)+1</f>
        <v>70</v>
      </c>
      <c r="J183" s="25" t="n">
        <f aca="false">COUNTIF(C$6:C$404,C183)</f>
        <v>205</v>
      </c>
    </row>
    <row r="184" customFormat="false" ht="15" hidden="false" customHeight="false" outlineLevel="0" collapsed="false">
      <c r="A184" s="25" t="n">
        <v>4112751</v>
      </c>
      <c r="B184" s="26" t="s">
        <v>249</v>
      </c>
      <c r="C184" s="26" t="s">
        <v>65</v>
      </c>
      <c r="D184" s="47" t="n">
        <f aca="false">'2 Fator educacional'!K184</f>
        <v>52.5302695756474</v>
      </c>
      <c r="E184" s="48" t="n">
        <f aca="false">'3 Fator demográfico'!K184</f>
        <v>34.3470970222145</v>
      </c>
      <c r="F184" s="49" t="n">
        <f aca="false">'4 Fator socioeconômico'!K184</f>
        <v>44.684341898726</v>
      </c>
      <c r="G184" s="50" t="n">
        <f aca="false">(2*D184+E184+2*F184)/500</f>
        <v>0.457552639941923</v>
      </c>
      <c r="H184" s="25" t="n">
        <f aca="false">RANK(G184,G$6:G$404,0)</f>
        <v>230</v>
      </c>
      <c r="I184" s="25" t="n">
        <f aca="false">COUNTIFS(C$6:C$404,C184,G$6:G$404,"&gt;"&amp;G184)+1</f>
        <v>139</v>
      </c>
      <c r="J184" s="25" t="n">
        <f aca="false">COUNTIF(C$6:C$404,C184)</f>
        <v>205</v>
      </c>
    </row>
    <row r="185" customFormat="false" ht="15" hidden="false" customHeight="false" outlineLevel="0" collapsed="false">
      <c r="A185" s="25" t="n">
        <v>4112801</v>
      </c>
      <c r="B185" s="26" t="s">
        <v>250</v>
      </c>
      <c r="C185" s="26" t="s">
        <v>65</v>
      </c>
      <c r="D185" s="47" t="n">
        <f aca="false">'2 Fator educacional'!K185</f>
        <v>40.4742996053199</v>
      </c>
      <c r="E185" s="48" t="n">
        <f aca="false">'3 Fator demográfico'!K185</f>
        <v>64.1445092672799</v>
      </c>
      <c r="F185" s="49" t="n">
        <f aca="false">'4 Fator socioeconômico'!K185</f>
        <v>20.6347581494142</v>
      </c>
      <c r="G185" s="50" t="n">
        <f aca="false">(2*D185+E185+2*F185)/500</f>
        <v>0.372725249553496</v>
      </c>
      <c r="H185" s="25" t="n">
        <f aca="false">RANK(G185,G$6:G$404,0)</f>
        <v>341</v>
      </c>
      <c r="I185" s="25" t="n">
        <f aca="false">COUNTIFS(C$6:C$404,C185,G$6:G$404,"&gt;"&amp;G185)+1</f>
        <v>183</v>
      </c>
      <c r="J185" s="25" t="n">
        <f aca="false">COUNTIF(C$6:C$404,C185)</f>
        <v>205</v>
      </c>
    </row>
    <row r="186" customFormat="false" ht="15" hidden="false" customHeight="false" outlineLevel="0" collapsed="false">
      <c r="A186" s="25" t="n">
        <v>4112900</v>
      </c>
      <c r="B186" s="26" t="s">
        <v>251</v>
      </c>
      <c r="C186" s="26" t="s">
        <v>71</v>
      </c>
      <c r="D186" s="47" t="n">
        <f aca="false">'2 Fator educacional'!K186</f>
        <v>52.4584380122543</v>
      </c>
      <c r="E186" s="48" t="n">
        <f aca="false">'3 Fator demográfico'!K186</f>
        <v>51.0477347342023</v>
      </c>
      <c r="F186" s="49" t="n">
        <f aca="false">'4 Fator socioeconômico'!K186</f>
        <v>63.445499584793</v>
      </c>
      <c r="G186" s="50" t="n">
        <f aca="false">(2*D186+E186+2*F186)/500</f>
        <v>0.565711219856594</v>
      </c>
      <c r="H186" s="25" t="n">
        <f aca="false">RANK(G186,G$6:G$404,0)</f>
        <v>80</v>
      </c>
      <c r="I186" s="25" t="n">
        <f aca="false">COUNTIFS(C$6:C$404,C186,G$6:G$404,"&gt;"&amp;G186)+1</f>
        <v>19</v>
      </c>
      <c r="J186" s="25" t="n">
        <f aca="false">COUNTIF(C$6:C$404,C186)</f>
        <v>102</v>
      </c>
    </row>
    <row r="187" customFormat="false" ht="15" hidden="false" customHeight="false" outlineLevel="0" collapsed="false">
      <c r="A187" s="25" t="n">
        <v>4112959</v>
      </c>
      <c r="B187" s="26" t="s">
        <v>252</v>
      </c>
      <c r="C187" s="26" t="s">
        <v>65</v>
      </c>
      <c r="D187" s="47" t="n">
        <f aca="false">'2 Fator educacional'!K187</f>
        <v>63.7645343604029</v>
      </c>
      <c r="E187" s="48" t="n">
        <f aca="false">'3 Fator demográfico'!K187</f>
        <v>28.5838212624437</v>
      </c>
      <c r="F187" s="49" t="n">
        <f aca="false">'4 Fator socioeconômico'!K187</f>
        <v>46.0904243211286</v>
      </c>
      <c r="G187" s="50" t="n">
        <f aca="false">(2*D187+E187+2*F187)/500</f>
        <v>0.496587477251013</v>
      </c>
      <c r="H187" s="25" t="n">
        <f aca="false">RANK(G187,G$6:G$404,0)</f>
        <v>164</v>
      </c>
      <c r="I187" s="25" t="n">
        <f aca="false">COUNTIFS(C$6:C$404,C187,G$6:G$404,"&gt;"&amp;G187)+1</f>
        <v>98</v>
      </c>
      <c r="J187" s="25" t="n">
        <f aca="false">COUNTIF(C$6:C$404,C187)</f>
        <v>205</v>
      </c>
    </row>
    <row r="188" customFormat="false" ht="15" hidden="false" customHeight="false" outlineLevel="0" collapsed="false">
      <c r="A188" s="25" t="n">
        <v>4113007</v>
      </c>
      <c r="B188" s="26" t="s">
        <v>253</v>
      </c>
      <c r="C188" s="26" t="s">
        <v>65</v>
      </c>
      <c r="D188" s="47" t="n">
        <f aca="false">'2 Fator educacional'!K188</f>
        <v>42.2825435686881</v>
      </c>
      <c r="E188" s="48" t="n">
        <f aca="false">'3 Fator demográfico'!K188</f>
        <v>25.3004082491324</v>
      </c>
      <c r="F188" s="49" t="n">
        <f aca="false">'4 Fator socioeconômico'!K188</f>
        <v>19.9668998849264</v>
      </c>
      <c r="G188" s="50" t="n">
        <f aca="false">(2*D188+E188+2*F188)/500</f>
        <v>0.299598590312723</v>
      </c>
      <c r="H188" s="25" t="n">
        <f aca="false">RANK(G188,G$6:G$404,0)</f>
        <v>390</v>
      </c>
      <c r="I188" s="25" t="n">
        <f aca="false">COUNTIFS(C$6:C$404,C188,G$6:G$404,"&gt;"&amp;G188)+1</f>
        <v>203</v>
      </c>
      <c r="J188" s="25" t="n">
        <f aca="false">COUNTIF(C$6:C$404,C188)</f>
        <v>205</v>
      </c>
    </row>
    <row r="189" customFormat="false" ht="15" hidden="false" customHeight="false" outlineLevel="0" collapsed="false">
      <c r="A189" s="25" t="n">
        <v>4113106</v>
      </c>
      <c r="B189" s="26" t="s">
        <v>254</v>
      </c>
      <c r="C189" s="26" t="s">
        <v>71</v>
      </c>
      <c r="D189" s="47" t="n">
        <f aca="false">'2 Fator educacional'!K189</f>
        <v>26.5929159210806</v>
      </c>
      <c r="E189" s="48" t="n">
        <f aca="false">'3 Fator demográfico'!K189</f>
        <v>41.19867639849</v>
      </c>
      <c r="F189" s="49" t="n">
        <f aca="false">'4 Fator socioeconômico'!K189</f>
        <v>53.5675149342006</v>
      </c>
      <c r="G189" s="50" t="n">
        <f aca="false">(2*D189+E189+2*F189)/500</f>
        <v>0.403039076218105</v>
      </c>
      <c r="H189" s="25" t="n">
        <f aca="false">RANK(G189,G$6:G$404,0)</f>
        <v>306</v>
      </c>
      <c r="I189" s="25" t="n">
        <f aca="false">COUNTIFS(C$6:C$404,C189,G$6:G$404,"&gt;"&amp;G189)+1</f>
        <v>73</v>
      </c>
      <c r="J189" s="25" t="n">
        <f aca="false">COUNTIF(C$6:C$404,C189)</f>
        <v>102</v>
      </c>
    </row>
    <row r="190" customFormat="false" ht="15" hidden="false" customHeight="false" outlineLevel="0" collapsed="false">
      <c r="A190" s="25" t="n">
        <v>4113205</v>
      </c>
      <c r="B190" s="26" t="s">
        <v>255</v>
      </c>
      <c r="C190" s="26" t="s">
        <v>86</v>
      </c>
      <c r="D190" s="47" t="n">
        <f aca="false">'2 Fator educacional'!K190</f>
        <v>66.2021049954094</v>
      </c>
      <c r="E190" s="48" t="n">
        <f aca="false">'3 Fator demográfico'!K190</f>
        <v>50.0049050587225</v>
      </c>
      <c r="F190" s="49" t="n">
        <f aca="false">'4 Fator socioeconômico'!K190</f>
        <v>33.9228854131881</v>
      </c>
      <c r="G190" s="50" t="n">
        <f aca="false">(2*D190+E190+2*F190)/500</f>
        <v>0.500509771751835</v>
      </c>
      <c r="H190" s="25" t="n">
        <f aca="false">RANK(G190,G$6:G$404,0)</f>
        <v>155</v>
      </c>
      <c r="I190" s="25" t="n">
        <f aca="false">COUNTIFS(C$6:C$404,C190,G$6:G$404,"&gt;"&amp;G190)+1</f>
        <v>18</v>
      </c>
      <c r="J190" s="25" t="n">
        <f aca="false">COUNTIF(C$6:C$404,C190)</f>
        <v>62</v>
      </c>
    </row>
    <row r="191" customFormat="false" ht="15" hidden="false" customHeight="false" outlineLevel="0" collapsed="false">
      <c r="A191" s="25" t="n">
        <v>4113254</v>
      </c>
      <c r="B191" s="26" t="s">
        <v>256</v>
      </c>
      <c r="C191" s="26" t="s">
        <v>65</v>
      </c>
      <c r="D191" s="47" t="n">
        <f aca="false">'2 Fator educacional'!K191</f>
        <v>70.3441227564471</v>
      </c>
      <c r="E191" s="48" t="n">
        <f aca="false">'3 Fator demográfico'!K191</f>
        <v>65.4149188991558</v>
      </c>
      <c r="F191" s="49" t="n">
        <f aca="false">'4 Fator socioeconômico'!K191</f>
        <v>75.9566882499834</v>
      </c>
      <c r="G191" s="50" t="n">
        <f aca="false">(2*D191+E191+2*F191)/500</f>
        <v>0.716033081824034</v>
      </c>
      <c r="H191" s="25" t="n">
        <f aca="false">RANK(G191,G$6:G$404,0)</f>
        <v>6</v>
      </c>
      <c r="I191" s="25" t="n">
        <f aca="false">COUNTIFS(C$6:C$404,C191,G$6:G$404,"&gt;"&amp;G191)+1</f>
        <v>5</v>
      </c>
      <c r="J191" s="25" t="n">
        <f aca="false">COUNTIF(C$6:C$404,C191)</f>
        <v>205</v>
      </c>
    </row>
    <row r="192" customFormat="false" ht="15" hidden="false" customHeight="false" outlineLevel="0" collapsed="false">
      <c r="A192" s="25" t="n">
        <v>4113304</v>
      </c>
      <c r="B192" s="26" t="s">
        <v>257</v>
      </c>
      <c r="C192" s="26" t="s">
        <v>86</v>
      </c>
      <c r="D192" s="47" t="n">
        <f aca="false">'2 Fator educacional'!K192</f>
        <v>50.6163452885595</v>
      </c>
      <c r="E192" s="48" t="n">
        <f aca="false">'3 Fator demográfico'!K192</f>
        <v>62.7291887550839</v>
      </c>
      <c r="F192" s="49" t="n">
        <f aca="false">'4 Fator socioeconômico'!K192</f>
        <v>32.3718372767572</v>
      </c>
      <c r="G192" s="50" t="n">
        <f aca="false">(2*D192+E192+2*F192)/500</f>
        <v>0.457411107771434</v>
      </c>
      <c r="H192" s="25" t="n">
        <f aca="false">RANK(G192,G$6:G$404,0)</f>
        <v>232</v>
      </c>
      <c r="I192" s="25" t="n">
        <f aca="false">COUNTIFS(C$6:C$404,C192,G$6:G$404,"&gt;"&amp;G192)+1</f>
        <v>30</v>
      </c>
      <c r="J192" s="25" t="n">
        <f aca="false">COUNTIF(C$6:C$404,C192)</f>
        <v>62</v>
      </c>
    </row>
    <row r="193" customFormat="false" ht="15" hidden="false" customHeight="false" outlineLevel="0" collapsed="false">
      <c r="A193" s="25" t="n">
        <v>4113403</v>
      </c>
      <c r="B193" s="26" t="s">
        <v>258</v>
      </c>
      <c r="C193" s="26" t="s">
        <v>71</v>
      </c>
      <c r="D193" s="47" t="n">
        <f aca="false">'2 Fator educacional'!K193</f>
        <v>34.253989165818</v>
      </c>
      <c r="E193" s="48" t="n">
        <f aca="false">'3 Fator demográfico'!K193</f>
        <v>76.7526162682792</v>
      </c>
      <c r="F193" s="49" t="n">
        <f aca="false">'4 Fator socioeconômico'!K193</f>
        <v>38.8232139306303</v>
      </c>
      <c r="G193" s="50" t="n">
        <f aca="false">(2*D193+E193+2*F193)/500</f>
        <v>0.445814044922352</v>
      </c>
      <c r="H193" s="25" t="n">
        <f aca="false">RANK(G193,G$6:G$404,0)</f>
        <v>244</v>
      </c>
      <c r="I193" s="25" t="n">
        <f aca="false">COUNTIFS(C$6:C$404,C193,G$6:G$404,"&gt;"&amp;G193)+1</f>
        <v>55</v>
      </c>
      <c r="J193" s="25" t="n">
        <f aca="false">COUNTIF(C$6:C$404,C193)</f>
        <v>102</v>
      </c>
    </row>
    <row r="194" customFormat="false" ht="15" hidden="false" customHeight="false" outlineLevel="0" collapsed="false">
      <c r="A194" s="25" t="n">
        <v>4113429</v>
      </c>
      <c r="B194" s="26" t="s">
        <v>259</v>
      </c>
      <c r="C194" s="26" t="s">
        <v>71</v>
      </c>
      <c r="D194" s="47" t="n">
        <f aca="false">'2 Fator educacional'!K194</f>
        <v>66.697839330485</v>
      </c>
      <c r="E194" s="48" t="n">
        <f aca="false">'3 Fator demográfico'!K194</f>
        <v>14.3925533887537</v>
      </c>
      <c r="F194" s="49" t="n">
        <f aca="false">'4 Fator socioeconômico'!K194</f>
        <v>53.9881139296753</v>
      </c>
      <c r="G194" s="50" t="n">
        <f aca="false">(2*D194+E194+2*F194)/500</f>
        <v>0.511528919818149</v>
      </c>
      <c r="H194" s="25" t="n">
        <f aca="false">RANK(G194,G$6:G$404,0)</f>
        <v>141</v>
      </c>
      <c r="I194" s="25" t="n">
        <f aca="false">COUNTIFS(C$6:C$404,C194,G$6:G$404,"&gt;"&amp;G194)+1</f>
        <v>33</v>
      </c>
      <c r="J194" s="25" t="n">
        <f aca="false">COUNTIF(C$6:C$404,C194)</f>
        <v>102</v>
      </c>
    </row>
    <row r="195" customFormat="false" ht="15" hidden="false" customHeight="false" outlineLevel="0" collapsed="false">
      <c r="A195" s="25" t="n">
        <v>4113452</v>
      </c>
      <c r="B195" s="26" t="s">
        <v>260</v>
      </c>
      <c r="C195" s="26" t="s">
        <v>65</v>
      </c>
      <c r="D195" s="47" t="n">
        <f aca="false">'2 Fator educacional'!K195</f>
        <v>42.9448908636552</v>
      </c>
      <c r="E195" s="48" t="n">
        <f aca="false">'3 Fator demográfico'!K195</f>
        <v>85.6241729759502</v>
      </c>
      <c r="F195" s="49" t="n">
        <f aca="false">'4 Fator socioeconômico'!K195</f>
        <v>53.6666553213641</v>
      </c>
      <c r="G195" s="50" t="n">
        <f aca="false">(2*D195+E195+2*F195)/500</f>
        <v>0.557694530691978</v>
      </c>
      <c r="H195" s="25" t="n">
        <f aca="false">RANK(G195,G$6:G$404,0)</f>
        <v>84</v>
      </c>
      <c r="I195" s="25" t="n">
        <f aca="false">COUNTIFS(C$6:C$404,C195,G$6:G$404,"&gt;"&amp;G195)+1</f>
        <v>54</v>
      </c>
      <c r="J195" s="25" t="n">
        <f aca="false">COUNTIF(C$6:C$404,C195)</f>
        <v>205</v>
      </c>
    </row>
    <row r="196" customFormat="false" ht="15" hidden="false" customHeight="false" outlineLevel="0" collapsed="false">
      <c r="A196" s="25" t="n">
        <v>4113502</v>
      </c>
      <c r="B196" s="26" t="s">
        <v>261</v>
      </c>
      <c r="C196" s="26" t="s">
        <v>86</v>
      </c>
      <c r="D196" s="47" t="n">
        <f aca="false">'2 Fator educacional'!K196</f>
        <v>34.473542524019</v>
      </c>
      <c r="E196" s="48" t="n">
        <f aca="false">'3 Fator demográfico'!K196</f>
        <v>45.6590475035752</v>
      </c>
      <c r="F196" s="49" t="n">
        <f aca="false">'4 Fator socioeconômico'!K196</f>
        <v>34.4373587406351</v>
      </c>
      <c r="G196" s="50" t="n">
        <f aca="false">(2*D196+E196+2*F196)/500</f>
        <v>0.366961700065767</v>
      </c>
      <c r="H196" s="25" t="n">
        <f aca="false">RANK(G196,G$6:G$404,0)</f>
        <v>346</v>
      </c>
      <c r="I196" s="25" t="n">
        <f aca="false">COUNTIFS(C$6:C$404,C196,G$6:G$404,"&gt;"&amp;G196)+1</f>
        <v>54</v>
      </c>
      <c r="J196" s="25" t="n">
        <f aca="false">COUNTIF(C$6:C$404,C196)</f>
        <v>62</v>
      </c>
    </row>
    <row r="197" customFormat="false" ht="15" hidden="false" customHeight="false" outlineLevel="0" collapsed="false">
      <c r="A197" s="25" t="n">
        <v>4113601</v>
      </c>
      <c r="B197" s="26" t="s">
        <v>262</v>
      </c>
      <c r="C197" s="26" t="s">
        <v>71</v>
      </c>
      <c r="D197" s="47" t="n">
        <f aca="false">'2 Fator educacional'!K197</f>
        <v>41.690698762726</v>
      </c>
      <c r="E197" s="48" t="n">
        <f aca="false">'3 Fator demográfico'!K197</f>
        <v>42.0012101537664</v>
      </c>
      <c r="F197" s="49" t="n">
        <f aca="false">'4 Fator socioeconômico'!K197</f>
        <v>40.7646410940516</v>
      </c>
      <c r="G197" s="50" t="n">
        <f aca="false">(2*D197+E197+2*F197)/500</f>
        <v>0.413823779734643</v>
      </c>
      <c r="H197" s="25" t="n">
        <f aca="false">RANK(G197,G$6:G$404,0)</f>
        <v>288</v>
      </c>
      <c r="I197" s="25" t="n">
        <f aca="false">COUNTIFS(C$6:C$404,C197,G$6:G$404,"&gt;"&amp;G197)+1</f>
        <v>67</v>
      </c>
      <c r="J197" s="25" t="n">
        <f aca="false">COUNTIF(C$6:C$404,C197)</f>
        <v>102</v>
      </c>
    </row>
    <row r="198" customFormat="false" ht="15" hidden="false" customHeight="false" outlineLevel="0" collapsed="false">
      <c r="A198" s="25" t="n">
        <v>4113700</v>
      </c>
      <c r="B198" s="26" t="s">
        <v>263</v>
      </c>
      <c r="C198" s="26" t="s">
        <v>264</v>
      </c>
      <c r="D198" s="47" t="n">
        <f aca="false">'2 Fator educacional'!K198</f>
        <v>65.8937102282405</v>
      </c>
      <c r="E198" s="48" t="n">
        <f aca="false">'3 Fator demográfico'!K198</f>
        <v>39.5406414579357</v>
      </c>
      <c r="F198" s="49" t="n">
        <f aca="false">'4 Fator socioeconômico'!K198</f>
        <v>24.2446834519996</v>
      </c>
      <c r="G198" s="50" t="n">
        <f aca="false">(2*D198+E198+2*F198)/500</f>
        <v>0.439634857636832</v>
      </c>
      <c r="H198" s="25" t="n">
        <f aca="false">RANK(G198,G$6:G$404,0)</f>
        <v>252</v>
      </c>
      <c r="I198" s="25" t="n">
        <f aca="false">COUNTIFS(C$6:C$404,C198,G$6:G$404,"&gt;"&amp;G198)+1</f>
        <v>1</v>
      </c>
      <c r="J198" s="25" t="n">
        <f aca="false">COUNTIF(C$6:C$404,C198)</f>
        <v>1</v>
      </c>
    </row>
    <row r="199" customFormat="false" ht="15" hidden="false" customHeight="false" outlineLevel="0" collapsed="false">
      <c r="A199" s="25" t="n">
        <v>4113734</v>
      </c>
      <c r="B199" s="26" t="s">
        <v>265</v>
      </c>
      <c r="C199" s="26" t="s">
        <v>65</v>
      </c>
      <c r="D199" s="47" t="n">
        <f aca="false">'2 Fator educacional'!K199</f>
        <v>83.6013231636374</v>
      </c>
      <c r="E199" s="48" t="n">
        <f aca="false">'3 Fator demográfico'!K199</f>
        <v>39.0456727748672</v>
      </c>
      <c r="F199" s="49" t="n">
        <f aca="false">'4 Fator socioeconômico'!K199</f>
        <v>50.5650844120683</v>
      </c>
      <c r="G199" s="50" t="n">
        <f aca="false">(2*D199+E199+2*F199)/500</f>
        <v>0.614756975852557</v>
      </c>
      <c r="H199" s="25" t="n">
        <f aca="false">RANK(G199,G$6:G$404,0)</f>
        <v>45</v>
      </c>
      <c r="I199" s="25" t="n">
        <f aca="false">COUNTIFS(C$6:C$404,C199,G$6:G$404,"&gt;"&amp;G199)+1</f>
        <v>31</v>
      </c>
      <c r="J199" s="25" t="n">
        <f aca="false">COUNTIF(C$6:C$404,C199)</f>
        <v>205</v>
      </c>
    </row>
    <row r="200" customFormat="false" ht="15" hidden="false" customHeight="false" outlineLevel="0" collapsed="false">
      <c r="A200" s="25" t="n">
        <v>4113759</v>
      </c>
      <c r="B200" s="26" t="s">
        <v>266</v>
      </c>
      <c r="C200" s="26" t="s">
        <v>71</v>
      </c>
      <c r="D200" s="47" t="n">
        <f aca="false">'2 Fator educacional'!K200</f>
        <v>58.6536400672325</v>
      </c>
      <c r="E200" s="48" t="n">
        <f aca="false">'3 Fator demográfico'!K200</f>
        <v>18.7108968307888</v>
      </c>
      <c r="F200" s="49" t="n">
        <f aca="false">'4 Fator socioeconômico'!K200</f>
        <v>56.9825656775479</v>
      </c>
      <c r="G200" s="50" t="n">
        <f aca="false">(2*D200+E200+2*F200)/500</f>
        <v>0.499966616640699</v>
      </c>
      <c r="H200" s="25" t="n">
        <f aca="false">RANK(G200,G$6:G$404,0)</f>
        <v>156</v>
      </c>
      <c r="I200" s="25" t="n">
        <f aca="false">COUNTIFS(C$6:C$404,C200,G$6:G$404,"&gt;"&amp;G200)+1</f>
        <v>39</v>
      </c>
      <c r="J200" s="25" t="n">
        <f aca="false">COUNTIF(C$6:C$404,C200)</f>
        <v>102</v>
      </c>
    </row>
    <row r="201" customFormat="false" ht="15" hidden="false" customHeight="false" outlineLevel="0" collapsed="false">
      <c r="A201" s="25" t="n">
        <v>4113809</v>
      </c>
      <c r="B201" s="26" t="s">
        <v>267</v>
      </c>
      <c r="C201" s="26" t="s">
        <v>71</v>
      </c>
      <c r="D201" s="47" t="n">
        <f aca="false">'2 Fator educacional'!K201</f>
        <v>30.6900002022766</v>
      </c>
      <c r="E201" s="48" t="n">
        <f aca="false">'3 Fator demográfico'!K201</f>
        <v>75.4286485555372</v>
      </c>
      <c r="F201" s="49" t="n">
        <f aca="false">'4 Fator socioeconômico'!K201</f>
        <v>51.2735737369198</v>
      </c>
      <c r="G201" s="50" t="n">
        <f aca="false">(2*D201+E201+2*F201)/500</f>
        <v>0.47871159286786</v>
      </c>
      <c r="H201" s="25" t="n">
        <f aca="false">RANK(G201,G$6:G$404,0)</f>
        <v>199</v>
      </c>
      <c r="I201" s="25" t="n">
        <f aca="false">COUNTIFS(C$6:C$404,C201,G$6:G$404,"&gt;"&amp;G201)+1</f>
        <v>49</v>
      </c>
      <c r="J201" s="25" t="n">
        <f aca="false">COUNTIF(C$6:C$404,C201)</f>
        <v>102</v>
      </c>
    </row>
    <row r="202" customFormat="false" ht="15" hidden="false" customHeight="false" outlineLevel="0" collapsed="false">
      <c r="A202" s="25" t="n">
        <v>4113908</v>
      </c>
      <c r="B202" s="26" t="s">
        <v>268</v>
      </c>
      <c r="C202" s="26" t="s">
        <v>65</v>
      </c>
      <c r="D202" s="47" t="n">
        <f aca="false">'2 Fator educacional'!K202</f>
        <v>73.0848234881655</v>
      </c>
      <c r="E202" s="48" t="n">
        <f aca="false">'3 Fator demográfico'!K202</f>
        <v>29.8314477969838</v>
      </c>
      <c r="F202" s="49" t="n">
        <f aca="false">'4 Fator socioeconômico'!K202</f>
        <v>26.60342185852</v>
      </c>
      <c r="G202" s="50" t="n">
        <f aca="false">(2*D202+E202+2*F202)/500</f>
        <v>0.45841587698071</v>
      </c>
      <c r="H202" s="25" t="n">
        <f aca="false">RANK(G202,G$6:G$404,0)</f>
        <v>227</v>
      </c>
      <c r="I202" s="25" t="n">
        <f aca="false">COUNTIFS(C$6:C$404,C202,G$6:G$404,"&gt;"&amp;G202)+1</f>
        <v>136</v>
      </c>
      <c r="J202" s="25" t="n">
        <f aca="false">COUNTIF(C$6:C$404,C202)</f>
        <v>205</v>
      </c>
    </row>
    <row r="203" customFormat="false" ht="15" hidden="false" customHeight="false" outlineLevel="0" collapsed="false">
      <c r="A203" s="25" t="n">
        <v>4114005</v>
      </c>
      <c r="B203" s="26" t="s">
        <v>269</v>
      </c>
      <c r="C203" s="26" t="s">
        <v>65</v>
      </c>
      <c r="D203" s="47" t="n">
        <f aca="false">'2 Fator educacional'!K203</f>
        <v>63.7020196929568</v>
      </c>
      <c r="E203" s="48" t="n">
        <f aca="false">'3 Fator demográfico'!K203</f>
        <v>25.916711091531</v>
      </c>
      <c r="F203" s="49" t="n">
        <f aca="false">'4 Fator socioeconômico'!K203</f>
        <v>61.2709830384004</v>
      </c>
      <c r="G203" s="50" t="n">
        <f aca="false">(2*D203+E203+2*F203)/500</f>
        <v>0.551725433108491</v>
      </c>
      <c r="H203" s="25" t="n">
        <f aca="false">RANK(G203,G$6:G$404,0)</f>
        <v>91</v>
      </c>
      <c r="I203" s="25" t="n">
        <f aca="false">COUNTIFS(C$6:C$404,C203,G$6:G$404,"&gt;"&amp;G203)+1</f>
        <v>58</v>
      </c>
      <c r="J203" s="25" t="n">
        <f aca="false">COUNTIF(C$6:C$404,C203)</f>
        <v>205</v>
      </c>
    </row>
    <row r="204" customFormat="false" ht="15" hidden="false" customHeight="false" outlineLevel="0" collapsed="false">
      <c r="A204" s="25" t="n">
        <v>4114104</v>
      </c>
      <c r="B204" s="26" t="s">
        <v>270</v>
      </c>
      <c r="C204" s="26" t="s">
        <v>86</v>
      </c>
      <c r="D204" s="47" t="n">
        <f aca="false">'2 Fator educacional'!K204</f>
        <v>46.6694974778516</v>
      </c>
      <c r="E204" s="48" t="n">
        <f aca="false">'3 Fator demográfico'!K204</f>
        <v>48.5412650057645</v>
      </c>
      <c r="F204" s="49" t="n">
        <f aca="false">'4 Fator socioeconômico'!K204</f>
        <v>29.8531438396945</v>
      </c>
      <c r="G204" s="50" t="n">
        <f aca="false">(2*D204+E204+2*F204)/500</f>
        <v>0.403173095281713</v>
      </c>
      <c r="H204" s="25" t="n">
        <f aca="false">RANK(G204,G$6:G$404,0)</f>
        <v>305</v>
      </c>
      <c r="I204" s="25" t="n">
        <f aca="false">COUNTIFS(C$6:C$404,C204,G$6:G$404,"&gt;"&amp;G204)+1</f>
        <v>45</v>
      </c>
      <c r="J204" s="25" t="n">
        <f aca="false">COUNTIF(C$6:C$404,C204)</f>
        <v>62</v>
      </c>
    </row>
    <row r="205" customFormat="false" ht="15" hidden="false" customHeight="false" outlineLevel="0" collapsed="false">
      <c r="A205" s="25" t="n">
        <v>4114203</v>
      </c>
      <c r="B205" s="26" t="s">
        <v>271</v>
      </c>
      <c r="C205" s="26" t="s">
        <v>86</v>
      </c>
      <c r="D205" s="47" t="n">
        <f aca="false">'2 Fator educacional'!K205</f>
        <v>47.6758483246554</v>
      </c>
      <c r="E205" s="48" t="n">
        <f aca="false">'3 Fator demográfico'!K205</f>
        <v>44.4495576717752</v>
      </c>
      <c r="F205" s="49" t="n">
        <f aca="false">'4 Fator socioeconômico'!K205</f>
        <v>15.0997192234462</v>
      </c>
      <c r="G205" s="50" t="n">
        <f aca="false">(2*D205+E205+2*F205)/500</f>
        <v>0.340001385535957</v>
      </c>
      <c r="H205" s="25" t="n">
        <f aca="false">RANK(G205,G$6:G$404,0)</f>
        <v>366</v>
      </c>
      <c r="I205" s="25" t="n">
        <f aca="false">COUNTIFS(C$6:C$404,C205,G$6:G$404,"&gt;"&amp;G205)+1</f>
        <v>59</v>
      </c>
      <c r="J205" s="25" t="n">
        <f aca="false">COUNTIF(C$6:C$404,C205)</f>
        <v>62</v>
      </c>
    </row>
    <row r="206" customFormat="false" ht="15" hidden="false" customHeight="false" outlineLevel="0" collapsed="false">
      <c r="A206" s="25" t="n">
        <v>4114302</v>
      </c>
      <c r="B206" s="26" t="s">
        <v>272</v>
      </c>
      <c r="C206" s="26" t="s">
        <v>86</v>
      </c>
      <c r="D206" s="47" t="n">
        <f aca="false">'2 Fator educacional'!K206</f>
        <v>68.4061675435553</v>
      </c>
      <c r="E206" s="48" t="n">
        <f aca="false">'3 Fator demográfico'!K206</f>
        <v>55.1482268839056</v>
      </c>
      <c r="F206" s="49" t="n">
        <f aca="false">'4 Fator socioeconômico'!K206</f>
        <v>46.4695179040952</v>
      </c>
      <c r="G206" s="50" t="n">
        <f aca="false">(2*D206+E206+2*F206)/500</f>
        <v>0.569799195558413</v>
      </c>
      <c r="H206" s="25" t="n">
        <f aca="false">RANK(G206,G$6:G$404,0)</f>
        <v>74</v>
      </c>
      <c r="I206" s="25" t="n">
        <f aca="false">COUNTIFS(C$6:C$404,C206,G$6:G$404,"&gt;"&amp;G206)+1</f>
        <v>7</v>
      </c>
      <c r="J206" s="25" t="n">
        <f aca="false">COUNTIF(C$6:C$404,C206)</f>
        <v>62</v>
      </c>
    </row>
    <row r="207" customFormat="false" ht="15" hidden="false" customHeight="false" outlineLevel="0" collapsed="false">
      <c r="A207" s="25" t="n">
        <v>4114351</v>
      </c>
      <c r="B207" s="26" t="s">
        <v>273</v>
      </c>
      <c r="C207" s="26" t="s">
        <v>71</v>
      </c>
      <c r="D207" s="47" t="n">
        <f aca="false">'2 Fator educacional'!K207</f>
        <v>80.5635638577321</v>
      </c>
      <c r="E207" s="48" t="n">
        <f aca="false">'3 Fator demográfico'!K207</f>
        <v>39.5392046101978</v>
      </c>
      <c r="F207" s="49" t="n">
        <f aca="false">'4 Fator socioeconômico'!K207</f>
        <v>36.4097533660548</v>
      </c>
      <c r="G207" s="50" t="n">
        <f aca="false">(2*D207+E207+2*F207)/500</f>
        <v>0.546971678115543</v>
      </c>
      <c r="H207" s="25" t="n">
        <f aca="false">RANK(G207,G$6:G$404,0)</f>
        <v>95</v>
      </c>
      <c r="I207" s="25" t="n">
        <f aca="false">COUNTIFS(C$6:C$404,C207,G$6:G$404,"&gt;"&amp;G207)+1</f>
        <v>25</v>
      </c>
      <c r="J207" s="25" t="n">
        <f aca="false">COUNTIF(C$6:C$404,C207)</f>
        <v>102</v>
      </c>
    </row>
    <row r="208" customFormat="false" ht="15" hidden="false" customHeight="false" outlineLevel="0" collapsed="false">
      <c r="A208" s="25" t="n">
        <v>4114401</v>
      </c>
      <c r="B208" s="26" t="s">
        <v>274</v>
      </c>
      <c r="C208" s="26" t="s">
        <v>65</v>
      </c>
      <c r="D208" s="47" t="n">
        <f aca="false">'2 Fator educacional'!K208</f>
        <v>58.2764356839693</v>
      </c>
      <c r="E208" s="48" t="n">
        <f aca="false">'3 Fator demográfico'!K208</f>
        <v>78.4641040259741</v>
      </c>
      <c r="F208" s="49" t="n">
        <f aca="false">'4 Fator socioeconômico'!K208</f>
        <v>40.5350142338423</v>
      </c>
      <c r="G208" s="50" t="n">
        <f aca="false">(2*D208+E208+2*F208)/500</f>
        <v>0.552174007723195</v>
      </c>
      <c r="H208" s="25" t="n">
        <f aca="false">RANK(G208,G$6:G$404,0)</f>
        <v>90</v>
      </c>
      <c r="I208" s="25" t="n">
        <f aca="false">COUNTIFS(C$6:C$404,C208,G$6:G$404,"&gt;"&amp;G208)+1</f>
        <v>57</v>
      </c>
      <c r="J208" s="25" t="n">
        <f aca="false">COUNTIF(C$6:C$404,C208)</f>
        <v>205</v>
      </c>
    </row>
    <row r="209" customFormat="false" ht="15" hidden="false" customHeight="false" outlineLevel="0" collapsed="false">
      <c r="A209" s="25" t="n">
        <v>4114500</v>
      </c>
      <c r="B209" s="26" t="s">
        <v>275</v>
      </c>
      <c r="C209" s="26" t="s">
        <v>65</v>
      </c>
      <c r="D209" s="47" t="n">
        <f aca="false">'2 Fator educacional'!K209</f>
        <v>62.1345394781915</v>
      </c>
      <c r="E209" s="48" t="n">
        <f aca="false">'3 Fator demográfico'!K209</f>
        <v>52.3342376817661</v>
      </c>
      <c r="F209" s="49" t="n">
        <f aca="false">'4 Fator socioeconômico'!K209</f>
        <v>45.7326637688079</v>
      </c>
      <c r="G209" s="50" t="n">
        <f aca="false">(2*D209+E209+2*F209)/500</f>
        <v>0.53613728835153</v>
      </c>
      <c r="H209" s="25" t="n">
        <f aca="false">RANK(G209,G$6:G$404,0)</f>
        <v>109</v>
      </c>
      <c r="I209" s="25" t="n">
        <f aca="false">COUNTIFS(C$6:C$404,C209,G$6:G$404,"&gt;"&amp;G209)+1</f>
        <v>68</v>
      </c>
      <c r="J209" s="25" t="n">
        <f aca="false">COUNTIF(C$6:C$404,C209)</f>
        <v>205</v>
      </c>
    </row>
    <row r="210" customFormat="false" ht="15" hidden="false" customHeight="false" outlineLevel="0" collapsed="false">
      <c r="A210" s="25" t="n">
        <v>4114609</v>
      </c>
      <c r="B210" s="26" t="s">
        <v>276</v>
      </c>
      <c r="C210" s="26" t="s">
        <v>86</v>
      </c>
      <c r="D210" s="47" t="n">
        <f aca="false">'2 Fator educacional'!K210</f>
        <v>48.2652395205851</v>
      </c>
      <c r="E210" s="48" t="n">
        <f aca="false">'3 Fator demográfico'!K210</f>
        <v>43.8746118305832</v>
      </c>
      <c r="F210" s="49" t="n">
        <f aca="false">'4 Fator socioeconômico'!K210</f>
        <v>13.962972699172</v>
      </c>
      <c r="G210" s="50" t="n">
        <f aca="false">(2*D210+E210+2*F210)/500</f>
        <v>0.336662072540195</v>
      </c>
      <c r="H210" s="25" t="n">
        <f aca="false">RANK(G210,G$6:G$404,0)</f>
        <v>367</v>
      </c>
      <c r="I210" s="25" t="n">
        <f aca="false">COUNTIFS(C$6:C$404,C210,G$6:G$404,"&gt;"&amp;G210)+1</f>
        <v>60</v>
      </c>
      <c r="J210" s="25" t="n">
        <f aca="false">COUNTIF(C$6:C$404,C210)</f>
        <v>62</v>
      </c>
    </row>
    <row r="211" customFormat="false" ht="15" hidden="false" customHeight="false" outlineLevel="0" collapsed="false">
      <c r="A211" s="25" t="n">
        <v>4114708</v>
      </c>
      <c r="B211" s="26" t="s">
        <v>277</v>
      </c>
      <c r="C211" s="26" t="s">
        <v>65</v>
      </c>
      <c r="D211" s="47" t="n">
        <f aca="false">'2 Fator educacional'!K211</f>
        <v>55.2843535188011</v>
      </c>
      <c r="E211" s="48" t="n">
        <f aca="false">'3 Fator demográfico'!K211</f>
        <v>24.5069451378178</v>
      </c>
      <c r="F211" s="49" t="n">
        <f aca="false">'4 Fator socioeconômico'!K211</f>
        <v>47.1374751471791</v>
      </c>
      <c r="G211" s="50" t="n">
        <f aca="false">(2*D211+E211+2*F211)/500</f>
        <v>0.458701204939556</v>
      </c>
      <c r="H211" s="25" t="n">
        <f aca="false">RANK(G211,G$6:G$404,0)</f>
        <v>226</v>
      </c>
      <c r="I211" s="25" t="n">
        <f aca="false">COUNTIFS(C$6:C$404,C211,G$6:G$404,"&gt;"&amp;G211)+1</f>
        <v>135</v>
      </c>
      <c r="J211" s="25" t="n">
        <f aca="false">COUNTIF(C$6:C$404,C211)</f>
        <v>205</v>
      </c>
    </row>
    <row r="212" customFormat="false" ht="15" hidden="false" customHeight="false" outlineLevel="0" collapsed="false">
      <c r="A212" s="25" t="n">
        <v>4114807</v>
      </c>
      <c r="B212" s="26" t="s">
        <v>278</v>
      </c>
      <c r="C212" s="26" t="s">
        <v>86</v>
      </c>
      <c r="D212" s="47" t="n">
        <f aca="false">'2 Fator educacional'!K212</f>
        <v>49.3353495143901</v>
      </c>
      <c r="E212" s="48" t="n">
        <f aca="false">'3 Fator demográfico'!K212</f>
        <v>56.088550734969</v>
      </c>
      <c r="F212" s="49" t="n">
        <f aca="false">'4 Fator socioeconômico'!K212</f>
        <v>27.8848831324475</v>
      </c>
      <c r="G212" s="50" t="n">
        <f aca="false">(2*D212+E212+2*F212)/500</f>
        <v>0.421058032057289</v>
      </c>
      <c r="H212" s="25" t="n">
        <f aca="false">RANK(G212,G$6:G$404,0)</f>
        <v>284</v>
      </c>
      <c r="I212" s="25" t="n">
        <f aca="false">COUNTIFS(C$6:C$404,C212,G$6:G$404,"&gt;"&amp;G212)+1</f>
        <v>42</v>
      </c>
      <c r="J212" s="25" t="n">
        <f aca="false">COUNTIF(C$6:C$404,C212)</f>
        <v>62</v>
      </c>
    </row>
    <row r="213" customFormat="false" ht="15" hidden="false" customHeight="false" outlineLevel="0" collapsed="false">
      <c r="A213" s="25" t="n">
        <v>4114906</v>
      </c>
      <c r="B213" s="26" t="s">
        <v>279</v>
      </c>
      <c r="C213" s="26" t="s">
        <v>65</v>
      </c>
      <c r="D213" s="47" t="n">
        <f aca="false">'2 Fator educacional'!K213</f>
        <v>70.586385440078</v>
      </c>
      <c r="E213" s="48" t="n">
        <f aca="false">'3 Fator demográfico'!K213</f>
        <v>42.8340424465641</v>
      </c>
      <c r="F213" s="49" t="n">
        <f aca="false">'4 Fator socioeconômico'!K213</f>
        <v>50.8736446961576</v>
      </c>
      <c r="G213" s="50" t="n">
        <f aca="false">(2*D213+E213+2*F213)/500</f>
        <v>0.571508205438071</v>
      </c>
      <c r="H213" s="25" t="n">
        <f aca="false">RANK(G213,G$6:G$404,0)</f>
        <v>69</v>
      </c>
      <c r="I213" s="25" t="n">
        <f aca="false">COUNTIFS(C$6:C$404,C213,G$6:G$404,"&gt;"&amp;G213)+1</f>
        <v>45</v>
      </c>
      <c r="J213" s="25" t="n">
        <f aca="false">COUNTIF(C$6:C$404,C213)</f>
        <v>205</v>
      </c>
    </row>
    <row r="214" customFormat="false" ht="15" hidden="false" customHeight="false" outlineLevel="0" collapsed="false">
      <c r="A214" s="25" t="n">
        <v>4115002</v>
      </c>
      <c r="B214" s="26" t="s">
        <v>280</v>
      </c>
      <c r="C214" s="26" t="s">
        <v>65</v>
      </c>
      <c r="D214" s="47" t="n">
        <f aca="false">'2 Fator educacional'!K214</f>
        <v>52.7564748376616</v>
      </c>
      <c r="E214" s="48" t="n">
        <f aca="false">'3 Fator demográfico'!K214</f>
        <v>50.5288638173854</v>
      </c>
      <c r="F214" s="49" t="n">
        <f aca="false">'4 Fator socioeconômico'!K214</f>
        <v>43.7751917659309</v>
      </c>
      <c r="G214" s="50" t="n">
        <f aca="false">(2*D214+E214+2*F214)/500</f>
        <v>0.487184394049141</v>
      </c>
      <c r="H214" s="25" t="n">
        <f aca="false">RANK(G214,G$6:G$404,0)</f>
        <v>180</v>
      </c>
      <c r="I214" s="25" t="n">
        <f aca="false">COUNTIFS(C$6:C$404,C214,G$6:G$404,"&gt;"&amp;G214)+1</f>
        <v>107</v>
      </c>
      <c r="J214" s="25" t="n">
        <f aca="false">COUNTIF(C$6:C$404,C214)</f>
        <v>205</v>
      </c>
    </row>
    <row r="215" customFormat="false" ht="15" hidden="false" customHeight="false" outlineLevel="0" collapsed="false">
      <c r="A215" s="25" t="n">
        <v>4115101</v>
      </c>
      <c r="B215" s="26" t="s">
        <v>281</v>
      </c>
      <c r="C215" s="26" t="s">
        <v>65</v>
      </c>
      <c r="D215" s="47" t="n">
        <f aca="false">'2 Fator educacional'!K215</f>
        <v>82.1282658308535</v>
      </c>
      <c r="E215" s="48" t="n">
        <f aca="false">'3 Fator demográfico'!K215</f>
        <v>51.0334983030374</v>
      </c>
      <c r="F215" s="49" t="n">
        <f aca="false">'4 Fator socioeconômico'!K215</f>
        <v>53.9932476891741</v>
      </c>
      <c r="G215" s="50" t="n">
        <f aca="false">(2*D215+E215+2*F215)/500</f>
        <v>0.646553050686185</v>
      </c>
      <c r="H215" s="25" t="n">
        <f aca="false">RANK(G215,G$6:G$404,0)</f>
        <v>31</v>
      </c>
      <c r="I215" s="25" t="n">
        <f aca="false">COUNTIFS(C$6:C$404,C215,G$6:G$404,"&gt;"&amp;G215)+1</f>
        <v>20</v>
      </c>
      <c r="J215" s="25" t="n">
        <f aca="false">COUNTIF(C$6:C$404,C215)</f>
        <v>205</v>
      </c>
    </row>
    <row r="216" customFormat="false" ht="15" hidden="false" customHeight="false" outlineLevel="0" collapsed="false">
      <c r="A216" s="25" t="n">
        <v>4115200</v>
      </c>
      <c r="B216" s="26" t="s">
        <v>282</v>
      </c>
      <c r="C216" s="26" t="s">
        <v>138</v>
      </c>
      <c r="D216" s="47" t="n">
        <f aca="false">'2 Fator educacional'!K216</f>
        <v>48.5515075040001</v>
      </c>
      <c r="E216" s="48" t="n">
        <f aca="false">'3 Fator demográfico'!K216</f>
        <v>32.3644504370198</v>
      </c>
      <c r="F216" s="49" t="n">
        <f aca="false">'4 Fator socioeconômico'!K216</f>
        <v>12.6783846878166</v>
      </c>
      <c r="G216" s="50" t="n">
        <f aca="false">(2*D216+E216+2*F216)/500</f>
        <v>0.309648469641307</v>
      </c>
      <c r="H216" s="25" t="n">
        <f aca="false">RANK(G216,G$6:G$404,0)</f>
        <v>385</v>
      </c>
      <c r="I216" s="25" t="n">
        <f aca="false">COUNTIFS(C$6:C$404,C216,G$6:G$404,"&gt;"&amp;G216)+1</f>
        <v>6</v>
      </c>
      <c r="J216" s="25" t="n">
        <f aca="false">COUNTIF(C$6:C$404,C216)</f>
        <v>6</v>
      </c>
    </row>
    <row r="217" customFormat="false" ht="15" hidden="false" customHeight="false" outlineLevel="0" collapsed="false">
      <c r="A217" s="25" t="n">
        <v>4115309</v>
      </c>
      <c r="B217" s="26" t="s">
        <v>283</v>
      </c>
      <c r="C217" s="26" t="s">
        <v>65</v>
      </c>
      <c r="D217" s="47" t="n">
        <f aca="false">'2 Fator educacional'!K217</f>
        <v>34.6116489980764</v>
      </c>
      <c r="E217" s="48" t="n">
        <f aca="false">'3 Fator demográfico'!K217</f>
        <v>54.7213978786475</v>
      </c>
      <c r="F217" s="49" t="n">
        <f aca="false">'4 Fator socioeconômico'!K217</f>
        <v>41.2729167254106</v>
      </c>
      <c r="G217" s="50" t="n">
        <f aca="false">(2*D217+E217+2*F217)/500</f>
        <v>0.412981058651243</v>
      </c>
      <c r="H217" s="25" t="n">
        <f aca="false">RANK(G217,G$6:G$404,0)</f>
        <v>290</v>
      </c>
      <c r="I217" s="25" t="n">
        <f aca="false">COUNTIFS(C$6:C$404,C217,G$6:G$404,"&gt;"&amp;G217)+1</f>
        <v>161</v>
      </c>
      <c r="J217" s="25" t="n">
        <f aca="false">COUNTIF(C$6:C$404,C217)</f>
        <v>205</v>
      </c>
    </row>
    <row r="218" customFormat="false" ht="15" hidden="false" customHeight="false" outlineLevel="0" collapsed="false">
      <c r="A218" s="25" t="n">
        <v>4115358</v>
      </c>
      <c r="B218" s="26" t="s">
        <v>284</v>
      </c>
      <c r="C218" s="26" t="s">
        <v>65</v>
      </c>
      <c r="D218" s="47" t="n">
        <f aca="false">'2 Fator educacional'!K218</f>
        <v>45.226519327917</v>
      </c>
      <c r="E218" s="48" t="n">
        <f aca="false">'3 Fator demográfico'!K218</f>
        <v>51.4102198188316</v>
      </c>
      <c r="F218" s="49" t="n">
        <f aca="false">'4 Fator socioeconômico'!K218</f>
        <v>24.3149041323514</v>
      </c>
      <c r="G218" s="50" t="n">
        <f aca="false">(2*D218+E218+2*F218)/500</f>
        <v>0.380986133478736</v>
      </c>
      <c r="H218" s="25" t="n">
        <f aca="false">RANK(G218,G$6:G$404,0)</f>
        <v>332</v>
      </c>
      <c r="I218" s="25" t="n">
        <f aca="false">COUNTIFS(C$6:C$404,C218,G$6:G$404,"&gt;"&amp;G218)+1</f>
        <v>181</v>
      </c>
      <c r="J218" s="25" t="n">
        <f aca="false">COUNTIF(C$6:C$404,C218)</f>
        <v>205</v>
      </c>
    </row>
    <row r="219" customFormat="false" ht="15" hidden="false" customHeight="false" outlineLevel="0" collapsed="false">
      <c r="A219" s="25" t="n">
        <v>4115408</v>
      </c>
      <c r="B219" s="26" t="s">
        <v>285</v>
      </c>
      <c r="C219" s="26" t="s">
        <v>65</v>
      </c>
      <c r="D219" s="47" t="n">
        <f aca="false">'2 Fator educacional'!K219</f>
        <v>60.6700200229854</v>
      </c>
      <c r="E219" s="48" t="n">
        <f aca="false">'3 Fator demográfico'!K219</f>
        <v>43.09750220716</v>
      </c>
      <c r="F219" s="49" t="n">
        <f aca="false">'4 Fator socioeconômico'!K219</f>
        <v>37.3928788658566</v>
      </c>
      <c r="G219" s="50" t="n">
        <f aca="false">(2*D219+E219+2*F219)/500</f>
        <v>0.478446599969688</v>
      </c>
      <c r="H219" s="25" t="n">
        <f aca="false">RANK(G219,G$6:G$404,0)</f>
        <v>200</v>
      </c>
      <c r="I219" s="25" t="n">
        <f aca="false">COUNTIFS(C$6:C$404,C219,G$6:G$404,"&gt;"&amp;G219)+1</f>
        <v>119</v>
      </c>
      <c r="J219" s="25" t="n">
        <f aca="false">COUNTIF(C$6:C$404,C219)</f>
        <v>205</v>
      </c>
    </row>
    <row r="220" customFormat="false" ht="15" hidden="false" customHeight="false" outlineLevel="0" collapsed="false">
      <c r="A220" s="25" t="n">
        <v>4115457</v>
      </c>
      <c r="B220" s="26" t="s">
        <v>286</v>
      </c>
      <c r="C220" s="26" t="s">
        <v>71</v>
      </c>
      <c r="D220" s="47" t="n">
        <f aca="false">'2 Fator educacional'!K220</f>
        <v>59.7067358139815</v>
      </c>
      <c r="E220" s="48" t="n">
        <f aca="false">'3 Fator demográfico'!K220</f>
        <v>36.7513674401032</v>
      </c>
      <c r="F220" s="49" t="n">
        <f aca="false">'4 Fator socioeconômico'!K220</f>
        <v>52.4461736686134</v>
      </c>
      <c r="G220" s="50" t="n">
        <f aca="false">(2*D220+E220+2*F220)/500</f>
        <v>0.522114372810586</v>
      </c>
      <c r="H220" s="25" t="n">
        <f aca="false">RANK(G220,G$6:G$404,0)</f>
        <v>126</v>
      </c>
      <c r="I220" s="25" t="n">
        <f aca="false">COUNTIFS(C$6:C$404,C220,G$6:G$404,"&gt;"&amp;G220)+1</f>
        <v>30</v>
      </c>
      <c r="J220" s="25" t="n">
        <f aca="false">COUNTIF(C$6:C$404,C220)</f>
        <v>102</v>
      </c>
    </row>
    <row r="221" customFormat="false" ht="15" hidden="false" customHeight="false" outlineLevel="0" collapsed="false">
      <c r="A221" s="25" t="n">
        <v>4115507</v>
      </c>
      <c r="B221" s="26" t="s">
        <v>287</v>
      </c>
      <c r="C221" s="26" t="s">
        <v>71</v>
      </c>
      <c r="D221" s="47" t="n">
        <f aca="false">'2 Fator educacional'!K221</f>
        <v>49.1787000194666</v>
      </c>
      <c r="E221" s="48" t="n">
        <f aca="false">'3 Fator demográfico'!K221</f>
        <v>60.7002832368763</v>
      </c>
      <c r="F221" s="49" t="n">
        <f aca="false">'4 Fator socioeconômico'!K221</f>
        <v>42.1260600362814</v>
      </c>
      <c r="G221" s="50" t="n">
        <f aca="false">(2*D221+E221+2*F221)/500</f>
        <v>0.486619606696745</v>
      </c>
      <c r="H221" s="25" t="n">
        <f aca="false">RANK(G221,G$6:G$404,0)</f>
        <v>181</v>
      </c>
      <c r="I221" s="25" t="n">
        <f aca="false">COUNTIFS(C$6:C$404,C221,G$6:G$404,"&gt;"&amp;G221)+1</f>
        <v>46</v>
      </c>
      <c r="J221" s="25" t="n">
        <f aca="false">COUNTIF(C$6:C$404,C221)</f>
        <v>102</v>
      </c>
    </row>
    <row r="222" customFormat="false" ht="15" hidden="false" customHeight="false" outlineLevel="0" collapsed="false">
      <c r="A222" s="25" t="n">
        <v>4115606</v>
      </c>
      <c r="B222" s="26" t="s">
        <v>288</v>
      </c>
      <c r="C222" s="26" t="s">
        <v>65</v>
      </c>
      <c r="D222" s="47" t="n">
        <f aca="false">'2 Fator educacional'!K222</f>
        <v>41.3076148877349</v>
      </c>
      <c r="E222" s="48" t="n">
        <f aca="false">'3 Fator demográfico'!K222</f>
        <v>46.3183011362493</v>
      </c>
      <c r="F222" s="49" t="n">
        <f aca="false">'4 Fator socioeconômico'!K222</f>
        <v>10.7692998071026</v>
      </c>
      <c r="G222" s="50" t="n">
        <f aca="false">(2*D222+E222+2*F222)/500</f>
        <v>0.300944261051849</v>
      </c>
      <c r="H222" s="25" t="n">
        <f aca="false">RANK(G222,G$6:G$404,0)</f>
        <v>389</v>
      </c>
      <c r="I222" s="25" t="n">
        <f aca="false">COUNTIFS(C$6:C$404,C222,G$6:G$404,"&gt;"&amp;G222)+1</f>
        <v>202</v>
      </c>
      <c r="J222" s="25" t="n">
        <f aca="false">COUNTIF(C$6:C$404,C222)</f>
        <v>205</v>
      </c>
    </row>
    <row r="223" customFormat="false" ht="15" hidden="false" customHeight="false" outlineLevel="0" collapsed="false">
      <c r="A223" s="25" t="n">
        <v>4115705</v>
      </c>
      <c r="B223" s="26" t="s">
        <v>289</v>
      </c>
      <c r="C223" s="26" t="s">
        <v>86</v>
      </c>
      <c r="D223" s="47" t="n">
        <f aca="false">'2 Fator educacional'!K223</f>
        <v>50.0797684214863</v>
      </c>
      <c r="E223" s="48" t="n">
        <f aca="false">'3 Fator demográfico'!K223</f>
        <v>55.8045334363872</v>
      </c>
      <c r="F223" s="49" t="n">
        <f aca="false">'4 Fator socioeconômico'!K223</f>
        <v>40.3279697766035</v>
      </c>
      <c r="G223" s="50" t="n">
        <f aca="false">(2*D223+E223+2*F223)/500</f>
        <v>0.473240019665134</v>
      </c>
      <c r="H223" s="25" t="n">
        <f aca="false">RANK(G223,G$6:G$404,0)</f>
        <v>207</v>
      </c>
      <c r="I223" s="25" t="n">
        <f aca="false">COUNTIFS(C$6:C$404,C223,G$6:G$404,"&gt;"&amp;G223)+1</f>
        <v>28</v>
      </c>
      <c r="J223" s="25" t="n">
        <f aca="false">COUNTIF(C$6:C$404,C223)</f>
        <v>62</v>
      </c>
    </row>
    <row r="224" customFormat="false" ht="15" hidden="false" customHeight="false" outlineLevel="0" collapsed="false">
      <c r="A224" s="25" t="n">
        <v>4115739</v>
      </c>
      <c r="B224" s="26" t="s">
        <v>290</v>
      </c>
      <c r="C224" s="26" t="s">
        <v>71</v>
      </c>
      <c r="D224" s="47" t="n">
        <f aca="false">'2 Fator educacional'!K224</f>
        <v>61.7500669359223</v>
      </c>
      <c r="E224" s="48" t="n">
        <f aca="false">'3 Fator demográfico'!K224</f>
        <v>80.0265232503805</v>
      </c>
      <c r="F224" s="49" t="n">
        <f aca="false">'4 Fator socioeconômico'!K224</f>
        <v>62.6092337099129</v>
      </c>
      <c r="G224" s="50" t="n">
        <f aca="false">(2*D224+E224+2*F224)/500</f>
        <v>0.657490249084102</v>
      </c>
      <c r="H224" s="25" t="n">
        <f aca="false">RANK(G224,G$6:G$404,0)</f>
        <v>25</v>
      </c>
      <c r="I224" s="25" t="n">
        <f aca="false">COUNTIFS(C$6:C$404,C224,G$6:G$404,"&gt;"&amp;G224)+1</f>
        <v>7</v>
      </c>
      <c r="J224" s="25" t="n">
        <f aca="false">COUNTIF(C$6:C$404,C224)</f>
        <v>102</v>
      </c>
    </row>
    <row r="225" customFormat="false" ht="15" hidden="false" customHeight="false" outlineLevel="0" collapsed="false">
      <c r="A225" s="25" t="n">
        <v>4115754</v>
      </c>
      <c r="B225" s="26" t="s">
        <v>291</v>
      </c>
      <c r="C225" s="26" t="s">
        <v>65</v>
      </c>
      <c r="D225" s="47" t="n">
        <f aca="false">'2 Fator educacional'!K225</f>
        <v>53.9832783072967</v>
      </c>
      <c r="E225" s="48" t="n">
        <f aca="false">'3 Fator demográfico'!K225</f>
        <v>48.5310814610728</v>
      </c>
      <c r="F225" s="49" t="n">
        <f aca="false">'4 Fator socioeconômico'!K225</f>
        <v>49.4410125912614</v>
      </c>
      <c r="G225" s="50" t="n">
        <f aca="false">(2*D225+E225+2*F225)/500</f>
        <v>0.510759326516378</v>
      </c>
      <c r="H225" s="25" t="n">
        <f aca="false">RANK(G225,G$6:G$404,0)</f>
        <v>143</v>
      </c>
      <c r="I225" s="25" t="n">
        <f aca="false">COUNTIFS(C$6:C$404,C225,G$6:G$404,"&gt;"&amp;G225)+1</f>
        <v>88</v>
      </c>
      <c r="J225" s="25" t="n">
        <f aca="false">COUNTIF(C$6:C$404,C225)</f>
        <v>205</v>
      </c>
    </row>
    <row r="226" customFormat="false" ht="15" hidden="false" customHeight="false" outlineLevel="0" collapsed="false">
      <c r="A226" s="25" t="n">
        <v>4115804</v>
      </c>
      <c r="B226" s="26" t="s">
        <v>292</v>
      </c>
      <c r="C226" s="26" t="s">
        <v>86</v>
      </c>
      <c r="D226" s="47" t="n">
        <f aca="false">'2 Fator educacional'!K226</f>
        <v>44.3640291128111</v>
      </c>
      <c r="E226" s="48" t="n">
        <f aca="false">'3 Fator demográfico'!K226</f>
        <v>54.9510140682896</v>
      </c>
      <c r="F226" s="49" t="n">
        <f aca="false">'4 Fator socioeconômico'!K226</f>
        <v>8.60962025149858</v>
      </c>
      <c r="G226" s="50" t="n">
        <f aca="false">(2*D226+E226+2*F226)/500</f>
        <v>0.321796625593818</v>
      </c>
      <c r="H226" s="25" t="n">
        <f aca="false">RANK(G226,G$6:G$404,0)</f>
        <v>376</v>
      </c>
      <c r="I226" s="25" t="n">
        <f aca="false">COUNTIFS(C$6:C$404,C226,G$6:G$404,"&gt;"&amp;G226)+1</f>
        <v>61</v>
      </c>
      <c r="J226" s="25" t="n">
        <f aca="false">COUNTIF(C$6:C$404,C226)</f>
        <v>62</v>
      </c>
    </row>
    <row r="227" customFormat="false" ht="15" hidden="false" customHeight="false" outlineLevel="0" collapsed="false">
      <c r="A227" s="25" t="n">
        <v>4115853</v>
      </c>
      <c r="B227" s="26" t="s">
        <v>293</v>
      </c>
      <c r="C227" s="26" t="s">
        <v>65</v>
      </c>
      <c r="D227" s="47" t="n">
        <f aca="false">'2 Fator educacional'!K227</f>
        <v>50.6843238360726</v>
      </c>
      <c r="E227" s="48" t="n">
        <f aca="false">'3 Fator demográfico'!K227</f>
        <v>29.0966688009604</v>
      </c>
      <c r="F227" s="49" t="n">
        <f aca="false">'4 Fator socioeconômico'!K227</f>
        <v>22.1849774358861</v>
      </c>
      <c r="G227" s="50" t="n">
        <f aca="false">(2*D227+E227+2*F227)/500</f>
        <v>0.349670542689756</v>
      </c>
      <c r="H227" s="25" t="n">
        <f aca="false">RANK(G227,G$6:G$404,0)</f>
        <v>360</v>
      </c>
      <c r="I227" s="25" t="n">
        <f aca="false">COUNTIFS(C$6:C$404,C227,G$6:G$404,"&gt;"&amp;G227)+1</f>
        <v>191</v>
      </c>
      <c r="J227" s="25" t="n">
        <f aca="false">COUNTIF(C$6:C$404,C227)</f>
        <v>205</v>
      </c>
    </row>
    <row r="228" customFormat="false" ht="15" hidden="false" customHeight="false" outlineLevel="0" collapsed="false">
      <c r="A228" s="25" t="n">
        <v>4115903</v>
      </c>
      <c r="B228" s="26" t="s">
        <v>294</v>
      </c>
      <c r="C228" s="26" t="s">
        <v>71</v>
      </c>
      <c r="D228" s="47" t="n">
        <f aca="false">'2 Fator educacional'!K228</f>
        <v>49.7645235202261</v>
      </c>
      <c r="E228" s="48" t="n">
        <f aca="false">'3 Fator demográfico'!K228</f>
        <v>41.0661941872975</v>
      </c>
      <c r="F228" s="49" t="n">
        <f aca="false">'4 Fator socioeconômico'!K228</f>
        <v>41.6769779816574</v>
      </c>
      <c r="G228" s="50" t="n">
        <f aca="false">(2*D228+E228+2*F228)/500</f>
        <v>0.447898394382129</v>
      </c>
      <c r="H228" s="25" t="n">
        <f aca="false">RANK(G228,G$6:G$404,0)</f>
        <v>240</v>
      </c>
      <c r="I228" s="25" t="n">
        <f aca="false">COUNTIFS(C$6:C$404,C228,G$6:G$404,"&gt;"&amp;G228)+1</f>
        <v>54</v>
      </c>
      <c r="J228" s="25" t="n">
        <f aca="false">COUNTIF(C$6:C$404,C228)</f>
        <v>102</v>
      </c>
    </row>
    <row r="229" customFormat="false" ht="15" hidden="false" customHeight="false" outlineLevel="0" collapsed="false">
      <c r="A229" s="25" t="n">
        <v>4116000</v>
      </c>
      <c r="B229" s="26" t="s">
        <v>295</v>
      </c>
      <c r="C229" s="26" t="s">
        <v>71</v>
      </c>
      <c r="D229" s="47" t="n">
        <f aca="false">'2 Fator educacional'!K229</f>
        <v>41.5547577978561</v>
      </c>
      <c r="E229" s="48" t="n">
        <f aca="false">'3 Fator demográfico'!K229</f>
        <v>0</v>
      </c>
      <c r="F229" s="49" t="n">
        <f aca="false">'4 Fator socioeconômico'!K229</f>
        <v>40.2676407131314</v>
      </c>
      <c r="G229" s="50" t="n">
        <f aca="false">(2*D229+E229+2*F229)/500</f>
        <v>0.32728959404395</v>
      </c>
      <c r="H229" s="25" t="n">
        <f aca="false">RANK(G229,G$6:G$404,0)</f>
        <v>373</v>
      </c>
      <c r="I229" s="25" t="n">
        <f aca="false">COUNTIFS(C$6:C$404,C229,G$6:G$404,"&gt;"&amp;G229)+1</f>
        <v>92</v>
      </c>
      <c r="J229" s="25" t="n">
        <f aca="false">COUNTIF(C$6:C$404,C229)</f>
        <v>102</v>
      </c>
    </row>
    <row r="230" customFormat="false" ht="15" hidden="false" customHeight="false" outlineLevel="0" collapsed="false">
      <c r="A230" s="25" t="n">
        <v>4116059</v>
      </c>
      <c r="B230" s="26" t="s">
        <v>296</v>
      </c>
      <c r="C230" s="26" t="s">
        <v>65</v>
      </c>
      <c r="D230" s="47" t="n">
        <f aca="false">'2 Fator educacional'!K230</f>
        <v>51.2493372937968</v>
      </c>
      <c r="E230" s="48" t="n">
        <f aca="false">'3 Fator demográfico'!K230</f>
        <v>35.915950858882</v>
      </c>
      <c r="F230" s="49" t="n">
        <f aca="false">'4 Fator socioeconômico'!K230</f>
        <v>38.5372581434128</v>
      </c>
      <c r="G230" s="50" t="n">
        <f aca="false">(2*D230+E230+2*F230)/500</f>
        <v>0.430978283466602</v>
      </c>
      <c r="H230" s="25" t="n">
        <f aca="false">RANK(G230,G$6:G$404,0)</f>
        <v>266</v>
      </c>
      <c r="I230" s="25" t="n">
        <f aca="false">COUNTIFS(C$6:C$404,C230,G$6:G$404,"&gt;"&amp;G230)+1</f>
        <v>152</v>
      </c>
      <c r="J230" s="25" t="n">
        <f aca="false">COUNTIF(C$6:C$404,C230)</f>
        <v>205</v>
      </c>
    </row>
    <row r="231" customFormat="false" ht="15" hidden="false" customHeight="false" outlineLevel="0" collapsed="false">
      <c r="A231" s="25" t="n">
        <v>4116109</v>
      </c>
      <c r="B231" s="26" t="s">
        <v>297</v>
      </c>
      <c r="C231" s="26" t="s">
        <v>65</v>
      </c>
      <c r="D231" s="47" t="n">
        <f aca="false">'2 Fator educacional'!K231</f>
        <v>59.5336210661013</v>
      </c>
      <c r="E231" s="48" t="n">
        <f aca="false">'3 Fator demográfico'!K231</f>
        <v>42.5701022975564</v>
      </c>
      <c r="F231" s="49" t="n">
        <f aca="false">'4 Fator socioeconômico'!K231</f>
        <v>52.0654973024547</v>
      </c>
      <c r="G231" s="50" t="n">
        <f aca="false">(2*D231+E231+2*F231)/500</f>
        <v>0.531536678069337</v>
      </c>
      <c r="H231" s="25" t="n">
        <f aca="false">RANK(G231,G$6:G$404,0)</f>
        <v>114</v>
      </c>
      <c r="I231" s="25" t="n">
        <f aca="false">COUNTIFS(C$6:C$404,C231,G$6:G$404,"&gt;"&amp;G231)+1</f>
        <v>69</v>
      </c>
      <c r="J231" s="25" t="n">
        <f aca="false">COUNTIF(C$6:C$404,C231)</f>
        <v>205</v>
      </c>
    </row>
    <row r="232" customFormat="false" ht="15" hidden="false" customHeight="false" outlineLevel="0" collapsed="false">
      <c r="A232" s="25" t="n">
        <v>4116208</v>
      </c>
      <c r="B232" s="26" t="s">
        <v>298</v>
      </c>
      <c r="C232" s="26" t="s">
        <v>65</v>
      </c>
      <c r="D232" s="47" t="n">
        <f aca="false">'2 Fator educacional'!K232</f>
        <v>63.8053319512644</v>
      </c>
      <c r="E232" s="48" t="n">
        <f aca="false">'3 Fator demográfico'!K232</f>
        <v>37.6142500903447</v>
      </c>
      <c r="F232" s="49" t="n">
        <f aca="false">'4 Fator socioeconômico'!K232</f>
        <v>52.5580110649759</v>
      </c>
      <c r="G232" s="50" t="n">
        <f aca="false">(2*D232+E232+2*F232)/500</f>
        <v>0.54068187224565</v>
      </c>
      <c r="H232" s="25" t="n">
        <f aca="false">RANK(G232,G$6:G$404,0)</f>
        <v>102</v>
      </c>
      <c r="I232" s="25" t="n">
        <f aca="false">COUNTIFS(C$6:C$404,C232,G$6:G$404,"&gt;"&amp;G232)+1</f>
        <v>63</v>
      </c>
      <c r="J232" s="25" t="n">
        <f aca="false">COUNTIF(C$6:C$404,C232)</f>
        <v>205</v>
      </c>
    </row>
    <row r="233" customFormat="false" ht="15" hidden="false" customHeight="false" outlineLevel="0" collapsed="false">
      <c r="A233" s="25" t="n">
        <v>4116307</v>
      </c>
      <c r="B233" s="26" t="s">
        <v>299</v>
      </c>
      <c r="C233" s="26" t="s">
        <v>71</v>
      </c>
      <c r="D233" s="47" t="n">
        <f aca="false">'2 Fator educacional'!K233</f>
        <v>48.1228693343295</v>
      </c>
      <c r="E233" s="48" t="n">
        <f aca="false">'3 Fator demográfico'!K233</f>
        <v>28.7580828210268</v>
      </c>
      <c r="F233" s="49" t="n">
        <f aca="false">'4 Fator socioeconômico'!K233</f>
        <v>46.0543102958348</v>
      </c>
      <c r="G233" s="50" t="n">
        <f aca="false">(2*D233+E233+2*F233)/500</f>
        <v>0.434224884162711</v>
      </c>
      <c r="H233" s="25" t="n">
        <f aca="false">RANK(G233,G$6:G$404,0)</f>
        <v>260</v>
      </c>
      <c r="I233" s="25" t="n">
        <f aca="false">COUNTIFS(C$6:C$404,C233,G$6:G$404,"&gt;"&amp;G233)+1</f>
        <v>59</v>
      </c>
      <c r="J233" s="25" t="n">
        <f aca="false">COUNTIF(C$6:C$404,C233)</f>
        <v>102</v>
      </c>
    </row>
    <row r="234" customFormat="false" ht="15" hidden="false" customHeight="false" outlineLevel="0" collapsed="false">
      <c r="A234" s="25" t="n">
        <v>4116406</v>
      </c>
      <c r="B234" s="26" t="s">
        <v>300</v>
      </c>
      <c r="C234" s="26" t="s">
        <v>71</v>
      </c>
      <c r="D234" s="47" t="n">
        <f aca="false">'2 Fator educacional'!K234</f>
        <v>62.1546970446455</v>
      </c>
      <c r="E234" s="48" t="n">
        <f aca="false">'3 Fator demográfico'!K234</f>
        <v>43.5581061457619</v>
      </c>
      <c r="F234" s="49" t="n">
        <f aca="false">'4 Fator socioeconômico'!K234</f>
        <v>42.1043848310292</v>
      </c>
      <c r="G234" s="50" t="n">
        <f aca="false">(2*D234+E234+2*F234)/500</f>
        <v>0.504152539794223</v>
      </c>
      <c r="H234" s="25" t="n">
        <f aca="false">RANK(G234,G$6:G$404,0)</f>
        <v>152</v>
      </c>
      <c r="I234" s="25" t="n">
        <f aca="false">COUNTIFS(C$6:C$404,C234,G$6:G$404,"&gt;"&amp;G234)+1</f>
        <v>37</v>
      </c>
      <c r="J234" s="25" t="n">
        <f aca="false">COUNTIF(C$6:C$404,C234)</f>
        <v>102</v>
      </c>
    </row>
    <row r="235" customFormat="false" ht="15" hidden="false" customHeight="false" outlineLevel="0" collapsed="false">
      <c r="A235" s="25" t="n">
        <v>4116505</v>
      </c>
      <c r="B235" s="26" t="s">
        <v>301</v>
      </c>
      <c r="C235" s="26" t="s">
        <v>71</v>
      </c>
      <c r="D235" s="47" t="n">
        <f aca="false">'2 Fator educacional'!K235</f>
        <v>31.4076343987517</v>
      </c>
      <c r="E235" s="48" t="n">
        <f aca="false">'3 Fator demográfico'!K235</f>
        <v>34.543747371557</v>
      </c>
      <c r="F235" s="49" t="n">
        <f aca="false">'4 Fator socioeconômico'!K235</f>
        <v>42.355355879931</v>
      </c>
      <c r="G235" s="50" t="n">
        <f aca="false">(2*D235+E235+2*F235)/500</f>
        <v>0.364139455857845</v>
      </c>
      <c r="H235" s="25" t="n">
        <f aca="false">RANK(G235,G$6:G$404,0)</f>
        <v>350</v>
      </c>
      <c r="I235" s="25" t="n">
        <f aca="false">COUNTIFS(C$6:C$404,C235,G$6:G$404,"&gt;"&amp;G235)+1</f>
        <v>85</v>
      </c>
      <c r="J235" s="25" t="n">
        <f aca="false">COUNTIF(C$6:C$404,C235)</f>
        <v>102</v>
      </c>
    </row>
    <row r="236" customFormat="false" ht="15" hidden="false" customHeight="false" outlineLevel="0" collapsed="false">
      <c r="A236" s="25" t="n">
        <v>4116604</v>
      </c>
      <c r="B236" s="26" t="s">
        <v>302</v>
      </c>
      <c r="C236" s="26" t="s">
        <v>71</v>
      </c>
      <c r="D236" s="47" t="n">
        <f aca="false">'2 Fator educacional'!K236</f>
        <v>24.6037820147653</v>
      </c>
      <c r="E236" s="48" t="n">
        <f aca="false">'3 Fator demográfico'!K236</f>
        <v>35.1609423706928</v>
      </c>
      <c r="F236" s="49" t="n">
        <f aca="false">'4 Fator socioeconômico'!K236</f>
        <v>46.9803758135482</v>
      </c>
      <c r="G236" s="50" t="n">
        <f aca="false">(2*D236+E236+2*F236)/500</f>
        <v>0.356658516054639</v>
      </c>
      <c r="H236" s="25" t="n">
        <f aca="false">RANK(G236,G$6:G$404,0)</f>
        <v>356</v>
      </c>
      <c r="I236" s="25" t="n">
        <f aca="false">COUNTIFS(C$6:C$404,C236,G$6:G$404,"&gt;"&amp;G236)+1</f>
        <v>87</v>
      </c>
      <c r="J236" s="25" t="n">
        <f aca="false">COUNTIF(C$6:C$404,C236)</f>
        <v>102</v>
      </c>
    </row>
    <row r="237" customFormat="false" ht="15" hidden="false" customHeight="false" outlineLevel="0" collapsed="false">
      <c r="A237" s="25" t="n">
        <v>4116703</v>
      </c>
      <c r="B237" s="26" t="s">
        <v>303</v>
      </c>
      <c r="C237" s="26" t="s">
        <v>65</v>
      </c>
      <c r="D237" s="47" t="n">
        <f aca="false">'2 Fator educacional'!K237</f>
        <v>63.1917146645025</v>
      </c>
      <c r="E237" s="48" t="n">
        <f aca="false">'3 Fator demográfico'!K237</f>
        <v>47.4229001032424</v>
      </c>
      <c r="F237" s="49" t="n">
        <f aca="false">'4 Fator socioeconômico'!K237</f>
        <v>27.6205524262266</v>
      </c>
      <c r="G237" s="50" t="n">
        <f aca="false">(2*D237+E237+2*F237)/500</f>
        <v>0.458094868569401</v>
      </c>
      <c r="H237" s="25" t="n">
        <f aca="false">RANK(G237,G$6:G$404,0)</f>
        <v>228</v>
      </c>
      <c r="I237" s="25" t="n">
        <f aca="false">COUNTIFS(C$6:C$404,C237,G$6:G$404,"&gt;"&amp;G237)+1</f>
        <v>137</v>
      </c>
      <c r="J237" s="25" t="n">
        <f aca="false">COUNTIF(C$6:C$404,C237)</f>
        <v>205</v>
      </c>
    </row>
    <row r="238" customFormat="false" ht="15" hidden="false" customHeight="false" outlineLevel="0" collapsed="false">
      <c r="A238" s="25" t="n">
        <v>4116802</v>
      </c>
      <c r="B238" s="26" t="s">
        <v>304</v>
      </c>
      <c r="C238" s="26" t="s">
        <v>65</v>
      </c>
      <c r="D238" s="47" t="n">
        <f aca="false">'2 Fator educacional'!K238</f>
        <v>49.1371951922222</v>
      </c>
      <c r="E238" s="48" t="n">
        <f aca="false">'3 Fator demográfico'!K238</f>
        <v>54.1578656101489</v>
      </c>
      <c r="F238" s="49" t="n">
        <f aca="false">'4 Fator socioeconômico'!K238</f>
        <v>55.8954650818823</v>
      </c>
      <c r="G238" s="50" t="n">
        <f aca="false">(2*D238+E238+2*F238)/500</f>
        <v>0.528446372316716</v>
      </c>
      <c r="H238" s="25" t="n">
        <f aca="false">RANK(G238,G$6:G$404,0)</f>
        <v>119</v>
      </c>
      <c r="I238" s="25" t="n">
        <f aca="false">COUNTIFS(C$6:C$404,C238,G$6:G$404,"&gt;"&amp;G238)+1</f>
        <v>72</v>
      </c>
      <c r="J238" s="25" t="n">
        <f aca="false">COUNTIF(C$6:C$404,C238)</f>
        <v>205</v>
      </c>
    </row>
    <row r="239" customFormat="false" ht="15" hidden="false" customHeight="false" outlineLevel="0" collapsed="false">
      <c r="A239" s="25" t="n">
        <v>4116901</v>
      </c>
      <c r="B239" s="26" t="s">
        <v>305</v>
      </c>
      <c r="C239" s="26" t="s">
        <v>86</v>
      </c>
      <c r="D239" s="47" t="n">
        <f aca="false">'2 Fator educacional'!K239</f>
        <v>53.7262956798208</v>
      </c>
      <c r="E239" s="48" t="n">
        <f aca="false">'3 Fator demográfico'!K239</f>
        <v>35.4331495224303</v>
      </c>
      <c r="F239" s="49" t="n">
        <f aca="false">'4 Fator socioeconômico'!K239</f>
        <v>39.5750759316105</v>
      </c>
      <c r="G239" s="50" t="n">
        <f aca="false">(2*D239+E239+2*F239)/500</f>
        <v>0.444071785490586</v>
      </c>
      <c r="H239" s="25" t="n">
        <f aca="false">RANK(G239,G$6:G$404,0)</f>
        <v>247</v>
      </c>
      <c r="I239" s="25" t="n">
        <f aca="false">COUNTIFS(C$6:C$404,C239,G$6:G$404,"&gt;"&amp;G239)+1</f>
        <v>34</v>
      </c>
      <c r="J239" s="25" t="n">
        <f aca="false">COUNTIF(C$6:C$404,C239)</f>
        <v>62</v>
      </c>
    </row>
    <row r="240" customFormat="false" ht="15" hidden="false" customHeight="false" outlineLevel="0" collapsed="false">
      <c r="A240" s="25" t="n">
        <v>4116950</v>
      </c>
      <c r="B240" s="26" t="s">
        <v>306</v>
      </c>
      <c r="C240" s="26" t="s">
        <v>65</v>
      </c>
      <c r="D240" s="47" t="n">
        <f aca="false">'2 Fator educacional'!K240</f>
        <v>61.2346221645657</v>
      </c>
      <c r="E240" s="48" t="n">
        <f aca="false">'3 Fator demográfico'!K240</f>
        <v>72.8872564226653</v>
      </c>
      <c r="F240" s="49" t="n">
        <f aca="false">'4 Fator socioeconômico'!K240</f>
        <v>38.2865672394029</v>
      </c>
      <c r="G240" s="50" t="n">
        <f aca="false">(2*D240+E240+2*F240)/500</f>
        <v>0.543859270461205</v>
      </c>
      <c r="H240" s="25" t="n">
        <f aca="false">RANK(G240,G$6:G$404,0)</f>
        <v>97</v>
      </c>
      <c r="I240" s="25" t="n">
        <f aca="false">COUNTIFS(C$6:C$404,C240,G$6:G$404,"&gt;"&amp;G240)+1</f>
        <v>60</v>
      </c>
      <c r="J240" s="25" t="n">
        <f aca="false">COUNTIF(C$6:C$404,C240)</f>
        <v>205</v>
      </c>
    </row>
    <row r="241" customFormat="false" ht="15" hidden="false" customHeight="false" outlineLevel="0" collapsed="false">
      <c r="A241" s="25" t="n">
        <v>4117008</v>
      </c>
      <c r="B241" s="26" t="s">
        <v>307</v>
      </c>
      <c r="C241" s="26" t="s">
        <v>65</v>
      </c>
      <c r="D241" s="47" t="n">
        <f aca="false">'2 Fator educacional'!K241</f>
        <v>28.4765425669595</v>
      </c>
      <c r="E241" s="48" t="n">
        <f aca="false">'3 Fator demográfico'!K241</f>
        <v>43.1438852535892</v>
      </c>
      <c r="F241" s="49" t="n">
        <f aca="false">'4 Fator socioeconômico'!K241</f>
        <v>52.3519524595875</v>
      </c>
      <c r="G241" s="50" t="n">
        <f aca="false">(2*D241+E241+2*F241)/500</f>
        <v>0.409601750613366</v>
      </c>
      <c r="H241" s="25" t="n">
        <f aca="false">RANK(G241,G$6:G$404,0)</f>
        <v>295</v>
      </c>
      <c r="I241" s="25" t="n">
        <f aca="false">COUNTIFS(C$6:C$404,C241,G$6:G$404,"&gt;"&amp;G241)+1</f>
        <v>164</v>
      </c>
      <c r="J241" s="25" t="n">
        <f aca="false">COUNTIF(C$6:C$404,C241)</f>
        <v>205</v>
      </c>
    </row>
    <row r="242" customFormat="false" ht="15" hidden="false" customHeight="false" outlineLevel="0" collapsed="false">
      <c r="A242" s="25" t="n">
        <v>4117057</v>
      </c>
      <c r="B242" s="26" t="s">
        <v>308</v>
      </c>
      <c r="C242" s="26" t="s">
        <v>65</v>
      </c>
      <c r="D242" s="47" t="n">
        <f aca="false">'2 Fator educacional'!K242</f>
        <v>80.5050353452306</v>
      </c>
      <c r="E242" s="48" t="n">
        <f aca="false">'3 Fator demográfico'!K242</f>
        <v>76.9060004054865</v>
      </c>
      <c r="F242" s="49" t="n">
        <f aca="false">'4 Fator socioeconômico'!K242</f>
        <v>59.1167629692538</v>
      </c>
      <c r="G242" s="50" t="n">
        <f aca="false">(2*D242+E242+2*F242)/500</f>
        <v>0.712299194068911</v>
      </c>
      <c r="H242" s="25" t="n">
        <f aca="false">RANK(G242,G$6:G$404,0)</f>
        <v>8</v>
      </c>
      <c r="I242" s="25" t="n">
        <f aca="false">COUNTIFS(C$6:C$404,C242,G$6:G$404,"&gt;"&amp;G242)+1</f>
        <v>6</v>
      </c>
      <c r="J242" s="25" t="n">
        <f aca="false">COUNTIF(C$6:C$404,C242)</f>
        <v>205</v>
      </c>
    </row>
    <row r="243" customFormat="false" ht="15" hidden="false" customHeight="false" outlineLevel="0" collapsed="false">
      <c r="A243" s="25" t="n">
        <v>4117107</v>
      </c>
      <c r="B243" s="26" t="s">
        <v>309</v>
      </c>
      <c r="C243" s="26" t="s">
        <v>65</v>
      </c>
      <c r="D243" s="47" t="n">
        <f aca="false">'2 Fator educacional'!K243</f>
        <v>37.2689137816658</v>
      </c>
      <c r="E243" s="48" t="n">
        <f aca="false">'3 Fator demográfico'!K243</f>
        <v>40.0494499395012</v>
      </c>
      <c r="F243" s="49" t="n">
        <f aca="false">'4 Fator socioeconômico'!K243</f>
        <v>34.4778505675239</v>
      </c>
      <c r="G243" s="50" t="n">
        <f aca="false">(2*D243+E243+2*F243)/500</f>
        <v>0.367085957275761</v>
      </c>
      <c r="H243" s="25" t="n">
        <f aca="false">RANK(G243,G$6:G$404,0)</f>
        <v>344</v>
      </c>
      <c r="I243" s="25" t="n">
        <f aca="false">COUNTIFS(C$6:C$404,C243,G$6:G$404,"&gt;"&amp;G243)+1</f>
        <v>185</v>
      </c>
      <c r="J243" s="25" t="n">
        <f aca="false">COUNTIF(C$6:C$404,C243)</f>
        <v>205</v>
      </c>
    </row>
    <row r="244" customFormat="false" ht="15" hidden="false" customHeight="false" outlineLevel="0" collapsed="false">
      <c r="A244" s="25" t="n">
        <v>4117206</v>
      </c>
      <c r="B244" s="26" t="s">
        <v>310</v>
      </c>
      <c r="C244" s="26" t="s">
        <v>65</v>
      </c>
      <c r="D244" s="47" t="n">
        <f aca="false">'2 Fator educacional'!K244</f>
        <v>32.4976091416594</v>
      </c>
      <c r="E244" s="48" t="n">
        <f aca="false">'3 Fator demográfico'!K244</f>
        <v>43.0067277995166</v>
      </c>
      <c r="F244" s="49" t="n">
        <f aca="false">'4 Fator socioeconômico'!K244</f>
        <v>41.466777715229</v>
      </c>
      <c r="G244" s="50" t="n">
        <f aca="false">(2*D244+E244+2*F244)/500</f>
        <v>0.381871003026587</v>
      </c>
      <c r="H244" s="25" t="n">
        <f aca="false">RANK(G244,G$6:G$404,0)</f>
        <v>331</v>
      </c>
      <c r="I244" s="25" t="n">
        <f aca="false">COUNTIFS(C$6:C$404,C244,G$6:G$404,"&gt;"&amp;G244)+1</f>
        <v>180</v>
      </c>
      <c r="J244" s="25" t="n">
        <f aca="false">COUNTIF(C$6:C$404,C244)</f>
        <v>205</v>
      </c>
    </row>
    <row r="245" customFormat="false" ht="15" hidden="false" customHeight="false" outlineLevel="0" collapsed="false">
      <c r="A245" s="25" t="n">
        <v>4117255</v>
      </c>
      <c r="B245" s="26" t="s">
        <v>311</v>
      </c>
      <c r="C245" s="26" t="s">
        <v>65</v>
      </c>
      <c r="D245" s="47" t="n">
        <f aca="false">'2 Fator educacional'!K245</f>
        <v>76.5065177691811</v>
      </c>
      <c r="E245" s="48" t="n">
        <f aca="false">'3 Fator demográfico'!K245</f>
        <v>36.1910891405013</v>
      </c>
      <c r="F245" s="49" t="n">
        <f aca="false">'4 Fator socioeconômico'!K245</f>
        <v>32.3876369186376</v>
      </c>
      <c r="G245" s="50" t="n">
        <f aca="false">(2*D245+E245+2*F245)/500</f>
        <v>0.507958797032277</v>
      </c>
      <c r="H245" s="25" t="n">
        <f aca="false">RANK(G245,G$6:G$404,0)</f>
        <v>145</v>
      </c>
      <c r="I245" s="25" t="n">
        <f aca="false">COUNTIFS(C$6:C$404,C245,G$6:G$404,"&gt;"&amp;G245)+1</f>
        <v>90</v>
      </c>
      <c r="J245" s="25" t="n">
        <f aca="false">COUNTIF(C$6:C$404,C245)</f>
        <v>205</v>
      </c>
    </row>
    <row r="246" customFormat="false" ht="15" hidden="false" customHeight="false" outlineLevel="0" collapsed="false">
      <c r="A246" s="25" t="n">
        <v>4117214</v>
      </c>
      <c r="B246" s="26" t="s">
        <v>312</v>
      </c>
      <c r="C246" s="26" t="s">
        <v>71</v>
      </c>
      <c r="D246" s="47" t="n">
        <f aca="false">'2 Fator educacional'!K246</f>
        <v>33.8361511584349</v>
      </c>
      <c r="E246" s="48" t="n">
        <f aca="false">'3 Fator demográfico'!K246</f>
        <v>80.8248295747052</v>
      </c>
      <c r="F246" s="49" t="n">
        <f aca="false">'4 Fator socioeconômico'!K246</f>
        <v>61.1074483100566</v>
      </c>
      <c r="G246" s="50" t="n">
        <f aca="false">(2*D246+E246+2*F246)/500</f>
        <v>0.541424057023376</v>
      </c>
      <c r="H246" s="25" t="n">
        <f aca="false">RANK(G246,G$6:G$404,0)</f>
        <v>100</v>
      </c>
      <c r="I246" s="25" t="n">
        <f aca="false">COUNTIFS(C$6:C$404,C246,G$6:G$404,"&gt;"&amp;G246)+1</f>
        <v>26</v>
      </c>
      <c r="J246" s="25" t="n">
        <f aca="false">COUNTIF(C$6:C$404,C246)</f>
        <v>102</v>
      </c>
    </row>
    <row r="247" customFormat="false" ht="15" hidden="false" customHeight="false" outlineLevel="0" collapsed="false">
      <c r="A247" s="25" t="n">
        <v>4117222</v>
      </c>
      <c r="B247" s="26" t="s">
        <v>313</v>
      </c>
      <c r="C247" s="26" t="s">
        <v>65</v>
      </c>
      <c r="D247" s="47" t="n">
        <f aca="false">'2 Fator educacional'!K247</f>
        <v>33.4365613748444</v>
      </c>
      <c r="E247" s="48" t="n">
        <f aca="false">'3 Fator demográfico'!K247</f>
        <v>31.0522043436305</v>
      </c>
      <c r="F247" s="49" t="n">
        <f aca="false">'4 Fator socioeconômico'!K247</f>
        <v>28.8437292615271</v>
      </c>
      <c r="G247" s="50" t="n">
        <f aca="false">(2*D247+E247+2*F247)/500</f>
        <v>0.311225571232747</v>
      </c>
      <c r="H247" s="25" t="n">
        <f aca="false">RANK(G247,G$6:G$404,0)</f>
        <v>384</v>
      </c>
      <c r="I247" s="25" t="n">
        <f aca="false">COUNTIFS(C$6:C$404,C247,G$6:G$404,"&gt;"&amp;G247)+1</f>
        <v>199</v>
      </c>
      <c r="J247" s="25" t="n">
        <f aca="false">COUNTIF(C$6:C$404,C247)</f>
        <v>205</v>
      </c>
    </row>
    <row r="248" customFormat="false" ht="15" hidden="false" customHeight="false" outlineLevel="0" collapsed="false">
      <c r="A248" s="25" t="n">
        <v>4117271</v>
      </c>
      <c r="B248" s="26" t="s">
        <v>314</v>
      </c>
      <c r="C248" s="26" t="s">
        <v>65</v>
      </c>
      <c r="D248" s="47" t="n">
        <f aca="false">'2 Fator educacional'!K248</f>
        <v>46.5937689271714</v>
      </c>
      <c r="E248" s="48" t="n">
        <f aca="false">'3 Fator demográfico'!K248</f>
        <v>49.5437270760013</v>
      </c>
      <c r="F248" s="49" t="n">
        <f aca="false">'4 Fator socioeconômico'!K248</f>
        <v>53.4311467551532</v>
      </c>
      <c r="G248" s="50" t="n">
        <f aca="false">(2*D248+E248+2*F248)/500</f>
        <v>0.499187116881301</v>
      </c>
      <c r="H248" s="25" t="n">
        <f aca="false">RANK(G248,G$6:G$404,0)</f>
        <v>160</v>
      </c>
      <c r="I248" s="25" t="n">
        <f aca="false">COUNTIFS(C$6:C$404,C248,G$6:G$404,"&gt;"&amp;G248)+1</f>
        <v>95</v>
      </c>
      <c r="J248" s="25" t="n">
        <f aca="false">COUNTIF(C$6:C$404,C248)</f>
        <v>205</v>
      </c>
    </row>
    <row r="249" customFormat="false" ht="15" hidden="false" customHeight="false" outlineLevel="0" collapsed="false">
      <c r="A249" s="25" t="n">
        <v>4117297</v>
      </c>
      <c r="B249" s="26" t="s">
        <v>315</v>
      </c>
      <c r="C249" s="26" t="s">
        <v>71</v>
      </c>
      <c r="D249" s="47" t="n">
        <f aca="false">'2 Fator educacional'!K249</f>
        <v>47.0948786120695</v>
      </c>
      <c r="E249" s="48" t="n">
        <f aca="false">'3 Fator demográfico'!K249</f>
        <v>79.351873914135</v>
      </c>
      <c r="F249" s="49" t="n">
        <f aca="false">'4 Fator socioeconômico'!K249</f>
        <v>40.1260776488235</v>
      </c>
      <c r="G249" s="50" t="n">
        <f aca="false">(2*D249+E249+2*F249)/500</f>
        <v>0.507587572871842</v>
      </c>
      <c r="H249" s="25" t="n">
        <f aca="false">RANK(G249,G$6:G$404,0)</f>
        <v>146</v>
      </c>
      <c r="I249" s="25" t="n">
        <f aca="false">COUNTIFS(C$6:C$404,C249,G$6:G$404,"&gt;"&amp;G249)+1</f>
        <v>34</v>
      </c>
      <c r="J249" s="25" t="n">
        <f aca="false">COUNTIF(C$6:C$404,C249)</f>
        <v>102</v>
      </c>
    </row>
    <row r="250" customFormat="false" ht="15" hidden="false" customHeight="false" outlineLevel="0" collapsed="false">
      <c r="A250" s="25" t="n">
        <v>4117305</v>
      </c>
      <c r="B250" s="26" t="s">
        <v>316</v>
      </c>
      <c r="C250" s="26" t="s">
        <v>86</v>
      </c>
      <c r="D250" s="47" t="n">
        <f aca="false">'2 Fator educacional'!K250</f>
        <v>73.3636624828258</v>
      </c>
      <c r="E250" s="48" t="n">
        <f aca="false">'3 Fator demográfico'!K250</f>
        <v>52.8397445585663</v>
      </c>
      <c r="F250" s="49" t="n">
        <f aca="false">'4 Fator socioeconômico'!K250</f>
        <v>36.1923029798623</v>
      </c>
      <c r="G250" s="50" t="n">
        <f aca="false">(2*D250+E250+2*F250)/500</f>
        <v>0.543903350967885</v>
      </c>
      <c r="H250" s="25" t="n">
        <f aca="false">RANK(G250,G$6:G$404,0)</f>
        <v>96</v>
      </c>
      <c r="I250" s="25" t="n">
        <f aca="false">COUNTIFS(C$6:C$404,C250,G$6:G$404,"&gt;"&amp;G250)+1</f>
        <v>10</v>
      </c>
      <c r="J250" s="25" t="n">
        <f aca="false">COUNTIF(C$6:C$404,C250)</f>
        <v>62</v>
      </c>
    </row>
    <row r="251" customFormat="false" ht="15" hidden="false" customHeight="false" outlineLevel="0" collapsed="false">
      <c r="A251" s="25" t="n">
        <v>4117404</v>
      </c>
      <c r="B251" s="26" t="s">
        <v>317</v>
      </c>
      <c r="C251" s="26" t="s">
        <v>71</v>
      </c>
      <c r="D251" s="47" t="n">
        <f aca="false">'2 Fator educacional'!K251</f>
        <v>47.0355320680572</v>
      </c>
      <c r="E251" s="48" t="n">
        <f aca="false">'3 Fator demográfico'!K251</f>
        <v>29.8797175365757</v>
      </c>
      <c r="F251" s="49" t="n">
        <f aca="false">'4 Fator socioeconômico'!K251</f>
        <v>35.4179265594546</v>
      </c>
      <c r="G251" s="50" t="n">
        <f aca="false">(2*D251+E251+2*F251)/500</f>
        <v>0.389573269583199</v>
      </c>
      <c r="H251" s="25" t="n">
        <f aca="false">RANK(G251,G$6:G$404,0)</f>
        <v>323</v>
      </c>
      <c r="I251" s="25" t="n">
        <f aca="false">COUNTIFS(C$6:C$404,C251,G$6:G$404,"&gt;"&amp;G251)+1</f>
        <v>76</v>
      </c>
      <c r="J251" s="25" t="n">
        <f aca="false">COUNTIF(C$6:C$404,C251)</f>
        <v>102</v>
      </c>
    </row>
    <row r="252" customFormat="false" ht="15" hidden="false" customHeight="false" outlineLevel="0" collapsed="false">
      <c r="A252" s="25" t="n">
        <v>4117453</v>
      </c>
      <c r="B252" s="26" t="s">
        <v>318</v>
      </c>
      <c r="C252" s="26" t="s">
        <v>65</v>
      </c>
      <c r="D252" s="47" t="n">
        <f aca="false">'2 Fator educacional'!K252</f>
        <v>54.4014869894141</v>
      </c>
      <c r="E252" s="48" t="n">
        <f aca="false">'3 Fator demográfico'!K252</f>
        <v>68.2878236921847</v>
      </c>
      <c r="F252" s="49" t="n">
        <f aca="false">'4 Fator socioeconômico'!K252</f>
        <v>28.9825078239476</v>
      </c>
      <c r="G252" s="50" t="n">
        <f aca="false">(2*D252+E252+2*F252)/500</f>
        <v>0.470111626637816</v>
      </c>
      <c r="H252" s="25" t="n">
        <f aca="false">RANK(G252,G$6:G$404,0)</f>
        <v>210</v>
      </c>
      <c r="I252" s="25" t="n">
        <f aca="false">COUNTIFS(C$6:C$404,C252,G$6:G$404,"&gt;"&amp;G252)+1</f>
        <v>124</v>
      </c>
      <c r="J252" s="25" t="n">
        <f aca="false">COUNTIF(C$6:C$404,C252)</f>
        <v>205</v>
      </c>
    </row>
    <row r="253" customFormat="false" ht="15" hidden="false" customHeight="false" outlineLevel="0" collapsed="false">
      <c r="A253" s="25" t="n">
        <v>4117503</v>
      </c>
      <c r="B253" s="26" t="s">
        <v>319</v>
      </c>
      <c r="C253" s="26" t="s">
        <v>86</v>
      </c>
      <c r="D253" s="47" t="n">
        <f aca="false">'2 Fator educacional'!K253</f>
        <v>52.9284651990268</v>
      </c>
      <c r="E253" s="48" t="n">
        <f aca="false">'3 Fator demográfico'!K253</f>
        <v>52.3880478462334</v>
      </c>
      <c r="F253" s="49" t="n">
        <f aca="false">'4 Fator socioeconômico'!K253</f>
        <v>39.8557720819157</v>
      </c>
      <c r="G253" s="50" t="n">
        <f aca="false">(2*D253+E253+2*F253)/500</f>
        <v>0.475913044816237</v>
      </c>
      <c r="H253" s="25" t="n">
        <f aca="false">RANK(G253,G$6:G$404,0)</f>
        <v>204</v>
      </c>
      <c r="I253" s="25" t="n">
        <f aca="false">COUNTIFS(C$6:C$404,C253,G$6:G$404,"&gt;"&amp;G253)+1</f>
        <v>26</v>
      </c>
      <c r="J253" s="25" t="n">
        <f aca="false">COUNTIF(C$6:C$404,C253)</f>
        <v>62</v>
      </c>
    </row>
    <row r="254" customFormat="false" ht="15" hidden="false" customHeight="false" outlineLevel="0" collapsed="false">
      <c r="A254" s="25" t="n">
        <v>4117602</v>
      </c>
      <c r="B254" s="26" t="s">
        <v>320</v>
      </c>
      <c r="C254" s="26" t="s">
        <v>86</v>
      </c>
      <c r="D254" s="47" t="n">
        <f aca="false">'2 Fator educacional'!K254</f>
        <v>71.4697737114621</v>
      </c>
      <c r="E254" s="48" t="n">
        <f aca="false">'3 Fator demográfico'!K254</f>
        <v>78.2041426938334</v>
      </c>
      <c r="F254" s="49" t="n">
        <f aca="false">'4 Fator socioeconômico'!K254</f>
        <v>38.1668296848936</v>
      </c>
      <c r="G254" s="50" t="n">
        <f aca="false">(2*D254+E254+2*F254)/500</f>
        <v>0.59495469897309</v>
      </c>
      <c r="H254" s="25" t="n">
        <f aca="false">RANK(G254,G$6:G$404,0)</f>
        <v>52</v>
      </c>
      <c r="I254" s="25" t="n">
        <f aca="false">COUNTIFS(C$6:C$404,C254,G$6:G$404,"&gt;"&amp;G254)+1</f>
        <v>5</v>
      </c>
      <c r="J254" s="25" t="n">
        <f aca="false">COUNTIF(C$6:C$404,C254)</f>
        <v>62</v>
      </c>
    </row>
    <row r="255" customFormat="false" ht="15" hidden="false" customHeight="false" outlineLevel="0" collapsed="false">
      <c r="A255" s="25" t="n">
        <v>4117701</v>
      </c>
      <c r="B255" s="26" t="s">
        <v>321</v>
      </c>
      <c r="C255" s="26" t="s">
        <v>86</v>
      </c>
      <c r="D255" s="47" t="n">
        <f aca="false">'2 Fator educacional'!K255</f>
        <v>56.4662091182001</v>
      </c>
      <c r="E255" s="48" t="n">
        <f aca="false">'3 Fator demográfico'!K255</f>
        <v>51.135208884195</v>
      </c>
      <c r="F255" s="49" t="n">
        <f aca="false">'4 Fator socioeconômico'!K255</f>
        <v>25.4189785125448</v>
      </c>
      <c r="G255" s="50" t="n">
        <f aca="false">(2*D255+E255+2*F255)/500</f>
        <v>0.429811168291369</v>
      </c>
      <c r="H255" s="25" t="n">
        <f aca="false">RANK(G255,G$6:G$404,0)</f>
        <v>268</v>
      </c>
      <c r="I255" s="25" t="n">
        <f aca="false">COUNTIFS(C$6:C$404,C255,G$6:G$404,"&gt;"&amp;G255)+1</f>
        <v>38</v>
      </c>
      <c r="J255" s="25" t="n">
        <f aca="false">COUNTIF(C$6:C$404,C255)</f>
        <v>62</v>
      </c>
    </row>
    <row r="256" customFormat="false" ht="15" hidden="false" customHeight="false" outlineLevel="0" collapsed="false">
      <c r="A256" s="25" t="n">
        <v>4117800</v>
      </c>
      <c r="B256" s="26" t="s">
        <v>322</v>
      </c>
      <c r="C256" s="26" t="s">
        <v>65</v>
      </c>
      <c r="D256" s="47" t="n">
        <f aca="false">'2 Fator educacional'!K256</f>
        <v>65.3638900494677</v>
      </c>
      <c r="E256" s="48" t="n">
        <f aca="false">'3 Fator demográfico'!K256</f>
        <v>49.4812602852911</v>
      </c>
      <c r="F256" s="49" t="n">
        <f aca="false">'4 Fator socioeconômico'!K256</f>
        <v>61.8621369440774</v>
      </c>
      <c r="G256" s="50" t="n">
        <f aca="false">(2*D256+E256+2*F256)/500</f>
        <v>0.607866628544763</v>
      </c>
      <c r="H256" s="25" t="n">
        <f aca="false">RANK(G256,G$6:G$404,0)</f>
        <v>47</v>
      </c>
      <c r="I256" s="25" t="n">
        <f aca="false">COUNTIFS(C$6:C$404,C256,G$6:G$404,"&gt;"&amp;G256)+1</f>
        <v>32</v>
      </c>
      <c r="J256" s="25" t="n">
        <f aca="false">COUNTIF(C$6:C$404,C256)</f>
        <v>205</v>
      </c>
    </row>
    <row r="257" customFormat="false" ht="15" hidden="false" customHeight="false" outlineLevel="0" collapsed="false">
      <c r="A257" s="25" t="n">
        <v>4117909</v>
      </c>
      <c r="B257" s="26" t="s">
        <v>323</v>
      </c>
      <c r="C257" s="26" t="s">
        <v>86</v>
      </c>
      <c r="D257" s="47" t="n">
        <f aca="false">'2 Fator educacional'!K257</f>
        <v>37.3501225093242</v>
      </c>
      <c r="E257" s="48" t="n">
        <f aca="false">'3 Fator demográfico'!K257</f>
        <v>56.8452852809666</v>
      </c>
      <c r="F257" s="49" t="n">
        <f aca="false">'4 Fator socioeconômico'!K257</f>
        <v>6.14002794911728</v>
      </c>
      <c r="G257" s="50" t="n">
        <f aca="false">(2*D257+E257+2*F257)/500</f>
        <v>0.287651172395699</v>
      </c>
      <c r="H257" s="25" t="n">
        <f aca="false">RANK(G257,G$6:G$404,0)</f>
        <v>392</v>
      </c>
      <c r="I257" s="25" t="n">
        <f aca="false">COUNTIFS(C$6:C$404,C257,G$6:G$404,"&gt;"&amp;G257)+1</f>
        <v>62</v>
      </c>
      <c r="J257" s="25" t="n">
        <f aca="false">COUNTIF(C$6:C$404,C257)</f>
        <v>62</v>
      </c>
    </row>
    <row r="258" customFormat="false" ht="15" hidden="false" customHeight="false" outlineLevel="0" collapsed="false">
      <c r="A258" s="25" t="n">
        <v>4118006</v>
      </c>
      <c r="B258" s="26" t="s">
        <v>324</v>
      </c>
      <c r="C258" s="26" t="s">
        <v>65</v>
      </c>
      <c r="D258" s="47" t="n">
        <f aca="false">'2 Fator educacional'!K258</f>
        <v>37.7553937139062</v>
      </c>
      <c r="E258" s="48" t="n">
        <f aca="false">'3 Fator demográfico'!K258</f>
        <v>73.885195149541</v>
      </c>
      <c r="F258" s="49" t="n">
        <f aca="false">'4 Fator socioeconômico'!K258</f>
        <v>18.4325101970344</v>
      </c>
      <c r="G258" s="50" t="n">
        <f aca="false">(2*D258+E258+2*F258)/500</f>
        <v>0.372522005942844</v>
      </c>
      <c r="H258" s="25" t="n">
        <f aca="false">RANK(G258,G$6:G$404,0)</f>
        <v>342</v>
      </c>
      <c r="I258" s="25" t="n">
        <f aca="false">COUNTIFS(C$6:C$404,C258,G$6:G$404,"&gt;"&amp;G258)+1</f>
        <v>184</v>
      </c>
      <c r="J258" s="25" t="n">
        <f aca="false">COUNTIF(C$6:C$404,C258)</f>
        <v>205</v>
      </c>
    </row>
    <row r="259" customFormat="false" ht="15" hidden="false" customHeight="false" outlineLevel="0" collapsed="false">
      <c r="A259" s="25" t="n">
        <v>4118105</v>
      </c>
      <c r="B259" s="26" t="s">
        <v>325</v>
      </c>
      <c r="C259" s="26" t="s">
        <v>65</v>
      </c>
      <c r="D259" s="47" t="n">
        <f aca="false">'2 Fator educacional'!K259</f>
        <v>45.5874796991989</v>
      </c>
      <c r="E259" s="48" t="n">
        <f aca="false">'3 Fator demográfico'!K259</f>
        <v>58.1898728006252</v>
      </c>
      <c r="F259" s="49" t="n">
        <f aca="false">'4 Fator socioeconômico'!K259</f>
        <v>36.0911550465392</v>
      </c>
      <c r="G259" s="50" t="n">
        <f aca="false">(2*D259+E259+2*F259)/500</f>
        <v>0.443094284584203</v>
      </c>
      <c r="H259" s="25" t="n">
        <f aca="false">RANK(G259,G$6:G$404,0)</f>
        <v>248</v>
      </c>
      <c r="I259" s="25" t="n">
        <f aca="false">COUNTIFS(C$6:C$404,C259,G$6:G$404,"&gt;"&amp;G259)+1</f>
        <v>146</v>
      </c>
      <c r="J259" s="25" t="n">
        <f aca="false">COUNTIF(C$6:C$404,C259)</f>
        <v>205</v>
      </c>
    </row>
    <row r="260" customFormat="false" ht="15" hidden="false" customHeight="false" outlineLevel="0" collapsed="false">
      <c r="A260" s="25" t="n">
        <v>4118204</v>
      </c>
      <c r="B260" s="26" t="s">
        <v>326</v>
      </c>
      <c r="C260" s="26" t="s">
        <v>69</v>
      </c>
      <c r="D260" s="47" t="n">
        <f aca="false">'2 Fator educacional'!K260</f>
        <v>65.0866320178864</v>
      </c>
      <c r="E260" s="48" t="n">
        <f aca="false">'3 Fator demográfico'!K260</f>
        <v>57.4748403011192</v>
      </c>
      <c r="F260" s="49" t="n">
        <f aca="false">'4 Fator socioeconômico'!K260</f>
        <v>27.5098108489454</v>
      </c>
      <c r="G260" s="50" t="n">
        <f aca="false">(2*D260+E260+2*F260)/500</f>
        <v>0.485335452069566</v>
      </c>
      <c r="H260" s="25" t="n">
        <f aca="false">RANK(G260,G$6:G$404,0)</f>
        <v>184</v>
      </c>
      <c r="I260" s="25" t="n">
        <f aca="false">COUNTIFS(C$6:C$404,C260,G$6:G$404,"&gt;"&amp;G260)+1</f>
        <v>5</v>
      </c>
      <c r="J260" s="25" t="n">
        <f aca="false">COUNTIF(C$6:C$404,C260)</f>
        <v>14</v>
      </c>
    </row>
    <row r="261" customFormat="false" ht="15" hidden="false" customHeight="false" outlineLevel="0" collapsed="false">
      <c r="A261" s="25" t="n">
        <v>4118303</v>
      </c>
      <c r="B261" s="26" t="s">
        <v>327</v>
      </c>
      <c r="C261" s="26" t="s">
        <v>71</v>
      </c>
      <c r="D261" s="47" t="n">
        <f aca="false">'2 Fator educacional'!K261</f>
        <v>45.3930328535942</v>
      </c>
      <c r="E261" s="48" t="n">
        <f aca="false">'3 Fator demográfico'!K261</f>
        <v>42.4541417813603</v>
      </c>
      <c r="F261" s="49" t="n">
        <f aca="false">'4 Fator socioeconômico'!K261</f>
        <v>60.0256682639195</v>
      </c>
      <c r="G261" s="50" t="n">
        <f aca="false">(2*D261+E261+2*F261)/500</f>
        <v>0.506583088032775</v>
      </c>
      <c r="H261" s="25" t="n">
        <f aca="false">RANK(G261,G$6:G$404,0)</f>
        <v>151</v>
      </c>
      <c r="I261" s="25" t="n">
        <f aca="false">COUNTIFS(C$6:C$404,C261,G$6:G$404,"&gt;"&amp;G261)+1</f>
        <v>36</v>
      </c>
      <c r="J261" s="25" t="n">
        <f aca="false">COUNTIF(C$6:C$404,C261)</f>
        <v>102</v>
      </c>
    </row>
    <row r="262" customFormat="false" ht="15" hidden="false" customHeight="false" outlineLevel="0" collapsed="false">
      <c r="A262" s="25" t="n">
        <v>4118402</v>
      </c>
      <c r="B262" s="26" t="s">
        <v>328</v>
      </c>
      <c r="C262" s="26" t="s">
        <v>129</v>
      </c>
      <c r="D262" s="47" t="n">
        <f aca="false">'2 Fator educacional'!K262</f>
        <v>58.5182741810659</v>
      </c>
      <c r="E262" s="48" t="n">
        <f aca="false">'3 Fator demográfico'!K262</f>
        <v>44.7496685103555</v>
      </c>
      <c r="F262" s="49" t="n">
        <f aca="false">'4 Fator socioeconômico'!K262</f>
        <v>27.3598884727175</v>
      </c>
      <c r="G262" s="50" t="n">
        <f aca="false">(2*D262+E262+2*F262)/500</f>
        <v>0.433011987635845</v>
      </c>
      <c r="H262" s="25" t="n">
        <f aca="false">RANK(G262,G$6:G$404,0)</f>
        <v>262</v>
      </c>
      <c r="I262" s="25" t="n">
        <f aca="false">COUNTIFS(C$6:C$404,C262,G$6:G$404,"&gt;"&amp;G262)+1</f>
        <v>4</v>
      </c>
      <c r="J262" s="25" t="n">
        <f aca="false">COUNTIF(C$6:C$404,C262)</f>
        <v>8</v>
      </c>
    </row>
    <row r="263" customFormat="false" ht="15" hidden="false" customHeight="false" outlineLevel="0" collapsed="false">
      <c r="A263" s="25" t="n">
        <v>4118451</v>
      </c>
      <c r="B263" s="26" t="s">
        <v>329</v>
      </c>
      <c r="C263" s="26" t="s">
        <v>65</v>
      </c>
      <c r="D263" s="47" t="n">
        <f aca="false">'2 Fator educacional'!K263</f>
        <v>27.8391063876607</v>
      </c>
      <c r="E263" s="48" t="n">
        <f aca="false">'3 Fator demográfico'!K263</f>
        <v>27.5626265407442</v>
      </c>
      <c r="F263" s="49" t="n">
        <f aca="false">'4 Fator socioeconômico'!K263</f>
        <v>27.2346561158169</v>
      </c>
      <c r="G263" s="50" t="n">
        <f aca="false">(2*D263+E263+2*F263)/500</f>
        <v>0.275420303095399</v>
      </c>
      <c r="H263" s="25" t="n">
        <f aca="false">RANK(G263,G$6:G$404,0)</f>
        <v>397</v>
      </c>
      <c r="I263" s="25" t="n">
        <f aca="false">COUNTIFS(C$6:C$404,C263,G$6:G$404,"&gt;"&amp;G263)+1</f>
        <v>205</v>
      </c>
      <c r="J263" s="25" t="n">
        <f aca="false">COUNTIF(C$6:C$404,C263)</f>
        <v>205</v>
      </c>
    </row>
    <row r="264" customFormat="false" ht="15" hidden="false" customHeight="false" outlineLevel="0" collapsed="false">
      <c r="A264" s="25" t="n">
        <v>4118501</v>
      </c>
      <c r="B264" s="26" t="s">
        <v>330</v>
      </c>
      <c r="C264" s="26" t="s">
        <v>129</v>
      </c>
      <c r="D264" s="47" t="n">
        <f aca="false">'2 Fator educacional'!K264</f>
        <v>50.6210409975423</v>
      </c>
      <c r="E264" s="48" t="n">
        <f aca="false">'3 Fator demográfico'!K264</f>
        <v>48.0883222771096</v>
      </c>
      <c r="F264" s="49" t="n">
        <f aca="false">'4 Fator socioeconômico'!K264</f>
        <v>11.2590503068208</v>
      </c>
      <c r="G264" s="50" t="n">
        <f aca="false">(2*D264+E264+2*F264)/500</f>
        <v>0.343697009771672</v>
      </c>
      <c r="H264" s="25" t="n">
        <f aca="false">RANK(G264,G$6:G$404,0)</f>
        <v>363</v>
      </c>
      <c r="I264" s="25" t="n">
        <f aca="false">COUNTIFS(C$6:C$404,C264,G$6:G$404,"&gt;"&amp;G264)+1</f>
        <v>8</v>
      </c>
      <c r="J264" s="25" t="n">
        <f aca="false">COUNTIF(C$6:C$404,C264)</f>
        <v>8</v>
      </c>
    </row>
    <row r="265" customFormat="false" ht="15" hidden="false" customHeight="false" outlineLevel="0" collapsed="false">
      <c r="A265" s="25" t="n">
        <v>4118600</v>
      </c>
      <c r="B265" s="26" t="s">
        <v>331</v>
      </c>
      <c r="C265" s="26" t="s">
        <v>65</v>
      </c>
      <c r="D265" s="47" t="n">
        <f aca="false">'2 Fator educacional'!K265</f>
        <v>63.3205979785124</v>
      </c>
      <c r="E265" s="48" t="n">
        <f aca="false">'3 Fator demográfico'!K265</f>
        <v>70.5689035086761</v>
      </c>
      <c r="F265" s="49" t="n">
        <f aca="false">'4 Fator socioeconômico'!K265</f>
        <v>38.4590122192455</v>
      </c>
      <c r="G265" s="50" t="n">
        <f aca="false">(2*D265+E265+2*F265)/500</f>
        <v>0.548256247808384</v>
      </c>
      <c r="H265" s="25" t="n">
        <f aca="false">RANK(G265,G$6:G$404,0)</f>
        <v>93</v>
      </c>
      <c r="I265" s="25" t="n">
        <f aca="false">COUNTIFS(C$6:C$404,C265,G$6:G$404,"&gt;"&amp;G265)+1</f>
        <v>59</v>
      </c>
      <c r="J265" s="25" t="n">
        <f aca="false">COUNTIF(C$6:C$404,C265)</f>
        <v>205</v>
      </c>
    </row>
    <row r="266" customFormat="false" ht="15" hidden="false" customHeight="false" outlineLevel="0" collapsed="false">
      <c r="A266" s="25" t="n">
        <v>4118709</v>
      </c>
      <c r="B266" s="26" t="s">
        <v>332</v>
      </c>
      <c r="C266" s="26" t="s">
        <v>65</v>
      </c>
      <c r="D266" s="47" t="n">
        <f aca="false">'2 Fator educacional'!K266</f>
        <v>49.9665104492302</v>
      </c>
      <c r="E266" s="48" t="n">
        <f aca="false">'3 Fator demográfico'!K266</f>
        <v>49.8760978057568</v>
      </c>
      <c r="F266" s="49" t="n">
        <f aca="false">'4 Fator socioeconômico'!K266</f>
        <v>39.3726125092544</v>
      </c>
      <c r="G266" s="50" t="n">
        <f aca="false">(2*D266+E266+2*F266)/500</f>
        <v>0.457108687445452</v>
      </c>
      <c r="H266" s="25" t="n">
        <f aca="false">RANK(G266,G$6:G$404,0)</f>
        <v>233</v>
      </c>
      <c r="I266" s="25" t="n">
        <f aca="false">COUNTIFS(C$6:C$404,C266,G$6:G$404,"&gt;"&amp;G266)+1</f>
        <v>140</v>
      </c>
      <c r="J266" s="25" t="n">
        <f aca="false">COUNTIF(C$6:C$404,C266)</f>
        <v>205</v>
      </c>
    </row>
    <row r="267" customFormat="false" ht="15" hidden="false" customHeight="false" outlineLevel="0" collapsed="false">
      <c r="A267" s="25" t="n">
        <v>4118808</v>
      </c>
      <c r="B267" s="26" t="s">
        <v>333</v>
      </c>
      <c r="C267" s="26" t="s">
        <v>65</v>
      </c>
      <c r="D267" s="47" t="n">
        <f aca="false">'2 Fator educacional'!K267</f>
        <v>45.0558742898629</v>
      </c>
      <c r="E267" s="48" t="n">
        <f aca="false">'3 Fator demográfico'!K267</f>
        <v>42.359938765971</v>
      </c>
      <c r="F267" s="49" t="n">
        <f aca="false">'4 Fator socioeconômico'!K267</f>
        <v>46.5171795959585</v>
      </c>
      <c r="G267" s="50" t="n">
        <f aca="false">(2*D267+E267+2*F267)/500</f>
        <v>0.451012093075228</v>
      </c>
      <c r="H267" s="25" t="n">
        <f aca="false">RANK(G267,G$6:G$404,0)</f>
        <v>237</v>
      </c>
      <c r="I267" s="25" t="n">
        <f aca="false">COUNTIFS(C$6:C$404,C267,G$6:G$404,"&gt;"&amp;G267)+1</f>
        <v>142</v>
      </c>
      <c r="J267" s="25" t="n">
        <f aca="false">COUNTIF(C$6:C$404,C267)</f>
        <v>205</v>
      </c>
    </row>
    <row r="268" customFormat="false" ht="15" hidden="false" customHeight="false" outlineLevel="0" collapsed="false">
      <c r="A268" s="25" t="n">
        <v>4118857</v>
      </c>
      <c r="B268" s="26" t="s">
        <v>334</v>
      </c>
      <c r="C268" s="26" t="s">
        <v>65</v>
      </c>
      <c r="D268" s="47" t="n">
        <f aca="false">'2 Fator educacional'!K268</f>
        <v>64.6758246184634</v>
      </c>
      <c r="E268" s="48" t="n">
        <f aca="false">'3 Fator demográfico'!K268</f>
        <v>38.4079689481406</v>
      </c>
      <c r="F268" s="49" t="n">
        <f aca="false">'4 Fator socioeconômico'!K268</f>
        <v>38.8575375531541</v>
      </c>
      <c r="G268" s="50" t="n">
        <f aca="false">(2*D268+E268+2*F268)/500</f>
        <v>0.490949386582751</v>
      </c>
      <c r="H268" s="25" t="n">
        <f aca="false">RANK(G268,G$6:G$404,0)</f>
        <v>172</v>
      </c>
      <c r="I268" s="25" t="n">
        <f aca="false">COUNTIFS(C$6:C$404,C268,G$6:G$404,"&gt;"&amp;G268)+1</f>
        <v>104</v>
      </c>
      <c r="J268" s="25" t="n">
        <f aca="false">COUNTIF(C$6:C$404,C268)</f>
        <v>205</v>
      </c>
    </row>
    <row r="269" customFormat="false" ht="15" hidden="false" customHeight="false" outlineLevel="0" collapsed="false">
      <c r="A269" s="25" t="n">
        <v>4118907</v>
      </c>
      <c r="B269" s="26" t="s">
        <v>335</v>
      </c>
      <c r="C269" s="26" t="s">
        <v>65</v>
      </c>
      <c r="D269" s="47" t="n">
        <f aca="false">'2 Fator educacional'!K269</f>
        <v>48.3872994978231</v>
      </c>
      <c r="E269" s="48" t="n">
        <f aca="false">'3 Fator demográfico'!K269</f>
        <v>34.4664216025635</v>
      </c>
      <c r="F269" s="49" t="n">
        <f aca="false">'4 Fator socioeconômico'!K269</f>
        <v>33.5994855932826</v>
      </c>
      <c r="G269" s="50" t="n">
        <f aca="false">(2*D269+E269+2*F269)/500</f>
        <v>0.39687998356955</v>
      </c>
      <c r="H269" s="25" t="n">
        <f aca="false">RANK(G269,G$6:G$404,0)</f>
        <v>312</v>
      </c>
      <c r="I269" s="25" t="n">
        <f aca="false">COUNTIFS(C$6:C$404,C269,G$6:G$404,"&gt;"&amp;G269)+1</f>
        <v>171</v>
      </c>
      <c r="J269" s="25" t="n">
        <f aca="false">COUNTIF(C$6:C$404,C269)</f>
        <v>205</v>
      </c>
    </row>
    <row r="270" customFormat="false" ht="15" hidden="false" customHeight="false" outlineLevel="0" collapsed="false">
      <c r="A270" s="25" t="n">
        <v>4119004</v>
      </c>
      <c r="B270" s="26" t="s">
        <v>336</v>
      </c>
      <c r="C270" s="26" t="s">
        <v>65</v>
      </c>
      <c r="D270" s="47" t="n">
        <f aca="false">'2 Fator educacional'!K270</f>
        <v>49.4635809112486</v>
      </c>
      <c r="E270" s="48" t="n">
        <f aca="false">'3 Fator demográfico'!K270</f>
        <v>32.0255103440851</v>
      </c>
      <c r="F270" s="49" t="n">
        <f aca="false">'4 Fator socioeconômico'!K270</f>
        <v>45.7743072737514</v>
      </c>
      <c r="G270" s="50" t="n">
        <f aca="false">(2*D270+E270+2*F270)/500</f>
        <v>0.44500257342817</v>
      </c>
      <c r="H270" s="25" t="n">
        <f aca="false">RANK(G270,G$6:G$404,0)</f>
        <v>246</v>
      </c>
      <c r="I270" s="25" t="n">
        <f aca="false">COUNTIFS(C$6:C$404,C270,G$6:G$404,"&gt;"&amp;G270)+1</f>
        <v>145</v>
      </c>
      <c r="J270" s="25" t="n">
        <f aca="false">COUNTIF(C$6:C$404,C270)</f>
        <v>205</v>
      </c>
    </row>
    <row r="271" customFormat="false" ht="15" hidden="false" customHeight="false" outlineLevel="0" collapsed="false">
      <c r="A271" s="25" t="n">
        <v>4119103</v>
      </c>
      <c r="B271" s="26" t="s">
        <v>337</v>
      </c>
      <c r="C271" s="26" t="s">
        <v>65</v>
      </c>
      <c r="D271" s="47" t="n">
        <f aca="false">'2 Fator educacional'!K271</f>
        <v>58.4393727253602</v>
      </c>
      <c r="E271" s="48" t="n">
        <f aca="false">'3 Fator demográfico'!K271</f>
        <v>46.663011276558</v>
      </c>
      <c r="F271" s="49" t="n">
        <f aca="false">'4 Fator socioeconômico'!K271</f>
        <v>23.5691704073125</v>
      </c>
      <c r="G271" s="50" t="n">
        <f aca="false">(2*D271+E271+2*F271)/500</f>
        <v>0.421360195083807</v>
      </c>
      <c r="H271" s="25" t="n">
        <f aca="false">RANK(G271,G$6:G$404,0)</f>
        <v>283</v>
      </c>
      <c r="I271" s="25" t="n">
        <f aca="false">COUNTIFS(C$6:C$404,C271,G$6:G$404,"&gt;"&amp;G271)+1</f>
        <v>159</v>
      </c>
      <c r="J271" s="25" t="n">
        <f aca="false">COUNTIF(C$6:C$404,C271)</f>
        <v>205</v>
      </c>
    </row>
    <row r="272" customFormat="false" ht="15" hidden="false" customHeight="false" outlineLevel="0" collapsed="false">
      <c r="A272" s="25" t="n">
        <v>4119152</v>
      </c>
      <c r="B272" s="26" t="s">
        <v>338</v>
      </c>
      <c r="C272" s="26" t="s">
        <v>69</v>
      </c>
      <c r="D272" s="47" t="n">
        <f aca="false">'2 Fator educacional'!K272</f>
        <v>44.4341595887402</v>
      </c>
      <c r="E272" s="48" t="n">
        <f aca="false">'3 Fator demográfico'!K272</f>
        <v>44.7447452839651</v>
      </c>
      <c r="F272" s="49" t="n">
        <f aca="false">'4 Fator socioeconômico'!K272</f>
        <v>24.6302049907879</v>
      </c>
      <c r="G272" s="50" t="n">
        <f aca="false">(2*D272+E272+2*F272)/500</f>
        <v>0.365746948886042</v>
      </c>
      <c r="H272" s="25" t="n">
        <f aca="false">RANK(G272,G$6:G$404,0)</f>
        <v>348</v>
      </c>
      <c r="I272" s="25" t="n">
        <f aca="false">COUNTIFS(C$6:C$404,C272,G$6:G$404,"&gt;"&amp;G272)+1</f>
        <v>12</v>
      </c>
      <c r="J272" s="25" t="n">
        <f aca="false">COUNTIF(C$6:C$404,C272)</f>
        <v>14</v>
      </c>
    </row>
    <row r="273" customFormat="false" ht="15" hidden="false" customHeight="false" outlineLevel="0" collapsed="false">
      <c r="A273" s="25" t="n">
        <v>4119251</v>
      </c>
      <c r="B273" s="26" t="s">
        <v>339</v>
      </c>
      <c r="C273" s="26" t="s">
        <v>71</v>
      </c>
      <c r="D273" s="47" t="n">
        <f aca="false">'2 Fator educacional'!K273</f>
        <v>30.9040126796958</v>
      </c>
      <c r="E273" s="48" t="n">
        <f aca="false">'3 Fator demográfico'!K273</f>
        <v>22.3624784876801</v>
      </c>
      <c r="F273" s="49" t="n">
        <f aca="false">'4 Fator socioeconômico'!K273</f>
        <v>51.3863793322063</v>
      </c>
      <c r="G273" s="50" t="n">
        <f aca="false">(2*D273+E273+2*F273)/500</f>
        <v>0.373886525022968</v>
      </c>
      <c r="H273" s="25" t="n">
        <f aca="false">RANK(G273,G$6:G$404,0)</f>
        <v>338</v>
      </c>
      <c r="I273" s="25" t="n">
        <f aca="false">COUNTIFS(C$6:C$404,C273,G$6:G$404,"&gt;"&amp;G273)+1</f>
        <v>81</v>
      </c>
      <c r="J273" s="25" t="n">
        <f aca="false">COUNTIF(C$6:C$404,C273)</f>
        <v>102</v>
      </c>
    </row>
    <row r="274" customFormat="false" ht="15" hidden="false" customHeight="false" outlineLevel="0" collapsed="false">
      <c r="A274" s="25" t="n">
        <v>4119202</v>
      </c>
      <c r="B274" s="26" t="s">
        <v>340</v>
      </c>
      <c r="C274" s="26" t="s">
        <v>65</v>
      </c>
      <c r="D274" s="47" t="n">
        <f aca="false">'2 Fator educacional'!K274</f>
        <v>55.504385239553</v>
      </c>
      <c r="E274" s="48" t="n">
        <f aca="false">'3 Fator demográfico'!K274</f>
        <v>27.3611031232433</v>
      </c>
      <c r="F274" s="49" t="n">
        <f aca="false">'4 Fator socioeconômico'!K274</f>
        <v>57.9421623088252</v>
      </c>
      <c r="G274" s="50" t="n">
        <f aca="false">(2*D274+E274+2*F274)/500</f>
        <v>0.508508396439999</v>
      </c>
      <c r="H274" s="25" t="n">
        <f aca="false">RANK(G274,G$6:G$404,0)</f>
        <v>144</v>
      </c>
      <c r="I274" s="25" t="n">
        <f aca="false">COUNTIFS(C$6:C$404,C274,G$6:G$404,"&gt;"&amp;G274)+1</f>
        <v>89</v>
      </c>
      <c r="J274" s="25" t="n">
        <f aca="false">COUNTIF(C$6:C$404,C274)</f>
        <v>205</v>
      </c>
    </row>
    <row r="275" customFormat="false" ht="15" hidden="false" customHeight="false" outlineLevel="0" collapsed="false">
      <c r="A275" s="25" t="n">
        <v>4119301</v>
      </c>
      <c r="B275" s="26" t="s">
        <v>341</v>
      </c>
      <c r="C275" s="26" t="s">
        <v>86</v>
      </c>
      <c r="D275" s="47" t="n">
        <f aca="false">'2 Fator educacional'!K275</f>
        <v>74.6893931518086</v>
      </c>
      <c r="E275" s="48" t="n">
        <f aca="false">'3 Fator demográfico'!K275</f>
        <v>75.1775407535351</v>
      </c>
      <c r="F275" s="49" t="n">
        <f aca="false">'4 Fator socioeconômico'!K275</f>
        <v>56.4105247378798</v>
      </c>
      <c r="G275" s="50" t="n">
        <f aca="false">(2*D275+E275+2*F275)/500</f>
        <v>0.674754753065824</v>
      </c>
      <c r="H275" s="25" t="n">
        <f aca="false">RANK(G275,G$6:G$404,0)</f>
        <v>18</v>
      </c>
      <c r="I275" s="25" t="n">
        <f aca="false">COUNTIFS(C$6:C$404,C275,G$6:G$404,"&gt;"&amp;G275)+1</f>
        <v>1</v>
      </c>
      <c r="J275" s="25" t="n">
        <f aca="false">COUNTIF(C$6:C$404,C275)</f>
        <v>62</v>
      </c>
    </row>
    <row r="276" customFormat="false" ht="15" hidden="false" customHeight="false" outlineLevel="0" collapsed="false">
      <c r="A276" s="25" t="n">
        <v>4119400</v>
      </c>
      <c r="B276" s="26" t="s">
        <v>342</v>
      </c>
      <c r="C276" s="26" t="s">
        <v>86</v>
      </c>
      <c r="D276" s="47" t="n">
        <f aca="false">'2 Fator educacional'!K276</f>
        <v>73.6683866962592</v>
      </c>
      <c r="E276" s="48" t="n">
        <f aca="false">'3 Fator demográfico'!K276</f>
        <v>50.0371609370004</v>
      </c>
      <c r="F276" s="49" t="n">
        <f aca="false">'4 Fator socioeconômico'!K276</f>
        <v>38.5346880047195</v>
      </c>
      <c r="G276" s="50" t="n">
        <f aca="false">(2*D276+E276+2*F276)/500</f>
        <v>0.548886620677916</v>
      </c>
      <c r="H276" s="25" t="n">
        <f aca="false">RANK(G276,G$6:G$404,0)</f>
        <v>92</v>
      </c>
      <c r="I276" s="25" t="n">
        <f aca="false">COUNTIFS(C$6:C$404,C276,G$6:G$404,"&gt;"&amp;G276)+1</f>
        <v>9</v>
      </c>
      <c r="J276" s="25" t="n">
        <f aca="false">COUNTIF(C$6:C$404,C276)</f>
        <v>62</v>
      </c>
    </row>
    <row r="277" customFormat="false" ht="15" hidden="false" customHeight="false" outlineLevel="0" collapsed="false">
      <c r="A277" s="25" t="n">
        <v>4119509</v>
      </c>
      <c r="B277" s="26" t="s">
        <v>343</v>
      </c>
      <c r="C277" s="26" t="s">
        <v>69</v>
      </c>
      <c r="D277" s="47" t="n">
        <f aca="false">'2 Fator educacional'!K277</f>
        <v>81.7996104637892</v>
      </c>
      <c r="E277" s="48" t="n">
        <f aca="false">'3 Fator demográfico'!K277</f>
        <v>51.092066078165</v>
      </c>
      <c r="F277" s="49" t="n">
        <f aca="false">'4 Fator socioeconômico'!K277</f>
        <v>45.5739034263222</v>
      </c>
      <c r="G277" s="50" t="n">
        <f aca="false">(2*D277+E277+2*F277)/500</f>
        <v>0.611678187716776</v>
      </c>
      <c r="H277" s="25" t="n">
        <f aca="false">RANK(G277,G$6:G$404,0)</f>
        <v>46</v>
      </c>
      <c r="I277" s="25" t="n">
        <f aca="false">COUNTIFS(C$6:C$404,C277,G$6:G$404,"&gt;"&amp;G277)+1</f>
        <v>2</v>
      </c>
      <c r="J277" s="25" t="n">
        <f aca="false">COUNTIF(C$6:C$404,C277)</f>
        <v>14</v>
      </c>
    </row>
    <row r="278" customFormat="false" ht="15" hidden="false" customHeight="false" outlineLevel="0" collapsed="false">
      <c r="A278" s="25" t="n">
        <v>4119608</v>
      </c>
      <c r="B278" s="26" t="s">
        <v>344</v>
      </c>
      <c r="C278" s="26" t="s">
        <v>86</v>
      </c>
      <c r="D278" s="47" t="n">
        <f aca="false">'2 Fator educacional'!K278</f>
        <v>67.0333216862825</v>
      </c>
      <c r="E278" s="48" t="n">
        <f aca="false">'3 Fator demográfico'!K278</f>
        <v>51.0527571406467</v>
      </c>
      <c r="F278" s="49" t="n">
        <f aca="false">'4 Fator socioeconômico'!K278</f>
        <v>41.9482239750043</v>
      </c>
      <c r="G278" s="50" t="n">
        <f aca="false">(2*D278+E278+2*F278)/500</f>
        <v>0.538031696926441</v>
      </c>
      <c r="H278" s="25" t="n">
        <f aca="false">RANK(G278,G$6:G$404,0)</f>
        <v>105</v>
      </c>
      <c r="I278" s="25" t="n">
        <f aca="false">COUNTIFS(C$6:C$404,C278,G$6:G$404,"&gt;"&amp;G278)+1</f>
        <v>12</v>
      </c>
      <c r="J278" s="25" t="n">
        <f aca="false">COUNTIF(C$6:C$404,C278)</f>
        <v>62</v>
      </c>
    </row>
    <row r="279" customFormat="false" ht="15" hidden="false" customHeight="false" outlineLevel="0" collapsed="false">
      <c r="A279" s="25" t="n">
        <v>4119657</v>
      </c>
      <c r="B279" s="26" t="s">
        <v>345</v>
      </c>
      <c r="C279" s="26" t="s">
        <v>71</v>
      </c>
      <c r="D279" s="47" t="n">
        <f aca="false">'2 Fator educacional'!K279</f>
        <v>46.0708541947057</v>
      </c>
      <c r="E279" s="48" t="n">
        <f aca="false">'3 Fator demográfico'!K279</f>
        <v>25.9201602921564</v>
      </c>
      <c r="F279" s="49" t="n">
        <f aca="false">'4 Fator socioeconômico'!K279</f>
        <v>42.9140082056998</v>
      </c>
      <c r="G279" s="50" t="n">
        <f aca="false">(2*D279+E279+2*F279)/500</f>
        <v>0.407779770185935</v>
      </c>
      <c r="H279" s="25" t="n">
        <f aca="false">RANK(G279,G$6:G$404,0)</f>
        <v>301</v>
      </c>
      <c r="I279" s="25" t="n">
        <f aca="false">COUNTIFS(C$6:C$404,C279,G$6:G$404,"&gt;"&amp;G279)+1</f>
        <v>72</v>
      </c>
      <c r="J279" s="25" t="n">
        <f aca="false">COUNTIF(C$6:C$404,C279)</f>
        <v>102</v>
      </c>
    </row>
    <row r="280" customFormat="false" ht="15" hidden="false" customHeight="false" outlineLevel="0" collapsed="false">
      <c r="A280" s="25" t="n">
        <v>4119707</v>
      </c>
      <c r="B280" s="26" t="s">
        <v>346</v>
      </c>
      <c r="C280" s="26" t="s">
        <v>71</v>
      </c>
      <c r="D280" s="47" t="n">
        <f aca="false">'2 Fator educacional'!K280</f>
        <v>43.4736739261046</v>
      </c>
      <c r="E280" s="48" t="n">
        <f aca="false">'3 Fator demográfico'!K280</f>
        <v>87.9807101232541</v>
      </c>
      <c r="F280" s="49" t="n">
        <f aca="false">'4 Fator socioeconômico'!K280</f>
        <v>57.3466458486214</v>
      </c>
      <c r="G280" s="50" t="n">
        <f aca="false">(2*D280+E280+2*F280)/500</f>
        <v>0.579242699345412</v>
      </c>
      <c r="H280" s="25" t="n">
        <f aca="false">RANK(G280,G$6:G$404,0)</f>
        <v>61</v>
      </c>
      <c r="I280" s="25" t="n">
        <f aca="false">COUNTIFS(C$6:C$404,C280,G$6:G$404,"&gt;"&amp;G280)+1</f>
        <v>13</v>
      </c>
      <c r="J280" s="25" t="n">
        <f aca="false">COUNTIF(C$6:C$404,C280)</f>
        <v>102</v>
      </c>
    </row>
    <row r="281" customFormat="false" ht="15" hidden="false" customHeight="false" outlineLevel="0" collapsed="false">
      <c r="A281" s="25" t="n">
        <v>4119806</v>
      </c>
      <c r="B281" s="26" t="s">
        <v>347</v>
      </c>
      <c r="C281" s="26" t="s">
        <v>65</v>
      </c>
      <c r="D281" s="47" t="n">
        <f aca="false">'2 Fator educacional'!K281</f>
        <v>56.5863332240032</v>
      </c>
      <c r="E281" s="48" t="n">
        <f aca="false">'3 Fator demográfico'!K281</f>
        <v>38.1380509650987</v>
      </c>
      <c r="F281" s="49" t="n">
        <f aca="false">'4 Fator socioeconômico'!K281</f>
        <v>34.3934259451799</v>
      </c>
      <c r="G281" s="50" t="n">
        <f aca="false">(2*D281+E281+2*F281)/500</f>
        <v>0.44019513860693</v>
      </c>
      <c r="H281" s="25" t="n">
        <f aca="false">RANK(G281,G$6:G$404,0)</f>
        <v>251</v>
      </c>
      <c r="I281" s="25" t="n">
        <f aca="false">COUNTIFS(C$6:C$404,C281,G$6:G$404,"&gt;"&amp;G281)+1</f>
        <v>147</v>
      </c>
      <c r="J281" s="25" t="n">
        <f aca="false">COUNTIF(C$6:C$404,C281)</f>
        <v>205</v>
      </c>
    </row>
    <row r="282" customFormat="false" ht="15" hidden="false" customHeight="false" outlineLevel="0" collapsed="false">
      <c r="A282" s="25" t="n">
        <v>4119905</v>
      </c>
      <c r="B282" s="26" t="s">
        <v>348</v>
      </c>
      <c r="C282" s="26" t="s">
        <v>138</v>
      </c>
      <c r="D282" s="47" t="n">
        <f aca="false">'2 Fator educacional'!K282</f>
        <v>70.2255645854156</v>
      </c>
      <c r="E282" s="48" t="n">
        <f aca="false">'3 Fator demográfico'!K282</f>
        <v>50.6386974232767</v>
      </c>
      <c r="F282" s="49" t="n">
        <f aca="false">'4 Fator socioeconômico'!K282</f>
        <v>23.8350028955036</v>
      </c>
      <c r="G282" s="50" t="n">
        <f aca="false">(2*D282+E282+2*F282)/500</f>
        <v>0.47751966477023</v>
      </c>
      <c r="H282" s="25" t="n">
        <f aca="false">RANK(G282,G$6:G$404,0)</f>
        <v>202</v>
      </c>
      <c r="I282" s="25" t="n">
        <f aca="false">COUNTIFS(C$6:C$404,C282,G$6:G$404,"&gt;"&amp;G282)+1</f>
        <v>2</v>
      </c>
      <c r="J282" s="25" t="n">
        <f aca="false">COUNTIF(C$6:C$404,C282)</f>
        <v>6</v>
      </c>
    </row>
    <row r="283" customFormat="false" ht="15" hidden="false" customHeight="false" outlineLevel="0" collapsed="false">
      <c r="A283" s="25" t="n">
        <v>4119954</v>
      </c>
      <c r="B283" s="26" t="s">
        <v>349</v>
      </c>
      <c r="C283" s="26" t="s">
        <v>86</v>
      </c>
      <c r="D283" s="47" t="n">
        <f aca="false">'2 Fator educacional'!K283</f>
        <v>55.3567497368818</v>
      </c>
      <c r="E283" s="48" t="n">
        <f aca="false">'3 Fator demográfico'!K283</f>
        <v>31.1166150081023</v>
      </c>
      <c r="F283" s="49" t="n">
        <f aca="false">'4 Fator socioeconômico'!K283</f>
        <v>43.2004036908432</v>
      </c>
      <c r="G283" s="50" t="n">
        <f aca="false">(2*D283+E283+2*F283)/500</f>
        <v>0.456461843727104</v>
      </c>
      <c r="H283" s="25" t="n">
        <f aca="false">RANK(G283,G$6:G$404,0)</f>
        <v>235</v>
      </c>
      <c r="I283" s="25" t="n">
        <f aca="false">COUNTIFS(C$6:C$404,C283,G$6:G$404,"&gt;"&amp;G283)+1</f>
        <v>31</v>
      </c>
      <c r="J283" s="25" t="n">
        <f aca="false">COUNTIF(C$6:C$404,C283)</f>
        <v>62</v>
      </c>
    </row>
    <row r="284" customFormat="false" ht="15" hidden="false" customHeight="false" outlineLevel="0" collapsed="false">
      <c r="A284" s="25" t="n">
        <v>4120002</v>
      </c>
      <c r="B284" s="26" t="s">
        <v>350</v>
      </c>
      <c r="C284" s="26" t="s">
        <v>65</v>
      </c>
      <c r="D284" s="47" t="n">
        <f aca="false">'2 Fator educacional'!K284</f>
        <v>47.8366356559642</v>
      </c>
      <c r="E284" s="48" t="n">
        <f aca="false">'3 Fator demográfico'!K284</f>
        <v>27.9532159202188</v>
      </c>
      <c r="F284" s="49" t="n">
        <f aca="false">'4 Fator socioeconômico'!K284</f>
        <v>52.6420633911015</v>
      </c>
      <c r="G284" s="50" t="n">
        <f aca="false">(2*D284+E284+2*F284)/500</f>
        <v>0.457821228028701</v>
      </c>
      <c r="H284" s="25" t="n">
        <f aca="false">RANK(G284,G$6:G$404,0)</f>
        <v>229</v>
      </c>
      <c r="I284" s="25" t="n">
        <f aca="false">COUNTIFS(C$6:C$404,C284,G$6:G$404,"&gt;"&amp;G284)+1</f>
        <v>138</v>
      </c>
      <c r="J284" s="25" t="n">
        <f aca="false">COUNTIF(C$6:C$404,C284)</f>
        <v>205</v>
      </c>
    </row>
    <row r="285" customFormat="false" ht="15" hidden="false" customHeight="false" outlineLevel="0" collapsed="false">
      <c r="A285" s="25" t="n">
        <v>4120101</v>
      </c>
      <c r="B285" s="26" t="s">
        <v>351</v>
      </c>
      <c r="C285" s="26" t="s">
        <v>71</v>
      </c>
      <c r="D285" s="47" t="n">
        <f aca="false">'2 Fator educacional'!K285</f>
        <v>55.9430306223591</v>
      </c>
      <c r="E285" s="48" t="n">
        <f aca="false">'3 Fator demográfico'!K285</f>
        <v>40.8385958235075</v>
      </c>
      <c r="F285" s="49" t="n">
        <f aca="false">'4 Fator socioeconômico'!K285</f>
        <v>33.7153990309081</v>
      </c>
      <c r="G285" s="50" t="n">
        <f aca="false">(2*D285+E285+2*F285)/500</f>
        <v>0.440310910260084</v>
      </c>
      <c r="H285" s="25" t="n">
        <f aca="false">RANK(G285,G$6:G$404,0)</f>
        <v>250</v>
      </c>
      <c r="I285" s="25" t="n">
        <f aca="false">COUNTIFS(C$6:C$404,C285,G$6:G$404,"&gt;"&amp;G285)+1</f>
        <v>56</v>
      </c>
      <c r="J285" s="25" t="n">
        <f aca="false">COUNTIF(C$6:C$404,C285)</f>
        <v>102</v>
      </c>
    </row>
    <row r="286" customFormat="false" ht="15" hidden="false" customHeight="false" outlineLevel="0" collapsed="false">
      <c r="A286" s="25" t="n">
        <v>4120150</v>
      </c>
      <c r="B286" s="26" t="s">
        <v>352</v>
      </c>
      <c r="C286" s="26" t="s">
        <v>71</v>
      </c>
      <c r="D286" s="47" t="n">
        <f aca="false">'2 Fator educacional'!K286</f>
        <v>77.0129001348308</v>
      </c>
      <c r="E286" s="48" t="n">
        <f aca="false">'3 Fator demográfico'!K286</f>
        <v>59.3442231878745</v>
      </c>
      <c r="F286" s="49" t="n">
        <f aca="false">'4 Fator socioeconômico'!K286</f>
        <v>42.8498818110548</v>
      </c>
      <c r="G286" s="50" t="n">
        <f aca="false">(2*D286+E286+2*F286)/500</f>
        <v>0.598139574159291</v>
      </c>
      <c r="H286" s="25" t="n">
        <f aca="false">RANK(G286,G$6:G$404,0)</f>
        <v>50</v>
      </c>
      <c r="I286" s="25" t="n">
        <f aca="false">COUNTIFS(C$6:C$404,C286,G$6:G$404,"&gt;"&amp;G286)+1</f>
        <v>10</v>
      </c>
      <c r="J286" s="25" t="n">
        <f aca="false">COUNTIF(C$6:C$404,C286)</f>
        <v>102</v>
      </c>
    </row>
    <row r="287" customFormat="false" ht="15" hidden="false" customHeight="false" outlineLevel="0" collapsed="false">
      <c r="A287" s="25" t="n">
        <v>4120200</v>
      </c>
      <c r="B287" s="26" t="s">
        <v>353</v>
      </c>
      <c r="C287" s="26" t="s">
        <v>71</v>
      </c>
      <c r="D287" s="47" t="n">
        <f aca="false">'2 Fator educacional'!K287</f>
        <v>34.7065596331214</v>
      </c>
      <c r="E287" s="48" t="n">
        <f aca="false">'3 Fator demográfico'!K287</f>
        <v>57.004321771837</v>
      </c>
      <c r="F287" s="49" t="n">
        <f aca="false">'4 Fator socioeconômico'!K287</f>
        <v>35.6241797412145</v>
      </c>
      <c r="G287" s="50" t="n">
        <f aca="false">(2*D287+E287+2*F287)/500</f>
        <v>0.395331601041017</v>
      </c>
      <c r="H287" s="25" t="n">
        <f aca="false">RANK(G287,G$6:G$404,0)</f>
        <v>314</v>
      </c>
      <c r="I287" s="25" t="n">
        <f aca="false">COUNTIFS(C$6:C$404,C287,G$6:G$404,"&gt;"&amp;G287)+1</f>
        <v>74</v>
      </c>
      <c r="J287" s="25" t="n">
        <f aca="false">COUNTIF(C$6:C$404,C287)</f>
        <v>102</v>
      </c>
    </row>
    <row r="288" customFormat="false" ht="15" hidden="false" customHeight="false" outlineLevel="0" collapsed="false">
      <c r="A288" s="25" t="n">
        <v>4120309</v>
      </c>
      <c r="B288" s="26" t="s">
        <v>354</v>
      </c>
      <c r="C288" s="26" t="s">
        <v>71</v>
      </c>
      <c r="D288" s="47" t="n">
        <f aca="false">'2 Fator educacional'!K288</f>
        <v>66.8788878256773</v>
      </c>
      <c r="E288" s="48" t="n">
        <f aca="false">'3 Fator demográfico'!K288</f>
        <v>44.3620856945143</v>
      </c>
      <c r="F288" s="49" t="n">
        <f aca="false">'4 Fator socioeconômico'!K288</f>
        <v>43.6078354297158</v>
      </c>
      <c r="G288" s="50" t="n">
        <f aca="false">(2*D288+E288+2*F288)/500</f>
        <v>0.530671064410601</v>
      </c>
      <c r="H288" s="25" t="n">
        <f aca="false">RANK(G288,G$6:G$404,0)</f>
        <v>115</v>
      </c>
      <c r="I288" s="25" t="n">
        <f aca="false">COUNTIFS(C$6:C$404,C288,G$6:G$404,"&gt;"&amp;G288)+1</f>
        <v>27</v>
      </c>
      <c r="J288" s="25" t="n">
        <f aca="false">COUNTIF(C$6:C$404,C288)</f>
        <v>102</v>
      </c>
    </row>
    <row r="289" customFormat="false" ht="15" hidden="false" customHeight="false" outlineLevel="0" collapsed="false">
      <c r="A289" s="25" t="n">
        <v>4120333</v>
      </c>
      <c r="B289" s="26" t="s">
        <v>355</v>
      </c>
      <c r="C289" s="26" t="s">
        <v>71</v>
      </c>
      <c r="D289" s="47" t="n">
        <f aca="false">'2 Fator educacional'!K289</f>
        <v>35.9978365015059</v>
      </c>
      <c r="E289" s="48" t="n">
        <f aca="false">'3 Fator demográfico'!K289</f>
        <v>100</v>
      </c>
      <c r="F289" s="49" t="n">
        <f aca="false">'4 Fator socioeconômico'!K289</f>
        <v>35.8169307006662</v>
      </c>
      <c r="G289" s="50" t="n">
        <f aca="false">(2*D289+E289+2*F289)/500</f>
        <v>0.487259068808688</v>
      </c>
      <c r="H289" s="25" t="n">
        <f aca="false">RANK(G289,G$6:G$404,0)</f>
        <v>178</v>
      </c>
      <c r="I289" s="25" t="n">
        <f aca="false">COUNTIFS(C$6:C$404,C289,G$6:G$404,"&gt;"&amp;G289)+1</f>
        <v>45</v>
      </c>
      <c r="J289" s="25" t="n">
        <f aca="false">COUNTIF(C$6:C$404,C289)</f>
        <v>102</v>
      </c>
    </row>
    <row r="290" customFormat="false" ht="15" hidden="false" customHeight="false" outlineLevel="0" collapsed="false">
      <c r="A290" s="25" t="n">
        <v>4120358</v>
      </c>
      <c r="B290" s="26" t="s">
        <v>356</v>
      </c>
      <c r="C290" s="26" t="s">
        <v>65</v>
      </c>
      <c r="D290" s="47" t="n">
        <f aca="false">'2 Fator educacional'!K290</f>
        <v>45.7535531975008</v>
      </c>
      <c r="E290" s="48" t="n">
        <f aca="false">'3 Fator demográfico'!K290</f>
        <v>47.4322843056861</v>
      </c>
      <c r="F290" s="49" t="n">
        <f aca="false">'4 Fator socioeconômico'!K290</f>
        <v>32.8338717003215</v>
      </c>
      <c r="G290" s="50" t="n">
        <f aca="false">(2*D290+E290+2*F290)/500</f>
        <v>0.409214268202661</v>
      </c>
      <c r="H290" s="25" t="n">
        <f aca="false">RANK(G290,G$6:G$404,0)</f>
        <v>296</v>
      </c>
      <c r="I290" s="25" t="n">
        <f aca="false">COUNTIFS(C$6:C$404,C290,G$6:G$404,"&gt;"&amp;G290)+1</f>
        <v>165</v>
      </c>
      <c r="J290" s="25" t="n">
        <f aca="false">COUNTIF(C$6:C$404,C290)</f>
        <v>205</v>
      </c>
    </row>
    <row r="291" customFormat="false" ht="15" hidden="false" customHeight="false" outlineLevel="0" collapsed="false">
      <c r="A291" s="25" t="n">
        <v>4120408</v>
      </c>
      <c r="B291" s="26" t="s">
        <v>357</v>
      </c>
      <c r="C291" s="26" t="s">
        <v>71</v>
      </c>
      <c r="D291" s="47" t="n">
        <f aca="false">'2 Fator educacional'!K291</f>
        <v>57.0641467200013</v>
      </c>
      <c r="E291" s="48" t="n">
        <f aca="false">'3 Fator demográfico'!K291</f>
        <v>62.1985153894523</v>
      </c>
      <c r="F291" s="49" t="n">
        <f aca="false">'4 Fator socioeconômico'!K291</f>
        <v>40.1406108627934</v>
      </c>
      <c r="G291" s="50" t="n">
        <f aca="false">(2*D291+E291+2*F291)/500</f>
        <v>0.513216061110083</v>
      </c>
      <c r="H291" s="25" t="n">
        <f aca="false">RANK(G291,G$6:G$404,0)</f>
        <v>137</v>
      </c>
      <c r="I291" s="25" t="n">
        <f aca="false">COUNTIFS(C$6:C$404,C291,G$6:G$404,"&gt;"&amp;G291)+1</f>
        <v>31</v>
      </c>
      <c r="J291" s="25" t="n">
        <f aca="false">COUNTIF(C$6:C$404,C291)</f>
        <v>102</v>
      </c>
    </row>
    <row r="292" customFormat="false" ht="15" hidden="false" customHeight="false" outlineLevel="0" collapsed="false">
      <c r="A292" s="25" t="n">
        <v>4120507</v>
      </c>
      <c r="B292" s="26" t="s">
        <v>358</v>
      </c>
      <c r="C292" s="26" t="s">
        <v>65</v>
      </c>
      <c r="D292" s="47" t="n">
        <f aca="false">'2 Fator educacional'!K292</f>
        <v>46.4788693357457</v>
      </c>
      <c r="E292" s="48" t="n">
        <f aca="false">'3 Fator demográfico'!K292</f>
        <v>18.2064031409546</v>
      </c>
      <c r="F292" s="49" t="n">
        <f aca="false">'4 Fator socioeconômico'!K292</f>
        <v>45.8787553017778</v>
      </c>
      <c r="G292" s="50" t="n">
        <f aca="false">(2*D292+E292+2*F292)/500</f>
        <v>0.405843304832003</v>
      </c>
      <c r="H292" s="25" t="n">
        <f aca="false">RANK(G292,G$6:G$404,0)</f>
        <v>304</v>
      </c>
      <c r="I292" s="25" t="n">
        <f aca="false">COUNTIFS(C$6:C$404,C292,G$6:G$404,"&gt;"&amp;G292)+1</f>
        <v>169</v>
      </c>
      <c r="J292" s="25" t="n">
        <f aca="false">COUNTIF(C$6:C$404,C292)</f>
        <v>205</v>
      </c>
    </row>
    <row r="293" customFormat="false" ht="15" hidden="false" customHeight="false" outlineLevel="0" collapsed="false">
      <c r="A293" s="25" t="n">
        <v>4120606</v>
      </c>
      <c r="B293" s="26" t="s">
        <v>359</v>
      </c>
      <c r="C293" s="26" t="s">
        <v>86</v>
      </c>
      <c r="D293" s="47" t="n">
        <f aca="false">'2 Fator educacional'!K293</f>
        <v>68.0402108952189</v>
      </c>
      <c r="E293" s="48" t="n">
        <f aca="false">'3 Fator demográfico'!K293</f>
        <v>44.1525500915613</v>
      </c>
      <c r="F293" s="49" t="n">
        <f aca="false">'4 Fator socioeconômico'!K293</f>
        <v>45.782371155889</v>
      </c>
      <c r="G293" s="50" t="n">
        <f aca="false">(2*D293+E293+2*F293)/500</f>
        <v>0.543595428387554</v>
      </c>
      <c r="H293" s="25" t="n">
        <f aca="false">RANK(G293,G$6:G$404,0)</f>
        <v>98</v>
      </c>
      <c r="I293" s="25" t="n">
        <f aca="false">COUNTIFS(C$6:C$404,C293,G$6:G$404,"&gt;"&amp;G293)+1</f>
        <v>11</v>
      </c>
      <c r="J293" s="25" t="n">
        <f aca="false">COUNTIF(C$6:C$404,C293)</f>
        <v>62</v>
      </c>
    </row>
    <row r="294" customFormat="false" ht="15" hidden="false" customHeight="false" outlineLevel="0" collapsed="false">
      <c r="A294" s="25" t="n">
        <v>4120655</v>
      </c>
      <c r="B294" s="26" t="s">
        <v>360</v>
      </c>
      <c r="C294" s="26" t="s">
        <v>71</v>
      </c>
      <c r="D294" s="47" t="n">
        <f aca="false">'2 Fator educacional'!K294</f>
        <v>47.4376923127609</v>
      </c>
      <c r="E294" s="48" t="n">
        <f aca="false">'3 Fator demográfico'!K294</f>
        <v>25.8534854942912</v>
      </c>
      <c r="F294" s="49" t="n">
        <f aca="false">'4 Fator socioeconômico'!K294</f>
        <v>35.3529742826881</v>
      </c>
      <c r="G294" s="50" t="n">
        <f aca="false">(2*D294+E294+2*F294)/500</f>
        <v>0.382869637370378</v>
      </c>
      <c r="H294" s="25" t="n">
        <f aca="false">RANK(G294,G$6:G$404,0)</f>
        <v>329</v>
      </c>
      <c r="I294" s="25" t="n">
        <f aca="false">COUNTIFS(C$6:C$404,C294,G$6:G$404,"&gt;"&amp;G294)+1</f>
        <v>78</v>
      </c>
      <c r="J294" s="25" t="n">
        <f aca="false">COUNTIF(C$6:C$404,C294)</f>
        <v>102</v>
      </c>
    </row>
    <row r="295" customFormat="false" ht="15" hidden="false" customHeight="false" outlineLevel="0" collapsed="false">
      <c r="A295" s="25" t="n">
        <v>4120705</v>
      </c>
      <c r="B295" s="26" t="s">
        <v>361</v>
      </c>
      <c r="C295" s="26" t="s">
        <v>65</v>
      </c>
      <c r="D295" s="47" t="n">
        <f aca="false">'2 Fator educacional'!K295</f>
        <v>40.4281488871497</v>
      </c>
      <c r="E295" s="48" t="n">
        <f aca="false">'3 Fator demográfico'!K295</f>
        <v>34.9998597122888</v>
      </c>
      <c r="F295" s="49" t="n">
        <f aca="false">'4 Fator socioeconômico'!K295</f>
        <v>43.7673175626711</v>
      </c>
      <c r="G295" s="50" t="n">
        <f aca="false">(2*D295+E295+2*F295)/500</f>
        <v>0.406781585223861</v>
      </c>
      <c r="H295" s="25" t="n">
        <f aca="false">RANK(G295,G$6:G$404,0)</f>
        <v>302</v>
      </c>
      <c r="I295" s="25" t="n">
        <f aca="false">COUNTIFS(C$6:C$404,C295,G$6:G$404,"&gt;"&amp;G295)+1</f>
        <v>167</v>
      </c>
      <c r="J295" s="25" t="n">
        <f aca="false">COUNTIF(C$6:C$404,C295)</f>
        <v>205</v>
      </c>
    </row>
    <row r="296" customFormat="false" ht="15" hidden="false" customHeight="false" outlineLevel="0" collapsed="false">
      <c r="A296" s="25" t="n">
        <v>4120804</v>
      </c>
      <c r="B296" s="26" t="s">
        <v>362</v>
      </c>
      <c r="C296" s="26" t="s">
        <v>86</v>
      </c>
      <c r="D296" s="47" t="n">
        <f aca="false">'2 Fator educacional'!K296</f>
        <v>61.443611300613</v>
      </c>
      <c r="E296" s="48" t="n">
        <f aca="false">'3 Fator demográfico'!K296</f>
        <v>43.4909700603592</v>
      </c>
      <c r="F296" s="49" t="n">
        <f aca="false">'4 Fator socioeconômico'!K296</f>
        <v>11.2765200742132</v>
      </c>
      <c r="G296" s="50" t="n">
        <f aca="false">(2*D296+E296+2*F296)/500</f>
        <v>0.377862465620023</v>
      </c>
      <c r="H296" s="25" t="n">
        <f aca="false">RANK(G296,G$6:G$404,0)</f>
        <v>334</v>
      </c>
      <c r="I296" s="25" t="n">
        <f aca="false">COUNTIFS(C$6:C$404,C296,G$6:G$404,"&gt;"&amp;G296)+1</f>
        <v>52</v>
      </c>
      <c r="J296" s="25" t="n">
        <f aca="false">COUNTIF(C$6:C$404,C296)</f>
        <v>62</v>
      </c>
    </row>
    <row r="297" customFormat="false" ht="15" hidden="false" customHeight="false" outlineLevel="0" collapsed="false">
      <c r="A297" s="25" t="n">
        <v>4120853</v>
      </c>
      <c r="B297" s="26" t="s">
        <v>363</v>
      </c>
      <c r="C297" s="26" t="s">
        <v>71</v>
      </c>
      <c r="D297" s="47" t="n">
        <f aca="false">'2 Fator educacional'!K297</f>
        <v>28.6432974352857</v>
      </c>
      <c r="E297" s="48" t="n">
        <f aca="false">'3 Fator demográfico'!K297</f>
        <v>48.3629658067433</v>
      </c>
      <c r="F297" s="49" t="n">
        <f aca="false">'4 Fator socioeconômico'!K297</f>
        <v>9.78856780593789</v>
      </c>
      <c r="G297" s="50" t="n">
        <f aca="false">(2*D297+E297+2*F297)/500</f>
        <v>0.250453392578381</v>
      </c>
      <c r="H297" s="25" t="n">
        <f aca="false">RANK(G297,G$6:G$404,0)</f>
        <v>398</v>
      </c>
      <c r="I297" s="25" t="n">
        <f aca="false">COUNTIFS(C$6:C$404,C297,G$6:G$404,"&gt;"&amp;G297)+1</f>
        <v>101</v>
      </c>
      <c r="J297" s="25" t="n">
        <f aca="false">COUNTIF(C$6:C$404,C297)</f>
        <v>102</v>
      </c>
    </row>
    <row r="298" customFormat="false" ht="15" hidden="false" customHeight="false" outlineLevel="0" collapsed="false">
      <c r="A298" s="25" t="n">
        <v>4120903</v>
      </c>
      <c r="B298" s="26" t="s">
        <v>364</v>
      </c>
      <c r="C298" s="26" t="s">
        <v>86</v>
      </c>
      <c r="D298" s="47" t="n">
        <f aca="false">'2 Fator educacional'!K298</f>
        <v>65.5234537394696</v>
      </c>
      <c r="E298" s="48" t="n">
        <f aca="false">'3 Fator demográfico'!K298</f>
        <v>71.9605126848738</v>
      </c>
      <c r="F298" s="49" t="n">
        <f aca="false">'4 Fator socioeconômico'!K298</f>
        <v>52.4041265097098</v>
      </c>
      <c r="G298" s="50" t="n">
        <f aca="false">(2*D298+E298+2*F298)/500</f>
        <v>0.615631346366465</v>
      </c>
      <c r="H298" s="25" t="n">
        <f aca="false">RANK(G298,G$6:G$404,0)</f>
        <v>43</v>
      </c>
      <c r="I298" s="25" t="n">
        <f aca="false">COUNTIFS(C$6:C$404,C298,G$6:G$404,"&gt;"&amp;G298)+1</f>
        <v>4</v>
      </c>
      <c r="J298" s="25" t="n">
        <f aca="false">COUNTIF(C$6:C$404,C298)</f>
        <v>62</v>
      </c>
    </row>
    <row r="299" customFormat="false" ht="15" hidden="false" customHeight="false" outlineLevel="0" collapsed="false">
      <c r="A299" s="25" t="n">
        <v>4121000</v>
      </c>
      <c r="B299" s="26" t="s">
        <v>365</v>
      </c>
      <c r="C299" s="26" t="s">
        <v>65</v>
      </c>
      <c r="D299" s="47" t="n">
        <f aca="false">'2 Fator educacional'!K299</f>
        <v>51.858459188765</v>
      </c>
      <c r="E299" s="48" t="n">
        <f aca="false">'3 Fator demográfico'!K299</f>
        <v>45.1739047483235</v>
      </c>
      <c r="F299" s="49" t="n">
        <f aca="false">'4 Fator socioeconômico'!K299</f>
        <v>50.9769148890211</v>
      </c>
      <c r="G299" s="50" t="n">
        <f aca="false">(2*D299+E299+2*F299)/500</f>
        <v>0.501689305807791</v>
      </c>
      <c r="H299" s="25" t="n">
        <f aca="false">RANK(G299,G$6:G$404,0)</f>
        <v>154</v>
      </c>
      <c r="I299" s="25" t="n">
        <f aca="false">COUNTIFS(C$6:C$404,C299,G$6:G$404,"&gt;"&amp;G299)+1</f>
        <v>93</v>
      </c>
      <c r="J299" s="25" t="n">
        <f aca="false">COUNTIF(C$6:C$404,C299)</f>
        <v>205</v>
      </c>
    </row>
    <row r="300" customFormat="false" ht="15" hidden="false" customHeight="false" outlineLevel="0" collapsed="false">
      <c r="A300" s="25" t="n">
        <v>4121109</v>
      </c>
      <c r="B300" s="26" t="s">
        <v>366</v>
      </c>
      <c r="C300" s="26" t="s">
        <v>65</v>
      </c>
      <c r="D300" s="47" t="n">
        <f aca="false">'2 Fator educacional'!K300</f>
        <v>62.4808053797834</v>
      </c>
      <c r="E300" s="48" t="n">
        <f aca="false">'3 Fator demográfico'!K300</f>
        <v>48.7709107644811</v>
      </c>
      <c r="F300" s="49" t="n">
        <f aca="false">'4 Fator socioeconômico'!K300</f>
        <v>44.1193679886604</v>
      </c>
      <c r="G300" s="50" t="n">
        <f aca="false">(2*D300+E300+2*F300)/500</f>
        <v>0.523942515002738</v>
      </c>
      <c r="H300" s="25" t="n">
        <f aca="false">RANK(G300,G$6:G$404,0)</f>
        <v>124</v>
      </c>
      <c r="I300" s="25" t="n">
        <f aca="false">COUNTIFS(C$6:C$404,C300,G$6:G$404,"&gt;"&amp;G300)+1</f>
        <v>76</v>
      </c>
      <c r="J300" s="25" t="n">
        <f aca="false">COUNTIF(C$6:C$404,C300)</f>
        <v>205</v>
      </c>
    </row>
    <row r="301" customFormat="false" ht="15" hidden="false" customHeight="false" outlineLevel="0" collapsed="false">
      <c r="A301" s="25" t="n">
        <v>4121208</v>
      </c>
      <c r="B301" s="26" t="s">
        <v>367</v>
      </c>
      <c r="C301" s="26" t="s">
        <v>65</v>
      </c>
      <c r="D301" s="47" t="n">
        <f aca="false">'2 Fator educacional'!K301</f>
        <v>70.4310313343752</v>
      </c>
      <c r="E301" s="48" t="n">
        <f aca="false">'3 Fator demográfico'!K301</f>
        <v>41.9944591542621</v>
      </c>
      <c r="F301" s="49" t="n">
        <f aca="false">'4 Fator socioeconômico'!K301</f>
        <v>39.7474014736528</v>
      </c>
      <c r="G301" s="50" t="n">
        <f aca="false">(2*D301+E301+2*F301)/500</f>
        <v>0.524702649540636</v>
      </c>
      <c r="H301" s="25" t="n">
        <f aca="false">RANK(G301,G$6:G$404,0)</f>
        <v>123</v>
      </c>
      <c r="I301" s="25" t="n">
        <f aca="false">COUNTIFS(C$6:C$404,C301,G$6:G$404,"&gt;"&amp;G301)+1</f>
        <v>75</v>
      </c>
      <c r="J301" s="25" t="n">
        <f aca="false">COUNTIF(C$6:C$404,C301)</f>
        <v>205</v>
      </c>
    </row>
    <row r="302" customFormat="false" ht="15" hidden="false" customHeight="false" outlineLevel="0" collapsed="false">
      <c r="A302" s="25" t="n">
        <v>4121257</v>
      </c>
      <c r="B302" s="26" t="s">
        <v>368</v>
      </c>
      <c r="C302" s="26" t="s">
        <v>71</v>
      </c>
      <c r="D302" s="47" t="n">
        <f aca="false">'2 Fator educacional'!K302</f>
        <v>56.844804931718</v>
      </c>
      <c r="E302" s="48" t="n">
        <f aca="false">'3 Fator demográfico'!K302</f>
        <v>58.3793332224853</v>
      </c>
      <c r="F302" s="49" t="n">
        <f aca="false">'4 Fator socioeconômico'!K302</f>
        <v>38.773857817815</v>
      </c>
      <c r="G302" s="50" t="n">
        <f aca="false">(2*D302+E302+2*F302)/500</f>
        <v>0.499233317443103</v>
      </c>
      <c r="H302" s="25" t="n">
        <f aca="false">RANK(G302,G$6:G$404,0)</f>
        <v>159</v>
      </c>
      <c r="I302" s="25" t="n">
        <f aca="false">COUNTIFS(C$6:C$404,C302,G$6:G$404,"&gt;"&amp;G302)+1</f>
        <v>41</v>
      </c>
      <c r="J302" s="25" t="n">
        <f aca="false">COUNTIF(C$6:C$404,C302)</f>
        <v>102</v>
      </c>
    </row>
    <row r="303" customFormat="false" ht="15" hidden="false" customHeight="false" outlineLevel="0" collapsed="false">
      <c r="A303" s="25" t="n">
        <v>4121307</v>
      </c>
      <c r="B303" s="26" t="s">
        <v>369</v>
      </c>
      <c r="C303" s="26" t="s">
        <v>71</v>
      </c>
      <c r="D303" s="47" t="n">
        <f aca="false">'2 Fator educacional'!K303</f>
        <v>45.4653435700459</v>
      </c>
      <c r="E303" s="48" t="n">
        <f aca="false">'3 Fator demográfico'!K303</f>
        <v>21.7456006117227</v>
      </c>
      <c r="F303" s="49" t="n">
        <f aca="false">'4 Fator socioeconômico'!K303</f>
        <v>52.6369003489283</v>
      </c>
      <c r="G303" s="50" t="n">
        <f aca="false">(2*D303+E303+2*F303)/500</f>
        <v>0.435900176899342</v>
      </c>
      <c r="H303" s="25" t="n">
        <f aca="false">RANK(G303,G$6:G$404,0)</f>
        <v>258</v>
      </c>
      <c r="I303" s="25" t="n">
        <f aca="false">COUNTIFS(C$6:C$404,C303,G$6:G$404,"&gt;"&amp;G303)+1</f>
        <v>58</v>
      </c>
      <c r="J303" s="25" t="n">
        <f aca="false">COUNTIF(C$6:C$404,C303)</f>
        <v>102</v>
      </c>
    </row>
    <row r="304" customFormat="false" ht="15" hidden="false" customHeight="false" outlineLevel="0" collapsed="false">
      <c r="A304" s="25" t="n">
        <v>4121356</v>
      </c>
      <c r="B304" s="26" t="s">
        <v>370</v>
      </c>
      <c r="C304" s="26" t="s">
        <v>71</v>
      </c>
      <c r="D304" s="47" t="n">
        <f aca="false">'2 Fator educacional'!K304</f>
        <v>72.5426367353784</v>
      </c>
      <c r="E304" s="48" t="n">
        <f aca="false">'3 Fator demográfico'!K304</f>
        <v>22.494826933267</v>
      </c>
      <c r="F304" s="49" t="n">
        <f aca="false">'4 Fator socioeconômico'!K304</f>
        <v>32.419152382474</v>
      </c>
      <c r="G304" s="50" t="n">
        <f aca="false">(2*D304+E304+2*F304)/500</f>
        <v>0.464836810337944</v>
      </c>
      <c r="H304" s="25" t="n">
        <f aca="false">RANK(G304,G$6:G$404,0)</f>
        <v>218</v>
      </c>
      <c r="I304" s="25" t="n">
        <f aca="false">COUNTIFS(C$6:C$404,C304,G$6:G$404,"&gt;"&amp;G304)+1</f>
        <v>52</v>
      </c>
      <c r="J304" s="25" t="n">
        <f aca="false">COUNTIF(C$6:C$404,C304)</f>
        <v>102</v>
      </c>
    </row>
    <row r="305" customFormat="false" ht="15" hidden="false" customHeight="false" outlineLevel="0" collapsed="false">
      <c r="A305" s="25" t="n">
        <v>4121406</v>
      </c>
      <c r="B305" s="26" t="s">
        <v>371</v>
      </c>
      <c r="C305" s="26" t="s">
        <v>65</v>
      </c>
      <c r="D305" s="47" t="n">
        <f aca="false">'2 Fator educacional'!K305</f>
        <v>42.9057578055445</v>
      </c>
      <c r="E305" s="48" t="n">
        <f aca="false">'3 Fator demográfico'!K305</f>
        <v>38.6133782723332</v>
      </c>
      <c r="F305" s="49" t="n">
        <f aca="false">'4 Fator socioeconômico'!K305</f>
        <v>27.4814425593097</v>
      </c>
      <c r="G305" s="50" t="n">
        <f aca="false">(2*D305+E305+2*F305)/500</f>
        <v>0.358775558004083</v>
      </c>
      <c r="H305" s="25" t="n">
        <f aca="false">RANK(G305,G$6:G$404,0)</f>
        <v>355</v>
      </c>
      <c r="I305" s="25" t="n">
        <f aca="false">COUNTIFS(C$6:C$404,C305,G$6:G$404,"&gt;"&amp;G305)+1</f>
        <v>189</v>
      </c>
      <c r="J305" s="25" t="n">
        <f aca="false">COUNTIF(C$6:C$404,C305)</f>
        <v>205</v>
      </c>
    </row>
    <row r="306" customFormat="false" ht="15" hidden="false" customHeight="false" outlineLevel="0" collapsed="false">
      <c r="A306" s="25" t="n">
        <v>4121505</v>
      </c>
      <c r="B306" s="26" t="s">
        <v>372</v>
      </c>
      <c r="C306" s="26" t="s">
        <v>65</v>
      </c>
      <c r="D306" s="47" t="n">
        <f aca="false">'2 Fator educacional'!K306</f>
        <v>69.8363956908555</v>
      </c>
      <c r="E306" s="48" t="n">
        <f aca="false">'3 Fator demográfico'!K306</f>
        <v>39.1781800587781</v>
      </c>
      <c r="F306" s="49" t="n">
        <f aca="false">'4 Fator socioeconômico'!K306</f>
        <v>54.6996979740316</v>
      </c>
      <c r="G306" s="50" t="n">
        <f aca="false">(2*D306+E306+2*F306)/500</f>
        <v>0.576500734777104</v>
      </c>
      <c r="H306" s="25" t="n">
        <f aca="false">RANK(G306,G$6:G$404,0)</f>
        <v>65</v>
      </c>
      <c r="I306" s="25" t="n">
        <f aca="false">COUNTIFS(C$6:C$404,C306,G$6:G$404,"&gt;"&amp;G306)+1</f>
        <v>43</v>
      </c>
      <c r="J306" s="25" t="n">
        <f aca="false">COUNTIF(C$6:C$404,C306)</f>
        <v>205</v>
      </c>
    </row>
    <row r="307" customFormat="false" ht="15" hidden="false" customHeight="false" outlineLevel="0" collapsed="false">
      <c r="A307" s="25" t="n">
        <v>4121604</v>
      </c>
      <c r="B307" s="26" t="s">
        <v>373</v>
      </c>
      <c r="C307" s="26" t="s">
        <v>65</v>
      </c>
      <c r="D307" s="47" t="n">
        <f aca="false">'2 Fator educacional'!K307</f>
        <v>74.4019816467811</v>
      </c>
      <c r="E307" s="48" t="n">
        <f aca="false">'3 Fator demográfico'!K307</f>
        <v>36.2153220324668</v>
      </c>
      <c r="F307" s="49" t="n">
        <f aca="false">'4 Fator socioeconômico'!K307</f>
        <v>24.7649436673785</v>
      </c>
      <c r="G307" s="50" t="n">
        <f aca="false">(2*D307+E307+2*F307)/500</f>
        <v>0.469098345321572</v>
      </c>
      <c r="H307" s="25" t="n">
        <f aca="false">RANK(G307,G$6:G$404,0)</f>
        <v>212</v>
      </c>
      <c r="I307" s="25" t="n">
        <f aca="false">COUNTIFS(C$6:C$404,C307,G$6:G$404,"&gt;"&amp;G307)+1</f>
        <v>125</v>
      </c>
      <c r="J307" s="25" t="n">
        <f aca="false">COUNTIF(C$6:C$404,C307)</f>
        <v>205</v>
      </c>
    </row>
    <row r="308" customFormat="false" ht="15" hidden="false" customHeight="false" outlineLevel="0" collapsed="false">
      <c r="A308" s="25" t="n">
        <v>4121703</v>
      </c>
      <c r="B308" s="26" t="s">
        <v>374</v>
      </c>
      <c r="C308" s="26" t="s">
        <v>86</v>
      </c>
      <c r="D308" s="47" t="n">
        <f aca="false">'2 Fator educacional'!K308</f>
        <v>68.9422343690265</v>
      </c>
      <c r="E308" s="48" t="n">
        <f aca="false">'3 Fator demográfico'!K308</f>
        <v>56.5383621931778</v>
      </c>
      <c r="F308" s="49" t="n">
        <f aca="false">'4 Fator socioeconômico'!K308</f>
        <v>57.0529200673435</v>
      </c>
      <c r="G308" s="50" t="n">
        <f aca="false">(2*D308+E308+2*F308)/500</f>
        <v>0.617057342131836</v>
      </c>
      <c r="H308" s="25" t="n">
        <f aca="false">RANK(G308,G$6:G$404,0)</f>
        <v>42</v>
      </c>
      <c r="I308" s="25" t="n">
        <f aca="false">COUNTIFS(C$6:C$404,C308,G$6:G$404,"&gt;"&amp;G308)+1</f>
        <v>3</v>
      </c>
      <c r="J308" s="25" t="n">
        <f aca="false">COUNTIF(C$6:C$404,C308)</f>
        <v>62</v>
      </c>
    </row>
    <row r="309" customFormat="false" ht="15" hidden="false" customHeight="false" outlineLevel="0" collapsed="false">
      <c r="A309" s="25" t="n">
        <v>4121752</v>
      </c>
      <c r="B309" s="26" t="s">
        <v>375</v>
      </c>
      <c r="C309" s="26" t="s">
        <v>65</v>
      </c>
      <c r="D309" s="47" t="n">
        <f aca="false">'2 Fator educacional'!K309</f>
        <v>65.7122086348325</v>
      </c>
      <c r="E309" s="48" t="n">
        <f aca="false">'3 Fator demográfico'!K309</f>
        <v>64.7248876434247</v>
      </c>
      <c r="F309" s="49" t="n">
        <f aca="false">'4 Fator socioeconômico'!K309</f>
        <v>50.9725169488255</v>
      </c>
      <c r="G309" s="50" t="n">
        <f aca="false">(2*D309+E309+2*F309)/500</f>
        <v>0.596188677621481</v>
      </c>
      <c r="H309" s="25" t="n">
        <f aca="false">RANK(G309,G$6:G$404,0)</f>
        <v>51</v>
      </c>
      <c r="I309" s="25" t="n">
        <f aca="false">COUNTIFS(C$6:C$404,C309,G$6:G$404,"&gt;"&amp;G309)+1</f>
        <v>35</v>
      </c>
      <c r="J309" s="25" t="n">
        <f aca="false">COUNTIF(C$6:C$404,C309)</f>
        <v>205</v>
      </c>
    </row>
    <row r="310" customFormat="false" ht="15" hidden="false" customHeight="false" outlineLevel="0" collapsed="false">
      <c r="A310" s="25" t="n">
        <v>4121802</v>
      </c>
      <c r="B310" s="26" t="s">
        <v>376</v>
      </c>
      <c r="C310" s="26" t="s">
        <v>65</v>
      </c>
      <c r="D310" s="47" t="n">
        <f aca="false">'2 Fator educacional'!K310</f>
        <v>54.9971211111863</v>
      </c>
      <c r="E310" s="48" t="n">
        <f aca="false">'3 Fator demográfico'!K310</f>
        <v>38.3464521415488</v>
      </c>
      <c r="F310" s="49" t="n">
        <f aca="false">'4 Fator socioeconômico'!K310</f>
        <v>41.5494142554438</v>
      </c>
      <c r="G310" s="50" t="n">
        <f aca="false">(2*D310+E310+2*F310)/500</f>
        <v>0.462879045749618</v>
      </c>
      <c r="H310" s="25" t="n">
        <f aca="false">RANK(G310,G$6:G$404,0)</f>
        <v>221</v>
      </c>
      <c r="I310" s="25" t="n">
        <f aca="false">COUNTIFS(C$6:C$404,C310,G$6:G$404,"&gt;"&amp;G310)+1</f>
        <v>130</v>
      </c>
      <c r="J310" s="25" t="n">
        <f aca="false">COUNTIF(C$6:C$404,C310)</f>
        <v>205</v>
      </c>
    </row>
    <row r="311" customFormat="false" ht="15" hidden="false" customHeight="false" outlineLevel="0" collapsed="false">
      <c r="A311" s="25" t="n">
        <v>4121901</v>
      </c>
      <c r="B311" s="26" t="s">
        <v>377</v>
      </c>
      <c r="C311" s="26" t="s">
        <v>65</v>
      </c>
      <c r="D311" s="47" t="n">
        <f aca="false">'2 Fator educacional'!K311</f>
        <v>63.7012443816396</v>
      </c>
      <c r="E311" s="48" t="n">
        <f aca="false">'3 Fator demográfico'!K311</f>
        <v>64.5305931795063</v>
      </c>
      <c r="F311" s="49" t="n">
        <f aca="false">'4 Fator socioeconômico'!K311</f>
        <v>68.4428495414532</v>
      </c>
      <c r="G311" s="50" t="n">
        <f aca="false">(2*D311+E311+2*F311)/500</f>
        <v>0.657637562051384</v>
      </c>
      <c r="H311" s="25" t="n">
        <f aca="false">RANK(G311,G$6:G$404,0)</f>
        <v>24</v>
      </c>
      <c r="I311" s="25" t="n">
        <f aca="false">COUNTIFS(C$6:C$404,C311,G$6:G$404,"&gt;"&amp;G311)+1</f>
        <v>16</v>
      </c>
      <c r="J311" s="25" t="n">
        <f aca="false">COUNTIF(C$6:C$404,C311)</f>
        <v>205</v>
      </c>
    </row>
    <row r="312" customFormat="false" ht="15" hidden="false" customHeight="false" outlineLevel="0" collapsed="false">
      <c r="A312" s="25" t="n">
        <v>4122008</v>
      </c>
      <c r="B312" s="26" t="s">
        <v>378</v>
      </c>
      <c r="C312" s="26" t="s">
        <v>65</v>
      </c>
      <c r="D312" s="47" t="n">
        <f aca="false">'2 Fator educacional'!K312</f>
        <v>89.7414200852727</v>
      </c>
      <c r="E312" s="48" t="n">
        <f aca="false">'3 Fator demográfico'!K312</f>
        <v>68.0274072331794</v>
      </c>
      <c r="F312" s="49" t="n">
        <f aca="false">'4 Fator socioeconômico'!K312</f>
        <v>35.8042624270996</v>
      </c>
      <c r="G312" s="50" t="n">
        <f aca="false">(2*D312+E312+2*F312)/500</f>
        <v>0.638237544515848</v>
      </c>
      <c r="H312" s="25" t="n">
        <f aca="false">RANK(G312,G$6:G$404,0)</f>
        <v>32</v>
      </c>
      <c r="I312" s="25" t="n">
        <f aca="false">COUNTIFS(C$6:C$404,C312,G$6:G$404,"&gt;"&amp;G312)+1</f>
        <v>21</v>
      </c>
      <c r="J312" s="25" t="n">
        <f aca="false">COUNTIF(C$6:C$404,C312)</f>
        <v>205</v>
      </c>
    </row>
    <row r="313" customFormat="false" ht="15" hidden="false" customHeight="false" outlineLevel="0" collapsed="false">
      <c r="A313" s="25" t="n">
        <v>4122107</v>
      </c>
      <c r="B313" s="26" t="s">
        <v>379</v>
      </c>
      <c r="C313" s="26" t="s">
        <v>71</v>
      </c>
      <c r="D313" s="47" t="n">
        <f aca="false">'2 Fator educacional'!K313</f>
        <v>53.5126963185081</v>
      </c>
      <c r="E313" s="48" t="n">
        <f aca="false">'3 Fator demográfico'!K313</f>
        <v>29.8995139260304</v>
      </c>
      <c r="F313" s="49" t="n">
        <f aca="false">'4 Fator socioeconômico'!K313</f>
        <v>51.2869710993594</v>
      </c>
      <c r="G313" s="50" t="n">
        <f aca="false">(2*D313+E313+2*F313)/500</f>
        <v>0.478997697523531</v>
      </c>
      <c r="H313" s="25" t="n">
        <f aca="false">RANK(G313,G$6:G$404,0)</f>
        <v>198</v>
      </c>
      <c r="I313" s="25" t="n">
        <f aca="false">COUNTIFS(C$6:C$404,C313,G$6:G$404,"&gt;"&amp;G313)+1</f>
        <v>48</v>
      </c>
      <c r="J313" s="25" t="n">
        <f aca="false">COUNTIF(C$6:C$404,C313)</f>
        <v>102</v>
      </c>
    </row>
    <row r="314" customFormat="false" ht="15" hidden="false" customHeight="false" outlineLevel="0" collapsed="false">
      <c r="A314" s="25" t="n">
        <v>4122156</v>
      </c>
      <c r="B314" s="26" t="s">
        <v>380</v>
      </c>
      <c r="C314" s="26" t="s">
        <v>65</v>
      </c>
      <c r="D314" s="47" t="n">
        <f aca="false">'2 Fator educacional'!K314</f>
        <v>71.7301935857539</v>
      </c>
      <c r="E314" s="48" t="n">
        <f aca="false">'3 Fator demográfico'!K314</f>
        <v>74.1278020511321</v>
      </c>
      <c r="F314" s="49" t="n">
        <f aca="false">'4 Fator socioeconômico'!K314</f>
        <v>62.7590628820157</v>
      </c>
      <c r="G314" s="50" t="n">
        <f aca="false">(2*D314+E314+2*F314)/500</f>
        <v>0.686212629973343</v>
      </c>
      <c r="H314" s="25" t="n">
        <f aca="false">RANK(G314,G$6:G$404,0)</f>
        <v>15</v>
      </c>
      <c r="I314" s="25" t="n">
        <f aca="false">COUNTIFS(C$6:C$404,C314,G$6:G$404,"&gt;"&amp;G314)+1</f>
        <v>10</v>
      </c>
      <c r="J314" s="25" t="n">
        <f aca="false">COUNTIF(C$6:C$404,C314)</f>
        <v>205</v>
      </c>
    </row>
    <row r="315" customFormat="false" ht="15" hidden="false" customHeight="false" outlineLevel="0" collapsed="false">
      <c r="A315" s="25" t="n">
        <v>4122172</v>
      </c>
      <c r="B315" s="26" t="s">
        <v>381</v>
      </c>
      <c r="C315" s="26" t="s">
        <v>71</v>
      </c>
      <c r="D315" s="47" t="n">
        <f aca="false">'2 Fator educacional'!K315</f>
        <v>63.5481186461071</v>
      </c>
      <c r="E315" s="48" t="n">
        <f aca="false">'3 Fator demográfico'!K315</f>
        <v>42.1730195242616</v>
      </c>
      <c r="F315" s="49" t="n">
        <f aca="false">'4 Fator socioeconômico'!K315</f>
        <v>88.4908333894072</v>
      </c>
      <c r="G315" s="50" t="n">
        <f aca="false">(2*D315+E315+2*F315)/500</f>
        <v>0.692501847190581</v>
      </c>
      <c r="H315" s="25" t="n">
        <f aca="false">RANK(G315,G$6:G$404,0)</f>
        <v>12</v>
      </c>
      <c r="I315" s="25" t="n">
        <f aca="false">COUNTIFS(C$6:C$404,C315,G$6:G$404,"&gt;"&amp;G315)+1</f>
        <v>4</v>
      </c>
      <c r="J315" s="25" t="n">
        <f aca="false">COUNTIF(C$6:C$404,C315)</f>
        <v>102</v>
      </c>
    </row>
    <row r="316" customFormat="false" ht="15" hidden="false" customHeight="false" outlineLevel="0" collapsed="false">
      <c r="A316" s="25" t="n">
        <v>4122206</v>
      </c>
      <c r="B316" s="26" t="s">
        <v>382</v>
      </c>
      <c r="C316" s="26" t="s">
        <v>86</v>
      </c>
      <c r="D316" s="47" t="n">
        <f aca="false">'2 Fator educacional'!K316</f>
        <v>72.4720362491022</v>
      </c>
      <c r="E316" s="48" t="n">
        <f aca="false">'3 Fator demográfico'!K316</f>
        <v>46.6077793340141</v>
      </c>
      <c r="F316" s="49" t="n">
        <f aca="false">'4 Fator socioeconômico'!K316</f>
        <v>46.594697609066</v>
      </c>
      <c r="G316" s="50" t="n">
        <f aca="false">(2*D316+E316+2*F316)/500</f>
        <v>0.569482494100701</v>
      </c>
      <c r="H316" s="25" t="n">
        <f aca="false">RANK(G316,G$6:G$404,0)</f>
        <v>75</v>
      </c>
      <c r="I316" s="25" t="n">
        <f aca="false">COUNTIFS(C$6:C$404,C316,G$6:G$404,"&gt;"&amp;G316)+1</f>
        <v>8</v>
      </c>
      <c r="J316" s="25" t="n">
        <f aca="false">COUNTIF(C$6:C$404,C316)</f>
        <v>62</v>
      </c>
    </row>
    <row r="317" customFormat="false" ht="15" hidden="false" customHeight="false" outlineLevel="0" collapsed="false">
      <c r="A317" s="25" t="n">
        <v>4122305</v>
      </c>
      <c r="B317" s="26" t="s">
        <v>383</v>
      </c>
      <c r="C317" s="26" t="s">
        <v>86</v>
      </c>
      <c r="D317" s="47" t="n">
        <f aca="false">'2 Fator educacional'!K317</f>
        <v>53.3960836882105</v>
      </c>
      <c r="E317" s="48" t="n">
        <f aca="false">'3 Fator demográfico'!K317</f>
        <v>35.2720240652325</v>
      </c>
      <c r="F317" s="49" t="n">
        <f aca="false">'4 Fator socioeconômico'!K317</f>
        <v>28.8415781211975</v>
      </c>
      <c r="G317" s="50" t="n">
        <f aca="false">(2*D317+E317+2*F317)/500</f>
        <v>0.399494695368097</v>
      </c>
      <c r="H317" s="25" t="n">
        <f aca="false">RANK(G317,G$6:G$404,0)</f>
        <v>311</v>
      </c>
      <c r="I317" s="25" t="n">
        <f aca="false">COUNTIFS(C$6:C$404,C317,G$6:G$404,"&gt;"&amp;G317)+1</f>
        <v>48</v>
      </c>
      <c r="J317" s="25" t="n">
        <f aca="false">COUNTIF(C$6:C$404,C317)</f>
        <v>62</v>
      </c>
    </row>
    <row r="318" customFormat="false" ht="15" hidden="false" customHeight="false" outlineLevel="0" collapsed="false">
      <c r="A318" s="25" t="n">
        <v>4122404</v>
      </c>
      <c r="B318" s="26" t="s">
        <v>384</v>
      </c>
      <c r="C318" s="26" t="s">
        <v>129</v>
      </c>
      <c r="D318" s="47" t="n">
        <f aca="false">'2 Fator educacional'!K318</f>
        <v>61.8983874686069</v>
      </c>
      <c r="E318" s="48" t="n">
        <f aca="false">'3 Fator demográfico'!K318</f>
        <v>51.6655046573381</v>
      </c>
      <c r="F318" s="49" t="n">
        <f aca="false">'4 Fator socioeconômico'!K318</f>
        <v>20.824024001309</v>
      </c>
      <c r="G318" s="50" t="n">
        <f aca="false">(2*D318+E318+2*F318)/500</f>
        <v>0.43422065519434</v>
      </c>
      <c r="H318" s="25" t="n">
        <f aca="false">RANK(G318,G$6:G$404,0)</f>
        <v>261</v>
      </c>
      <c r="I318" s="25" t="n">
        <f aca="false">COUNTIFS(C$6:C$404,C318,G$6:G$404,"&gt;"&amp;G318)+1</f>
        <v>3</v>
      </c>
      <c r="J318" s="25" t="n">
        <f aca="false">COUNTIF(C$6:C$404,C318)</f>
        <v>8</v>
      </c>
    </row>
    <row r="319" customFormat="false" ht="15" hidden="false" customHeight="false" outlineLevel="0" collapsed="false">
      <c r="A319" s="25" t="n">
        <v>4122503</v>
      </c>
      <c r="B319" s="26" t="s">
        <v>385</v>
      </c>
      <c r="C319" s="26" t="s">
        <v>65</v>
      </c>
      <c r="D319" s="47" t="n">
        <f aca="false">'2 Fator educacional'!K319</f>
        <v>63.1378079713494</v>
      </c>
      <c r="E319" s="48" t="n">
        <f aca="false">'3 Fator demográfico'!K319</f>
        <v>45.8647391736783</v>
      </c>
      <c r="F319" s="49" t="n">
        <f aca="false">'4 Fator socioeconômico'!K319</f>
        <v>42.7792091173921</v>
      </c>
      <c r="G319" s="50" t="n">
        <f aca="false">(2*D319+E319+2*F319)/500</f>
        <v>0.515397546702322</v>
      </c>
      <c r="H319" s="25" t="n">
        <f aca="false">RANK(G319,G$6:G$404,0)</f>
        <v>132</v>
      </c>
      <c r="I319" s="25" t="n">
        <f aca="false">COUNTIFS(C$6:C$404,C319,G$6:G$404,"&gt;"&amp;G319)+1</f>
        <v>83</v>
      </c>
      <c r="J319" s="25" t="n">
        <f aca="false">COUNTIF(C$6:C$404,C319)</f>
        <v>205</v>
      </c>
    </row>
    <row r="320" customFormat="false" ht="15" hidden="false" customHeight="false" outlineLevel="0" collapsed="false">
      <c r="A320" s="25" t="n">
        <v>4122602</v>
      </c>
      <c r="B320" s="26" t="s">
        <v>386</v>
      </c>
      <c r="C320" s="26" t="s">
        <v>65</v>
      </c>
      <c r="D320" s="47" t="n">
        <f aca="false">'2 Fator educacional'!K320</f>
        <v>41.055276884153</v>
      </c>
      <c r="E320" s="48" t="n">
        <f aca="false">'3 Fator demográfico'!K320</f>
        <v>51.0035049798037</v>
      </c>
      <c r="F320" s="49" t="n">
        <f aca="false">'4 Fator socioeconômico'!K320</f>
        <v>33.3206743808496</v>
      </c>
      <c r="G320" s="50" t="n">
        <f aca="false">(2*D320+E320+2*F320)/500</f>
        <v>0.399510815019618</v>
      </c>
      <c r="H320" s="25" t="n">
        <f aca="false">RANK(G320,G$6:G$404,0)</f>
        <v>310</v>
      </c>
      <c r="I320" s="25" t="n">
        <f aca="false">COUNTIFS(C$6:C$404,C320,G$6:G$404,"&gt;"&amp;G320)+1</f>
        <v>170</v>
      </c>
      <c r="J320" s="25" t="n">
        <f aca="false">COUNTIF(C$6:C$404,C320)</f>
        <v>205</v>
      </c>
    </row>
    <row r="321" customFormat="false" ht="15" hidden="false" customHeight="false" outlineLevel="0" collapsed="false">
      <c r="A321" s="25" t="n">
        <v>4122651</v>
      </c>
      <c r="B321" s="26" t="s">
        <v>387</v>
      </c>
      <c r="C321" s="26" t="s">
        <v>65</v>
      </c>
      <c r="D321" s="47" t="n">
        <f aca="false">'2 Fator educacional'!K321</f>
        <v>54.9571954976103</v>
      </c>
      <c r="E321" s="48" t="n">
        <f aca="false">'3 Fator demográfico'!K321</f>
        <v>28.1890975921442</v>
      </c>
      <c r="F321" s="49" t="n">
        <f aca="false">'4 Fator socioeconômico'!K321</f>
        <v>60.3520051045246</v>
      </c>
      <c r="G321" s="50" t="n">
        <f aca="false">(2*D321+E321+2*F321)/500</f>
        <v>0.517614997592828</v>
      </c>
      <c r="H321" s="25" t="n">
        <f aca="false">RANK(G321,G$6:G$404,0)</f>
        <v>130</v>
      </c>
      <c r="I321" s="25" t="n">
        <f aca="false">COUNTIFS(C$6:C$404,C321,G$6:G$404,"&gt;"&amp;G321)+1</f>
        <v>81</v>
      </c>
      <c r="J321" s="25" t="n">
        <f aca="false">COUNTIF(C$6:C$404,C321)</f>
        <v>205</v>
      </c>
    </row>
    <row r="322" customFormat="false" ht="15" hidden="false" customHeight="false" outlineLevel="0" collapsed="false">
      <c r="A322" s="25" t="n">
        <v>4122701</v>
      </c>
      <c r="B322" s="26" t="s">
        <v>388</v>
      </c>
      <c r="C322" s="26" t="s">
        <v>65</v>
      </c>
      <c r="D322" s="47" t="n">
        <f aca="false">'2 Fator educacional'!K322</f>
        <v>36.9519302901742</v>
      </c>
      <c r="E322" s="48" t="n">
        <f aca="false">'3 Fator demográfico'!K322</f>
        <v>37.8760966673312</v>
      </c>
      <c r="F322" s="49" t="n">
        <f aca="false">'4 Fator socioeconômico'!K322</f>
        <v>20.9043539798026</v>
      </c>
      <c r="G322" s="50" t="n">
        <f aca="false">(2*D322+E322+2*F322)/500</f>
        <v>0.30717733041457</v>
      </c>
      <c r="H322" s="25" t="n">
        <f aca="false">RANK(G322,G$6:G$404,0)</f>
        <v>386</v>
      </c>
      <c r="I322" s="25" t="n">
        <f aca="false">COUNTIFS(C$6:C$404,C322,G$6:G$404,"&gt;"&amp;G322)+1</f>
        <v>200</v>
      </c>
      <c r="J322" s="25" t="n">
        <f aca="false">COUNTIF(C$6:C$404,C322)</f>
        <v>205</v>
      </c>
    </row>
    <row r="323" customFormat="false" ht="15" hidden="false" customHeight="false" outlineLevel="0" collapsed="false">
      <c r="A323" s="25" t="n">
        <v>4122800</v>
      </c>
      <c r="B323" s="26" t="s">
        <v>389</v>
      </c>
      <c r="C323" s="26" t="s">
        <v>71</v>
      </c>
      <c r="D323" s="47" t="n">
        <f aca="false">'2 Fator educacional'!K323</f>
        <v>25.6156825985017</v>
      </c>
      <c r="E323" s="48" t="n">
        <f aca="false">'3 Fator demográfico'!K323</f>
        <v>34.3181249459002</v>
      </c>
      <c r="F323" s="49" t="n">
        <f aca="false">'4 Fator socioeconômico'!K323</f>
        <v>36.5303544295668</v>
      </c>
      <c r="G323" s="50" t="n">
        <f aca="false">(2*D323+E323+2*F323)/500</f>
        <v>0.317220398004074</v>
      </c>
      <c r="H323" s="25" t="n">
        <f aca="false">RANK(G323,G$6:G$404,0)</f>
        <v>379</v>
      </c>
      <c r="I323" s="25" t="n">
        <f aca="false">COUNTIFS(C$6:C$404,C323,G$6:G$404,"&gt;"&amp;G323)+1</f>
        <v>94</v>
      </c>
      <c r="J323" s="25" t="n">
        <f aca="false">COUNTIF(C$6:C$404,C323)</f>
        <v>102</v>
      </c>
    </row>
    <row r="324" customFormat="false" ht="15" hidden="false" customHeight="false" outlineLevel="0" collapsed="false">
      <c r="A324" s="25" t="n">
        <v>4122909</v>
      </c>
      <c r="B324" s="26" t="s">
        <v>390</v>
      </c>
      <c r="C324" s="26" t="s">
        <v>65</v>
      </c>
      <c r="D324" s="47" t="n">
        <f aca="false">'2 Fator educacional'!K324</f>
        <v>51.6167771585617</v>
      </c>
      <c r="E324" s="48" t="n">
        <f aca="false">'3 Fator demográfico'!K324</f>
        <v>21.6455837469857</v>
      </c>
      <c r="F324" s="49" t="n">
        <f aca="false">'4 Fator socioeconômico'!K324</f>
        <v>54.7584450547962</v>
      </c>
      <c r="G324" s="50" t="n">
        <f aca="false">(2*D324+E324+2*F324)/500</f>
        <v>0.468792056347403</v>
      </c>
      <c r="H324" s="25" t="n">
        <f aca="false">RANK(G324,G$6:G$404,0)</f>
        <v>214</v>
      </c>
      <c r="I324" s="25" t="n">
        <f aca="false">COUNTIFS(C$6:C$404,C324,G$6:G$404,"&gt;"&amp;G324)+1</f>
        <v>126</v>
      </c>
      <c r="J324" s="25" t="n">
        <f aca="false">COUNTIF(C$6:C$404,C324)</f>
        <v>205</v>
      </c>
    </row>
    <row r="325" customFormat="false" ht="15" hidden="false" customHeight="false" outlineLevel="0" collapsed="false">
      <c r="A325" s="25" t="n">
        <v>4123006</v>
      </c>
      <c r="B325" s="26" t="s">
        <v>391</v>
      </c>
      <c r="C325" s="26" t="s">
        <v>65</v>
      </c>
      <c r="D325" s="47" t="n">
        <f aca="false">'2 Fator educacional'!K325</f>
        <v>71.0629612580434</v>
      </c>
      <c r="E325" s="48" t="n">
        <f aca="false">'3 Fator demográfico'!K325</f>
        <v>36.4493789192909</v>
      </c>
      <c r="F325" s="49" t="n">
        <f aca="false">'4 Fator socioeconômico'!K325</f>
        <v>40.4119263920508</v>
      </c>
      <c r="G325" s="50" t="n">
        <f aca="false">(2*D325+E325+2*F325)/500</f>
        <v>0.518798308438959</v>
      </c>
      <c r="H325" s="25" t="n">
        <f aca="false">RANK(G325,G$6:G$404,0)</f>
        <v>129</v>
      </c>
      <c r="I325" s="25" t="n">
        <f aca="false">COUNTIFS(C$6:C$404,C325,G$6:G$404,"&gt;"&amp;G325)+1</f>
        <v>80</v>
      </c>
      <c r="J325" s="25" t="n">
        <f aca="false">COUNTIF(C$6:C$404,C325)</f>
        <v>205</v>
      </c>
    </row>
    <row r="326" customFormat="false" ht="15" hidden="false" customHeight="false" outlineLevel="0" collapsed="false">
      <c r="A326" s="25" t="n">
        <v>4123105</v>
      </c>
      <c r="B326" s="26" t="s">
        <v>392</v>
      </c>
      <c r="C326" s="26" t="s">
        <v>71</v>
      </c>
      <c r="D326" s="47" t="n">
        <f aca="false">'2 Fator educacional'!K326</f>
        <v>42.7357046630186</v>
      </c>
      <c r="E326" s="48" t="n">
        <f aca="false">'3 Fator demográfico'!K326</f>
        <v>62.2702319347355</v>
      </c>
      <c r="F326" s="49" t="n">
        <f aca="false">'4 Fator socioeconômico'!K326</f>
        <v>64.3949942130532</v>
      </c>
      <c r="G326" s="50" t="n">
        <f aca="false">(2*D326+E326+2*F326)/500</f>
        <v>0.553063259373758</v>
      </c>
      <c r="H326" s="25" t="n">
        <f aca="false">RANK(G326,G$6:G$404,0)</f>
        <v>88</v>
      </c>
      <c r="I326" s="25" t="n">
        <f aca="false">COUNTIFS(C$6:C$404,C326,G$6:G$404,"&gt;"&amp;G326)+1</f>
        <v>23</v>
      </c>
      <c r="J326" s="25" t="n">
        <f aca="false">COUNTIF(C$6:C$404,C326)</f>
        <v>102</v>
      </c>
    </row>
    <row r="327" customFormat="false" ht="15" hidden="false" customHeight="false" outlineLevel="0" collapsed="false">
      <c r="A327" s="25" t="n">
        <v>4123204</v>
      </c>
      <c r="B327" s="26" t="s">
        <v>393</v>
      </c>
      <c r="C327" s="26" t="s">
        <v>71</v>
      </c>
      <c r="D327" s="47" t="n">
        <f aca="false">'2 Fator educacional'!K327</f>
        <v>34.6360928661831</v>
      </c>
      <c r="E327" s="48" t="n">
        <f aca="false">'3 Fator demográfico'!K327</f>
        <v>77.2849856442779</v>
      </c>
      <c r="F327" s="49" t="n">
        <f aca="false">'4 Fator socioeconômico'!K327</f>
        <v>47.876514508074</v>
      </c>
      <c r="G327" s="50" t="n">
        <f aca="false">(2*D327+E327+2*F327)/500</f>
        <v>0.484620400785584</v>
      </c>
      <c r="H327" s="25" t="n">
        <f aca="false">RANK(G327,G$6:G$404,0)</f>
        <v>186</v>
      </c>
      <c r="I327" s="25" t="n">
        <f aca="false">COUNTIFS(C$6:C$404,C327,G$6:G$404,"&gt;"&amp;G327)+1</f>
        <v>47</v>
      </c>
      <c r="J327" s="25" t="n">
        <f aca="false">COUNTIF(C$6:C$404,C327)</f>
        <v>102</v>
      </c>
    </row>
    <row r="328" customFormat="false" ht="15" hidden="false" customHeight="false" outlineLevel="0" collapsed="false">
      <c r="A328" s="25" t="n">
        <v>4123303</v>
      </c>
      <c r="B328" s="26" t="s">
        <v>394</v>
      </c>
      <c r="C328" s="26" t="s">
        <v>65</v>
      </c>
      <c r="D328" s="47" t="n">
        <f aca="false">'2 Fator educacional'!K328</f>
        <v>32.4849398310808</v>
      </c>
      <c r="E328" s="48" t="n">
        <f aca="false">'3 Fator demográfico'!K328</f>
        <v>42.7367032196234</v>
      </c>
      <c r="F328" s="49" t="n">
        <f aca="false">'4 Fator socioeconômico'!K328</f>
        <v>52.6523629036476</v>
      </c>
      <c r="G328" s="50" t="n">
        <f aca="false">(2*D328+E328+2*F328)/500</f>
        <v>0.42602261737816</v>
      </c>
      <c r="H328" s="25" t="n">
        <f aca="false">RANK(G328,G$6:G$404,0)</f>
        <v>275</v>
      </c>
      <c r="I328" s="25" t="n">
        <f aca="false">COUNTIFS(C$6:C$404,C328,G$6:G$404,"&gt;"&amp;G328)+1</f>
        <v>156</v>
      </c>
      <c r="J328" s="25" t="n">
        <f aca="false">COUNTIF(C$6:C$404,C328)</f>
        <v>205</v>
      </c>
    </row>
    <row r="329" customFormat="false" ht="15" hidden="false" customHeight="false" outlineLevel="0" collapsed="false">
      <c r="A329" s="25" t="n">
        <v>4123402</v>
      </c>
      <c r="B329" s="26" t="s">
        <v>395</v>
      </c>
      <c r="C329" s="26" t="s">
        <v>65</v>
      </c>
      <c r="D329" s="47" t="n">
        <f aca="false">'2 Fator educacional'!K329</f>
        <v>25.2418351120038</v>
      </c>
      <c r="E329" s="48" t="n">
        <f aca="false">'3 Fator demográfico'!K329</f>
        <v>39.5166844849497</v>
      </c>
      <c r="F329" s="49" t="n">
        <f aca="false">'4 Fator socioeconômico'!K329</f>
        <v>31.5203786026391</v>
      </c>
      <c r="G329" s="50" t="n">
        <f aca="false">(2*D329+E329+2*F329)/500</f>
        <v>0.306082223828471</v>
      </c>
      <c r="H329" s="25" t="n">
        <f aca="false">RANK(G329,G$6:G$404,0)</f>
        <v>387</v>
      </c>
      <c r="I329" s="25" t="n">
        <f aca="false">COUNTIFS(C$6:C$404,C329,G$6:G$404,"&gt;"&amp;G329)+1</f>
        <v>201</v>
      </c>
      <c r="J329" s="25" t="n">
        <f aca="false">COUNTIF(C$6:C$404,C329)</f>
        <v>205</v>
      </c>
    </row>
    <row r="330" customFormat="false" ht="15" hidden="false" customHeight="false" outlineLevel="0" collapsed="false">
      <c r="A330" s="25" t="n">
        <v>4123501</v>
      </c>
      <c r="B330" s="26" t="s">
        <v>396</v>
      </c>
      <c r="C330" s="26" t="s">
        <v>86</v>
      </c>
      <c r="D330" s="47" t="n">
        <f aca="false">'2 Fator educacional'!K330</f>
        <v>37.3666082032289</v>
      </c>
      <c r="E330" s="48" t="n">
        <f aca="false">'3 Fator demográfico'!K330</f>
        <v>42.7249563369289</v>
      </c>
      <c r="F330" s="49" t="n">
        <f aca="false">'4 Fator socioeconômico'!K330</f>
        <v>26.9498385783102</v>
      </c>
      <c r="G330" s="50" t="n">
        <f aca="false">(2*D330+E330+2*F330)/500</f>
        <v>0.342715699800014</v>
      </c>
      <c r="H330" s="25" t="n">
        <f aca="false">RANK(G330,G$6:G$404,0)</f>
        <v>364</v>
      </c>
      <c r="I330" s="25" t="n">
        <f aca="false">COUNTIFS(C$6:C$404,C330,G$6:G$404,"&gt;"&amp;G330)+1</f>
        <v>58</v>
      </c>
      <c r="J330" s="25" t="n">
        <f aca="false">COUNTIF(C$6:C$404,C330)</f>
        <v>62</v>
      </c>
    </row>
    <row r="331" customFormat="false" ht="15" hidden="false" customHeight="false" outlineLevel="0" collapsed="false">
      <c r="A331" s="25" t="n">
        <v>4123600</v>
      </c>
      <c r="B331" s="26" t="s">
        <v>397</v>
      </c>
      <c r="C331" s="26" t="s">
        <v>71</v>
      </c>
      <c r="D331" s="47" t="n">
        <f aca="false">'2 Fator educacional'!K331</f>
        <v>35.8329594676109</v>
      </c>
      <c r="E331" s="48" t="n">
        <f aca="false">'3 Fator demográfico'!K331</f>
        <v>34.9757467472635</v>
      </c>
      <c r="F331" s="49" t="n">
        <f aca="false">'4 Fator socioeconômico'!K331</f>
        <v>44.7964040425831</v>
      </c>
      <c r="G331" s="50" t="n">
        <f aca="false">(2*D331+E331+2*F331)/500</f>
        <v>0.392468947535303</v>
      </c>
      <c r="H331" s="25" t="n">
        <f aca="false">RANK(G331,G$6:G$404,0)</f>
        <v>318</v>
      </c>
      <c r="I331" s="25" t="n">
        <f aca="false">COUNTIFS(C$6:C$404,C331,G$6:G$404,"&gt;"&amp;G331)+1</f>
        <v>75</v>
      </c>
      <c r="J331" s="25" t="n">
        <f aca="false">COUNTIF(C$6:C$404,C331)</f>
        <v>102</v>
      </c>
    </row>
    <row r="332" customFormat="false" ht="15" hidden="false" customHeight="false" outlineLevel="0" collapsed="false">
      <c r="A332" s="25" t="n">
        <v>4123709</v>
      </c>
      <c r="B332" s="26" t="s">
        <v>398</v>
      </c>
      <c r="C332" s="26" t="s">
        <v>65</v>
      </c>
      <c r="D332" s="47" t="n">
        <f aca="false">'2 Fator educacional'!K332</f>
        <v>44.9968227453965</v>
      </c>
      <c r="E332" s="48" t="n">
        <f aca="false">'3 Fator demográfico'!K332</f>
        <v>69.9150805639383</v>
      </c>
      <c r="F332" s="49" t="n">
        <f aca="false">'4 Fator socioeconômico'!K332</f>
        <v>36.3672514512686</v>
      </c>
      <c r="G332" s="50" t="n">
        <f aca="false">(2*D332+E332+2*F332)/500</f>
        <v>0.465286457914537</v>
      </c>
      <c r="H332" s="25" t="n">
        <f aca="false">RANK(G332,G$6:G$404,0)</f>
        <v>216</v>
      </c>
      <c r="I332" s="25" t="n">
        <f aca="false">COUNTIFS(C$6:C$404,C332,G$6:G$404,"&gt;"&amp;G332)+1</f>
        <v>127</v>
      </c>
      <c r="J332" s="25" t="n">
        <f aca="false">COUNTIF(C$6:C$404,C332)</f>
        <v>205</v>
      </c>
    </row>
    <row r="333" customFormat="false" ht="15" hidden="false" customHeight="false" outlineLevel="0" collapsed="false">
      <c r="A333" s="25" t="n">
        <v>4123808</v>
      </c>
      <c r="B333" s="26" t="s">
        <v>399</v>
      </c>
      <c r="C333" s="26" t="s">
        <v>65</v>
      </c>
      <c r="D333" s="47" t="n">
        <f aca="false">'2 Fator educacional'!K333</f>
        <v>63.9013747300211</v>
      </c>
      <c r="E333" s="48" t="n">
        <f aca="false">'3 Fator demográfico'!K333</f>
        <v>32.7790745380105</v>
      </c>
      <c r="F333" s="49" t="n">
        <f aca="false">'4 Fator socioeconômico'!K333</f>
        <v>35.0743837379085</v>
      </c>
      <c r="G333" s="50" t="n">
        <f aca="false">(2*D333+E333+2*F333)/500</f>
        <v>0.461461182947739</v>
      </c>
      <c r="H333" s="25" t="n">
        <f aca="false">RANK(G333,G$6:G$404,0)</f>
        <v>223</v>
      </c>
      <c r="I333" s="25" t="n">
        <f aca="false">COUNTIFS(C$6:C$404,C333,G$6:G$404,"&gt;"&amp;G333)+1</f>
        <v>132</v>
      </c>
      <c r="J333" s="25" t="n">
        <f aca="false">COUNTIF(C$6:C$404,C333)</f>
        <v>205</v>
      </c>
    </row>
    <row r="334" customFormat="false" ht="15" hidden="false" customHeight="false" outlineLevel="0" collapsed="false">
      <c r="A334" s="25" t="n">
        <v>4123824</v>
      </c>
      <c r="B334" s="26" t="s">
        <v>400</v>
      </c>
      <c r="C334" s="26" t="s">
        <v>71</v>
      </c>
      <c r="D334" s="47" t="n">
        <f aca="false">'2 Fator educacional'!K334</f>
        <v>79.7208961634797</v>
      </c>
      <c r="E334" s="48" t="n">
        <f aca="false">'3 Fator demográfico'!K334</f>
        <v>45.4484175057467</v>
      </c>
      <c r="F334" s="49" t="n">
        <f aca="false">'4 Fator socioeconômico'!K334</f>
        <v>42.1424925154932</v>
      </c>
      <c r="G334" s="50" t="n">
        <f aca="false">(2*D334+E334+2*F334)/500</f>
        <v>0.578350389727385</v>
      </c>
      <c r="H334" s="25" t="n">
        <f aca="false">RANK(G334,G$6:G$404,0)</f>
        <v>64</v>
      </c>
      <c r="I334" s="25" t="n">
        <f aca="false">COUNTIFS(C$6:C$404,C334,G$6:G$404,"&gt;"&amp;G334)+1</f>
        <v>14</v>
      </c>
      <c r="J334" s="25" t="n">
        <f aca="false">COUNTIF(C$6:C$404,C334)</f>
        <v>102</v>
      </c>
    </row>
    <row r="335" customFormat="false" ht="15" hidden="false" customHeight="false" outlineLevel="0" collapsed="false">
      <c r="A335" s="25" t="n">
        <v>4123857</v>
      </c>
      <c r="B335" s="26" t="s">
        <v>401</v>
      </c>
      <c r="C335" s="26" t="s">
        <v>65</v>
      </c>
      <c r="D335" s="47" t="n">
        <f aca="false">'2 Fator educacional'!K335</f>
        <v>65.3060130676613</v>
      </c>
      <c r="E335" s="48" t="n">
        <f aca="false">'3 Fator demográfico'!K335</f>
        <v>54.3567827285458</v>
      </c>
      <c r="F335" s="49" t="n">
        <f aca="false">'4 Fator socioeconômico'!K335</f>
        <v>64.0123740654741</v>
      </c>
      <c r="G335" s="50" t="n">
        <f aca="false">(2*D335+E335+2*F335)/500</f>
        <v>0.625987113989633</v>
      </c>
      <c r="H335" s="25" t="n">
        <f aca="false">RANK(G335,G$6:G$404,0)</f>
        <v>37</v>
      </c>
      <c r="I335" s="25" t="n">
        <f aca="false">COUNTIFS(C$6:C$404,C335,G$6:G$404,"&gt;"&amp;G335)+1</f>
        <v>26</v>
      </c>
      <c r="J335" s="25" t="n">
        <f aca="false">COUNTIF(C$6:C$404,C335)</f>
        <v>205</v>
      </c>
    </row>
    <row r="336" customFormat="false" ht="15" hidden="false" customHeight="false" outlineLevel="0" collapsed="false">
      <c r="A336" s="25" t="n">
        <v>4123907</v>
      </c>
      <c r="B336" s="26" t="s">
        <v>402</v>
      </c>
      <c r="C336" s="26" t="s">
        <v>65</v>
      </c>
      <c r="D336" s="47" t="n">
        <f aca="false">'2 Fator educacional'!K336</f>
        <v>48.8645312468071</v>
      </c>
      <c r="E336" s="48" t="n">
        <f aca="false">'3 Fator demográfico'!K336</f>
        <v>55.646404080433</v>
      </c>
      <c r="F336" s="49" t="n">
        <f aca="false">'4 Fator socioeconômico'!K336</f>
        <v>55.6327930703355</v>
      </c>
      <c r="G336" s="50" t="n">
        <f aca="false">(2*D336+E336+2*F336)/500</f>
        <v>0.529282105429436</v>
      </c>
      <c r="H336" s="25" t="n">
        <f aca="false">RANK(G336,G$6:G$404,0)</f>
        <v>117</v>
      </c>
      <c r="I336" s="25" t="n">
        <f aca="false">COUNTIFS(C$6:C$404,C336,G$6:G$404,"&gt;"&amp;G336)+1</f>
        <v>71</v>
      </c>
      <c r="J336" s="25" t="n">
        <f aca="false">COUNTIF(C$6:C$404,C336)</f>
        <v>205</v>
      </c>
    </row>
    <row r="337" customFormat="false" ht="15" hidden="false" customHeight="false" outlineLevel="0" collapsed="false">
      <c r="A337" s="25" t="n">
        <v>4123956</v>
      </c>
      <c r="B337" s="26" t="s">
        <v>403</v>
      </c>
      <c r="C337" s="26" t="s">
        <v>71</v>
      </c>
      <c r="D337" s="47" t="n">
        <f aca="false">'2 Fator educacional'!K337</f>
        <v>42.9771994365417</v>
      </c>
      <c r="E337" s="48" t="n">
        <f aca="false">'3 Fator demográfico'!K337</f>
        <v>62.8329440903989</v>
      </c>
      <c r="F337" s="49" t="n">
        <f aca="false">'4 Fator socioeconômico'!K337</f>
        <v>57.01232199145</v>
      </c>
      <c r="G337" s="50" t="n">
        <f aca="false">(2*D337+E337+2*F337)/500</f>
        <v>0.525623973892764</v>
      </c>
      <c r="H337" s="25" t="n">
        <f aca="false">RANK(G337,G$6:G$404,0)</f>
        <v>122</v>
      </c>
      <c r="I337" s="25" t="n">
        <f aca="false">COUNTIFS(C$6:C$404,C337,G$6:G$404,"&gt;"&amp;G337)+1</f>
        <v>29</v>
      </c>
      <c r="J337" s="25" t="n">
        <f aca="false">COUNTIF(C$6:C$404,C337)</f>
        <v>102</v>
      </c>
    </row>
    <row r="338" customFormat="false" ht="15" hidden="false" customHeight="false" outlineLevel="0" collapsed="false">
      <c r="A338" s="25" t="n">
        <v>4124020</v>
      </c>
      <c r="B338" s="26" t="s">
        <v>404</v>
      </c>
      <c r="C338" s="26" t="s">
        <v>65</v>
      </c>
      <c r="D338" s="47" t="n">
        <f aca="false">'2 Fator educacional'!K338</f>
        <v>58.9068733650948</v>
      </c>
      <c r="E338" s="48" t="n">
        <f aca="false">'3 Fator demográfico'!K338</f>
        <v>49.6805405023361</v>
      </c>
      <c r="F338" s="49" t="n">
        <f aca="false">'4 Fator socioeconômico'!K338</f>
        <v>34.4816794570855</v>
      </c>
      <c r="G338" s="50" t="n">
        <f aca="false">(2*D338+E338+2*F338)/500</f>
        <v>0.472915292293393</v>
      </c>
      <c r="H338" s="25" t="n">
        <f aca="false">RANK(G338,G$6:G$404,0)</f>
        <v>208</v>
      </c>
      <c r="I338" s="25" t="n">
        <f aca="false">COUNTIFS(C$6:C$404,C338,G$6:G$404,"&gt;"&amp;G338)+1</f>
        <v>122</v>
      </c>
      <c r="J338" s="25" t="n">
        <f aca="false">COUNTIF(C$6:C$404,C338)</f>
        <v>205</v>
      </c>
    </row>
    <row r="339" customFormat="false" ht="15" hidden="false" customHeight="false" outlineLevel="0" collapsed="false">
      <c r="A339" s="25" t="n">
        <v>4124053</v>
      </c>
      <c r="B339" s="26" t="s">
        <v>405</v>
      </c>
      <c r="C339" s="26" t="s">
        <v>86</v>
      </c>
      <c r="D339" s="47" t="n">
        <f aca="false">'2 Fator educacional'!K339</f>
        <v>56.0675212074328</v>
      </c>
      <c r="E339" s="48" t="n">
        <f aca="false">'3 Fator demográfico'!K339</f>
        <v>60.5040938189362</v>
      </c>
      <c r="F339" s="49" t="n">
        <f aca="false">'4 Fator socioeconômico'!K339</f>
        <v>36.5535866393278</v>
      </c>
      <c r="G339" s="50" t="n">
        <f aca="false">(2*D339+E339+2*F339)/500</f>
        <v>0.491492619024915</v>
      </c>
      <c r="H339" s="25" t="n">
        <f aca="false">RANK(G339,G$6:G$404,0)</f>
        <v>171</v>
      </c>
      <c r="I339" s="25" t="n">
        <f aca="false">COUNTIFS(C$6:C$404,C339,G$6:G$404,"&gt;"&amp;G339)+1</f>
        <v>21</v>
      </c>
      <c r="J339" s="25" t="n">
        <f aca="false">COUNTIF(C$6:C$404,C339)</f>
        <v>62</v>
      </c>
    </row>
    <row r="340" customFormat="false" ht="15" hidden="false" customHeight="false" outlineLevel="0" collapsed="false">
      <c r="A340" s="25" t="n">
        <v>4124004</v>
      </c>
      <c r="B340" s="26" t="s">
        <v>406</v>
      </c>
      <c r="C340" s="26" t="s">
        <v>65</v>
      </c>
      <c r="D340" s="47" t="n">
        <f aca="false">'2 Fator educacional'!K340</f>
        <v>43.0826870154199</v>
      </c>
      <c r="E340" s="48" t="n">
        <f aca="false">'3 Fator demográfico'!K340</f>
        <v>19.4061078938039</v>
      </c>
      <c r="F340" s="49" t="n">
        <f aca="false">'4 Fator socioeconômico'!K340</f>
        <v>48.7557564261975</v>
      </c>
      <c r="G340" s="50" t="n">
        <f aca="false">(2*D340+E340+2*F340)/500</f>
        <v>0.406165989554077</v>
      </c>
      <c r="H340" s="25" t="n">
        <f aca="false">RANK(G340,G$6:G$404,0)</f>
        <v>303</v>
      </c>
      <c r="I340" s="25" t="n">
        <f aca="false">COUNTIFS(C$6:C$404,C340,G$6:G$404,"&gt;"&amp;G340)+1</f>
        <v>168</v>
      </c>
      <c r="J340" s="25" t="n">
        <f aca="false">COUNTIF(C$6:C$404,C340)</f>
        <v>205</v>
      </c>
    </row>
    <row r="341" customFormat="false" ht="15" hidden="false" customHeight="false" outlineLevel="0" collapsed="false">
      <c r="A341" s="25" t="n">
        <v>4124103</v>
      </c>
      <c r="B341" s="26" t="s">
        <v>407</v>
      </c>
      <c r="C341" s="26" t="s">
        <v>86</v>
      </c>
      <c r="D341" s="47" t="n">
        <f aca="false">'2 Fator educacional'!K341</f>
        <v>69.3281591184392</v>
      </c>
      <c r="E341" s="48" t="n">
        <f aca="false">'3 Fator demográfico'!K341</f>
        <v>44.283446434435</v>
      </c>
      <c r="F341" s="49" t="n">
        <f aca="false">'4 Fator socioeconômico'!K341</f>
        <v>41.9855612689513</v>
      </c>
      <c r="G341" s="50" t="n">
        <f aca="false">(2*D341+E341+2*F341)/500</f>
        <v>0.533821774418432</v>
      </c>
      <c r="H341" s="25" t="n">
        <f aca="false">RANK(G341,G$6:G$404,0)</f>
        <v>112</v>
      </c>
      <c r="I341" s="25" t="n">
        <f aca="false">COUNTIFS(C$6:C$404,C341,G$6:G$404,"&gt;"&amp;G341)+1</f>
        <v>14</v>
      </c>
      <c r="J341" s="25" t="n">
        <f aca="false">COUNTIF(C$6:C$404,C341)</f>
        <v>62</v>
      </c>
    </row>
    <row r="342" customFormat="false" ht="15" hidden="false" customHeight="false" outlineLevel="0" collapsed="false">
      <c r="A342" s="25" t="n">
        <v>4124202</v>
      </c>
      <c r="B342" s="26" t="s">
        <v>408</v>
      </c>
      <c r="C342" s="26" t="s">
        <v>71</v>
      </c>
      <c r="D342" s="47" t="n">
        <f aca="false">'2 Fator educacional'!K342</f>
        <v>21.5798792642829</v>
      </c>
      <c r="E342" s="48" t="n">
        <f aca="false">'3 Fator demográfico'!K342</f>
        <v>25.3138941587477</v>
      </c>
      <c r="F342" s="49" t="n">
        <f aca="false">'4 Fator socioeconômico'!K342</f>
        <v>60.1217723498313</v>
      </c>
      <c r="G342" s="50" t="n">
        <f aca="false">(2*D342+E342+2*F342)/500</f>
        <v>0.377434394773952</v>
      </c>
      <c r="H342" s="25" t="n">
        <f aca="false">RANK(G342,G$6:G$404,0)</f>
        <v>335</v>
      </c>
      <c r="I342" s="25" t="n">
        <f aca="false">COUNTIFS(C$6:C$404,C342,G$6:G$404,"&gt;"&amp;G342)+1</f>
        <v>79</v>
      </c>
      <c r="J342" s="25" t="n">
        <f aca="false">COUNTIF(C$6:C$404,C342)</f>
        <v>102</v>
      </c>
    </row>
    <row r="343" customFormat="false" ht="15" hidden="false" customHeight="false" outlineLevel="0" collapsed="false">
      <c r="A343" s="25" t="n">
        <v>4124301</v>
      </c>
      <c r="B343" s="26" t="s">
        <v>409</v>
      </c>
      <c r="C343" s="26" t="s">
        <v>71</v>
      </c>
      <c r="D343" s="47" t="n">
        <f aca="false">'2 Fator educacional'!K343</f>
        <v>13.9080114146051</v>
      </c>
      <c r="E343" s="48" t="n">
        <f aca="false">'3 Fator demográfico'!K343</f>
        <v>29.8050387428587</v>
      </c>
      <c r="F343" s="49" t="n">
        <f aca="false">'4 Fator socioeconômico'!K343</f>
        <v>47.6028071799757</v>
      </c>
      <c r="G343" s="50" t="n">
        <f aca="false">(2*D343+E343+2*F343)/500</f>
        <v>0.305653351864041</v>
      </c>
      <c r="H343" s="25" t="n">
        <f aca="false">RANK(G343,G$6:G$404,0)</f>
        <v>388</v>
      </c>
      <c r="I343" s="25" t="n">
        <f aca="false">COUNTIFS(C$6:C$404,C343,G$6:G$404,"&gt;"&amp;G343)+1</f>
        <v>97</v>
      </c>
      <c r="J343" s="25" t="n">
        <f aca="false">COUNTIF(C$6:C$404,C343)</f>
        <v>102</v>
      </c>
    </row>
    <row r="344" customFormat="false" ht="15" hidden="false" customHeight="false" outlineLevel="0" collapsed="false">
      <c r="A344" s="25" t="n">
        <v>4124400</v>
      </c>
      <c r="B344" s="26" t="s">
        <v>410</v>
      </c>
      <c r="C344" s="26" t="s">
        <v>86</v>
      </c>
      <c r="D344" s="47" t="n">
        <f aca="false">'2 Fator educacional'!K344</f>
        <v>67.2671038882434</v>
      </c>
      <c r="E344" s="48" t="n">
        <f aca="false">'3 Fator demográfico'!K344</f>
        <v>37.262727025749</v>
      </c>
      <c r="F344" s="49" t="n">
        <f aca="false">'4 Fator socioeconômico'!K344</f>
        <v>34.9264242204313</v>
      </c>
      <c r="G344" s="50" t="n">
        <f aca="false">(2*D344+E344+2*F344)/500</f>
        <v>0.483299566486196</v>
      </c>
      <c r="H344" s="25" t="n">
        <f aca="false">RANK(G344,G$6:G$404,0)</f>
        <v>188</v>
      </c>
      <c r="I344" s="25" t="n">
        <f aca="false">COUNTIFS(C$6:C$404,C344,G$6:G$404,"&gt;"&amp;G344)+1</f>
        <v>23</v>
      </c>
      <c r="J344" s="25" t="n">
        <f aca="false">COUNTIF(C$6:C$404,C344)</f>
        <v>62</v>
      </c>
    </row>
    <row r="345" customFormat="false" ht="15" hidden="false" customHeight="false" outlineLevel="0" collapsed="false">
      <c r="A345" s="25" t="n">
        <v>4124509</v>
      </c>
      <c r="B345" s="26" t="s">
        <v>411</v>
      </c>
      <c r="C345" s="26" t="s">
        <v>65</v>
      </c>
      <c r="D345" s="47" t="n">
        <f aca="false">'2 Fator educacional'!K345</f>
        <v>37.2192095811435</v>
      </c>
      <c r="E345" s="48" t="n">
        <f aca="false">'3 Fator demográfico'!K345</f>
        <v>57.161103390172</v>
      </c>
      <c r="F345" s="49" t="n">
        <f aca="false">'4 Fator socioeconômico'!K345</f>
        <v>6.05634203805735</v>
      </c>
      <c r="G345" s="50" t="n">
        <f aca="false">(2*D345+E345+2*F345)/500</f>
        <v>0.287424413257147</v>
      </c>
      <c r="H345" s="25" t="n">
        <f aca="false">RANK(G345,G$6:G$404,0)</f>
        <v>393</v>
      </c>
      <c r="I345" s="25" t="n">
        <f aca="false">COUNTIFS(C$6:C$404,C345,G$6:G$404,"&gt;"&amp;G345)+1</f>
        <v>204</v>
      </c>
      <c r="J345" s="25" t="n">
        <f aca="false">COUNTIF(C$6:C$404,C345)</f>
        <v>205</v>
      </c>
    </row>
    <row r="346" customFormat="false" ht="15" hidden="false" customHeight="false" outlineLevel="0" collapsed="false">
      <c r="A346" s="25" t="n">
        <v>4126207</v>
      </c>
      <c r="B346" s="26" t="s">
        <v>412</v>
      </c>
      <c r="C346" s="26" t="s">
        <v>65</v>
      </c>
      <c r="D346" s="47" t="n">
        <f aca="false">'2 Fator educacional'!K346</f>
        <v>50.4955974068623</v>
      </c>
      <c r="E346" s="48" t="n">
        <f aca="false">'3 Fator demográfico'!K346</f>
        <v>35.5428463888926</v>
      </c>
      <c r="F346" s="49" t="n">
        <f aca="false">'4 Fator socioeconômico'!K346</f>
        <v>58.5081717832157</v>
      </c>
      <c r="G346" s="50" t="n">
        <f aca="false">(2*D346+E346+2*F346)/500</f>
        <v>0.507100769538097</v>
      </c>
      <c r="H346" s="25" t="n">
        <f aca="false">RANK(G346,G$6:G$404,0)</f>
        <v>147</v>
      </c>
      <c r="I346" s="25" t="n">
        <f aca="false">COUNTIFS(C$6:C$404,C346,G$6:G$404,"&gt;"&amp;G346)+1</f>
        <v>91</v>
      </c>
      <c r="J346" s="25" t="n">
        <f aca="false">COUNTIF(C$6:C$404,C346)</f>
        <v>205</v>
      </c>
    </row>
    <row r="347" customFormat="false" ht="15" hidden="false" customHeight="false" outlineLevel="0" collapsed="false">
      <c r="A347" s="25" t="n">
        <v>4126256</v>
      </c>
      <c r="B347" s="26" t="s">
        <v>413</v>
      </c>
      <c r="C347" s="26" t="s">
        <v>69</v>
      </c>
      <c r="D347" s="47" t="n">
        <f aca="false">'2 Fator educacional'!K347</f>
        <v>76.6776962164821</v>
      </c>
      <c r="E347" s="48" t="n">
        <f aca="false">'3 Fator demográfico'!K347</f>
        <v>51.8512904853783</v>
      </c>
      <c r="F347" s="49" t="n">
        <f aca="false">'4 Fator socioeconômico'!K347</f>
        <v>26.1191778152176</v>
      </c>
      <c r="G347" s="50" t="n">
        <f aca="false">(2*D347+E347+2*F347)/500</f>
        <v>0.514890077097556</v>
      </c>
      <c r="H347" s="25" t="n">
        <f aca="false">RANK(G347,G$6:G$404,0)</f>
        <v>135</v>
      </c>
      <c r="I347" s="25" t="n">
        <f aca="false">COUNTIFS(C$6:C$404,C347,G$6:G$404,"&gt;"&amp;G347)+1</f>
        <v>4</v>
      </c>
      <c r="J347" s="25" t="n">
        <f aca="false">COUNTIF(C$6:C$404,C347)</f>
        <v>14</v>
      </c>
    </row>
    <row r="348" customFormat="false" ht="15" hidden="false" customHeight="false" outlineLevel="0" collapsed="false">
      <c r="A348" s="25" t="n">
        <v>4126272</v>
      </c>
      <c r="B348" s="26" t="s">
        <v>414</v>
      </c>
      <c r="C348" s="26" t="s">
        <v>65</v>
      </c>
      <c r="D348" s="47" t="n">
        <f aca="false">'2 Fator educacional'!K348</f>
        <v>53.7572047065732</v>
      </c>
      <c r="E348" s="48" t="n">
        <f aca="false">'3 Fator demográfico'!K348</f>
        <v>81.4545356216423</v>
      </c>
      <c r="F348" s="49" t="n">
        <f aca="false">'4 Fator socioeconômico'!K348</f>
        <v>25.5277328426894</v>
      </c>
      <c r="G348" s="50" t="n">
        <f aca="false">(2*D348+E348+2*F348)/500</f>
        <v>0.480048821440335</v>
      </c>
      <c r="H348" s="25" t="n">
        <f aca="false">RANK(G348,G$6:G$404,0)</f>
        <v>196</v>
      </c>
      <c r="I348" s="25" t="n">
        <f aca="false">COUNTIFS(C$6:C$404,C348,G$6:G$404,"&gt;"&amp;G348)+1</f>
        <v>117</v>
      </c>
      <c r="J348" s="25" t="n">
        <f aca="false">COUNTIF(C$6:C$404,C348)</f>
        <v>205</v>
      </c>
    </row>
    <row r="349" customFormat="false" ht="15" hidden="false" customHeight="false" outlineLevel="0" collapsed="false">
      <c r="A349" s="25" t="n">
        <v>4124608</v>
      </c>
      <c r="B349" s="26" t="s">
        <v>415</v>
      </c>
      <c r="C349" s="26" t="s">
        <v>65</v>
      </c>
      <c r="D349" s="47" t="n">
        <f aca="false">'2 Fator educacional'!K349</f>
        <v>46.0189379660777</v>
      </c>
      <c r="E349" s="48" t="n">
        <f aca="false">'3 Fator demográfico'!K349</f>
        <v>30.9352289895689</v>
      </c>
      <c r="F349" s="49" t="n">
        <f aca="false">'4 Fator socioeconômico'!K349</f>
        <v>41.1162311556688</v>
      </c>
      <c r="G349" s="50" t="n">
        <f aca="false">(2*D349+E349+2*F349)/500</f>
        <v>0.410411134466124</v>
      </c>
      <c r="H349" s="25" t="n">
        <f aca="false">RANK(G349,G$6:G$404,0)</f>
        <v>294</v>
      </c>
      <c r="I349" s="25" t="n">
        <f aca="false">COUNTIFS(C$6:C$404,C349,G$6:G$404,"&gt;"&amp;G349)+1</f>
        <v>163</v>
      </c>
      <c r="J349" s="25" t="n">
        <f aca="false">COUNTIF(C$6:C$404,C349)</f>
        <v>205</v>
      </c>
    </row>
    <row r="350" customFormat="false" ht="15" hidden="false" customHeight="false" outlineLevel="0" collapsed="false">
      <c r="A350" s="25" t="n">
        <v>4124707</v>
      </c>
      <c r="B350" s="26" t="s">
        <v>416</v>
      </c>
      <c r="C350" s="26" t="s">
        <v>65</v>
      </c>
      <c r="D350" s="47" t="n">
        <f aca="false">'2 Fator educacional'!K350</f>
        <v>78.9868633655273</v>
      </c>
      <c r="E350" s="48" t="n">
        <f aca="false">'3 Fator demográfico'!K350</f>
        <v>36.0288436545667</v>
      </c>
      <c r="F350" s="49" t="n">
        <f aca="false">'4 Fator socioeconômico'!K350</f>
        <v>56.8246362788114</v>
      </c>
      <c r="G350" s="50" t="n">
        <f aca="false">(2*D350+E350+2*F350)/500</f>
        <v>0.615303685886488</v>
      </c>
      <c r="H350" s="25" t="n">
        <f aca="false">RANK(G350,G$6:G$404,0)</f>
        <v>44</v>
      </c>
      <c r="I350" s="25" t="n">
        <f aca="false">COUNTIFS(C$6:C$404,C350,G$6:G$404,"&gt;"&amp;G350)+1</f>
        <v>30</v>
      </c>
      <c r="J350" s="25" t="n">
        <f aca="false">COUNTIF(C$6:C$404,C350)</f>
        <v>205</v>
      </c>
    </row>
    <row r="351" customFormat="false" ht="15" hidden="false" customHeight="false" outlineLevel="0" collapsed="false">
      <c r="A351" s="25" t="n">
        <v>4124806</v>
      </c>
      <c r="B351" s="26" t="s">
        <v>417</v>
      </c>
      <c r="C351" s="26" t="s">
        <v>65</v>
      </c>
      <c r="D351" s="47" t="n">
        <f aca="false">'2 Fator educacional'!K351</f>
        <v>52.1537792378007</v>
      </c>
      <c r="E351" s="48" t="n">
        <f aca="false">'3 Fator demográfico'!K351</f>
        <v>37.3298435154973</v>
      </c>
      <c r="F351" s="49" t="n">
        <f aca="false">'4 Fator socioeconômico'!K351</f>
        <v>25.3904238037509</v>
      </c>
      <c r="G351" s="50" t="n">
        <f aca="false">(2*D351+E351+2*F351)/500</f>
        <v>0.384836499197201</v>
      </c>
      <c r="H351" s="25" t="n">
        <f aca="false">RANK(G351,G$6:G$404,0)</f>
        <v>325</v>
      </c>
      <c r="I351" s="25" t="n">
        <f aca="false">COUNTIFS(C$6:C$404,C351,G$6:G$404,"&gt;"&amp;G351)+1</f>
        <v>177</v>
      </c>
      <c r="J351" s="25" t="n">
        <f aca="false">COUNTIF(C$6:C$404,C351)</f>
        <v>205</v>
      </c>
    </row>
    <row r="352" customFormat="false" ht="15" hidden="false" customHeight="false" outlineLevel="0" collapsed="false">
      <c r="A352" s="25" t="n">
        <v>4124905</v>
      </c>
      <c r="B352" s="26" t="s">
        <v>418</v>
      </c>
      <c r="C352" s="26" t="s">
        <v>65</v>
      </c>
      <c r="D352" s="47" t="n">
        <f aca="false">'2 Fator educacional'!K352</f>
        <v>50.4248402930899</v>
      </c>
      <c r="E352" s="48" t="n">
        <f aca="false">'3 Fator demográfico'!K352</f>
        <v>41.6391205994641</v>
      </c>
      <c r="F352" s="49" t="n">
        <f aca="false">'4 Fator socioeconômico'!K352</f>
        <v>60.5533452325197</v>
      </c>
      <c r="G352" s="50" t="n">
        <f aca="false">(2*D352+E352+2*F352)/500</f>
        <v>0.527190983301367</v>
      </c>
      <c r="H352" s="25" t="n">
        <f aca="false">RANK(G352,G$6:G$404,0)</f>
        <v>121</v>
      </c>
      <c r="I352" s="25" t="n">
        <f aca="false">COUNTIFS(C$6:C$404,C352,G$6:G$404,"&gt;"&amp;G352)+1</f>
        <v>74</v>
      </c>
      <c r="J352" s="25" t="n">
        <f aca="false">COUNTIF(C$6:C$404,C352)</f>
        <v>205</v>
      </c>
    </row>
    <row r="353" customFormat="false" ht="15" hidden="false" customHeight="false" outlineLevel="0" collapsed="false">
      <c r="A353" s="25" t="n">
        <v>4125001</v>
      </c>
      <c r="B353" s="26" t="s">
        <v>419</v>
      </c>
      <c r="C353" s="26" t="s">
        <v>65</v>
      </c>
      <c r="D353" s="47" t="n">
        <f aca="false">'2 Fator educacional'!K353</f>
        <v>36.2503899415243</v>
      </c>
      <c r="E353" s="48" t="n">
        <f aca="false">'3 Fator demográfico'!K353</f>
        <v>44.433365513437</v>
      </c>
      <c r="F353" s="49" t="n">
        <f aca="false">'4 Fator socioeconômico'!K353</f>
        <v>47.7440599782936</v>
      </c>
      <c r="G353" s="50" t="n">
        <f aca="false">(2*D353+E353+2*F353)/500</f>
        <v>0.424844530706145</v>
      </c>
      <c r="H353" s="25" t="n">
        <f aca="false">RANK(G353,G$6:G$404,0)</f>
        <v>278</v>
      </c>
      <c r="I353" s="25" t="n">
        <f aca="false">COUNTIFS(C$6:C$404,C353,G$6:G$404,"&gt;"&amp;G353)+1</f>
        <v>157</v>
      </c>
      <c r="J353" s="25" t="n">
        <f aca="false">COUNTIF(C$6:C$404,C353)</f>
        <v>205</v>
      </c>
    </row>
    <row r="354" customFormat="false" ht="15" hidden="false" customHeight="false" outlineLevel="0" collapsed="false">
      <c r="A354" s="25" t="n">
        <v>4125100</v>
      </c>
      <c r="B354" s="26" t="s">
        <v>420</v>
      </c>
      <c r="C354" s="26" t="s">
        <v>65</v>
      </c>
      <c r="D354" s="47" t="n">
        <f aca="false">'2 Fator educacional'!K354</f>
        <v>80.4569592796384</v>
      </c>
      <c r="E354" s="48" t="n">
        <f aca="false">'3 Fator demográfico'!K354</f>
        <v>38.9669140980203</v>
      </c>
      <c r="F354" s="49" t="n">
        <f aca="false">'4 Fator socioeconômico'!K354</f>
        <v>41.6004330199081</v>
      </c>
      <c r="G354" s="50" t="n">
        <f aca="false">(2*D354+E354+2*F354)/500</f>
        <v>0.566163397394227</v>
      </c>
      <c r="H354" s="25" t="n">
        <f aca="false">RANK(G354,G$6:G$404,0)</f>
        <v>77</v>
      </c>
      <c r="I354" s="25" t="n">
        <f aca="false">COUNTIFS(C$6:C$404,C354,G$6:G$404,"&gt;"&amp;G354)+1</f>
        <v>50</v>
      </c>
      <c r="J354" s="25" t="n">
        <f aca="false">COUNTIF(C$6:C$404,C354)</f>
        <v>205</v>
      </c>
    </row>
    <row r="355" customFormat="false" ht="15" hidden="false" customHeight="false" outlineLevel="0" collapsed="false">
      <c r="A355" s="25" t="n">
        <v>4125209</v>
      </c>
      <c r="B355" s="26" t="s">
        <v>421</v>
      </c>
      <c r="C355" s="26" t="s">
        <v>65</v>
      </c>
      <c r="D355" s="47" t="n">
        <f aca="false">'2 Fator educacional'!K355</f>
        <v>43.3935184449001</v>
      </c>
      <c r="E355" s="48" t="n">
        <f aca="false">'3 Fator demográfico'!K355</f>
        <v>37.8900305600471</v>
      </c>
      <c r="F355" s="49" t="n">
        <f aca="false">'4 Fator socioeconômico'!K355</f>
        <v>29.432163408539</v>
      </c>
      <c r="G355" s="50" t="n">
        <f aca="false">(2*D355+E355+2*F355)/500</f>
        <v>0.367082788533851</v>
      </c>
      <c r="H355" s="25" t="n">
        <f aca="false">RANK(G355,G$6:G$404,0)</f>
        <v>345</v>
      </c>
      <c r="I355" s="25" t="n">
        <f aca="false">COUNTIFS(C$6:C$404,C355,G$6:G$404,"&gt;"&amp;G355)+1</f>
        <v>186</v>
      </c>
      <c r="J355" s="25" t="n">
        <f aca="false">COUNTIF(C$6:C$404,C355)</f>
        <v>205</v>
      </c>
    </row>
    <row r="356" customFormat="false" ht="15" hidden="false" customHeight="false" outlineLevel="0" collapsed="false">
      <c r="A356" s="25" t="n">
        <v>4125308</v>
      </c>
      <c r="B356" s="26" t="s">
        <v>422</v>
      </c>
      <c r="C356" s="26" t="s">
        <v>65</v>
      </c>
      <c r="D356" s="47" t="n">
        <f aca="false">'2 Fator educacional'!K356</f>
        <v>52.0964604380986</v>
      </c>
      <c r="E356" s="48" t="n">
        <f aca="false">'3 Fator demográfico'!K356</f>
        <v>13.7470611821621</v>
      </c>
      <c r="F356" s="49" t="n">
        <f aca="false">'4 Fator socioeconômico'!K356</f>
        <v>36.949983248945</v>
      </c>
      <c r="G356" s="50" t="n">
        <f aca="false">(2*D356+E356+2*F356)/500</f>
        <v>0.383679897112499</v>
      </c>
      <c r="H356" s="25" t="n">
        <f aca="false">RANK(G356,G$6:G$404,0)</f>
        <v>326</v>
      </c>
      <c r="I356" s="25" t="n">
        <f aca="false">COUNTIFS(C$6:C$404,C356,G$6:G$404,"&gt;"&amp;G356)+1</f>
        <v>178</v>
      </c>
      <c r="J356" s="25" t="n">
        <f aca="false">COUNTIF(C$6:C$404,C356)</f>
        <v>205</v>
      </c>
    </row>
    <row r="357" customFormat="false" ht="15" hidden="false" customHeight="false" outlineLevel="0" collapsed="false">
      <c r="A357" s="25" t="n">
        <v>4125357</v>
      </c>
      <c r="B357" s="26" t="s">
        <v>423</v>
      </c>
      <c r="C357" s="26" t="s">
        <v>65</v>
      </c>
      <c r="D357" s="47" t="n">
        <f aca="false">'2 Fator educacional'!K357</f>
        <v>59.3274062469813</v>
      </c>
      <c r="E357" s="48" t="n">
        <f aca="false">'3 Fator demográfico'!K357</f>
        <v>33.9424916249618</v>
      </c>
      <c r="F357" s="49" t="n">
        <f aca="false">'4 Fator socioeconômico'!K357</f>
        <v>47.2085362144031</v>
      </c>
      <c r="G357" s="50" t="n">
        <f aca="false">(2*D357+E357+2*F357)/500</f>
        <v>0.494028753095461</v>
      </c>
      <c r="H357" s="25" t="n">
        <f aca="false">RANK(G357,G$6:G$404,0)</f>
        <v>169</v>
      </c>
      <c r="I357" s="25" t="n">
        <f aca="false">COUNTIFS(C$6:C$404,C357,G$6:G$404,"&gt;"&amp;G357)+1</f>
        <v>102</v>
      </c>
      <c r="J357" s="25" t="n">
        <f aca="false">COUNTIF(C$6:C$404,C357)</f>
        <v>205</v>
      </c>
    </row>
    <row r="358" customFormat="false" ht="15" hidden="false" customHeight="false" outlineLevel="0" collapsed="false">
      <c r="A358" s="25" t="n">
        <v>4125407</v>
      </c>
      <c r="B358" s="26" t="s">
        <v>424</v>
      </c>
      <c r="C358" s="26" t="s">
        <v>65</v>
      </c>
      <c r="D358" s="47" t="n">
        <f aca="false">'2 Fator educacional'!K358</f>
        <v>81.3257112925229</v>
      </c>
      <c r="E358" s="48" t="n">
        <f aca="false">'3 Fator demográfico'!K358</f>
        <v>61.9627962486484</v>
      </c>
      <c r="F358" s="49" t="n">
        <f aca="false">'4 Fator socioeconômico'!K358</f>
        <v>55.1520123869501</v>
      </c>
      <c r="G358" s="50" t="n">
        <f aca="false">(2*D358+E358+2*F358)/500</f>
        <v>0.669836487215189</v>
      </c>
      <c r="H358" s="25" t="n">
        <f aca="false">RANK(G358,G$6:G$404,0)</f>
        <v>21</v>
      </c>
      <c r="I358" s="25" t="n">
        <f aca="false">COUNTIFS(C$6:C$404,C358,G$6:G$404,"&gt;"&amp;G358)+1</f>
        <v>15</v>
      </c>
      <c r="J358" s="25" t="n">
        <f aca="false">COUNTIF(C$6:C$404,C358)</f>
        <v>205</v>
      </c>
    </row>
    <row r="359" customFormat="false" ht="15" hidden="false" customHeight="false" outlineLevel="0" collapsed="false">
      <c r="A359" s="25" t="n">
        <v>4125456</v>
      </c>
      <c r="B359" s="26" t="s">
        <v>425</v>
      </c>
      <c r="C359" s="26" t="s">
        <v>71</v>
      </c>
      <c r="D359" s="47" t="n">
        <f aca="false">'2 Fator educacional'!K359</f>
        <v>65.8477004052258</v>
      </c>
      <c r="E359" s="48" t="n">
        <f aca="false">'3 Fator demográfico'!K359</f>
        <v>63.1870188643258</v>
      </c>
      <c r="F359" s="49" t="n">
        <f aca="false">'4 Fator socioeconômico'!K359</f>
        <v>48.6154379284339</v>
      </c>
      <c r="G359" s="50" t="n">
        <f aca="false">(2*D359+E359+2*F359)/500</f>
        <v>0.58422659106329</v>
      </c>
      <c r="H359" s="25" t="n">
        <f aca="false">RANK(G359,G$6:G$404,0)</f>
        <v>58</v>
      </c>
      <c r="I359" s="25" t="n">
        <f aca="false">COUNTIFS(C$6:C$404,C359,G$6:G$404,"&gt;"&amp;G359)+1</f>
        <v>11</v>
      </c>
      <c r="J359" s="25" t="n">
        <f aca="false">COUNTIF(C$6:C$404,C359)</f>
        <v>102</v>
      </c>
    </row>
    <row r="360" customFormat="false" ht="15" hidden="false" customHeight="false" outlineLevel="0" collapsed="false">
      <c r="A360" s="25" t="n">
        <v>4125506</v>
      </c>
      <c r="B360" s="26" t="s">
        <v>426</v>
      </c>
      <c r="C360" s="26" t="s">
        <v>138</v>
      </c>
      <c r="D360" s="47" t="n">
        <f aca="false">'2 Fator educacional'!K360</f>
        <v>71.1204631704876</v>
      </c>
      <c r="E360" s="48" t="n">
        <f aca="false">'3 Fator demográfico'!K360</f>
        <v>51.131176235873</v>
      </c>
      <c r="F360" s="49" t="n">
        <f aca="false">'4 Fator socioeconômico'!K360</f>
        <v>14.6155797762641</v>
      </c>
      <c r="G360" s="50" t="n">
        <f aca="false">(2*D360+E360+2*F360)/500</f>
        <v>0.445206524258753</v>
      </c>
      <c r="H360" s="25" t="n">
        <f aca="false">RANK(G360,G$6:G$404,0)</f>
        <v>245</v>
      </c>
      <c r="I360" s="25" t="n">
        <f aca="false">COUNTIFS(C$6:C$404,C360,G$6:G$404,"&gt;"&amp;G360)+1</f>
        <v>4</v>
      </c>
      <c r="J360" s="25" t="n">
        <f aca="false">COUNTIF(C$6:C$404,C360)</f>
        <v>6</v>
      </c>
    </row>
    <row r="361" customFormat="false" ht="15" hidden="false" customHeight="false" outlineLevel="0" collapsed="false">
      <c r="A361" s="25" t="n">
        <v>4125555</v>
      </c>
      <c r="B361" s="26" t="s">
        <v>427</v>
      </c>
      <c r="C361" s="26" t="s">
        <v>71</v>
      </c>
      <c r="D361" s="47" t="n">
        <f aca="false">'2 Fator educacional'!K361</f>
        <v>33.012475592733</v>
      </c>
      <c r="E361" s="48" t="n">
        <f aca="false">'3 Fator demográfico'!K361</f>
        <v>27.0244397025846</v>
      </c>
      <c r="F361" s="49" t="n">
        <f aca="false">'4 Fator socioeconômico'!K361</f>
        <v>32.9489488838757</v>
      </c>
      <c r="G361" s="50" t="n">
        <f aca="false">(2*D361+E361+2*F361)/500</f>
        <v>0.317894577311604</v>
      </c>
      <c r="H361" s="25" t="n">
        <f aca="false">RANK(G361,G$6:G$404,0)</f>
        <v>378</v>
      </c>
      <c r="I361" s="25" t="n">
        <f aca="false">COUNTIFS(C$6:C$404,C361,G$6:G$404,"&gt;"&amp;G361)+1</f>
        <v>93</v>
      </c>
      <c r="J361" s="25" t="n">
        <f aca="false">COUNTIF(C$6:C$404,C361)</f>
        <v>102</v>
      </c>
    </row>
    <row r="362" customFormat="false" ht="15" hidden="false" customHeight="false" outlineLevel="0" collapsed="false">
      <c r="A362" s="25" t="n">
        <v>4125605</v>
      </c>
      <c r="B362" s="26" t="s">
        <v>428</v>
      </c>
      <c r="C362" s="26" t="s">
        <v>86</v>
      </c>
      <c r="D362" s="47" t="n">
        <f aca="false">'2 Fator educacional'!K362</f>
        <v>60.6213635901518</v>
      </c>
      <c r="E362" s="48" t="n">
        <f aca="false">'3 Fator demográfico'!K362</f>
        <v>53.2579578248119</v>
      </c>
      <c r="F362" s="49" t="n">
        <f aca="false">'4 Fator socioeconômico'!K362</f>
        <v>33.1404698976128</v>
      </c>
      <c r="G362" s="50" t="n">
        <f aca="false">(2*D362+E362+2*F362)/500</f>
        <v>0.481563249600682</v>
      </c>
      <c r="H362" s="25" t="n">
        <f aca="false">RANK(G362,G$6:G$404,0)</f>
        <v>192</v>
      </c>
      <c r="I362" s="25" t="n">
        <f aca="false">COUNTIFS(C$6:C$404,C362,G$6:G$404,"&gt;"&amp;G362)+1</f>
        <v>25</v>
      </c>
      <c r="J362" s="25" t="n">
        <f aca="false">COUNTIF(C$6:C$404,C362)</f>
        <v>62</v>
      </c>
    </row>
    <row r="363" customFormat="false" ht="15" hidden="false" customHeight="false" outlineLevel="0" collapsed="false">
      <c r="A363" s="25" t="n">
        <v>4125704</v>
      </c>
      <c r="B363" s="26" t="s">
        <v>429</v>
      </c>
      <c r="C363" s="26" t="s">
        <v>86</v>
      </c>
      <c r="D363" s="47" t="n">
        <f aca="false">'2 Fator educacional'!K363</f>
        <v>47.6718952034747</v>
      </c>
      <c r="E363" s="48" t="n">
        <f aca="false">'3 Fator demográfico'!K363</f>
        <v>51.7382606260997</v>
      </c>
      <c r="F363" s="49" t="n">
        <f aca="false">'4 Fator socioeconômico'!K363</f>
        <v>27.087186185824</v>
      </c>
      <c r="G363" s="50" t="n">
        <f aca="false">(2*D363+E363+2*F363)/500</f>
        <v>0.402512846809394</v>
      </c>
      <c r="H363" s="25" t="n">
        <f aca="false">RANK(G363,G$6:G$404,0)</f>
        <v>308</v>
      </c>
      <c r="I363" s="25" t="n">
        <f aca="false">COUNTIFS(C$6:C$404,C363,G$6:G$404,"&gt;"&amp;G363)+1</f>
        <v>46</v>
      </c>
      <c r="J363" s="25" t="n">
        <f aca="false">COUNTIF(C$6:C$404,C363)</f>
        <v>62</v>
      </c>
    </row>
    <row r="364" customFormat="false" ht="15" hidden="false" customHeight="false" outlineLevel="0" collapsed="false">
      <c r="A364" s="25" t="n">
        <v>4125753</v>
      </c>
      <c r="B364" s="26" t="s">
        <v>430</v>
      </c>
      <c r="C364" s="26" t="s">
        <v>65</v>
      </c>
      <c r="D364" s="47" t="n">
        <f aca="false">'2 Fator educacional'!K364</f>
        <v>40.2982043316887</v>
      </c>
      <c r="E364" s="48" t="n">
        <f aca="false">'3 Fator demográfico'!K364</f>
        <v>55.7523689429943</v>
      </c>
      <c r="F364" s="49" t="n">
        <f aca="false">'4 Fator socioeconômico'!K364</f>
        <v>53.3469596549481</v>
      </c>
      <c r="G364" s="50" t="n">
        <f aca="false">(2*D364+E364+2*F364)/500</f>
        <v>0.486085393832536</v>
      </c>
      <c r="H364" s="25" t="n">
        <f aca="false">RANK(G364,G$6:G$404,0)</f>
        <v>182</v>
      </c>
      <c r="I364" s="25" t="n">
        <f aca="false">COUNTIFS(C$6:C$404,C364,G$6:G$404,"&gt;"&amp;G364)+1</f>
        <v>108</v>
      </c>
      <c r="J364" s="25" t="n">
        <f aca="false">COUNTIF(C$6:C$404,C364)</f>
        <v>205</v>
      </c>
    </row>
    <row r="365" customFormat="false" ht="15" hidden="false" customHeight="false" outlineLevel="0" collapsed="false">
      <c r="A365" s="25" t="n">
        <v>4125803</v>
      </c>
      <c r="B365" s="26" t="s">
        <v>431</v>
      </c>
      <c r="C365" s="26" t="s">
        <v>65</v>
      </c>
      <c r="D365" s="47" t="n">
        <f aca="false">'2 Fator educacional'!K365</f>
        <v>39.5913519961136</v>
      </c>
      <c r="E365" s="48" t="n">
        <f aca="false">'3 Fator demográfico'!K365</f>
        <v>80.8287573705864</v>
      </c>
      <c r="F365" s="49" t="n">
        <f aca="false">'4 Fator socioeconômico'!K365</f>
        <v>44.9605689384131</v>
      </c>
      <c r="G365" s="50" t="n">
        <f aca="false">(2*D365+E365+2*F365)/500</f>
        <v>0.49986519847928</v>
      </c>
      <c r="H365" s="25" t="n">
        <f aca="false">RANK(G365,G$6:G$404,0)</f>
        <v>157</v>
      </c>
      <c r="I365" s="25" t="n">
        <f aca="false">COUNTIFS(C$6:C$404,C365,G$6:G$404,"&gt;"&amp;G365)+1</f>
        <v>94</v>
      </c>
      <c r="J365" s="25" t="n">
        <f aca="false">COUNTIF(C$6:C$404,C365)</f>
        <v>205</v>
      </c>
    </row>
    <row r="366" customFormat="false" ht="15" hidden="false" customHeight="false" outlineLevel="0" collapsed="false">
      <c r="A366" s="25" t="n">
        <v>4125902</v>
      </c>
      <c r="B366" s="26" t="s">
        <v>432</v>
      </c>
      <c r="C366" s="26" t="s">
        <v>71</v>
      </c>
      <c r="D366" s="47" t="n">
        <f aca="false">'2 Fator educacional'!K366</f>
        <v>28.1313595113268</v>
      </c>
      <c r="E366" s="48" t="n">
        <f aca="false">'3 Fator demográfico'!K366</f>
        <v>68.6583855802238</v>
      </c>
      <c r="F366" s="49" t="n">
        <f aca="false">'4 Fator socioeconômico'!K366</f>
        <v>28.6366840109834</v>
      </c>
      <c r="G366" s="50" t="n">
        <f aca="false">(2*D366+E366+2*F366)/500</f>
        <v>0.364388945249688</v>
      </c>
      <c r="H366" s="25" t="n">
        <f aca="false">RANK(G366,G$6:G$404,0)</f>
        <v>349</v>
      </c>
      <c r="I366" s="25" t="n">
        <f aca="false">COUNTIFS(C$6:C$404,C366,G$6:G$404,"&gt;"&amp;G366)+1</f>
        <v>84</v>
      </c>
      <c r="J366" s="25" t="n">
        <f aca="false">COUNTIF(C$6:C$404,C366)</f>
        <v>102</v>
      </c>
    </row>
    <row r="367" customFormat="false" ht="15" hidden="false" customHeight="false" outlineLevel="0" collapsed="false">
      <c r="A367" s="25" t="n">
        <v>4126009</v>
      </c>
      <c r="B367" s="26" t="s">
        <v>433</v>
      </c>
      <c r="C367" s="26" t="s">
        <v>65</v>
      </c>
      <c r="D367" s="47" t="n">
        <f aca="false">'2 Fator educacional'!K367</f>
        <v>50.0034219973285</v>
      </c>
      <c r="E367" s="48" t="n">
        <f aca="false">'3 Fator demográfico'!K367</f>
        <v>30.7739788587474</v>
      </c>
      <c r="F367" s="49" t="n">
        <f aca="false">'4 Fator socioeconômico'!K367</f>
        <v>62.3040353145047</v>
      </c>
      <c r="G367" s="50" t="n">
        <f aca="false">(2*D367+E367+2*F367)/500</f>
        <v>0.510777786964827</v>
      </c>
      <c r="H367" s="25" t="n">
        <f aca="false">RANK(G367,G$6:G$404,0)</f>
        <v>142</v>
      </c>
      <c r="I367" s="25" t="n">
        <f aca="false">COUNTIFS(C$6:C$404,C367,G$6:G$404,"&gt;"&amp;G367)+1</f>
        <v>87</v>
      </c>
      <c r="J367" s="25" t="n">
        <f aca="false">COUNTIF(C$6:C$404,C367)</f>
        <v>205</v>
      </c>
    </row>
    <row r="368" customFormat="false" ht="15" hidden="false" customHeight="false" outlineLevel="0" collapsed="false">
      <c r="A368" s="25" t="n">
        <v>4126108</v>
      </c>
      <c r="B368" s="26" t="s">
        <v>434</v>
      </c>
      <c r="C368" s="26" t="s">
        <v>65</v>
      </c>
      <c r="D368" s="47" t="n">
        <f aca="false">'2 Fator educacional'!K368</f>
        <v>42.2673347292939</v>
      </c>
      <c r="E368" s="48" t="n">
        <f aca="false">'3 Fator demográfico'!K368</f>
        <v>29.0483274502368</v>
      </c>
      <c r="F368" s="49" t="n">
        <f aca="false">'4 Fator socioeconômico'!K368</f>
        <v>42.1814429852445</v>
      </c>
      <c r="G368" s="50" t="n">
        <f aca="false">(2*D368+E368+2*F368)/500</f>
        <v>0.395891765758627</v>
      </c>
      <c r="H368" s="25" t="n">
        <f aca="false">RANK(G368,G$6:G$404,0)</f>
        <v>313</v>
      </c>
      <c r="I368" s="25" t="n">
        <f aca="false">COUNTIFS(C$6:C$404,C368,G$6:G$404,"&gt;"&amp;G368)+1</f>
        <v>172</v>
      </c>
      <c r="J368" s="25" t="n">
        <f aca="false">COUNTIF(C$6:C$404,C368)</f>
        <v>205</v>
      </c>
    </row>
    <row r="369" customFormat="false" ht="15" hidden="false" customHeight="false" outlineLevel="0" collapsed="false">
      <c r="A369" s="25" t="n">
        <v>4126306</v>
      </c>
      <c r="B369" s="26" t="s">
        <v>435</v>
      </c>
      <c r="C369" s="26" t="s">
        <v>65</v>
      </c>
      <c r="D369" s="47" t="n">
        <f aca="false">'2 Fator educacional'!K369</f>
        <v>60.1382361611472</v>
      </c>
      <c r="E369" s="48" t="n">
        <f aca="false">'3 Fator demográfico'!K369</f>
        <v>68.8537163535801</v>
      </c>
      <c r="F369" s="49" t="n">
        <f aca="false">'4 Fator socioeconômico'!K369</f>
        <v>34.7022307182479</v>
      </c>
      <c r="G369" s="50" t="n">
        <f aca="false">(2*D369+E369+2*F369)/500</f>
        <v>0.517069300224741</v>
      </c>
      <c r="H369" s="25" t="n">
        <f aca="false">RANK(G369,G$6:G$404,0)</f>
        <v>131</v>
      </c>
      <c r="I369" s="25" t="n">
        <f aca="false">COUNTIFS(C$6:C$404,C369,G$6:G$404,"&gt;"&amp;G369)+1</f>
        <v>82</v>
      </c>
      <c r="J369" s="25" t="n">
        <f aca="false">COUNTIF(C$6:C$404,C369)</f>
        <v>205</v>
      </c>
    </row>
    <row r="370" customFormat="false" ht="15" hidden="false" customHeight="false" outlineLevel="0" collapsed="false">
      <c r="A370" s="25" t="n">
        <v>4126355</v>
      </c>
      <c r="B370" s="26" t="s">
        <v>436</v>
      </c>
      <c r="C370" s="26" t="s">
        <v>65</v>
      </c>
      <c r="D370" s="47" t="n">
        <f aca="false">'2 Fator educacional'!K370</f>
        <v>60.7143789248528</v>
      </c>
      <c r="E370" s="48" t="n">
        <f aca="false">'3 Fator demográfico'!K370</f>
        <v>59.0057171073454</v>
      </c>
      <c r="F370" s="49" t="n">
        <f aca="false">'4 Fator socioeconômico'!K370</f>
        <v>30.3912275017082</v>
      </c>
      <c r="G370" s="50" t="n">
        <f aca="false">(2*D370+E370+2*F370)/500</f>
        <v>0.482433859920935</v>
      </c>
      <c r="H370" s="25" t="n">
        <f aca="false">RANK(G370,G$6:G$404,0)</f>
        <v>190</v>
      </c>
      <c r="I370" s="25" t="n">
        <f aca="false">COUNTIFS(C$6:C$404,C370,G$6:G$404,"&gt;"&amp;G370)+1</f>
        <v>112</v>
      </c>
      <c r="J370" s="25" t="n">
        <f aca="false">COUNTIF(C$6:C$404,C370)</f>
        <v>205</v>
      </c>
    </row>
    <row r="371" customFormat="false" ht="15" hidden="false" customHeight="false" outlineLevel="0" collapsed="false">
      <c r="A371" s="25" t="n">
        <v>4126405</v>
      </c>
      <c r="B371" s="26" t="s">
        <v>437</v>
      </c>
      <c r="C371" s="26" t="s">
        <v>65</v>
      </c>
      <c r="D371" s="47" t="n">
        <f aca="false">'2 Fator educacional'!K371</f>
        <v>37.5579167531253</v>
      </c>
      <c r="E371" s="48" t="n">
        <f aca="false">'3 Fator demográfico'!K371</f>
        <v>19.3187089587374</v>
      </c>
      <c r="F371" s="49" t="n">
        <f aca="false">'4 Fator socioeconômico'!K371</f>
        <v>33.5155590811357</v>
      </c>
      <c r="G371" s="50" t="n">
        <f aca="false">(2*D371+E371+2*F371)/500</f>
        <v>0.322931321254519</v>
      </c>
      <c r="H371" s="25" t="n">
        <f aca="false">RANK(G371,G$6:G$404,0)</f>
        <v>375</v>
      </c>
      <c r="I371" s="25" t="n">
        <f aca="false">COUNTIFS(C$6:C$404,C371,G$6:G$404,"&gt;"&amp;G371)+1</f>
        <v>195</v>
      </c>
      <c r="J371" s="25" t="n">
        <f aca="false">COUNTIF(C$6:C$404,C371)</f>
        <v>205</v>
      </c>
    </row>
    <row r="372" customFormat="false" ht="15" hidden="false" customHeight="false" outlineLevel="0" collapsed="false">
      <c r="A372" s="25" t="n">
        <v>4126504</v>
      </c>
      <c r="B372" s="26" t="s">
        <v>438</v>
      </c>
      <c r="C372" s="26" t="s">
        <v>65</v>
      </c>
      <c r="D372" s="47" t="n">
        <f aca="false">'2 Fator educacional'!K372</f>
        <v>69.41748604335</v>
      </c>
      <c r="E372" s="48" t="n">
        <f aca="false">'3 Fator demográfico'!K372</f>
        <v>38.4593763956828</v>
      </c>
      <c r="F372" s="49" t="n">
        <f aca="false">'4 Fator socioeconômico'!K372</f>
        <v>31.6765264116304</v>
      </c>
      <c r="G372" s="50" t="n">
        <f aca="false">(2*D372+E372+2*F372)/500</f>
        <v>0.481294802611287</v>
      </c>
      <c r="H372" s="25" t="n">
        <f aca="false">RANK(G372,G$6:G$404,0)</f>
        <v>193</v>
      </c>
      <c r="I372" s="25" t="n">
        <f aca="false">COUNTIFS(C$6:C$404,C372,G$6:G$404,"&gt;"&amp;G372)+1</f>
        <v>114</v>
      </c>
      <c r="J372" s="25" t="n">
        <f aca="false">COUNTIF(C$6:C$404,C372)</f>
        <v>205</v>
      </c>
    </row>
    <row r="373" customFormat="false" ht="15" hidden="false" customHeight="false" outlineLevel="0" collapsed="false">
      <c r="A373" s="25" t="n">
        <v>4126603</v>
      </c>
      <c r="B373" s="26" t="s">
        <v>439</v>
      </c>
      <c r="C373" s="26" t="s">
        <v>86</v>
      </c>
      <c r="D373" s="47" t="n">
        <f aca="false">'2 Fator educacional'!K373</f>
        <v>54.8219962371424</v>
      </c>
      <c r="E373" s="48" t="n">
        <f aca="false">'3 Fator demográfico'!K373</f>
        <v>38.6733430850046</v>
      </c>
      <c r="F373" s="49" t="n">
        <f aca="false">'4 Fator socioeconômico'!K373</f>
        <v>34.9254757798183</v>
      </c>
      <c r="G373" s="50" t="n">
        <f aca="false">(2*D373+E373+2*F373)/500</f>
        <v>0.436336574237852</v>
      </c>
      <c r="H373" s="25" t="n">
        <f aca="false">RANK(G373,G$6:G$404,0)</f>
        <v>257</v>
      </c>
      <c r="I373" s="25" t="n">
        <f aca="false">COUNTIFS(C$6:C$404,C373,G$6:G$404,"&gt;"&amp;G373)+1</f>
        <v>36</v>
      </c>
      <c r="J373" s="25" t="n">
        <f aca="false">COUNTIF(C$6:C$404,C373)</f>
        <v>62</v>
      </c>
    </row>
    <row r="374" customFormat="false" ht="15" hidden="false" customHeight="false" outlineLevel="0" collapsed="false">
      <c r="A374" s="25" t="n">
        <v>4126652</v>
      </c>
      <c r="B374" s="26" t="s">
        <v>440</v>
      </c>
      <c r="C374" s="26" t="s">
        <v>71</v>
      </c>
      <c r="D374" s="47" t="n">
        <f aca="false">'2 Fator educacional'!K374</f>
        <v>70.3833719790622</v>
      </c>
      <c r="E374" s="48" t="n">
        <f aca="false">'3 Fator demográfico'!K374</f>
        <v>32.3894529268756</v>
      </c>
      <c r="F374" s="49" t="n">
        <f aca="false">'4 Fator socioeconômico'!K374</f>
        <v>35.4190026404481</v>
      </c>
      <c r="G374" s="50" t="n">
        <f aca="false">(2*D374+E374+2*F374)/500</f>
        <v>0.487988404331792</v>
      </c>
      <c r="H374" s="25" t="n">
        <f aca="false">RANK(G374,G$6:G$404,0)</f>
        <v>177</v>
      </c>
      <c r="I374" s="25" t="n">
        <f aca="false">COUNTIFS(C$6:C$404,C374,G$6:G$404,"&gt;"&amp;G374)+1</f>
        <v>44</v>
      </c>
      <c r="J374" s="25" t="n">
        <f aca="false">COUNTIF(C$6:C$404,C374)</f>
        <v>102</v>
      </c>
    </row>
    <row r="375" customFormat="false" ht="15" hidden="false" customHeight="false" outlineLevel="0" collapsed="false">
      <c r="A375" s="25" t="n">
        <v>4126678</v>
      </c>
      <c r="B375" s="26" t="s">
        <v>441</v>
      </c>
      <c r="C375" s="26" t="s">
        <v>65</v>
      </c>
      <c r="D375" s="47" t="n">
        <f aca="false">'2 Fator educacional'!K375</f>
        <v>73.2557758868768</v>
      </c>
      <c r="E375" s="48" t="n">
        <f aca="false">'3 Fator demográfico'!K375</f>
        <v>52.8534381222302</v>
      </c>
      <c r="F375" s="49" t="n">
        <f aca="false">'4 Fator socioeconômico'!K375</f>
        <v>44.9996112107771</v>
      </c>
      <c r="G375" s="50" t="n">
        <f aca="false">(2*D375+E375+2*F375)/500</f>
        <v>0.578728424635076</v>
      </c>
      <c r="H375" s="25" t="n">
        <f aca="false">RANK(G375,G$6:G$404,0)</f>
        <v>62</v>
      </c>
      <c r="I375" s="25" t="n">
        <f aca="false">COUNTIFS(C$6:C$404,C375,G$6:G$404,"&gt;"&amp;G375)+1</f>
        <v>41</v>
      </c>
      <c r="J375" s="25" t="n">
        <f aca="false">COUNTIF(C$6:C$404,C375)</f>
        <v>205</v>
      </c>
    </row>
    <row r="376" customFormat="false" ht="15" hidden="false" customHeight="false" outlineLevel="0" collapsed="false">
      <c r="A376" s="25" t="n">
        <v>4126702</v>
      </c>
      <c r="B376" s="26" t="s">
        <v>442</v>
      </c>
      <c r="C376" s="26" t="s">
        <v>71</v>
      </c>
      <c r="D376" s="47" t="n">
        <f aca="false">'2 Fator educacional'!K376</f>
        <v>51.3826562897871</v>
      </c>
      <c r="E376" s="48" t="n">
        <f aca="false">'3 Fator demográfico'!K376</f>
        <v>28.5889256909373</v>
      </c>
      <c r="F376" s="49" t="n">
        <f aca="false">'4 Fator socioeconômico'!K376</f>
        <v>40.5382796558655</v>
      </c>
      <c r="G376" s="50" t="n">
        <f aca="false">(2*D376+E376+2*F376)/500</f>
        <v>0.424861595164485</v>
      </c>
      <c r="H376" s="25" t="n">
        <f aca="false">RANK(G376,G$6:G$404,0)</f>
        <v>277</v>
      </c>
      <c r="I376" s="25" t="n">
        <f aca="false">COUNTIFS(C$6:C$404,C376,G$6:G$404,"&gt;"&amp;G376)+1</f>
        <v>63</v>
      </c>
      <c r="J376" s="25" t="n">
        <f aca="false">COUNTIF(C$6:C$404,C376)</f>
        <v>102</v>
      </c>
    </row>
    <row r="377" customFormat="false" ht="15" hidden="false" customHeight="false" outlineLevel="0" collapsed="false">
      <c r="A377" s="25" t="n">
        <v>4126801</v>
      </c>
      <c r="B377" s="26" t="s">
        <v>443</v>
      </c>
      <c r="C377" s="26" t="s">
        <v>65</v>
      </c>
      <c r="D377" s="47" t="n">
        <f aca="false">'2 Fator educacional'!K377</f>
        <v>46.6110601168212</v>
      </c>
      <c r="E377" s="48" t="n">
        <f aca="false">'3 Fator demográfico'!K377</f>
        <v>46.9083959837467</v>
      </c>
      <c r="F377" s="49" t="n">
        <f aca="false">'4 Fator socioeconômico'!K377</f>
        <v>27.8303323204031</v>
      </c>
      <c r="G377" s="50" t="n">
        <f aca="false">(2*D377+E377+2*F377)/500</f>
        <v>0.391582361716391</v>
      </c>
      <c r="H377" s="25" t="n">
        <f aca="false">RANK(G377,G$6:G$404,0)</f>
        <v>319</v>
      </c>
      <c r="I377" s="25" t="n">
        <f aca="false">COUNTIFS(C$6:C$404,C377,G$6:G$404,"&gt;"&amp;G377)+1</f>
        <v>174</v>
      </c>
      <c r="J377" s="25" t="n">
        <f aca="false">COUNTIF(C$6:C$404,C377)</f>
        <v>205</v>
      </c>
    </row>
    <row r="378" customFormat="false" ht="15" hidden="false" customHeight="false" outlineLevel="0" collapsed="false">
      <c r="A378" s="25" t="n">
        <v>4126900</v>
      </c>
      <c r="B378" s="26" t="s">
        <v>444</v>
      </c>
      <c r="C378" s="26" t="s">
        <v>65</v>
      </c>
      <c r="D378" s="47" t="n">
        <f aca="false">'2 Fator educacional'!K378</f>
        <v>66.5201095009499</v>
      </c>
      <c r="E378" s="48" t="n">
        <f aca="false">'3 Fator demográfico'!K378</f>
        <v>27.2437512627121</v>
      </c>
      <c r="F378" s="49" t="n">
        <f aca="false">'4 Fator socioeconômico'!K378</f>
        <v>43.9785122155736</v>
      </c>
      <c r="G378" s="50" t="n">
        <f aca="false">(2*D378+E378+2*F378)/500</f>
        <v>0.496481989391519</v>
      </c>
      <c r="H378" s="25" t="n">
        <f aca="false">RANK(G378,G$6:G$404,0)</f>
        <v>166</v>
      </c>
      <c r="I378" s="25" t="n">
        <f aca="false">COUNTIFS(C$6:C$404,C378,G$6:G$404,"&gt;"&amp;G378)+1</f>
        <v>100</v>
      </c>
      <c r="J378" s="25" t="n">
        <f aca="false">COUNTIF(C$6:C$404,C378)</f>
        <v>205</v>
      </c>
    </row>
    <row r="379" customFormat="false" ht="15" hidden="false" customHeight="false" outlineLevel="0" collapsed="false">
      <c r="A379" s="25" t="n">
        <v>4127007</v>
      </c>
      <c r="B379" s="26" t="s">
        <v>445</v>
      </c>
      <c r="C379" s="26" t="s">
        <v>65</v>
      </c>
      <c r="D379" s="47" t="n">
        <f aca="false">'2 Fator educacional'!K379</f>
        <v>74.2704021901747</v>
      </c>
      <c r="E379" s="48" t="n">
        <f aca="false">'3 Fator demográfico'!K379</f>
        <v>52.8970227330841</v>
      </c>
      <c r="F379" s="49" t="n">
        <f aca="false">'4 Fator socioeconômico'!K379</f>
        <v>54.9636395804189</v>
      </c>
      <c r="G379" s="50" t="n">
        <f aca="false">(2*D379+E379+2*F379)/500</f>
        <v>0.622730212548543</v>
      </c>
      <c r="H379" s="25" t="n">
        <f aca="false">RANK(G379,G$6:G$404,0)</f>
        <v>38</v>
      </c>
      <c r="I379" s="25" t="n">
        <f aca="false">COUNTIFS(C$6:C$404,C379,G$6:G$404,"&gt;"&amp;G379)+1</f>
        <v>27</v>
      </c>
      <c r="J379" s="25" t="n">
        <f aca="false">COUNTIF(C$6:C$404,C379)</f>
        <v>205</v>
      </c>
    </row>
    <row r="380" customFormat="false" ht="15" hidden="false" customHeight="false" outlineLevel="0" collapsed="false">
      <c r="A380" s="25" t="n">
        <v>4127106</v>
      </c>
      <c r="B380" s="26" t="s">
        <v>446</v>
      </c>
      <c r="C380" s="26" t="s">
        <v>129</v>
      </c>
      <c r="D380" s="47" t="n">
        <f aca="false">'2 Fator educacional'!K380</f>
        <v>65.8353509021113</v>
      </c>
      <c r="E380" s="48" t="n">
        <f aca="false">'3 Fator demográfico'!K380</f>
        <v>56.3851245685706</v>
      </c>
      <c r="F380" s="49" t="n">
        <f aca="false">'4 Fator socioeconômico'!K380</f>
        <v>15.7844249561503</v>
      </c>
      <c r="G380" s="50" t="n">
        <f aca="false">(2*D380+E380+2*F380)/500</f>
        <v>0.439249352570188</v>
      </c>
      <c r="H380" s="25" t="n">
        <f aca="false">RANK(G380,G$6:G$404,0)</f>
        <v>253</v>
      </c>
      <c r="I380" s="25" t="n">
        <f aca="false">COUNTIFS(C$6:C$404,C380,G$6:G$404,"&gt;"&amp;G380)+1</f>
        <v>2</v>
      </c>
      <c r="J380" s="25" t="n">
        <f aca="false">COUNTIF(C$6:C$404,C380)</f>
        <v>8</v>
      </c>
    </row>
    <row r="381" customFormat="false" ht="15" hidden="false" customHeight="false" outlineLevel="0" collapsed="false">
      <c r="A381" s="25" t="n">
        <v>4127205</v>
      </c>
      <c r="B381" s="26" t="s">
        <v>447</v>
      </c>
      <c r="C381" s="26" t="s">
        <v>65</v>
      </c>
      <c r="D381" s="47" t="n">
        <f aca="false">'2 Fator educacional'!K381</f>
        <v>45.1674886905238</v>
      </c>
      <c r="E381" s="48" t="n">
        <f aca="false">'3 Fator demográfico'!K381</f>
        <v>46.1271816335811</v>
      </c>
      <c r="F381" s="49" t="n">
        <f aca="false">'4 Fator socioeconômico'!K381</f>
        <v>27.6007452006747</v>
      </c>
      <c r="G381" s="50" t="n">
        <f aca="false">(2*D381+E381+2*F381)/500</f>
        <v>0.383327298831956</v>
      </c>
      <c r="H381" s="25" t="n">
        <f aca="false">RANK(G381,G$6:G$404,0)</f>
        <v>327</v>
      </c>
      <c r="I381" s="25" t="n">
        <f aca="false">COUNTIFS(C$6:C$404,C381,G$6:G$404,"&gt;"&amp;G381)+1</f>
        <v>179</v>
      </c>
      <c r="J381" s="25" t="n">
        <f aca="false">COUNTIF(C$6:C$404,C381)</f>
        <v>205</v>
      </c>
    </row>
    <row r="382" customFormat="false" ht="15" hidden="false" customHeight="false" outlineLevel="0" collapsed="false">
      <c r="A382" s="25" t="n">
        <v>4127304</v>
      </c>
      <c r="B382" s="26" t="s">
        <v>448</v>
      </c>
      <c r="C382" s="26" t="s">
        <v>65</v>
      </c>
      <c r="D382" s="47" t="n">
        <f aca="false">'2 Fator educacional'!K382</f>
        <v>45.1865803576299</v>
      </c>
      <c r="E382" s="48" t="n">
        <f aca="false">'3 Fator demográfico'!K382</f>
        <v>37.9570317798534</v>
      </c>
      <c r="F382" s="49" t="n">
        <f aca="false">'4 Fator socioeconômico'!K382</f>
        <v>44.4226577949316</v>
      </c>
      <c r="G382" s="50" t="n">
        <f aca="false">(2*D382+E382+2*F382)/500</f>
        <v>0.434351016169953</v>
      </c>
      <c r="H382" s="25" t="n">
        <f aca="false">RANK(G382,G$6:G$404,0)</f>
        <v>259</v>
      </c>
      <c r="I382" s="25" t="n">
        <f aca="false">COUNTIFS(C$6:C$404,C382,G$6:G$404,"&gt;"&amp;G382)+1</f>
        <v>150</v>
      </c>
      <c r="J382" s="25" t="n">
        <f aca="false">COUNTIF(C$6:C$404,C382)</f>
        <v>205</v>
      </c>
    </row>
    <row r="383" customFormat="false" ht="15" hidden="false" customHeight="false" outlineLevel="0" collapsed="false">
      <c r="A383" s="25" t="n">
        <v>4127403</v>
      </c>
      <c r="B383" s="26" t="s">
        <v>449</v>
      </c>
      <c r="C383" s="26" t="s">
        <v>65</v>
      </c>
      <c r="D383" s="47" t="n">
        <f aca="false">'2 Fator educacional'!K383</f>
        <v>55.7522926034297</v>
      </c>
      <c r="E383" s="48" t="n">
        <f aca="false">'3 Fator demográfico'!K383</f>
        <v>40.5710337295876</v>
      </c>
      <c r="F383" s="49" t="n">
        <f aca="false">'4 Fator socioeconômico'!K383</f>
        <v>33.6129809059835</v>
      </c>
      <c r="G383" s="50" t="n">
        <f aca="false">(2*D383+E383+2*F383)/500</f>
        <v>0.438603161496828</v>
      </c>
      <c r="H383" s="25" t="n">
        <f aca="false">RANK(G383,G$6:G$404,0)</f>
        <v>254</v>
      </c>
      <c r="I383" s="25" t="n">
        <f aca="false">COUNTIFS(C$6:C$404,C383,G$6:G$404,"&gt;"&amp;G383)+1</f>
        <v>148</v>
      </c>
      <c r="J383" s="25" t="n">
        <f aca="false">COUNTIF(C$6:C$404,C383)</f>
        <v>205</v>
      </c>
    </row>
    <row r="384" customFormat="false" ht="15" hidden="false" customHeight="false" outlineLevel="0" collapsed="false">
      <c r="A384" s="25" t="n">
        <v>4127502</v>
      </c>
      <c r="B384" s="26" t="s">
        <v>450</v>
      </c>
      <c r="C384" s="26" t="s">
        <v>65</v>
      </c>
      <c r="D384" s="47" t="n">
        <f aca="false">'2 Fator educacional'!K384</f>
        <v>68.4531834674302</v>
      </c>
      <c r="E384" s="48" t="n">
        <f aca="false">'3 Fator demográfico'!K384</f>
        <v>55.5377919781603</v>
      </c>
      <c r="F384" s="49" t="n">
        <f aca="false">'4 Fator socioeconômico'!K384</f>
        <v>47.7075257443515</v>
      </c>
      <c r="G384" s="50" t="n">
        <f aca="false">(2*D384+E384+2*F384)/500</f>
        <v>0.575718420803447</v>
      </c>
      <c r="H384" s="25" t="n">
        <f aca="false">RANK(G384,G$6:G$404,0)</f>
        <v>66</v>
      </c>
      <c r="I384" s="25" t="n">
        <f aca="false">COUNTIFS(C$6:C$404,C384,G$6:G$404,"&gt;"&amp;G384)+1</f>
        <v>44</v>
      </c>
      <c r="J384" s="25" t="n">
        <f aca="false">COUNTIF(C$6:C$404,C384)</f>
        <v>205</v>
      </c>
    </row>
    <row r="385" customFormat="false" ht="15" hidden="false" customHeight="false" outlineLevel="0" collapsed="false">
      <c r="A385" s="25" t="n">
        <v>4127601</v>
      </c>
      <c r="B385" s="26" t="s">
        <v>451</v>
      </c>
      <c r="C385" s="26" t="s">
        <v>65</v>
      </c>
      <c r="D385" s="47" t="n">
        <f aca="false">'2 Fator educacional'!K385</f>
        <v>80.1184116628227</v>
      </c>
      <c r="E385" s="48" t="n">
        <f aca="false">'3 Fator demográfico'!K385</f>
        <v>74.7460261820529</v>
      </c>
      <c r="F385" s="49" t="n">
        <f aca="false">'4 Fator socioeconômico'!K385</f>
        <v>53.1234232781382</v>
      </c>
      <c r="G385" s="50" t="n">
        <f aca="false">(2*D385+E385+2*F385)/500</f>
        <v>0.682459392127949</v>
      </c>
      <c r="H385" s="25" t="n">
        <f aca="false">RANK(G385,G$6:G$404,0)</f>
        <v>16</v>
      </c>
      <c r="I385" s="25" t="n">
        <f aca="false">COUNTIFS(C$6:C$404,C385,G$6:G$404,"&gt;"&amp;G385)+1</f>
        <v>11</v>
      </c>
      <c r="J385" s="25" t="n">
        <f aca="false">COUNTIF(C$6:C$404,C385)</f>
        <v>205</v>
      </c>
    </row>
    <row r="386" customFormat="false" ht="15" hidden="false" customHeight="false" outlineLevel="0" collapsed="false">
      <c r="A386" s="25" t="n">
        <v>4127700</v>
      </c>
      <c r="B386" s="26" t="s">
        <v>452</v>
      </c>
      <c r="C386" s="26" t="s">
        <v>69</v>
      </c>
      <c r="D386" s="47" t="n">
        <f aca="false">'2 Fator educacional'!K386</f>
        <v>51.7708302453534</v>
      </c>
      <c r="E386" s="48" t="n">
        <f aca="false">'3 Fator demográfico'!K386</f>
        <v>46.3190737738125</v>
      </c>
      <c r="F386" s="49" t="n">
        <f aca="false">'4 Fator socioeconômico'!K386</f>
        <v>7.30733088228529</v>
      </c>
      <c r="G386" s="50" t="n">
        <f aca="false">(2*D386+E386+2*F386)/500</f>
        <v>0.32895079205818</v>
      </c>
      <c r="H386" s="25" t="n">
        <f aca="false">RANK(G386,G$6:G$404,0)</f>
        <v>371</v>
      </c>
      <c r="I386" s="25" t="n">
        <f aca="false">COUNTIFS(C$6:C$404,C386,G$6:G$404,"&gt;"&amp;G386)+1</f>
        <v>14</v>
      </c>
      <c r="J386" s="25" t="n">
        <f aca="false">COUNTIF(C$6:C$404,C386)</f>
        <v>14</v>
      </c>
    </row>
    <row r="387" customFormat="false" ht="15" hidden="false" customHeight="false" outlineLevel="0" collapsed="false">
      <c r="A387" s="25" t="n">
        <v>4127809</v>
      </c>
      <c r="B387" s="26" t="s">
        <v>453</v>
      </c>
      <c r="C387" s="26" t="s">
        <v>65</v>
      </c>
      <c r="D387" s="47" t="n">
        <f aca="false">'2 Fator educacional'!K387</f>
        <v>55.2398785597988</v>
      </c>
      <c r="E387" s="48" t="n">
        <f aca="false">'3 Fator demográfico'!K387</f>
        <v>48.3912847265094</v>
      </c>
      <c r="F387" s="49" t="n">
        <f aca="false">'4 Fator socioeconômico'!K387</f>
        <v>48.7849814741232</v>
      </c>
      <c r="G387" s="50" t="n">
        <f aca="false">(2*D387+E387+2*F387)/500</f>
        <v>0.512882009588707</v>
      </c>
      <c r="H387" s="25" t="n">
        <f aca="false">RANK(G387,G$6:G$404,0)</f>
        <v>138</v>
      </c>
      <c r="I387" s="25" t="n">
        <f aca="false">COUNTIFS(C$6:C$404,C387,G$6:G$404,"&gt;"&amp;G387)+1</f>
        <v>85</v>
      </c>
      <c r="J387" s="25" t="n">
        <f aca="false">COUNTIF(C$6:C$404,C387)</f>
        <v>205</v>
      </c>
    </row>
    <row r="388" customFormat="false" ht="15" hidden="false" customHeight="false" outlineLevel="0" collapsed="false">
      <c r="A388" s="25" t="n">
        <v>4127858</v>
      </c>
      <c r="B388" s="26" t="s">
        <v>454</v>
      </c>
      <c r="C388" s="26" t="s">
        <v>65</v>
      </c>
      <c r="D388" s="47" t="n">
        <f aca="false">'2 Fator educacional'!K388</f>
        <v>54.9681214528546</v>
      </c>
      <c r="E388" s="48" t="n">
        <f aca="false">'3 Fator demográfico'!K388</f>
        <v>56.6415713609455</v>
      </c>
      <c r="F388" s="49" t="n">
        <f aca="false">'4 Fator socioeconômico'!K388</f>
        <v>52.0103391677909</v>
      </c>
      <c r="G388" s="50" t="n">
        <f aca="false">(2*D388+E388+2*F388)/500</f>
        <v>0.541196985204473</v>
      </c>
      <c r="H388" s="25" t="n">
        <f aca="false">RANK(G388,G$6:G$404,0)</f>
        <v>101</v>
      </c>
      <c r="I388" s="25" t="n">
        <f aca="false">COUNTIFS(C$6:C$404,C388,G$6:G$404,"&gt;"&amp;G388)+1</f>
        <v>62</v>
      </c>
      <c r="J388" s="25" t="n">
        <f aca="false">COUNTIF(C$6:C$404,C388)</f>
        <v>205</v>
      </c>
    </row>
    <row r="389" customFormat="false" ht="15" hidden="false" customHeight="false" outlineLevel="0" collapsed="false">
      <c r="A389" s="25" t="n">
        <v>4127882</v>
      </c>
      <c r="B389" s="26" t="s">
        <v>455</v>
      </c>
      <c r="C389" s="26" t="s">
        <v>65</v>
      </c>
      <c r="D389" s="47" t="n">
        <f aca="false">'2 Fator educacional'!K389</f>
        <v>71.9353896995307</v>
      </c>
      <c r="E389" s="48" t="n">
        <f aca="false">'3 Fator demográfico'!K389</f>
        <v>73.2651628574584</v>
      </c>
      <c r="F389" s="49" t="n">
        <f aca="false">'4 Fator socioeconômico'!K389</f>
        <v>59.7121551614641</v>
      </c>
      <c r="G389" s="50" t="n">
        <f aca="false">(2*D389+E389+2*F389)/500</f>
        <v>0.673120505158896</v>
      </c>
      <c r="H389" s="25" t="n">
        <f aca="false">RANK(G389,G$6:G$404,0)</f>
        <v>20</v>
      </c>
      <c r="I389" s="25" t="n">
        <f aca="false">COUNTIFS(C$6:C$404,C389,G$6:G$404,"&gt;"&amp;G389)+1</f>
        <v>14</v>
      </c>
      <c r="J389" s="25" t="n">
        <f aca="false">COUNTIF(C$6:C$404,C389)</f>
        <v>205</v>
      </c>
    </row>
    <row r="390" customFormat="false" ht="15" hidden="false" customHeight="false" outlineLevel="0" collapsed="false">
      <c r="A390" s="25" t="n">
        <v>4127908</v>
      </c>
      <c r="B390" s="26" t="s">
        <v>456</v>
      </c>
      <c r="C390" s="26" t="s">
        <v>65</v>
      </c>
      <c r="D390" s="47" t="n">
        <f aca="false">'2 Fator educacional'!K390</f>
        <v>54.8572867071948</v>
      </c>
      <c r="E390" s="48" t="n">
        <f aca="false">'3 Fator demográfico'!K390</f>
        <v>42.3942899149546</v>
      </c>
      <c r="F390" s="49" t="n">
        <f aca="false">'4 Fator socioeconômico'!K390</f>
        <v>46.4267075594761</v>
      </c>
      <c r="G390" s="50" t="n">
        <f aca="false">(2*D390+E390+2*F390)/500</f>
        <v>0.489924556896593</v>
      </c>
      <c r="H390" s="25" t="n">
        <f aca="false">RANK(G390,G$6:G$404,0)</f>
        <v>174</v>
      </c>
      <c r="I390" s="25" t="n">
        <f aca="false">COUNTIFS(C$6:C$404,C390,G$6:G$404,"&gt;"&amp;G390)+1</f>
        <v>106</v>
      </c>
      <c r="J390" s="25" t="n">
        <f aca="false">COUNTIF(C$6:C$404,C390)</f>
        <v>205</v>
      </c>
    </row>
    <row r="391" customFormat="false" ht="15" hidden="false" customHeight="false" outlineLevel="0" collapsed="false">
      <c r="A391" s="25" t="n">
        <v>4127957</v>
      </c>
      <c r="B391" s="26" t="s">
        <v>457</v>
      </c>
      <c r="C391" s="26" t="s">
        <v>65</v>
      </c>
      <c r="D391" s="47" t="n">
        <f aca="false">'2 Fator educacional'!K391</f>
        <v>49.064563812412</v>
      </c>
      <c r="E391" s="48" t="n">
        <f aca="false">'3 Fator demográfico'!K391</f>
        <v>22.5981922554823</v>
      </c>
      <c r="F391" s="49" t="n">
        <f aca="false">'4 Fator socioeconômico'!K391</f>
        <v>27.5850024816722</v>
      </c>
      <c r="G391" s="50" t="n">
        <f aca="false">(2*D391+E391+2*F391)/500</f>
        <v>0.351794649687301</v>
      </c>
      <c r="H391" s="25" t="n">
        <f aca="false">RANK(G391,G$6:G$404,0)</f>
        <v>357</v>
      </c>
      <c r="I391" s="25" t="n">
        <f aca="false">COUNTIFS(C$6:C$404,C391,G$6:G$404,"&gt;"&amp;G391)+1</f>
        <v>190</v>
      </c>
      <c r="J391" s="25" t="n">
        <f aca="false">COUNTIF(C$6:C$404,C391)</f>
        <v>205</v>
      </c>
    </row>
    <row r="392" customFormat="false" ht="15" hidden="false" customHeight="false" outlineLevel="0" collapsed="false">
      <c r="A392" s="25" t="n">
        <v>4127965</v>
      </c>
      <c r="B392" s="26" t="s">
        <v>458</v>
      </c>
      <c r="C392" s="26" t="s">
        <v>65</v>
      </c>
      <c r="D392" s="47" t="n">
        <f aca="false">'2 Fator educacional'!K392</f>
        <v>58.1163261875219</v>
      </c>
      <c r="E392" s="48" t="n">
        <f aca="false">'3 Fator demográfico'!K392</f>
        <v>47.3083248681558</v>
      </c>
      <c r="F392" s="49" t="n">
        <f aca="false">'4 Fator socioeconômico'!K392</f>
        <v>39.446498252455</v>
      </c>
      <c r="G392" s="50" t="n">
        <f aca="false">(2*D392+E392+2*F392)/500</f>
        <v>0.484867947496219</v>
      </c>
      <c r="H392" s="25" t="n">
        <f aca="false">RANK(G392,G$6:G$404,0)</f>
        <v>185</v>
      </c>
      <c r="I392" s="25" t="n">
        <f aca="false">COUNTIFS(C$6:C$404,C392,G$6:G$404,"&gt;"&amp;G392)+1</f>
        <v>110</v>
      </c>
      <c r="J392" s="25" t="n">
        <f aca="false">COUNTIF(C$6:C$404,C392)</f>
        <v>205</v>
      </c>
    </row>
    <row r="393" customFormat="false" ht="15" hidden="false" customHeight="false" outlineLevel="0" collapsed="false">
      <c r="A393" s="25" t="n">
        <v>4128005</v>
      </c>
      <c r="B393" s="26" t="s">
        <v>459</v>
      </c>
      <c r="C393" s="26" t="s">
        <v>86</v>
      </c>
      <c r="D393" s="47" t="n">
        <f aca="false">'2 Fator educacional'!K393</f>
        <v>47.6470517978536</v>
      </c>
      <c r="E393" s="48" t="n">
        <f aca="false">'3 Fator demográfico'!K393</f>
        <v>35.9521845230212</v>
      </c>
      <c r="F393" s="49" t="n">
        <f aca="false">'4 Fator socioeconômico'!K393</f>
        <v>24.7767765519227</v>
      </c>
      <c r="G393" s="50" t="n">
        <f aca="false">(2*D393+E393+2*F393)/500</f>
        <v>0.361599682445148</v>
      </c>
      <c r="H393" s="25" t="n">
        <f aca="false">RANK(G393,G$6:G$404,0)</f>
        <v>351</v>
      </c>
      <c r="I393" s="25" t="n">
        <f aca="false">COUNTIFS(C$6:C$404,C393,G$6:G$404,"&gt;"&amp;G393)+1</f>
        <v>55</v>
      </c>
      <c r="J393" s="25" t="n">
        <f aca="false">COUNTIF(C$6:C$404,C393)</f>
        <v>62</v>
      </c>
    </row>
    <row r="394" customFormat="false" ht="15" hidden="false" customHeight="false" outlineLevel="0" collapsed="false">
      <c r="A394" s="25" t="n">
        <v>4128104</v>
      </c>
      <c r="B394" s="26" t="s">
        <v>460</v>
      </c>
      <c r="C394" s="26" t="s">
        <v>69</v>
      </c>
      <c r="D394" s="47" t="n">
        <f aca="false">'2 Fator educacional'!K394</f>
        <v>62.2897041044024</v>
      </c>
      <c r="E394" s="48" t="n">
        <f aca="false">'3 Fator demográfico'!K394</f>
        <v>51.3185571850787</v>
      </c>
      <c r="F394" s="49" t="n">
        <f aca="false">'4 Fator socioeconômico'!K394</f>
        <v>26.2867856643776</v>
      </c>
      <c r="G394" s="50" t="n">
        <f aca="false">(2*D394+E394+2*F394)/500</f>
        <v>0.456943073445278</v>
      </c>
      <c r="H394" s="25" t="n">
        <f aca="false">RANK(G394,G$6:G$404,0)</f>
        <v>234</v>
      </c>
      <c r="I394" s="25" t="n">
        <f aca="false">COUNTIFS(C$6:C$404,C394,G$6:G$404,"&gt;"&amp;G394)+1</f>
        <v>7</v>
      </c>
      <c r="J394" s="25" t="n">
        <f aca="false">COUNTIF(C$6:C$404,C394)</f>
        <v>14</v>
      </c>
    </row>
    <row r="395" customFormat="false" ht="15" hidden="false" customHeight="false" outlineLevel="0" collapsed="false">
      <c r="A395" s="25" t="n">
        <v>4128203</v>
      </c>
      <c r="B395" s="26" t="s">
        <v>461</v>
      </c>
      <c r="C395" s="26" t="s">
        <v>86</v>
      </c>
      <c r="D395" s="47" t="n">
        <f aca="false">'2 Fator educacional'!K395</f>
        <v>55.9958386379368</v>
      </c>
      <c r="E395" s="48" t="n">
        <f aca="false">'3 Fator demográfico'!K395</f>
        <v>46.1907546193043</v>
      </c>
      <c r="F395" s="49" t="n">
        <f aca="false">'4 Fator socioeconômico'!K395</f>
        <v>32.9568502115351</v>
      </c>
      <c r="G395" s="50" t="n">
        <f aca="false">(2*D395+E395+2*F395)/500</f>
        <v>0.448192264636496</v>
      </c>
      <c r="H395" s="25" t="n">
        <f aca="false">RANK(G395,G$6:G$404,0)</f>
        <v>239</v>
      </c>
      <c r="I395" s="25" t="n">
        <f aca="false">COUNTIFS(C$6:C$404,C395,G$6:G$404,"&gt;"&amp;G395)+1</f>
        <v>33</v>
      </c>
      <c r="J395" s="25" t="n">
        <f aca="false">COUNTIF(C$6:C$404,C395)</f>
        <v>62</v>
      </c>
    </row>
    <row r="396" customFormat="false" ht="15" hidden="false" customHeight="false" outlineLevel="0" collapsed="false">
      <c r="A396" s="25" t="n">
        <v>4128302</v>
      </c>
      <c r="B396" s="26" t="s">
        <v>462</v>
      </c>
      <c r="C396" s="26" t="s">
        <v>71</v>
      </c>
      <c r="D396" s="47" t="n">
        <f aca="false">'2 Fator educacional'!K396</f>
        <v>43.0350228132297</v>
      </c>
      <c r="E396" s="48" t="n">
        <f aca="false">'3 Fator demográfico'!K396</f>
        <v>19.5545464472206</v>
      </c>
      <c r="F396" s="49" t="n">
        <f aca="false">'4 Fator socioeconômico'!K396</f>
        <v>40.4287380384191</v>
      </c>
      <c r="G396" s="50" t="n">
        <f aca="false">(2*D396+E396+2*F396)/500</f>
        <v>0.372964136301036</v>
      </c>
      <c r="H396" s="25" t="n">
        <f aca="false">RANK(G396,G$6:G$404,0)</f>
        <v>340</v>
      </c>
      <c r="I396" s="25" t="n">
        <f aca="false">COUNTIFS(C$6:C$404,C396,G$6:G$404,"&gt;"&amp;G396)+1</f>
        <v>82</v>
      </c>
      <c r="J396" s="25" t="n">
        <f aca="false">COUNTIF(C$6:C$404,C396)</f>
        <v>102</v>
      </c>
    </row>
    <row r="397" customFormat="false" ht="15" hidden="false" customHeight="false" outlineLevel="0" collapsed="false">
      <c r="A397" s="25" t="n">
        <v>4128401</v>
      </c>
      <c r="B397" s="26" t="s">
        <v>463</v>
      </c>
      <c r="C397" s="26" t="s">
        <v>65</v>
      </c>
      <c r="D397" s="47" t="n">
        <f aca="false">'2 Fator educacional'!K397</f>
        <v>59.179762681286</v>
      </c>
      <c r="E397" s="48" t="n">
        <f aca="false">'3 Fator demográfico'!K397</f>
        <v>16.3903907173896</v>
      </c>
      <c r="F397" s="49" t="n">
        <f aca="false">'4 Fator socioeconômico'!K397</f>
        <v>50.7555737630657</v>
      </c>
      <c r="G397" s="50" t="n">
        <f aca="false">(2*D397+E397+2*F397)/500</f>
        <v>0.472522127212186</v>
      </c>
      <c r="H397" s="25" t="n">
        <f aca="false">RANK(G397,G$6:G$404,0)</f>
        <v>209</v>
      </c>
      <c r="I397" s="25" t="n">
        <f aca="false">COUNTIFS(C$6:C$404,C397,G$6:G$404,"&gt;"&amp;G397)+1</f>
        <v>123</v>
      </c>
      <c r="J397" s="25" t="n">
        <f aca="false">COUNTIF(C$6:C$404,C397)</f>
        <v>205</v>
      </c>
    </row>
    <row r="398" customFormat="false" ht="15" hidden="false" customHeight="false" outlineLevel="0" collapsed="false">
      <c r="A398" s="25" t="n">
        <v>4128534</v>
      </c>
      <c r="B398" s="26" t="s">
        <v>464</v>
      </c>
      <c r="C398" s="26" t="s">
        <v>65</v>
      </c>
      <c r="D398" s="47" t="n">
        <f aca="false">'2 Fator educacional'!K398</f>
        <v>65.5314398702165</v>
      </c>
      <c r="E398" s="48" t="n">
        <f aca="false">'3 Fator demográfico'!K398</f>
        <v>70.9334361810071</v>
      </c>
      <c r="F398" s="49" t="n">
        <f aca="false">'4 Fator socioeconômico'!K398</f>
        <v>37.7671094966471</v>
      </c>
      <c r="G398" s="50" t="n">
        <f aca="false">(2*D398+E398+2*F398)/500</f>
        <v>0.555061069829469</v>
      </c>
      <c r="H398" s="25" t="n">
        <f aca="false">RANK(G398,G$6:G$404,0)</f>
        <v>86</v>
      </c>
      <c r="I398" s="25" t="n">
        <f aca="false">COUNTIFS(C$6:C$404,C398,G$6:G$404,"&gt;"&amp;G398)+1</f>
        <v>55</v>
      </c>
      <c r="J398" s="25" t="n">
        <f aca="false">COUNTIF(C$6:C$404,C398)</f>
        <v>205</v>
      </c>
    </row>
    <row r="399" customFormat="false" ht="15" hidden="false" customHeight="false" outlineLevel="0" collapsed="false">
      <c r="A399" s="25" t="n">
        <v>4128559</v>
      </c>
      <c r="B399" s="26" t="s">
        <v>465</v>
      </c>
      <c r="C399" s="26" t="s">
        <v>65</v>
      </c>
      <c r="D399" s="47" t="n">
        <f aca="false">'2 Fator educacional'!K399</f>
        <v>72.8268238387425</v>
      </c>
      <c r="E399" s="48" t="n">
        <f aca="false">'3 Fator demográfico'!K399</f>
        <v>29.5930673801153</v>
      </c>
      <c r="F399" s="49" t="n">
        <f aca="false">'4 Fator socioeconômico'!K399</f>
        <v>42.3311780973553</v>
      </c>
      <c r="G399" s="50" t="n">
        <f aca="false">(2*D399+E399+2*F399)/500</f>
        <v>0.519818142504622</v>
      </c>
      <c r="H399" s="25" t="n">
        <f aca="false">RANK(G399,G$6:G$404,0)</f>
        <v>128</v>
      </c>
      <c r="I399" s="25" t="n">
        <f aca="false">COUNTIFS(C$6:C$404,C399,G$6:G$404,"&gt;"&amp;G399)+1</f>
        <v>79</v>
      </c>
      <c r="J399" s="25" t="n">
        <f aca="false">COUNTIF(C$6:C$404,C399)</f>
        <v>205</v>
      </c>
    </row>
    <row r="400" customFormat="false" ht="15" hidden="false" customHeight="false" outlineLevel="0" collapsed="false">
      <c r="A400" s="25" t="n">
        <v>4128609</v>
      </c>
      <c r="B400" s="26" t="s">
        <v>466</v>
      </c>
      <c r="C400" s="26" t="s">
        <v>65</v>
      </c>
      <c r="D400" s="47" t="n">
        <f aca="false">'2 Fator educacional'!K400</f>
        <v>51.4878023547482</v>
      </c>
      <c r="E400" s="48" t="n">
        <f aca="false">'3 Fator demográfico'!K400</f>
        <v>46.0640031368754</v>
      </c>
      <c r="F400" s="49" t="n">
        <f aca="false">'4 Fator socioeconômico'!K400</f>
        <v>30.2737301996767</v>
      </c>
      <c r="G400" s="50" t="n">
        <f aca="false">(2*D400+E400+2*F400)/500</f>
        <v>0.41917413649145</v>
      </c>
      <c r="H400" s="25" t="n">
        <f aca="false">RANK(G400,G$6:G$404,0)</f>
        <v>285</v>
      </c>
      <c r="I400" s="25" t="n">
        <f aca="false">COUNTIFS(C$6:C$404,C400,G$6:G$404,"&gt;"&amp;G400)+1</f>
        <v>160</v>
      </c>
      <c r="J400" s="25" t="n">
        <f aca="false">COUNTIF(C$6:C$404,C400)</f>
        <v>205</v>
      </c>
    </row>
    <row r="401" customFormat="false" ht="15" hidden="false" customHeight="false" outlineLevel="0" collapsed="false">
      <c r="A401" s="25" t="n">
        <v>4128658</v>
      </c>
      <c r="B401" s="26" t="s">
        <v>467</v>
      </c>
      <c r="C401" s="26" t="s">
        <v>71</v>
      </c>
      <c r="D401" s="47" t="n">
        <f aca="false">'2 Fator educacional'!K401</f>
        <v>64.5074932806038</v>
      </c>
      <c r="E401" s="48" t="n">
        <f aca="false">'3 Fator demográfico'!K401</f>
        <v>64.4450727410898</v>
      </c>
      <c r="F401" s="49" t="n">
        <f aca="false">'4 Fator socioeconômico'!K401</f>
        <v>40.1631893709215</v>
      </c>
      <c r="G401" s="50" t="n">
        <f aca="false">(2*D401+E401+2*F401)/500</f>
        <v>0.547572876088281</v>
      </c>
      <c r="H401" s="25" t="n">
        <f aca="false">RANK(G401,G$6:G$404,0)</f>
        <v>94</v>
      </c>
      <c r="I401" s="25" t="n">
        <f aca="false">COUNTIFS(C$6:C$404,C401,G$6:G$404,"&gt;"&amp;G401)+1</f>
        <v>24</v>
      </c>
      <c r="J401" s="25" t="n">
        <f aca="false">COUNTIF(C$6:C$404,C401)</f>
        <v>102</v>
      </c>
    </row>
    <row r="402" customFormat="false" ht="15" hidden="false" customHeight="false" outlineLevel="0" collapsed="false">
      <c r="A402" s="25" t="n">
        <v>4128708</v>
      </c>
      <c r="B402" s="26" t="s">
        <v>468</v>
      </c>
      <c r="C402" s="26" t="s">
        <v>65</v>
      </c>
      <c r="D402" s="47" t="n">
        <f aca="false">'2 Fator educacional'!K402</f>
        <v>77.3327400481407</v>
      </c>
      <c r="E402" s="48" t="n">
        <f aca="false">'3 Fator demográfico'!K402</f>
        <v>46.7478038882154</v>
      </c>
      <c r="F402" s="49" t="n">
        <f aca="false">'4 Fator socioeconômico'!K402</f>
        <v>29.3920562540167</v>
      </c>
      <c r="G402" s="50" t="n">
        <f aca="false">(2*D402+E402+2*F402)/500</f>
        <v>0.52039479298506</v>
      </c>
      <c r="H402" s="25" t="n">
        <f aca="false">RANK(G402,G$6:G$404,0)</f>
        <v>127</v>
      </c>
      <c r="I402" s="25" t="n">
        <f aca="false">COUNTIFS(C$6:C$404,C402,G$6:G$404,"&gt;"&amp;G402)+1</f>
        <v>78</v>
      </c>
      <c r="J402" s="25" t="n">
        <f aca="false">COUNTIF(C$6:C$404,C402)</f>
        <v>205</v>
      </c>
    </row>
    <row r="403" customFormat="false" ht="15" hidden="false" customHeight="false" outlineLevel="0" collapsed="false">
      <c r="A403" s="25" t="n">
        <v>4128500</v>
      </c>
      <c r="B403" s="26" t="s">
        <v>469</v>
      </c>
      <c r="C403" s="26" t="s">
        <v>65</v>
      </c>
      <c r="D403" s="47" t="n">
        <f aca="false">'2 Fator educacional'!K403</f>
        <v>51.7951507312518</v>
      </c>
      <c r="E403" s="48" t="n">
        <f aca="false">'3 Fator demográfico'!K403</f>
        <v>49.0916270161813</v>
      </c>
      <c r="F403" s="49" t="n">
        <f aca="false">'4 Fator socioeconômico'!K403</f>
        <v>42.3230987521699</v>
      </c>
      <c r="G403" s="50" t="n">
        <f aca="false">(2*D403+E403+2*F403)/500</f>
        <v>0.47465625196605</v>
      </c>
      <c r="H403" s="25" t="n">
        <f aca="false">RANK(G403,G$6:G$404,0)</f>
        <v>205</v>
      </c>
      <c r="I403" s="25" t="n">
        <f aca="false">COUNTIFS(C$6:C$404,C403,G$6:G$404,"&gt;"&amp;G403)+1</f>
        <v>121</v>
      </c>
      <c r="J403" s="25" t="n">
        <f aca="false">COUNTIF(C$6:C$404,C403)</f>
        <v>205</v>
      </c>
    </row>
    <row r="404" customFormat="false" ht="15" hidden="false" customHeight="false" outlineLevel="0" collapsed="false">
      <c r="A404" s="25" t="n">
        <v>4128807</v>
      </c>
      <c r="B404" s="26" t="s">
        <v>470</v>
      </c>
      <c r="C404" s="26" t="s">
        <v>65</v>
      </c>
      <c r="D404" s="47" t="n">
        <f aca="false">'2 Fator educacional'!K404</f>
        <v>54.2748862809159</v>
      </c>
      <c r="E404" s="48" t="n">
        <f aca="false">'3 Fator demográfico'!K404</f>
        <v>30.9470949367577</v>
      </c>
      <c r="F404" s="49" t="n">
        <f aca="false">'4 Fator socioeconômico'!K404</f>
        <v>51.1978722478473</v>
      </c>
      <c r="G404" s="50" t="n">
        <f aca="false">(2*D404+E404+2*F404)/500</f>
        <v>0.483785223988568</v>
      </c>
      <c r="H404" s="25" t="n">
        <f aca="false">RANK(G404,G$6:G$404,0)</f>
        <v>187</v>
      </c>
      <c r="I404" s="25" t="n">
        <f aca="false">COUNTIFS(C$6:C$404,C404,G$6:G$404,"&gt;"&amp;G404)+1</f>
        <v>111</v>
      </c>
      <c r="J404" s="25" t="n">
        <f aca="false">COUNTIF(C$6:C$404,C404)</f>
        <v>205</v>
      </c>
    </row>
    <row r="406" customFormat="false" ht="15" hidden="false" customHeight="false" outlineLevel="0" collapsed="false">
      <c r="A406" s="32" t="s">
        <v>513</v>
      </c>
    </row>
  </sheetData>
  <mergeCells count="2">
    <mergeCell ref="A4:C4"/>
    <mergeCell ref="G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9" t="s">
        <v>514</v>
      </c>
    </row>
    <row r="2" customFormat="false" ht="15" hidden="false" customHeight="false" outlineLevel="0" collapsed="false">
      <c r="A2" s="2" t="s">
        <v>515</v>
      </c>
    </row>
    <row r="4" customFormat="false" ht="15" hidden="false" customHeight="false" outlineLevel="0" collapsed="false">
      <c r="A4" s="20" t="s">
        <v>46</v>
      </c>
      <c r="B4" s="20"/>
      <c r="C4" s="20"/>
      <c r="D4" s="20"/>
      <c r="E4" s="45" t="s">
        <v>516</v>
      </c>
      <c r="F4" s="45"/>
      <c r="G4" s="45"/>
      <c r="H4" s="51" t="s">
        <v>517</v>
      </c>
      <c r="I4" s="45" t="s">
        <v>518</v>
      </c>
      <c r="J4" s="45"/>
    </row>
    <row r="5" customFormat="false" ht="43.5" hidden="false" customHeight="true" outlineLevel="0" collapsed="false">
      <c r="A5" s="24" t="s">
        <v>47</v>
      </c>
      <c r="B5" s="24" t="s">
        <v>46</v>
      </c>
      <c r="C5" s="24" t="s">
        <v>48</v>
      </c>
      <c r="D5" s="24" t="s">
        <v>519</v>
      </c>
      <c r="E5" s="24" t="s">
        <v>520</v>
      </c>
      <c r="F5" s="24" t="s">
        <v>521</v>
      </c>
      <c r="G5" s="24" t="s">
        <v>522</v>
      </c>
      <c r="H5" s="24" t="s">
        <v>523</v>
      </c>
      <c r="I5" s="24" t="s">
        <v>524</v>
      </c>
      <c r="J5" s="24" t="s">
        <v>525</v>
      </c>
    </row>
    <row r="6" customFormat="false" ht="15" hidden="false" customHeight="false" outlineLevel="0" collapsed="false">
      <c r="A6" s="25" t="n">
        <v>4100103</v>
      </c>
      <c r="B6" s="26" t="s">
        <v>64</v>
      </c>
      <c r="C6" s="26" t="s">
        <v>65</v>
      </c>
      <c r="D6" s="31" t="n">
        <f aca="false">'5 PCM'!G6</f>
        <v>0.462446907938596</v>
      </c>
      <c r="E6" s="25" t="n">
        <v>0</v>
      </c>
      <c r="F6" s="25" t="n">
        <v>0</v>
      </c>
      <c r="G6" s="25" t="n">
        <f aca="false">E6+F6</f>
        <v>0</v>
      </c>
      <c r="H6" s="25" t="n">
        <v>0</v>
      </c>
      <c r="I6" s="25" t="n">
        <v>0</v>
      </c>
      <c r="J6" s="52" t="str">
        <f aca="false">IF(I6&gt;0,"Sim","Não")</f>
        <v>Não</v>
      </c>
    </row>
    <row r="7" customFormat="false" ht="15" hidden="false" customHeight="false" outlineLevel="0" collapsed="false">
      <c r="A7" s="25" t="n">
        <v>4100202</v>
      </c>
      <c r="B7" s="26" t="s">
        <v>66</v>
      </c>
      <c r="C7" s="26" t="s">
        <v>65</v>
      </c>
      <c r="D7" s="31" t="n">
        <f aca="false">'5 PCM'!G7</f>
        <v>0.528255632403206</v>
      </c>
      <c r="E7" s="25" t="n">
        <v>0</v>
      </c>
      <c r="F7" s="25" t="n">
        <v>1</v>
      </c>
      <c r="G7" s="25" t="n">
        <f aca="false">E7+F7</f>
        <v>1</v>
      </c>
      <c r="H7" s="25" t="n">
        <v>1</v>
      </c>
      <c r="I7" s="25" t="n">
        <v>1</v>
      </c>
      <c r="J7" s="52" t="str">
        <f aca="false">IF(I7&gt;0,"Sim","Não")</f>
        <v>Sim</v>
      </c>
    </row>
    <row r="8" customFormat="false" ht="15" hidden="false" customHeight="false" outlineLevel="0" collapsed="false">
      <c r="A8" s="25" t="n">
        <v>4100301</v>
      </c>
      <c r="B8" s="26" t="s">
        <v>67</v>
      </c>
      <c r="C8" s="26" t="s">
        <v>65</v>
      </c>
      <c r="D8" s="31" t="n">
        <f aca="false">'5 PCM'!G8</f>
        <v>0.619713649596147</v>
      </c>
      <c r="E8" s="25" t="n">
        <v>1</v>
      </c>
      <c r="F8" s="25" t="n">
        <v>0</v>
      </c>
      <c r="G8" s="25" t="n">
        <f aca="false">E8+F8</f>
        <v>1</v>
      </c>
      <c r="H8" s="25" t="n">
        <v>1</v>
      </c>
      <c r="I8" s="25" t="n">
        <v>1</v>
      </c>
      <c r="J8" s="52" t="str">
        <f aca="false">IF(I8&gt;0,"Sim","Não")</f>
        <v>Sim</v>
      </c>
    </row>
    <row r="9" customFormat="false" ht="15" hidden="false" customHeight="false" outlineLevel="0" collapsed="false">
      <c r="A9" s="25" t="n">
        <v>4100400</v>
      </c>
      <c r="B9" s="26" t="s">
        <v>68</v>
      </c>
      <c r="C9" s="26" t="s">
        <v>69</v>
      </c>
      <c r="D9" s="31" t="n">
        <f aca="false">'5 PCM'!G9</f>
        <v>0.665993331149102</v>
      </c>
      <c r="E9" s="25" t="n">
        <v>0</v>
      </c>
      <c r="F9" s="25" t="n">
        <v>3</v>
      </c>
      <c r="G9" s="25" t="n">
        <f aca="false">E9+F9</f>
        <v>3</v>
      </c>
      <c r="H9" s="25" t="n">
        <v>3</v>
      </c>
      <c r="I9" s="25" t="n">
        <v>3</v>
      </c>
      <c r="J9" s="52" t="str">
        <f aca="false">IF(I9&gt;0,"Sim","Não")</f>
        <v>Sim</v>
      </c>
    </row>
    <row r="10" customFormat="false" ht="15" hidden="false" customHeight="false" outlineLevel="0" collapsed="false">
      <c r="A10" s="25" t="n">
        <v>4100459</v>
      </c>
      <c r="B10" s="26" t="s">
        <v>70</v>
      </c>
      <c r="C10" s="26" t="s">
        <v>71</v>
      </c>
      <c r="D10" s="31" t="n">
        <f aca="false">'5 PCM'!G10</f>
        <v>0.556306538142172</v>
      </c>
      <c r="E10" s="25" t="n">
        <v>0</v>
      </c>
      <c r="F10" s="25" t="n">
        <v>1</v>
      </c>
      <c r="G10" s="25" t="n">
        <f aca="false">E10+F10</f>
        <v>1</v>
      </c>
      <c r="H10" s="25" t="n">
        <v>1</v>
      </c>
      <c r="I10" s="25" t="n">
        <v>1</v>
      </c>
      <c r="J10" s="52" t="str">
        <f aca="false">IF(I10&gt;0,"Sim","Não")</f>
        <v>Sim</v>
      </c>
    </row>
    <row r="11" customFormat="false" ht="15" hidden="false" customHeight="false" outlineLevel="0" collapsed="false">
      <c r="A11" s="25" t="n">
        <v>4128625</v>
      </c>
      <c r="B11" s="26" t="s">
        <v>72</v>
      </c>
      <c r="C11" s="26" t="s">
        <v>71</v>
      </c>
      <c r="D11" s="31" t="n">
        <f aca="false">'5 PCM'!G11</f>
        <v>0.489566882304809</v>
      </c>
      <c r="E11" s="25" t="n">
        <v>0</v>
      </c>
      <c r="F11" s="25" t="n">
        <v>0</v>
      </c>
      <c r="G11" s="25" t="n">
        <f aca="false">E11+F11</f>
        <v>0</v>
      </c>
      <c r="H11" s="25" t="n">
        <v>0</v>
      </c>
      <c r="I11" s="25" t="n">
        <v>0</v>
      </c>
      <c r="J11" s="52" t="str">
        <f aca="false">IF(I11&gt;0,"Sim","Não")</f>
        <v>Não</v>
      </c>
    </row>
    <row r="12" customFormat="false" ht="15" hidden="false" customHeight="false" outlineLevel="0" collapsed="false">
      <c r="A12" s="25" t="n">
        <v>4100608</v>
      </c>
      <c r="B12" s="26" t="s">
        <v>73</v>
      </c>
      <c r="C12" s="26" t="s">
        <v>65</v>
      </c>
      <c r="D12" s="31" t="n">
        <f aca="false">'5 PCM'!G12</f>
        <v>0.570730927079525</v>
      </c>
      <c r="E12" s="25" t="n">
        <v>0</v>
      </c>
      <c r="F12" s="25" t="n">
        <v>1</v>
      </c>
      <c r="G12" s="25" t="n">
        <f aca="false">E12+F12</f>
        <v>1</v>
      </c>
      <c r="H12" s="25" t="n">
        <v>1</v>
      </c>
      <c r="I12" s="25" t="n">
        <v>1</v>
      </c>
      <c r="J12" s="52" t="str">
        <f aca="false">IF(I12&gt;0,"Sim","Não")</f>
        <v>Sim</v>
      </c>
    </row>
    <row r="13" customFormat="false" ht="15" hidden="false" customHeight="false" outlineLevel="0" collapsed="false">
      <c r="A13" s="25" t="n">
        <v>4100707</v>
      </c>
      <c r="B13" s="26" t="s">
        <v>74</v>
      </c>
      <c r="C13" s="26" t="s">
        <v>65</v>
      </c>
      <c r="D13" s="31" t="n">
        <f aca="false">'5 PCM'!G13</f>
        <v>0.49763759235862</v>
      </c>
      <c r="E13" s="25" t="n">
        <v>0</v>
      </c>
      <c r="F13" s="25" t="n">
        <v>1</v>
      </c>
      <c r="G13" s="25" t="n">
        <f aca="false">E13+F13</f>
        <v>1</v>
      </c>
      <c r="H13" s="25" t="n">
        <v>1</v>
      </c>
      <c r="I13" s="25" t="n">
        <v>1</v>
      </c>
      <c r="J13" s="52" t="str">
        <f aca="false">IF(I13&gt;0,"Sim","Não")</f>
        <v>Sim</v>
      </c>
    </row>
    <row r="14" customFormat="false" ht="15" hidden="false" customHeight="false" outlineLevel="0" collapsed="false">
      <c r="A14" s="25" t="n">
        <v>4100509</v>
      </c>
      <c r="B14" s="26" t="s">
        <v>75</v>
      </c>
      <c r="C14" s="26" t="s">
        <v>65</v>
      </c>
      <c r="D14" s="31" t="n">
        <f aca="false">'5 PCM'!G14</f>
        <v>0.424118871301027</v>
      </c>
      <c r="E14" s="25" t="n">
        <v>0</v>
      </c>
      <c r="F14" s="25" t="n">
        <v>0</v>
      </c>
      <c r="G14" s="25" t="n">
        <f aca="false">E14+F14</f>
        <v>0</v>
      </c>
      <c r="H14" s="25" t="n">
        <v>0</v>
      </c>
      <c r="I14" s="25" t="n">
        <v>0</v>
      </c>
      <c r="J14" s="52" t="str">
        <f aca="false">IF(I14&gt;0,"Sim","Não")</f>
        <v>Não</v>
      </c>
    </row>
    <row r="15" customFormat="false" ht="15" hidden="false" customHeight="false" outlineLevel="0" collapsed="false">
      <c r="A15" s="25" t="n">
        <v>4100806</v>
      </c>
      <c r="B15" s="26" t="s">
        <v>76</v>
      </c>
      <c r="C15" s="26" t="s">
        <v>65</v>
      </c>
      <c r="D15" s="31" t="n">
        <f aca="false">'5 PCM'!G15</f>
        <v>0.426967610830157</v>
      </c>
      <c r="E15" s="25" t="n">
        <v>0</v>
      </c>
      <c r="F15" s="25" t="n">
        <v>0</v>
      </c>
      <c r="G15" s="25" t="n">
        <f aca="false">E15+F15</f>
        <v>0</v>
      </c>
      <c r="H15" s="25" t="n">
        <v>0</v>
      </c>
      <c r="I15" s="25" t="n">
        <v>0</v>
      </c>
      <c r="J15" s="52" t="str">
        <f aca="false">IF(I15&gt;0,"Sim","Não")</f>
        <v>Não</v>
      </c>
    </row>
    <row r="16" customFormat="false" ht="15" hidden="false" customHeight="false" outlineLevel="0" collapsed="false">
      <c r="A16" s="25" t="n">
        <v>4100905</v>
      </c>
      <c r="B16" s="26" t="s">
        <v>77</v>
      </c>
      <c r="C16" s="26" t="s">
        <v>71</v>
      </c>
      <c r="D16" s="31" t="n">
        <f aca="false">'5 PCM'!G16</f>
        <v>0.571833529894636</v>
      </c>
      <c r="E16" s="25" t="n">
        <v>0</v>
      </c>
      <c r="F16" s="25" t="n">
        <v>1</v>
      </c>
      <c r="G16" s="25" t="n">
        <f aca="false">E16+F16</f>
        <v>1</v>
      </c>
      <c r="H16" s="25" t="n">
        <v>1</v>
      </c>
      <c r="I16" s="25" t="n">
        <v>1</v>
      </c>
      <c r="J16" s="52" t="str">
        <f aca="false">IF(I16&gt;0,"Sim","Não")</f>
        <v>Sim</v>
      </c>
    </row>
    <row r="17" customFormat="false" ht="15" hidden="false" customHeight="false" outlineLevel="0" collapsed="false">
      <c r="A17" s="25" t="n">
        <v>4101002</v>
      </c>
      <c r="B17" s="26" t="s">
        <v>78</v>
      </c>
      <c r="C17" s="26" t="s">
        <v>65</v>
      </c>
      <c r="D17" s="31" t="n">
        <f aca="false">'5 PCM'!G17</f>
        <v>0.431857802460111</v>
      </c>
      <c r="E17" s="25" t="n">
        <v>0</v>
      </c>
      <c r="F17" s="25" t="n">
        <v>0</v>
      </c>
      <c r="G17" s="25" t="n">
        <f aca="false">E17+F17</f>
        <v>0</v>
      </c>
      <c r="H17" s="25" t="n">
        <v>0</v>
      </c>
      <c r="I17" s="25" t="n">
        <v>0</v>
      </c>
      <c r="J17" s="52" t="str">
        <f aca="false">IF(I17&gt;0,"Sim","Não")</f>
        <v>Não</v>
      </c>
    </row>
    <row r="18" customFormat="false" ht="15" hidden="false" customHeight="false" outlineLevel="0" collapsed="false">
      <c r="A18" s="25" t="n">
        <v>4101051</v>
      </c>
      <c r="B18" s="26" t="s">
        <v>79</v>
      </c>
      <c r="C18" s="26" t="s">
        <v>71</v>
      </c>
      <c r="D18" s="31" t="n">
        <f aca="false">'5 PCM'!G18</f>
        <v>0.408672434563367</v>
      </c>
      <c r="E18" s="25" t="n">
        <v>0</v>
      </c>
      <c r="F18" s="25" t="n">
        <v>0</v>
      </c>
      <c r="G18" s="25" t="n">
        <f aca="false">E18+F18</f>
        <v>0</v>
      </c>
      <c r="H18" s="25" t="n">
        <v>0</v>
      </c>
      <c r="I18" s="25" t="n">
        <v>0</v>
      </c>
      <c r="J18" s="52" t="str">
        <f aca="false">IF(I18&gt;0,"Sim","Não")</f>
        <v>Não</v>
      </c>
    </row>
    <row r="19" customFormat="false" ht="15" hidden="false" customHeight="false" outlineLevel="0" collapsed="false">
      <c r="A19" s="25" t="n">
        <v>4101101</v>
      </c>
      <c r="B19" s="26" t="s">
        <v>80</v>
      </c>
      <c r="C19" s="26" t="s">
        <v>65</v>
      </c>
      <c r="D19" s="31" t="n">
        <f aca="false">'5 PCM'!G19</f>
        <v>0.446391760000718</v>
      </c>
      <c r="E19" s="25" t="n">
        <v>0</v>
      </c>
      <c r="F19" s="25" t="n">
        <v>0</v>
      </c>
      <c r="G19" s="25" t="n">
        <f aca="false">E19+F19</f>
        <v>0</v>
      </c>
      <c r="H19" s="25" t="n">
        <v>0</v>
      </c>
      <c r="I19" s="25" t="n">
        <v>0</v>
      </c>
      <c r="J19" s="52" t="str">
        <f aca="false">IF(I19&gt;0,"Sim","Não")</f>
        <v>Não</v>
      </c>
    </row>
    <row r="20" customFormat="false" ht="15" hidden="false" customHeight="false" outlineLevel="0" collapsed="false">
      <c r="A20" s="25" t="n">
        <v>4101200</v>
      </c>
      <c r="B20" s="26" t="s">
        <v>81</v>
      </c>
      <c r="C20" s="26" t="s">
        <v>65</v>
      </c>
      <c r="D20" s="31" t="n">
        <f aca="false">'5 PCM'!G20</f>
        <v>0.600211905183845</v>
      </c>
      <c r="E20" s="25" t="n">
        <v>0</v>
      </c>
      <c r="F20" s="25" t="n">
        <v>1</v>
      </c>
      <c r="G20" s="25" t="n">
        <f aca="false">E20+F20</f>
        <v>1</v>
      </c>
      <c r="H20" s="25" t="n">
        <v>1</v>
      </c>
      <c r="I20" s="25" t="n">
        <v>1</v>
      </c>
      <c r="J20" s="52" t="str">
        <f aca="false">IF(I20&gt;0,"Sim","Não")</f>
        <v>Sim</v>
      </c>
    </row>
    <row r="21" customFormat="false" ht="15" hidden="false" customHeight="false" outlineLevel="0" collapsed="false">
      <c r="A21" s="25" t="n">
        <v>4101309</v>
      </c>
      <c r="B21" s="26" t="s">
        <v>82</v>
      </c>
      <c r="C21" s="26" t="s">
        <v>65</v>
      </c>
      <c r="D21" s="31" t="n">
        <f aca="false">'5 PCM'!G21</f>
        <v>0.696925882510976</v>
      </c>
      <c r="E21" s="25" t="n">
        <v>1</v>
      </c>
      <c r="F21" s="25" t="n">
        <v>0</v>
      </c>
      <c r="G21" s="25" t="n">
        <f aca="false">E21+F21</f>
        <v>1</v>
      </c>
      <c r="H21" s="25" t="n">
        <v>1</v>
      </c>
      <c r="I21" s="25" t="n">
        <v>1</v>
      </c>
      <c r="J21" s="52" t="str">
        <f aca="false">IF(I21&gt;0,"Sim","Não")</f>
        <v>Sim</v>
      </c>
    </row>
    <row r="22" customFormat="false" ht="15" hidden="false" customHeight="false" outlineLevel="0" collapsed="false">
      <c r="A22" s="25" t="n">
        <v>4101408</v>
      </c>
      <c r="B22" s="26" t="s">
        <v>83</v>
      </c>
      <c r="C22" s="26" t="s">
        <v>69</v>
      </c>
      <c r="D22" s="31" t="n">
        <f aca="false">'5 PCM'!G22</f>
        <v>0.402830981312025</v>
      </c>
      <c r="E22" s="25" t="n">
        <v>0</v>
      </c>
      <c r="F22" s="25" t="n">
        <v>2</v>
      </c>
      <c r="G22" s="25" t="n">
        <f aca="false">E22+F22</f>
        <v>2</v>
      </c>
      <c r="H22" s="25" t="n">
        <v>2</v>
      </c>
      <c r="I22" s="25" t="n">
        <v>2</v>
      </c>
      <c r="J22" s="52" t="str">
        <f aca="false">IF(I22&gt;0,"Sim","Não")</f>
        <v>Sim</v>
      </c>
    </row>
    <row r="23" customFormat="false" ht="15" hidden="false" customHeight="false" outlineLevel="0" collapsed="false">
      <c r="A23" s="25" t="n">
        <v>4101507</v>
      </c>
      <c r="B23" s="26" t="s">
        <v>84</v>
      </c>
      <c r="C23" s="26" t="s">
        <v>69</v>
      </c>
      <c r="D23" s="31" t="n">
        <f aca="false">'5 PCM'!G23</f>
        <v>0.393629068190162</v>
      </c>
      <c r="E23" s="25" t="n">
        <v>0</v>
      </c>
      <c r="F23" s="25" t="n">
        <v>2</v>
      </c>
      <c r="G23" s="25" t="n">
        <f aca="false">E23+F23</f>
        <v>2</v>
      </c>
      <c r="H23" s="25" t="n">
        <v>2</v>
      </c>
      <c r="I23" s="25" t="n">
        <v>2</v>
      </c>
      <c r="J23" s="52" t="str">
        <f aca="false">IF(I23&gt;0,"Sim","Não")</f>
        <v>Sim</v>
      </c>
    </row>
    <row r="24" customFormat="false" ht="15" hidden="false" customHeight="false" outlineLevel="0" collapsed="false">
      <c r="A24" s="25" t="n">
        <v>4101606</v>
      </c>
      <c r="B24" s="26" t="s">
        <v>85</v>
      </c>
      <c r="C24" s="26" t="s">
        <v>86</v>
      </c>
      <c r="D24" s="31" t="n">
        <f aca="false">'5 PCM'!G24</f>
        <v>0.515208800266536</v>
      </c>
      <c r="E24" s="25" t="n">
        <v>0</v>
      </c>
      <c r="F24" s="25" t="n">
        <v>1</v>
      </c>
      <c r="G24" s="25" t="n">
        <f aca="false">E24+F24</f>
        <v>1</v>
      </c>
      <c r="H24" s="25" t="n">
        <v>1</v>
      </c>
      <c r="I24" s="25" t="n">
        <v>1</v>
      </c>
      <c r="J24" s="52" t="str">
        <f aca="false">IF(I24&gt;0,"Sim","Não")</f>
        <v>Sim</v>
      </c>
    </row>
    <row r="25" customFormat="false" ht="15" hidden="false" customHeight="false" outlineLevel="0" collapsed="false">
      <c r="A25" s="25" t="n">
        <v>4101655</v>
      </c>
      <c r="B25" s="26" t="s">
        <v>87</v>
      </c>
      <c r="C25" s="26" t="s">
        <v>71</v>
      </c>
      <c r="D25" s="31" t="n">
        <f aca="false">'5 PCM'!G25</f>
        <v>0.570140329687291</v>
      </c>
      <c r="E25" s="25" t="n">
        <v>0</v>
      </c>
      <c r="F25" s="25" t="n">
        <v>1</v>
      </c>
      <c r="G25" s="25" t="n">
        <f aca="false">E25+F25</f>
        <v>1</v>
      </c>
      <c r="H25" s="25" t="n">
        <v>1</v>
      </c>
      <c r="I25" s="25" t="n">
        <v>1</v>
      </c>
      <c r="J25" s="52" t="str">
        <f aca="false">IF(I25&gt;0,"Sim","Não")</f>
        <v>Sim</v>
      </c>
    </row>
    <row r="26" customFormat="false" ht="15" hidden="false" customHeight="false" outlineLevel="0" collapsed="false">
      <c r="A26" s="25" t="n">
        <v>4101705</v>
      </c>
      <c r="B26" s="26" t="s">
        <v>88</v>
      </c>
      <c r="C26" s="26" t="s">
        <v>65</v>
      </c>
      <c r="D26" s="31" t="n">
        <f aca="false">'5 PCM'!G26</f>
        <v>0.497922331363108</v>
      </c>
      <c r="E26" s="25" t="n">
        <v>0</v>
      </c>
      <c r="F26" s="25" t="n">
        <v>1</v>
      </c>
      <c r="G26" s="25" t="n">
        <f aca="false">E26+F26</f>
        <v>1</v>
      </c>
      <c r="H26" s="25" t="n">
        <v>1</v>
      </c>
      <c r="I26" s="25" t="n">
        <v>1</v>
      </c>
      <c r="J26" s="52" t="str">
        <f aca="false">IF(I26&gt;0,"Sim","Não")</f>
        <v>Sim</v>
      </c>
    </row>
    <row r="27" customFormat="false" ht="15" hidden="false" customHeight="false" outlineLevel="0" collapsed="false">
      <c r="A27" s="25" t="n">
        <v>4101804</v>
      </c>
      <c r="B27" s="26" t="s">
        <v>89</v>
      </c>
      <c r="C27" s="26" t="s">
        <v>69</v>
      </c>
      <c r="D27" s="31" t="n">
        <f aca="false">'5 PCM'!G27</f>
        <v>0.35927732391695</v>
      </c>
      <c r="E27" s="25" t="n">
        <v>0</v>
      </c>
      <c r="F27" s="25" t="n">
        <v>3</v>
      </c>
      <c r="G27" s="25" t="n">
        <f aca="false">E27+F27</f>
        <v>3</v>
      </c>
      <c r="H27" s="25" t="n">
        <v>2</v>
      </c>
      <c r="I27" s="25" t="n">
        <v>2</v>
      </c>
      <c r="J27" s="52" t="str">
        <f aca="false">IF(I27&gt;0,"Sim","Não")</f>
        <v>Sim</v>
      </c>
    </row>
    <row r="28" customFormat="false" ht="15" hidden="false" customHeight="false" outlineLevel="0" collapsed="false">
      <c r="A28" s="25" t="n">
        <v>4101853</v>
      </c>
      <c r="B28" s="26" t="s">
        <v>90</v>
      </c>
      <c r="C28" s="26" t="s">
        <v>71</v>
      </c>
      <c r="D28" s="31" t="n">
        <f aca="false">'5 PCM'!G28</f>
        <v>0.415498520119948</v>
      </c>
      <c r="E28" s="25" t="n">
        <v>0</v>
      </c>
      <c r="F28" s="25" t="n">
        <v>0</v>
      </c>
      <c r="G28" s="25" t="n">
        <f aca="false">E28+F28</f>
        <v>0</v>
      </c>
      <c r="H28" s="25" t="n">
        <v>0</v>
      </c>
      <c r="I28" s="25" t="n">
        <v>0</v>
      </c>
      <c r="J28" s="52" t="str">
        <f aca="false">IF(I28&gt;0,"Sim","Não")</f>
        <v>Não</v>
      </c>
    </row>
    <row r="29" customFormat="false" ht="15" hidden="false" customHeight="false" outlineLevel="0" collapsed="false">
      <c r="A29" s="25" t="n">
        <v>4101903</v>
      </c>
      <c r="B29" s="26" t="s">
        <v>91</v>
      </c>
      <c r="C29" s="26" t="s">
        <v>65</v>
      </c>
      <c r="D29" s="31" t="n">
        <f aca="false">'5 PCM'!G29</f>
        <v>0.428481631119337</v>
      </c>
      <c r="E29" s="25" t="n">
        <v>0</v>
      </c>
      <c r="F29" s="25" t="n">
        <v>0</v>
      </c>
      <c r="G29" s="25" t="n">
        <f aca="false">E29+F29</f>
        <v>0</v>
      </c>
      <c r="H29" s="25" t="n">
        <v>0</v>
      </c>
      <c r="I29" s="25" t="n">
        <v>0</v>
      </c>
      <c r="J29" s="52" t="str">
        <f aca="false">IF(I29&gt;0,"Sim","Não")</f>
        <v>Não</v>
      </c>
    </row>
    <row r="30" customFormat="false" ht="15" hidden="false" customHeight="false" outlineLevel="0" collapsed="false">
      <c r="A30" s="25" t="n">
        <v>4102000</v>
      </c>
      <c r="B30" s="26" t="s">
        <v>92</v>
      </c>
      <c r="C30" s="26" t="s">
        <v>86</v>
      </c>
      <c r="D30" s="31" t="n">
        <f aca="false">'5 PCM'!G30</f>
        <v>0.382239001580175</v>
      </c>
      <c r="E30" s="25" t="n">
        <v>0</v>
      </c>
      <c r="F30" s="25" t="n">
        <v>0</v>
      </c>
      <c r="G30" s="25" t="n">
        <f aca="false">E30+F30</f>
        <v>0</v>
      </c>
      <c r="H30" s="25" t="n">
        <v>1</v>
      </c>
      <c r="I30" s="25" t="n">
        <v>1</v>
      </c>
      <c r="J30" s="52" t="str">
        <f aca="false">IF(I30&gt;0,"Sim","Não")</f>
        <v>Sim</v>
      </c>
    </row>
    <row r="31" customFormat="false" ht="15" hidden="false" customHeight="false" outlineLevel="0" collapsed="false">
      <c r="A31" s="25" t="n">
        <v>4102109</v>
      </c>
      <c r="B31" s="26" t="s">
        <v>93</v>
      </c>
      <c r="C31" s="26" t="s">
        <v>86</v>
      </c>
      <c r="D31" s="31" t="n">
        <f aca="false">'5 PCM'!G31</f>
        <v>0.449034390644164</v>
      </c>
      <c r="E31" s="25" t="n">
        <v>0</v>
      </c>
      <c r="F31" s="25" t="n">
        <v>0</v>
      </c>
      <c r="G31" s="25" t="n">
        <f aca="false">E31+F31</f>
        <v>0</v>
      </c>
      <c r="H31" s="25" t="n">
        <v>0</v>
      </c>
      <c r="I31" s="25" t="n">
        <v>0</v>
      </c>
      <c r="J31" s="52" t="str">
        <f aca="false">IF(I31&gt;0,"Sim","Não")</f>
        <v>Não</v>
      </c>
    </row>
    <row r="32" customFormat="false" ht="15" hidden="false" customHeight="false" outlineLevel="0" collapsed="false">
      <c r="A32" s="25" t="n">
        <v>4102208</v>
      </c>
      <c r="B32" s="26" t="s">
        <v>94</v>
      </c>
      <c r="C32" s="26" t="s">
        <v>71</v>
      </c>
      <c r="D32" s="31" t="n">
        <f aca="false">'5 PCM'!G32</f>
        <v>0.280516157952357</v>
      </c>
      <c r="E32" s="25" t="n">
        <v>0</v>
      </c>
      <c r="F32" s="25" t="n">
        <v>0</v>
      </c>
      <c r="G32" s="25" t="n">
        <f aca="false">E32+F32</f>
        <v>0</v>
      </c>
      <c r="H32" s="25" t="n">
        <v>0</v>
      </c>
      <c r="I32" s="25" t="n">
        <v>0</v>
      </c>
      <c r="J32" s="52" t="str">
        <f aca="false">IF(I32&gt;0,"Sim","Não")</f>
        <v>Não</v>
      </c>
    </row>
    <row r="33" customFormat="false" ht="15" hidden="false" customHeight="false" outlineLevel="0" collapsed="false">
      <c r="A33" s="25" t="n">
        <v>4101150</v>
      </c>
      <c r="B33" s="26" t="s">
        <v>95</v>
      </c>
      <c r="C33" s="26" t="s">
        <v>71</v>
      </c>
      <c r="D33" s="31" t="n">
        <f aca="false">'5 PCM'!G33</f>
        <v>0.383049890710454</v>
      </c>
      <c r="E33" s="25" t="n">
        <v>0</v>
      </c>
      <c r="F33" s="25" t="n">
        <v>0</v>
      </c>
      <c r="G33" s="25" t="n">
        <f aca="false">E33+F33</f>
        <v>0</v>
      </c>
      <c r="H33" s="25" t="n">
        <v>0</v>
      </c>
      <c r="I33" s="25" t="n">
        <v>0</v>
      </c>
      <c r="J33" s="52" t="str">
        <f aca="false">IF(I33&gt;0,"Sim","Não")</f>
        <v>Não</v>
      </c>
    </row>
    <row r="34" customFormat="false" ht="15" hidden="false" customHeight="false" outlineLevel="0" collapsed="false">
      <c r="A34" s="25" t="n">
        <v>4102307</v>
      </c>
      <c r="B34" s="26" t="s">
        <v>96</v>
      </c>
      <c r="C34" s="26" t="s">
        <v>65</v>
      </c>
      <c r="D34" s="31" t="n">
        <f aca="false">'5 PCM'!G34</f>
        <v>0.490777182608224</v>
      </c>
      <c r="E34" s="25" t="n">
        <v>0</v>
      </c>
      <c r="F34" s="25" t="n">
        <v>1</v>
      </c>
      <c r="G34" s="25" t="n">
        <f aca="false">E34+F34</f>
        <v>1</v>
      </c>
      <c r="H34" s="25" t="n">
        <v>1</v>
      </c>
      <c r="I34" s="25" t="n">
        <v>1</v>
      </c>
      <c r="J34" s="52" t="str">
        <f aca="false">IF(I34&gt;0,"Sim","Não")</f>
        <v>Sim</v>
      </c>
    </row>
    <row r="35" customFormat="false" ht="15" hidden="false" customHeight="false" outlineLevel="0" collapsed="false">
      <c r="A35" s="25" t="n">
        <v>4102406</v>
      </c>
      <c r="B35" s="26" t="s">
        <v>97</v>
      </c>
      <c r="C35" s="26" t="s">
        <v>86</v>
      </c>
      <c r="D35" s="31" t="n">
        <f aca="false">'5 PCM'!G35</f>
        <v>0.425360311897685</v>
      </c>
      <c r="E35" s="25" t="n">
        <v>0</v>
      </c>
      <c r="F35" s="25" t="n">
        <v>0</v>
      </c>
      <c r="G35" s="25" t="n">
        <f aca="false">E35+F35</f>
        <v>0</v>
      </c>
      <c r="H35" s="25" t="n">
        <v>0</v>
      </c>
      <c r="I35" s="25" t="n">
        <v>0</v>
      </c>
      <c r="J35" s="52" t="str">
        <f aca="false">IF(I35&gt;0,"Sim","Não")</f>
        <v>Não</v>
      </c>
    </row>
    <row r="36" customFormat="false" ht="15" hidden="false" customHeight="false" outlineLevel="0" collapsed="false">
      <c r="A36" s="25" t="n">
        <v>4102505</v>
      </c>
      <c r="B36" s="26" t="s">
        <v>98</v>
      </c>
      <c r="C36" s="26" t="s">
        <v>65</v>
      </c>
      <c r="D36" s="31" t="n">
        <f aca="false">'5 PCM'!G36</f>
        <v>0.537228155518957</v>
      </c>
      <c r="E36" s="25" t="n">
        <v>0</v>
      </c>
      <c r="F36" s="25" t="n">
        <v>1</v>
      </c>
      <c r="G36" s="25" t="n">
        <f aca="false">E36+F36</f>
        <v>1</v>
      </c>
      <c r="H36" s="25" t="n">
        <v>1</v>
      </c>
      <c r="I36" s="25" t="n">
        <v>1</v>
      </c>
      <c r="J36" s="52" t="str">
        <f aca="false">IF(I36&gt;0,"Sim","Não")</f>
        <v>Sim</v>
      </c>
    </row>
    <row r="37" customFormat="false" ht="15" hidden="false" customHeight="false" outlineLevel="0" collapsed="false">
      <c r="A37" s="25" t="n">
        <v>4102703</v>
      </c>
      <c r="B37" s="26" t="s">
        <v>99</v>
      </c>
      <c r="C37" s="26" t="s">
        <v>71</v>
      </c>
      <c r="D37" s="31" t="n">
        <f aca="false">'5 PCM'!G37</f>
        <v>0.428134523865503</v>
      </c>
      <c r="E37" s="25" t="n">
        <v>0</v>
      </c>
      <c r="F37" s="25" t="n">
        <v>0</v>
      </c>
      <c r="G37" s="25" t="n">
        <f aca="false">E37+F37</f>
        <v>0</v>
      </c>
      <c r="H37" s="25" t="n">
        <v>0</v>
      </c>
      <c r="I37" s="25" t="n">
        <v>0</v>
      </c>
      <c r="J37" s="52" t="str">
        <f aca="false">IF(I37&gt;0,"Sim","Não")</f>
        <v>Não</v>
      </c>
    </row>
    <row r="38" customFormat="false" ht="15" hidden="false" customHeight="false" outlineLevel="0" collapsed="false">
      <c r="A38" s="25" t="n">
        <v>4102604</v>
      </c>
      <c r="B38" s="26" t="s">
        <v>100</v>
      </c>
      <c r="C38" s="26" t="s">
        <v>65</v>
      </c>
      <c r="D38" s="31" t="n">
        <f aca="false">'5 PCM'!G38</f>
        <v>0.480597832988112</v>
      </c>
      <c r="E38" s="25" t="n">
        <v>1</v>
      </c>
      <c r="F38" s="25" t="n">
        <v>0</v>
      </c>
      <c r="G38" s="25" t="n">
        <f aca="false">E38+F38</f>
        <v>1</v>
      </c>
      <c r="H38" s="25" t="n">
        <v>1</v>
      </c>
      <c r="I38" s="25" t="n">
        <v>1</v>
      </c>
      <c r="J38" s="52" t="str">
        <f aca="false">IF(I38&gt;0,"Sim","Não")</f>
        <v>Sim</v>
      </c>
    </row>
    <row r="39" customFormat="false" ht="15" hidden="false" customHeight="false" outlineLevel="0" collapsed="false">
      <c r="A39" s="25" t="n">
        <v>4102752</v>
      </c>
      <c r="B39" s="26" t="s">
        <v>101</v>
      </c>
      <c r="C39" s="26" t="s">
        <v>71</v>
      </c>
      <c r="D39" s="31" t="n">
        <f aca="false">'5 PCM'!G39</f>
        <v>0.565748509437079</v>
      </c>
      <c r="E39" s="25" t="n">
        <v>0</v>
      </c>
      <c r="F39" s="25" t="n">
        <v>1</v>
      </c>
      <c r="G39" s="25" t="n">
        <f aca="false">E39+F39</f>
        <v>1</v>
      </c>
      <c r="H39" s="25" t="n">
        <v>1</v>
      </c>
      <c r="I39" s="25" t="n">
        <v>1</v>
      </c>
      <c r="J39" s="52" t="str">
        <f aca="false">IF(I39&gt;0,"Sim","Não")</f>
        <v>Sim</v>
      </c>
    </row>
    <row r="40" customFormat="false" ht="15" hidden="false" customHeight="false" outlineLevel="0" collapsed="false">
      <c r="A40" s="25" t="n">
        <v>4102802</v>
      </c>
      <c r="B40" s="26" t="s">
        <v>102</v>
      </c>
      <c r="C40" s="26" t="s">
        <v>65</v>
      </c>
      <c r="D40" s="31" t="n">
        <f aca="false">'5 PCM'!G40</f>
        <v>0.552434098935544</v>
      </c>
      <c r="E40" s="25" t="n">
        <v>0</v>
      </c>
      <c r="F40" s="25" t="n">
        <v>1</v>
      </c>
      <c r="G40" s="25" t="n">
        <f aca="false">E40+F40</f>
        <v>1</v>
      </c>
      <c r="H40" s="25" t="n">
        <v>1</v>
      </c>
      <c r="I40" s="25" t="n">
        <v>1</v>
      </c>
      <c r="J40" s="52" t="str">
        <f aca="false">IF(I40&gt;0,"Sim","Não")</f>
        <v>Sim</v>
      </c>
    </row>
    <row r="41" customFormat="false" ht="15" hidden="false" customHeight="false" outlineLevel="0" collapsed="false">
      <c r="A41" s="25" t="n">
        <v>4102901</v>
      </c>
      <c r="B41" s="26" t="s">
        <v>103</v>
      </c>
      <c r="C41" s="26" t="s">
        <v>65</v>
      </c>
      <c r="D41" s="31" t="n">
        <f aca="false">'5 PCM'!G41</f>
        <v>0.592246511376466</v>
      </c>
      <c r="E41" s="25" t="n">
        <v>0</v>
      </c>
      <c r="F41" s="25" t="n">
        <v>1</v>
      </c>
      <c r="G41" s="25" t="n">
        <f aca="false">E41+F41</f>
        <v>1</v>
      </c>
      <c r="H41" s="25" t="n">
        <v>1</v>
      </c>
      <c r="I41" s="25" t="n">
        <v>1</v>
      </c>
      <c r="J41" s="52" t="str">
        <f aca="false">IF(I41&gt;0,"Sim","Não")</f>
        <v>Sim</v>
      </c>
    </row>
    <row r="42" customFormat="false" ht="15" hidden="false" customHeight="false" outlineLevel="0" collapsed="false">
      <c r="A42" s="25" t="n">
        <v>4103008</v>
      </c>
      <c r="B42" s="26" t="s">
        <v>104</v>
      </c>
      <c r="C42" s="26" t="s">
        <v>71</v>
      </c>
      <c r="D42" s="31" t="n">
        <f aca="false">'5 PCM'!G42</f>
        <v>0.330810653243329</v>
      </c>
      <c r="E42" s="25" t="n">
        <v>0</v>
      </c>
      <c r="F42" s="25" t="n">
        <v>0</v>
      </c>
      <c r="G42" s="25" t="n">
        <f aca="false">E42+F42</f>
        <v>0</v>
      </c>
      <c r="H42" s="25" t="n">
        <v>0</v>
      </c>
      <c r="I42" s="25" t="n">
        <v>0</v>
      </c>
      <c r="J42" s="52" t="str">
        <f aca="false">IF(I42&gt;0,"Sim","Não")</f>
        <v>Não</v>
      </c>
    </row>
    <row r="43" customFormat="false" ht="15" hidden="false" customHeight="false" outlineLevel="0" collapsed="false">
      <c r="A43" s="25" t="n">
        <v>4103024</v>
      </c>
      <c r="B43" s="26" t="s">
        <v>105</v>
      </c>
      <c r="C43" s="26" t="s">
        <v>71</v>
      </c>
      <c r="D43" s="31" t="n">
        <f aca="false">'5 PCM'!G43</f>
        <v>0.370099974747961</v>
      </c>
      <c r="E43" s="25" t="n">
        <v>0</v>
      </c>
      <c r="F43" s="25" t="n">
        <v>0</v>
      </c>
      <c r="G43" s="25" t="n">
        <f aca="false">E43+F43</f>
        <v>0</v>
      </c>
      <c r="H43" s="25" t="n">
        <v>0</v>
      </c>
      <c r="I43" s="25" t="n">
        <v>0</v>
      </c>
      <c r="J43" s="52" t="str">
        <f aca="false">IF(I43&gt;0,"Sim","Não")</f>
        <v>Não</v>
      </c>
    </row>
    <row r="44" customFormat="false" ht="15" hidden="false" customHeight="false" outlineLevel="0" collapsed="false">
      <c r="A44" s="25" t="n">
        <v>4103040</v>
      </c>
      <c r="B44" s="26" t="s">
        <v>106</v>
      </c>
      <c r="C44" s="26" t="s">
        <v>65</v>
      </c>
      <c r="D44" s="31" t="n">
        <f aca="false">'5 PCM'!G44</f>
        <v>0.633676154866887</v>
      </c>
      <c r="E44" s="25" t="n">
        <v>0</v>
      </c>
      <c r="F44" s="25" t="n">
        <v>1</v>
      </c>
      <c r="G44" s="25" t="n">
        <f aca="false">E44+F44</f>
        <v>1</v>
      </c>
      <c r="H44" s="25" t="n">
        <v>1</v>
      </c>
      <c r="I44" s="25" t="n">
        <v>1</v>
      </c>
      <c r="J44" s="52" t="str">
        <f aca="false">IF(I44&gt;0,"Sim","Não")</f>
        <v>Sim</v>
      </c>
    </row>
    <row r="45" customFormat="false" ht="15" hidden="false" customHeight="false" outlineLevel="0" collapsed="false">
      <c r="A45" s="25" t="n">
        <v>4103057</v>
      </c>
      <c r="B45" s="26" t="s">
        <v>107</v>
      </c>
      <c r="C45" s="26" t="s">
        <v>65</v>
      </c>
      <c r="D45" s="31" t="n">
        <f aca="false">'5 PCM'!G45</f>
        <v>0.537122634587099</v>
      </c>
      <c r="E45" s="25" t="n">
        <v>0</v>
      </c>
      <c r="F45" s="25" t="n">
        <v>1</v>
      </c>
      <c r="G45" s="25" t="n">
        <f aca="false">E45+F45</f>
        <v>1</v>
      </c>
      <c r="H45" s="25" t="n">
        <v>1</v>
      </c>
      <c r="I45" s="25" t="n">
        <v>1</v>
      </c>
      <c r="J45" s="52" t="str">
        <f aca="false">IF(I45&gt;0,"Sim","Não")</f>
        <v>Sim</v>
      </c>
    </row>
    <row r="46" customFormat="false" ht="15" hidden="false" customHeight="false" outlineLevel="0" collapsed="false">
      <c r="A46" s="25" t="n">
        <v>4103107</v>
      </c>
      <c r="B46" s="26" t="s">
        <v>108</v>
      </c>
      <c r="C46" s="26" t="s">
        <v>65</v>
      </c>
      <c r="D46" s="31" t="n">
        <f aca="false">'5 PCM'!G46</f>
        <v>0.63257559712365</v>
      </c>
      <c r="E46" s="25" t="n">
        <v>1</v>
      </c>
      <c r="F46" s="25" t="n">
        <v>0</v>
      </c>
      <c r="G46" s="25" t="n">
        <f aca="false">E46+F46</f>
        <v>1</v>
      </c>
      <c r="H46" s="25" t="n">
        <v>1</v>
      </c>
      <c r="I46" s="25" t="n">
        <v>1</v>
      </c>
      <c r="J46" s="52" t="str">
        <f aca="false">IF(I46&gt;0,"Sim","Não")</f>
        <v>Sim</v>
      </c>
    </row>
    <row r="47" customFormat="false" ht="15" hidden="false" customHeight="false" outlineLevel="0" collapsed="false">
      <c r="A47" s="25" t="n">
        <v>4103156</v>
      </c>
      <c r="B47" s="26" t="s">
        <v>109</v>
      </c>
      <c r="C47" s="26" t="s">
        <v>71</v>
      </c>
      <c r="D47" s="31" t="n">
        <f aca="false">'5 PCM'!G47</f>
        <v>0.331884739764508</v>
      </c>
      <c r="E47" s="25" t="n">
        <v>0</v>
      </c>
      <c r="F47" s="25" t="n">
        <v>0</v>
      </c>
      <c r="G47" s="25" t="n">
        <f aca="false">E47+F47</f>
        <v>0</v>
      </c>
      <c r="H47" s="25" t="n">
        <v>0</v>
      </c>
      <c r="I47" s="25" t="n">
        <v>0</v>
      </c>
      <c r="J47" s="52" t="str">
        <f aca="false">IF(I47&gt;0,"Sim","Não")</f>
        <v>Não</v>
      </c>
    </row>
    <row r="48" customFormat="false" ht="15" hidden="false" customHeight="false" outlineLevel="0" collapsed="false">
      <c r="A48" s="25" t="n">
        <v>4103206</v>
      </c>
      <c r="B48" s="26" t="s">
        <v>110</v>
      </c>
      <c r="C48" s="26" t="s">
        <v>65</v>
      </c>
      <c r="D48" s="31" t="n">
        <f aca="false">'5 PCM'!G48</f>
        <v>0.438591200621522</v>
      </c>
      <c r="E48" s="25" t="n">
        <v>0</v>
      </c>
      <c r="F48" s="25" t="n">
        <v>0</v>
      </c>
      <c r="G48" s="25" t="n">
        <f aca="false">E48+F48</f>
        <v>0</v>
      </c>
      <c r="H48" s="25" t="n">
        <v>0</v>
      </c>
      <c r="I48" s="25" t="n">
        <v>0</v>
      </c>
      <c r="J48" s="52" t="str">
        <f aca="false">IF(I48&gt;0,"Sim","Não")</f>
        <v>Não</v>
      </c>
    </row>
    <row r="49" customFormat="false" ht="15" hidden="false" customHeight="false" outlineLevel="0" collapsed="false">
      <c r="A49" s="25" t="n">
        <v>4103222</v>
      </c>
      <c r="B49" s="26" t="s">
        <v>111</v>
      </c>
      <c r="C49" s="26" t="s">
        <v>71</v>
      </c>
      <c r="D49" s="31" t="n">
        <f aca="false">'5 PCM'!G49</f>
        <v>0.314463977863738</v>
      </c>
      <c r="E49" s="25" t="n">
        <v>0</v>
      </c>
      <c r="F49" s="25" t="n">
        <v>0</v>
      </c>
      <c r="G49" s="25" t="n">
        <f aca="false">E49+F49</f>
        <v>0</v>
      </c>
      <c r="H49" s="25" t="n">
        <v>0</v>
      </c>
      <c r="I49" s="25" t="n">
        <v>0</v>
      </c>
      <c r="J49" s="52" t="str">
        <f aca="false">IF(I49&gt;0,"Sim","Não")</f>
        <v>Não</v>
      </c>
    </row>
    <row r="50" customFormat="false" ht="15" hidden="false" customHeight="false" outlineLevel="0" collapsed="false">
      <c r="A50" s="25" t="n">
        <v>4103305</v>
      </c>
      <c r="B50" s="26" t="s">
        <v>112</v>
      </c>
      <c r="C50" s="26" t="s">
        <v>65</v>
      </c>
      <c r="D50" s="31" t="n">
        <f aca="false">'5 PCM'!G50</f>
        <v>0.49341477752864</v>
      </c>
      <c r="E50" s="25" t="n">
        <v>0</v>
      </c>
      <c r="F50" s="25" t="n">
        <v>1</v>
      </c>
      <c r="G50" s="25" t="n">
        <f aca="false">E50+F50</f>
        <v>1</v>
      </c>
      <c r="H50" s="25" t="n">
        <v>1</v>
      </c>
      <c r="I50" s="25" t="n">
        <v>1</v>
      </c>
      <c r="J50" s="52" t="str">
        <f aca="false">IF(I50&gt;0,"Sim","Não")</f>
        <v>Sim</v>
      </c>
    </row>
    <row r="51" customFormat="false" ht="15" hidden="false" customHeight="false" outlineLevel="0" collapsed="false">
      <c r="A51" s="25" t="n">
        <v>4103354</v>
      </c>
      <c r="B51" s="26" t="s">
        <v>113</v>
      </c>
      <c r="C51" s="26" t="s">
        <v>71</v>
      </c>
      <c r="D51" s="31" t="n">
        <f aca="false">'5 PCM'!G51</f>
        <v>0.411545875149898</v>
      </c>
      <c r="E51" s="25" t="n">
        <v>0</v>
      </c>
      <c r="F51" s="25" t="n">
        <v>0</v>
      </c>
      <c r="G51" s="25" t="n">
        <f aca="false">E51+F51</f>
        <v>0</v>
      </c>
      <c r="H51" s="25" t="n">
        <v>0</v>
      </c>
      <c r="I51" s="25" t="n">
        <v>0</v>
      </c>
      <c r="J51" s="52" t="str">
        <f aca="false">IF(I51&gt;0,"Sim","Não")</f>
        <v>Não</v>
      </c>
    </row>
    <row r="52" customFormat="false" ht="15" hidden="false" customHeight="false" outlineLevel="0" collapsed="false">
      <c r="A52" s="25" t="n">
        <v>4103370</v>
      </c>
      <c r="B52" s="26" t="s">
        <v>114</v>
      </c>
      <c r="C52" s="26" t="s">
        <v>71</v>
      </c>
      <c r="D52" s="31" t="n">
        <f aca="false">'5 PCM'!G52</f>
        <v>0.499582605450943</v>
      </c>
      <c r="E52" s="25" t="n">
        <v>0</v>
      </c>
      <c r="F52" s="25" t="n">
        <v>0</v>
      </c>
      <c r="G52" s="25" t="n">
        <f aca="false">E52+F52</f>
        <v>0</v>
      </c>
      <c r="H52" s="25" t="n">
        <v>1</v>
      </c>
      <c r="I52" s="25" t="n">
        <v>1</v>
      </c>
      <c r="J52" s="52" t="str">
        <f aca="false">IF(I52&gt;0,"Sim","Não")</f>
        <v>Sim</v>
      </c>
    </row>
    <row r="53" customFormat="false" ht="15" hidden="false" customHeight="false" outlineLevel="0" collapsed="false">
      <c r="A53" s="25" t="n">
        <v>4103404</v>
      </c>
      <c r="B53" s="26" t="s">
        <v>115</v>
      </c>
      <c r="C53" s="26" t="s">
        <v>71</v>
      </c>
      <c r="D53" s="31" t="n">
        <f aca="false">'5 PCM'!G53</f>
        <v>0.350529545714249</v>
      </c>
      <c r="E53" s="25" t="n">
        <v>0</v>
      </c>
      <c r="F53" s="25" t="n">
        <v>0</v>
      </c>
      <c r="G53" s="25" t="n">
        <f aca="false">E53+F53</f>
        <v>0</v>
      </c>
      <c r="H53" s="25" t="n">
        <v>0</v>
      </c>
      <c r="I53" s="25" t="n">
        <v>0</v>
      </c>
      <c r="J53" s="52" t="str">
        <f aca="false">IF(I53&gt;0,"Sim","Não")</f>
        <v>Não</v>
      </c>
    </row>
    <row r="54" customFormat="false" ht="15" hidden="false" customHeight="false" outlineLevel="0" collapsed="false">
      <c r="A54" s="25" t="n">
        <v>4103453</v>
      </c>
      <c r="B54" s="26" t="s">
        <v>116</v>
      </c>
      <c r="C54" s="26" t="s">
        <v>65</v>
      </c>
      <c r="D54" s="31" t="n">
        <f aca="false">'5 PCM'!G54</f>
        <v>0.31813388175557</v>
      </c>
      <c r="E54" s="25" t="n">
        <v>0</v>
      </c>
      <c r="F54" s="25" t="n">
        <v>0</v>
      </c>
      <c r="G54" s="25" t="n">
        <f aca="false">E54+F54</f>
        <v>0</v>
      </c>
      <c r="H54" s="25" t="n">
        <v>1</v>
      </c>
      <c r="I54" s="25" t="n">
        <v>1</v>
      </c>
      <c r="J54" s="52" t="str">
        <f aca="false">IF(I54&gt;0,"Sim","Não")</f>
        <v>Sim</v>
      </c>
    </row>
    <row r="55" customFormat="false" ht="15" hidden="false" customHeight="false" outlineLevel="0" collapsed="false">
      <c r="A55" s="25" t="n">
        <v>4103479</v>
      </c>
      <c r="B55" s="26" t="s">
        <v>117</v>
      </c>
      <c r="C55" s="26" t="s">
        <v>71</v>
      </c>
      <c r="D55" s="31" t="n">
        <f aca="false">'5 PCM'!G55</f>
        <v>0.528670321891314</v>
      </c>
      <c r="E55" s="25" t="n">
        <v>0</v>
      </c>
      <c r="F55" s="25" t="n">
        <v>1</v>
      </c>
      <c r="G55" s="25" t="n">
        <f aca="false">E55+F55</f>
        <v>1</v>
      </c>
      <c r="H55" s="25" t="n">
        <v>1</v>
      </c>
      <c r="I55" s="25" t="n">
        <v>1</v>
      </c>
      <c r="J55" s="52" t="str">
        <f aca="false">IF(I55&gt;0,"Sim","Não")</f>
        <v>Sim</v>
      </c>
    </row>
    <row r="56" customFormat="false" ht="15" hidden="false" customHeight="false" outlineLevel="0" collapsed="false">
      <c r="A56" s="25" t="n">
        <v>4103503</v>
      </c>
      <c r="B56" s="26" t="s">
        <v>118</v>
      </c>
      <c r="C56" s="26" t="s">
        <v>65</v>
      </c>
      <c r="D56" s="31" t="n">
        <f aca="false">'5 PCM'!G56</f>
        <v>0.464848639168832</v>
      </c>
      <c r="E56" s="25" t="n">
        <v>0</v>
      </c>
      <c r="F56" s="25" t="n">
        <v>0</v>
      </c>
      <c r="G56" s="25" t="n">
        <f aca="false">E56+F56</f>
        <v>0</v>
      </c>
      <c r="H56" s="25" t="n">
        <v>0</v>
      </c>
      <c r="I56" s="25" t="n">
        <v>0</v>
      </c>
      <c r="J56" s="52" t="str">
        <f aca="false">IF(I56&gt;0,"Sim","Não")</f>
        <v>Não</v>
      </c>
    </row>
    <row r="57" customFormat="false" ht="15" hidden="false" customHeight="false" outlineLevel="0" collapsed="false">
      <c r="A57" s="25" t="n">
        <v>4103602</v>
      </c>
      <c r="B57" s="26" t="s">
        <v>119</v>
      </c>
      <c r="C57" s="26" t="s">
        <v>86</v>
      </c>
      <c r="D57" s="31" t="n">
        <f aca="false">'5 PCM'!G57</f>
        <v>0.494982917279444</v>
      </c>
      <c r="E57" s="25" t="n">
        <v>0</v>
      </c>
      <c r="F57" s="25" t="n">
        <v>1</v>
      </c>
      <c r="G57" s="25" t="n">
        <f aca="false">E57+F57</f>
        <v>1</v>
      </c>
      <c r="H57" s="25" t="n">
        <v>1</v>
      </c>
      <c r="I57" s="25" t="n">
        <v>1</v>
      </c>
      <c r="J57" s="52" t="str">
        <f aca="false">IF(I57&gt;0,"Sim","Não")</f>
        <v>Sim</v>
      </c>
    </row>
    <row r="58" customFormat="false" ht="15" hidden="false" customHeight="false" outlineLevel="0" collapsed="false">
      <c r="A58" s="25" t="n">
        <v>4103701</v>
      </c>
      <c r="B58" s="26" t="s">
        <v>120</v>
      </c>
      <c r="C58" s="26" t="s">
        <v>69</v>
      </c>
      <c r="D58" s="31" t="n">
        <f aca="false">'5 PCM'!G58</f>
        <v>0.43208265640913</v>
      </c>
      <c r="E58" s="25" t="n">
        <v>0</v>
      </c>
      <c r="F58" s="25" t="n">
        <v>2</v>
      </c>
      <c r="G58" s="25" t="n">
        <f aca="false">E58+F58</f>
        <v>2</v>
      </c>
      <c r="H58" s="25" t="n">
        <v>2</v>
      </c>
      <c r="I58" s="25" t="n">
        <v>2</v>
      </c>
      <c r="J58" s="52" t="str">
        <f aca="false">IF(I58&gt;0,"Sim","Não")</f>
        <v>Sim</v>
      </c>
    </row>
    <row r="59" customFormat="false" ht="15" hidden="false" customHeight="false" outlineLevel="0" collapsed="false">
      <c r="A59" s="25" t="n">
        <v>4103800</v>
      </c>
      <c r="B59" s="26" t="s">
        <v>121</v>
      </c>
      <c r="C59" s="26" t="s">
        <v>65</v>
      </c>
      <c r="D59" s="31" t="n">
        <f aca="false">'5 PCM'!G59</f>
        <v>0.411174946599502</v>
      </c>
      <c r="E59" s="25" t="n">
        <v>0</v>
      </c>
      <c r="F59" s="25" t="n">
        <v>0</v>
      </c>
      <c r="G59" s="25" t="n">
        <f aca="false">E59+F59</f>
        <v>0</v>
      </c>
      <c r="H59" s="25" t="n">
        <v>1</v>
      </c>
      <c r="I59" s="25" t="n">
        <v>1</v>
      </c>
      <c r="J59" s="52" t="str">
        <f aca="false">IF(I59&gt;0,"Sim","Não")</f>
        <v>Sim</v>
      </c>
    </row>
    <row r="60" customFormat="false" ht="15" hidden="false" customHeight="false" outlineLevel="0" collapsed="false">
      <c r="A60" s="25" t="n">
        <v>4104006</v>
      </c>
      <c r="B60" s="26" t="s">
        <v>122</v>
      </c>
      <c r="C60" s="26" t="s">
        <v>86</v>
      </c>
      <c r="D60" s="31" t="n">
        <f aca="false">'5 PCM'!G60</f>
        <v>0.49786338352721</v>
      </c>
      <c r="E60" s="25" t="n">
        <v>0</v>
      </c>
      <c r="F60" s="25" t="n">
        <v>1</v>
      </c>
      <c r="G60" s="25" t="n">
        <f aca="false">E60+F60</f>
        <v>1</v>
      </c>
      <c r="H60" s="25" t="n">
        <v>2</v>
      </c>
      <c r="I60" s="25" t="n">
        <v>2</v>
      </c>
      <c r="J60" s="52" t="str">
        <f aca="false">IF(I60&gt;0,"Sim","Não")</f>
        <v>Sim</v>
      </c>
    </row>
    <row r="61" customFormat="false" ht="15" hidden="false" customHeight="false" outlineLevel="0" collapsed="false">
      <c r="A61" s="25" t="n">
        <v>4103909</v>
      </c>
      <c r="B61" s="26" t="s">
        <v>123</v>
      </c>
      <c r="C61" s="26" t="s">
        <v>65</v>
      </c>
      <c r="D61" s="31" t="n">
        <f aca="false">'5 PCM'!G61</f>
        <v>0.565791309536445</v>
      </c>
      <c r="E61" s="25" t="n">
        <v>0</v>
      </c>
      <c r="F61" s="25" t="n">
        <v>1</v>
      </c>
      <c r="G61" s="25" t="n">
        <f aca="false">E61+F61</f>
        <v>1</v>
      </c>
      <c r="H61" s="25" t="n">
        <v>1</v>
      </c>
      <c r="I61" s="25" t="n">
        <v>1</v>
      </c>
      <c r="J61" s="52" t="str">
        <f aca="false">IF(I61&gt;0,"Sim","Não")</f>
        <v>Sim</v>
      </c>
    </row>
    <row r="62" customFormat="false" ht="15" hidden="false" customHeight="false" outlineLevel="0" collapsed="false">
      <c r="A62" s="25" t="n">
        <v>4103958</v>
      </c>
      <c r="B62" s="26" t="s">
        <v>124</v>
      </c>
      <c r="C62" s="26" t="s">
        <v>71</v>
      </c>
      <c r="D62" s="31" t="n">
        <f aca="false">'5 PCM'!G62</f>
        <v>0.661283722103802</v>
      </c>
      <c r="E62" s="25" t="n">
        <v>0</v>
      </c>
      <c r="F62" s="25" t="n">
        <v>1</v>
      </c>
      <c r="G62" s="25" t="n">
        <f aca="false">E62+F62</f>
        <v>1</v>
      </c>
      <c r="H62" s="25" t="n">
        <v>1</v>
      </c>
      <c r="I62" s="25" t="n">
        <v>1</v>
      </c>
      <c r="J62" s="52" t="str">
        <f aca="false">IF(I62&gt;0,"Sim","Não")</f>
        <v>Sim</v>
      </c>
    </row>
    <row r="63" customFormat="false" ht="15" hidden="false" customHeight="false" outlineLevel="0" collapsed="false">
      <c r="A63" s="25" t="n">
        <v>4104055</v>
      </c>
      <c r="B63" s="26" t="s">
        <v>125</v>
      </c>
      <c r="C63" s="26" t="s">
        <v>71</v>
      </c>
      <c r="D63" s="31" t="n">
        <f aca="false">'5 PCM'!G63</f>
        <v>0.436368094198971</v>
      </c>
      <c r="E63" s="25" t="n">
        <v>0</v>
      </c>
      <c r="F63" s="25" t="n">
        <v>0</v>
      </c>
      <c r="G63" s="25" t="n">
        <f aca="false">E63+F63</f>
        <v>0</v>
      </c>
      <c r="H63" s="25" t="n">
        <v>0</v>
      </c>
      <c r="I63" s="25" t="n">
        <v>0</v>
      </c>
      <c r="J63" s="52" t="str">
        <f aca="false">IF(I63&gt;0,"Sim","Não")</f>
        <v>Não</v>
      </c>
    </row>
    <row r="64" customFormat="false" ht="15" hidden="false" customHeight="false" outlineLevel="0" collapsed="false">
      <c r="A64" s="25" t="n">
        <v>4104204</v>
      </c>
      <c r="B64" s="26" t="s">
        <v>126</v>
      </c>
      <c r="C64" s="26" t="s">
        <v>69</v>
      </c>
      <c r="D64" s="31" t="n">
        <f aca="false">'5 PCM'!G64</f>
        <v>0.446955142876832</v>
      </c>
      <c r="E64" s="25" t="n">
        <v>0</v>
      </c>
      <c r="F64" s="25" t="n">
        <v>3</v>
      </c>
      <c r="G64" s="25" t="n">
        <f aca="false">E64+F64</f>
        <v>3</v>
      </c>
      <c r="H64" s="25" t="n">
        <v>2</v>
      </c>
      <c r="I64" s="25" t="n">
        <v>2</v>
      </c>
      <c r="J64" s="52" t="str">
        <f aca="false">IF(I64&gt;0,"Sim","Não")</f>
        <v>Sim</v>
      </c>
    </row>
    <row r="65" customFormat="false" ht="15" hidden="false" customHeight="false" outlineLevel="0" collapsed="false">
      <c r="A65" s="25" t="n">
        <v>4104253</v>
      </c>
      <c r="B65" s="26" t="s">
        <v>127</v>
      </c>
      <c r="C65" s="26" t="s">
        <v>86</v>
      </c>
      <c r="D65" s="31" t="n">
        <f aca="false">'5 PCM'!G65</f>
        <v>0.590306010673904</v>
      </c>
      <c r="E65" s="25" t="n">
        <v>0</v>
      </c>
      <c r="F65" s="25" t="n">
        <v>1</v>
      </c>
      <c r="G65" s="25" t="n">
        <f aca="false">E65+F65</f>
        <v>1</v>
      </c>
      <c r="H65" s="25" t="n">
        <v>1</v>
      </c>
      <c r="I65" s="25" t="n">
        <v>1</v>
      </c>
      <c r="J65" s="52" t="str">
        <f aca="false">IF(I65&gt;0,"Sim","Não")</f>
        <v>Sim</v>
      </c>
    </row>
    <row r="66" customFormat="false" ht="15" hidden="false" customHeight="false" outlineLevel="0" collapsed="false">
      <c r="A66" s="25" t="n">
        <v>4104303</v>
      </c>
      <c r="B66" s="26" t="s">
        <v>128</v>
      </c>
      <c r="C66" s="26" t="s">
        <v>129</v>
      </c>
      <c r="D66" s="31" t="n">
        <f aca="false">'5 PCM'!G66</f>
        <v>0.408122794291602</v>
      </c>
      <c r="E66" s="25" t="n">
        <v>0</v>
      </c>
      <c r="F66" s="25" t="n">
        <v>2</v>
      </c>
      <c r="G66" s="25" t="n">
        <f aca="false">E66+F66</f>
        <v>2</v>
      </c>
      <c r="H66" s="25" t="n">
        <v>2</v>
      </c>
      <c r="I66" s="25" t="n">
        <v>2</v>
      </c>
      <c r="J66" s="52" t="str">
        <f aca="false">IF(I66&gt;0,"Sim","Não")</f>
        <v>Sim</v>
      </c>
    </row>
    <row r="67" customFormat="false" ht="15" hidden="false" customHeight="false" outlineLevel="0" collapsed="false">
      <c r="A67" s="25" t="n">
        <v>4104105</v>
      </c>
      <c r="B67" s="26" t="s">
        <v>130</v>
      </c>
      <c r="C67" s="26" t="s">
        <v>65</v>
      </c>
      <c r="D67" s="31" t="n">
        <f aca="false">'5 PCM'!G67</f>
        <v>0.655732247454098</v>
      </c>
      <c r="E67" s="25" t="n">
        <v>1</v>
      </c>
      <c r="F67" s="25" t="n">
        <v>0</v>
      </c>
      <c r="G67" s="25" t="n">
        <f aca="false">E67+F67</f>
        <v>1</v>
      </c>
      <c r="H67" s="25" t="n">
        <v>1</v>
      </c>
      <c r="I67" s="25" t="n">
        <v>1</v>
      </c>
      <c r="J67" s="52" t="str">
        <f aca="false">IF(I67&gt;0,"Sim","Não")</f>
        <v>Sim</v>
      </c>
    </row>
    <row r="68" customFormat="false" ht="15" hidden="false" customHeight="false" outlineLevel="0" collapsed="false">
      <c r="A68" s="25" t="n">
        <v>4104428</v>
      </c>
      <c r="B68" s="26" t="s">
        <v>131</v>
      </c>
      <c r="C68" s="26" t="s">
        <v>65</v>
      </c>
      <c r="D68" s="31" t="n">
        <f aca="false">'5 PCM'!G68</f>
        <v>0.542653296931553</v>
      </c>
      <c r="E68" s="25" t="n">
        <v>0</v>
      </c>
      <c r="F68" s="25" t="n">
        <v>1</v>
      </c>
      <c r="G68" s="25" t="n">
        <f aca="false">E68+F68</f>
        <v>1</v>
      </c>
      <c r="H68" s="25" t="n">
        <v>1</v>
      </c>
      <c r="I68" s="25" t="n">
        <v>1</v>
      </c>
      <c r="J68" s="52" t="str">
        <f aca="false">IF(I68&gt;0,"Sim","Não")</f>
        <v>Sim</v>
      </c>
    </row>
    <row r="69" customFormat="false" ht="15" hidden="false" customHeight="false" outlineLevel="0" collapsed="false">
      <c r="A69" s="25" t="n">
        <v>4104451</v>
      </c>
      <c r="B69" s="26" t="s">
        <v>132</v>
      </c>
      <c r="C69" s="26" t="s">
        <v>65</v>
      </c>
      <c r="D69" s="31" t="n">
        <f aca="false">'5 PCM'!G69</f>
        <v>0.582198866429559</v>
      </c>
      <c r="E69" s="25" t="n">
        <v>0</v>
      </c>
      <c r="F69" s="25" t="n">
        <v>1</v>
      </c>
      <c r="G69" s="25" t="n">
        <f aca="false">E69+F69</f>
        <v>1</v>
      </c>
      <c r="H69" s="25" t="n">
        <v>1</v>
      </c>
      <c r="I69" s="25" t="n">
        <v>1</v>
      </c>
      <c r="J69" s="52" t="str">
        <f aca="false">IF(I69&gt;0,"Sim","Não")</f>
        <v>Sim</v>
      </c>
    </row>
    <row r="70" customFormat="false" ht="15" hidden="false" customHeight="false" outlineLevel="0" collapsed="false">
      <c r="A70" s="25" t="n">
        <v>4104501</v>
      </c>
      <c r="B70" s="26" t="s">
        <v>133</v>
      </c>
      <c r="C70" s="26" t="s">
        <v>86</v>
      </c>
      <c r="D70" s="31" t="n">
        <f aca="false">'5 PCM'!G70</f>
        <v>0.349202111381482</v>
      </c>
      <c r="E70" s="25" t="n">
        <v>0</v>
      </c>
      <c r="F70" s="25" t="n">
        <v>0</v>
      </c>
      <c r="G70" s="25" t="n">
        <f aca="false">E70+F70</f>
        <v>0</v>
      </c>
      <c r="H70" s="25" t="n">
        <v>1</v>
      </c>
      <c r="I70" s="25" t="n">
        <v>1</v>
      </c>
      <c r="J70" s="52" t="str">
        <f aca="false">IF(I70&gt;0,"Sim","Não")</f>
        <v>Sim</v>
      </c>
    </row>
    <row r="71" customFormat="false" ht="15" hidden="false" customHeight="false" outlineLevel="0" collapsed="false">
      <c r="A71" s="25" t="n">
        <v>4104600</v>
      </c>
      <c r="B71" s="26" t="s">
        <v>134</v>
      </c>
      <c r="C71" s="26" t="s">
        <v>65</v>
      </c>
      <c r="D71" s="31" t="n">
        <f aca="false">'5 PCM'!G71</f>
        <v>0.512671624009362</v>
      </c>
      <c r="E71" s="25" t="n">
        <v>0</v>
      </c>
      <c r="F71" s="25" t="n">
        <v>1</v>
      </c>
      <c r="G71" s="25" t="n">
        <f aca="false">E71+F71</f>
        <v>1</v>
      </c>
      <c r="H71" s="25" t="n">
        <v>1</v>
      </c>
      <c r="I71" s="25" t="n">
        <v>1</v>
      </c>
      <c r="J71" s="52" t="str">
        <f aca="false">IF(I71&gt;0,"Sim","Não")</f>
        <v>Sim</v>
      </c>
    </row>
    <row r="72" customFormat="false" ht="15" hidden="false" customHeight="false" outlineLevel="0" collapsed="false">
      <c r="A72" s="25" t="n">
        <v>4104659</v>
      </c>
      <c r="B72" s="26" t="s">
        <v>135</v>
      </c>
      <c r="C72" s="26" t="s">
        <v>86</v>
      </c>
      <c r="D72" s="31" t="n">
        <f aca="false">'5 PCM'!G72</f>
        <v>0.487240540031155</v>
      </c>
      <c r="E72" s="25" t="n">
        <v>0</v>
      </c>
      <c r="F72" s="25" t="n">
        <v>0</v>
      </c>
      <c r="G72" s="25" t="n">
        <f aca="false">E72+F72</f>
        <v>0</v>
      </c>
      <c r="H72" s="25" t="n">
        <v>0</v>
      </c>
      <c r="I72" s="25" t="n">
        <v>0</v>
      </c>
      <c r="J72" s="52" t="str">
        <f aca="false">IF(I72&gt;0,"Sim","Não")</f>
        <v>Não</v>
      </c>
    </row>
    <row r="73" customFormat="false" ht="15" hidden="false" customHeight="false" outlineLevel="0" collapsed="false">
      <c r="A73" s="25" t="n">
        <v>4104709</v>
      </c>
      <c r="B73" s="26" t="s">
        <v>136</v>
      </c>
      <c r="C73" s="26" t="s">
        <v>65</v>
      </c>
      <c r="D73" s="31" t="n">
        <f aca="false">'5 PCM'!G73</f>
        <v>0.539842851681086</v>
      </c>
      <c r="E73" s="25" t="n">
        <v>1</v>
      </c>
      <c r="F73" s="25" t="n">
        <v>0</v>
      </c>
      <c r="G73" s="25" t="n">
        <f aca="false">E73+F73</f>
        <v>1</v>
      </c>
      <c r="H73" s="25" t="n">
        <v>1</v>
      </c>
      <c r="I73" s="25" t="n">
        <v>1</v>
      </c>
      <c r="J73" s="52" t="str">
        <f aca="false">IF(I73&gt;0,"Sim","Não")</f>
        <v>Sim</v>
      </c>
    </row>
    <row r="74" customFormat="false" ht="15" hidden="false" customHeight="false" outlineLevel="0" collapsed="false">
      <c r="A74" s="25" t="n">
        <v>4104808</v>
      </c>
      <c r="B74" s="26" t="s">
        <v>137</v>
      </c>
      <c r="C74" s="26" t="s">
        <v>138</v>
      </c>
      <c r="D74" s="31" t="n">
        <f aca="false">'5 PCM'!G74</f>
        <v>0.389826557510322</v>
      </c>
      <c r="E74" s="25" t="n">
        <v>0</v>
      </c>
      <c r="F74" s="25" t="n">
        <v>6</v>
      </c>
      <c r="G74" s="25" t="n">
        <f aca="false">E74+F74</f>
        <v>6</v>
      </c>
      <c r="H74" s="25" t="n">
        <v>4</v>
      </c>
      <c r="I74" s="25" t="n">
        <v>4</v>
      </c>
      <c r="J74" s="52" t="str">
        <f aca="false">IF(I74&gt;0,"Sim","Não")</f>
        <v>Sim</v>
      </c>
    </row>
    <row r="75" customFormat="false" ht="15" hidden="false" customHeight="false" outlineLevel="0" collapsed="false">
      <c r="A75" s="25" t="n">
        <v>4104907</v>
      </c>
      <c r="B75" s="26" t="s">
        <v>139</v>
      </c>
      <c r="C75" s="26" t="s">
        <v>129</v>
      </c>
      <c r="D75" s="31" t="n">
        <f aca="false">'5 PCM'!G75</f>
        <v>0.534775872391894</v>
      </c>
      <c r="E75" s="25" t="n">
        <v>0</v>
      </c>
      <c r="F75" s="25" t="n">
        <v>2</v>
      </c>
      <c r="G75" s="25" t="n">
        <f aca="false">E75+F75</f>
        <v>2</v>
      </c>
      <c r="H75" s="25" t="n">
        <v>1</v>
      </c>
      <c r="I75" s="25" t="n">
        <v>1</v>
      </c>
      <c r="J75" s="52" t="str">
        <f aca="false">IF(I75&gt;0,"Sim","Não")</f>
        <v>Sim</v>
      </c>
    </row>
    <row r="76" customFormat="false" ht="15" hidden="false" customHeight="false" outlineLevel="0" collapsed="false">
      <c r="A76" s="25" t="n">
        <v>4105003</v>
      </c>
      <c r="B76" s="26" t="s">
        <v>140</v>
      </c>
      <c r="C76" s="26" t="s">
        <v>65</v>
      </c>
      <c r="D76" s="31" t="n">
        <f aca="false">'5 PCM'!G76</f>
        <v>0.496539306841199</v>
      </c>
      <c r="E76" s="25" t="n">
        <v>0</v>
      </c>
      <c r="F76" s="25" t="n">
        <v>1</v>
      </c>
      <c r="G76" s="25" t="n">
        <f aca="false">E76+F76</f>
        <v>1</v>
      </c>
      <c r="H76" s="25" t="n">
        <v>1</v>
      </c>
      <c r="I76" s="25" t="n">
        <v>1</v>
      </c>
      <c r="J76" s="52" t="str">
        <f aca="false">IF(I76&gt;0,"Sim","Não")</f>
        <v>Sim</v>
      </c>
    </row>
    <row r="77" customFormat="false" ht="15" hidden="false" customHeight="false" outlineLevel="0" collapsed="false">
      <c r="A77" s="25" t="n">
        <v>4104402</v>
      </c>
      <c r="B77" s="26" t="s">
        <v>141</v>
      </c>
      <c r="C77" s="26" t="s">
        <v>65</v>
      </c>
      <c r="D77" s="31" t="n">
        <f aca="false">'5 PCM'!G77</f>
        <v>0.652032725629996</v>
      </c>
      <c r="E77" s="25" t="n">
        <v>0</v>
      </c>
      <c r="F77" s="25" t="n">
        <v>1</v>
      </c>
      <c r="G77" s="25" t="n">
        <f aca="false">E77+F77</f>
        <v>1</v>
      </c>
      <c r="H77" s="25" t="n">
        <v>1</v>
      </c>
      <c r="I77" s="25" t="n">
        <v>1</v>
      </c>
      <c r="J77" s="52" t="str">
        <f aca="false">IF(I77&gt;0,"Sim","Não")</f>
        <v>Sim</v>
      </c>
    </row>
    <row r="78" customFormat="false" ht="15" hidden="false" customHeight="false" outlineLevel="0" collapsed="false">
      <c r="A78" s="25" t="n">
        <v>4105102</v>
      </c>
      <c r="B78" s="26" t="s">
        <v>142</v>
      </c>
      <c r="C78" s="26" t="s">
        <v>65</v>
      </c>
      <c r="D78" s="31" t="n">
        <f aca="false">'5 PCM'!G78</f>
        <v>0.447350237478772</v>
      </c>
      <c r="E78" s="25" t="n">
        <v>0</v>
      </c>
      <c r="F78" s="25" t="n">
        <v>0</v>
      </c>
      <c r="G78" s="25" t="n">
        <f aca="false">E78+F78</f>
        <v>0</v>
      </c>
      <c r="H78" s="25" t="n">
        <v>0</v>
      </c>
      <c r="I78" s="25" t="n">
        <v>0</v>
      </c>
      <c r="J78" s="52" t="str">
        <f aca="false">IF(I78&gt;0,"Sim","Não")</f>
        <v>Não</v>
      </c>
    </row>
    <row r="79" customFormat="false" ht="15" hidden="false" customHeight="false" outlineLevel="0" collapsed="false">
      <c r="A79" s="25" t="n">
        <v>4105201</v>
      </c>
      <c r="B79" s="26" t="s">
        <v>143</v>
      </c>
      <c r="C79" s="26" t="s">
        <v>65</v>
      </c>
      <c r="D79" s="31" t="n">
        <f aca="false">'5 PCM'!G79</f>
        <v>0.724026169383489</v>
      </c>
      <c r="E79" s="25" t="n">
        <v>1</v>
      </c>
      <c r="F79" s="25" t="n">
        <v>0</v>
      </c>
      <c r="G79" s="25" t="n">
        <f aca="false">E79+F79</f>
        <v>1</v>
      </c>
      <c r="H79" s="25" t="n">
        <v>1</v>
      </c>
      <c r="I79" s="25" t="n">
        <v>1</v>
      </c>
      <c r="J79" s="52" t="str">
        <f aca="false">IF(I79&gt;0,"Sim","Não")</f>
        <v>Sim</v>
      </c>
    </row>
    <row r="80" customFormat="false" ht="15" hidden="false" customHeight="false" outlineLevel="0" collapsed="false">
      <c r="A80" s="25" t="n">
        <v>4105300</v>
      </c>
      <c r="B80" s="26" t="s">
        <v>144</v>
      </c>
      <c r="C80" s="26" t="s">
        <v>65</v>
      </c>
      <c r="D80" s="31" t="n">
        <f aca="false">'5 PCM'!G80</f>
        <v>0.366178166355021</v>
      </c>
      <c r="E80" s="25" t="n">
        <v>0</v>
      </c>
      <c r="F80" s="25" t="n">
        <v>0</v>
      </c>
      <c r="G80" s="25" t="n">
        <f aca="false">E80+F80</f>
        <v>0</v>
      </c>
      <c r="H80" s="25" t="n">
        <v>0</v>
      </c>
      <c r="I80" s="25" t="n">
        <v>0</v>
      </c>
      <c r="J80" s="52" t="str">
        <f aca="false">IF(I80&gt;0,"Sim","Não")</f>
        <v>Não</v>
      </c>
    </row>
    <row r="81" customFormat="false" ht="15" hidden="false" customHeight="false" outlineLevel="0" collapsed="false">
      <c r="A81" s="25" t="n">
        <v>4105409</v>
      </c>
      <c r="B81" s="26" t="s">
        <v>145</v>
      </c>
      <c r="C81" s="26" t="s">
        <v>86</v>
      </c>
      <c r="D81" s="31" t="n">
        <f aca="false">'5 PCM'!G81</f>
        <v>0.440347777222246</v>
      </c>
      <c r="E81" s="25" t="n">
        <v>1</v>
      </c>
      <c r="F81" s="25" t="n">
        <v>0</v>
      </c>
      <c r="G81" s="25" t="n">
        <f aca="false">E81+F81</f>
        <v>1</v>
      </c>
      <c r="H81" s="25" t="n">
        <v>1</v>
      </c>
      <c r="I81" s="25" t="n">
        <v>1</v>
      </c>
      <c r="J81" s="52" t="str">
        <f aca="false">IF(I81&gt;0,"Sim","Não")</f>
        <v>Sim</v>
      </c>
    </row>
    <row r="82" customFormat="false" ht="15" hidden="false" customHeight="false" outlineLevel="0" collapsed="false">
      <c r="A82" s="25" t="n">
        <v>4105508</v>
      </c>
      <c r="B82" s="26" t="s">
        <v>146</v>
      </c>
      <c r="C82" s="26" t="s">
        <v>129</v>
      </c>
      <c r="D82" s="31" t="n">
        <f aca="false">'5 PCM'!G82</f>
        <v>0.373434682599254</v>
      </c>
      <c r="E82" s="25" t="n">
        <v>0</v>
      </c>
      <c r="F82" s="25" t="n">
        <v>1</v>
      </c>
      <c r="G82" s="25" t="n">
        <f aca="false">E82+F82</f>
        <v>1</v>
      </c>
      <c r="H82" s="25" t="n">
        <v>2</v>
      </c>
      <c r="I82" s="25" t="n">
        <v>2</v>
      </c>
      <c r="J82" s="52" t="str">
        <f aca="false">IF(I82&gt;0,"Sim","Não")</f>
        <v>Sim</v>
      </c>
    </row>
    <row r="83" customFormat="false" ht="15" hidden="false" customHeight="false" outlineLevel="0" collapsed="false">
      <c r="A83" s="25" t="n">
        <v>4105607</v>
      </c>
      <c r="B83" s="26" t="s">
        <v>147</v>
      </c>
      <c r="C83" s="26" t="s">
        <v>65</v>
      </c>
      <c r="D83" s="31" t="n">
        <f aca="false">'5 PCM'!G83</f>
        <v>0.394480226066768</v>
      </c>
      <c r="E83" s="25" t="n">
        <v>0</v>
      </c>
      <c r="F83" s="25" t="n">
        <v>0</v>
      </c>
      <c r="G83" s="25" t="n">
        <f aca="false">E83+F83</f>
        <v>0</v>
      </c>
      <c r="H83" s="25" t="n">
        <v>0</v>
      </c>
      <c r="I83" s="25" t="n">
        <v>0</v>
      </c>
      <c r="J83" s="52" t="str">
        <f aca="false">IF(I83&gt;0,"Sim","Não")</f>
        <v>Não</v>
      </c>
    </row>
    <row r="84" customFormat="false" ht="15" hidden="false" customHeight="false" outlineLevel="0" collapsed="false">
      <c r="A84" s="25" t="n">
        <v>4105706</v>
      </c>
      <c r="B84" s="26" t="s">
        <v>148</v>
      </c>
      <c r="C84" s="26" t="s">
        <v>65</v>
      </c>
      <c r="D84" s="31" t="n">
        <f aca="false">'5 PCM'!G84</f>
        <v>0.560504457180159</v>
      </c>
      <c r="E84" s="25" t="n">
        <v>0</v>
      </c>
      <c r="F84" s="25" t="n">
        <v>1</v>
      </c>
      <c r="G84" s="25" t="n">
        <f aca="false">E84+F84</f>
        <v>1</v>
      </c>
      <c r="H84" s="25" t="n">
        <v>1</v>
      </c>
      <c r="I84" s="25" t="n">
        <v>1</v>
      </c>
      <c r="J84" s="52" t="str">
        <f aca="false">IF(I84&gt;0,"Sim","Não")</f>
        <v>Sim</v>
      </c>
    </row>
    <row r="85" customFormat="false" ht="15" hidden="false" customHeight="false" outlineLevel="0" collapsed="false">
      <c r="A85" s="25" t="n">
        <v>4105805</v>
      </c>
      <c r="B85" s="26" t="s">
        <v>149</v>
      </c>
      <c r="C85" s="26" t="s">
        <v>138</v>
      </c>
      <c r="D85" s="31" t="n">
        <f aca="false">'5 PCM'!G85</f>
        <v>0.514963700416288</v>
      </c>
      <c r="E85" s="25" t="n">
        <v>0</v>
      </c>
      <c r="F85" s="25" t="n">
        <v>5</v>
      </c>
      <c r="G85" s="25" t="n">
        <f aca="false">E85+F85</f>
        <v>5</v>
      </c>
      <c r="H85" s="25" t="n">
        <v>2</v>
      </c>
      <c r="I85" s="25" t="n">
        <v>2</v>
      </c>
      <c r="J85" s="52" t="str">
        <f aca="false">IF(I85&gt;0,"Sim","Não")</f>
        <v>Sim</v>
      </c>
    </row>
    <row r="86" customFormat="false" ht="15" hidden="false" customHeight="false" outlineLevel="0" collapsed="false">
      <c r="A86" s="25" t="n">
        <v>4105904</v>
      </c>
      <c r="B86" s="26" t="s">
        <v>150</v>
      </c>
      <c r="C86" s="26" t="s">
        <v>86</v>
      </c>
      <c r="D86" s="31" t="n">
        <f aca="false">'5 PCM'!G86</f>
        <v>0.431851809567214</v>
      </c>
      <c r="E86" s="25" t="n">
        <v>0</v>
      </c>
      <c r="F86" s="25" t="n">
        <v>0</v>
      </c>
      <c r="G86" s="25" t="n">
        <f aca="false">E86+F86</f>
        <v>0</v>
      </c>
      <c r="H86" s="25" t="n">
        <v>0</v>
      </c>
      <c r="I86" s="25" t="n">
        <v>0</v>
      </c>
      <c r="J86" s="52" t="str">
        <f aca="false">IF(I86&gt;0,"Sim","Não")</f>
        <v>Não</v>
      </c>
    </row>
    <row r="87" customFormat="false" ht="15" hidden="false" customHeight="false" outlineLevel="0" collapsed="false">
      <c r="A87" s="25" t="n">
        <v>4106001</v>
      </c>
      <c r="B87" s="26" t="s">
        <v>151</v>
      </c>
      <c r="C87" s="26" t="s">
        <v>65</v>
      </c>
      <c r="D87" s="31" t="n">
        <f aca="false">'5 PCM'!G87</f>
        <v>0.590435630151422</v>
      </c>
      <c r="E87" s="25" t="n">
        <v>0</v>
      </c>
      <c r="F87" s="25" t="n">
        <v>1</v>
      </c>
      <c r="G87" s="25" t="n">
        <f aca="false">E87+F87</f>
        <v>1</v>
      </c>
      <c r="H87" s="25" t="n">
        <v>1</v>
      </c>
      <c r="I87" s="25" t="n">
        <v>1</v>
      </c>
      <c r="J87" s="52" t="str">
        <f aca="false">IF(I87&gt;0,"Sim","Não")</f>
        <v>Sim</v>
      </c>
    </row>
    <row r="88" customFormat="false" ht="15" hidden="false" customHeight="false" outlineLevel="0" collapsed="false">
      <c r="A88" s="25" t="n">
        <v>4106100</v>
      </c>
      <c r="B88" s="26" t="s">
        <v>152</v>
      </c>
      <c r="C88" s="26" t="s">
        <v>71</v>
      </c>
      <c r="D88" s="31" t="n">
        <f aca="false">'5 PCM'!G88</f>
        <v>0.426952365476296</v>
      </c>
      <c r="E88" s="25" t="n">
        <v>0</v>
      </c>
      <c r="F88" s="25" t="n">
        <v>0</v>
      </c>
      <c r="G88" s="25" t="n">
        <f aca="false">E88+F88</f>
        <v>0</v>
      </c>
      <c r="H88" s="25" t="n">
        <v>0</v>
      </c>
      <c r="I88" s="25" t="n">
        <v>0</v>
      </c>
      <c r="J88" s="52" t="str">
        <f aca="false">IF(I88&gt;0,"Sim","Não")</f>
        <v>Não</v>
      </c>
    </row>
    <row r="89" customFormat="false" ht="15" hidden="false" customHeight="false" outlineLevel="0" collapsed="false">
      <c r="A89" s="25" t="n">
        <v>4106209</v>
      </c>
      <c r="B89" s="26" t="s">
        <v>153</v>
      </c>
      <c r="C89" s="26" t="s">
        <v>65</v>
      </c>
      <c r="D89" s="31" t="n">
        <f aca="false">'5 PCM'!G89</f>
        <v>0.585783160609284</v>
      </c>
      <c r="E89" s="25" t="n">
        <v>1</v>
      </c>
      <c r="F89" s="25" t="n">
        <v>0</v>
      </c>
      <c r="G89" s="25" t="n">
        <f aca="false">E89+F89</f>
        <v>1</v>
      </c>
      <c r="H89" s="25" t="n">
        <v>1</v>
      </c>
      <c r="I89" s="25" t="n">
        <v>1</v>
      </c>
      <c r="J89" s="52" t="str">
        <f aca="false">IF(I89&gt;0,"Sim","Não")</f>
        <v>Sim</v>
      </c>
    </row>
    <row r="90" customFormat="false" ht="15" hidden="false" customHeight="false" outlineLevel="0" collapsed="false">
      <c r="A90" s="25" t="n">
        <v>4106308</v>
      </c>
      <c r="B90" s="26" t="s">
        <v>154</v>
      </c>
      <c r="C90" s="26" t="s">
        <v>65</v>
      </c>
      <c r="D90" s="31" t="n">
        <f aca="false">'5 PCM'!G90</f>
        <v>0.408335402645567</v>
      </c>
      <c r="E90" s="25" t="n">
        <v>0</v>
      </c>
      <c r="F90" s="25" t="n">
        <v>0</v>
      </c>
      <c r="G90" s="25" t="n">
        <f aca="false">E90+F90</f>
        <v>0</v>
      </c>
      <c r="H90" s="25" t="n">
        <v>0</v>
      </c>
      <c r="I90" s="25" t="n">
        <v>1</v>
      </c>
      <c r="J90" s="52" t="str">
        <f aca="false">IF(I90&gt;0,"Sim","Não")</f>
        <v>Sim</v>
      </c>
    </row>
    <row r="91" customFormat="false" ht="15" hidden="false" customHeight="false" outlineLevel="0" collapsed="false">
      <c r="A91" s="25" t="n">
        <v>4106407</v>
      </c>
      <c r="B91" s="26" t="s">
        <v>155</v>
      </c>
      <c r="C91" s="26" t="s">
        <v>86</v>
      </c>
      <c r="D91" s="31" t="n">
        <f aca="false">'5 PCM'!G91</f>
        <v>0.393137904755953</v>
      </c>
      <c r="E91" s="25" t="n">
        <v>0</v>
      </c>
      <c r="F91" s="25" t="n">
        <v>0</v>
      </c>
      <c r="G91" s="25" t="n">
        <f aca="false">E91+F91</f>
        <v>0</v>
      </c>
      <c r="H91" s="25" t="n">
        <v>1</v>
      </c>
      <c r="I91" s="25" t="n">
        <v>1</v>
      </c>
      <c r="J91" s="52" t="str">
        <f aca="false">IF(I91&gt;0,"Sim","Não")</f>
        <v>Sim</v>
      </c>
    </row>
    <row r="92" customFormat="false" ht="15" hidden="false" customHeight="false" outlineLevel="0" collapsed="false">
      <c r="A92" s="25" t="n">
        <v>4106456</v>
      </c>
      <c r="B92" s="26" t="s">
        <v>156</v>
      </c>
      <c r="C92" s="26" t="s">
        <v>65</v>
      </c>
      <c r="D92" s="31" t="n">
        <f aca="false">'5 PCM'!G92</f>
        <v>0.691305363486525</v>
      </c>
      <c r="E92" s="25" t="n">
        <v>0</v>
      </c>
      <c r="F92" s="25" t="n">
        <v>1</v>
      </c>
      <c r="G92" s="25" t="n">
        <f aca="false">E92+F92</f>
        <v>1</v>
      </c>
      <c r="H92" s="25" t="n">
        <v>1</v>
      </c>
      <c r="I92" s="25" t="n">
        <v>1</v>
      </c>
      <c r="J92" s="52" t="str">
        <f aca="false">IF(I92&gt;0,"Sim","Não")</f>
        <v>Sim</v>
      </c>
    </row>
    <row r="93" customFormat="false" ht="15" hidden="false" customHeight="false" outlineLevel="0" collapsed="false">
      <c r="A93" s="25" t="n">
        <v>4106506</v>
      </c>
      <c r="B93" s="26" t="s">
        <v>157</v>
      </c>
      <c r="C93" s="26" t="s">
        <v>86</v>
      </c>
      <c r="D93" s="31" t="n">
        <f aca="false">'5 PCM'!G93</f>
        <v>0.474640606313995</v>
      </c>
      <c r="E93" s="25" t="n">
        <v>0</v>
      </c>
      <c r="F93" s="25" t="n">
        <v>1</v>
      </c>
      <c r="G93" s="25" t="n">
        <f aca="false">E93+F93</f>
        <v>1</v>
      </c>
      <c r="H93" s="25" t="n">
        <v>1</v>
      </c>
      <c r="I93" s="25" t="n">
        <v>1</v>
      </c>
      <c r="J93" s="52" t="str">
        <f aca="false">IF(I93&gt;0,"Sim","Não")</f>
        <v>Sim</v>
      </c>
    </row>
    <row r="94" customFormat="false" ht="15" hidden="false" customHeight="false" outlineLevel="0" collapsed="false">
      <c r="A94" s="25" t="n">
        <v>4106555</v>
      </c>
      <c r="B94" s="26" t="s">
        <v>158</v>
      </c>
      <c r="C94" s="26" t="s">
        <v>71</v>
      </c>
      <c r="D94" s="31" t="n">
        <f aca="false">'5 PCM'!G94</f>
        <v>0.502404871674246</v>
      </c>
      <c r="E94" s="25" t="n">
        <v>0</v>
      </c>
      <c r="F94" s="25" t="n">
        <v>0</v>
      </c>
      <c r="G94" s="25" t="n">
        <f aca="false">E94+F94</f>
        <v>0</v>
      </c>
      <c r="H94" s="25" t="n">
        <v>0</v>
      </c>
      <c r="I94" s="25" t="n">
        <v>0</v>
      </c>
      <c r="J94" s="52" t="str">
        <f aca="false">IF(I94&gt;0,"Sim","Não")</f>
        <v>Não</v>
      </c>
    </row>
    <row r="95" customFormat="false" ht="15" hidden="false" customHeight="false" outlineLevel="0" collapsed="false">
      <c r="A95" s="25" t="n">
        <v>4106803</v>
      </c>
      <c r="B95" s="26" t="s">
        <v>159</v>
      </c>
      <c r="C95" s="26" t="s">
        <v>65</v>
      </c>
      <c r="D95" s="31" t="n">
        <f aca="false">'5 PCM'!G95</f>
        <v>0.604262758851651</v>
      </c>
      <c r="E95" s="25" t="n">
        <v>0</v>
      </c>
      <c r="F95" s="25" t="n">
        <v>1</v>
      </c>
      <c r="G95" s="25" t="n">
        <f aca="false">E95+F95</f>
        <v>1</v>
      </c>
      <c r="H95" s="25" t="n">
        <v>1</v>
      </c>
      <c r="I95" s="25" t="n">
        <v>1</v>
      </c>
      <c r="J95" s="52" t="str">
        <f aca="false">IF(I95&gt;0,"Sim","Não")</f>
        <v>Sim</v>
      </c>
    </row>
    <row r="96" customFormat="false" ht="15" hidden="false" customHeight="false" outlineLevel="0" collapsed="false">
      <c r="A96" s="25" t="n">
        <v>4106571</v>
      </c>
      <c r="B96" s="26" t="s">
        <v>160</v>
      </c>
      <c r="C96" s="26" t="s">
        <v>71</v>
      </c>
      <c r="D96" s="31" t="n">
        <f aca="false">'5 PCM'!G96</f>
        <v>0.410887230663961</v>
      </c>
      <c r="E96" s="25" t="n">
        <v>0</v>
      </c>
      <c r="F96" s="25" t="n">
        <v>0</v>
      </c>
      <c r="G96" s="25" t="n">
        <f aca="false">E96+F96</f>
        <v>0</v>
      </c>
      <c r="H96" s="25" t="n">
        <v>0</v>
      </c>
      <c r="I96" s="25" t="n">
        <v>0</v>
      </c>
      <c r="J96" s="52" t="str">
        <f aca="false">IF(I96&gt;0,"Sim","Não")</f>
        <v>Não</v>
      </c>
    </row>
    <row r="97" customFormat="false" ht="15" hidden="false" customHeight="false" outlineLevel="0" collapsed="false">
      <c r="A97" s="25" t="n">
        <v>4106605</v>
      </c>
      <c r="B97" s="26" t="s">
        <v>161</v>
      </c>
      <c r="C97" s="26" t="s">
        <v>86</v>
      </c>
      <c r="D97" s="31" t="n">
        <f aca="false">'5 PCM'!G97</f>
        <v>0.389783199816745</v>
      </c>
      <c r="E97" s="25" t="n">
        <v>0</v>
      </c>
      <c r="F97" s="25" t="n">
        <v>0</v>
      </c>
      <c r="G97" s="25" t="n">
        <f aca="false">E97+F97</f>
        <v>0</v>
      </c>
      <c r="H97" s="25" t="n">
        <v>1</v>
      </c>
      <c r="I97" s="25" t="n">
        <v>1</v>
      </c>
      <c r="J97" s="52" t="str">
        <f aca="false">IF(I97&gt;0,"Sim","Não")</f>
        <v>Sim</v>
      </c>
    </row>
    <row r="98" customFormat="false" ht="15" hidden="false" customHeight="false" outlineLevel="0" collapsed="false">
      <c r="A98" s="25" t="n">
        <v>4106704</v>
      </c>
      <c r="B98" s="26" t="s">
        <v>162</v>
      </c>
      <c r="C98" s="26" t="s">
        <v>71</v>
      </c>
      <c r="D98" s="31" t="n">
        <f aca="false">'5 PCM'!G98</f>
        <v>0.573149226789623</v>
      </c>
      <c r="E98" s="25" t="n">
        <v>0</v>
      </c>
      <c r="F98" s="25" t="n">
        <v>1</v>
      </c>
      <c r="G98" s="25" t="n">
        <f aca="false">E98+F98</f>
        <v>1</v>
      </c>
      <c r="H98" s="25" t="n">
        <v>1</v>
      </c>
      <c r="I98" s="25" t="n">
        <v>1</v>
      </c>
      <c r="J98" s="52" t="str">
        <f aca="false">IF(I98&gt;0,"Sim","Não")</f>
        <v>Sim</v>
      </c>
    </row>
    <row r="99" customFormat="false" ht="15" hidden="false" customHeight="false" outlineLevel="0" collapsed="false">
      <c r="A99" s="25" t="n">
        <v>4106852</v>
      </c>
      <c r="B99" s="26" t="s">
        <v>163</v>
      </c>
      <c r="C99" s="26" t="s">
        <v>71</v>
      </c>
      <c r="D99" s="31" t="n">
        <f aca="false">'5 PCM'!G99</f>
        <v>0.696677647440606</v>
      </c>
      <c r="E99" s="25" t="n">
        <v>0</v>
      </c>
      <c r="F99" s="25" t="n">
        <v>1</v>
      </c>
      <c r="G99" s="25" t="n">
        <f aca="false">E99+F99</f>
        <v>1</v>
      </c>
      <c r="H99" s="25" t="n">
        <v>1</v>
      </c>
      <c r="I99" s="25" t="n">
        <v>1</v>
      </c>
      <c r="J99" s="52" t="str">
        <f aca="false">IF(I99&gt;0,"Sim","Não")</f>
        <v>Sim</v>
      </c>
    </row>
    <row r="100" customFormat="false" ht="15" hidden="false" customHeight="false" outlineLevel="0" collapsed="false">
      <c r="A100" s="25" t="n">
        <v>4106902</v>
      </c>
      <c r="B100" s="26" t="s">
        <v>164</v>
      </c>
      <c r="C100" s="26" t="s">
        <v>165</v>
      </c>
      <c r="D100" s="31" t="n">
        <f aca="false">'5 PCM'!G100</f>
        <v>0.285848652673264</v>
      </c>
      <c r="E100" s="25" t="n">
        <v>0</v>
      </c>
      <c r="F100" s="25" t="n">
        <v>10</v>
      </c>
      <c r="G100" s="25" t="n">
        <f aca="false">E100+F100</f>
        <v>10</v>
      </c>
      <c r="H100" s="25" t="n">
        <v>6</v>
      </c>
      <c r="I100" s="25" t="n">
        <v>6</v>
      </c>
      <c r="J100" s="52" t="str">
        <f aca="false">IF(I100&gt;0,"Sim","Não")</f>
        <v>Sim</v>
      </c>
    </row>
    <row r="101" customFormat="false" ht="15" hidden="false" customHeight="false" outlineLevel="0" collapsed="false">
      <c r="A101" s="25" t="n">
        <v>4107009</v>
      </c>
      <c r="B101" s="26" t="s">
        <v>166</v>
      </c>
      <c r="C101" s="26" t="s">
        <v>65</v>
      </c>
      <c r="D101" s="31" t="n">
        <f aca="false">'5 PCM'!G101</f>
        <v>0.588181863124096</v>
      </c>
      <c r="E101" s="25" t="n">
        <v>0</v>
      </c>
      <c r="F101" s="25" t="n">
        <v>1</v>
      </c>
      <c r="G101" s="25" t="n">
        <f aca="false">E101+F101</f>
        <v>1</v>
      </c>
      <c r="H101" s="25" t="n">
        <v>1</v>
      </c>
      <c r="I101" s="25" t="n">
        <v>1</v>
      </c>
      <c r="J101" s="52" t="str">
        <f aca="false">IF(I101&gt;0,"Sim","Não")</f>
        <v>Sim</v>
      </c>
    </row>
    <row r="102" customFormat="false" ht="15" hidden="false" customHeight="false" outlineLevel="0" collapsed="false">
      <c r="A102" s="25" t="n">
        <v>4107157</v>
      </c>
      <c r="B102" s="26" t="s">
        <v>167</v>
      </c>
      <c r="C102" s="26" t="s">
        <v>71</v>
      </c>
      <c r="D102" s="31" t="n">
        <f aca="false">'5 PCM'!G102</f>
        <v>0.688059673281872</v>
      </c>
      <c r="E102" s="25" t="n">
        <v>0</v>
      </c>
      <c r="F102" s="25" t="n">
        <v>1</v>
      </c>
      <c r="G102" s="25" t="n">
        <f aca="false">E102+F102</f>
        <v>1</v>
      </c>
      <c r="H102" s="25" t="n">
        <v>1</v>
      </c>
      <c r="I102" s="25" t="n">
        <v>1</v>
      </c>
      <c r="J102" s="52" t="str">
        <f aca="false">IF(I102&gt;0,"Sim","Não")</f>
        <v>Sim</v>
      </c>
    </row>
    <row r="103" customFormat="false" ht="15" hidden="false" customHeight="false" outlineLevel="0" collapsed="false">
      <c r="A103" s="25" t="n">
        <v>4107108</v>
      </c>
      <c r="B103" s="26" t="s">
        <v>168</v>
      </c>
      <c r="C103" s="26" t="s">
        <v>65</v>
      </c>
      <c r="D103" s="31" t="n">
        <f aca="false">'5 PCM'!G103</f>
        <v>0.340718042184593</v>
      </c>
      <c r="E103" s="25" t="n">
        <v>0</v>
      </c>
      <c r="F103" s="25" t="n">
        <v>0</v>
      </c>
      <c r="G103" s="25" t="n">
        <f aca="false">E103+F103</f>
        <v>0</v>
      </c>
      <c r="H103" s="25" t="n">
        <v>0</v>
      </c>
      <c r="I103" s="25" t="n">
        <v>0</v>
      </c>
      <c r="J103" s="52" t="str">
        <f aca="false">IF(I103&gt;0,"Sim","Não")</f>
        <v>Não</v>
      </c>
    </row>
    <row r="104" customFormat="false" ht="15" hidden="false" customHeight="false" outlineLevel="0" collapsed="false">
      <c r="A104" s="25" t="n">
        <v>4107124</v>
      </c>
      <c r="B104" s="26" t="s">
        <v>169</v>
      </c>
      <c r="C104" s="26" t="s">
        <v>71</v>
      </c>
      <c r="D104" s="31" t="n">
        <f aca="false">'5 PCM'!G104</f>
        <v>0.788853329631629</v>
      </c>
      <c r="E104" s="25" t="n">
        <v>0</v>
      </c>
      <c r="F104" s="25" t="n">
        <v>1</v>
      </c>
      <c r="G104" s="25" t="n">
        <f aca="false">E104+F104</f>
        <v>1</v>
      </c>
      <c r="H104" s="25" t="n">
        <v>1</v>
      </c>
      <c r="I104" s="25" t="n">
        <v>1</v>
      </c>
      <c r="J104" s="52" t="str">
        <f aca="false">IF(I104&gt;0,"Sim","Não")</f>
        <v>Sim</v>
      </c>
    </row>
    <row r="105" customFormat="false" ht="15" hidden="false" customHeight="false" outlineLevel="0" collapsed="false">
      <c r="A105" s="25" t="n">
        <v>4107207</v>
      </c>
      <c r="B105" s="26" t="s">
        <v>170</v>
      </c>
      <c r="C105" s="26" t="s">
        <v>86</v>
      </c>
      <c r="D105" s="31" t="n">
        <f aca="false">'5 PCM'!G105</f>
        <v>0.34756344217668</v>
      </c>
      <c r="E105" s="25" t="n">
        <v>0</v>
      </c>
      <c r="F105" s="25" t="n">
        <v>0</v>
      </c>
      <c r="G105" s="25" t="n">
        <f aca="false">E105+F105</f>
        <v>0</v>
      </c>
      <c r="H105" s="25" t="n">
        <v>1</v>
      </c>
      <c r="I105" s="25" t="n">
        <v>1</v>
      </c>
      <c r="J105" s="52" t="str">
        <f aca="false">IF(I105&gt;0,"Sim","Não")</f>
        <v>Sim</v>
      </c>
    </row>
    <row r="106" customFormat="false" ht="15" hidden="false" customHeight="false" outlineLevel="0" collapsed="false">
      <c r="A106" s="25" t="n">
        <v>4107256</v>
      </c>
      <c r="B106" s="26" t="s">
        <v>171</v>
      </c>
      <c r="C106" s="26" t="s">
        <v>65</v>
      </c>
      <c r="D106" s="31" t="n">
        <f aca="false">'5 PCM'!G106</f>
        <v>0.31604617264785</v>
      </c>
      <c r="E106" s="25" t="n">
        <v>0</v>
      </c>
      <c r="F106" s="25" t="n">
        <v>0</v>
      </c>
      <c r="G106" s="25" t="n">
        <f aca="false">E106+F106</f>
        <v>0</v>
      </c>
      <c r="H106" s="25" t="n">
        <v>0</v>
      </c>
      <c r="I106" s="25" t="n">
        <v>0</v>
      </c>
      <c r="J106" s="52" t="str">
        <f aca="false">IF(I106&gt;0,"Sim","Não")</f>
        <v>Não</v>
      </c>
    </row>
    <row r="107" customFormat="false" ht="15" hidden="false" customHeight="false" outlineLevel="0" collapsed="false">
      <c r="A107" s="25" t="n">
        <v>4107306</v>
      </c>
      <c r="B107" s="26" t="s">
        <v>172</v>
      </c>
      <c r="C107" s="26" t="s">
        <v>65</v>
      </c>
      <c r="D107" s="31" t="n">
        <f aca="false">'5 PCM'!G107</f>
        <v>0.479018967237655</v>
      </c>
      <c r="E107" s="25" t="n">
        <v>0</v>
      </c>
      <c r="F107" s="25" t="n">
        <v>1</v>
      </c>
      <c r="G107" s="25" t="n">
        <f aca="false">E107+F107</f>
        <v>1</v>
      </c>
      <c r="H107" s="25" t="n">
        <v>1</v>
      </c>
      <c r="I107" s="25" t="n">
        <v>1</v>
      </c>
      <c r="J107" s="52" t="str">
        <f aca="false">IF(I107&gt;0,"Sim","Não")</f>
        <v>Sim</v>
      </c>
    </row>
    <row r="108" customFormat="false" ht="15" hidden="false" customHeight="false" outlineLevel="0" collapsed="false">
      <c r="A108" s="25" t="n">
        <v>4128633</v>
      </c>
      <c r="B108" s="26" t="s">
        <v>173</v>
      </c>
      <c r="C108" s="26" t="s">
        <v>65</v>
      </c>
      <c r="D108" s="31" t="n">
        <f aca="false">'5 PCM'!G108</f>
        <v>0.74663801347657</v>
      </c>
      <c r="E108" s="25" t="n">
        <v>1</v>
      </c>
      <c r="F108" s="25" t="n">
        <v>0</v>
      </c>
      <c r="G108" s="25" t="n">
        <f aca="false">E108+F108</f>
        <v>1</v>
      </c>
      <c r="H108" s="25" t="n">
        <v>1</v>
      </c>
      <c r="I108" s="25" t="n">
        <v>1</v>
      </c>
      <c r="J108" s="52" t="str">
        <f aca="false">IF(I108&gt;0,"Sim","Não")</f>
        <v>Sim</v>
      </c>
    </row>
    <row r="109" customFormat="false" ht="15" hidden="false" customHeight="false" outlineLevel="0" collapsed="false">
      <c r="A109" s="25" t="n">
        <v>4107405</v>
      </c>
      <c r="B109" s="26" t="s">
        <v>174</v>
      </c>
      <c r="C109" s="26" t="s">
        <v>65</v>
      </c>
      <c r="D109" s="31" t="n">
        <f aca="false">'5 PCM'!G109</f>
        <v>0.485423935997141</v>
      </c>
      <c r="E109" s="25" t="n">
        <v>0</v>
      </c>
      <c r="F109" s="25" t="n">
        <v>1</v>
      </c>
      <c r="G109" s="25" t="n">
        <f aca="false">E109+F109</f>
        <v>1</v>
      </c>
      <c r="H109" s="25" t="n">
        <v>1</v>
      </c>
      <c r="I109" s="25" t="n">
        <v>1</v>
      </c>
      <c r="J109" s="52" t="str">
        <f aca="false">IF(I109&gt;0,"Sim","Não")</f>
        <v>Sim</v>
      </c>
    </row>
    <row r="110" customFormat="false" ht="15" hidden="false" customHeight="false" outlineLevel="0" collapsed="false">
      <c r="A110" s="25" t="n">
        <v>4107504</v>
      </c>
      <c r="B110" s="26" t="s">
        <v>175</v>
      </c>
      <c r="C110" s="26" t="s">
        <v>65</v>
      </c>
      <c r="D110" s="31" t="n">
        <f aca="false">'5 PCM'!G110</f>
        <v>0.379302723180887</v>
      </c>
      <c r="E110" s="25" t="n">
        <v>0</v>
      </c>
      <c r="F110" s="25" t="n">
        <v>0</v>
      </c>
      <c r="G110" s="25" t="n">
        <f aca="false">E110+F110</f>
        <v>0</v>
      </c>
      <c r="H110" s="25" t="n">
        <v>0</v>
      </c>
      <c r="I110" s="25" t="n">
        <v>0</v>
      </c>
      <c r="J110" s="52" t="str">
        <f aca="false">IF(I110&gt;0,"Sim","Não")</f>
        <v>Não</v>
      </c>
    </row>
    <row r="111" customFormat="false" ht="15" hidden="false" customHeight="false" outlineLevel="0" collapsed="false">
      <c r="A111" s="25" t="n">
        <v>4107538</v>
      </c>
      <c r="B111" s="26" t="s">
        <v>176</v>
      </c>
      <c r="C111" s="26" t="s">
        <v>71</v>
      </c>
      <c r="D111" s="31" t="n">
        <f aca="false">'5 PCM'!G111</f>
        <v>0.333208784527281</v>
      </c>
      <c r="E111" s="25" t="n">
        <v>0</v>
      </c>
      <c r="F111" s="25" t="n">
        <v>0</v>
      </c>
      <c r="G111" s="25" t="n">
        <f aca="false">E111+F111</f>
        <v>0</v>
      </c>
      <c r="H111" s="25" t="n">
        <v>0</v>
      </c>
      <c r="I111" s="25" t="n">
        <v>0</v>
      </c>
      <c r="J111" s="52" t="str">
        <f aca="false">IF(I111&gt;0,"Sim","Não")</f>
        <v>Não</v>
      </c>
    </row>
    <row r="112" customFormat="false" ht="15" hidden="false" customHeight="false" outlineLevel="0" collapsed="false">
      <c r="A112" s="25" t="n">
        <v>4107520</v>
      </c>
      <c r="B112" s="26" t="s">
        <v>177</v>
      </c>
      <c r="C112" s="26" t="s">
        <v>71</v>
      </c>
      <c r="D112" s="31" t="n">
        <f aca="false">'5 PCM'!G112</f>
        <v>0.360581115524216</v>
      </c>
      <c r="E112" s="25" t="n">
        <v>0</v>
      </c>
      <c r="F112" s="25" t="n">
        <v>0</v>
      </c>
      <c r="G112" s="25" t="n">
        <f aca="false">E112+F112</f>
        <v>0</v>
      </c>
      <c r="H112" s="25" t="n">
        <v>0</v>
      </c>
      <c r="I112" s="25" t="n">
        <v>0</v>
      </c>
      <c r="J112" s="52" t="str">
        <f aca="false">IF(I112&gt;0,"Sim","Não")</f>
        <v>Não</v>
      </c>
    </row>
    <row r="113" customFormat="false" ht="15" hidden="false" customHeight="false" outlineLevel="0" collapsed="false">
      <c r="A113" s="25" t="n">
        <v>4107546</v>
      </c>
      <c r="B113" s="26" t="s">
        <v>178</v>
      </c>
      <c r="C113" s="26" t="s">
        <v>71</v>
      </c>
      <c r="D113" s="31" t="n">
        <f aca="false">'5 PCM'!G113</f>
        <v>0.715465906043567</v>
      </c>
      <c r="E113" s="25" t="n">
        <v>1</v>
      </c>
      <c r="F113" s="25" t="n">
        <v>0</v>
      </c>
      <c r="G113" s="25" t="n">
        <f aca="false">E113+F113</f>
        <v>1</v>
      </c>
      <c r="H113" s="25" t="n">
        <v>1</v>
      </c>
      <c r="I113" s="25" t="n">
        <v>1</v>
      </c>
      <c r="J113" s="52" t="str">
        <f aca="false">IF(I113&gt;0,"Sim","Não")</f>
        <v>Sim</v>
      </c>
    </row>
    <row r="114" customFormat="false" ht="15" hidden="false" customHeight="false" outlineLevel="0" collapsed="false">
      <c r="A114" s="25" t="n">
        <v>4107553</v>
      </c>
      <c r="B114" s="26" t="s">
        <v>179</v>
      </c>
      <c r="C114" s="26" t="s">
        <v>71</v>
      </c>
      <c r="D114" s="31" t="n">
        <f aca="false">'5 PCM'!G114</f>
        <v>0.55372690156599</v>
      </c>
      <c r="E114" s="25" t="n">
        <v>0</v>
      </c>
      <c r="F114" s="25" t="n">
        <v>1</v>
      </c>
      <c r="G114" s="25" t="n">
        <f aca="false">E114+F114</f>
        <v>1</v>
      </c>
      <c r="H114" s="25" t="n">
        <v>1</v>
      </c>
      <c r="I114" s="25" t="n">
        <v>1</v>
      </c>
      <c r="J114" s="52" t="str">
        <f aca="false">IF(I114&gt;0,"Sim","Não")</f>
        <v>Sim</v>
      </c>
    </row>
    <row r="115" customFormat="false" ht="15" hidden="false" customHeight="false" outlineLevel="0" collapsed="false">
      <c r="A115" s="25" t="n">
        <v>4107603</v>
      </c>
      <c r="B115" s="26" t="s">
        <v>180</v>
      </c>
      <c r="C115" s="26" t="s">
        <v>65</v>
      </c>
      <c r="D115" s="31" t="n">
        <f aca="false">'5 PCM'!G115</f>
        <v>0.538011574095069</v>
      </c>
      <c r="E115" s="25" t="n">
        <v>0</v>
      </c>
      <c r="F115" s="25" t="n">
        <v>1</v>
      </c>
      <c r="G115" s="25" t="n">
        <f aca="false">E115+F115</f>
        <v>1</v>
      </c>
      <c r="H115" s="25" t="n">
        <v>1</v>
      </c>
      <c r="I115" s="25" t="n">
        <v>1</v>
      </c>
      <c r="J115" s="52" t="str">
        <f aca="false">IF(I115&gt;0,"Sim","Não")</f>
        <v>Sim</v>
      </c>
    </row>
    <row r="116" customFormat="false" ht="15" hidden="false" customHeight="false" outlineLevel="0" collapsed="false">
      <c r="A116" s="25" t="n">
        <v>4107652</v>
      </c>
      <c r="B116" s="26" t="s">
        <v>181</v>
      </c>
      <c r="C116" s="26" t="s">
        <v>69</v>
      </c>
      <c r="D116" s="31" t="n">
        <f aca="false">'5 PCM'!G116</f>
        <v>0.538399456557626</v>
      </c>
      <c r="E116" s="25" t="n">
        <v>1</v>
      </c>
      <c r="F116" s="25" t="n">
        <v>3</v>
      </c>
      <c r="G116" s="25" t="n">
        <f aca="false">E116+F116</f>
        <v>4</v>
      </c>
      <c r="H116" s="25" t="n">
        <v>3</v>
      </c>
      <c r="I116" s="25" t="n">
        <v>3</v>
      </c>
      <c r="J116" s="52" t="str">
        <f aca="false">IF(I116&gt;0,"Sim","Não")</f>
        <v>Sim</v>
      </c>
    </row>
    <row r="117" customFormat="false" ht="15" hidden="false" customHeight="false" outlineLevel="0" collapsed="false">
      <c r="A117" s="25" t="n">
        <v>4107736</v>
      </c>
      <c r="B117" s="26" t="s">
        <v>182</v>
      </c>
      <c r="C117" s="26" t="s">
        <v>65</v>
      </c>
      <c r="D117" s="31" t="n">
        <f aca="false">'5 PCM'!G117</f>
        <v>0.570419893165589</v>
      </c>
      <c r="E117" s="25" t="n">
        <v>0</v>
      </c>
      <c r="F117" s="25" t="n">
        <v>1</v>
      </c>
      <c r="G117" s="25" t="n">
        <f aca="false">E117+F117</f>
        <v>1</v>
      </c>
      <c r="H117" s="25" t="n">
        <v>1</v>
      </c>
      <c r="I117" s="25" t="n">
        <v>1</v>
      </c>
      <c r="J117" s="52" t="str">
        <f aca="false">IF(I117&gt;0,"Sim","Não")</f>
        <v>Sim</v>
      </c>
    </row>
    <row r="118" customFormat="false" ht="15" hidden="false" customHeight="false" outlineLevel="0" collapsed="false">
      <c r="A118" s="25" t="n">
        <v>4107702</v>
      </c>
      <c r="B118" s="26" t="s">
        <v>183</v>
      </c>
      <c r="C118" s="26" t="s">
        <v>71</v>
      </c>
      <c r="D118" s="31" t="n">
        <f aca="false">'5 PCM'!G118</f>
        <v>0.464012060192599</v>
      </c>
      <c r="E118" s="25" t="n">
        <v>0</v>
      </c>
      <c r="F118" s="25" t="n">
        <v>0</v>
      </c>
      <c r="G118" s="25" t="n">
        <f aca="false">E118+F118</f>
        <v>0</v>
      </c>
      <c r="H118" s="25" t="n">
        <v>0</v>
      </c>
      <c r="I118" s="25" t="n">
        <v>0</v>
      </c>
      <c r="J118" s="52" t="str">
        <f aca="false">IF(I118&gt;0,"Sim","Não")</f>
        <v>Não</v>
      </c>
    </row>
    <row r="119" customFormat="false" ht="15" hidden="false" customHeight="false" outlineLevel="0" collapsed="false">
      <c r="A119" s="25" t="n">
        <v>4107751</v>
      </c>
      <c r="B119" s="26" t="s">
        <v>184</v>
      </c>
      <c r="C119" s="26" t="s">
        <v>65</v>
      </c>
      <c r="D119" s="31" t="n">
        <f aca="false">'5 PCM'!G119</f>
        <v>0.559882495493274</v>
      </c>
      <c r="E119" s="25" t="n">
        <v>0</v>
      </c>
      <c r="F119" s="25" t="n">
        <v>1</v>
      </c>
      <c r="G119" s="25" t="n">
        <f aca="false">E119+F119</f>
        <v>1</v>
      </c>
      <c r="H119" s="25" t="n">
        <v>1</v>
      </c>
      <c r="I119" s="25" t="n">
        <v>1</v>
      </c>
      <c r="J119" s="52" t="str">
        <f aca="false">IF(I119&gt;0,"Sim","Não")</f>
        <v>Sim</v>
      </c>
    </row>
    <row r="120" customFormat="false" ht="15" hidden="false" customHeight="false" outlineLevel="0" collapsed="false">
      <c r="A120" s="25" t="n">
        <v>4107850</v>
      </c>
      <c r="B120" s="26" t="s">
        <v>185</v>
      </c>
      <c r="C120" s="26" t="s">
        <v>71</v>
      </c>
      <c r="D120" s="31" t="n">
        <f aca="false">'5 PCM'!G120</f>
        <v>0.512555434351511</v>
      </c>
      <c r="E120" s="25" t="n">
        <v>0</v>
      </c>
      <c r="F120" s="25" t="n">
        <v>1</v>
      </c>
      <c r="G120" s="25" t="n">
        <f aca="false">E120+F120</f>
        <v>1</v>
      </c>
      <c r="H120" s="25" t="n">
        <v>1</v>
      </c>
      <c r="I120" s="25" t="n">
        <v>1</v>
      </c>
      <c r="J120" s="52" t="str">
        <f aca="false">IF(I120&gt;0,"Sim","Não")</f>
        <v>Sim</v>
      </c>
    </row>
    <row r="121" customFormat="false" ht="15" hidden="false" customHeight="false" outlineLevel="0" collapsed="false">
      <c r="A121" s="25" t="n">
        <v>4107801</v>
      </c>
      <c r="B121" s="26" t="s">
        <v>186</v>
      </c>
      <c r="C121" s="26" t="s">
        <v>71</v>
      </c>
      <c r="D121" s="31" t="n">
        <f aca="false">'5 PCM'!G121</f>
        <v>0.293836815561983</v>
      </c>
      <c r="E121" s="25" t="n">
        <v>0</v>
      </c>
      <c r="F121" s="25" t="n">
        <v>0</v>
      </c>
      <c r="G121" s="25" t="n">
        <f aca="false">E121+F121</f>
        <v>0</v>
      </c>
      <c r="H121" s="25" t="n">
        <v>0</v>
      </c>
      <c r="I121" s="25" t="n">
        <v>0</v>
      </c>
      <c r="J121" s="52" t="str">
        <f aca="false">IF(I121&gt;0,"Sim","Não")</f>
        <v>Não</v>
      </c>
    </row>
    <row r="122" customFormat="false" ht="15" hidden="false" customHeight="false" outlineLevel="0" collapsed="false">
      <c r="A122" s="25" t="n">
        <v>4107900</v>
      </c>
      <c r="B122" s="26" t="s">
        <v>187</v>
      </c>
      <c r="C122" s="26" t="s">
        <v>65</v>
      </c>
      <c r="D122" s="31" t="n">
        <f aca="false">'5 PCM'!G122</f>
        <v>0.360361564364569</v>
      </c>
      <c r="E122" s="25" t="n">
        <v>0</v>
      </c>
      <c r="F122" s="25" t="n">
        <v>0</v>
      </c>
      <c r="G122" s="25" t="n">
        <f aca="false">E122+F122</f>
        <v>0</v>
      </c>
      <c r="H122" s="25" t="n">
        <v>0</v>
      </c>
      <c r="I122" s="25" t="n">
        <v>0</v>
      </c>
      <c r="J122" s="52" t="str">
        <f aca="false">IF(I122&gt;0,"Sim","Não")</f>
        <v>Não</v>
      </c>
    </row>
    <row r="123" customFormat="false" ht="15" hidden="false" customHeight="false" outlineLevel="0" collapsed="false">
      <c r="A123" s="25" t="n">
        <v>4108007</v>
      </c>
      <c r="B123" s="26" t="s">
        <v>188</v>
      </c>
      <c r="C123" s="26" t="s">
        <v>65</v>
      </c>
      <c r="D123" s="31" t="n">
        <f aca="false">'5 PCM'!G123</f>
        <v>0.513510640639112</v>
      </c>
      <c r="E123" s="25" t="n">
        <v>0</v>
      </c>
      <c r="F123" s="25" t="n">
        <v>1</v>
      </c>
      <c r="G123" s="25" t="n">
        <f aca="false">E123+F123</f>
        <v>1</v>
      </c>
      <c r="H123" s="25" t="n">
        <v>1</v>
      </c>
      <c r="I123" s="25" t="n">
        <v>1</v>
      </c>
      <c r="J123" s="52" t="str">
        <f aca="false">IF(I123&gt;0,"Sim","Não")</f>
        <v>Sim</v>
      </c>
    </row>
    <row r="124" customFormat="false" ht="15" hidden="false" customHeight="false" outlineLevel="0" collapsed="false">
      <c r="A124" s="25" t="n">
        <v>4108106</v>
      </c>
      <c r="B124" s="26" t="s">
        <v>189</v>
      </c>
      <c r="C124" s="26" t="s">
        <v>71</v>
      </c>
      <c r="D124" s="31" t="n">
        <f aca="false">'5 PCM'!G124</f>
        <v>0.377360865446148</v>
      </c>
      <c r="E124" s="25" t="n">
        <v>0</v>
      </c>
      <c r="F124" s="25" t="n">
        <v>0</v>
      </c>
      <c r="G124" s="25" t="n">
        <f aca="false">E124+F124</f>
        <v>0</v>
      </c>
      <c r="H124" s="25" t="n">
        <v>0</v>
      </c>
      <c r="I124" s="25" t="n">
        <v>0</v>
      </c>
      <c r="J124" s="52" t="str">
        <f aca="false">IF(I124&gt;0,"Sim","Não")</f>
        <v>Não</v>
      </c>
    </row>
    <row r="125" customFormat="false" ht="15" hidden="false" customHeight="false" outlineLevel="0" collapsed="false">
      <c r="A125" s="25" t="n">
        <v>4108205</v>
      </c>
      <c r="B125" s="26" t="s">
        <v>190</v>
      </c>
      <c r="C125" s="26" t="s">
        <v>65</v>
      </c>
      <c r="D125" s="31" t="n">
        <f aca="false">'5 PCM'!G125</f>
        <v>0.390159889071692</v>
      </c>
      <c r="E125" s="25" t="n">
        <v>0</v>
      </c>
      <c r="F125" s="25" t="n">
        <v>0</v>
      </c>
      <c r="G125" s="25" t="n">
        <f aca="false">E125+F125</f>
        <v>0</v>
      </c>
      <c r="H125" s="25" t="n">
        <v>0</v>
      </c>
      <c r="I125" s="25" t="n">
        <v>0</v>
      </c>
      <c r="J125" s="52" t="str">
        <f aca="false">IF(I125&gt;0,"Sim","Não")</f>
        <v>Não</v>
      </c>
    </row>
    <row r="126" customFormat="false" ht="15" hidden="false" customHeight="false" outlineLevel="0" collapsed="false">
      <c r="A126" s="25" t="n">
        <v>4108304</v>
      </c>
      <c r="B126" s="26" t="s">
        <v>191</v>
      </c>
      <c r="C126" s="26" t="s">
        <v>138</v>
      </c>
      <c r="D126" s="31" t="n">
        <f aca="false">'5 PCM'!G126</f>
        <v>0.469233287894311</v>
      </c>
      <c r="E126" s="25" t="n">
        <v>0</v>
      </c>
      <c r="F126" s="25" t="n">
        <v>6</v>
      </c>
      <c r="G126" s="25" t="n">
        <f aca="false">E126+F126</f>
        <v>6</v>
      </c>
      <c r="H126" s="25" t="n">
        <v>3</v>
      </c>
      <c r="I126" s="25" t="n">
        <v>3</v>
      </c>
      <c r="J126" s="52" t="str">
        <f aca="false">IF(I126&gt;0,"Sim","Não")</f>
        <v>Sim</v>
      </c>
    </row>
    <row r="127" customFormat="false" ht="15" hidden="false" customHeight="false" outlineLevel="0" collapsed="false">
      <c r="A127" s="25" t="n">
        <v>4108452</v>
      </c>
      <c r="B127" s="26" t="s">
        <v>192</v>
      </c>
      <c r="C127" s="26" t="s">
        <v>71</v>
      </c>
      <c r="D127" s="31" t="n">
        <f aca="false">'5 PCM'!G127</f>
        <v>0.562941710863289</v>
      </c>
      <c r="E127" s="25" t="n">
        <v>0</v>
      </c>
      <c r="F127" s="25" t="n">
        <v>1</v>
      </c>
      <c r="G127" s="25" t="n">
        <f aca="false">E127+F127</f>
        <v>1</v>
      </c>
      <c r="H127" s="25" t="n">
        <v>1</v>
      </c>
      <c r="I127" s="25" t="n">
        <v>1</v>
      </c>
      <c r="J127" s="52" t="str">
        <f aca="false">IF(I127&gt;0,"Sim","Não")</f>
        <v>Sim</v>
      </c>
    </row>
    <row r="128" customFormat="false" ht="15" hidden="false" customHeight="false" outlineLevel="0" collapsed="false">
      <c r="A128" s="25" t="n">
        <v>4108320</v>
      </c>
      <c r="B128" s="26" t="s">
        <v>193</v>
      </c>
      <c r="C128" s="26" t="s">
        <v>65</v>
      </c>
      <c r="D128" s="31" t="n">
        <f aca="false">'5 PCM'!G128</f>
        <v>0.673587114450653</v>
      </c>
      <c r="E128" s="25" t="n">
        <v>1</v>
      </c>
      <c r="F128" s="25" t="n">
        <v>0</v>
      </c>
      <c r="G128" s="25" t="n">
        <f aca="false">E128+F128</f>
        <v>1</v>
      </c>
      <c r="H128" s="25" t="n">
        <v>1</v>
      </c>
      <c r="I128" s="25" t="n">
        <v>1</v>
      </c>
      <c r="J128" s="52" t="str">
        <f aca="false">IF(I128&gt;0,"Sim","Não")</f>
        <v>Sim</v>
      </c>
    </row>
    <row r="129" customFormat="false" ht="15" hidden="false" customHeight="false" outlineLevel="0" collapsed="false">
      <c r="A129" s="25" t="n">
        <v>4108403</v>
      </c>
      <c r="B129" s="26" t="s">
        <v>194</v>
      </c>
      <c r="C129" s="26" t="s">
        <v>129</v>
      </c>
      <c r="D129" s="31" t="n">
        <f aca="false">'5 PCM'!G129</f>
        <v>0.350445714922491</v>
      </c>
      <c r="E129" s="25" t="n">
        <v>0</v>
      </c>
      <c r="F129" s="25" t="n">
        <v>2</v>
      </c>
      <c r="G129" s="25" t="n">
        <f aca="false">E129+F129</f>
        <v>2</v>
      </c>
      <c r="H129" s="25" t="n">
        <v>2</v>
      </c>
      <c r="I129" s="25" t="n">
        <v>2</v>
      </c>
      <c r="J129" s="52" t="str">
        <f aca="false">IF(I129&gt;0,"Sim","Não")</f>
        <v>Sim</v>
      </c>
    </row>
    <row r="130" customFormat="false" ht="15" hidden="false" customHeight="false" outlineLevel="0" collapsed="false">
      <c r="A130" s="25" t="n">
        <v>4108502</v>
      </c>
      <c r="B130" s="26" t="s">
        <v>195</v>
      </c>
      <c r="C130" s="26" t="s">
        <v>65</v>
      </c>
      <c r="D130" s="31" t="n">
        <f aca="false">'5 PCM'!G130</f>
        <v>0.716984409631764</v>
      </c>
      <c r="E130" s="25" t="n">
        <v>0</v>
      </c>
      <c r="F130" s="25" t="n">
        <v>1</v>
      </c>
      <c r="G130" s="25" t="n">
        <f aca="false">E130+F130</f>
        <v>1</v>
      </c>
      <c r="H130" s="25" t="n">
        <v>1</v>
      </c>
      <c r="I130" s="25" t="n">
        <v>1</v>
      </c>
      <c r="J130" s="52" t="str">
        <f aca="false">IF(I130&gt;0,"Sim","Não")</f>
        <v>Sim</v>
      </c>
    </row>
    <row r="131" customFormat="false" ht="15" hidden="false" customHeight="false" outlineLevel="0" collapsed="false">
      <c r="A131" s="25" t="n">
        <v>4108551</v>
      </c>
      <c r="B131" s="26" t="s">
        <v>196</v>
      </c>
      <c r="C131" s="26" t="s">
        <v>71</v>
      </c>
      <c r="D131" s="31" t="n">
        <f aca="false">'5 PCM'!G131</f>
        <v>0.46557153450783</v>
      </c>
      <c r="E131" s="25" t="n">
        <v>0</v>
      </c>
      <c r="F131" s="25" t="n">
        <v>0</v>
      </c>
      <c r="G131" s="25" t="n">
        <f aca="false">E131+F131</f>
        <v>0</v>
      </c>
      <c r="H131" s="25" t="n">
        <v>0</v>
      </c>
      <c r="I131" s="25" t="n">
        <v>0</v>
      </c>
      <c r="J131" s="52" t="str">
        <f aca="false">IF(I131&gt;0,"Sim","Não")</f>
        <v>Não</v>
      </c>
    </row>
    <row r="132" customFormat="false" ht="15" hidden="false" customHeight="false" outlineLevel="0" collapsed="false">
      <c r="A132" s="25" t="n">
        <v>4108601</v>
      </c>
      <c r="B132" s="26" t="s">
        <v>197</v>
      </c>
      <c r="C132" s="26" t="s">
        <v>86</v>
      </c>
      <c r="D132" s="31" t="n">
        <f aca="false">'5 PCM'!G132</f>
        <v>0.413535742658155</v>
      </c>
      <c r="E132" s="25" t="n">
        <v>0</v>
      </c>
      <c r="F132" s="25" t="n">
        <v>0</v>
      </c>
      <c r="G132" s="25" t="n">
        <f aca="false">E132+F132</f>
        <v>0</v>
      </c>
      <c r="H132" s="25" t="n">
        <v>1</v>
      </c>
      <c r="I132" s="25" t="n">
        <v>1</v>
      </c>
      <c r="J132" s="52" t="str">
        <f aca="false">IF(I132&gt;0,"Sim","Não")</f>
        <v>Sim</v>
      </c>
    </row>
    <row r="133" customFormat="false" ht="15" hidden="false" customHeight="false" outlineLevel="0" collapsed="false">
      <c r="A133" s="25" t="n">
        <v>4108650</v>
      </c>
      <c r="B133" s="26" t="s">
        <v>198</v>
      </c>
      <c r="C133" s="26" t="s">
        <v>65</v>
      </c>
      <c r="D133" s="31" t="n">
        <f aca="false">'5 PCM'!G133</f>
        <v>0.649216096326379</v>
      </c>
      <c r="E133" s="25" t="n">
        <v>0</v>
      </c>
      <c r="F133" s="25" t="n">
        <v>1</v>
      </c>
      <c r="G133" s="25" t="n">
        <f aca="false">E133+F133</f>
        <v>1</v>
      </c>
      <c r="H133" s="25" t="n">
        <v>1</v>
      </c>
      <c r="I133" s="25" t="n">
        <v>1</v>
      </c>
      <c r="J133" s="52" t="str">
        <f aca="false">IF(I133&gt;0,"Sim","Não")</f>
        <v>Sim</v>
      </c>
    </row>
    <row r="134" customFormat="false" ht="15" hidden="false" customHeight="false" outlineLevel="0" collapsed="false">
      <c r="A134" s="25" t="n">
        <v>4108700</v>
      </c>
      <c r="B134" s="26" t="s">
        <v>199</v>
      </c>
      <c r="C134" s="26" t="s">
        <v>65</v>
      </c>
      <c r="D134" s="31" t="n">
        <f aca="false">'5 PCM'!G134</f>
        <v>0.620561759341419</v>
      </c>
      <c r="E134" s="25" t="n">
        <v>0</v>
      </c>
      <c r="F134" s="25" t="n">
        <v>1</v>
      </c>
      <c r="G134" s="25" t="n">
        <f aca="false">E134+F134</f>
        <v>1</v>
      </c>
      <c r="H134" s="25" t="n">
        <v>1</v>
      </c>
      <c r="I134" s="25" t="n">
        <v>1</v>
      </c>
      <c r="J134" s="52" t="str">
        <f aca="false">IF(I134&gt;0,"Sim","Não")</f>
        <v>Sim</v>
      </c>
    </row>
    <row r="135" customFormat="false" ht="15" hidden="false" customHeight="false" outlineLevel="0" collapsed="false">
      <c r="A135" s="25" t="n">
        <v>4108908</v>
      </c>
      <c r="B135" s="26" t="s">
        <v>200</v>
      </c>
      <c r="C135" s="26" t="s">
        <v>65</v>
      </c>
      <c r="D135" s="31" t="n">
        <f aca="false">'5 PCM'!G135</f>
        <v>0.568178569857736</v>
      </c>
      <c r="E135" s="25" t="n">
        <v>1</v>
      </c>
      <c r="F135" s="25" t="n">
        <v>0</v>
      </c>
      <c r="G135" s="25" t="n">
        <f aca="false">E135+F135</f>
        <v>1</v>
      </c>
      <c r="H135" s="25" t="n">
        <v>1</v>
      </c>
      <c r="I135" s="25" t="n">
        <v>1</v>
      </c>
      <c r="J135" s="52" t="str">
        <f aca="false">IF(I135&gt;0,"Sim","Não")</f>
        <v>Sim</v>
      </c>
    </row>
    <row r="136" customFormat="false" ht="15" hidden="false" customHeight="false" outlineLevel="0" collapsed="false">
      <c r="A136" s="25" t="n">
        <v>4108809</v>
      </c>
      <c r="B136" s="26" t="s">
        <v>201</v>
      </c>
      <c r="C136" s="26" t="s">
        <v>86</v>
      </c>
      <c r="D136" s="31" t="n">
        <f aca="false">'5 PCM'!G136</f>
        <v>0.48261829879143</v>
      </c>
      <c r="E136" s="25" t="n">
        <v>0</v>
      </c>
      <c r="F136" s="25" t="n">
        <v>1</v>
      </c>
      <c r="G136" s="25" t="n">
        <f aca="false">E136+F136</f>
        <v>1</v>
      </c>
      <c r="H136" s="25" t="n">
        <v>1</v>
      </c>
      <c r="I136" s="25" t="n">
        <v>1</v>
      </c>
      <c r="J136" s="52" t="str">
        <f aca="false">IF(I136&gt;0,"Sim","Não")</f>
        <v>Sim</v>
      </c>
    </row>
    <row r="137" customFormat="false" ht="15" hidden="false" customHeight="false" outlineLevel="0" collapsed="false">
      <c r="A137" s="25" t="n">
        <v>4108957</v>
      </c>
      <c r="B137" s="26" t="s">
        <v>202</v>
      </c>
      <c r="C137" s="26" t="s">
        <v>65</v>
      </c>
      <c r="D137" s="31" t="n">
        <f aca="false">'5 PCM'!G137</f>
        <v>0.699283647380817</v>
      </c>
      <c r="E137" s="25" t="n">
        <v>0</v>
      </c>
      <c r="F137" s="25" t="n">
        <v>1</v>
      </c>
      <c r="G137" s="25" t="n">
        <f aca="false">E137+F137</f>
        <v>1</v>
      </c>
      <c r="H137" s="25" t="n">
        <v>1</v>
      </c>
      <c r="I137" s="25" t="n">
        <v>1</v>
      </c>
      <c r="J137" s="52" t="str">
        <f aca="false">IF(I137&gt;0,"Sim","Não")</f>
        <v>Sim</v>
      </c>
    </row>
    <row r="138" customFormat="false" ht="15" hidden="false" customHeight="false" outlineLevel="0" collapsed="false">
      <c r="A138" s="25" t="n">
        <v>4109005</v>
      </c>
      <c r="B138" s="26" t="s">
        <v>203</v>
      </c>
      <c r="C138" s="26" t="s">
        <v>71</v>
      </c>
      <c r="D138" s="31" t="n">
        <f aca="false">'5 PCM'!G138</f>
        <v>0.488702957344692</v>
      </c>
      <c r="E138" s="25" t="n">
        <v>0</v>
      </c>
      <c r="F138" s="25" t="n">
        <v>0</v>
      </c>
      <c r="G138" s="25" t="n">
        <f aca="false">E138+F138</f>
        <v>0</v>
      </c>
      <c r="H138" s="25" t="n">
        <v>0</v>
      </c>
      <c r="I138" s="25" t="n">
        <v>0</v>
      </c>
      <c r="J138" s="52" t="str">
        <f aca="false">IF(I138&gt;0,"Sim","Não")</f>
        <v>Não</v>
      </c>
    </row>
    <row r="139" customFormat="false" ht="15" hidden="false" customHeight="false" outlineLevel="0" collapsed="false">
      <c r="A139" s="25" t="n">
        <v>4109104</v>
      </c>
      <c r="B139" s="26" t="s">
        <v>204</v>
      </c>
      <c r="C139" s="26" t="s">
        <v>71</v>
      </c>
      <c r="D139" s="31" t="n">
        <f aca="false">'5 PCM'!G139</f>
        <v>0.477815988971781</v>
      </c>
      <c r="E139" s="25" t="n">
        <v>0</v>
      </c>
      <c r="F139" s="25" t="n">
        <v>0</v>
      </c>
      <c r="G139" s="25" t="n">
        <f aca="false">E139+F139</f>
        <v>0</v>
      </c>
      <c r="H139" s="25" t="n">
        <v>0</v>
      </c>
      <c r="I139" s="25" t="n">
        <v>0</v>
      </c>
      <c r="J139" s="52" t="str">
        <f aca="false">IF(I139&gt;0,"Sim","Não")</f>
        <v>Não</v>
      </c>
    </row>
    <row r="140" customFormat="false" ht="15" hidden="false" customHeight="false" outlineLevel="0" collapsed="false">
      <c r="A140" s="25" t="n">
        <v>4109203</v>
      </c>
      <c r="B140" s="26" t="s">
        <v>205</v>
      </c>
      <c r="C140" s="26" t="s">
        <v>71</v>
      </c>
      <c r="D140" s="31" t="n">
        <f aca="false">'5 PCM'!G140</f>
        <v>0.506813004566837</v>
      </c>
      <c r="E140" s="25" t="n">
        <v>0</v>
      </c>
      <c r="F140" s="25" t="n">
        <v>0</v>
      </c>
      <c r="G140" s="25" t="n">
        <f aca="false">E140+F140</f>
        <v>0</v>
      </c>
      <c r="H140" s="25" t="n">
        <v>0</v>
      </c>
      <c r="I140" s="25" t="n">
        <v>0</v>
      </c>
      <c r="J140" s="52" t="str">
        <f aca="false">IF(I140&gt;0,"Sim","Não")</f>
        <v>Não</v>
      </c>
    </row>
    <row r="141" customFormat="false" ht="15" hidden="false" customHeight="false" outlineLevel="0" collapsed="false">
      <c r="A141" s="25" t="n">
        <v>4109302</v>
      </c>
      <c r="B141" s="26" t="s">
        <v>206</v>
      </c>
      <c r="C141" s="26" t="s">
        <v>65</v>
      </c>
      <c r="D141" s="31" t="n">
        <f aca="false">'5 PCM'!G141</f>
        <v>0.476936441633247</v>
      </c>
      <c r="E141" s="25" t="n">
        <v>0</v>
      </c>
      <c r="F141" s="25" t="n">
        <v>1</v>
      </c>
      <c r="G141" s="25" t="n">
        <f aca="false">E141+F141</f>
        <v>1</v>
      </c>
      <c r="H141" s="25" t="n">
        <v>1</v>
      </c>
      <c r="I141" s="25" t="n">
        <v>1</v>
      </c>
      <c r="J141" s="52" t="str">
        <f aca="false">IF(I141&gt;0,"Sim","Não")</f>
        <v>Sim</v>
      </c>
    </row>
    <row r="142" customFormat="false" ht="15" hidden="false" customHeight="false" outlineLevel="0" collapsed="false">
      <c r="A142" s="25" t="n">
        <v>4109401</v>
      </c>
      <c r="B142" s="26" t="s">
        <v>207</v>
      </c>
      <c r="C142" s="26" t="s">
        <v>69</v>
      </c>
      <c r="D142" s="31" t="n">
        <f aca="false">'5 PCM'!G142</f>
        <v>0.469070204453341</v>
      </c>
      <c r="E142" s="25" t="n">
        <v>1</v>
      </c>
      <c r="F142" s="25" t="n">
        <v>3</v>
      </c>
      <c r="G142" s="25" t="n">
        <f aca="false">E142+F142</f>
        <v>4</v>
      </c>
      <c r="H142" s="25" t="n">
        <v>2</v>
      </c>
      <c r="I142" s="25" t="n">
        <v>2</v>
      </c>
      <c r="J142" s="52" t="str">
        <f aca="false">IF(I142&gt;0,"Sim","Não")</f>
        <v>Sim</v>
      </c>
    </row>
    <row r="143" customFormat="false" ht="15" hidden="false" customHeight="false" outlineLevel="0" collapsed="false">
      <c r="A143" s="25" t="n">
        <v>4109500</v>
      </c>
      <c r="B143" s="26" t="s">
        <v>208</v>
      </c>
      <c r="C143" s="26" t="s">
        <v>65</v>
      </c>
      <c r="D143" s="31" t="n">
        <f aca="false">'5 PCM'!G143</f>
        <v>0.775395903573355</v>
      </c>
      <c r="E143" s="25" t="n">
        <v>1</v>
      </c>
      <c r="F143" s="25" t="n">
        <v>0</v>
      </c>
      <c r="G143" s="25" t="n">
        <f aca="false">E143+F143</f>
        <v>1</v>
      </c>
      <c r="H143" s="25" t="n">
        <v>1</v>
      </c>
      <c r="I143" s="25" t="n">
        <v>1</v>
      </c>
      <c r="J143" s="52" t="str">
        <f aca="false">IF(I143&gt;0,"Sim","Não")</f>
        <v>Sim</v>
      </c>
    </row>
    <row r="144" customFormat="false" ht="15" hidden="false" customHeight="false" outlineLevel="0" collapsed="false">
      <c r="A144" s="25" t="n">
        <v>4109609</v>
      </c>
      <c r="B144" s="26" t="s">
        <v>209</v>
      </c>
      <c r="C144" s="26" t="s">
        <v>86</v>
      </c>
      <c r="D144" s="31" t="n">
        <f aca="false">'5 PCM'!G144</f>
        <v>0.400982006174288</v>
      </c>
      <c r="E144" s="25" t="n">
        <v>0</v>
      </c>
      <c r="F144" s="25" t="n">
        <v>1</v>
      </c>
      <c r="G144" s="25" t="n">
        <f aca="false">E144+F144</f>
        <v>1</v>
      </c>
      <c r="H144" s="25" t="n">
        <v>1</v>
      </c>
      <c r="I144" s="25" t="n">
        <v>1</v>
      </c>
      <c r="J144" s="52" t="str">
        <f aca="false">IF(I144&gt;0,"Sim","Não")</f>
        <v>Sim</v>
      </c>
    </row>
    <row r="145" customFormat="false" ht="15" hidden="false" customHeight="false" outlineLevel="0" collapsed="false">
      <c r="A145" s="25" t="n">
        <v>4109658</v>
      </c>
      <c r="B145" s="26" t="s">
        <v>210</v>
      </c>
      <c r="C145" s="26" t="s">
        <v>71</v>
      </c>
      <c r="D145" s="31" t="n">
        <f aca="false">'5 PCM'!G145</f>
        <v>0.620049085410408</v>
      </c>
      <c r="E145" s="25" t="n">
        <v>0</v>
      </c>
      <c r="F145" s="25" t="n">
        <v>1</v>
      </c>
      <c r="G145" s="25" t="n">
        <f aca="false">E145+F145</f>
        <v>1</v>
      </c>
      <c r="H145" s="25" t="n">
        <v>1</v>
      </c>
      <c r="I145" s="25" t="n">
        <v>1</v>
      </c>
      <c r="J145" s="52" t="str">
        <f aca="false">IF(I145&gt;0,"Sim","Não")</f>
        <v>Sim</v>
      </c>
    </row>
    <row r="146" customFormat="false" ht="15" hidden="false" customHeight="false" outlineLevel="0" collapsed="false">
      <c r="A146" s="25" t="n">
        <v>4109708</v>
      </c>
      <c r="B146" s="26" t="s">
        <v>211</v>
      </c>
      <c r="C146" s="26" t="s">
        <v>86</v>
      </c>
      <c r="D146" s="31" t="n">
        <f aca="false">'5 PCM'!G146</f>
        <v>0.457524785603077</v>
      </c>
      <c r="E146" s="25" t="n">
        <v>0</v>
      </c>
      <c r="F146" s="25" t="n">
        <v>1</v>
      </c>
      <c r="G146" s="25" t="n">
        <f aca="false">E146+F146</f>
        <v>1</v>
      </c>
      <c r="H146" s="25" t="n">
        <v>1</v>
      </c>
      <c r="I146" s="25" t="n">
        <v>1</v>
      </c>
      <c r="J146" s="52" t="str">
        <f aca="false">IF(I146&gt;0,"Sim","Não")</f>
        <v>Sim</v>
      </c>
    </row>
    <row r="147" customFormat="false" ht="15" hidden="false" customHeight="false" outlineLevel="0" collapsed="false">
      <c r="A147" s="25" t="n">
        <v>4109757</v>
      </c>
      <c r="B147" s="26" t="s">
        <v>212</v>
      </c>
      <c r="C147" s="26" t="s">
        <v>65</v>
      </c>
      <c r="D147" s="31" t="n">
        <f aca="false">'5 PCM'!G147</f>
        <v>0.480645017837769</v>
      </c>
      <c r="E147" s="25" t="n">
        <v>0</v>
      </c>
      <c r="F147" s="25" t="n">
        <v>1</v>
      </c>
      <c r="G147" s="25" t="n">
        <f aca="false">E147+F147</f>
        <v>1</v>
      </c>
      <c r="H147" s="25" t="n">
        <v>1</v>
      </c>
      <c r="I147" s="25" t="n">
        <v>1</v>
      </c>
      <c r="J147" s="52" t="str">
        <f aca="false">IF(I147&gt;0,"Sim","Não")</f>
        <v>Sim</v>
      </c>
    </row>
    <row r="148" customFormat="false" ht="15" hidden="false" customHeight="false" outlineLevel="0" collapsed="false">
      <c r="A148" s="25" t="n">
        <v>4109807</v>
      </c>
      <c r="B148" s="26" t="s">
        <v>213</v>
      </c>
      <c r="C148" s="26" t="s">
        <v>86</v>
      </c>
      <c r="D148" s="31" t="n">
        <f aca="false">'5 PCM'!G148</f>
        <v>0.428815156039276</v>
      </c>
      <c r="E148" s="25" t="n">
        <v>0</v>
      </c>
      <c r="F148" s="25" t="n">
        <v>0</v>
      </c>
      <c r="G148" s="25" t="n">
        <f aca="false">E148+F148</f>
        <v>0</v>
      </c>
      <c r="H148" s="25" t="n">
        <v>1</v>
      </c>
      <c r="I148" s="25" t="n">
        <v>1</v>
      </c>
      <c r="J148" s="52" t="str">
        <f aca="false">IF(I148&gt;0,"Sim","Não")</f>
        <v>Sim</v>
      </c>
    </row>
    <row r="149" customFormat="false" ht="15" hidden="false" customHeight="false" outlineLevel="0" collapsed="false">
      <c r="A149" s="25" t="n">
        <v>4109906</v>
      </c>
      <c r="B149" s="26" t="s">
        <v>214</v>
      </c>
      <c r="C149" s="26" t="s">
        <v>65</v>
      </c>
      <c r="D149" s="31" t="n">
        <f aca="false">'5 PCM'!G149</f>
        <v>0.578550800422053</v>
      </c>
      <c r="E149" s="25" t="n">
        <v>1</v>
      </c>
      <c r="F149" s="25" t="n">
        <v>0</v>
      </c>
      <c r="G149" s="25" t="n">
        <f aca="false">E149+F149</f>
        <v>1</v>
      </c>
      <c r="H149" s="25" t="n">
        <v>1</v>
      </c>
      <c r="I149" s="25" t="n">
        <v>1</v>
      </c>
      <c r="J149" s="52" t="str">
        <f aca="false">IF(I149&gt;0,"Sim","Não")</f>
        <v>Sim</v>
      </c>
    </row>
    <row r="150" customFormat="false" ht="15" hidden="false" customHeight="false" outlineLevel="0" collapsed="false">
      <c r="A150" s="25" t="n">
        <v>4110003</v>
      </c>
      <c r="B150" s="26" t="s">
        <v>215</v>
      </c>
      <c r="C150" s="26" t="s">
        <v>65</v>
      </c>
      <c r="D150" s="31" t="n">
        <f aca="false">'5 PCM'!G150</f>
        <v>0.312724937123536</v>
      </c>
      <c r="E150" s="25" t="n">
        <v>0</v>
      </c>
      <c r="F150" s="25" t="n">
        <v>0</v>
      </c>
      <c r="G150" s="25" t="n">
        <f aca="false">E150+F150</f>
        <v>0</v>
      </c>
      <c r="H150" s="25" t="n">
        <v>0</v>
      </c>
      <c r="I150" s="25" t="n">
        <v>0</v>
      </c>
      <c r="J150" s="52" t="str">
        <f aca="false">IF(I150&gt;0,"Sim","Não")</f>
        <v>Não</v>
      </c>
    </row>
    <row r="151" customFormat="false" ht="15" hidden="false" customHeight="false" outlineLevel="0" collapsed="false">
      <c r="A151" s="25" t="n">
        <v>4110052</v>
      </c>
      <c r="B151" s="26" t="s">
        <v>216</v>
      </c>
      <c r="C151" s="26" t="s">
        <v>71</v>
      </c>
      <c r="D151" s="31" t="n">
        <f aca="false">'5 PCM'!G151</f>
        <v>0.313838000687673</v>
      </c>
      <c r="E151" s="25" t="n">
        <v>0</v>
      </c>
      <c r="F151" s="25" t="n">
        <v>0</v>
      </c>
      <c r="G151" s="25" t="n">
        <f aca="false">E151+F151</f>
        <v>0</v>
      </c>
      <c r="H151" s="25" t="n">
        <v>0</v>
      </c>
      <c r="I151" s="25" t="n">
        <v>0</v>
      </c>
      <c r="J151" s="52" t="str">
        <f aca="false">IF(I151&gt;0,"Sim","Não")</f>
        <v>Não</v>
      </c>
    </row>
    <row r="152" customFormat="false" ht="15" hidden="false" customHeight="false" outlineLevel="0" collapsed="false">
      <c r="A152" s="25" t="n">
        <v>4110078</v>
      </c>
      <c r="B152" s="26" t="s">
        <v>217</v>
      </c>
      <c r="C152" s="26" t="s">
        <v>65</v>
      </c>
      <c r="D152" s="31" t="n">
        <f aca="false">'5 PCM'!G152</f>
        <v>0.6368797940725</v>
      </c>
      <c r="E152" s="25" t="n">
        <v>1</v>
      </c>
      <c r="F152" s="25" t="n">
        <v>0</v>
      </c>
      <c r="G152" s="25" t="n">
        <f aca="false">E152+F152</f>
        <v>1</v>
      </c>
      <c r="H152" s="25" t="n">
        <v>1</v>
      </c>
      <c r="I152" s="25" t="n">
        <v>1</v>
      </c>
      <c r="J152" s="52" t="str">
        <f aca="false">IF(I152&gt;0,"Sim","Não")</f>
        <v>Sim</v>
      </c>
    </row>
    <row r="153" customFormat="false" ht="15" hidden="false" customHeight="false" outlineLevel="0" collapsed="false">
      <c r="A153" s="25" t="n">
        <v>4110102</v>
      </c>
      <c r="B153" s="26" t="s">
        <v>218</v>
      </c>
      <c r="C153" s="26" t="s">
        <v>86</v>
      </c>
      <c r="D153" s="31" t="n">
        <f aca="false">'5 PCM'!G153</f>
        <v>0.534678203740662</v>
      </c>
      <c r="E153" s="25" t="n">
        <v>0</v>
      </c>
      <c r="F153" s="25" t="n">
        <v>1</v>
      </c>
      <c r="G153" s="25" t="n">
        <f aca="false">E153+F153</f>
        <v>1</v>
      </c>
      <c r="H153" s="25" t="n">
        <v>1</v>
      </c>
      <c r="I153" s="25" t="n">
        <v>1</v>
      </c>
      <c r="J153" s="52" t="str">
        <f aca="false">IF(I153&gt;0,"Sim","Não")</f>
        <v>Sim</v>
      </c>
    </row>
    <row r="154" customFormat="false" ht="15" hidden="false" customHeight="false" outlineLevel="0" collapsed="false">
      <c r="A154" s="25" t="n">
        <v>4110300</v>
      </c>
      <c r="B154" s="26" t="s">
        <v>219</v>
      </c>
      <c r="C154" s="26" t="s">
        <v>71</v>
      </c>
      <c r="D154" s="31" t="n">
        <f aca="false">'5 PCM'!G154</f>
        <v>0.422875781640615</v>
      </c>
      <c r="E154" s="25" t="n">
        <v>0</v>
      </c>
      <c r="F154" s="25" t="n">
        <v>0</v>
      </c>
      <c r="G154" s="25" t="n">
        <f aca="false">E154+F154</f>
        <v>0</v>
      </c>
      <c r="H154" s="25" t="n">
        <v>0</v>
      </c>
      <c r="I154" s="25" t="n">
        <v>0</v>
      </c>
      <c r="J154" s="52" t="str">
        <f aca="false">IF(I154&gt;0,"Sim","Não")</f>
        <v>Não</v>
      </c>
    </row>
    <row r="155" customFormat="false" ht="15" hidden="false" customHeight="false" outlineLevel="0" collapsed="false">
      <c r="A155" s="25" t="n">
        <v>4110201</v>
      </c>
      <c r="B155" s="26" t="s">
        <v>220</v>
      </c>
      <c r="C155" s="26" t="s">
        <v>65</v>
      </c>
      <c r="D155" s="31" t="n">
        <f aca="false">'5 PCM'!G155</f>
        <v>0.682362175296368</v>
      </c>
      <c r="E155" s="25" t="n">
        <v>0</v>
      </c>
      <c r="F155" s="25" t="n">
        <v>1</v>
      </c>
      <c r="G155" s="25" t="n">
        <f aca="false">E155+F155</f>
        <v>1</v>
      </c>
      <c r="H155" s="25" t="n">
        <v>1</v>
      </c>
      <c r="I155" s="25" t="n">
        <v>1</v>
      </c>
      <c r="J155" s="52" t="str">
        <f aca="false">IF(I155&gt;0,"Sim","Não")</f>
        <v>Sim</v>
      </c>
    </row>
    <row r="156" customFormat="false" ht="15" hidden="false" customHeight="false" outlineLevel="0" collapsed="false">
      <c r="A156" s="25" t="n">
        <v>4110409</v>
      </c>
      <c r="B156" s="26" t="s">
        <v>221</v>
      </c>
      <c r="C156" s="26" t="s">
        <v>71</v>
      </c>
      <c r="D156" s="31" t="n">
        <f aca="false">'5 PCM'!G156</f>
        <v>0.286409528829409</v>
      </c>
      <c r="E156" s="25" t="n">
        <v>0</v>
      </c>
      <c r="F156" s="25" t="n">
        <v>0</v>
      </c>
      <c r="G156" s="25" t="n">
        <f aca="false">E156+F156</f>
        <v>0</v>
      </c>
      <c r="H156" s="25" t="n">
        <v>0</v>
      </c>
      <c r="I156" s="25" t="n">
        <v>0</v>
      </c>
      <c r="J156" s="52" t="str">
        <f aca="false">IF(I156&gt;0,"Sim","Não")</f>
        <v>Não</v>
      </c>
    </row>
    <row r="157" customFormat="false" ht="15" hidden="false" customHeight="false" outlineLevel="0" collapsed="false">
      <c r="A157" s="25" t="n">
        <v>4110508</v>
      </c>
      <c r="B157" s="26" t="s">
        <v>222</v>
      </c>
      <c r="C157" s="26" t="s">
        <v>65</v>
      </c>
      <c r="D157" s="31" t="n">
        <f aca="false">'5 PCM'!G157</f>
        <v>0.569875606344659</v>
      </c>
      <c r="E157" s="25" t="n">
        <v>0</v>
      </c>
      <c r="F157" s="25" t="n">
        <v>1</v>
      </c>
      <c r="G157" s="25" t="n">
        <f aca="false">E157+F157</f>
        <v>1</v>
      </c>
      <c r="H157" s="25" t="n">
        <v>1</v>
      </c>
      <c r="I157" s="25" t="n">
        <v>1</v>
      </c>
      <c r="J157" s="52" t="str">
        <f aca="false">IF(I157&gt;0,"Sim","Não")</f>
        <v>Sim</v>
      </c>
    </row>
    <row r="158" customFormat="false" ht="15" hidden="false" customHeight="false" outlineLevel="0" collapsed="false">
      <c r="A158" s="25" t="n">
        <v>4110607</v>
      </c>
      <c r="B158" s="26" t="s">
        <v>223</v>
      </c>
      <c r="C158" s="26" t="s">
        <v>65</v>
      </c>
      <c r="D158" s="31" t="n">
        <f aca="false">'5 PCM'!G158</f>
        <v>0.42865107632789</v>
      </c>
      <c r="E158" s="25" t="n">
        <v>0</v>
      </c>
      <c r="F158" s="25" t="n">
        <v>0</v>
      </c>
      <c r="G158" s="25" t="n">
        <f aca="false">E158+F158</f>
        <v>0</v>
      </c>
      <c r="H158" s="25" t="n">
        <v>0</v>
      </c>
      <c r="I158" s="25" t="n">
        <v>0</v>
      </c>
      <c r="J158" s="52" t="str">
        <f aca="false">IF(I158&gt;0,"Sim","Não")</f>
        <v>Não</v>
      </c>
    </row>
    <row r="159" customFormat="false" ht="15" hidden="false" customHeight="false" outlineLevel="0" collapsed="false">
      <c r="A159" s="25" t="n">
        <v>4110656</v>
      </c>
      <c r="B159" s="26" t="s">
        <v>224</v>
      </c>
      <c r="C159" s="26" t="s">
        <v>71</v>
      </c>
      <c r="D159" s="31" t="n">
        <f aca="false">'5 PCM'!G159</f>
        <v>0.429863894432524</v>
      </c>
      <c r="E159" s="25" t="n">
        <v>0</v>
      </c>
      <c r="F159" s="25" t="n">
        <v>0</v>
      </c>
      <c r="G159" s="25" t="n">
        <f aca="false">E159+F159</f>
        <v>0</v>
      </c>
      <c r="H159" s="25" t="n">
        <v>0</v>
      </c>
      <c r="I159" s="25" t="n">
        <v>0</v>
      </c>
      <c r="J159" s="52" t="str">
        <f aca="false">IF(I159&gt;0,"Sim","Não")</f>
        <v>Não</v>
      </c>
    </row>
    <row r="160" customFormat="false" ht="15" hidden="false" customHeight="false" outlineLevel="0" collapsed="false">
      <c r="A160" s="25" t="n">
        <v>4110706</v>
      </c>
      <c r="B160" s="26" t="s">
        <v>225</v>
      </c>
      <c r="C160" s="26" t="s">
        <v>86</v>
      </c>
      <c r="D160" s="31" t="n">
        <f aca="false">'5 PCM'!G160</f>
        <v>0.506937851810365</v>
      </c>
      <c r="E160" s="25" t="n">
        <v>0</v>
      </c>
      <c r="F160" s="25" t="n">
        <v>1</v>
      </c>
      <c r="G160" s="25" t="n">
        <f aca="false">E160+F160</f>
        <v>1</v>
      </c>
      <c r="H160" s="25" t="n">
        <v>1</v>
      </c>
      <c r="I160" s="25" t="n">
        <v>1</v>
      </c>
      <c r="J160" s="52" t="str">
        <f aca="false">IF(I160&gt;0,"Sim","Não")</f>
        <v>Sim</v>
      </c>
    </row>
    <row r="161" customFormat="false" ht="15" hidden="false" customHeight="false" outlineLevel="0" collapsed="false">
      <c r="A161" s="25" t="n">
        <v>4110805</v>
      </c>
      <c r="B161" s="26" t="s">
        <v>226</v>
      </c>
      <c r="C161" s="26" t="s">
        <v>65</v>
      </c>
      <c r="D161" s="31" t="n">
        <f aca="false">'5 PCM'!G161</f>
        <v>0.52233964215789</v>
      </c>
      <c r="E161" s="25" t="n">
        <v>0</v>
      </c>
      <c r="F161" s="25" t="n">
        <v>1</v>
      </c>
      <c r="G161" s="25" t="n">
        <f aca="false">E161+F161</f>
        <v>1</v>
      </c>
      <c r="H161" s="25" t="n">
        <v>1</v>
      </c>
      <c r="I161" s="25" t="n">
        <v>1</v>
      </c>
      <c r="J161" s="52" t="str">
        <f aca="false">IF(I161&gt;0,"Sim","Não")</f>
        <v>Sim</v>
      </c>
    </row>
    <row r="162" customFormat="false" ht="15" hidden="false" customHeight="false" outlineLevel="0" collapsed="false">
      <c r="A162" s="25" t="n">
        <v>4110904</v>
      </c>
      <c r="B162" s="26" t="s">
        <v>227</v>
      </c>
      <c r="C162" s="26" t="s">
        <v>71</v>
      </c>
      <c r="D162" s="31" t="n">
        <f aca="false">'5 PCM'!G162</f>
        <v>0.407919999346276</v>
      </c>
      <c r="E162" s="25" t="n">
        <v>0</v>
      </c>
      <c r="F162" s="25" t="n">
        <v>0</v>
      </c>
      <c r="G162" s="25" t="n">
        <f aca="false">E162+F162</f>
        <v>0</v>
      </c>
      <c r="H162" s="25" t="n">
        <v>0</v>
      </c>
      <c r="I162" s="25" t="n">
        <v>0</v>
      </c>
      <c r="J162" s="52" t="str">
        <f aca="false">IF(I162&gt;0,"Sim","Não")</f>
        <v>Não</v>
      </c>
    </row>
    <row r="163" customFormat="false" ht="15" hidden="false" customHeight="false" outlineLevel="0" collapsed="false">
      <c r="A163" s="25" t="n">
        <v>4110953</v>
      </c>
      <c r="B163" s="26" t="s">
        <v>228</v>
      </c>
      <c r="C163" s="26" t="s">
        <v>65</v>
      </c>
      <c r="D163" s="31" t="n">
        <f aca="false">'5 PCM'!G163</f>
        <v>0.326891361322132</v>
      </c>
      <c r="E163" s="25" t="n">
        <v>0</v>
      </c>
      <c r="F163" s="25" t="n">
        <v>0</v>
      </c>
      <c r="G163" s="25" t="n">
        <f aca="false">E163+F163</f>
        <v>0</v>
      </c>
      <c r="H163" s="25" t="n">
        <v>0</v>
      </c>
      <c r="I163" s="25" t="n">
        <v>0</v>
      </c>
      <c r="J163" s="52" t="str">
        <f aca="false">IF(I163&gt;0,"Sim","Não")</f>
        <v>Não</v>
      </c>
    </row>
    <row r="164" customFormat="false" ht="15" hidden="false" customHeight="false" outlineLevel="0" collapsed="false">
      <c r="A164" s="25" t="n">
        <v>4111001</v>
      </c>
      <c r="B164" s="26" t="s">
        <v>229</v>
      </c>
      <c r="C164" s="26" t="s">
        <v>65</v>
      </c>
      <c r="D164" s="31" t="n">
        <f aca="false">'5 PCM'!G164</f>
        <v>0.482117317011223</v>
      </c>
      <c r="E164" s="25" t="n">
        <v>0</v>
      </c>
      <c r="F164" s="25" t="n">
        <v>1</v>
      </c>
      <c r="G164" s="25" t="n">
        <f aca="false">E164+F164</f>
        <v>1</v>
      </c>
      <c r="H164" s="25" t="n">
        <v>1</v>
      </c>
      <c r="I164" s="25" t="n">
        <v>1</v>
      </c>
      <c r="J164" s="52" t="str">
        <f aca="false">IF(I164&gt;0,"Sim","Não")</f>
        <v>Sim</v>
      </c>
    </row>
    <row r="165" customFormat="false" ht="15" hidden="false" customHeight="false" outlineLevel="0" collapsed="false">
      <c r="A165" s="25" t="n">
        <v>4111100</v>
      </c>
      <c r="B165" s="26" t="s">
        <v>230</v>
      </c>
      <c r="C165" s="26" t="s">
        <v>65</v>
      </c>
      <c r="D165" s="31" t="n">
        <f aca="false">'5 PCM'!G165</f>
        <v>0.327340062251167</v>
      </c>
      <c r="E165" s="25" t="n">
        <v>0</v>
      </c>
      <c r="F165" s="25" t="n">
        <v>0</v>
      </c>
      <c r="G165" s="25" t="n">
        <f aca="false">E165+F165</f>
        <v>0</v>
      </c>
      <c r="H165" s="25" t="n">
        <v>0</v>
      </c>
      <c r="I165" s="25" t="n">
        <v>0</v>
      </c>
      <c r="J165" s="52" t="str">
        <f aca="false">IF(I165&gt;0,"Sim","Não")</f>
        <v>Não</v>
      </c>
    </row>
    <row r="166" customFormat="false" ht="15" hidden="false" customHeight="false" outlineLevel="0" collapsed="false">
      <c r="A166" s="25" t="n">
        <v>4111209</v>
      </c>
      <c r="B166" s="26" t="s">
        <v>231</v>
      </c>
      <c r="C166" s="26" t="s">
        <v>65</v>
      </c>
      <c r="D166" s="31" t="n">
        <f aca="false">'5 PCM'!G166</f>
        <v>0.459654655206985</v>
      </c>
      <c r="E166" s="25" t="n">
        <v>0</v>
      </c>
      <c r="F166" s="25" t="n">
        <v>0</v>
      </c>
      <c r="G166" s="25" t="n">
        <f aca="false">E166+F166</f>
        <v>0</v>
      </c>
      <c r="H166" s="25" t="n">
        <v>0</v>
      </c>
      <c r="I166" s="25" t="n">
        <v>0</v>
      </c>
      <c r="J166" s="52" t="str">
        <f aca="false">IF(I166&gt;0,"Sim","Não")</f>
        <v>Não</v>
      </c>
    </row>
    <row r="167" customFormat="false" ht="15" hidden="false" customHeight="false" outlineLevel="0" collapsed="false">
      <c r="A167" s="25" t="n">
        <v>4111258</v>
      </c>
      <c r="B167" s="26" t="s">
        <v>232</v>
      </c>
      <c r="C167" s="26" t="s">
        <v>86</v>
      </c>
      <c r="D167" s="31" t="n">
        <f aca="false">'5 PCM'!G167</f>
        <v>0.649216847756453</v>
      </c>
      <c r="E167" s="25" t="n">
        <v>1</v>
      </c>
      <c r="F167" s="25" t="n">
        <v>0</v>
      </c>
      <c r="G167" s="25" t="n">
        <f aca="false">E167+F167</f>
        <v>1</v>
      </c>
      <c r="H167" s="25" t="n">
        <v>1</v>
      </c>
      <c r="I167" s="25" t="n">
        <v>1</v>
      </c>
      <c r="J167" s="52" t="str">
        <f aca="false">IF(I167&gt;0,"Sim","Não")</f>
        <v>Sim</v>
      </c>
    </row>
    <row r="168" customFormat="false" ht="15" hidden="false" customHeight="false" outlineLevel="0" collapsed="false">
      <c r="A168" s="25" t="n">
        <v>4111308</v>
      </c>
      <c r="B168" s="26" t="s">
        <v>233</v>
      </c>
      <c r="C168" s="26" t="s">
        <v>71</v>
      </c>
      <c r="D168" s="31" t="n">
        <f aca="false">'5 PCM'!G168</f>
        <v>0.579765741305807</v>
      </c>
      <c r="E168" s="25" t="n">
        <v>0</v>
      </c>
      <c r="F168" s="25" t="n">
        <v>1</v>
      </c>
      <c r="G168" s="25" t="n">
        <f aca="false">E168+F168</f>
        <v>1</v>
      </c>
      <c r="H168" s="25" t="n">
        <v>1</v>
      </c>
      <c r="I168" s="25" t="n">
        <v>1</v>
      </c>
      <c r="J168" s="52" t="str">
        <f aca="false">IF(I168&gt;0,"Sim","Não")</f>
        <v>Sim</v>
      </c>
    </row>
    <row r="169" customFormat="false" ht="15" hidden="false" customHeight="false" outlineLevel="0" collapsed="false">
      <c r="A169" s="25" t="n">
        <v>4111506</v>
      </c>
      <c r="B169" s="26" t="s">
        <v>234</v>
      </c>
      <c r="C169" s="26" t="s">
        <v>86</v>
      </c>
      <c r="D169" s="31" t="n">
        <f aca="false">'5 PCM'!G169</f>
        <v>0.422997097780785</v>
      </c>
      <c r="E169" s="25" t="n">
        <v>0</v>
      </c>
      <c r="F169" s="25" t="n">
        <v>0</v>
      </c>
      <c r="G169" s="25" t="n">
        <f aca="false">E169+F169</f>
        <v>0</v>
      </c>
      <c r="H169" s="25" t="n">
        <v>1</v>
      </c>
      <c r="I169" s="25" t="n">
        <v>1</v>
      </c>
      <c r="J169" s="52" t="str">
        <f aca="false">IF(I169&gt;0,"Sim","Não")</f>
        <v>Sim</v>
      </c>
    </row>
    <row r="170" customFormat="false" ht="15" hidden="false" customHeight="false" outlineLevel="0" collapsed="false">
      <c r="A170" s="25" t="n">
        <v>4111407</v>
      </c>
      <c r="B170" s="26" t="s">
        <v>235</v>
      </c>
      <c r="C170" s="26" t="s">
        <v>65</v>
      </c>
      <c r="D170" s="31" t="n">
        <f aca="false">'5 PCM'!G170</f>
        <v>0.632703978013012</v>
      </c>
      <c r="E170" s="25" t="n">
        <v>0</v>
      </c>
      <c r="F170" s="25" t="n">
        <v>1</v>
      </c>
      <c r="G170" s="25" t="n">
        <f aca="false">E170+F170</f>
        <v>1</v>
      </c>
      <c r="H170" s="25" t="n">
        <v>1</v>
      </c>
      <c r="I170" s="25" t="n">
        <v>1</v>
      </c>
      <c r="J170" s="52" t="str">
        <f aca="false">IF(I170&gt;0,"Sim","Não")</f>
        <v>Sim</v>
      </c>
    </row>
    <row r="171" customFormat="false" ht="15" hidden="false" customHeight="false" outlineLevel="0" collapsed="false">
      <c r="A171" s="25" t="n">
        <v>4111555</v>
      </c>
      <c r="B171" s="26" t="s">
        <v>236</v>
      </c>
      <c r="C171" s="26" t="s">
        <v>65</v>
      </c>
      <c r="D171" s="31" t="n">
        <f aca="false">'5 PCM'!G171</f>
        <v>0.463212568081805</v>
      </c>
      <c r="E171" s="25" t="n">
        <v>0</v>
      </c>
      <c r="F171" s="25" t="n">
        <v>0</v>
      </c>
      <c r="G171" s="25" t="n">
        <f aca="false">E171+F171</f>
        <v>0</v>
      </c>
      <c r="H171" s="25" t="n">
        <v>0</v>
      </c>
      <c r="I171" s="25" t="n">
        <v>0</v>
      </c>
      <c r="J171" s="52" t="str">
        <f aca="false">IF(I171&gt;0,"Sim","Não")</f>
        <v>Não</v>
      </c>
    </row>
    <row r="172" customFormat="false" ht="15" hidden="false" customHeight="false" outlineLevel="0" collapsed="false">
      <c r="A172" s="25" t="n">
        <v>4111605</v>
      </c>
      <c r="B172" s="26" t="s">
        <v>237</v>
      </c>
      <c r="C172" s="26" t="s">
        <v>71</v>
      </c>
      <c r="D172" s="31" t="n">
        <f aca="false">'5 PCM'!G172</f>
        <v>0.240436133457795</v>
      </c>
      <c r="E172" s="25" t="n">
        <v>0</v>
      </c>
      <c r="F172" s="25" t="n">
        <v>0</v>
      </c>
      <c r="G172" s="25" t="n">
        <f aca="false">E172+F172</f>
        <v>0</v>
      </c>
      <c r="H172" s="25" t="n">
        <v>0</v>
      </c>
      <c r="I172" s="25" t="n">
        <v>0</v>
      </c>
      <c r="J172" s="52" t="str">
        <f aca="false">IF(I172&gt;0,"Sim","Não")</f>
        <v>Não</v>
      </c>
    </row>
    <row r="173" customFormat="false" ht="15" hidden="false" customHeight="false" outlineLevel="0" collapsed="false">
      <c r="A173" s="25" t="n">
        <v>4111704</v>
      </c>
      <c r="B173" s="26" t="s">
        <v>238</v>
      </c>
      <c r="C173" s="26" t="s">
        <v>65</v>
      </c>
      <c r="D173" s="31" t="n">
        <f aca="false">'5 PCM'!G173</f>
        <v>0.494391727184051</v>
      </c>
      <c r="E173" s="25" t="n">
        <v>0</v>
      </c>
      <c r="F173" s="25" t="n">
        <v>1</v>
      </c>
      <c r="G173" s="25" t="n">
        <f aca="false">E173+F173</f>
        <v>1</v>
      </c>
      <c r="H173" s="25" t="n">
        <v>1</v>
      </c>
      <c r="I173" s="25" t="n">
        <v>1</v>
      </c>
      <c r="J173" s="52" t="str">
        <f aca="false">IF(I173&gt;0,"Sim","Não")</f>
        <v>Sim</v>
      </c>
    </row>
    <row r="174" customFormat="false" ht="15" hidden="false" customHeight="false" outlineLevel="0" collapsed="false">
      <c r="A174" s="25" t="n">
        <v>4111803</v>
      </c>
      <c r="B174" s="26" t="s">
        <v>239</v>
      </c>
      <c r="C174" s="26" t="s">
        <v>86</v>
      </c>
      <c r="D174" s="31" t="n">
        <f aca="false">'5 PCM'!G174</f>
        <v>0.417061335058671</v>
      </c>
      <c r="E174" s="25" t="n">
        <v>0</v>
      </c>
      <c r="F174" s="25" t="n">
        <v>0</v>
      </c>
      <c r="G174" s="25" t="n">
        <f aca="false">E174+F174</f>
        <v>0</v>
      </c>
      <c r="H174" s="25" t="n">
        <v>1</v>
      </c>
      <c r="I174" s="25" t="n">
        <v>1</v>
      </c>
      <c r="J174" s="52" t="str">
        <f aca="false">IF(I174&gt;0,"Sim","Não")</f>
        <v>Sim</v>
      </c>
    </row>
    <row r="175" customFormat="false" ht="15" hidden="false" customHeight="false" outlineLevel="0" collapsed="false">
      <c r="A175" s="25" t="n">
        <v>4111902</v>
      </c>
      <c r="B175" s="26" t="s">
        <v>240</v>
      </c>
      <c r="C175" s="26" t="s">
        <v>65</v>
      </c>
      <c r="D175" s="31" t="n">
        <f aca="false">'5 PCM'!G175</f>
        <v>0.389382942319146</v>
      </c>
      <c r="E175" s="25" t="n">
        <v>1</v>
      </c>
      <c r="F175" s="25" t="n">
        <v>0</v>
      </c>
      <c r="G175" s="25" t="n">
        <f aca="false">E175+F175</f>
        <v>1</v>
      </c>
      <c r="H175" s="25" t="n">
        <v>1</v>
      </c>
      <c r="I175" s="25" t="n">
        <v>1</v>
      </c>
      <c r="J175" s="52" t="str">
        <f aca="false">IF(I175&gt;0,"Sim","Não")</f>
        <v>Sim</v>
      </c>
    </row>
    <row r="176" customFormat="false" ht="15" hidden="false" customHeight="false" outlineLevel="0" collapsed="false">
      <c r="A176" s="25" t="n">
        <v>4112009</v>
      </c>
      <c r="B176" s="26" t="s">
        <v>241</v>
      </c>
      <c r="C176" s="26" t="s">
        <v>86</v>
      </c>
      <c r="D176" s="31" t="n">
        <f aca="false">'5 PCM'!G176</f>
        <v>0.531563306809911</v>
      </c>
      <c r="E176" s="25" t="n">
        <v>0</v>
      </c>
      <c r="F176" s="25" t="n">
        <v>1</v>
      </c>
      <c r="G176" s="25" t="n">
        <f aca="false">E176+F176</f>
        <v>1</v>
      </c>
      <c r="H176" s="25" t="n">
        <v>1</v>
      </c>
      <c r="I176" s="25" t="n">
        <v>1</v>
      </c>
      <c r="J176" s="52" t="str">
        <f aca="false">IF(I176&gt;0,"Sim","Não")</f>
        <v>Sim</v>
      </c>
    </row>
    <row r="177" customFormat="false" ht="15" hidden="false" customHeight="false" outlineLevel="0" collapsed="false">
      <c r="A177" s="25" t="n">
        <v>4112108</v>
      </c>
      <c r="B177" s="26" t="s">
        <v>242</v>
      </c>
      <c r="C177" s="26" t="s">
        <v>86</v>
      </c>
      <c r="D177" s="31" t="n">
        <f aca="false">'5 PCM'!G177</f>
        <v>0.374286495888088</v>
      </c>
      <c r="E177" s="25" t="n">
        <v>0</v>
      </c>
      <c r="F177" s="25" t="n">
        <v>0</v>
      </c>
      <c r="G177" s="25" t="n">
        <f aca="false">E177+F177</f>
        <v>0</v>
      </c>
      <c r="H177" s="25" t="n">
        <v>1</v>
      </c>
      <c r="I177" s="25" t="n">
        <v>1</v>
      </c>
      <c r="J177" s="52" t="str">
        <f aca="false">IF(I177&gt;0,"Sim","Não")</f>
        <v>Sim</v>
      </c>
    </row>
    <row r="178" customFormat="false" ht="15" hidden="false" customHeight="false" outlineLevel="0" collapsed="false">
      <c r="A178" s="25" t="n">
        <v>4112207</v>
      </c>
      <c r="B178" s="26" t="s">
        <v>243</v>
      </c>
      <c r="C178" s="26" t="s">
        <v>65</v>
      </c>
      <c r="D178" s="31" t="n">
        <f aca="false">'5 PCM'!G178</f>
        <v>0.451366519161463</v>
      </c>
      <c r="E178" s="25" t="n">
        <v>0</v>
      </c>
      <c r="F178" s="25" t="n">
        <v>0</v>
      </c>
      <c r="G178" s="25" t="n">
        <f aca="false">E178+F178</f>
        <v>0</v>
      </c>
      <c r="H178" s="25" t="n">
        <v>0</v>
      </c>
      <c r="I178" s="25" t="n">
        <v>0</v>
      </c>
      <c r="J178" s="52" t="str">
        <f aca="false">IF(I178&gt;0,"Sim","Não")</f>
        <v>Não</v>
      </c>
    </row>
    <row r="179" customFormat="false" ht="15" hidden="false" customHeight="false" outlineLevel="0" collapsed="false">
      <c r="A179" s="25" t="n">
        <v>4112306</v>
      </c>
      <c r="B179" s="26" t="s">
        <v>244</v>
      </c>
      <c r="C179" s="26" t="s">
        <v>71</v>
      </c>
      <c r="D179" s="31" t="n">
        <f aca="false">'5 PCM'!G179</f>
        <v>0.655059904144426</v>
      </c>
      <c r="E179" s="25" t="n">
        <v>0</v>
      </c>
      <c r="F179" s="25" t="n">
        <v>1</v>
      </c>
      <c r="G179" s="25" t="n">
        <f aca="false">E179+F179</f>
        <v>1</v>
      </c>
      <c r="H179" s="25" t="n">
        <v>1</v>
      </c>
      <c r="I179" s="25" t="n">
        <v>1</v>
      </c>
      <c r="J179" s="52" t="str">
        <f aca="false">IF(I179&gt;0,"Sim","Não")</f>
        <v>Sim</v>
      </c>
    </row>
    <row r="180" customFormat="false" ht="15" hidden="false" customHeight="false" outlineLevel="0" collapsed="false">
      <c r="A180" s="25" t="n">
        <v>4112405</v>
      </c>
      <c r="B180" s="26" t="s">
        <v>245</v>
      </c>
      <c r="C180" s="26" t="s">
        <v>65</v>
      </c>
      <c r="D180" s="31" t="n">
        <f aca="false">'5 PCM'!G180</f>
        <v>0.46106954655376</v>
      </c>
      <c r="E180" s="25" t="n">
        <v>0</v>
      </c>
      <c r="F180" s="25" t="n">
        <v>0</v>
      </c>
      <c r="G180" s="25" t="n">
        <f aca="false">E180+F180</f>
        <v>0</v>
      </c>
      <c r="H180" s="25" t="n">
        <v>1</v>
      </c>
      <c r="I180" s="25" t="n">
        <v>1</v>
      </c>
      <c r="J180" s="52" t="str">
        <f aca="false">IF(I180&gt;0,"Sim","Não")</f>
        <v>Sim</v>
      </c>
    </row>
    <row r="181" customFormat="false" ht="15" hidden="false" customHeight="false" outlineLevel="0" collapsed="false">
      <c r="A181" s="25" t="n">
        <v>4112504</v>
      </c>
      <c r="B181" s="26" t="s">
        <v>246</v>
      </c>
      <c r="C181" s="26" t="s">
        <v>65</v>
      </c>
      <c r="D181" s="31" t="n">
        <f aca="false">'5 PCM'!G181</f>
        <v>0.507017138690333</v>
      </c>
      <c r="E181" s="25" t="n">
        <v>0</v>
      </c>
      <c r="F181" s="25" t="n">
        <v>1</v>
      </c>
      <c r="G181" s="25" t="n">
        <f aca="false">E181+F181</f>
        <v>1</v>
      </c>
      <c r="H181" s="25" t="n">
        <v>1</v>
      </c>
      <c r="I181" s="25" t="n">
        <v>1</v>
      </c>
      <c r="J181" s="52" t="str">
        <f aca="false">IF(I181&gt;0,"Sim","Não")</f>
        <v>Sim</v>
      </c>
    </row>
    <row r="182" customFormat="false" ht="15" hidden="false" customHeight="false" outlineLevel="0" collapsed="false">
      <c r="A182" s="25" t="n">
        <v>4112603</v>
      </c>
      <c r="B182" s="26" t="s">
        <v>247</v>
      </c>
      <c r="C182" s="26" t="s">
        <v>71</v>
      </c>
      <c r="D182" s="31" t="n">
        <f aca="false">'5 PCM'!G182</f>
        <v>0.421679524007869</v>
      </c>
      <c r="E182" s="25" t="n">
        <v>0</v>
      </c>
      <c r="F182" s="25" t="n">
        <v>0</v>
      </c>
      <c r="G182" s="25" t="n">
        <f aca="false">E182+F182</f>
        <v>0</v>
      </c>
      <c r="H182" s="25" t="n">
        <v>0</v>
      </c>
      <c r="I182" s="25" t="n">
        <v>0</v>
      </c>
      <c r="J182" s="52" t="str">
        <f aca="false">IF(I182&gt;0,"Sim","Não")</f>
        <v>Não</v>
      </c>
    </row>
    <row r="183" customFormat="false" ht="15" hidden="false" customHeight="false" outlineLevel="0" collapsed="false">
      <c r="A183" s="25" t="n">
        <v>4112702</v>
      </c>
      <c r="B183" s="26" t="s">
        <v>248</v>
      </c>
      <c r="C183" s="26" t="s">
        <v>65</v>
      </c>
      <c r="D183" s="31" t="n">
        <f aca="false">'5 PCM'!G183</f>
        <v>0.529562143208586</v>
      </c>
      <c r="E183" s="25" t="n">
        <v>0</v>
      </c>
      <c r="F183" s="25" t="n">
        <v>1</v>
      </c>
      <c r="G183" s="25" t="n">
        <f aca="false">E183+F183</f>
        <v>1</v>
      </c>
      <c r="H183" s="25" t="n">
        <v>1</v>
      </c>
      <c r="I183" s="25" t="n">
        <v>1</v>
      </c>
      <c r="J183" s="52" t="str">
        <f aca="false">IF(I183&gt;0,"Sim","Não")</f>
        <v>Sim</v>
      </c>
    </row>
    <row r="184" customFormat="false" ht="15" hidden="false" customHeight="false" outlineLevel="0" collapsed="false">
      <c r="A184" s="25" t="n">
        <v>4112751</v>
      </c>
      <c r="B184" s="26" t="s">
        <v>249</v>
      </c>
      <c r="C184" s="26" t="s">
        <v>65</v>
      </c>
      <c r="D184" s="31" t="n">
        <f aca="false">'5 PCM'!G184</f>
        <v>0.457552639941923</v>
      </c>
      <c r="E184" s="25" t="n">
        <v>0</v>
      </c>
      <c r="F184" s="25" t="n">
        <v>0</v>
      </c>
      <c r="G184" s="25" t="n">
        <f aca="false">E184+F184</f>
        <v>0</v>
      </c>
      <c r="H184" s="25" t="n">
        <v>0</v>
      </c>
      <c r="I184" s="25" t="n">
        <v>0</v>
      </c>
      <c r="J184" s="52" t="str">
        <f aca="false">IF(I184&gt;0,"Sim","Não")</f>
        <v>Não</v>
      </c>
    </row>
    <row r="185" customFormat="false" ht="15" hidden="false" customHeight="false" outlineLevel="0" collapsed="false">
      <c r="A185" s="25" t="n">
        <v>4112801</v>
      </c>
      <c r="B185" s="26" t="s">
        <v>250</v>
      </c>
      <c r="C185" s="26" t="s">
        <v>65</v>
      </c>
      <c r="D185" s="31" t="n">
        <f aca="false">'5 PCM'!G185</f>
        <v>0.372725249553496</v>
      </c>
      <c r="E185" s="25" t="n">
        <v>0</v>
      </c>
      <c r="F185" s="25" t="n">
        <v>0</v>
      </c>
      <c r="G185" s="25" t="n">
        <f aca="false">E185+F185</f>
        <v>0</v>
      </c>
      <c r="H185" s="25" t="n">
        <v>0</v>
      </c>
      <c r="I185" s="25" t="n">
        <v>0</v>
      </c>
      <c r="J185" s="52" t="str">
        <f aca="false">IF(I185&gt;0,"Sim","Não")</f>
        <v>Não</v>
      </c>
    </row>
    <row r="186" customFormat="false" ht="15" hidden="false" customHeight="false" outlineLevel="0" collapsed="false">
      <c r="A186" s="25" t="n">
        <v>4112900</v>
      </c>
      <c r="B186" s="26" t="s">
        <v>251</v>
      </c>
      <c r="C186" s="26" t="s">
        <v>71</v>
      </c>
      <c r="D186" s="31" t="n">
        <f aca="false">'5 PCM'!G186</f>
        <v>0.565711219856594</v>
      </c>
      <c r="E186" s="25" t="n">
        <v>1</v>
      </c>
      <c r="F186" s="25" t="n">
        <v>0</v>
      </c>
      <c r="G186" s="25" t="n">
        <f aca="false">E186+F186</f>
        <v>1</v>
      </c>
      <c r="H186" s="25" t="n">
        <v>1</v>
      </c>
      <c r="I186" s="25" t="n">
        <v>1</v>
      </c>
      <c r="J186" s="52" t="str">
        <f aca="false">IF(I186&gt;0,"Sim","Não")</f>
        <v>Sim</v>
      </c>
    </row>
    <row r="187" customFormat="false" ht="15" hidden="false" customHeight="false" outlineLevel="0" collapsed="false">
      <c r="A187" s="25" t="n">
        <v>4112959</v>
      </c>
      <c r="B187" s="26" t="s">
        <v>252</v>
      </c>
      <c r="C187" s="26" t="s">
        <v>65</v>
      </c>
      <c r="D187" s="31" t="n">
        <f aca="false">'5 PCM'!G187</f>
        <v>0.496587477251013</v>
      </c>
      <c r="E187" s="25" t="n">
        <v>1</v>
      </c>
      <c r="F187" s="25" t="n">
        <v>0</v>
      </c>
      <c r="G187" s="25" t="n">
        <f aca="false">E187+F187</f>
        <v>1</v>
      </c>
      <c r="H187" s="25" t="n">
        <v>1</v>
      </c>
      <c r="I187" s="25" t="n">
        <v>1</v>
      </c>
      <c r="J187" s="52" t="str">
        <f aca="false">IF(I187&gt;0,"Sim","Não")</f>
        <v>Sim</v>
      </c>
    </row>
    <row r="188" customFormat="false" ht="15" hidden="false" customHeight="false" outlineLevel="0" collapsed="false">
      <c r="A188" s="25" t="n">
        <v>4113007</v>
      </c>
      <c r="B188" s="26" t="s">
        <v>253</v>
      </c>
      <c r="C188" s="26" t="s">
        <v>65</v>
      </c>
      <c r="D188" s="31" t="n">
        <f aca="false">'5 PCM'!G188</f>
        <v>0.299598590312723</v>
      </c>
      <c r="E188" s="25" t="n">
        <v>0</v>
      </c>
      <c r="F188" s="25" t="n">
        <v>0</v>
      </c>
      <c r="G188" s="25" t="n">
        <f aca="false">E188+F188</f>
        <v>0</v>
      </c>
      <c r="H188" s="25" t="n">
        <v>0</v>
      </c>
      <c r="I188" s="25" t="n">
        <v>0</v>
      </c>
      <c r="J188" s="52" t="str">
        <f aca="false">IF(I188&gt;0,"Sim","Não")</f>
        <v>Não</v>
      </c>
    </row>
    <row r="189" customFormat="false" ht="15" hidden="false" customHeight="false" outlineLevel="0" collapsed="false">
      <c r="A189" s="25" t="n">
        <v>4113106</v>
      </c>
      <c r="B189" s="26" t="s">
        <v>254</v>
      </c>
      <c r="C189" s="26" t="s">
        <v>71</v>
      </c>
      <c r="D189" s="31" t="n">
        <f aca="false">'5 PCM'!G189</f>
        <v>0.403039076218105</v>
      </c>
      <c r="E189" s="25" t="n">
        <v>0</v>
      </c>
      <c r="F189" s="25" t="n">
        <v>0</v>
      </c>
      <c r="G189" s="25" t="n">
        <f aca="false">E189+F189</f>
        <v>0</v>
      </c>
      <c r="H189" s="25" t="n">
        <v>0</v>
      </c>
      <c r="I189" s="25" t="n">
        <v>0</v>
      </c>
      <c r="J189" s="52" t="str">
        <f aca="false">IF(I189&gt;0,"Sim","Não")</f>
        <v>Não</v>
      </c>
    </row>
    <row r="190" customFormat="false" ht="15" hidden="false" customHeight="false" outlineLevel="0" collapsed="false">
      <c r="A190" s="25" t="n">
        <v>4113205</v>
      </c>
      <c r="B190" s="26" t="s">
        <v>255</v>
      </c>
      <c r="C190" s="26" t="s">
        <v>86</v>
      </c>
      <c r="D190" s="31" t="n">
        <f aca="false">'5 PCM'!G190</f>
        <v>0.500509771751835</v>
      </c>
      <c r="E190" s="25" t="n">
        <v>0</v>
      </c>
      <c r="F190" s="25" t="n">
        <v>1</v>
      </c>
      <c r="G190" s="25" t="n">
        <f aca="false">E190+F190</f>
        <v>1</v>
      </c>
      <c r="H190" s="25" t="n">
        <v>1</v>
      </c>
      <c r="I190" s="25" t="n">
        <v>1</v>
      </c>
      <c r="J190" s="52" t="str">
        <f aca="false">IF(I190&gt;0,"Sim","Não")</f>
        <v>Sim</v>
      </c>
    </row>
    <row r="191" customFormat="false" ht="15" hidden="false" customHeight="false" outlineLevel="0" collapsed="false">
      <c r="A191" s="25" t="n">
        <v>4113254</v>
      </c>
      <c r="B191" s="26" t="s">
        <v>256</v>
      </c>
      <c r="C191" s="26" t="s">
        <v>65</v>
      </c>
      <c r="D191" s="31" t="n">
        <f aca="false">'5 PCM'!G191</f>
        <v>0.716033081824034</v>
      </c>
      <c r="E191" s="25" t="n">
        <v>1</v>
      </c>
      <c r="F191" s="25" t="n">
        <v>0</v>
      </c>
      <c r="G191" s="25" t="n">
        <f aca="false">E191+F191</f>
        <v>1</v>
      </c>
      <c r="H191" s="25" t="n">
        <v>1</v>
      </c>
      <c r="I191" s="25" t="n">
        <v>1</v>
      </c>
      <c r="J191" s="52" t="str">
        <f aca="false">IF(I191&gt;0,"Sim","Não")</f>
        <v>Sim</v>
      </c>
    </row>
    <row r="192" customFormat="false" ht="15" hidden="false" customHeight="false" outlineLevel="0" collapsed="false">
      <c r="A192" s="25" t="n">
        <v>4113304</v>
      </c>
      <c r="B192" s="26" t="s">
        <v>257</v>
      </c>
      <c r="C192" s="26" t="s">
        <v>86</v>
      </c>
      <c r="D192" s="31" t="n">
        <f aca="false">'5 PCM'!G192</f>
        <v>0.457411107771434</v>
      </c>
      <c r="E192" s="25" t="n">
        <v>0</v>
      </c>
      <c r="F192" s="25" t="n">
        <v>1</v>
      </c>
      <c r="G192" s="25" t="n">
        <f aca="false">E192+F192</f>
        <v>1</v>
      </c>
      <c r="H192" s="25" t="n">
        <v>1</v>
      </c>
      <c r="I192" s="25" t="n">
        <v>1</v>
      </c>
      <c r="J192" s="52" t="str">
        <f aca="false">IF(I192&gt;0,"Sim","Não")</f>
        <v>Sim</v>
      </c>
    </row>
    <row r="193" customFormat="false" ht="15" hidden="false" customHeight="false" outlineLevel="0" collapsed="false">
      <c r="A193" s="25" t="n">
        <v>4113403</v>
      </c>
      <c r="B193" s="26" t="s">
        <v>258</v>
      </c>
      <c r="C193" s="26" t="s">
        <v>71</v>
      </c>
      <c r="D193" s="31" t="n">
        <f aca="false">'5 PCM'!G193</f>
        <v>0.445814044922352</v>
      </c>
      <c r="E193" s="25" t="n">
        <v>0</v>
      </c>
      <c r="F193" s="25" t="n">
        <v>0</v>
      </c>
      <c r="G193" s="25" t="n">
        <f aca="false">E193+F193</f>
        <v>0</v>
      </c>
      <c r="H193" s="25" t="n">
        <v>0</v>
      </c>
      <c r="I193" s="25" t="n">
        <v>0</v>
      </c>
      <c r="J193" s="52" t="str">
        <f aca="false">IF(I193&gt;0,"Sim","Não")</f>
        <v>Não</v>
      </c>
    </row>
    <row r="194" customFormat="false" ht="15" hidden="false" customHeight="false" outlineLevel="0" collapsed="false">
      <c r="A194" s="25" t="n">
        <v>4113429</v>
      </c>
      <c r="B194" s="26" t="s">
        <v>259</v>
      </c>
      <c r="C194" s="26" t="s">
        <v>71</v>
      </c>
      <c r="D194" s="31" t="n">
        <f aca="false">'5 PCM'!G194</f>
        <v>0.511528919818149</v>
      </c>
      <c r="E194" s="25" t="n">
        <v>0</v>
      </c>
      <c r="F194" s="25" t="n">
        <v>0</v>
      </c>
      <c r="G194" s="25" t="n">
        <f aca="false">E194+F194</f>
        <v>0</v>
      </c>
      <c r="H194" s="25" t="n">
        <v>0</v>
      </c>
      <c r="I194" s="25" t="n">
        <v>0</v>
      </c>
      <c r="J194" s="52" t="str">
        <f aca="false">IF(I194&gt;0,"Sim","Não")</f>
        <v>Não</v>
      </c>
    </row>
    <row r="195" customFormat="false" ht="15" hidden="false" customHeight="false" outlineLevel="0" collapsed="false">
      <c r="A195" s="25" t="n">
        <v>4113452</v>
      </c>
      <c r="B195" s="26" t="s">
        <v>260</v>
      </c>
      <c r="C195" s="26" t="s">
        <v>65</v>
      </c>
      <c r="D195" s="31" t="n">
        <f aca="false">'5 PCM'!G195</f>
        <v>0.557694530691978</v>
      </c>
      <c r="E195" s="25" t="n">
        <v>0</v>
      </c>
      <c r="F195" s="25" t="n">
        <v>1</v>
      </c>
      <c r="G195" s="25" t="n">
        <f aca="false">E195+F195</f>
        <v>1</v>
      </c>
      <c r="H195" s="25" t="n">
        <v>1</v>
      </c>
      <c r="I195" s="25" t="n">
        <v>1</v>
      </c>
      <c r="J195" s="52" t="str">
        <f aca="false">IF(I195&gt;0,"Sim","Não")</f>
        <v>Sim</v>
      </c>
    </row>
    <row r="196" customFormat="false" ht="15" hidden="false" customHeight="false" outlineLevel="0" collapsed="false">
      <c r="A196" s="25" t="n">
        <v>4113502</v>
      </c>
      <c r="B196" s="26" t="s">
        <v>261</v>
      </c>
      <c r="C196" s="26" t="s">
        <v>86</v>
      </c>
      <c r="D196" s="31" t="n">
        <f aca="false">'5 PCM'!G196</f>
        <v>0.366961700065767</v>
      </c>
      <c r="E196" s="25" t="n">
        <v>0</v>
      </c>
      <c r="F196" s="25" t="n">
        <v>0</v>
      </c>
      <c r="G196" s="25" t="n">
        <f aca="false">E196+F196</f>
        <v>0</v>
      </c>
      <c r="H196" s="25" t="n">
        <v>0</v>
      </c>
      <c r="I196" s="25" t="n">
        <v>0</v>
      </c>
      <c r="J196" s="52" t="str">
        <f aca="false">IF(I196&gt;0,"Sim","Não")</f>
        <v>Não</v>
      </c>
    </row>
    <row r="197" customFormat="false" ht="15" hidden="false" customHeight="false" outlineLevel="0" collapsed="false">
      <c r="A197" s="25" t="n">
        <v>4113601</v>
      </c>
      <c r="B197" s="26" t="s">
        <v>262</v>
      </c>
      <c r="C197" s="26" t="s">
        <v>71</v>
      </c>
      <c r="D197" s="31" t="n">
        <f aca="false">'5 PCM'!G197</f>
        <v>0.413823779734643</v>
      </c>
      <c r="E197" s="25" t="n">
        <v>0</v>
      </c>
      <c r="F197" s="25" t="n">
        <v>0</v>
      </c>
      <c r="G197" s="25" t="n">
        <f aca="false">E197+F197</f>
        <v>0</v>
      </c>
      <c r="H197" s="25" t="n">
        <v>0</v>
      </c>
      <c r="I197" s="25" t="n">
        <v>0</v>
      </c>
      <c r="J197" s="52" t="str">
        <f aca="false">IF(I197&gt;0,"Sim","Não")</f>
        <v>Não</v>
      </c>
    </row>
    <row r="198" customFormat="false" ht="15" hidden="false" customHeight="false" outlineLevel="0" collapsed="false">
      <c r="A198" s="25" t="n">
        <v>4113700</v>
      </c>
      <c r="B198" s="26" t="s">
        <v>263</v>
      </c>
      <c r="C198" s="26" t="s">
        <v>264</v>
      </c>
      <c r="D198" s="31" t="n">
        <f aca="false">'5 PCM'!G198</f>
        <v>0.439634857636832</v>
      </c>
      <c r="E198" s="25" t="n">
        <v>0</v>
      </c>
      <c r="F198" s="25" t="n">
        <v>8</v>
      </c>
      <c r="G198" s="25" t="n">
        <f aca="false">E198+F198</f>
        <v>8</v>
      </c>
      <c r="H198" s="25" t="n">
        <v>4</v>
      </c>
      <c r="I198" s="25" t="n">
        <v>4</v>
      </c>
      <c r="J198" s="52" t="str">
        <f aca="false">IF(I198&gt;0,"Sim","Não")</f>
        <v>Sim</v>
      </c>
    </row>
    <row r="199" customFormat="false" ht="15" hidden="false" customHeight="false" outlineLevel="0" collapsed="false">
      <c r="A199" s="25" t="n">
        <v>4113734</v>
      </c>
      <c r="B199" s="26" t="s">
        <v>265</v>
      </c>
      <c r="C199" s="26" t="s">
        <v>65</v>
      </c>
      <c r="D199" s="31" t="n">
        <f aca="false">'5 PCM'!G199</f>
        <v>0.614756975852557</v>
      </c>
      <c r="E199" s="25" t="n">
        <v>0</v>
      </c>
      <c r="F199" s="25" t="n">
        <v>1</v>
      </c>
      <c r="G199" s="25" t="n">
        <f aca="false">E199+F199</f>
        <v>1</v>
      </c>
      <c r="H199" s="25" t="n">
        <v>1</v>
      </c>
      <c r="I199" s="25" t="n">
        <v>1</v>
      </c>
      <c r="J199" s="52" t="str">
        <f aca="false">IF(I199&gt;0,"Sim","Não")</f>
        <v>Sim</v>
      </c>
    </row>
    <row r="200" customFormat="false" ht="15" hidden="false" customHeight="false" outlineLevel="0" collapsed="false">
      <c r="A200" s="25" t="n">
        <v>4113759</v>
      </c>
      <c r="B200" s="26" t="s">
        <v>266</v>
      </c>
      <c r="C200" s="26" t="s">
        <v>71</v>
      </c>
      <c r="D200" s="31" t="n">
        <f aca="false">'5 PCM'!G200</f>
        <v>0.499966616640699</v>
      </c>
      <c r="E200" s="25" t="n">
        <v>0</v>
      </c>
      <c r="F200" s="25" t="n">
        <v>0</v>
      </c>
      <c r="G200" s="25" t="n">
        <f aca="false">E200+F200</f>
        <v>0</v>
      </c>
      <c r="H200" s="25" t="n">
        <v>0</v>
      </c>
      <c r="I200" s="25" t="n">
        <v>0</v>
      </c>
      <c r="J200" s="52" t="str">
        <f aca="false">IF(I200&gt;0,"Sim","Não")</f>
        <v>Não</v>
      </c>
    </row>
    <row r="201" customFormat="false" ht="15" hidden="false" customHeight="false" outlineLevel="0" collapsed="false">
      <c r="A201" s="25" t="n">
        <v>4113809</v>
      </c>
      <c r="B201" s="26" t="s">
        <v>267</v>
      </c>
      <c r="C201" s="26" t="s">
        <v>71</v>
      </c>
      <c r="D201" s="31" t="n">
        <f aca="false">'5 PCM'!G201</f>
        <v>0.47871159286786</v>
      </c>
      <c r="E201" s="25" t="n">
        <v>0</v>
      </c>
      <c r="F201" s="25" t="n">
        <v>0</v>
      </c>
      <c r="G201" s="25" t="n">
        <f aca="false">E201+F201</f>
        <v>0</v>
      </c>
      <c r="H201" s="25" t="n">
        <v>0</v>
      </c>
      <c r="I201" s="25" t="n">
        <v>0</v>
      </c>
      <c r="J201" s="52" t="str">
        <f aca="false">IF(I201&gt;0,"Sim","Não")</f>
        <v>Não</v>
      </c>
    </row>
    <row r="202" customFormat="false" ht="15" hidden="false" customHeight="false" outlineLevel="0" collapsed="false">
      <c r="A202" s="25" t="n">
        <v>4113908</v>
      </c>
      <c r="B202" s="26" t="s">
        <v>268</v>
      </c>
      <c r="C202" s="26" t="s">
        <v>65</v>
      </c>
      <c r="D202" s="31" t="n">
        <f aca="false">'5 PCM'!G202</f>
        <v>0.45841587698071</v>
      </c>
      <c r="E202" s="25" t="n">
        <v>0</v>
      </c>
      <c r="F202" s="25" t="n">
        <v>0</v>
      </c>
      <c r="G202" s="25" t="n">
        <f aca="false">E202+F202</f>
        <v>0</v>
      </c>
      <c r="H202" s="25" t="n">
        <v>0</v>
      </c>
      <c r="I202" s="25" t="n">
        <v>0</v>
      </c>
      <c r="J202" s="52" t="str">
        <f aca="false">IF(I202&gt;0,"Sim","Não")</f>
        <v>Não</v>
      </c>
    </row>
    <row r="203" customFormat="false" ht="15" hidden="false" customHeight="false" outlineLevel="0" collapsed="false">
      <c r="A203" s="25" t="n">
        <v>4114005</v>
      </c>
      <c r="B203" s="26" t="s">
        <v>269</v>
      </c>
      <c r="C203" s="26" t="s">
        <v>65</v>
      </c>
      <c r="D203" s="31" t="n">
        <f aca="false">'5 PCM'!G203</f>
        <v>0.551725433108491</v>
      </c>
      <c r="E203" s="25" t="n">
        <v>0</v>
      </c>
      <c r="F203" s="25" t="n">
        <v>1</v>
      </c>
      <c r="G203" s="25" t="n">
        <f aca="false">E203+F203</f>
        <v>1</v>
      </c>
      <c r="H203" s="25" t="n">
        <v>1</v>
      </c>
      <c r="I203" s="25" t="n">
        <v>1</v>
      </c>
      <c r="J203" s="52" t="str">
        <f aca="false">IF(I203&gt;0,"Sim","Não")</f>
        <v>Sim</v>
      </c>
    </row>
    <row r="204" customFormat="false" ht="15" hidden="false" customHeight="false" outlineLevel="0" collapsed="false">
      <c r="A204" s="25" t="n">
        <v>4114104</v>
      </c>
      <c r="B204" s="26" t="s">
        <v>270</v>
      </c>
      <c r="C204" s="26" t="s">
        <v>86</v>
      </c>
      <c r="D204" s="31" t="n">
        <f aca="false">'5 PCM'!G204</f>
        <v>0.403173095281713</v>
      </c>
      <c r="E204" s="25" t="n">
        <v>0</v>
      </c>
      <c r="F204" s="25" t="n">
        <v>0</v>
      </c>
      <c r="G204" s="25" t="n">
        <f aca="false">E204+F204</f>
        <v>0</v>
      </c>
      <c r="H204" s="25" t="n">
        <v>0</v>
      </c>
      <c r="I204" s="25" t="n">
        <v>0</v>
      </c>
      <c r="J204" s="52" t="str">
        <f aca="false">IF(I204&gt;0,"Sim","Não")</f>
        <v>Não</v>
      </c>
    </row>
    <row r="205" customFormat="false" ht="15" hidden="false" customHeight="false" outlineLevel="0" collapsed="false">
      <c r="A205" s="25" t="n">
        <v>4114203</v>
      </c>
      <c r="B205" s="26" t="s">
        <v>271</v>
      </c>
      <c r="C205" s="26" t="s">
        <v>86</v>
      </c>
      <c r="D205" s="31" t="n">
        <f aca="false">'5 PCM'!G205</f>
        <v>0.340001385535957</v>
      </c>
      <c r="E205" s="25" t="n">
        <v>0</v>
      </c>
      <c r="F205" s="25" t="n">
        <v>0</v>
      </c>
      <c r="G205" s="25" t="n">
        <f aca="false">E205+F205</f>
        <v>0</v>
      </c>
      <c r="H205" s="25" t="n">
        <v>0</v>
      </c>
      <c r="I205" s="25" t="n">
        <v>0</v>
      </c>
      <c r="J205" s="52" t="str">
        <f aca="false">IF(I205&gt;0,"Sim","Não")</f>
        <v>Não</v>
      </c>
    </row>
    <row r="206" customFormat="false" ht="15" hidden="false" customHeight="false" outlineLevel="0" collapsed="false">
      <c r="A206" s="25" t="n">
        <v>4114302</v>
      </c>
      <c r="B206" s="26" t="s">
        <v>272</v>
      </c>
      <c r="C206" s="26" t="s">
        <v>86</v>
      </c>
      <c r="D206" s="31" t="n">
        <f aca="false">'5 PCM'!G206</f>
        <v>0.569799195558413</v>
      </c>
      <c r="E206" s="25" t="n">
        <v>0</v>
      </c>
      <c r="F206" s="25" t="n">
        <v>1</v>
      </c>
      <c r="G206" s="25" t="n">
        <f aca="false">E206+F206</f>
        <v>1</v>
      </c>
      <c r="H206" s="25" t="n">
        <v>1</v>
      </c>
      <c r="I206" s="25" t="n">
        <v>1</v>
      </c>
      <c r="J206" s="52" t="str">
        <f aca="false">IF(I206&gt;0,"Sim","Não")</f>
        <v>Sim</v>
      </c>
    </row>
    <row r="207" customFormat="false" ht="15" hidden="false" customHeight="false" outlineLevel="0" collapsed="false">
      <c r="A207" s="25" t="n">
        <v>4114351</v>
      </c>
      <c r="B207" s="26" t="s">
        <v>273</v>
      </c>
      <c r="C207" s="26" t="s">
        <v>71</v>
      </c>
      <c r="D207" s="31" t="n">
        <f aca="false">'5 PCM'!G207</f>
        <v>0.546971678115543</v>
      </c>
      <c r="E207" s="25" t="n">
        <v>0</v>
      </c>
      <c r="F207" s="25" t="n">
        <v>1</v>
      </c>
      <c r="G207" s="25" t="n">
        <f aca="false">E207+F207</f>
        <v>1</v>
      </c>
      <c r="H207" s="25" t="n">
        <v>1</v>
      </c>
      <c r="I207" s="25" t="n">
        <v>1</v>
      </c>
      <c r="J207" s="52" t="str">
        <f aca="false">IF(I207&gt;0,"Sim","Não")</f>
        <v>Sim</v>
      </c>
    </row>
    <row r="208" customFormat="false" ht="15" hidden="false" customHeight="false" outlineLevel="0" collapsed="false">
      <c r="A208" s="25" t="n">
        <v>4114401</v>
      </c>
      <c r="B208" s="26" t="s">
        <v>274</v>
      </c>
      <c r="C208" s="26" t="s">
        <v>65</v>
      </c>
      <c r="D208" s="31" t="n">
        <f aca="false">'5 PCM'!G208</f>
        <v>0.552174007723195</v>
      </c>
      <c r="E208" s="25" t="n">
        <v>0</v>
      </c>
      <c r="F208" s="25" t="n">
        <v>1</v>
      </c>
      <c r="G208" s="25" t="n">
        <f aca="false">E208+F208</f>
        <v>1</v>
      </c>
      <c r="H208" s="25" t="n">
        <v>1</v>
      </c>
      <c r="I208" s="25" t="n">
        <v>1</v>
      </c>
      <c r="J208" s="52" t="str">
        <f aca="false">IF(I208&gt;0,"Sim","Não")</f>
        <v>Sim</v>
      </c>
    </row>
    <row r="209" customFormat="false" ht="15" hidden="false" customHeight="false" outlineLevel="0" collapsed="false">
      <c r="A209" s="25" t="n">
        <v>4114500</v>
      </c>
      <c r="B209" s="26" t="s">
        <v>275</v>
      </c>
      <c r="C209" s="26" t="s">
        <v>65</v>
      </c>
      <c r="D209" s="31" t="n">
        <f aca="false">'5 PCM'!G209</f>
        <v>0.53613728835153</v>
      </c>
      <c r="E209" s="25" t="n">
        <v>1</v>
      </c>
      <c r="F209" s="25" t="n">
        <v>0</v>
      </c>
      <c r="G209" s="25" t="n">
        <f aca="false">E209+F209</f>
        <v>1</v>
      </c>
      <c r="H209" s="25" t="n">
        <v>1</v>
      </c>
      <c r="I209" s="25" t="n">
        <v>1</v>
      </c>
      <c r="J209" s="52" t="str">
        <f aca="false">IF(I209&gt;0,"Sim","Não")</f>
        <v>Sim</v>
      </c>
    </row>
    <row r="210" customFormat="false" ht="15" hidden="false" customHeight="false" outlineLevel="0" collapsed="false">
      <c r="A210" s="25" t="n">
        <v>4114609</v>
      </c>
      <c r="B210" s="26" t="s">
        <v>276</v>
      </c>
      <c r="C210" s="26" t="s">
        <v>86</v>
      </c>
      <c r="D210" s="31" t="n">
        <f aca="false">'5 PCM'!G210</f>
        <v>0.336662072540195</v>
      </c>
      <c r="E210" s="25" t="n">
        <v>0</v>
      </c>
      <c r="F210" s="25" t="n">
        <v>0</v>
      </c>
      <c r="G210" s="25" t="n">
        <f aca="false">E210+F210</f>
        <v>0</v>
      </c>
      <c r="H210" s="25" t="n">
        <v>1</v>
      </c>
      <c r="I210" s="25" t="n">
        <v>1</v>
      </c>
      <c r="J210" s="52" t="str">
        <f aca="false">IF(I210&gt;0,"Sim","Não")</f>
        <v>Sim</v>
      </c>
    </row>
    <row r="211" customFormat="false" ht="15" hidden="false" customHeight="false" outlineLevel="0" collapsed="false">
      <c r="A211" s="25" t="n">
        <v>4114708</v>
      </c>
      <c r="B211" s="26" t="s">
        <v>277</v>
      </c>
      <c r="C211" s="26" t="s">
        <v>65</v>
      </c>
      <c r="D211" s="31" t="n">
        <f aca="false">'5 PCM'!G211</f>
        <v>0.458701204939556</v>
      </c>
      <c r="E211" s="25" t="n">
        <v>1</v>
      </c>
      <c r="F211" s="25" t="n">
        <v>0</v>
      </c>
      <c r="G211" s="25" t="n">
        <f aca="false">E211+F211</f>
        <v>1</v>
      </c>
      <c r="H211" s="25" t="n">
        <v>1</v>
      </c>
      <c r="I211" s="25" t="n">
        <v>1</v>
      </c>
      <c r="J211" s="52" t="str">
        <f aca="false">IF(I211&gt;0,"Sim","Não")</f>
        <v>Sim</v>
      </c>
    </row>
    <row r="212" customFormat="false" ht="15" hidden="false" customHeight="false" outlineLevel="0" collapsed="false">
      <c r="A212" s="25" t="n">
        <v>4114807</v>
      </c>
      <c r="B212" s="26" t="s">
        <v>278</v>
      </c>
      <c r="C212" s="26" t="s">
        <v>86</v>
      </c>
      <c r="D212" s="31" t="n">
        <f aca="false">'5 PCM'!G212</f>
        <v>0.421058032057289</v>
      </c>
      <c r="E212" s="25" t="n">
        <v>0</v>
      </c>
      <c r="F212" s="25" t="n">
        <v>0</v>
      </c>
      <c r="G212" s="25" t="n">
        <f aca="false">E212+F212</f>
        <v>0</v>
      </c>
      <c r="H212" s="25" t="n">
        <v>0</v>
      </c>
      <c r="I212" s="25" t="n">
        <v>0</v>
      </c>
      <c r="J212" s="52" t="str">
        <f aca="false">IF(I212&gt;0,"Sim","Não")</f>
        <v>Não</v>
      </c>
    </row>
    <row r="213" customFormat="false" ht="15" hidden="false" customHeight="false" outlineLevel="0" collapsed="false">
      <c r="A213" s="25" t="n">
        <v>4114906</v>
      </c>
      <c r="B213" s="26" t="s">
        <v>279</v>
      </c>
      <c r="C213" s="26" t="s">
        <v>65</v>
      </c>
      <c r="D213" s="31" t="n">
        <f aca="false">'5 PCM'!G213</f>
        <v>0.571508205438071</v>
      </c>
      <c r="E213" s="25" t="n">
        <v>1</v>
      </c>
      <c r="F213" s="25" t="n">
        <v>0</v>
      </c>
      <c r="G213" s="25" t="n">
        <f aca="false">E213+F213</f>
        <v>1</v>
      </c>
      <c r="H213" s="25" t="n">
        <v>1</v>
      </c>
      <c r="I213" s="25" t="n">
        <v>1</v>
      </c>
      <c r="J213" s="52" t="str">
        <f aca="false">IF(I213&gt;0,"Sim","Não")</f>
        <v>Sim</v>
      </c>
    </row>
    <row r="214" customFormat="false" ht="15" hidden="false" customHeight="false" outlineLevel="0" collapsed="false">
      <c r="A214" s="25" t="n">
        <v>4115002</v>
      </c>
      <c r="B214" s="26" t="s">
        <v>280</v>
      </c>
      <c r="C214" s="26" t="s">
        <v>65</v>
      </c>
      <c r="D214" s="31" t="n">
        <f aca="false">'5 PCM'!G214</f>
        <v>0.487184394049141</v>
      </c>
      <c r="E214" s="25" t="n">
        <v>0</v>
      </c>
      <c r="F214" s="25" t="n">
        <v>1</v>
      </c>
      <c r="G214" s="25" t="n">
        <f aca="false">E214+F214</f>
        <v>1</v>
      </c>
      <c r="H214" s="25" t="n">
        <v>1</v>
      </c>
      <c r="I214" s="25" t="n">
        <v>1</v>
      </c>
      <c r="J214" s="52" t="str">
        <f aca="false">IF(I214&gt;0,"Sim","Não")</f>
        <v>Sim</v>
      </c>
    </row>
    <row r="215" customFormat="false" ht="15" hidden="false" customHeight="false" outlineLevel="0" collapsed="false">
      <c r="A215" s="25" t="n">
        <v>4115101</v>
      </c>
      <c r="B215" s="26" t="s">
        <v>281</v>
      </c>
      <c r="C215" s="26" t="s">
        <v>65</v>
      </c>
      <c r="D215" s="31" t="n">
        <f aca="false">'5 PCM'!G215</f>
        <v>0.646553050686185</v>
      </c>
      <c r="E215" s="25" t="n">
        <v>0</v>
      </c>
      <c r="F215" s="25" t="n">
        <v>1</v>
      </c>
      <c r="G215" s="25" t="n">
        <f aca="false">E215+F215</f>
        <v>1</v>
      </c>
      <c r="H215" s="25" t="n">
        <v>1</v>
      </c>
      <c r="I215" s="25" t="n">
        <v>1</v>
      </c>
      <c r="J215" s="52" t="str">
        <f aca="false">IF(I215&gt;0,"Sim","Não")</f>
        <v>Sim</v>
      </c>
    </row>
    <row r="216" customFormat="false" ht="15" hidden="false" customHeight="false" outlineLevel="0" collapsed="false">
      <c r="A216" s="25" t="n">
        <v>4115200</v>
      </c>
      <c r="B216" s="26" t="s">
        <v>282</v>
      </c>
      <c r="C216" s="26" t="s">
        <v>138</v>
      </c>
      <c r="D216" s="31" t="n">
        <f aca="false">'5 PCM'!G216</f>
        <v>0.309648469641307</v>
      </c>
      <c r="E216" s="25" t="n">
        <v>0</v>
      </c>
      <c r="F216" s="25" t="n">
        <v>6</v>
      </c>
      <c r="G216" s="25" t="n">
        <f aca="false">E216+F216</f>
        <v>6</v>
      </c>
      <c r="H216" s="25" t="n">
        <v>4</v>
      </c>
      <c r="I216" s="25" t="n">
        <v>4</v>
      </c>
      <c r="J216" s="52" t="str">
        <f aca="false">IF(I216&gt;0,"Sim","Não")</f>
        <v>Sim</v>
      </c>
    </row>
    <row r="217" customFormat="false" ht="15" hidden="false" customHeight="false" outlineLevel="0" collapsed="false">
      <c r="A217" s="25" t="n">
        <v>4115309</v>
      </c>
      <c r="B217" s="26" t="s">
        <v>283</v>
      </c>
      <c r="C217" s="26" t="s">
        <v>65</v>
      </c>
      <c r="D217" s="31" t="n">
        <f aca="false">'5 PCM'!G217</f>
        <v>0.412981058651243</v>
      </c>
      <c r="E217" s="25" t="n">
        <v>0</v>
      </c>
      <c r="F217" s="25" t="n">
        <v>0</v>
      </c>
      <c r="G217" s="25" t="n">
        <f aca="false">E217+F217</f>
        <v>0</v>
      </c>
      <c r="H217" s="25" t="n">
        <v>0</v>
      </c>
      <c r="I217" s="25" t="n">
        <v>0</v>
      </c>
      <c r="J217" s="52" t="str">
        <f aca="false">IF(I217&gt;0,"Sim","Não")</f>
        <v>Não</v>
      </c>
    </row>
    <row r="218" customFormat="false" ht="15" hidden="false" customHeight="false" outlineLevel="0" collapsed="false">
      <c r="A218" s="25" t="n">
        <v>4115358</v>
      </c>
      <c r="B218" s="26" t="s">
        <v>284</v>
      </c>
      <c r="C218" s="26" t="s">
        <v>65</v>
      </c>
      <c r="D218" s="31" t="n">
        <f aca="false">'5 PCM'!G218</f>
        <v>0.380986133478736</v>
      </c>
      <c r="E218" s="25" t="n">
        <v>0</v>
      </c>
      <c r="F218" s="25" t="n">
        <v>0</v>
      </c>
      <c r="G218" s="25" t="n">
        <f aca="false">E218+F218</f>
        <v>0</v>
      </c>
      <c r="H218" s="25" t="n">
        <v>0</v>
      </c>
      <c r="I218" s="25" t="n">
        <v>0</v>
      </c>
      <c r="J218" s="52" t="str">
        <f aca="false">IF(I218&gt;0,"Sim","Não")</f>
        <v>Não</v>
      </c>
    </row>
    <row r="219" customFormat="false" ht="15" hidden="false" customHeight="false" outlineLevel="0" collapsed="false">
      <c r="A219" s="25" t="n">
        <v>4115408</v>
      </c>
      <c r="B219" s="26" t="s">
        <v>285</v>
      </c>
      <c r="C219" s="26" t="s">
        <v>65</v>
      </c>
      <c r="D219" s="31" t="n">
        <f aca="false">'5 PCM'!G219</f>
        <v>0.478446599969688</v>
      </c>
      <c r="E219" s="25" t="n">
        <v>1</v>
      </c>
      <c r="F219" s="25" t="n">
        <v>0</v>
      </c>
      <c r="G219" s="25" t="n">
        <f aca="false">E219+F219</f>
        <v>1</v>
      </c>
      <c r="H219" s="25" t="n">
        <v>1</v>
      </c>
      <c r="I219" s="25" t="n">
        <v>1</v>
      </c>
      <c r="J219" s="52" t="str">
        <f aca="false">IF(I219&gt;0,"Sim","Não")</f>
        <v>Sim</v>
      </c>
    </row>
    <row r="220" customFormat="false" ht="15" hidden="false" customHeight="false" outlineLevel="0" collapsed="false">
      <c r="A220" s="25" t="n">
        <v>4115457</v>
      </c>
      <c r="B220" s="26" t="s">
        <v>286</v>
      </c>
      <c r="C220" s="26" t="s">
        <v>71</v>
      </c>
      <c r="D220" s="31" t="n">
        <f aca="false">'5 PCM'!G220</f>
        <v>0.522114372810586</v>
      </c>
      <c r="E220" s="25" t="n">
        <v>0</v>
      </c>
      <c r="F220" s="25" t="n">
        <v>1</v>
      </c>
      <c r="G220" s="25" t="n">
        <f aca="false">E220+F220</f>
        <v>1</v>
      </c>
      <c r="H220" s="25" t="n">
        <v>1</v>
      </c>
      <c r="I220" s="25" t="n">
        <v>1</v>
      </c>
      <c r="J220" s="52" t="str">
        <f aca="false">IF(I220&gt;0,"Sim","Não")</f>
        <v>Sim</v>
      </c>
    </row>
    <row r="221" customFormat="false" ht="15" hidden="false" customHeight="false" outlineLevel="0" collapsed="false">
      <c r="A221" s="25" t="n">
        <v>4115507</v>
      </c>
      <c r="B221" s="26" t="s">
        <v>287</v>
      </c>
      <c r="C221" s="26" t="s">
        <v>71</v>
      </c>
      <c r="D221" s="31" t="n">
        <f aca="false">'5 PCM'!G221</f>
        <v>0.486619606696745</v>
      </c>
      <c r="E221" s="25" t="n">
        <v>0</v>
      </c>
      <c r="F221" s="25" t="n">
        <v>0</v>
      </c>
      <c r="G221" s="25" t="n">
        <f aca="false">E221+F221</f>
        <v>0</v>
      </c>
      <c r="H221" s="25" t="n">
        <v>0</v>
      </c>
      <c r="I221" s="25" t="n">
        <v>0</v>
      </c>
      <c r="J221" s="52" t="str">
        <f aca="false">IF(I221&gt;0,"Sim","Não")</f>
        <v>Não</v>
      </c>
    </row>
    <row r="222" customFormat="false" ht="15" hidden="false" customHeight="false" outlineLevel="0" collapsed="false">
      <c r="A222" s="25" t="n">
        <v>4115606</v>
      </c>
      <c r="B222" s="26" t="s">
        <v>288</v>
      </c>
      <c r="C222" s="26" t="s">
        <v>65</v>
      </c>
      <c r="D222" s="31" t="n">
        <f aca="false">'5 PCM'!G222</f>
        <v>0.300944261051849</v>
      </c>
      <c r="E222" s="25" t="n">
        <v>0</v>
      </c>
      <c r="F222" s="25" t="n">
        <v>0</v>
      </c>
      <c r="G222" s="25" t="n">
        <f aca="false">E222+F222</f>
        <v>0</v>
      </c>
      <c r="H222" s="25" t="n">
        <v>1</v>
      </c>
      <c r="I222" s="25" t="n">
        <v>1</v>
      </c>
      <c r="J222" s="52" t="str">
        <f aca="false">IF(I222&gt;0,"Sim","Não")</f>
        <v>Sim</v>
      </c>
    </row>
    <row r="223" customFormat="false" ht="15" hidden="false" customHeight="false" outlineLevel="0" collapsed="false">
      <c r="A223" s="25" t="n">
        <v>4115705</v>
      </c>
      <c r="B223" s="26" t="s">
        <v>289</v>
      </c>
      <c r="C223" s="26" t="s">
        <v>86</v>
      </c>
      <c r="D223" s="31" t="n">
        <f aca="false">'5 PCM'!G223</f>
        <v>0.473240019665134</v>
      </c>
      <c r="E223" s="25" t="n">
        <v>0</v>
      </c>
      <c r="F223" s="25" t="n">
        <v>1</v>
      </c>
      <c r="G223" s="25" t="n">
        <f aca="false">E223+F223</f>
        <v>1</v>
      </c>
      <c r="H223" s="25" t="n">
        <v>1</v>
      </c>
      <c r="I223" s="25" t="n">
        <v>1</v>
      </c>
      <c r="J223" s="52" t="str">
        <f aca="false">IF(I223&gt;0,"Sim","Não")</f>
        <v>Sim</v>
      </c>
    </row>
    <row r="224" customFormat="false" ht="15" hidden="false" customHeight="false" outlineLevel="0" collapsed="false">
      <c r="A224" s="25" t="n">
        <v>4115739</v>
      </c>
      <c r="B224" s="26" t="s">
        <v>290</v>
      </c>
      <c r="C224" s="26" t="s">
        <v>71</v>
      </c>
      <c r="D224" s="31" t="n">
        <f aca="false">'5 PCM'!G224</f>
        <v>0.657490249084102</v>
      </c>
      <c r="E224" s="25" t="n">
        <v>0</v>
      </c>
      <c r="F224" s="25" t="n">
        <v>1</v>
      </c>
      <c r="G224" s="25" t="n">
        <f aca="false">E224+F224</f>
        <v>1</v>
      </c>
      <c r="H224" s="25" t="n">
        <v>1</v>
      </c>
      <c r="I224" s="25" t="n">
        <v>1</v>
      </c>
      <c r="J224" s="52" t="str">
        <f aca="false">IF(I224&gt;0,"Sim","Não")</f>
        <v>Sim</v>
      </c>
    </row>
    <row r="225" customFormat="false" ht="15" hidden="false" customHeight="false" outlineLevel="0" collapsed="false">
      <c r="A225" s="25" t="n">
        <v>4115754</v>
      </c>
      <c r="B225" s="26" t="s">
        <v>291</v>
      </c>
      <c r="C225" s="26" t="s">
        <v>65</v>
      </c>
      <c r="D225" s="31" t="n">
        <f aca="false">'5 PCM'!G225</f>
        <v>0.510759326516378</v>
      </c>
      <c r="E225" s="25" t="n">
        <v>0</v>
      </c>
      <c r="F225" s="25" t="n">
        <v>1</v>
      </c>
      <c r="G225" s="25" t="n">
        <f aca="false">E225+F225</f>
        <v>1</v>
      </c>
      <c r="H225" s="25" t="n">
        <v>1</v>
      </c>
      <c r="I225" s="25" t="n">
        <v>1</v>
      </c>
      <c r="J225" s="52" t="str">
        <f aca="false">IF(I225&gt;0,"Sim","Não")</f>
        <v>Sim</v>
      </c>
    </row>
    <row r="226" customFormat="false" ht="15" hidden="false" customHeight="false" outlineLevel="0" collapsed="false">
      <c r="A226" s="25" t="n">
        <v>4115804</v>
      </c>
      <c r="B226" s="26" t="s">
        <v>292</v>
      </c>
      <c r="C226" s="26" t="s">
        <v>86</v>
      </c>
      <c r="D226" s="31" t="n">
        <f aca="false">'5 PCM'!G226</f>
        <v>0.321796625593818</v>
      </c>
      <c r="E226" s="25" t="n">
        <v>0</v>
      </c>
      <c r="F226" s="25" t="n">
        <v>0</v>
      </c>
      <c r="G226" s="25" t="n">
        <f aca="false">E226+F226</f>
        <v>0</v>
      </c>
      <c r="H226" s="25" t="n">
        <v>1</v>
      </c>
      <c r="I226" s="25" t="n">
        <v>1</v>
      </c>
      <c r="J226" s="52" t="str">
        <f aca="false">IF(I226&gt;0,"Sim","Não")</f>
        <v>Sim</v>
      </c>
    </row>
    <row r="227" customFormat="false" ht="15" hidden="false" customHeight="false" outlineLevel="0" collapsed="false">
      <c r="A227" s="25" t="n">
        <v>4115853</v>
      </c>
      <c r="B227" s="26" t="s">
        <v>293</v>
      </c>
      <c r="C227" s="26" t="s">
        <v>65</v>
      </c>
      <c r="D227" s="31" t="n">
        <f aca="false">'5 PCM'!G227</f>
        <v>0.349670542689756</v>
      </c>
      <c r="E227" s="25" t="n">
        <v>0</v>
      </c>
      <c r="F227" s="25" t="n">
        <v>0</v>
      </c>
      <c r="G227" s="25" t="n">
        <f aca="false">E227+F227</f>
        <v>0</v>
      </c>
      <c r="H227" s="25" t="n">
        <v>0</v>
      </c>
      <c r="I227" s="25" t="n">
        <v>0</v>
      </c>
      <c r="J227" s="52" t="str">
        <f aca="false">IF(I227&gt;0,"Sim","Não")</f>
        <v>Não</v>
      </c>
    </row>
    <row r="228" customFormat="false" ht="15" hidden="false" customHeight="false" outlineLevel="0" collapsed="false">
      <c r="A228" s="25" t="n">
        <v>4115903</v>
      </c>
      <c r="B228" s="26" t="s">
        <v>294</v>
      </c>
      <c r="C228" s="26" t="s">
        <v>71</v>
      </c>
      <c r="D228" s="31" t="n">
        <f aca="false">'5 PCM'!G228</f>
        <v>0.447898394382129</v>
      </c>
      <c r="E228" s="25" t="n">
        <v>0</v>
      </c>
      <c r="F228" s="25" t="n">
        <v>0</v>
      </c>
      <c r="G228" s="25" t="n">
        <f aca="false">E228+F228</f>
        <v>0</v>
      </c>
      <c r="H228" s="25" t="n">
        <v>0</v>
      </c>
      <c r="I228" s="25" t="n">
        <v>0</v>
      </c>
      <c r="J228" s="52" t="str">
        <f aca="false">IF(I228&gt;0,"Sim","Não")</f>
        <v>Não</v>
      </c>
    </row>
    <row r="229" customFormat="false" ht="15" hidden="false" customHeight="false" outlineLevel="0" collapsed="false">
      <c r="A229" s="25" t="n">
        <v>4116000</v>
      </c>
      <c r="B229" s="26" t="s">
        <v>295</v>
      </c>
      <c r="C229" s="26" t="s">
        <v>71</v>
      </c>
      <c r="D229" s="31" t="n">
        <f aca="false">'5 PCM'!G229</f>
        <v>0.32728959404395</v>
      </c>
      <c r="E229" s="25" t="n">
        <v>0</v>
      </c>
      <c r="F229" s="25" t="n">
        <v>0</v>
      </c>
      <c r="G229" s="25" t="n">
        <f aca="false">E229+F229</f>
        <v>0</v>
      </c>
      <c r="H229" s="25" t="n">
        <v>0</v>
      </c>
      <c r="I229" s="25" t="n">
        <v>0</v>
      </c>
      <c r="J229" s="52" t="str">
        <f aca="false">IF(I229&gt;0,"Sim","Não")</f>
        <v>Não</v>
      </c>
    </row>
    <row r="230" customFormat="false" ht="15" hidden="false" customHeight="false" outlineLevel="0" collapsed="false">
      <c r="A230" s="25" t="n">
        <v>4116059</v>
      </c>
      <c r="B230" s="26" t="s">
        <v>296</v>
      </c>
      <c r="C230" s="26" t="s">
        <v>65</v>
      </c>
      <c r="D230" s="31" t="n">
        <f aca="false">'5 PCM'!G230</f>
        <v>0.430978283466602</v>
      </c>
      <c r="E230" s="25" t="n">
        <v>0</v>
      </c>
      <c r="F230" s="25" t="n">
        <v>0</v>
      </c>
      <c r="G230" s="25" t="n">
        <f aca="false">E230+F230</f>
        <v>0</v>
      </c>
      <c r="H230" s="25" t="n">
        <v>1</v>
      </c>
      <c r="I230" s="25" t="n">
        <v>1</v>
      </c>
      <c r="J230" s="52" t="str">
        <f aca="false">IF(I230&gt;0,"Sim","Não")</f>
        <v>Sim</v>
      </c>
    </row>
    <row r="231" customFormat="false" ht="15" hidden="false" customHeight="false" outlineLevel="0" collapsed="false">
      <c r="A231" s="25" t="n">
        <v>4116109</v>
      </c>
      <c r="B231" s="26" t="s">
        <v>297</v>
      </c>
      <c r="C231" s="26" t="s">
        <v>65</v>
      </c>
      <c r="D231" s="31" t="n">
        <f aca="false">'5 PCM'!G231</f>
        <v>0.531536678069337</v>
      </c>
      <c r="E231" s="25" t="n">
        <v>0</v>
      </c>
      <c r="F231" s="25" t="n">
        <v>1</v>
      </c>
      <c r="G231" s="25" t="n">
        <f aca="false">E231+F231</f>
        <v>1</v>
      </c>
      <c r="H231" s="25" t="n">
        <v>1</v>
      </c>
      <c r="I231" s="25" t="n">
        <v>1</v>
      </c>
      <c r="J231" s="52" t="str">
        <f aca="false">IF(I231&gt;0,"Sim","Não")</f>
        <v>Sim</v>
      </c>
    </row>
    <row r="232" customFormat="false" ht="15" hidden="false" customHeight="false" outlineLevel="0" collapsed="false">
      <c r="A232" s="25" t="n">
        <v>4116208</v>
      </c>
      <c r="B232" s="26" t="s">
        <v>298</v>
      </c>
      <c r="C232" s="26" t="s">
        <v>65</v>
      </c>
      <c r="D232" s="31" t="n">
        <f aca="false">'5 PCM'!G232</f>
        <v>0.54068187224565</v>
      </c>
      <c r="E232" s="25" t="n">
        <v>1</v>
      </c>
      <c r="F232" s="25" t="n">
        <v>0</v>
      </c>
      <c r="G232" s="25" t="n">
        <f aca="false">E232+F232</f>
        <v>1</v>
      </c>
      <c r="H232" s="25" t="n">
        <v>1</v>
      </c>
      <c r="I232" s="25" t="n">
        <v>1</v>
      </c>
      <c r="J232" s="52" t="str">
        <f aca="false">IF(I232&gt;0,"Sim","Não")</f>
        <v>Sim</v>
      </c>
    </row>
    <row r="233" customFormat="false" ht="15" hidden="false" customHeight="false" outlineLevel="0" collapsed="false">
      <c r="A233" s="25" t="n">
        <v>4116307</v>
      </c>
      <c r="B233" s="26" t="s">
        <v>299</v>
      </c>
      <c r="C233" s="26" t="s">
        <v>71</v>
      </c>
      <c r="D233" s="31" t="n">
        <f aca="false">'5 PCM'!G233</f>
        <v>0.434224884162711</v>
      </c>
      <c r="E233" s="25" t="n">
        <v>0</v>
      </c>
      <c r="F233" s="25" t="n">
        <v>0</v>
      </c>
      <c r="G233" s="25" t="n">
        <f aca="false">E233+F233</f>
        <v>0</v>
      </c>
      <c r="H233" s="25" t="n">
        <v>0</v>
      </c>
      <c r="I233" s="25" t="n">
        <v>0</v>
      </c>
      <c r="J233" s="52" t="str">
        <f aca="false">IF(I233&gt;0,"Sim","Não")</f>
        <v>Não</v>
      </c>
    </row>
    <row r="234" customFormat="false" ht="15" hidden="false" customHeight="false" outlineLevel="0" collapsed="false">
      <c r="A234" s="25" t="n">
        <v>4116406</v>
      </c>
      <c r="B234" s="26" t="s">
        <v>300</v>
      </c>
      <c r="C234" s="26" t="s">
        <v>71</v>
      </c>
      <c r="D234" s="31" t="n">
        <f aca="false">'5 PCM'!G234</f>
        <v>0.504152539794223</v>
      </c>
      <c r="E234" s="25" t="n">
        <v>0</v>
      </c>
      <c r="F234" s="25" t="n">
        <v>0</v>
      </c>
      <c r="G234" s="25" t="n">
        <f aca="false">E234+F234</f>
        <v>0</v>
      </c>
      <c r="H234" s="25" t="n">
        <v>0</v>
      </c>
      <c r="I234" s="25" t="n">
        <v>0</v>
      </c>
      <c r="J234" s="52" t="str">
        <f aca="false">IF(I234&gt;0,"Sim","Não")</f>
        <v>Não</v>
      </c>
    </row>
    <row r="235" customFormat="false" ht="15" hidden="false" customHeight="false" outlineLevel="0" collapsed="false">
      <c r="A235" s="25" t="n">
        <v>4116505</v>
      </c>
      <c r="B235" s="26" t="s">
        <v>301</v>
      </c>
      <c r="C235" s="26" t="s">
        <v>71</v>
      </c>
      <c r="D235" s="31" t="n">
        <f aca="false">'5 PCM'!G235</f>
        <v>0.364139455857845</v>
      </c>
      <c r="E235" s="25" t="n">
        <v>0</v>
      </c>
      <c r="F235" s="25" t="n">
        <v>0</v>
      </c>
      <c r="G235" s="25" t="n">
        <f aca="false">E235+F235</f>
        <v>0</v>
      </c>
      <c r="H235" s="25" t="n">
        <v>0</v>
      </c>
      <c r="I235" s="25" t="n">
        <v>0</v>
      </c>
      <c r="J235" s="52" t="str">
        <f aca="false">IF(I235&gt;0,"Sim","Não")</f>
        <v>Não</v>
      </c>
    </row>
    <row r="236" customFormat="false" ht="15" hidden="false" customHeight="false" outlineLevel="0" collapsed="false">
      <c r="A236" s="25" t="n">
        <v>4116604</v>
      </c>
      <c r="B236" s="26" t="s">
        <v>302</v>
      </c>
      <c r="C236" s="26" t="s">
        <v>71</v>
      </c>
      <c r="D236" s="31" t="n">
        <f aca="false">'5 PCM'!G236</f>
        <v>0.356658516054639</v>
      </c>
      <c r="E236" s="25" t="n">
        <v>0</v>
      </c>
      <c r="F236" s="25" t="n">
        <v>0</v>
      </c>
      <c r="G236" s="25" t="n">
        <f aca="false">E236+F236</f>
        <v>0</v>
      </c>
      <c r="H236" s="25" t="n">
        <v>0</v>
      </c>
      <c r="I236" s="25" t="n">
        <v>0</v>
      </c>
      <c r="J236" s="52" t="str">
        <f aca="false">IF(I236&gt;0,"Sim","Não")</f>
        <v>Não</v>
      </c>
    </row>
    <row r="237" customFormat="false" ht="15" hidden="false" customHeight="false" outlineLevel="0" collapsed="false">
      <c r="A237" s="25" t="n">
        <v>4116703</v>
      </c>
      <c r="B237" s="26" t="s">
        <v>303</v>
      </c>
      <c r="C237" s="26" t="s">
        <v>65</v>
      </c>
      <c r="D237" s="31" t="n">
        <f aca="false">'5 PCM'!G237</f>
        <v>0.458094868569401</v>
      </c>
      <c r="E237" s="25" t="n">
        <v>0</v>
      </c>
      <c r="F237" s="25" t="n">
        <v>0</v>
      </c>
      <c r="G237" s="25" t="n">
        <f aca="false">E237+F237</f>
        <v>0</v>
      </c>
      <c r="H237" s="25" t="n">
        <v>1</v>
      </c>
      <c r="I237" s="25" t="n">
        <v>1</v>
      </c>
      <c r="J237" s="52" t="str">
        <f aca="false">IF(I237&gt;0,"Sim","Não")</f>
        <v>Sim</v>
      </c>
    </row>
    <row r="238" customFormat="false" ht="15" hidden="false" customHeight="false" outlineLevel="0" collapsed="false">
      <c r="A238" s="25" t="n">
        <v>4116802</v>
      </c>
      <c r="B238" s="26" t="s">
        <v>304</v>
      </c>
      <c r="C238" s="26" t="s">
        <v>65</v>
      </c>
      <c r="D238" s="31" t="n">
        <f aca="false">'5 PCM'!G238</f>
        <v>0.528446372316716</v>
      </c>
      <c r="E238" s="25" t="n">
        <v>0</v>
      </c>
      <c r="F238" s="25" t="n">
        <v>1</v>
      </c>
      <c r="G238" s="25" t="n">
        <f aca="false">E238+F238</f>
        <v>1</v>
      </c>
      <c r="H238" s="25" t="n">
        <v>1</v>
      </c>
      <c r="I238" s="25" t="n">
        <v>1</v>
      </c>
      <c r="J238" s="52" t="str">
        <f aca="false">IF(I238&gt;0,"Sim","Não")</f>
        <v>Sim</v>
      </c>
    </row>
    <row r="239" customFormat="false" ht="15" hidden="false" customHeight="false" outlineLevel="0" collapsed="false">
      <c r="A239" s="25" t="n">
        <v>4116901</v>
      </c>
      <c r="B239" s="26" t="s">
        <v>305</v>
      </c>
      <c r="C239" s="26" t="s">
        <v>86</v>
      </c>
      <c r="D239" s="31" t="n">
        <f aca="false">'5 PCM'!G239</f>
        <v>0.444071785490586</v>
      </c>
      <c r="E239" s="25" t="n">
        <v>0</v>
      </c>
      <c r="F239" s="25" t="n">
        <v>0</v>
      </c>
      <c r="G239" s="25" t="n">
        <f aca="false">E239+F239</f>
        <v>0</v>
      </c>
      <c r="H239" s="25" t="n">
        <v>0</v>
      </c>
      <c r="I239" s="25" t="n">
        <v>0</v>
      </c>
      <c r="J239" s="52" t="str">
        <f aca="false">IF(I239&gt;0,"Sim","Não")</f>
        <v>Não</v>
      </c>
    </row>
    <row r="240" customFormat="false" ht="15" hidden="false" customHeight="false" outlineLevel="0" collapsed="false">
      <c r="A240" s="25" t="n">
        <v>4116950</v>
      </c>
      <c r="B240" s="26" t="s">
        <v>306</v>
      </c>
      <c r="C240" s="26" t="s">
        <v>65</v>
      </c>
      <c r="D240" s="31" t="n">
        <f aca="false">'5 PCM'!G240</f>
        <v>0.543859270461205</v>
      </c>
      <c r="E240" s="25" t="n">
        <v>0</v>
      </c>
      <c r="F240" s="25" t="n">
        <v>1</v>
      </c>
      <c r="G240" s="25" t="n">
        <f aca="false">E240+F240</f>
        <v>1</v>
      </c>
      <c r="H240" s="25" t="n">
        <v>1</v>
      </c>
      <c r="I240" s="25" t="n">
        <v>1</v>
      </c>
      <c r="J240" s="52" t="str">
        <f aca="false">IF(I240&gt;0,"Sim","Não")</f>
        <v>Sim</v>
      </c>
    </row>
    <row r="241" customFormat="false" ht="15" hidden="false" customHeight="false" outlineLevel="0" collapsed="false">
      <c r="A241" s="25" t="n">
        <v>4117008</v>
      </c>
      <c r="B241" s="26" t="s">
        <v>307</v>
      </c>
      <c r="C241" s="26" t="s">
        <v>65</v>
      </c>
      <c r="D241" s="31" t="n">
        <f aca="false">'5 PCM'!G241</f>
        <v>0.409601750613366</v>
      </c>
      <c r="E241" s="25" t="n">
        <v>0</v>
      </c>
      <c r="F241" s="25" t="n">
        <v>0</v>
      </c>
      <c r="G241" s="25" t="n">
        <f aca="false">E241+F241</f>
        <v>0</v>
      </c>
      <c r="H241" s="25" t="n">
        <v>0</v>
      </c>
      <c r="I241" s="25" t="n">
        <v>0</v>
      </c>
      <c r="J241" s="52" t="str">
        <f aca="false">IF(I241&gt;0,"Sim","Não")</f>
        <v>Não</v>
      </c>
    </row>
    <row r="242" customFormat="false" ht="15" hidden="false" customHeight="false" outlineLevel="0" collapsed="false">
      <c r="A242" s="25" t="n">
        <v>4117057</v>
      </c>
      <c r="B242" s="26" t="s">
        <v>308</v>
      </c>
      <c r="C242" s="26" t="s">
        <v>65</v>
      </c>
      <c r="D242" s="31" t="n">
        <f aca="false">'5 PCM'!G242</f>
        <v>0.712299194068911</v>
      </c>
      <c r="E242" s="25" t="n">
        <v>1</v>
      </c>
      <c r="F242" s="25" t="n">
        <v>0</v>
      </c>
      <c r="G242" s="25" t="n">
        <f aca="false">E242+F242</f>
        <v>1</v>
      </c>
      <c r="H242" s="25" t="n">
        <v>1</v>
      </c>
      <c r="I242" s="25" t="n">
        <v>1</v>
      </c>
      <c r="J242" s="52" t="str">
        <f aca="false">IF(I242&gt;0,"Sim","Não")</f>
        <v>Sim</v>
      </c>
    </row>
    <row r="243" customFormat="false" ht="15" hidden="false" customHeight="false" outlineLevel="0" collapsed="false">
      <c r="A243" s="25" t="n">
        <v>4117107</v>
      </c>
      <c r="B243" s="26" t="s">
        <v>309</v>
      </c>
      <c r="C243" s="26" t="s">
        <v>65</v>
      </c>
      <c r="D243" s="31" t="n">
        <f aca="false">'5 PCM'!G243</f>
        <v>0.367085957275761</v>
      </c>
      <c r="E243" s="25" t="n">
        <v>0</v>
      </c>
      <c r="F243" s="25" t="n">
        <v>0</v>
      </c>
      <c r="G243" s="25" t="n">
        <f aca="false">E243+F243</f>
        <v>0</v>
      </c>
      <c r="H243" s="25" t="n">
        <v>1</v>
      </c>
      <c r="I243" s="25" t="n">
        <v>1</v>
      </c>
      <c r="J243" s="52" t="str">
        <f aca="false">IF(I243&gt;0,"Sim","Não")</f>
        <v>Sim</v>
      </c>
    </row>
    <row r="244" customFormat="false" ht="15" hidden="false" customHeight="false" outlineLevel="0" collapsed="false">
      <c r="A244" s="25" t="n">
        <v>4117206</v>
      </c>
      <c r="B244" s="26" t="s">
        <v>310</v>
      </c>
      <c r="C244" s="26" t="s">
        <v>65</v>
      </c>
      <c r="D244" s="31" t="n">
        <f aca="false">'5 PCM'!G244</f>
        <v>0.381871003026587</v>
      </c>
      <c r="E244" s="25" t="n">
        <v>0</v>
      </c>
      <c r="F244" s="25" t="n">
        <v>0</v>
      </c>
      <c r="G244" s="25" t="n">
        <f aca="false">E244+F244</f>
        <v>0</v>
      </c>
      <c r="H244" s="25" t="n">
        <v>0</v>
      </c>
      <c r="I244" s="25" t="n">
        <v>0</v>
      </c>
      <c r="J244" s="52" t="str">
        <f aca="false">IF(I244&gt;0,"Sim","Não")</f>
        <v>Não</v>
      </c>
    </row>
    <row r="245" customFormat="false" ht="15" hidden="false" customHeight="false" outlineLevel="0" collapsed="false">
      <c r="A245" s="25" t="n">
        <v>4117255</v>
      </c>
      <c r="B245" s="26" t="s">
        <v>311</v>
      </c>
      <c r="C245" s="26" t="s">
        <v>65</v>
      </c>
      <c r="D245" s="31" t="n">
        <f aca="false">'5 PCM'!G245</f>
        <v>0.507958797032277</v>
      </c>
      <c r="E245" s="25" t="n">
        <v>0</v>
      </c>
      <c r="F245" s="25" t="n">
        <v>1</v>
      </c>
      <c r="G245" s="25" t="n">
        <f aca="false">E245+F245</f>
        <v>1</v>
      </c>
      <c r="H245" s="25" t="n">
        <v>1</v>
      </c>
      <c r="I245" s="25" t="n">
        <v>1</v>
      </c>
      <c r="J245" s="52" t="str">
        <f aca="false">IF(I245&gt;0,"Sim","Não")</f>
        <v>Sim</v>
      </c>
    </row>
    <row r="246" customFormat="false" ht="15" hidden="false" customHeight="false" outlineLevel="0" collapsed="false">
      <c r="A246" s="25" t="n">
        <v>4117214</v>
      </c>
      <c r="B246" s="26" t="s">
        <v>312</v>
      </c>
      <c r="C246" s="26" t="s">
        <v>71</v>
      </c>
      <c r="D246" s="31" t="n">
        <f aca="false">'5 PCM'!G246</f>
        <v>0.541424057023376</v>
      </c>
      <c r="E246" s="25" t="n">
        <v>0</v>
      </c>
      <c r="F246" s="25" t="n">
        <v>1</v>
      </c>
      <c r="G246" s="25" t="n">
        <f aca="false">E246+F246</f>
        <v>1</v>
      </c>
      <c r="H246" s="25" t="n">
        <v>1</v>
      </c>
      <c r="I246" s="25" t="n">
        <v>1</v>
      </c>
      <c r="J246" s="52" t="str">
        <f aca="false">IF(I246&gt;0,"Sim","Não")</f>
        <v>Sim</v>
      </c>
    </row>
    <row r="247" customFormat="false" ht="15" hidden="false" customHeight="false" outlineLevel="0" collapsed="false">
      <c r="A247" s="25" t="n">
        <v>4117222</v>
      </c>
      <c r="B247" s="26" t="s">
        <v>313</v>
      </c>
      <c r="C247" s="26" t="s">
        <v>65</v>
      </c>
      <c r="D247" s="31" t="n">
        <f aca="false">'5 PCM'!G247</f>
        <v>0.311225571232747</v>
      </c>
      <c r="E247" s="25" t="n">
        <v>0</v>
      </c>
      <c r="F247" s="25" t="n">
        <v>0</v>
      </c>
      <c r="G247" s="25" t="n">
        <f aca="false">E247+F247</f>
        <v>0</v>
      </c>
      <c r="H247" s="25" t="n">
        <v>0</v>
      </c>
      <c r="I247" s="25" t="n">
        <v>0</v>
      </c>
      <c r="J247" s="52" t="str">
        <f aca="false">IF(I247&gt;0,"Sim","Não")</f>
        <v>Não</v>
      </c>
    </row>
    <row r="248" customFormat="false" ht="15" hidden="false" customHeight="false" outlineLevel="0" collapsed="false">
      <c r="A248" s="25" t="n">
        <v>4117271</v>
      </c>
      <c r="B248" s="26" t="s">
        <v>314</v>
      </c>
      <c r="C248" s="26" t="s">
        <v>65</v>
      </c>
      <c r="D248" s="31" t="n">
        <f aca="false">'5 PCM'!G248</f>
        <v>0.499187116881301</v>
      </c>
      <c r="E248" s="25" t="n">
        <v>0</v>
      </c>
      <c r="F248" s="25" t="n">
        <v>1</v>
      </c>
      <c r="G248" s="25" t="n">
        <f aca="false">E248+F248</f>
        <v>1</v>
      </c>
      <c r="H248" s="25" t="n">
        <v>1</v>
      </c>
      <c r="I248" s="25" t="n">
        <v>1</v>
      </c>
      <c r="J248" s="52" t="str">
        <f aca="false">IF(I248&gt;0,"Sim","Não")</f>
        <v>Sim</v>
      </c>
    </row>
    <row r="249" customFormat="false" ht="15" hidden="false" customHeight="false" outlineLevel="0" collapsed="false">
      <c r="A249" s="25" t="n">
        <v>4117297</v>
      </c>
      <c r="B249" s="26" t="s">
        <v>315</v>
      </c>
      <c r="C249" s="26" t="s">
        <v>71</v>
      </c>
      <c r="D249" s="31" t="n">
        <f aca="false">'5 PCM'!G249</f>
        <v>0.507587572871842</v>
      </c>
      <c r="E249" s="25" t="n">
        <v>0</v>
      </c>
      <c r="F249" s="25" t="n">
        <v>0</v>
      </c>
      <c r="G249" s="25" t="n">
        <f aca="false">E249+F249</f>
        <v>0</v>
      </c>
      <c r="H249" s="25" t="n">
        <v>0</v>
      </c>
      <c r="I249" s="25" t="n">
        <v>0</v>
      </c>
      <c r="J249" s="52" t="str">
        <f aca="false">IF(I249&gt;0,"Sim","Não")</f>
        <v>Não</v>
      </c>
    </row>
    <row r="250" customFormat="false" ht="15" hidden="false" customHeight="false" outlineLevel="0" collapsed="false">
      <c r="A250" s="25" t="n">
        <v>4117305</v>
      </c>
      <c r="B250" s="26" t="s">
        <v>316</v>
      </c>
      <c r="C250" s="26" t="s">
        <v>86</v>
      </c>
      <c r="D250" s="31" t="n">
        <f aca="false">'5 PCM'!G250</f>
        <v>0.543903350967885</v>
      </c>
      <c r="E250" s="25" t="n">
        <v>1</v>
      </c>
      <c r="F250" s="25" t="n">
        <v>0</v>
      </c>
      <c r="G250" s="25" t="n">
        <f aca="false">E250+F250</f>
        <v>1</v>
      </c>
      <c r="H250" s="25" t="n">
        <v>1</v>
      </c>
      <c r="I250" s="25" t="n">
        <v>1</v>
      </c>
      <c r="J250" s="52" t="str">
        <f aca="false">IF(I250&gt;0,"Sim","Não")</f>
        <v>Sim</v>
      </c>
    </row>
    <row r="251" customFormat="false" ht="15" hidden="false" customHeight="false" outlineLevel="0" collapsed="false">
      <c r="A251" s="25" t="n">
        <v>4117404</v>
      </c>
      <c r="B251" s="26" t="s">
        <v>317</v>
      </c>
      <c r="C251" s="26" t="s">
        <v>71</v>
      </c>
      <c r="D251" s="31" t="n">
        <f aca="false">'5 PCM'!G251</f>
        <v>0.389573269583199</v>
      </c>
      <c r="E251" s="25" t="n">
        <v>0</v>
      </c>
      <c r="F251" s="25" t="n">
        <v>0</v>
      </c>
      <c r="G251" s="25" t="n">
        <f aca="false">E251+F251</f>
        <v>0</v>
      </c>
      <c r="H251" s="25" t="n">
        <v>0</v>
      </c>
      <c r="I251" s="25" t="n">
        <v>0</v>
      </c>
      <c r="J251" s="52" t="str">
        <f aca="false">IF(I251&gt;0,"Sim","Não")</f>
        <v>Não</v>
      </c>
    </row>
    <row r="252" customFormat="false" ht="15" hidden="false" customHeight="false" outlineLevel="0" collapsed="false">
      <c r="A252" s="25" t="n">
        <v>4117453</v>
      </c>
      <c r="B252" s="26" t="s">
        <v>318</v>
      </c>
      <c r="C252" s="26" t="s">
        <v>65</v>
      </c>
      <c r="D252" s="31" t="n">
        <f aca="false">'5 PCM'!G252</f>
        <v>0.470111626637816</v>
      </c>
      <c r="E252" s="25" t="n">
        <v>0</v>
      </c>
      <c r="F252" s="25" t="n">
        <v>1</v>
      </c>
      <c r="G252" s="25" t="n">
        <f aca="false">E252+F252</f>
        <v>1</v>
      </c>
      <c r="H252" s="25" t="n">
        <v>1</v>
      </c>
      <c r="I252" s="25" t="n">
        <v>1</v>
      </c>
      <c r="J252" s="52" t="str">
        <f aca="false">IF(I252&gt;0,"Sim","Não")</f>
        <v>Sim</v>
      </c>
    </row>
    <row r="253" customFormat="false" ht="15" hidden="false" customHeight="false" outlineLevel="0" collapsed="false">
      <c r="A253" s="25" t="n">
        <v>4117503</v>
      </c>
      <c r="B253" s="26" t="s">
        <v>319</v>
      </c>
      <c r="C253" s="26" t="s">
        <v>86</v>
      </c>
      <c r="D253" s="31" t="n">
        <f aca="false">'5 PCM'!G253</f>
        <v>0.475913044816237</v>
      </c>
      <c r="E253" s="25" t="n">
        <v>0</v>
      </c>
      <c r="F253" s="25" t="n">
        <v>1</v>
      </c>
      <c r="G253" s="25" t="n">
        <f aca="false">E253+F253</f>
        <v>1</v>
      </c>
      <c r="H253" s="25" t="n">
        <v>1</v>
      </c>
      <c r="I253" s="25" t="n">
        <v>1</v>
      </c>
      <c r="J253" s="52" t="str">
        <f aca="false">IF(I253&gt;0,"Sim","Não")</f>
        <v>Sim</v>
      </c>
    </row>
    <row r="254" customFormat="false" ht="15" hidden="false" customHeight="false" outlineLevel="0" collapsed="false">
      <c r="A254" s="25" t="n">
        <v>4117602</v>
      </c>
      <c r="B254" s="26" t="s">
        <v>320</v>
      </c>
      <c r="C254" s="26" t="s">
        <v>86</v>
      </c>
      <c r="D254" s="31" t="n">
        <f aca="false">'5 PCM'!G254</f>
        <v>0.59495469897309</v>
      </c>
      <c r="E254" s="25" t="n">
        <v>0</v>
      </c>
      <c r="F254" s="25" t="n">
        <v>1</v>
      </c>
      <c r="G254" s="25" t="n">
        <f aca="false">E254+F254</f>
        <v>1</v>
      </c>
      <c r="H254" s="25" t="n">
        <v>1</v>
      </c>
      <c r="I254" s="25" t="n">
        <v>1</v>
      </c>
      <c r="J254" s="52" t="str">
        <f aca="false">IF(I254&gt;0,"Sim","Não")</f>
        <v>Sim</v>
      </c>
    </row>
    <row r="255" customFormat="false" ht="15" hidden="false" customHeight="false" outlineLevel="0" collapsed="false">
      <c r="A255" s="25" t="n">
        <v>4117701</v>
      </c>
      <c r="B255" s="26" t="s">
        <v>321</v>
      </c>
      <c r="C255" s="26" t="s">
        <v>86</v>
      </c>
      <c r="D255" s="31" t="n">
        <f aca="false">'5 PCM'!G255</f>
        <v>0.429811168291369</v>
      </c>
      <c r="E255" s="25" t="n">
        <v>0</v>
      </c>
      <c r="F255" s="25" t="n">
        <v>0</v>
      </c>
      <c r="G255" s="25" t="n">
        <f aca="false">E255+F255</f>
        <v>0</v>
      </c>
      <c r="H255" s="25" t="n">
        <v>0</v>
      </c>
      <c r="I255" s="25" t="n">
        <v>0</v>
      </c>
      <c r="J255" s="52" t="str">
        <f aca="false">IF(I255&gt;0,"Sim","Não")</f>
        <v>Não</v>
      </c>
    </row>
    <row r="256" customFormat="false" ht="15" hidden="false" customHeight="false" outlineLevel="0" collapsed="false">
      <c r="A256" s="25" t="n">
        <v>4117800</v>
      </c>
      <c r="B256" s="26" t="s">
        <v>322</v>
      </c>
      <c r="C256" s="26" t="s">
        <v>65</v>
      </c>
      <c r="D256" s="31" t="n">
        <f aca="false">'5 PCM'!G256</f>
        <v>0.607866628544763</v>
      </c>
      <c r="E256" s="25" t="n">
        <v>0</v>
      </c>
      <c r="F256" s="25" t="n">
        <v>1</v>
      </c>
      <c r="G256" s="25" t="n">
        <f aca="false">E256+F256</f>
        <v>1</v>
      </c>
      <c r="H256" s="25" t="n">
        <v>1</v>
      </c>
      <c r="I256" s="25" t="n">
        <v>1</v>
      </c>
      <c r="J256" s="52" t="str">
        <f aca="false">IF(I256&gt;0,"Sim","Não")</f>
        <v>Sim</v>
      </c>
    </row>
    <row r="257" customFormat="false" ht="15" hidden="false" customHeight="false" outlineLevel="0" collapsed="false">
      <c r="A257" s="25" t="n">
        <v>4117909</v>
      </c>
      <c r="B257" s="26" t="s">
        <v>323</v>
      </c>
      <c r="C257" s="26" t="s">
        <v>86</v>
      </c>
      <c r="D257" s="31" t="n">
        <f aca="false">'5 PCM'!G257</f>
        <v>0.287651172395699</v>
      </c>
      <c r="E257" s="25" t="n">
        <v>0</v>
      </c>
      <c r="F257" s="25" t="n">
        <v>0</v>
      </c>
      <c r="G257" s="25" t="n">
        <f aca="false">E257+F257</f>
        <v>0</v>
      </c>
      <c r="H257" s="25" t="n">
        <v>1</v>
      </c>
      <c r="I257" s="25" t="n">
        <v>1</v>
      </c>
      <c r="J257" s="52" t="str">
        <f aca="false">IF(I257&gt;0,"Sim","Não")</f>
        <v>Sim</v>
      </c>
    </row>
    <row r="258" customFormat="false" ht="15" hidden="false" customHeight="false" outlineLevel="0" collapsed="false">
      <c r="A258" s="25" t="n">
        <v>4118006</v>
      </c>
      <c r="B258" s="26" t="s">
        <v>324</v>
      </c>
      <c r="C258" s="26" t="s">
        <v>65</v>
      </c>
      <c r="D258" s="31" t="n">
        <f aca="false">'5 PCM'!G258</f>
        <v>0.372522005942844</v>
      </c>
      <c r="E258" s="25" t="n">
        <v>0</v>
      </c>
      <c r="F258" s="25" t="n">
        <v>0</v>
      </c>
      <c r="G258" s="25" t="n">
        <f aca="false">E258+F258</f>
        <v>0</v>
      </c>
      <c r="H258" s="25" t="n">
        <v>0</v>
      </c>
      <c r="I258" s="25" t="n">
        <v>0</v>
      </c>
      <c r="J258" s="52" t="str">
        <f aca="false">IF(I258&gt;0,"Sim","Não")</f>
        <v>Não</v>
      </c>
    </row>
    <row r="259" customFormat="false" ht="15" hidden="false" customHeight="false" outlineLevel="0" collapsed="false">
      <c r="A259" s="25" t="n">
        <v>4118105</v>
      </c>
      <c r="B259" s="26" t="s">
        <v>325</v>
      </c>
      <c r="C259" s="26" t="s">
        <v>65</v>
      </c>
      <c r="D259" s="31" t="n">
        <f aca="false">'5 PCM'!G259</f>
        <v>0.443094284584203</v>
      </c>
      <c r="E259" s="25" t="n">
        <v>0</v>
      </c>
      <c r="F259" s="25" t="n">
        <v>0</v>
      </c>
      <c r="G259" s="25" t="n">
        <f aca="false">E259+F259</f>
        <v>0</v>
      </c>
      <c r="H259" s="25" t="n">
        <v>0</v>
      </c>
      <c r="I259" s="25" t="n">
        <v>0</v>
      </c>
      <c r="J259" s="52" t="str">
        <f aca="false">IF(I259&gt;0,"Sim","Não")</f>
        <v>Não</v>
      </c>
    </row>
    <row r="260" customFormat="false" ht="15" hidden="false" customHeight="false" outlineLevel="0" collapsed="false">
      <c r="A260" s="25" t="n">
        <v>4118204</v>
      </c>
      <c r="B260" s="26" t="s">
        <v>326</v>
      </c>
      <c r="C260" s="26" t="s">
        <v>69</v>
      </c>
      <c r="D260" s="31" t="n">
        <f aca="false">'5 PCM'!G260</f>
        <v>0.485335452069566</v>
      </c>
      <c r="E260" s="25" t="n">
        <v>1</v>
      </c>
      <c r="F260" s="25" t="n">
        <v>2</v>
      </c>
      <c r="G260" s="25" t="n">
        <f aca="false">E260+F260</f>
        <v>3</v>
      </c>
      <c r="H260" s="25" t="n">
        <v>2</v>
      </c>
      <c r="I260" s="25" t="n">
        <v>2</v>
      </c>
      <c r="J260" s="52" t="str">
        <f aca="false">IF(I260&gt;0,"Sim","Não")</f>
        <v>Sim</v>
      </c>
    </row>
    <row r="261" customFormat="false" ht="15" hidden="false" customHeight="false" outlineLevel="0" collapsed="false">
      <c r="A261" s="25" t="n">
        <v>4118303</v>
      </c>
      <c r="B261" s="26" t="s">
        <v>327</v>
      </c>
      <c r="C261" s="26" t="s">
        <v>71</v>
      </c>
      <c r="D261" s="31" t="n">
        <f aca="false">'5 PCM'!G261</f>
        <v>0.506583088032775</v>
      </c>
      <c r="E261" s="25" t="n">
        <v>0</v>
      </c>
      <c r="F261" s="25" t="n">
        <v>0</v>
      </c>
      <c r="G261" s="25" t="n">
        <f aca="false">E261+F261</f>
        <v>0</v>
      </c>
      <c r="H261" s="25" t="n">
        <v>0</v>
      </c>
      <c r="I261" s="25" t="n">
        <v>0</v>
      </c>
      <c r="J261" s="52" t="str">
        <f aca="false">IF(I261&gt;0,"Sim","Não")</f>
        <v>Não</v>
      </c>
    </row>
    <row r="262" customFormat="false" ht="15" hidden="false" customHeight="false" outlineLevel="0" collapsed="false">
      <c r="A262" s="25" t="n">
        <v>4118402</v>
      </c>
      <c r="B262" s="26" t="s">
        <v>328</v>
      </c>
      <c r="C262" s="26" t="s">
        <v>129</v>
      </c>
      <c r="D262" s="31" t="n">
        <f aca="false">'5 PCM'!G262</f>
        <v>0.433011987635845</v>
      </c>
      <c r="E262" s="25" t="n">
        <v>0</v>
      </c>
      <c r="F262" s="25" t="n">
        <v>2</v>
      </c>
      <c r="G262" s="25" t="n">
        <f aca="false">E262+F262</f>
        <v>2</v>
      </c>
      <c r="H262" s="25" t="n">
        <v>2</v>
      </c>
      <c r="I262" s="25" t="n">
        <v>2</v>
      </c>
      <c r="J262" s="52" t="str">
        <f aca="false">IF(I262&gt;0,"Sim","Não")</f>
        <v>Sim</v>
      </c>
    </row>
    <row r="263" customFormat="false" ht="15" hidden="false" customHeight="false" outlineLevel="0" collapsed="false">
      <c r="A263" s="25" t="n">
        <v>4118451</v>
      </c>
      <c r="B263" s="26" t="s">
        <v>329</v>
      </c>
      <c r="C263" s="26" t="s">
        <v>65</v>
      </c>
      <c r="D263" s="31" t="n">
        <f aca="false">'5 PCM'!G263</f>
        <v>0.275420303095399</v>
      </c>
      <c r="E263" s="25" t="n">
        <v>0</v>
      </c>
      <c r="F263" s="25" t="n">
        <v>0</v>
      </c>
      <c r="G263" s="25" t="n">
        <f aca="false">E263+F263</f>
        <v>0</v>
      </c>
      <c r="H263" s="25" t="n">
        <v>0</v>
      </c>
      <c r="I263" s="25" t="n">
        <v>0</v>
      </c>
      <c r="J263" s="52" t="str">
        <f aca="false">IF(I263&gt;0,"Sim","Não")</f>
        <v>Não</v>
      </c>
    </row>
    <row r="264" customFormat="false" ht="15" hidden="false" customHeight="false" outlineLevel="0" collapsed="false">
      <c r="A264" s="25" t="n">
        <v>4118501</v>
      </c>
      <c r="B264" s="26" t="s">
        <v>330</v>
      </c>
      <c r="C264" s="26" t="s">
        <v>129</v>
      </c>
      <c r="D264" s="31" t="n">
        <f aca="false">'5 PCM'!G264</f>
        <v>0.343697009771672</v>
      </c>
      <c r="E264" s="25" t="n">
        <v>0</v>
      </c>
      <c r="F264" s="25" t="n">
        <v>2</v>
      </c>
      <c r="G264" s="25" t="n">
        <f aca="false">E264+F264</f>
        <v>2</v>
      </c>
      <c r="H264" s="25" t="n">
        <v>2</v>
      </c>
      <c r="I264" s="25" t="n">
        <v>2</v>
      </c>
      <c r="J264" s="52" t="str">
        <f aca="false">IF(I264&gt;0,"Sim","Não")</f>
        <v>Sim</v>
      </c>
    </row>
    <row r="265" customFormat="false" ht="15" hidden="false" customHeight="false" outlineLevel="0" collapsed="false">
      <c r="A265" s="25" t="n">
        <v>4118600</v>
      </c>
      <c r="B265" s="26" t="s">
        <v>331</v>
      </c>
      <c r="C265" s="26" t="s">
        <v>65</v>
      </c>
      <c r="D265" s="31" t="n">
        <f aca="false">'5 PCM'!G265</f>
        <v>0.548256247808384</v>
      </c>
      <c r="E265" s="25" t="n">
        <v>0</v>
      </c>
      <c r="F265" s="25" t="n">
        <v>1</v>
      </c>
      <c r="G265" s="25" t="n">
        <f aca="false">E265+F265</f>
        <v>1</v>
      </c>
      <c r="H265" s="25" t="n">
        <v>1</v>
      </c>
      <c r="I265" s="25" t="n">
        <v>1</v>
      </c>
      <c r="J265" s="52" t="str">
        <f aca="false">IF(I265&gt;0,"Sim","Não")</f>
        <v>Sim</v>
      </c>
    </row>
    <row r="266" customFormat="false" ht="15" hidden="false" customHeight="false" outlineLevel="0" collapsed="false">
      <c r="A266" s="25" t="n">
        <v>4118709</v>
      </c>
      <c r="B266" s="26" t="s">
        <v>332</v>
      </c>
      <c r="C266" s="26" t="s">
        <v>65</v>
      </c>
      <c r="D266" s="31" t="n">
        <f aca="false">'5 PCM'!G266</f>
        <v>0.457108687445452</v>
      </c>
      <c r="E266" s="25" t="n">
        <v>0</v>
      </c>
      <c r="F266" s="25" t="n">
        <v>0</v>
      </c>
      <c r="G266" s="25" t="n">
        <f aca="false">E266+F266</f>
        <v>0</v>
      </c>
      <c r="H266" s="25" t="n">
        <v>0</v>
      </c>
      <c r="I266" s="25" t="n">
        <v>0</v>
      </c>
      <c r="J266" s="52" t="str">
        <f aca="false">IF(I266&gt;0,"Sim","Não")</f>
        <v>Não</v>
      </c>
    </row>
    <row r="267" customFormat="false" ht="15" hidden="false" customHeight="false" outlineLevel="0" collapsed="false">
      <c r="A267" s="25" t="n">
        <v>4118808</v>
      </c>
      <c r="B267" s="26" t="s">
        <v>333</v>
      </c>
      <c r="C267" s="26" t="s">
        <v>65</v>
      </c>
      <c r="D267" s="31" t="n">
        <f aca="false">'5 PCM'!G267</f>
        <v>0.451012093075228</v>
      </c>
      <c r="E267" s="25" t="n">
        <v>0</v>
      </c>
      <c r="F267" s="25" t="n">
        <v>0</v>
      </c>
      <c r="G267" s="25" t="n">
        <f aca="false">E267+F267</f>
        <v>0</v>
      </c>
      <c r="H267" s="25" t="n">
        <v>0</v>
      </c>
      <c r="I267" s="25" t="n">
        <v>0</v>
      </c>
      <c r="J267" s="52" t="str">
        <f aca="false">IF(I267&gt;0,"Sim","Não")</f>
        <v>Não</v>
      </c>
    </row>
    <row r="268" customFormat="false" ht="15" hidden="false" customHeight="false" outlineLevel="0" collapsed="false">
      <c r="A268" s="25" t="n">
        <v>4118857</v>
      </c>
      <c r="B268" s="26" t="s">
        <v>334</v>
      </c>
      <c r="C268" s="26" t="s">
        <v>65</v>
      </c>
      <c r="D268" s="31" t="n">
        <f aca="false">'5 PCM'!G268</f>
        <v>0.490949386582751</v>
      </c>
      <c r="E268" s="25" t="n">
        <v>0</v>
      </c>
      <c r="F268" s="25" t="n">
        <v>1</v>
      </c>
      <c r="G268" s="25" t="n">
        <f aca="false">E268+F268</f>
        <v>1</v>
      </c>
      <c r="H268" s="25" t="n">
        <v>1</v>
      </c>
      <c r="I268" s="25" t="n">
        <v>1</v>
      </c>
      <c r="J268" s="52" t="str">
        <f aca="false">IF(I268&gt;0,"Sim","Não")</f>
        <v>Sim</v>
      </c>
    </row>
    <row r="269" customFormat="false" ht="15" hidden="false" customHeight="false" outlineLevel="0" collapsed="false">
      <c r="A269" s="25" t="n">
        <v>4118907</v>
      </c>
      <c r="B269" s="26" t="s">
        <v>335</v>
      </c>
      <c r="C269" s="26" t="s">
        <v>65</v>
      </c>
      <c r="D269" s="31" t="n">
        <f aca="false">'5 PCM'!G269</f>
        <v>0.39687998356955</v>
      </c>
      <c r="E269" s="25" t="n">
        <v>0</v>
      </c>
      <c r="F269" s="25" t="n">
        <v>0</v>
      </c>
      <c r="G269" s="25" t="n">
        <f aca="false">E269+F269</f>
        <v>0</v>
      </c>
      <c r="H269" s="25" t="n">
        <v>1</v>
      </c>
      <c r="I269" s="25" t="n">
        <v>1</v>
      </c>
      <c r="J269" s="52" t="str">
        <f aca="false">IF(I269&gt;0,"Sim","Não")</f>
        <v>Sim</v>
      </c>
    </row>
    <row r="270" customFormat="false" ht="15" hidden="false" customHeight="false" outlineLevel="0" collapsed="false">
      <c r="A270" s="25" t="n">
        <v>4119004</v>
      </c>
      <c r="B270" s="26" t="s">
        <v>336</v>
      </c>
      <c r="C270" s="26" t="s">
        <v>65</v>
      </c>
      <c r="D270" s="31" t="n">
        <f aca="false">'5 PCM'!G270</f>
        <v>0.44500257342817</v>
      </c>
      <c r="E270" s="25" t="n">
        <v>0</v>
      </c>
      <c r="F270" s="25" t="n">
        <v>0</v>
      </c>
      <c r="G270" s="25" t="n">
        <f aca="false">E270+F270</f>
        <v>0</v>
      </c>
      <c r="H270" s="25" t="n">
        <v>0</v>
      </c>
      <c r="I270" s="25" t="n">
        <v>0</v>
      </c>
      <c r="J270" s="52" t="str">
        <f aca="false">IF(I270&gt;0,"Sim","Não")</f>
        <v>Não</v>
      </c>
    </row>
    <row r="271" customFormat="false" ht="15" hidden="false" customHeight="false" outlineLevel="0" collapsed="false">
      <c r="A271" s="25" t="n">
        <v>4119103</v>
      </c>
      <c r="B271" s="26" t="s">
        <v>337</v>
      </c>
      <c r="C271" s="26" t="s">
        <v>65</v>
      </c>
      <c r="D271" s="31" t="n">
        <f aca="false">'5 PCM'!G271</f>
        <v>0.421360195083807</v>
      </c>
      <c r="E271" s="25" t="n">
        <v>0</v>
      </c>
      <c r="F271" s="25" t="n">
        <v>0</v>
      </c>
      <c r="G271" s="25" t="n">
        <f aca="false">E271+F271</f>
        <v>0</v>
      </c>
      <c r="H271" s="25" t="n">
        <v>1</v>
      </c>
      <c r="I271" s="25" t="n">
        <v>1</v>
      </c>
      <c r="J271" s="52" t="str">
        <f aca="false">IF(I271&gt;0,"Sim","Não")</f>
        <v>Sim</v>
      </c>
    </row>
    <row r="272" customFormat="false" ht="15" hidden="false" customHeight="false" outlineLevel="0" collapsed="false">
      <c r="A272" s="25" t="n">
        <v>4119152</v>
      </c>
      <c r="B272" s="26" t="s">
        <v>338</v>
      </c>
      <c r="C272" s="26" t="s">
        <v>69</v>
      </c>
      <c r="D272" s="31" t="n">
        <f aca="false">'5 PCM'!G272</f>
        <v>0.365746948886042</v>
      </c>
      <c r="E272" s="25" t="n">
        <v>0</v>
      </c>
      <c r="F272" s="25" t="n">
        <v>2</v>
      </c>
      <c r="G272" s="25" t="n">
        <f aca="false">E272+F272</f>
        <v>2</v>
      </c>
      <c r="H272" s="25" t="n">
        <v>1</v>
      </c>
      <c r="I272" s="25" t="n">
        <v>1</v>
      </c>
      <c r="J272" s="52" t="str">
        <f aca="false">IF(I272&gt;0,"Sim","Não")</f>
        <v>Sim</v>
      </c>
    </row>
    <row r="273" customFormat="false" ht="15" hidden="false" customHeight="false" outlineLevel="0" collapsed="false">
      <c r="A273" s="25" t="n">
        <v>4119251</v>
      </c>
      <c r="B273" s="26" t="s">
        <v>339</v>
      </c>
      <c r="C273" s="26" t="s">
        <v>71</v>
      </c>
      <c r="D273" s="31" t="n">
        <f aca="false">'5 PCM'!G273</f>
        <v>0.373886525022968</v>
      </c>
      <c r="E273" s="25" t="n">
        <v>0</v>
      </c>
      <c r="F273" s="25" t="n">
        <v>0</v>
      </c>
      <c r="G273" s="25" t="n">
        <f aca="false">E273+F273</f>
        <v>0</v>
      </c>
      <c r="H273" s="25" t="n">
        <v>0</v>
      </c>
      <c r="I273" s="25" t="n">
        <v>0</v>
      </c>
      <c r="J273" s="52" t="str">
        <f aca="false">IF(I273&gt;0,"Sim","Não")</f>
        <v>Não</v>
      </c>
    </row>
    <row r="274" customFormat="false" ht="15" hidden="false" customHeight="false" outlineLevel="0" collapsed="false">
      <c r="A274" s="25" t="n">
        <v>4119202</v>
      </c>
      <c r="B274" s="26" t="s">
        <v>340</v>
      </c>
      <c r="C274" s="26" t="s">
        <v>65</v>
      </c>
      <c r="D274" s="31" t="n">
        <f aca="false">'5 PCM'!G274</f>
        <v>0.508508396439999</v>
      </c>
      <c r="E274" s="25" t="n">
        <v>0</v>
      </c>
      <c r="F274" s="25" t="n">
        <v>1</v>
      </c>
      <c r="G274" s="25" t="n">
        <f aca="false">E274+F274</f>
        <v>1</v>
      </c>
      <c r="H274" s="25" t="n">
        <v>1</v>
      </c>
      <c r="I274" s="25" t="n">
        <v>1</v>
      </c>
      <c r="J274" s="52" t="str">
        <f aca="false">IF(I274&gt;0,"Sim","Não")</f>
        <v>Sim</v>
      </c>
    </row>
    <row r="275" customFormat="false" ht="15" hidden="false" customHeight="false" outlineLevel="0" collapsed="false">
      <c r="A275" s="25" t="n">
        <v>4119301</v>
      </c>
      <c r="B275" s="26" t="s">
        <v>341</v>
      </c>
      <c r="C275" s="26" t="s">
        <v>86</v>
      </c>
      <c r="D275" s="31" t="n">
        <f aca="false">'5 PCM'!G275</f>
        <v>0.674754753065824</v>
      </c>
      <c r="E275" s="25" t="n">
        <v>1</v>
      </c>
      <c r="F275" s="25" t="n">
        <v>0</v>
      </c>
      <c r="G275" s="25" t="n">
        <f aca="false">E275+F275</f>
        <v>1</v>
      </c>
      <c r="H275" s="25" t="n">
        <v>1</v>
      </c>
      <c r="I275" s="25" t="n">
        <v>1</v>
      </c>
      <c r="J275" s="52" t="str">
        <f aca="false">IF(I275&gt;0,"Sim","Não")</f>
        <v>Sim</v>
      </c>
    </row>
    <row r="276" customFormat="false" ht="15" hidden="false" customHeight="false" outlineLevel="0" collapsed="false">
      <c r="A276" s="25" t="n">
        <v>4119400</v>
      </c>
      <c r="B276" s="26" t="s">
        <v>342</v>
      </c>
      <c r="C276" s="26" t="s">
        <v>86</v>
      </c>
      <c r="D276" s="31" t="n">
        <f aca="false">'5 PCM'!G276</f>
        <v>0.548886620677916</v>
      </c>
      <c r="E276" s="25" t="n">
        <v>0</v>
      </c>
      <c r="F276" s="25" t="n">
        <v>1</v>
      </c>
      <c r="G276" s="25" t="n">
        <f aca="false">E276+F276</f>
        <v>1</v>
      </c>
      <c r="H276" s="25" t="n">
        <v>1</v>
      </c>
      <c r="I276" s="25" t="n">
        <v>1</v>
      </c>
      <c r="J276" s="52" t="str">
        <f aca="false">IF(I276&gt;0,"Sim","Não")</f>
        <v>Sim</v>
      </c>
    </row>
    <row r="277" customFormat="false" ht="15" hidden="false" customHeight="false" outlineLevel="0" collapsed="false">
      <c r="A277" s="25" t="n">
        <v>4119509</v>
      </c>
      <c r="B277" s="26" t="s">
        <v>343</v>
      </c>
      <c r="C277" s="26" t="s">
        <v>69</v>
      </c>
      <c r="D277" s="31" t="n">
        <f aca="false">'5 PCM'!G277</f>
        <v>0.611678187716776</v>
      </c>
      <c r="E277" s="25" t="n">
        <v>1</v>
      </c>
      <c r="F277" s="25" t="n">
        <v>2</v>
      </c>
      <c r="G277" s="25" t="n">
        <f aca="false">E277+F277</f>
        <v>3</v>
      </c>
      <c r="H277" s="25" t="n">
        <v>2</v>
      </c>
      <c r="I277" s="25" t="n">
        <v>2</v>
      </c>
      <c r="J277" s="52" t="str">
        <f aca="false">IF(I277&gt;0,"Sim","Não")</f>
        <v>Sim</v>
      </c>
    </row>
    <row r="278" customFormat="false" ht="15" hidden="false" customHeight="false" outlineLevel="0" collapsed="false">
      <c r="A278" s="25" t="n">
        <v>4119608</v>
      </c>
      <c r="B278" s="26" t="s">
        <v>344</v>
      </c>
      <c r="C278" s="26" t="s">
        <v>86</v>
      </c>
      <c r="D278" s="31" t="n">
        <f aca="false">'5 PCM'!G278</f>
        <v>0.538031696926441</v>
      </c>
      <c r="E278" s="25" t="n">
        <v>0</v>
      </c>
      <c r="F278" s="25" t="n">
        <v>1</v>
      </c>
      <c r="G278" s="25" t="n">
        <f aca="false">E278+F278</f>
        <v>1</v>
      </c>
      <c r="H278" s="25" t="n">
        <v>1</v>
      </c>
      <c r="I278" s="25" t="n">
        <v>1</v>
      </c>
      <c r="J278" s="52" t="str">
        <f aca="false">IF(I278&gt;0,"Sim","Não")</f>
        <v>Sim</v>
      </c>
    </row>
    <row r="279" customFormat="false" ht="15" hidden="false" customHeight="false" outlineLevel="0" collapsed="false">
      <c r="A279" s="25" t="n">
        <v>4119657</v>
      </c>
      <c r="B279" s="26" t="s">
        <v>345</v>
      </c>
      <c r="C279" s="26" t="s">
        <v>71</v>
      </c>
      <c r="D279" s="31" t="n">
        <f aca="false">'5 PCM'!G279</f>
        <v>0.407779770185935</v>
      </c>
      <c r="E279" s="25" t="n">
        <v>0</v>
      </c>
      <c r="F279" s="25" t="n">
        <v>0</v>
      </c>
      <c r="G279" s="25" t="n">
        <f aca="false">E279+F279</f>
        <v>0</v>
      </c>
      <c r="H279" s="25" t="n">
        <v>0</v>
      </c>
      <c r="I279" s="25" t="n">
        <v>0</v>
      </c>
      <c r="J279" s="52" t="str">
        <f aca="false">IF(I279&gt;0,"Sim","Não")</f>
        <v>Não</v>
      </c>
    </row>
    <row r="280" customFormat="false" ht="15" hidden="false" customHeight="false" outlineLevel="0" collapsed="false">
      <c r="A280" s="25" t="n">
        <v>4119707</v>
      </c>
      <c r="B280" s="26" t="s">
        <v>346</v>
      </c>
      <c r="C280" s="26" t="s">
        <v>71</v>
      </c>
      <c r="D280" s="31" t="n">
        <f aca="false">'5 PCM'!G280</f>
        <v>0.579242699345412</v>
      </c>
      <c r="E280" s="25" t="n">
        <v>0</v>
      </c>
      <c r="F280" s="25" t="n">
        <v>1</v>
      </c>
      <c r="G280" s="25" t="n">
        <f aca="false">E280+F280</f>
        <v>1</v>
      </c>
      <c r="H280" s="25" t="n">
        <v>1</v>
      </c>
      <c r="I280" s="25" t="n">
        <v>1</v>
      </c>
      <c r="J280" s="52" t="str">
        <f aca="false">IF(I280&gt;0,"Sim","Não")</f>
        <v>Sim</v>
      </c>
    </row>
    <row r="281" customFormat="false" ht="15" hidden="false" customHeight="false" outlineLevel="0" collapsed="false">
      <c r="A281" s="25" t="n">
        <v>4119806</v>
      </c>
      <c r="B281" s="26" t="s">
        <v>347</v>
      </c>
      <c r="C281" s="26" t="s">
        <v>65</v>
      </c>
      <c r="D281" s="31" t="n">
        <f aca="false">'5 PCM'!G281</f>
        <v>0.44019513860693</v>
      </c>
      <c r="E281" s="25" t="n">
        <v>0</v>
      </c>
      <c r="F281" s="25" t="n">
        <v>0</v>
      </c>
      <c r="G281" s="25" t="n">
        <f aca="false">E281+F281</f>
        <v>0</v>
      </c>
      <c r="H281" s="25" t="n">
        <v>1</v>
      </c>
      <c r="I281" s="25" t="n">
        <v>1</v>
      </c>
      <c r="J281" s="52" t="str">
        <f aca="false">IF(I281&gt;0,"Sim","Não")</f>
        <v>Sim</v>
      </c>
    </row>
    <row r="282" customFormat="false" ht="15" hidden="false" customHeight="false" outlineLevel="0" collapsed="false">
      <c r="A282" s="25" t="n">
        <v>4119905</v>
      </c>
      <c r="B282" s="26" t="s">
        <v>348</v>
      </c>
      <c r="C282" s="26" t="s">
        <v>138</v>
      </c>
      <c r="D282" s="31" t="n">
        <f aca="false">'5 PCM'!G282</f>
        <v>0.47751966477023</v>
      </c>
      <c r="E282" s="25" t="n">
        <v>0</v>
      </c>
      <c r="F282" s="25" t="n">
        <v>7</v>
      </c>
      <c r="G282" s="25" t="n">
        <f aca="false">E282+F282</f>
        <v>7</v>
      </c>
      <c r="H282" s="25" t="n">
        <v>2</v>
      </c>
      <c r="I282" s="25" t="n">
        <v>2</v>
      </c>
      <c r="J282" s="52" t="str">
        <f aca="false">IF(I282&gt;0,"Sim","Não")</f>
        <v>Sim</v>
      </c>
    </row>
    <row r="283" customFormat="false" ht="15" hidden="false" customHeight="false" outlineLevel="0" collapsed="false">
      <c r="A283" s="25" t="n">
        <v>4119954</v>
      </c>
      <c r="B283" s="26" t="s">
        <v>349</v>
      </c>
      <c r="C283" s="26" t="s">
        <v>86</v>
      </c>
      <c r="D283" s="31" t="n">
        <f aca="false">'5 PCM'!G283</f>
        <v>0.456461843727104</v>
      </c>
      <c r="E283" s="25" t="n">
        <v>1</v>
      </c>
      <c r="F283" s="25" t="n">
        <v>0</v>
      </c>
      <c r="G283" s="25" t="n">
        <f aca="false">E283+F283</f>
        <v>1</v>
      </c>
      <c r="H283" s="25" t="n">
        <v>1</v>
      </c>
      <c r="I283" s="25" t="n">
        <v>1</v>
      </c>
      <c r="J283" s="52" t="str">
        <f aca="false">IF(I283&gt;0,"Sim","Não")</f>
        <v>Sim</v>
      </c>
    </row>
    <row r="284" customFormat="false" ht="15" hidden="false" customHeight="false" outlineLevel="0" collapsed="false">
      <c r="A284" s="25" t="n">
        <v>4120002</v>
      </c>
      <c r="B284" s="26" t="s">
        <v>350</v>
      </c>
      <c r="C284" s="26" t="s">
        <v>65</v>
      </c>
      <c r="D284" s="31" t="n">
        <f aca="false">'5 PCM'!G284</f>
        <v>0.457821228028701</v>
      </c>
      <c r="E284" s="25" t="n">
        <v>0</v>
      </c>
      <c r="F284" s="25" t="n">
        <v>0</v>
      </c>
      <c r="G284" s="25" t="n">
        <f aca="false">E284+F284</f>
        <v>0</v>
      </c>
      <c r="H284" s="25" t="n">
        <v>0</v>
      </c>
      <c r="I284" s="25" t="n">
        <v>0</v>
      </c>
      <c r="J284" s="52" t="str">
        <f aca="false">IF(I284&gt;0,"Sim","Não")</f>
        <v>Não</v>
      </c>
    </row>
    <row r="285" customFormat="false" ht="15" hidden="false" customHeight="false" outlineLevel="0" collapsed="false">
      <c r="A285" s="25" t="n">
        <v>4120101</v>
      </c>
      <c r="B285" s="26" t="s">
        <v>351</v>
      </c>
      <c r="C285" s="26" t="s">
        <v>71</v>
      </c>
      <c r="D285" s="31" t="n">
        <f aca="false">'5 PCM'!G285</f>
        <v>0.440310910260084</v>
      </c>
      <c r="E285" s="25" t="n">
        <v>0</v>
      </c>
      <c r="F285" s="25" t="n">
        <v>0</v>
      </c>
      <c r="G285" s="25" t="n">
        <f aca="false">E285+F285</f>
        <v>0</v>
      </c>
      <c r="H285" s="25" t="n">
        <v>0</v>
      </c>
      <c r="I285" s="25" t="n">
        <v>0</v>
      </c>
      <c r="J285" s="52" t="str">
        <f aca="false">IF(I285&gt;0,"Sim","Não")</f>
        <v>Não</v>
      </c>
    </row>
    <row r="286" customFormat="false" ht="15" hidden="false" customHeight="false" outlineLevel="0" collapsed="false">
      <c r="A286" s="25" t="n">
        <v>4120150</v>
      </c>
      <c r="B286" s="26" t="s">
        <v>352</v>
      </c>
      <c r="C286" s="26" t="s">
        <v>71</v>
      </c>
      <c r="D286" s="31" t="n">
        <f aca="false">'5 PCM'!G286</f>
        <v>0.598139574159291</v>
      </c>
      <c r="E286" s="25" t="n">
        <v>0</v>
      </c>
      <c r="F286" s="25" t="n">
        <v>1</v>
      </c>
      <c r="G286" s="25" t="n">
        <f aca="false">E286+F286</f>
        <v>1</v>
      </c>
      <c r="H286" s="25" t="n">
        <v>1</v>
      </c>
      <c r="I286" s="25" t="n">
        <v>1</v>
      </c>
      <c r="J286" s="52" t="str">
        <f aca="false">IF(I286&gt;0,"Sim","Não")</f>
        <v>Sim</v>
      </c>
    </row>
    <row r="287" customFormat="false" ht="15" hidden="false" customHeight="false" outlineLevel="0" collapsed="false">
      <c r="A287" s="25" t="n">
        <v>4120200</v>
      </c>
      <c r="B287" s="26" t="s">
        <v>353</v>
      </c>
      <c r="C287" s="26" t="s">
        <v>71</v>
      </c>
      <c r="D287" s="31" t="n">
        <f aca="false">'5 PCM'!G287</f>
        <v>0.395331601041017</v>
      </c>
      <c r="E287" s="25" t="n">
        <v>0</v>
      </c>
      <c r="F287" s="25" t="n">
        <v>0</v>
      </c>
      <c r="G287" s="25" t="n">
        <f aca="false">E287+F287</f>
        <v>0</v>
      </c>
      <c r="H287" s="25" t="n">
        <v>1</v>
      </c>
      <c r="I287" s="25" t="n">
        <v>1</v>
      </c>
      <c r="J287" s="52" t="str">
        <f aca="false">IF(I287&gt;0,"Sim","Não")</f>
        <v>Sim</v>
      </c>
    </row>
    <row r="288" customFormat="false" ht="15" hidden="false" customHeight="false" outlineLevel="0" collapsed="false">
      <c r="A288" s="25" t="n">
        <v>4120309</v>
      </c>
      <c r="B288" s="26" t="s">
        <v>354</v>
      </c>
      <c r="C288" s="26" t="s">
        <v>71</v>
      </c>
      <c r="D288" s="31" t="n">
        <f aca="false">'5 PCM'!G288</f>
        <v>0.530671064410601</v>
      </c>
      <c r="E288" s="25" t="n">
        <v>0</v>
      </c>
      <c r="F288" s="25" t="n">
        <v>1</v>
      </c>
      <c r="G288" s="25" t="n">
        <f aca="false">E288+F288</f>
        <v>1</v>
      </c>
      <c r="H288" s="25" t="n">
        <v>1</v>
      </c>
      <c r="I288" s="25" t="n">
        <v>1</v>
      </c>
      <c r="J288" s="52" t="str">
        <f aca="false">IF(I288&gt;0,"Sim","Não")</f>
        <v>Sim</v>
      </c>
    </row>
    <row r="289" customFormat="false" ht="15" hidden="false" customHeight="false" outlineLevel="0" collapsed="false">
      <c r="A289" s="25" t="n">
        <v>4120333</v>
      </c>
      <c r="B289" s="26" t="s">
        <v>355</v>
      </c>
      <c r="C289" s="26" t="s">
        <v>71</v>
      </c>
      <c r="D289" s="31" t="n">
        <f aca="false">'5 PCM'!G289</f>
        <v>0.487259068808688</v>
      </c>
      <c r="E289" s="25" t="n">
        <v>0</v>
      </c>
      <c r="F289" s="25" t="n">
        <v>0</v>
      </c>
      <c r="G289" s="25" t="n">
        <f aca="false">E289+F289</f>
        <v>0</v>
      </c>
      <c r="H289" s="25" t="n">
        <v>0</v>
      </c>
      <c r="I289" s="25" t="n">
        <v>0</v>
      </c>
      <c r="J289" s="52" t="str">
        <f aca="false">IF(I289&gt;0,"Sim","Não")</f>
        <v>Não</v>
      </c>
    </row>
    <row r="290" customFormat="false" ht="15" hidden="false" customHeight="false" outlineLevel="0" collapsed="false">
      <c r="A290" s="25" t="n">
        <v>4120358</v>
      </c>
      <c r="B290" s="26" t="s">
        <v>356</v>
      </c>
      <c r="C290" s="26" t="s">
        <v>65</v>
      </c>
      <c r="D290" s="31" t="n">
        <f aca="false">'5 PCM'!G290</f>
        <v>0.409214268202661</v>
      </c>
      <c r="E290" s="25" t="n">
        <v>0</v>
      </c>
      <c r="F290" s="25" t="n">
        <v>0</v>
      </c>
      <c r="G290" s="25" t="n">
        <f aca="false">E290+F290</f>
        <v>0</v>
      </c>
      <c r="H290" s="25" t="n">
        <v>0</v>
      </c>
      <c r="I290" s="25" t="n">
        <v>1</v>
      </c>
      <c r="J290" s="52" t="str">
        <f aca="false">IF(I290&gt;0,"Sim","Não")</f>
        <v>Sim</v>
      </c>
    </row>
    <row r="291" customFormat="false" ht="15" hidden="false" customHeight="false" outlineLevel="0" collapsed="false">
      <c r="A291" s="25" t="n">
        <v>4120408</v>
      </c>
      <c r="B291" s="26" t="s">
        <v>357</v>
      </c>
      <c r="C291" s="26" t="s">
        <v>71</v>
      </c>
      <c r="D291" s="31" t="n">
        <f aca="false">'5 PCM'!G291</f>
        <v>0.513216061110083</v>
      </c>
      <c r="E291" s="25" t="n">
        <v>0</v>
      </c>
      <c r="F291" s="25" t="n">
        <v>1</v>
      </c>
      <c r="G291" s="25" t="n">
        <f aca="false">E291+F291</f>
        <v>1</v>
      </c>
      <c r="H291" s="25" t="n">
        <v>1</v>
      </c>
      <c r="I291" s="25" t="n">
        <v>1</v>
      </c>
      <c r="J291" s="52" t="str">
        <f aca="false">IF(I291&gt;0,"Sim","Não")</f>
        <v>Sim</v>
      </c>
    </row>
    <row r="292" customFormat="false" ht="15" hidden="false" customHeight="false" outlineLevel="0" collapsed="false">
      <c r="A292" s="25" t="n">
        <v>4120507</v>
      </c>
      <c r="B292" s="26" t="s">
        <v>358</v>
      </c>
      <c r="C292" s="26" t="s">
        <v>65</v>
      </c>
      <c r="D292" s="31" t="n">
        <f aca="false">'5 PCM'!G292</f>
        <v>0.405843304832003</v>
      </c>
      <c r="E292" s="25" t="n">
        <v>0</v>
      </c>
      <c r="F292" s="25" t="n">
        <v>0</v>
      </c>
      <c r="G292" s="25" t="n">
        <f aca="false">E292+F292</f>
        <v>0</v>
      </c>
      <c r="H292" s="25" t="n">
        <v>0</v>
      </c>
      <c r="I292" s="25" t="n">
        <v>0</v>
      </c>
      <c r="J292" s="52" t="str">
        <f aca="false">IF(I292&gt;0,"Sim","Não")</f>
        <v>Não</v>
      </c>
    </row>
    <row r="293" customFormat="false" ht="15" hidden="false" customHeight="false" outlineLevel="0" collapsed="false">
      <c r="A293" s="25" t="n">
        <v>4120606</v>
      </c>
      <c r="B293" s="26" t="s">
        <v>359</v>
      </c>
      <c r="C293" s="26" t="s">
        <v>86</v>
      </c>
      <c r="D293" s="31" t="n">
        <f aca="false">'5 PCM'!G293</f>
        <v>0.543595428387554</v>
      </c>
      <c r="E293" s="25" t="n">
        <v>0</v>
      </c>
      <c r="F293" s="25" t="n">
        <v>1</v>
      </c>
      <c r="G293" s="25" t="n">
        <f aca="false">E293+F293</f>
        <v>1</v>
      </c>
      <c r="H293" s="25" t="n">
        <v>1</v>
      </c>
      <c r="I293" s="25" t="n">
        <v>1</v>
      </c>
      <c r="J293" s="52" t="str">
        <f aca="false">IF(I293&gt;0,"Sim","Não")</f>
        <v>Sim</v>
      </c>
    </row>
    <row r="294" customFormat="false" ht="15" hidden="false" customHeight="false" outlineLevel="0" collapsed="false">
      <c r="A294" s="25" t="n">
        <v>4120655</v>
      </c>
      <c r="B294" s="26" t="s">
        <v>360</v>
      </c>
      <c r="C294" s="26" t="s">
        <v>71</v>
      </c>
      <c r="D294" s="31" t="n">
        <f aca="false">'5 PCM'!G294</f>
        <v>0.382869637370378</v>
      </c>
      <c r="E294" s="25" t="n">
        <v>0</v>
      </c>
      <c r="F294" s="25" t="n">
        <v>0</v>
      </c>
      <c r="G294" s="25" t="n">
        <f aca="false">E294+F294</f>
        <v>0</v>
      </c>
      <c r="H294" s="25" t="n">
        <v>0</v>
      </c>
      <c r="I294" s="25" t="n">
        <v>0</v>
      </c>
      <c r="J294" s="52" t="str">
        <f aca="false">IF(I294&gt;0,"Sim","Não")</f>
        <v>Não</v>
      </c>
    </row>
    <row r="295" customFormat="false" ht="15" hidden="false" customHeight="false" outlineLevel="0" collapsed="false">
      <c r="A295" s="25" t="n">
        <v>4120705</v>
      </c>
      <c r="B295" s="26" t="s">
        <v>361</v>
      </c>
      <c r="C295" s="26" t="s">
        <v>65</v>
      </c>
      <c r="D295" s="31" t="n">
        <f aca="false">'5 PCM'!G295</f>
        <v>0.406781585223861</v>
      </c>
      <c r="E295" s="25" t="n">
        <v>0</v>
      </c>
      <c r="F295" s="25" t="n">
        <v>0</v>
      </c>
      <c r="G295" s="25" t="n">
        <f aca="false">E295+F295</f>
        <v>0</v>
      </c>
      <c r="H295" s="25" t="n">
        <v>0</v>
      </c>
      <c r="I295" s="25" t="n">
        <v>0</v>
      </c>
      <c r="J295" s="52" t="str">
        <f aca="false">IF(I295&gt;0,"Sim","Não")</f>
        <v>Não</v>
      </c>
    </row>
    <row r="296" customFormat="false" ht="15" hidden="false" customHeight="false" outlineLevel="0" collapsed="false">
      <c r="A296" s="25" t="n">
        <v>4120804</v>
      </c>
      <c r="B296" s="26" t="s">
        <v>362</v>
      </c>
      <c r="C296" s="26" t="s">
        <v>86</v>
      </c>
      <c r="D296" s="31" t="n">
        <f aca="false">'5 PCM'!G296</f>
        <v>0.377862465620023</v>
      </c>
      <c r="E296" s="25" t="n">
        <v>0</v>
      </c>
      <c r="F296" s="25" t="n">
        <v>0</v>
      </c>
      <c r="G296" s="25" t="n">
        <f aca="false">E296+F296</f>
        <v>0</v>
      </c>
      <c r="H296" s="25" t="n">
        <v>0</v>
      </c>
      <c r="I296" s="25" t="n">
        <v>0</v>
      </c>
      <c r="J296" s="52" t="str">
        <f aca="false">IF(I296&gt;0,"Sim","Não")</f>
        <v>Não</v>
      </c>
    </row>
    <row r="297" customFormat="false" ht="15" hidden="false" customHeight="false" outlineLevel="0" collapsed="false">
      <c r="A297" s="25" t="n">
        <v>4120853</v>
      </c>
      <c r="B297" s="26" t="s">
        <v>363</v>
      </c>
      <c r="C297" s="26" t="s">
        <v>71</v>
      </c>
      <c r="D297" s="31" t="n">
        <f aca="false">'5 PCM'!G297</f>
        <v>0.250453392578381</v>
      </c>
      <c r="E297" s="25" t="n">
        <v>0</v>
      </c>
      <c r="F297" s="25" t="n">
        <v>0</v>
      </c>
      <c r="G297" s="25" t="n">
        <f aca="false">E297+F297</f>
        <v>0</v>
      </c>
      <c r="H297" s="25" t="n">
        <v>0</v>
      </c>
      <c r="I297" s="25" t="n">
        <v>0</v>
      </c>
      <c r="J297" s="52" t="str">
        <f aca="false">IF(I297&gt;0,"Sim","Não")</f>
        <v>Não</v>
      </c>
    </row>
    <row r="298" customFormat="false" ht="15" hidden="false" customHeight="false" outlineLevel="0" collapsed="false">
      <c r="A298" s="25" t="n">
        <v>4120903</v>
      </c>
      <c r="B298" s="26" t="s">
        <v>364</v>
      </c>
      <c r="C298" s="26" t="s">
        <v>86</v>
      </c>
      <c r="D298" s="31" t="n">
        <f aca="false">'5 PCM'!G298</f>
        <v>0.615631346366465</v>
      </c>
      <c r="E298" s="25" t="n">
        <v>0</v>
      </c>
      <c r="F298" s="25" t="n">
        <v>1</v>
      </c>
      <c r="G298" s="25" t="n">
        <f aca="false">E298+F298</f>
        <v>1</v>
      </c>
      <c r="H298" s="25" t="n">
        <v>1</v>
      </c>
      <c r="I298" s="25" t="n">
        <v>1</v>
      </c>
      <c r="J298" s="52" t="str">
        <f aca="false">IF(I298&gt;0,"Sim","Não")</f>
        <v>Sim</v>
      </c>
    </row>
    <row r="299" customFormat="false" ht="15" hidden="false" customHeight="false" outlineLevel="0" collapsed="false">
      <c r="A299" s="25" t="n">
        <v>4121000</v>
      </c>
      <c r="B299" s="26" t="s">
        <v>365</v>
      </c>
      <c r="C299" s="26" t="s">
        <v>65</v>
      </c>
      <c r="D299" s="31" t="n">
        <f aca="false">'5 PCM'!G299</f>
        <v>0.501689305807791</v>
      </c>
      <c r="E299" s="25" t="n">
        <v>0</v>
      </c>
      <c r="F299" s="25" t="n">
        <v>1</v>
      </c>
      <c r="G299" s="25" t="n">
        <f aca="false">E299+F299</f>
        <v>1</v>
      </c>
      <c r="H299" s="25" t="n">
        <v>1</v>
      </c>
      <c r="I299" s="25" t="n">
        <v>1</v>
      </c>
      <c r="J299" s="52" t="str">
        <f aca="false">IF(I299&gt;0,"Sim","Não")</f>
        <v>Sim</v>
      </c>
    </row>
    <row r="300" customFormat="false" ht="15" hidden="false" customHeight="false" outlineLevel="0" collapsed="false">
      <c r="A300" s="25" t="n">
        <v>4121109</v>
      </c>
      <c r="B300" s="26" t="s">
        <v>366</v>
      </c>
      <c r="C300" s="26" t="s">
        <v>65</v>
      </c>
      <c r="D300" s="31" t="n">
        <f aca="false">'5 PCM'!G300</f>
        <v>0.523942515002738</v>
      </c>
      <c r="E300" s="25" t="n">
        <v>0</v>
      </c>
      <c r="F300" s="25" t="n">
        <v>1</v>
      </c>
      <c r="G300" s="25" t="n">
        <f aca="false">E300+F300</f>
        <v>1</v>
      </c>
      <c r="H300" s="25" t="n">
        <v>1</v>
      </c>
      <c r="I300" s="25" t="n">
        <v>1</v>
      </c>
      <c r="J300" s="52" t="str">
        <f aca="false">IF(I300&gt;0,"Sim","Não")</f>
        <v>Sim</v>
      </c>
    </row>
    <row r="301" customFormat="false" ht="15" hidden="false" customHeight="false" outlineLevel="0" collapsed="false">
      <c r="A301" s="25" t="n">
        <v>4121208</v>
      </c>
      <c r="B301" s="26" t="s">
        <v>367</v>
      </c>
      <c r="C301" s="26" t="s">
        <v>65</v>
      </c>
      <c r="D301" s="31" t="n">
        <f aca="false">'5 PCM'!G301</f>
        <v>0.524702649540636</v>
      </c>
      <c r="E301" s="25" t="n">
        <v>0</v>
      </c>
      <c r="F301" s="25" t="n">
        <v>1</v>
      </c>
      <c r="G301" s="25" t="n">
        <f aca="false">E301+F301</f>
        <v>1</v>
      </c>
      <c r="H301" s="25" t="n">
        <v>1</v>
      </c>
      <c r="I301" s="25" t="n">
        <v>1</v>
      </c>
      <c r="J301" s="52" t="str">
        <f aca="false">IF(I301&gt;0,"Sim","Não")</f>
        <v>Sim</v>
      </c>
    </row>
    <row r="302" customFormat="false" ht="15" hidden="false" customHeight="false" outlineLevel="0" collapsed="false">
      <c r="A302" s="25" t="n">
        <v>4121257</v>
      </c>
      <c r="B302" s="26" t="s">
        <v>368</v>
      </c>
      <c r="C302" s="26" t="s">
        <v>71</v>
      </c>
      <c r="D302" s="31" t="n">
        <f aca="false">'5 PCM'!G302</f>
        <v>0.499233317443103</v>
      </c>
      <c r="E302" s="25" t="n">
        <v>0</v>
      </c>
      <c r="F302" s="25" t="n">
        <v>0</v>
      </c>
      <c r="G302" s="25" t="n">
        <f aca="false">E302+F302</f>
        <v>0</v>
      </c>
      <c r="H302" s="25" t="n">
        <v>0</v>
      </c>
      <c r="I302" s="25" t="n">
        <v>0</v>
      </c>
      <c r="J302" s="52" t="str">
        <f aca="false">IF(I302&gt;0,"Sim","Não")</f>
        <v>Não</v>
      </c>
    </row>
    <row r="303" customFormat="false" ht="15" hidden="false" customHeight="false" outlineLevel="0" collapsed="false">
      <c r="A303" s="25" t="n">
        <v>4121307</v>
      </c>
      <c r="B303" s="26" t="s">
        <v>369</v>
      </c>
      <c r="C303" s="26" t="s">
        <v>71</v>
      </c>
      <c r="D303" s="31" t="n">
        <f aca="false">'5 PCM'!G303</f>
        <v>0.435900176899342</v>
      </c>
      <c r="E303" s="25" t="n">
        <v>0</v>
      </c>
      <c r="F303" s="25" t="n">
        <v>0</v>
      </c>
      <c r="G303" s="25" t="n">
        <f aca="false">E303+F303</f>
        <v>0</v>
      </c>
      <c r="H303" s="25" t="n">
        <v>0</v>
      </c>
      <c r="I303" s="25" t="n">
        <v>0</v>
      </c>
      <c r="J303" s="52" t="str">
        <f aca="false">IF(I303&gt;0,"Sim","Não")</f>
        <v>Não</v>
      </c>
    </row>
    <row r="304" customFormat="false" ht="15" hidden="false" customHeight="false" outlineLevel="0" collapsed="false">
      <c r="A304" s="25" t="n">
        <v>4121356</v>
      </c>
      <c r="B304" s="26" t="s">
        <v>370</v>
      </c>
      <c r="C304" s="26" t="s">
        <v>71</v>
      </c>
      <c r="D304" s="31" t="n">
        <f aca="false">'5 PCM'!G304</f>
        <v>0.464836810337944</v>
      </c>
      <c r="E304" s="25" t="n">
        <v>0</v>
      </c>
      <c r="F304" s="25" t="n">
        <v>0</v>
      </c>
      <c r="G304" s="25" t="n">
        <f aca="false">E304+F304</f>
        <v>0</v>
      </c>
      <c r="H304" s="25" t="n">
        <v>0</v>
      </c>
      <c r="I304" s="25" t="n">
        <v>0</v>
      </c>
      <c r="J304" s="52" t="str">
        <f aca="false">IF(I304&gt;0,"Sim","Não")</f>
        <v>Não</v>
      </c>
    </row>
    <row r="305" customFormat="false" ht="15" hidden="false" customHeight="false" outlineLevel="0" collapsed="false">
      <c r="A305" s="25" t="n">
        <v>4121406</v>
      </c>
      <c r="B305" s="26" t="s">
        <v>371</v>
      </c>
      <c r="C305" s="26" t="s">
        <v>65</v>
      </c>
      <c r="D305" s="31" t="n">
        <f aca="false">'5 PCM'!G305</f>
        <v>0.358775558004083</v>
      </c>
      <c r="E305" s="25" t="n">
        <v>0</v>
      </c>
      <c r="F305" s="25" t="n">
        <v>0</v>
      </c>
      <c r="G305" s="25" t="n">
        <f aca="false">E305+F305</f>
        <v>0</v>
      </c>
      <c r="H305" s="25" t="n">
        <v>0</v>
      </c>
      <c r="I305" s="25" t="n">
        <v>0</v>
      </c>
      <c r="J305" s="52" t="str">
        <f aca="false">IF(I305&gt;0,"Sim","Não")</f>
        <v>Não</v>
      </c>
    </row>
    <row r="306" customFormat="false" ht="15" hidden="false" customHeight="false" outlineLevel="0" collapsed="false">
      <c r="A306" s="25" t="n">
        <v>4121505</v>
      </c>
      <c r="B306" s="26" t="s">
        <v>372</v>
      </c>
      <c r="C306" s="26" t="s">
        <v>65</v>
      </c>
      <c r="D306" s="31" t="n">
        <f aca="false">'5 PCM'!G306</f>
        <v>0.576500734777104</v>
      </c>
      <c r="E306" s="25" t="n">
        <v>0</v>
      </c>
      <c r="F306" s="25" t="n">
        <v>1</v>
      </c>
      <c r="G306" s="25" t="n">
        <f aca="false">E306+F306</f>
        <v>1</v>
      </c>
      <c r="H306" s="25" t="n">
        <v>1</v>
      </c>
      <c r="I306" s="25" t="n">
        <v>1</v>
      </c>
      <c r="J306" s="52" t="str">
        <f aca="false">IF(I306&gt;0,"Sim","Não")</f>
        <v>Sim</v>
      </c>
    </row>
    <row r="307" customFormat="false" ht="15" hidden="false" customHeight="false" outlineLevel="0" collapsed="false">
      <c r="A307" s="25" t="n">
        <v>4121604</v>
      </c>
      <c r="B307" s="26" t="s">
        <v>373</v>
      </c>
      <c r="C307" s="26" t="s">
        <v>65</v>
      </c>
      <c r="D307" s="31" t="n">
        <f aca="false">'5 PCM'!G307</f>
        <v>0.469098345321572</v>
      </c>
      <c r="E307" s="25" t="n">
        <v>0</v>
      </c>
      <c r="F307" s="25" t="n">
        <v>1</v>
      </c>
      <c r="G307" s="25" t="n">
        <f aca="false">E307+F307</f>
        <v>1</v>
      </c>
      <c r="H307" s="25" t="n">
        <v>1</v>
      </c>
      <c r="I307" s="25" t="n">
        <v>1</v>
      </c>
      <c r="J307" s="52" t="str">
        <f aca="false">IF(I307&gt;0,"Sim","Não")</f>
        <v>Sim</v>
      </c>
    </row>
    <row r="308" customFormat="false" ht="15" hidden="false" customHeight="false" outlineLevel="0" collapsed="false">
      <c r="A308" s="25" t="n">
        <v>4121703</v>
      </c>
      <c r="B308" s="26" t="s">
        <v>374</v>
      </c>
      <c r="C308" s="26" t="s">
        <v>86</v>
      </c>
      <c r="D308" s="31" t="n">
        <f aca="false">'5 PCM'!G308</f>
        <v>0.617057342131836</v>
      </c>
      <c r="E308" s="25" t="n">
        <v>0</v>
      </c>
      <c r="F308" s="25" t="n">
        <v>1</v>
      </c>
      <c r="G308" s="25" t="n">
        <f aca="false">E308+F308</f>
        <v>1</v>
      </c>
      <c r="H308" s="25" t="n">
        <v>1</v>
      </c>
      <c r="I308" s="25" t="n">
        <v>1</v>
      </c>
      <c r="J308" s="52" t="str">
        <f aca="false">IF(I308&gt;0,"Sim","Não")</f>
        <v>Sim</v>
      </c>
    </row>
    <row r="309" customFormat="false" ht="15" hidden="false" customHeight="false" outlineLevel="0" collapsed="false">
      <c r="A309" s="25" t="n">
        <v>4121752</v>
      </c>
      <c r="B309" s="26" t="s">
        <v>375</v>
      </c>
      <c r="C309" s="26" t="s">
        <v>65</v>
      </c>
      <c r="D309" s="31" t="n">
        <f aca="false">'5 PCM'!G309</f>
        <v>0.596188677621481</v>
      </c>
      <c r="E309" s="25" t="n">
        <v>0</v>
      </c>
      <c r="F309" s="25" t="n">
        <v>1</v>
      </c>
      <c r="G309" s="25" t="n">
        <f aca="false">E309+F309</f>
        <v>1</v>
      </c>
      <c r="H309" s="25" t="n">
        <v>1</v>
      </c>
      <c r="I309" s="25" t="n">
        <v>1</v>
      </c>
      <c r="J309" s="52" t="str">
        <f aca="false">IF(I309&gt;0,"Sim","Não")</f>
        <v>Sim</v>
      </c>
    </row>
    <row r="310" customFormat="false" ht="15" hidden="false" customHeight="false" outlineLevel="0" collapsed="false">
      <c r="A310" s="25" t="n">
        <v>4121802</v>
      </c>
      <c r="B310" s="26" t="s">
        <v>376</v>
      </c>
      <c r="C310" s="26" t="s">
        <v>65</v>
      </c>
      <c r="D310" s="31" t="n">
        <f aca="false">'5 PCM'!G310</f>
        <v>0.462879045749618</v>
      </c>
      <c r="E310" s="25" t="n">
        <v>1</v>
      </c>
      <c r="F310" s="25" t="n">
        <v>0</v>
      </c>
      <c r="G310" s="25" t="n">
        <f aca="false">E310+F310</f>
        <v>1</v>
      </c>
      <c r="H310" s="25" t="n">
        <v>1</v>
      </c>
      <c r="I310" s="25" t="n">
        <v>1</v>
      </c>
      <c r="J310" s="52" t="str">
        <f aca="false">IF(I310&gt;0,"Sim","Não")</f>
        <v>Sim</v>
      </c>
    </row>
    <row r="311" customFormat="false" ht="15" hidden="false" customHeight="false" outlineLevel="0" collapsed="false">
      <c r="A311" s="25" t="n">
        <v>4121901</v>
      </c>
      <c r="B311" s="26" t="s">
        <v>377</v>
      </c>
      <c r="C311" s="26" t="s">
        <v>65</v>
      </c>
      <c r="D311" s="31" t="n">
        <f aca="false">'5 PCM'!G311</f>
        <v>0.657637562051384</v>
      </c>
      <c r="E311" s="25" t="n">
        <v>0</v>
      </c>
      <c r="F311" s="25" t="n">
        <v>1</v>
      </c>
      <c r="G311" s="25" t="n">
        <f aca="false">E311+F311</f>
        <v>1</v>
      </c>
      <c r="H311" s="25" t="n">
        <v>1</v>
      </c>
      <c r="I311" s="25" t="n">
        <v>1</v>
      </c>
      <c r="J311" s="52" t="str">
        <f aca="false">IF(I311&gt;0,"Sim","Não")</f>
        <v>Sim</v>
      </c>
    </row>
    <row r="312" customFormat="false" ht="15" hidden="false" customHeight="false" outlineLevel="0" collapsed="false">
      <c r="A312" s="25" t="n">
        <v>4122008</v>
      </c>
      <c r="B312" s="26" t="s">
        <v>378</v>
      </c>
      <c r="C312" s="26" t="s">
        <v>65</v>
      </c>
      <c r="D312" s="31" t="n">
        <f aca="false">'5 PCM'!G312</f>
        <v>0.638237544515848</v>
      </c>
      <c r="E312" s="25" t="n">
        <v>0</v>
      </c>
      <c r="F312" s="25" t="n">
        <v>1</v>
      </c>
      <c r="G312" s="25" t="n">
        <f aca="false">E312+F312</f>
        <v>1</v>
      </c>
      <c r="H312" s="25" t="n">
        <v>1</v>
      </c>
      <c r="I312" s="25" t="n">
        <v>1</v>
      </c>
      <c r="J312" s="52" t="str">
        <f aca="false">IF(I312&gt;0,"Sim","Não")</f>
        <v>Sim</v>
      </c>
    </row>
    <row r="313" customFormat="false" ht="15" hidden="false" customHeight="false" outlineLevel="0" collapsed="false">
      <c r="A313" s="25" t="n">
        <v>4122107</v>
      </c>
      <c r="B313" s="26" t="s">
        <v>379</v>
      </c>
      <c r="C313" s="26" t="s">
        <v>71</v>
      </c>
      <c r="D313" s="31" t="n">
        <f aca="false">'5 PCM'!G313</f>
        <v>0.478997697523531</v>
      </c>
      <c r="E313" s="25" t="n">
        <v>0</v>
      </c>
      <c r="F313" s="25" t="n">
        <v>0</v>
      </c>
      <c r="G313" s="25" t="n">
        <f aca="false">E313+F313</f>
        <v>0</v>
      </c>
      <c r="H313" s="25" t="n">
        <v>0</v>
      </c>
      <c r="I313" s="25" t="n">
        <v>0</v>
      </c>
      <c r="J313" s="52" t="str">
        <f aca="false">IF(I313&gt;0,"Sim","Não")</f>
        <v>Não</v>
      </c>
    </row>
    <row r="314" customFormat="false" ht="15" hidden="false" customHeight="false" outlineLevel="0" collapsed="false">
      <c r="A314" s="25" t="n">
        <v>4122156</v>
      </c>
      <c r="B314" s="26" t="s">
        <v>380</v>
      </c>
      <c r="C314" s="26" t="s">
        <v>65</v>
      </c>
      <c r="D314" s="31" t="n">
        <f aca="false">'5 PCM'!G314</f>
        <v>0.686212629973343</v>
      </c>
      <c r="E314" s="25" t="n">
        <v>1</v>
      </c>
      <c r="F314" s="25" t="n">
        <v>0</v>
      </c>
      <c r="G314" s="25" t="n">
        <f aca="false">E314+F314</f>
        <v>1</v>
      </c>
      <c r="H314" s="25" t="n">
        <v>1</v>
      </c>
      <c r="I314" s="25" t="n">
        <v>1</v>
      </c>
      <c r="J314" s="52" t="str">
        <f aca="false">IF(I314&gt;0,"Sim","Não")</f>
        <v>Sim</v>
      </c>
    </row>
    <row r="315" customFormat="false" ht="15" hidden="false" customHeight="false" outlineLevel="0" collapsed="false">
      <c r="A315" s="25" t="n">
        <v>4122172</v>
      </c>
      <c r="B315" s="26" t="s">
        <v>381</v>
      </c>
      <c r="C315" s="26" t="s">
        <v>71</v>
      </c>
      <c r="D315" s="31" t="n">
        <f aca="false">'5 PCM'!G315</f>
        <v>0.692501847190581</v>
      </c>
      <c r="E315" s="25" t="n">
        <v>0</v>
      </c>
      <c r="F315" s="25" t="n">
        <v>1</v>
      </c>
      <c r="G315" s="25" t="n">
        <f aca="false">E315+F315</f>
        <v>1</v>
      </c>
      <c r="H315" s="25" t="n">
        <v>1</v>
      </c>
      <c r="I315" s="25" t="n">
        <v>1</v>
      </c>
      <c r="J315" s="52" t="str">
        <f aca="false">IF(I315&gt;0,"Sim","Não")</f>
        <v>Sim</v>
      </c>
    </row>
    <row r="316" customFormat="false" ht="15" hidden="false" customHeight="false" outlineLevel="0" collapsed="false">
      <c r="A316" s="25" t="n">
        <v>4122206</v>
      </c>
      <c r="B316" s="26" t="s">
        <v>382</v>
      </c>
      <c r="C316" s="26" t="s">
        <v>86</v>
      </c>
      <c r="D316" s="31" t="n">
        <f aca="false">'5 PCM'!G316</f>
        <v>0.569482494100701</v>
      </c>
      <c r="E316" s="25" t="n">
        <v>0</v>
      </c>
      <c r="F316" s="25" t="n">
        <v>1</v>
      </c>
      <c r="G316" s="25" t="n">
        <f aca="false">E316+F316</f>
        <v>1</v>
      </c>
      <c r="H316" s="25" t="n">
        <v>2</v>
      </c>
      <c r="I316" s="25" t="n">
        <v>2</v>
      </c>
      <c r="J316" s="52" t="str">
        <f aca="false">IF(I316&gt;0,"Sim","Não")</f>
        <v>Sim</v>
      </c>
    </row>
    <row r="317" customFormat="false" ht="15" hidden="false" customHeight="false" outlineLevel="0" collapsed="false">
      <c r="A317" s="25" t="n">
        <v>4122305</v>
      </c>
      <c r="B317" s="26" t="s">
        <v>383</v>
      </c>
      <c r="C317" s="26" t="s">
        <v>86</v>
      </c>
      <c r="D317" s="31" t="n">
        <f aca="false">'5 PCM'!G317</f>
        <v>0.399494695368097</v>
      </c>
      <c r="E317" s="25" t="n">
        <v>0</v>
      </c>
      <c r="F317" s="25" t="n">
        <v>0</v>
      </c>
      <c r="G317" s="25" t="n">
        <f aca="false">E317+F317</f>
        <v>0</v>
      </c>
      <c r="H317" s="25" t="n">
        <v>0</v>
      </c>
      <c r="I317" s="25" t="n">
        <v>0</v>
      </c>
      <c r="J317" s="52" t="str">
        <f aca="false">IF(I317&gt;0,"Sim","Não")</f>
        <v>Não</v>
      </c>
    </row>
    <row r="318" customFormat="false" ht="15" hidden="false" customHeight="false" outlineLevel="0" collapsed="false">
      <c r="A318" s="25" t="n">
        <v>4122404</v>
      </c>
      <c r="B318" s="26" t="s">
        <v>384</v>
      </c>
      <c r="C318" s="26" t="s">
        <v>129</v>
      </c>
      <c r="D318" s="31" t="n">
        <f aca="false">'5 PCM'!G318</f>
        <v>0.43422065519434</v>
      </c>
      <c r="E318" s="25" t="n">
        <v>0</v>
      </c>
      <c r="F318" s="25" t="n">
        <v>1</v>
      </c>
      <c r="G318" s="25" t="n">
        <f aca="false">E318+F318</f>
        <v>1</v>
      </c>
      <c r="H318" s="25" t="n">
        <v>1</v>
      </c>
      <c r="I318" s="25" t="n">
        <v>1</v>
      </c>
      <c r="J318" s="52" t="str">
        <f aca="false">IF(I318&gt;0,"Sim","Não")</f>
        <v>Sim</v>
      </c>
    </row>
    <row r="319" customFormat="false" ht="15" hidden="false" customHeight="false" outlineLevel="0" collapsed="false">
      <c r="A319" s="25" t="n">
        <v>4122503</v>
      </c>
      <c r="B319" s="26" t="s">
        <v>385</v>
      </c>
      <c r="C319" s="26" t="s">
        <v>65</v>
      </c>
      <c r="D319" s="31" t="n">
        <f aca="false">'5 PCM'!G319</f>
        <v>0.515397546702322</v>
      </c>
      <c r="E319" s="25" t="n">
        <v>0</v>
      </c>
      <c r="F319" s="25" t="n">
        <v>1</v>
      </c>
      <c r="G319" s="25" t="n">
        <f aca="false">E319+F319</f>
        <v>1</v>
      </c>
      <c r="H319" s="25" t="n">
        <v>1</v>
      </c>
      <c r="I319" s="25" t="n">
        <v>1</v>
      </c>
      <c r="J319" s="52" t="str">
        <f aca="false">IF(I319&gt;0,"Sim","Não")</f>
        <v>Sim</v>
      </c>
    </row>
    <row r="320" customFormat="false" ht="15" hidden="false" customHeight="false" outlineLevel="0" collapsed="false">
      <c r="A320" s="25" t="n">
        <v>4122602</v>
      </c>
      <c r="B320" s="26" t="s">
        <v>386</v>
      </c>
      <c r="C320" s="26" t="s">
        <v>65</v>
      </c>
      <c r="D320" s="31" t="n">
        <f aca="false">'5 PCM'!G320</f>
        <v>0.399510815019618</v>
      </c>
      <c r="E320" s="25" t="n">
        <v>0</v>
      </c>
      <c r="F320" s="25" t="n">
        <v>0</v>
      </c>
      <c r="G320" s="25" t="n">
        <f aca="false">E320+F320</f>
        <v>0</v>
      </c>
      <c r="H320" s="25" t="n">
        <v>0</v>
      </c>
      <c r="I320" s="25" t="n">
        <v>0</v>
      </c>
      <c r="J320" s="52" t="str">
        <f aca="false">IF(I320&gt;0,"Sim","Não")</f>
        <v>Não</v>
      </c>
    </row>
    <row r="321" customFormat="false" ht="15" hidden="false" customHeight="false" outlineLevel="0" collapsed="false">
      <c r="A321" s="25" t="n">
        <v>4122651</v>
      </c>
      <c r="B321" s="26" t="s">
        <v>387</v>
      </c>
      <c r="C321" s="26" t="s">
        <v>65</v>
      </c>
      <c r="D321" s="31" t="n">
        <f aca="false">'5 PCM'!G321</f>
        <v>0.517614997592828</v>
      </c>
      <c r="E321" s="25" t="n">
        <v>0</v>
      </c>
      <c r="F321" s="25" t="n">
        <v>1</v>
      </c>
      <c r="G321" s="25" t="n">
        <f aca="false">E321+F321</f>
        <v>1</v>
      </c>
      <c r="H321" s="25" t="n">
        <v>1</v>
      </c>
      <c r="I321" s="25" t="n">
        <v>1</v>
      </c>
      <c r="J321" s="52" t="str">
        <f aca="false">IF(I321&gt;0,"Sim","Não")</f>
        <v>Sim</v>
      </c>
    </row>
    <row r="322" customFormat="false" ht="15" hidden="false" customHeight="false" outlineLevel="0" collapsed="false">
      <c r="A322" s="25" t="n">
        <v>4122701</v>
      </c>
      <c r="B322" s="26" t="s">
        <v>388</v>
      </c>
      <c r="C322" s="26" t="s">
        <v>65</v>
      </c>
      <c r="D322" s="31" t="n">
        <f aca="false">'5 PCM'!G322</f>
        <v>0.30717733041457</v>
      </c>
      <c r="E322" s="25" t="n">
        <v>0</v>
      </c>
      <c r="F322" s="25" t="n">
        <v>0</v>
      </c>
      <c r="G322" s="25" t="n">
        <f aca="false">E322+F322</f>
        <v>0</v>
      </c>
      <c r="H322" s="25" t="n">
        <v>0</v>
      </c>
      <c r="I322" s="25" t="n">
        <v>0</v>
      </c>
      <c r="J322" s="52" t="str">
        <f aca="false">IF(I322&gt;0,"Sim","Não")</f>
        <v>Não</v>
      </c>
    </row>
    <row r="323" customFormat="false" ht="15" hidden="false" customHeight="false" outlineLevel="0" collapsed="false">
      <c r="A323" s="25" t="n">
        <v>4122800</v>
      </c>
      <c r="B323" s="26" t="s">
        <v>389</v>
      </c>
      <c r="C323" s="26" t="s">
        <v>71</v>
      </c>
      <c r="D323" s="31" t="n">
        <f aca="false">'5 PCM'!G323</f>
        <v>0.317220398004074</v>
      </c>
      <c r="E323" s="25" t="n">
        <v>0</v>
      </c>
      <c r="F323" s="25" t="n">
        <v>0</v>
      </c>
      <c r="G323" s="25" t="n">
        <f aca="false">E323+F323</f>
        <v>0</v>
      </c>
      <c r="H323" s="25" t="n">
        <v>0</v>
      </c>
      <c r="I323" s="25" t="n">
        <v>0</v>
      </c>
      <c r="J323" s="52" t="str">
        <f aca="false">IF(I323&gt;0,"Sim","Não")</f>
        <v>Não</v>
      </c>
    </row>
    <row r="324" customFormat="false" ht="15" hidden="false" customHeight="false" outlineLevel="0" collapsed="false">
      <c r="A324" s="25" t="n">
        <v>4122909</v>
      </c>
      <c r="B324" s="26" t="s">
        <v>390</v>
      </c>
      <c r="C324" s="26" t="s">
        <v>65</v>
      </c>
      <c r="D324" s="31" t="n">
        <f aca="false">'5 PCM'!G324</f>
        <v>0.468792056347403</v>
      </c>
      <c r="E324" s="25" t="n">
        <v>0</v>
      </c>
      <c r="F324" s="25" t="n">
        <v>1</v>
      </c>
      <c r="G324" s="25" t="n">
        <f aca="false">E324+F324</f>
        <v>1</v>
      </c>
      <c r="H324" s="25" t="n">
        <v>1</v>
      </c>
      <c r="I324" s="25" t="n">
        <v>1</v>
      </c>
      <c r="J324" s="52" t="str">
        <f aca="false">IF(I324&gt;0,"Sim","Não")</f>
        <v>Sim</v>
      </c>
    </row>
    <row r="325" customFormat="false" ht="15" hidden="false" customHeight="false" outlineLevel="0" collapsed="false">
      <c r="A325" s="25" t="n">
        <v>4123006</v>
      </c>
      <c r="B325" s="26" t="s">
        <v>391</v>
      </c>
      <c r="C325" s="26" t="s">
        <v>65</v>
      </c>
      <c r="D325" s="31" t="n">
        <f aca="false">'5 PCM'!G325</f>
        <v>0.518798308438959</v>
      </c>
      <c r="E325" s="25" t="n">
        <v>0</v>
      </c>
      <c r="F325" s="25" t="n">
        <v>1</v>
      </c>
      <c r="G325" s="25" t="n">
        <f aca="false">E325+F325</f>
        <v>1</v>
      </c>
      <c r="H325" s="25" t="n">
        <v>1</v>
      </c>
      <c r="I325" s="25" t="n">
        <v>1</v>
      </c>
      <c r="J325" s="52" t="str">
        <f aca="false">IF(I325&gt;0,"Sim","Não")</f>
        <v>Sim</v>
      </c>
    </row>
    <row r="326" customFormat="false" ht="15" hidden="false" customHeight="false" outlineLevel="0" collapsed="false">
      <c r="A326" s="25" t="n">
        <v>4123105</v>
      </c>
      <c r="B326" s="26" t="s">
        <v>392</v>
      </c>
      <c r="C326" s="26" t="s">
        <v>71</v>
      </c>
      <c r="D326" s="31" t="n">
        <f aca="false">'5 PCM'!G326</f>
        <v>0.553063259373758</v>
      </c>
      <c r="E326" s="25" t="n">
        <v>0</v>
      </c>
      <c r="F326" s="25" t="n">
        <v>1</v>
      </c>
      <c r="G326" s="25" t="n">
        <f aca="false">E326+F326</f>
        <v>1</v>
      </c>
      <c r="H326" s="25" t="n">
        <v>1</v>
      </c>
      <c r="I326" s="25" t="n">
        <v>1</v>
      </c>
      <c r="J326" s="52" t="str">
        <f aca="false">IF(I326&gt;0,"Sim","Não")</f>
        <v>Sim</v>
      </c>
    </row>
    <row r="327" customFormat="false" ht="15" hidden="false" customHeight="false" outlineLevel="0" collapsed="false">
      <c r="A327" s="25" t="n">
        <v>4123204</v>
      </c>
      <c r="B327" s="26" t="s">
        <v>393</v>
      </c>
      <c r="C327" s="26" t="s">
        <v>71</v>
      </c>
      <c r="D327" s="31" t="n">
        <f aca="false">'5 PCM'!G327</f>
        <v>0.484620400785584</v>
      </c>
      <c r="E327" s="25" t="n">
        <v>0</v>
      </c>
      <c r="F327" s="25" t="n">
        <v>0</v>
      </c>
      <c r="G327" s="25" t="n">
        <f aca="false">E327+F327</f>
        <v>0</v>
      </c>
      <c r="H327" s="25" t="n">
        <v>0</v>
      </c>
      <c r="I327" s="25" t="n">
        <v>0</v>
      </c>
      <c r="J327" s="52" t="str">
        <f aca="false">IF(I327&gt;0,"Sim","Não")</f>
        <v>Não</v>
      </c>
    </row>
    <row r="328" customFormat="false" ht="15" hidden="false" customHeight="false" outlineLevel="0" collapsed="false">
      <c r="A328" s="25" t="n">
        <v>4123303</v>
      </c>
      <c r="B328" s="26" t="s">
        <v>394</v>
      </c>
      <c r="C328" s="26" t="s">
        <v>65</v>
      </c>
      <c r="D328" s="31" t="n">
        <f aca="false">'5 PCM'!G328</f>
        <v>0.42602261737816</v>
      </c>
      <c r="E328" s="25" t="n">
        <v>0</v>
      </c>
      <c r="F328" s="25" t="n">
        <v>0</v>
      </c>
      <c r="G328" s="25" t="n">
        <f aca="false">E328+F328</f>
        <v>0</v>
      </c>
      <c r="H328" s="25" t="n">
        <v>1</v>
      </c>
      <c r="I328" s="25" t="n">
        <v>1</v>
      </c>
      <c r="J328" s="52" t="str">
        <f aca="false">IF(I328&gt;0,"Sim","Não")</f>
        <v>Sim</v>
      </c>
    </row>
    <row r="329" customFormat="false" ht="15" hidden="false" customHeight="false" outlineLevel="0" collapsed="false">
      <c r="A329" s="25" t="n">
        <v>4123402</v>
      </c>
      <c r="B329" s="26" t="s">
        <v>395</v>
      </c>
      <c r="C329" s="26" t="s">
        <v>65</v>
      </c>
      <c r="D329" s="31" t="n">
        <f aca="false">'5 PCM'!G329</f>
        <v>0.306082223828471</v>
      </c>
      <c r="E329" s="25" t="n">
        <v>0</v>
      </c>
      <c r="F329" s="25" t="n">
        <v>0</v>
      </c>
      <c r="G329" s="25" t="n">
        <f aca="false">E329+F329</f>
        <v>0</v>
      </c>
      <c r="H329" s="25" t="n">
        <v>0</v>
      </c>
      <c r="I329" s="25" t="n">
        <v>0</v>
      </c>
      <c r="J329" s="52" t="str">
        <f aca="false">IF(I329&gt;0,"Sim","Não")</f>
        <v>Não</v>
      </c>
    </row>
    <row r="330" customFormat="false" ht="15" hidden="false" customHeight="false" outlineLevel="0" collapsed="false">
      <c r="A330" s="25" t="n">
        <v>4123501</v>
      </c>
      <c r="B330" s="26" t="s">
        <v>396</v>
      </c>
      <c r="C330" s="26" t="s">
        <v>86</v>
      </c>
      <c r="D330" s="31" t="n">
        <f aca="false">'5 PCM'!G330</f>
        <v>0.342715699800014</v>
      </c>
      <c r="E330" s="25" t="n">
        <v>0</v>
      </c>
      <c r="F330" s="25" t="n">
        <v>0</v>
      </c>
      <c r="G330" s="25" t="n">
        <f aca="false">E330+F330</f>
        <v>0</v>
      </c>
      <c r="H330" s="25" t="n">
        <v>0</v>
      </c>
      <c r="I330" s="25" t="n">
        <v>0</v>
      </c>
      <c r="J330" s="52" t="str">
        <f aca="false">IF(I330&gt;0,"Sim","Não")</f>
        <v>Não</v>
      </c>
    </row>
    <row r="331" customFormat="false" ht="15" hidden="false" customHeight="false" outlineLevel="0" collapsed="false">
      <c r="A331" s="25" t="n">
        <v>4123600</v>
      </c>
      <c r="B331" s="26" t="s">
        <v>397</v>
      </c>
      <c r="C331" s="26" t="s">
        <v>71</v>
      </c>
      <c r="D331" s="31" t="n">
        <f aca="false">'5 PCM'!G331</f>
        <v>0.392468947535303</v>
      </c>
      <c r="E331" s="25" t="n">
        <v>0</v>
      </c>
      <c r="F331" s="25" t="n">
        <v>0</v>
      </c>
      <c r="G331" s="25" t="n">
        <f aca="false">E331+F331</f>
        <v>0</v>
      </c>
      <c r="H331" s="25" t="n">
        <v>0</v>
      </c>
      <c r="I331" s="25" t="n">
        <v>0</v>
      </c>
      <c r="J331" s="52" t="str">
        <f aca="false">IF(I331&gt;0,"Sim","Não")</f>
        <v>Não</v>
      </c>
    </row>
    <row r="332" customFormat="false" ht="15" hidden="false" customHeight="false" outlineLevel="0" collapsed="false">
      <c r="A332" s="25" t="n">
        <v>4123709</v>
      </c>
      <c r="B332" s="26" t="s">
        <v>398</v>
      </c>
      <c r="C332" s="26" t="s">
        <v>65</v>
      </c>
      <c r="D332" s="31" t="n">
        <f aca="false">'5 PCM'!G332</f>
        <v>0.465286457914537</v>
      </c>
      <c r="E332" s="25" t="n">
        <v>0</v>
      </c>
      <c r="F332" s="25" t="n">
        <v>0</v>
      </c>
      <c r="G332" s="25" t="n">
        <f aca="false">E332+F332</f>
        <v>0</v>
      </c>
      <c r="H332" s="25" t="n">
        <v>0</v>
      </c>
      <c r="I332" s="25" t="n">
        <v>0</v>
      </c>
      <c r="J332" s="52" t="str">
        <f aca="false">IF(I332&gt;0,"Sim","Não")</f>
        <v>Não</v>
      </c>
    </row>
    <row r="333" customFormat="false" ht="15" hidden="false" customHeight="false" outlineLevel="0" collapsed="false">
      <c r="A333" s="25" t="n">
        <v>4123808</v>
      </c>
      <c r="B333" s="26" t="s">
        <v>399</v>
      </c>
      <c r="C333" s="26" t="s">
        <v>65</v>
      </c>
      <c r="D333" s="31" t="n">
        <f aca="false">'5 PCM'!G333</f>
        <v>0.461461182947739</v>
      </c>
      <c r="E333" s="25" t="n">
        <v>0</v>
      </c>
      <c r="F333" s="25" t="n">
        <v>0</v>
      </c>
      <c r="G333" s="25" t="n">
        <f aca="false">E333+F333</f>
        <v>0</v>
      </c>
      <c r="H333" s="25" t="n">
        <v>0</v>
      </c>
      <c r="I333" s="25" t="n">
        <v>0</v>
      </c>
      <c r="J333" s="52" t="str">
        <f aca="false">IF(I333&gt;0,"Sim","Não")</f>
        <v>Não</v>
      </c>
    </row>
    <row r="334" customFormat="false" ht="15" hidden="false" customHeight="false" outlineLevel="0" collapsed="false">
      <c r="A334" s="25" t="n">
        <v>4123824</v>
      </c>
      <c r="B334" s="26" t="s">
        <v>400</v>
      </c>
      <c r="C334" s="26" t="s">
        <v>71</v>
      </c>
      <c r="D334" s="31" t="n">
        <f aca="false">'5 PCM'!G334</f>
        <v>0.578350389727385</v>
      </c>
      <c r="E334" s="25" t="n">
        <v>0</v>
      </c>
      <c r="F334" s="25" t="n">
        <v>1</v>
      </c>
      <c r="G334" s="25" t="n">
        <f aca="false">E334+F334</f>
        <v>1</v>
      </c>
      <c r="H334" s="25" t="n">
        <v>1</v>
      </c>
      <c r="I334" s="25" t="n">
        <v>1</v>
      </c>
      <c r="J334" s="52" t="str">
        <f aca="false">IF(I334&gt;0,"Sim","Não")</f>
        <v>Sim</v>
      </c>
    </row>
    <row r="335" customFormat="false" ht="15" hidden="false" customHeight="false" outlineLevel="0" collapsed="false">
      <c r="A335" s="25" t="n">
        <v>4123857</v>
      </c>
      <c r="B335" s="26" t="s">
        <v>401</v>
      </c>
      <c r="C335" s="26" t="s">
        <v>65</v>
      </c>
      <c r="D335" s="31" t="n">
        <f aca="false">'5 PCM'!G335</f>
        <v>0.625987113989633</v>
      </c>
      <c r="E335" s="25" t="n">
        <v>0</v>
      </c>
      <c r="F335" s="25" t="n">
        <v>1</v>
      </c>
      <c r="G335" s="25" t="n">
        <f aca="false">E335+F335</f>
        <v>1</v>
      </c>
      <c r="H335" s="25" t="n">
        <v>1</v>
      </c>
      <c r="I335" s="25" t="n">
        <v>1</v>
      </c>
      <c r="J335" s="52" t="str">
        <f aca="false">IF(I335&gt;0,"Sim","Não")</f>
        <v>Sim</v>
      </c>
    </row>
    <row r="336" customFormat="false" ht="15" hidden="false" customHeight="false" outlineLevel="0" collapsed="false">
      <c r="A336" s="25" t="n">
        <v>4123907</v>
      </c>
      <c r="B336" s="26" t="s">
        <v>402</v>
      </c>
      <c r="C336" s="26" t="s">
        <v>65</v>
      </c>
      <c r="D336" s="31" t="n">
        <f aca="false">'5 PCM'!G336</f>
        <v>0.529282105429436</v>
      </c>
      <c r="E336" s="25" t="n">
        <v>0</v>
      </c>
      <c r="F336" s="25" t="n">
        <v>1</v>
      </c>
      <c r="G336" s="25" t="n">
        <f aca="false">E336+F336</f>
        <v>1</v>
      </c>
      <c r="H336" s="25" t="n">
        <v>1</v>
      </c>
      <c r="I336" s="25" t="n">
        <v>1</v>
      </c>
      <c r="J336" s="52" t="str">
        <f aca="false">IF(I336&gt;0,"Sim","Não")</f>
        <v>Sim</v>
      </c>
    </row>
    <row r="337" customFormat="false" ht="15" hidden="false" customHeight="false" outlineLevel="0" collapsed="false">
      <c r="A337" s="25" t="n">
        <v>4123956</v>
      </c>
      <c r="B337" s="26" t="s">
        <v>403</v>
      </c>
      <c r="C337" s="26" t="s">
        <v>71</v>
      </c>
      <c r="D337" s="31" t="n">
        <f aca="false">'5 PCM'!G337</f>
        <v>0.525623973892764</v>
      </c>
      <c r="E337" s="25" t="n">
        <v>0</v>
      </c>
      <c r="F337" s="25" t="n">
        <v>1</v>
      </c>
      <c r="G337" s="25" t="n">
        <f aca="false">E337+F337</f>
        <v>1</v>
      </c>
      <c r="H337" s="25" t="n">
        <v>1</v>
      </c>
      <c r="I337" s="25" t="n">
        <v>1</v>
      </c>
      <c r="J337" s="52" t="str">
        <f aca="false">IF(I337&gt;0,"Sim","Não")</f>
        <v>Sim</v>
      </c>
    </row>
    <row r="338" customFormat="false" ht="15" hidden="false" customHeight="false" outlineLevel="0" collapsed="false">
      <c r="A338" s="25" t="n">
        <v>4124020</v>
      </c>
      <c r="B338" s="26" t="s">
        <v>404</v>
      </c>
      <c r="C338" s="26" t="s">
        <v>65</v>
      </c>
      <c r="D338" s="31" t="n">
        <f aca="false">'5 PCM'!G338</f>
        <v>0.472915292293393</v>
      </c>
      <c r="E338" s="25" t="n">
        <v>1</v>
      </c>
      <c r="F338" s="25" t="n">
        <v>0</v>
      </c>
      <c r="G338" s="25" t="n">
        <f aca="false">E338+F338</f>
        <v>1</v>
      </c>
      <c r="H338" s="25" t="n">
        <v>1</v>
      </c>
      <c r="I338" s="25" t="n">
        <v>1</v>
      </c>
      <c r="J338" s="52" t="str">
        <f aca="false">IF(I338&gt;0,"Sim","Não")</f>
        <v>Sim</v>
      </c>
    </row>
    <row r="339" customFormat="false" ht="15" hidden="false" customHeight="false" outlineLevel="0" collapsed="false">
      <c r="A339" s="25" t="n">
        <v>4124053</v>
      </c>
      <c r="B339" s="26" t="s">
        <v>405</v>
      </c>
      <c r="C339" s="26" t="s">
        <v>86</v>
      </c>
      <c r="D339" s="31" t="n">
        <f aca="false">'5 PCM'!G339</f>
        <v>0.491492619024915</v>
      </c>
      <c r="E339" s="25" t="n">
        <v>0</v>
      </c>
      <c r="F339" s="25" t="n">
        <v>1</v>
      </c>
      <c r="G339" s="25" t="n">
        <f aca="false">E339+F339</f>
        <v>1</v>
      </c>
      <c r="H339" s="25" t="n">
        <v>0</v>
      </c>
      <c r="I339" s="25" t="n">
        <v>1</v>
      </c>
      <c r="J339" s="52" t="str">
        <f aca="false">IF(I339&gt;0,"Sim","Não")</f>
        <v>Sim</v>
      </c>
    </row>
    <row r="340" customFormat="false" ht="15" hidden="false" customHeight="false" outlineLevel="0" collapsed="false">
      <c r="A340" s="25" t="n">
        <v>4124004</v>
      </c>
      <c r="B340" s="26" t="s">
        <v>406</v>
      </c>
      <c r="C340" s="26" t="s">
        <v>65</v>
      </c>
      <c r="D340" s="31" t="n">
        <f aca="false">'5 PCM'!G340</f>
        <v>0.406165989554077</v>
      </c>
      <c r="E340" s="25" t="n">
        <v>0</v>
      </c>
      <c r="F340" s="25" t="n">
        <v>0</v>
      </c>
      <c r="G340" s="25" t="n">
        <f aca="false">E340+F340</f>
        <v>0</v>
      </c>
      <c r="H340" s="25" t="n">
        <v>0</v>
      </c>
      <c r="I340" s="25" t="n">
        <v>0</v>
      </c>
      <c r="J340" s="52" t="str">
        <f aca="false">IF(I340&gt;0,"Sim","Não")</f>
        <v>Não</v>
      </c>
    </row>
    <row r="341" customFormat="false" ht="15" hidden="false" customHeight="false" outlineLevel="0" collapsed="false">
      <c r="A341" s="25" t="n">
        <v>4124103</v>
      </c>
      <c r="B341" s="26" t="s">
        <v>407</v>
      </c>
      <c r="C341" s="26" t="s">
        <v>86</v>
      </c>
      <c r="D341" s="31" t="n">
        <f aca="false">'5 PCM'!G341</f>
        <v>0.533821774418432</v>
      </c>
      <c r="E341" s="25" t="n">
        <v>0</v>
      </c>
      <c r="F341" s="25" t="n">
        <v>1</v>
      </c>
      <c r="G341" s="25" t="n">
        <f aca="false">E341+F341</f>
        <v>1</v>
      </c>
      <c r="H341" s="25" t="n">
        <v>1</v>
      </c>
      <c r="I341" s="25" t="n">
        <v>1</v>
      </c>
      <c r="J341" s="52" t="str">
        <f aca="false">IF(I341&gt;0,"Sim","Não")</f>
        <v>Sim</v>
      </c>
    </row>
    <row r="342" customFormat="false" ht="15" hidden="false" customHeight="false" outlineLevel="0" collapsed="false">
      <c r="A342" s="25" t="n">
        <v>4124202</v>
      </c>
      <c r="B342" s="26" t="s">
        <v>408</v>
      </c>
      <c r="C342" s="26" t="s">
        <v>71</v>
      </c>
      <c r="D342" s="31" t="n">
        <f aca="false">'5 PCM'!G342</f>
        <v>0.377434394773952</v>
      </c>
      <c r="E342" s="25" t="n">
        <v>0</v>
      </c>
      <c r="F342" s="25" t="n">
        <v>0</v>
      </c>
      <c r="G342" s="25" t="n">
        <f aca="false">E342+F342</f>
        <v>0</v>
      </c>
      <c r="H342" s="25" t="n">
        <v>1</v>
      </c>
      <c r="I342" s="25" t="n">
        <v>1</v>
      </c>
      <c r="J342" s="52" t="str">
        <f aca="false">IF(I342&gt;0,"Sim","Não")</f>
        <v>Sim</v>
      </c>
    </row>
    <row r="343" customFormat="false" ht="15" hidden="false" customHeight="false" outlineLevel="0" collapsed="false">
      <c r="A343" s="25" t="n">
        <v>4124301</v>
      </c>
      <c r="B343" s="26" t="s">
        <v>409</v>
      </c>
      <c r="C343" s="26" t="s">
        <v>71</v>
      </c>
      <c r="D343" s="31" t="n">
        <f aca="false">'5 PCM'!G343</f>
        <v>0.305653351864041</v>
      </c>
      <c r="E343" s="25" t="n">
        <v>0</v>
      </c>
      <c r="F343" s="25" t="n">
        <v>0</v>
      </c>
      <c r="G343" s="25" t="n">
        <f aca="false">E343+F343</f>
        <v>0</v>
      </c>
      <c r="H343" s="25" t="n">
        <v>0</v>
      </c>
      <c r="I343" s="25" t="n">
        <v>0</v>
      </c>
      <c r="J343" s="52" t="str">
        <f aca="false">IF(I343&gt;0,"Sim","Não")</f>
        <v>Não</v>
      </c>
    </row>
    <row r="344" customFormat="false" ht="15" hidden="false" customHeight="false" outlineLevel="0" collapsed="false">
      <c r="A344" s="25" t="n">
        <v>4124400</v>
      </c>
      <c r="B344" s="26" t="s">
        <v>410</v>
      </c>
      <c r="C344" s="26" t="s">
        <v>86</v>
      </c>
      <c r="D344" s="31" t="n">
        <f aca="false">'5 PCM'!G344</f>
        <v>0.483299566486196</v>
      </c>
      <c r="E344" s="25" t="n">
        <v>0</v>
      </c>
      <c r="F344" s="25" t="n">
        <v>1</v>
      </c>
      <c r="G344" s="25" t="n">
        <f aca="false">E344+F344</f>
        <v>1</v>
      </c>
      <c r="H344" s="25" t="n">
        <v>1</v>
      </c>
      <c r="I344" s="25" t="n">
        <v>1</v>
      </c>
      <c r="J344" s="52" t="str">
        <f aca="false">IF(I344&gt;0,"Sim","Não")</f>
        <v>Sim</v>
      </c>
    </row>
    <row r="345" customFormat="false" ht="15" hidden="false" customHeight="false" outlineLevel="0" collapsed="false">
      <c r="A345" s="25" t="n">
        <v>4124509</v>
      </c>
      <c r="B345" s="26" t="s">
        <v>411</v>
      </c>
      <c r="C345" s="26" t="s">
        <v>65</v>
      </c>
      <c r="D345" s="31" t="n">
        <f aca="false">'5 PCM'!G345</f>
        <v>0.287424413257147</v>
      </c>
      <c r="E345" s="25" t="n">
        <v>0</v>
      </c>
      <c r="F345" s="25" t="n">
        <v>0</v>
      </c>
      <c r="G345" s="25" t="n">
        <f aca="false">E345+F345</f>
        <v>0</v>
      </c>
      <c r="H345" s="25" t="n">
        <v>0</v>
      </c>
      <c r="I345" s="25" t="n">
        <v>0</v>
      </c>
      <c r="J345" s="52" t="str">
        <f aca="false">IF(I345&gt;0,"Sim","Não")</f>
        <v>Não</v>
      </c>
    </row>
    <row r="346" customFormat="false" ht="15" hidden="false" customHeight="false" outlineLevel="0" collapsed="false">
      <c r="A346" s="25" t="n">
        <v>4126207</v>
      </c>
      <c r="B346" s="26" t="s">
        <v>412</v>
      </c>
      <c r="C346" s="26" t="s">
        <v>65</v>
      </c>
      <c r="D346" s="31" t="n">
        <f aca="false">'5 PCM'!G346</f>
        <v>0.507100769538097</v>
      </c>
      <c r="E346" s="25" t="n">
        <v>0</v>
      </c>
      <c r="F346" s="25" t="n">
        <v>1</v>
      </c>
      <c r="G346" s="25" t="n">
        <f aca="false">E346+F346</f>
        <v>1</v>
      </c>
      <c r="H346" s="25" t="n">
        <v>1</v>
      </c>
      <c r="I346" s="25" t="n">
        <v>1</v>
      </c>
      <c r="J346" s="52" t="str">
        <f aca="false">IF(I346&gt;0,"Sim","Não")</f>
        <v>Sim</v>
      </c>
    </row>
    <row r="347" customFormat="false" ht="15" hidden="false" customHeight="false" outlineLevel="0" collapsed="false">
      <c r="A347" s="25" t="n">
        <v>4126256</v>
      </c>
      <c r="B347" s="26" t="s">
        <v>413</v>
      </c>
      <c r="C347" s="26" t="s">
        <v>69</v>
      </c>
      <c r="D347" s="31" t="n">
        <f aca="false">'5 PCM'!G347</f>
        <v>0.514890077097556</v>
      </c>
      <c r="E347" s="25" t="n">
        <v>1</v>
      </c>
      <c r="F347" s="25" t="n">
        <v>1</v>
      </c>
      <c r="G347" s="25" t="n">
        <f aca="false">E347+F347</f>
        <v>2</v>
      </c>
      <c r="H347" s="25" t="n">
        <v>2</v>
      </c>
      <c r="I347" s="25" t="n">
        <v>2</v>
      </c>
      <c r="J347" s="52" t="str">
        <f aca="false">IF(I347&gt;0,"Sim","Não")</f>
        <v>Sim</v>
      </c>
    </row>
    <row r="348" customFormat="false" ht="15" hidden="false" customHeight="false" outlineLevel="0" collapsed="false">
      <c r="A348" s="25" t="n">
        <v>4126272</v>
      </c>
      <c r="B348" s="26" t="s">
        <v>414</v>
      </c>
      <c r="C348" s="26" t="s">
        <v>65</v>
      </c>
      <c r="D348" s="31" t="n">
        <f aca="false">'5 PCM'!G348</f>
        <v>0.480048821440335</v>
      </c>
      <c r="E348" s="25" t="n">
        <v>0</v>
      </c>
      <c r="F348" s="25" t="n">
        <v>1</v>
      </c>
      <c r="G348" s="25" t="n">
        <f aca="false">E348+F348</f>
        <v>1</v>
      </c>
      <c r="H348" s="25" t="n">
        <v>1</v>
      </c>
      <c r="I348" s="25" t="n">
        <v>1</v>
      </c>
      <c r="J348" s="52" t="str">
        <f aca="false">IF(I348&gt;0,"Sim","Não")</f>
        <v>Sim</v>
      </c>
    </row>
    <row r="349" customFormat="false" ht="15" hidden="false" customHeight="false" outlineLevel="0" collapsed="false">
      <c r="A349" s="25" t="n">
        <v>4124608</v>
      </c>
      <c r="B349" s="26" t="s">
        <v>415</v>
      </c>
      <c r="C349" s="26" t="s">
        <v>65</v>
      </c>
      <c r="D349" s="31" t="n">
        <f aca="false">'5 PCM'!G349</f>
        <v>0.410411134466124</v>
      </c>
      <c r="E349" s="25" t="n">
        <v>0</v>
      </c>
      <c r="F349" s="25" t="n">
        <v>0</v>
      </c>
      <c r="G349" s="25" t="n">
        <f aca="false">E349+F349</f>
        <v>0</v>
      </c>
      <c r="H349" s="25" t="n">
        <v>0</v>
      </c>
      <c r="I349" s="25" t="n">
        <v>0</v>
      </c>
      <c r="J349" s="52" t="str">
        <f aca="false">IF(I349&gt;0,"Sim","Não")</f>
        <v>Não</v>
      </c>
    </row>
    <row r="350" customFormat="false" ht="15" hidden="false" customHeight="false" outlineLevel="0" collapsed="false">
      <c r="A350" s="25" t="n">
        <v>4124707</v>
      </c>
      <c r="B350" s="26" t="s">
        <v>416</v>
      </c>
      <c r="C350" s="26" t="s">
        <v>65</v>
      </c>
      <c r="D350" s="31" t="n">
        <f aca="false">'5 PCM'!G350</f>
        <v>0.615303685886488</v>
      </c>
      <c r="E350" s="25" t="n">
        <v>0</v>
      </c>
      <c r="F350" s="25" t="n">
        <v>1</v>
      </c>
      <c r="G350" s="25" t="n">
        <f aca="false">E350+F350</f>
        <v>1</v>
      </c>
      <c r="H350" s="25" t="n">
        <v>1</v>
      </c>
      <c r="I350" s="25" t="n">
        <v>1</v>
      </c>
      <c r="J350" s="52" t="str">
        <f aca="false">IF(I350&gt;0,"Sim","Não")</f>
        <v>Sim</v>
      </c>
    </row>
    <row r="351" customFormat="false" ht="15" hidden="false" customHeight="false" outlineLevel="0" collapsed="false">
      <c r="A351" s="25" t="n">
        <v>4124806</v>
      </c>
      <c r="B351" s="26" t="s">
        <v>417</v>
      </c>
      <c r="C351" s="26" t="s">
        <v>65</v>
      </c>
      <c r="D351" s="31" t="n">
        <f aca="false">'5 PCM'!G351</f>
        <v>0.384836499197201</v>
      </c>
      <c r="E351" s="25" t="n">
        <v>0</v>
      </c>
      <c r="F351" s="25" t="n">
        <v>0</v>
      </c>
      <c r="G351" s="25" t="n">
        <f aca="false">E351+F351</f>
        <v>0</v>
      </c>
      <c r="H351" s="25" t="n">
        <v>0</v>
      </c>
      <c r="I351" s="25" t="n">
        <v>0</v>
      </c>
      <c r="J351" s="52" t="str">
        <f aca="false">IF(I351&gt;0,"Sim","Não")</f>
        <v>Não</v>
      </c>
    </row>
    <row r="352" customFormat="false" ht="15" hidden="false" customHeight="false" outlineLevel="0" collapsed="false">
      <c r="A352" s="25" t="n">
        <v>4124905</v>
      </c>
      <c r="B352" s="26" t="s">
        <v>418</v>
      </c>
      <c r="C352" s="26" t="s">
        <v>65</v>
      </c>
      <c r="D352" s="31" t="n">
        <f aca="false">'5 PCM'!G352</f>
        <v>0.527190983301367</v>
      </c>
      <c r="E352" s="25" t="n">
        <v>0</v>
      </c>
      <c r="F352" s="25" t="n">
        <v>1</v>
      </c>
      <c r="G352" s="25" t="n">
        <f aca="false">E352+F352</f>
        <v>1</v>
      </c>
      <c r="H352" s="25" t="n">
        <v>1</v>
      </c>
      <c r="I352" s="25" t="n">
        <v>1</v>
      </c>
      <c r="J352" s="52" t="str">
        <f aca="false">IF(I352&gt;0,"Sim","Não")</f>
        <v>Sim</v>
      </c>
    </row>
    <row r="353" customFormat="false" ht="15" hidden="false" customHeight="false" outlineLevel="0" collapsed="false">
      <c r="A353" s="25" t="n">
        <v>4125001</v>
      </c>
      <c r="B353" s="26" t="s">
        <v>419</v>
      </c>
      <c r="C353" s="26" t="s">
        <v>65</v>
      </c>
      <c r="D353" s="31" t="n">
        <f aca="false">'5 PCM'!G353</f>
        <v>0.424844530706145</v>
      </c>
      <c r="E353" s="25" t="n">
        <v>0</v>
      </c>
      <c r="F353" s="25" t="n">
        <v>0</v>
      </c>
      <c r="G353" s="25" t="n">
        <f aca="false">E353+F353</f>
        <v>0</v>
      </c>
      <c r="H353" s="25" t="n">
        <v>0</v>
      </c>
      <c r="I353" s="25" t="n">
        <v>0</v>
      </c>
      <c r="J353" s="52" t="str">
        <f aca="false">IF(I353&gt;0,"Sim","Não")</f>
        <v>Não</v>
      </c>
    </row>
    <row r="354" customFormat="false" ht="15" hidden="false" customHeight="false" outlineLevel="0" collapsed="false">
      <c r="A354" s="25" t="n">
        <v>4125100</v>
      </c>
      <c r="B354" s="26" t="s">
        <v>420</v>
      </c>
      <c r="C354" s="26" t="s">
        <v>65</v>
      </c>
      <c r="D354" s="31" t="n">
        <f aca="false">'5 PCM'!G354</f>
        <v>0.566163397394227</v>
      </c>
      <c r="E354" s="25" t="n">
        <v>0</v>
      </c>
      <c r="F354" s="25" t="n">
        <v>1</v>
      </c>
      <c r="G354" s="25" t="n">
        <f aca="false">E354+F354</f>
        <v>1</v>
      </c>
      <c r="H354" s="25" t="n">
        <v>1</v>
      </c>
      <c r="I354" s="25" t="n">
        <v>1</v>
      </c>
      <c r="J354" s="52" t="str">
        <f aca="false">IF(I354&gt;0,"Sim","Não")</f>
        <v>Sim</v>
      </c>
    </row>
    <row r="355" customFormat="false" ht="15" hidden="false" customHeight="false" outlineLevel="0" collapsed="false">
      <c r="A355" s="25" t="n">
        <v>4125209</v>
      </c>
      <c r="B355" s="26" t="s">
        <v>421</v>
      </c>
      <c r="C355" s="26" t="s">
        <v>65</v>
      </c>
      <c r="D355" s="31" t="n">
        <f aca="false">'5 PCM'!G355</f>
        <v>0.367082788533851</v>
      </c>
      <c r="E355" s="25" t="n">
        <v>0</v>
      </c>
      <c r="F355" s="25" t="n">
        <v>0</v>
      </c>
      <c r="G355" s="25" t="n">
        <f aca="false">E355+F355</f>
        <v>0</v>
      </c>
      <c r="H355" s="25" t="n">
        <v>1</v>
      </c>
      <c r="I355" s="25" t="n">
        <v>1</v>
      </c>
      <c r="J355" s="52" t="str">
        <f aca="false">IF(I355&gt;0,"Sim","Não")</f>
        <v>Sim</v>
      </c>
    </row>
    <row r="356" customFormat="false" ht="15" hidden="false" customHeight="false" outlineLevel="0" collapsed="false">
      <c r="A356" s="25" t="n">
        <v>4125308</v>
      </c>
      <c r="B356" s="26" t="s">
        <v>422</v>
      </c>
      <c r="C356" s="26" t="s">
        <v>65</v>
      </c>
      <c r="D356" s="31" t="n">
        <f aca="false">'5 PCM'!G356</f>
        <v>0.383679897112499</v>
      </c>
      <c r="E356" s="25" t="n">
        <v>0</v>
      </c>
      <c r="F356" s="25" t="n">
        <v>0</v>
      </c>
      <c r="G356" s="25" t="n">
        <f aca="false">E356+F356</f>
        <v>0</v>
      </c>
      <c r="H356" s="25" t="n">
        <v>0</v>
      </c>
      <c r="I356" s="25" t="n">
        <v>0</v>
      </c>
      <c r="J356" s="52" t="str">
        <f aca="false">IF(I356&gt;0,"Sim","Não")</f>
        <v>Não</v>
      </c>
    </row>
    <row r="357" customFormat="false" ht="15" hidden="false" customHeight="false" outlineLevel="0" collapsed="false">
      <c r="A357" s="25" t="n">
        <v>4125357</v>
      </c>
      <c r="B357" s="26" t="s">
        <v>423</v>
      </c>
      <c r="C357" s="26" t="s">
        <v>65</v>
      </c>
      <c r="D357" s="31" t="n">
        <f aca="false">'5 PCM'!G357</f>
        <v>0.494028753095461</v>
      </c>
      <c r="E357" s="25" t="n">
        <v>0</v>
      </c>
      <c r="F357" s="25" t="n">
        <v>1</v>
      </c>
      <c r="G357" s="25" t="n">
        <f aca="false">E357+F357</f>
        <v>1</v>
      </c>
      <c r="H357" s="25" t="n">
        <v>1</v>
      </c>
      <c r="I357" s="25" t="n">
        <v>1</v>
      </c>
      <c r="J357" s="52" t="str">
        <f aca="false">IF(I357&gt;0,"Sim","Não")</f>
        <v>Sim</v>
      </c>
    </row>
    <row r="358" customFormat="false" ht="15" hidden="false" customHeight="false" outlineLevel="0" collapsed="false">
      <c r="A358" s="25" t="n">
        <v>4125407</v>
      </c>
      <c r="B358" s="26" t="s">
        <v>424</v>
      </c>
      <c r="C358" s="26" t="s">
        <v>65</v>
      </c>
      <c r="D358" s="31" t="n">
        <f aca="false">'5 PCM'!G358</f>
        <v>0.669836487215189</v>
      </c>
      <c r="E358" s="25" t="n">
        <v>0</v>
      </c>
      <c r="F358" s="25" t="n">
        <v>1</v>
      </c>
      <c r="G358" s="25" t="n">
        <f aca="false">E358+F358</f>
        <v>1</v>
      </c>
      <c r="H358" s="25" t="n">
        <v>1</v>
      </c>
      <c r="I358" s="25" t="n">
        <v>1</v>
      </c>
      <c r="J358" s="52" t="str">
        <f aca="false">IF(I358&gt;0,"Sim","Não")</f>
        <v>Sim</v>
      </c>
    </row>
    <row r="359" customFormat="false" ht="15" hidden="false" customHeight="false" outlineLevel="0" collapsed="false">
      <c r="A359" s="25" t="n">
        <v>4125456</v>
      </c>
      <c r="B359" s="26" t="s">
        <v>425</v>
      </c>
      <c r="C359" s="26" t="s">
        <v>71</v>
      </c>
      <c r="D359" s="31" t="n">
        <f aca="false">'5 PCM'!G359</f>
        <v>0.58422659106329</v>
      </c>
      <c r="E359" s="25" t="n">
        <v>0</v>
      </c>
      <c r="F359" s="25" t="n">
        <v>1</v>
      </c>
      <c r="G359" s="25" t="n">
        <f aca="false">E359+F359</f>
        <v>1</v>
      </c>
      <c r="H359" s="25" t="n">
        <v>1</v>
      </c>
      <c r="I359" s="25" t="n">
        <v>1</v>
      </c>
      <c r="J359" s="52" t="str">
        <f aca="false">IF(I359&gt;0,"Sim","Não")</f>
        <v>Sim</v>
      </c>
    </row>
    <row r="360" customFormat="false" ht="15" hidden="false" customHeight="false" outlineLevel="0" collapsed="false">
      <c r="A360" s="25" t="n">
        <v>4125506</v>
      </c>
      <c r="B360" s="26" t="s">
        <v>426</v>
      </c>
      <c r="C360" s="26" t="s">
        <v>138</v>
      </c>
      <c r="D360" s="31" t="n">
        <f aca="false">'5 PCM'!G360</f>
        <v>0.445206524258753</v>
      </c>
      <c r="E360" s="25" t="n">
        <v>0</v>
      </c>
      <c r="F360" s="25" t="n">
        <v>7</v>
      </c>
      <c r="G360" s="25" t="n">
        <f aca="false">E360+F360</f>
        <v>7</v>
      </c>
      <c r="H360" s="25" t="n">
        <v>3</v>
      </c>
      <c r="I360" s="25" t="n">
        <v>3</v>
      </c>
      <c r="J360" s="52" t="str">
        <f aca="false">IF(I360&gt;0,"Sim","Não")</f>
        <v>Sim</v>
      </c>
    </row>
    <row r="361" customFormat="false" ht="15" hidden="false" customHeight="false" outlineLevel="0" collapsed="false">
      <c r="A361" s="25" t="n">
        <v>4125555</v>
      </c>
      <c r="B361" s="26" t="s">
        <v>427</v>
      </c>
      <c r="C361" s="26" t="s">
        <v>71</v>
      </c>
      <c r="D361" s="31" t="n">
        <f aca="false">'5 PCM'!G361</f>
        <v>0.317894577311604</v>
      </c>
      <c r="E361" s="25" t="n">
        <v>0</v>
      </c>
      <c r="F361" s="25" t="n">
        <v>0</v>
      </c>
      <c r="G361" s="25" t="n">
        <f aca="false">E361+F361</f>
        <v>0</v>
      </c>
      <c r="H361" s="25" t="n">
        <v>0</v>
      </c>
      <c r="I361" s="25" t="n">
        <v>0</v>
      </c>
      <c r="J361" s="52" t="str">
        <f aca="false">IF(I361&gt;0,"Sim","Não")</f>
        <v>Não</v>
      </c>
    </row>
    <row r="362" customFormat="false" ht="15" hidden="false" customHeight="false" outlineLevel="0" collapsed="false">
      <c r="A362" s="25" t="n">
        <v>4125605</v>
      </c>
      <c r="B362" s="26" t="s">
        <v>428</v>
      </c>
      <c r="C362" s="26" t="s">
        <v>86</v>
      </c>
      <c r="D362" s="31" t="n">
        <f aca="false">'5 PCM'!G362</f>
        <v>0.481563249600682</v>
      </c>
      <c r="E362" s="25" t="n">
        <v>0</v>
      </c>
      <c r="F362" s="25" t="n">
        <v>1</v>
      </c>
      <c r="G362" s="25" t="n">
        <f aca="false">E362+F362</f>
        <v>1</v>
      </c>
      <c r="H362" s="25" t="n">
        <v>1</v>
      </c>
      <c r="I362" s="25" t="n">
        <v>1</v>
      </c>
      <c r="J362" s="52" t="str">
        <f aca="false">IF(I362&gt;0,"Sim","Não")</f>
        <v>Sim</v>
      </c>
    </row>
    <row r="363" customFormat="false" ht="15" hidden="false" customHeight="false" outlineLevel="0" collapsed="false">
      <c r="A363" s="25" t="n">
        <v>4125704</v>
      </c>
      <c r="B363" s="26" t="s">
        <v>429</v>
      </c>
      <c r="C363" s="26" t="s">
        <v>86</v>
      </c>
      <c r="D363" s="31" t="n">
        <f aca="false">'5 PCM'!G363</f>
        <v>0.402512846809394</v>
      </c>
      <c r="E363" s="25" t="n">
        <v>0</v>
      </c>
      <c r="F363" s="25" t="n">
        <v>0</v>
      </c>
      <c r="G363" s="25" t="n">
        <f aca="false">E363+F363</f>
        <v>0</v>
      </c>
      <c r="H363" s="25" t="n">
        <v>0</v>
      </c>
      <c r="I363" s="25" t="n">
        <v>0</v>
      </c>
      <c r="J363" s="52" t="str">
        <f aca="false">IF(I363&gt;0,"Sim","Não")</f>
        <v>Não</v>
      </c>
    </row>
    <row r="364" customFormat="false" ht="15" hidden="false" customHeight="false" outlineLevel="0" collapsed="false">
      <c r="A364" s="25" t="n">
        <v>4125753</v>
      </c>
      <c r="B364" s="26" t="s">
        <v>430</v>
      </c>
      <c r="C364" s="26" t="s">
        <v>65</v>
      </c>
      <c r="D364" s="31" t="n">
        <f aca="false">'5 PCM'!G364</f>
        <v>0.486085393832536</v>
      </c>
      <c r="E364" s="25" t="n">
        <v>0</v>
      </c>
      <c r="F364" s="25" t="n">
        <v>1</v>
      </c>
      <c r="G364" s="25" t="n">
        <f aca="false">E364+F364</f>
        <v>1</v>
      </c>
      <c r="H364" s="25" t="n">
        <v>1</v>
      </c>
      <c r="I364" s="25" t="n">
        <v>1</v>
      </c>
      <c r="J364" s="52" t="str">
        <f aca="false">IF(I364&gt;0,"Sim","Não")</f>
        <v>Sim</v>
      </c>
    </row>
    <row r="365" customFormat="false" ht="15" hidden="false" customHeight="false" outlineLevel="0" collapsed="false">
      <c r="A365" s="25" t="n">
        <v>4125803</v>
      </c>
      <c r="B365" s="26" t="s">
        <v>431</v>
      </c>
      <c r="C365" s="26" t="s">
        <v>65</v>
      </c>
      <c r="D365" s="31" t="n">
        <f aca="false">'5 PCM'!G365</f>
        <v>0.49986519847928</v>
      </c>
      <c r="E365" s="25" t="n">
        <v>0</v>
      </c>
      <c r="F365" s="25" t="n">
        <v>1</v>
      </c>
      <c r="G365" s="25" t="n">
        <f aca="false">E365+F365</f>
        <v>1</v>
      </c>
      <c r="H365" s="25" t="n">
        <v>1</v>
      </c>
      <c r="I365" s="25" t="n">
        <v>1</v>
      </c>
      <c r="J365" s="52" t="str">
        <f aca="false">IF(I365&gt;0,"Sim","Não")</f>
        <v>Sim</v>
      </c>
    </row>
    <row r="366" customFormat="false" ht="15" hidden="false" customHeight="false" outlineLevel="0" collapsed="false">
      <c r="A366" s="25" t="n">
        <v>4125902</v>
      </c>
      <c r="B366" s="26" t="s">
        <v>432</v>
      </c>
      <c r="C366" s="26" t="s">
        <v>71</v>
      </c>
      <c r="D366" s="31" t="n">
        <f aca="false">'5 PCM'!G366</f>
        <v>0.364388945249688</v>
      </c>
      <c r="E366" s="25" t="n">
        <v>0</v>
      </c>
      <c r="F366" s="25" t="n">
        <v>0</v>
      </c>
      <c r="G366" s="25" t="n">
        <f aca="false">E366+F366</f>
        <v>0</v>
      </c>
      <c r="H366" s="25" t="n">
        <v>1</v>
      </c>
      <c r="I366" s="25" t="n">
        <v>1</v>
      </c>
      <c r="J366" s="52" t="str">
        <f aca="false">IF(I366&gt;0,"Sim","Não")</f>
        <v>Sim</v>
      </c>
    </row>
    <row r="367" customFormat="false" ht="15" hidden="false" customHeight="false" outlineLevel="0" collapsed="false">
      <c r="A367" s="25" t="n">
        <v>4126009</v>
      </c>
      <c r="B367" s="26" t="s">
        <v>433</v>
      </c>
      <c r="C367" s="26" t="s">
        <v>65</v>
      </c>
      <c r="D367" s="31" t="n">
        <f aca="false">'5 PCM'!G367</f>
        <v>0.510777786964827</v>
      </c>
      <c r="E367" s="25" t="n">
        <v>0</v>
      </c>
      <c r="F367" s="25" t="n">
        <v>1</v>
      </c>
      <c r="G367" s="25" t="n">
        <f aca="false">E367+F367</f>
        <v>1</v>
      </c>
      <c r="H367" s="25" t="n">
        <v>1</v>
      </c>
      <c r="I367" s="25" t="n">
        <v>1</v>
      </c>
      <c r="J367" s="52" t="str">
        <f aca="false">IF(I367&gt;0,"Sim","Não")</f>
        <v>Sim</v>
      </c>
    </row>
    <row r="368" customFormat="false" ht="15" hidden="false" customHeight="false" outlineLevel="0" collapsed="false">
      <c r="A368" s="25" t="n">
        <v>4126108</v>
      </c>
      <c r="B368" s="26" t="s">
        <v>434</v>
      </c>
      <c r="C368" s="26" t="s">
        <v>65</v>
      </c>
      <c r="D368" s="31" t="n">
        <f aca="false">'5 PCM'!G368</f>
        <v>0.395891765758627</v>
      </c>
      <c r="E368" s="25" t="n">
        <v>0</v>
      </c>
      <c r="F368" s="25" t="n">
        <v>0</v>
      </c>
      <c r="G368" s="25" t="n">
        <f aca="false">E368+F368</f>
        <v>0</v>
      </c>
      <c r="H368" s="25" t="n">
        <v>0</v>
      </c>
      <c r="I368" s="25" t="n">
        <v>0</v>
      </c>
      <c r="J368" s="52" t="str">
        <f aca="false">IF(I368&gt;0,"Sim","Não")</f>
        <v>Não</v>
      </c>
    </row>
    <row r="369" customFormat="false" ht="15" hidden="false" customHeight="false" outlineLevel="0" collapsed="false">
      <c r="A369" s="25" t="n">
        <v>4126306</v>
      </c>
      <c r="B369" s="26" t="s">
        <v>435</v>
      </c>
      <c r="C369" s="26" t="s">
        <v>65</v>
      </c>
      <c r="D369" s="31" t="n">
        <f aca="false">'5 PCM'!G369</f>
        <v>0.517069300224741</v>
      </c>
      <c r="E369" s="25" t="n">
        <v>0</v>
      </c>
      <c r="F369" s="25" t="n">
        <v>1</v>
      </c>
      <c r="G369" s="25" t="n">
        <f aca="false">E369+F369</f>
        <v>1</v>
      </c>
      <c r="H369" s="25" t="n">
        <v>1</v>
      </c>
      <c r="I369" s="25" t="n">
        <v>1</v>
      </c>
      <c r="J369" s="52" t="str">
        <f aca="false">IF(I369&gt;0,"Sim","Não")</f>
        <v>Sim</v>
      </c>
    </row>
    <row r="370" customFormat="false" ht="15" hidden="false" customHeight="false" outlineLevel="0" collapsed="false">
      <c r="A370" s="25" t="n">
        <v>4126355</v>
      </c>
      <c r="B370" s="26" t="s">
        <v>436</v>
      </c>
      <c r="C370" s="26" t="s">
        <v>65</v>
      </c>
      <c r="D370" s="31" t="n">
        <f aca="false">'5 PCM'!G370</f>
        <v>0.482433859920935</v>
      </c>
      <c r="E370" s="25" t="n">
        <v>0</v>
      </c>
      <c r="F370" s="25" t="n">
        <v>1</v>
      </c>
      <c r="G370" s="25" t="n">
        <f aca="false">E370+F370</f>
        <v>1</v>
      </c>
      <c r="H370" s="25" t="n">
        <v>1</v>
      </c>
      <c r="I370" s="25" t="n">
        <v>1</v>
      </c>
      <c r="J370" s="52" t="str">
        <f aca="false">IF(I370&gt;0,"Sim","Não")</f>
        <v>Sim</v>
      </c>
    </row>
    <row r="371" customFormat="false" ht="15" hidden="false" customHeight="false" outlineLevel="0" collapsed="false">
      <c r="A371" s="25" t="n">
        <v>4126405</v>
      </c>
      <c r="B371" s="26" t="s">
        <v>437</v>
      </c>
      <c r="C371" s="26" t="s">
        <v>65</v>
      </c>
      <c r="D371" s="31" t="n">
        <f aca="false">'5 PCM'!G371</f>
        <v>0.322931321254519</v>
      </c>
      <c r="E371" s="25" t="n">
        <v>0</v>
      </c>
      <c r="F371" s="25" t="n">
        <v>0</v>
      </c>
      <c r="G371" s="25" t="n">
        <f aca="false">E371+F371</f>
        <v>0</v>
      </c>
      <c r="H371" s="25" t="n">
        <v>0</v>
      </c>
      <c r="I371" s="25" t="n">
        <v>0</v>
      </c>
      <c r="J371" s="52" t="str">
        <f aca="false">IF(I371&gt;0,"Sim","Não")</f>
        <v>Não</v>
      </c>
    </row>
    <row r="372" customFormat="false" ht="15" hidden="false" customHeight="false" outlineLevel="0" collapsed="false">
      <c r="A372" s="25" t="n">
        <v>4126504</v>
      </c>
      <c r="B372" s="26" t="s">
        <v>438</v>
      </c>
      <c r="C372" s="26" t="s">
        <v>65</v>
      </c>
      <c r="D372" s="31" t="n">
        <f aca="false">'5 PCM'!G372</f>
        <v>0.481294802611287</v>
      </c>
      <c r="E372" s="25" t="n">
        <v>0</v>
      </c>
      <c r="F372" s="25" t="n">
        <v>1</v>
      </c>
      <c r="G372" s="25" t="n">
        <f aca="false">E372+F372</f>
        <v>1</v>
      </c>
      <c r="H372" s="25" t="n">
        <v>1</v>
      </c>
      <c r="I372" s="25" t="n">
        <v>1</v>
      </c>
      <c r="J372" s="52" t="str">
        <f aca="false">IF(I372&gt;0,"Sim","Não")</f>
        <v>Sim</v>
      </c>
    </row>
    <row r="373" customFormat="false" ht="15" hidden="false" customHeight="false" outlineLevel="0" collapsed="false">
      <c r="A373" s="25" t="n">
        <v>4126603</v>
      </c>
      <c r="B373" s="26" t="s">
        <v>439</v>
      </c>
      <c r="C373" s="26" t="s">
        <v>86</v>
      </c>
      <c r="D373" s="31" t="n">
        <f aca="false">'5 PCM'!G373</f>
        <v>0.436336574237852</v>
      </c>
      <c r="E373" s="25" t="n">
        <v>0</v>
      </c>
      <c r="F373" s="25" t="n">
        <v>0</v>
      </c>
      <c r="G373" s="25" t="n">
        <f aca="false">E373+F373</f>
        <v>0</v>
      </c>
      <c r="H373" s="25" t="n">
        <v>1</v>
      </c>
      <c r="I373" s="25" t="n">
        <v>1</v>
      </c>
      <c r="J373" s="52" t="str">
        <f aca="false">IF(I373&gt;0,"Sim","Não")</f>
        <v>Sim</v>
      </c>
    </row>
    <row r="374" customFormat="false" ht="15" hidden="false" customHeight="false" outlineLevel="0" collapsed="false">
      <c r="A374" s="25" t="n">
        <v>4126652</v>
      </c>
      <c r="B374" s="26" t="s">
        <v>440</v>
      </c>
      <c r="C374" s="26" t="s">
        <v>71</v>
      </c>
      <c r="D374" s="31" t="n">
        <f aca="false">'5 PCM'!G374</f>
        <v>0.487988404331792</v>
      </c>
      <c r="E374" s="25" t="n">
        <v>1</v>
      </c>
      <c r="F374" s="25" t="n">
        <v>0</v>
      </c>
      <c r="G374" s="25" t="n">
        <f aca="false">E374+F374</f>
        <v>1</v>
      </c>
      <c r="H374" s="25" t="n">
        <v>1</v>
      </c>
      <c r="I374" s="25" t="n">
        <v>1</v>
      </c>
      <c r="J374" s="52" t="str">
        <f aca="false">IF(I374&gt;0,"Sim","Não")</f>
        <v>Sim</v>
      </c>
    </row>
    <row r="375" customFormat="false" ht="15" hidden="false" customHeight="false" outlineLevel="0" collapsed="false">
      <c r="A375" s="25" t="n">
        <v>4126678</v>
      </c>
      <c r="B375" s="26" t="s">
        <v>441</v>
      </c>
      <c r="C375" s="26" t="s">
        <v>65</v>
      </c>
      <c r="D375" s="31" t="n">
        <f aca="false">'5 PCM'!G375</f>
        <v>0.578728424635076</v>
      </c>
      <c r="E375" s="25" t="n">
        <v>0</v>
      </c>
      <c r="F375" s="25" t="n">
        <v>1</v>
      </c>
      <c r="G375" s="25" t="n">
        <f aca="false">E375+F375</f>
        <v>1</v>
      </c>
      <c r="H375" s="25" t="n">
        <v>1</v>
      </c>
      <c r="I375" s="25" t="n">
        <v>1</v>
      </c>
      <c r="J375" s="52" t="str">
        <f aca="false">IF(I375&gt;0,"Sim","Não")</f>
        <v>Sim</v>
      </c>
    </row>
    <row r="376" customFormat="false" ht="15" hidden="false" customHeight="false" outlineLevel="0" collapsed="false">
      <c r="A376" s="25" t="n">
        <v>4126702</v>
      </c>
      <c r="B376" s="26" t="s">
        <v>442</v>
      </c>
      <c r="C376" s="26" t="s">
        <v>71</v>
      </c>
      <c r="D376" s="31" t="n">
        <f aca="false">'5 PCM'!G376</f>
        <v>0.424861595164485</v>
      </c>
      <c r="E376" s="25" t="n">
        <v>0</v>
      </c>
      <c r="F376" s="25" t="n">
        <v>0</v>
      </c>
      <c r="G376" s="25" t="n">
        <f aca="false">E376+F376</f>
        <v>0</v>
      </c>
      <c r="H376" s="25" t="n">
        <v>1</v>
      </c>
      <c r="I376" s="25" t="n">
        <v>1</v>
      </c>
      <c r="J376" s="52" t="str">
        <f aca="false">IF(I376&gt;0,"Sim","Não")</f>
        <v>Sim</v>
      </c>
    </row>
    <row r="377" customFormat="false" ht="15" hidden="false" customHeight="false" outlineLevel="0" collapsed="false">
      <c r="A377" s="25" t="n">
        <v>4126801</v>
      </c>
      <c r="B377" s="26" t="s">
        <v>443</v>
      </c>
      <c r="C377" s="26" t="s">
        <v>65</v>
      </c>
      <c r="D377" s="31" t="n">
        <f aca="false">'5 PCM'!G377</f>
        <v>0.391582361716391</v>
      </c>
      <c r="E377" s="25" t="n">
        <v>0</v>
      </c>
      <c r="F377" s="25" t="n">
        <v>0</v>
      </c>
      <c r="G377" s="25" t="n">
        <f aca="false">E377+F377</f>
        <v>0</v>
      </c>
      <c r="H377" s="25" t="n">
        <v>0</v>
      </c>
      <c r="I377" s="25" t="n">
        <v>0</v>
      </c>
      <c r="J377" s="52" t="str">
        <f aca="false">IF(I377&gt;0,"Sim","Não")</f>
        <v>Não</v>
      </c>
    </row>
    <row r="378" customFormat="false" ht="15" hidden="false" customHeight="false" outlineLevel="0" collapsed="false">
      <c r="A378" s="25" t="n">
        <v>4126900</v>
      </c>
      <c r="B378" s="26" t="s">
        <v>444</v>
      </c>
      <c r="C378" s="26" t="s">
        <v>65</v>
      </c>
      <c r="D378" s="31" t="n">
        <f aca="false">'5 PCM'!G378</f>
        <v>0.496481989391519</v>
      </c>
      <c r="E378" s="25" t="n">
        <v>0</v>
      </c>
      <c r="F378" s="25" t="n">
        <v>1</v>
      </c>
      <c r="G378" s="25" t="n">
        <f aca="false">E378+F378</f>
        <v>1</v>
      </c>
      <c r="H378" s="25" t="n">
        <v>1</v>
      </c>
      <c r="I378" s="25" t="n">
        <v>1</v>
      </c>
      <c r="J378" s="52" t="str">
        <f aca="false">IF(I378&gt;0,"Sim","Não")</f>
        <v>Sim</v>
      </c>
    </row>
    <row r="379" customFormat="false" ht="15" hidden="false" customHeight="false" outlineLevel="0" collapsed="false">
      <c r="A379" s="25" t="n">
        <v>4127007</v>
      </c>
      <c r="B379" s="26" t="s">
        <v>445</v>
      </c>
      <c r="C379" s="26" t="s">
        <v>65</v>
      </c>
      <c r="D379" s="31" t="n">
        <f aca="false">'5 PCM'!G379</f>
        <v>0.622730212548543</v>
      </c>
      <c r="E379" s="25" t="n">
        <v>0</v>
      </c>
      <c r="F379" s="25" t="n">
        <v>1</v>
      </c>
      <c r="G379" s="25" t="n">
        <f aca="false">E379+F379</f>
        <v>1</v>
      </c>
      <c r="H379" s="25" t="n">
        <v>1</v>
      </c>
      <c r="I379" s="25" t="n">
        <v>1</v>
      </c>
      <c r="J379" s="52" t="str">
        <f aca="false">IF(I379&gt;0,"Sim","Não")</f>
        <v>Sim</v>
      </c>
    </row>
    <row r="380" customFormat="false" ht="15" hidden="false" customHeight="false" outlineLevel="0" collapsed="false">
      <c r="A380" s="25" t="n">
        <v>4127106</v>
      </c>
      <c r="B380" s="26" t="s">
        <v>446</v>
      </c>
      <c r="C380" s="26" t="s">
        <v>129</v>
      </c>
      <c r="D380" s="31" t="n">
        <f aca="false">'5 PCM'!G380</f>
        <v>0.439249352570188</v>
      </c>
      <c r="E380" s="25" t="n">
        <v>0</v>
      </c>
      <c r="F380" s="25" t="n">
        <v>2</v>
      </c>
      <c r="G380" s="25" t="n">
        <f aca="false">E380+F380</f>
        <v>2</v>
      </c>
      <c r="H380" s="25" t="n">
        <v>1</v>
      </c>
      <c r="I380" s="25" t="n">
        <v>1</v>
      </c>
      <c r="J380" s="52" t="str">
        <f aca="false">IF(I380&gt;0,"Sim","Não")</f>
        <v>Sim</v>
      </c>
    </row>
    <row r="381" customFormat="false" ht="15" hidden="false" customHeight="false" outlineLevel="0" collapsed="false">
      <c r="A381" s="25" t="n">
        <v>4127205</v>
      </c>
      <c r="B381" s="26" t="s">
        <v>447</v>
      </c>
      <c r="C381" s="26" t="s">
        <v>65</v>
      </c>
      <c r="D381" s="31" t="n">
        <f aca="false">'5 PCM'!G381</f>
        <v>0.383327298831956</v>
      </c>
      <c r="E381" s="25" t="n">
        <v>0</v>
      </c>
      <c r="F381" s="25" t="n">
        <v>0</v>
      </c>
      <c r="G381" s="25" t="n">
        <f aca="false">E381+F381</f>
        <v>0</v>
      </c>
      <c r="H381" s="25" t="n">
        <v>1</v>
      </c>
      <c r="I381" s="25" t="n">
        <v>1</v>
      </c>
      <c r="J381" s="52" t="str">
        <f aca="false">IF(I381&gt;0,"Sim","Não")</f>
        <v>Sim</v>
      </c>
    </row>
    <row r="382" customFormat="false" ht="15" hidden="false" customHeight="false" outlineLevel="0" collapsed="false">
      <c r="A382" s="25" t="n">
        <v>4127304</v>
      </c>
      <c r="B382" s="26" t="s">
        <v>448</v>
      </c>
      <c r="C382" s="26" t="s">
        <v>65</v>
      </c>
      <c r="D382" s="31" t="n">
        <f aca="false">'5 PCM'!G382</f>
        <v>0.434351016169953</v>
      </c>
      <c r="E382" s="25" t="n">
        <v>0</v>
      </c>
      <c r="F382" s="25" t="n">
        <v>0</v>
      </c>
      <c r="G382" s="25" t="n">
        <f aca="false">E382+F382</f>
        <v>0</v>
      </c>
      <c r="H382" s="25" t="n">
        <v>1</v>
      </c>
      <c r="I382" s="25" t="n">
        <v>1</v>
      </c>
      <c r="J382" s="52" t="str">
        <f aca="false">IF(I382&gt;0,"Sim","Não")</f>
        <v>Sim</v>
      </c>
    </row>
    <row r="383" customFormat="false" ht="15" hidden="false" customHeight="false" outlineLevel="0" collapsed="false">
      <c r="A383" s="25" t="n">
        <v>4127403</v>
      </c>
      <c r="B383" s="26" t="s">
        <v>449</v>
      </c>
      <c r="C383" s="26" t="s">
        <v>65</v>
      </c>
      <c r="D383" s="31" t="n">
        <f aca="false">'5 PCM'!G383</f>
        <v>0.438603161496828</v>
      </c>
      <c r="E383" s="25" t="n">
        <v>0</v>
      </c>
      <c r="F383" s="25" t="n">
        <v>0</v>
      </c>
      <c r="G383" s="25" t="n">
        <f aca="false">E383+F383</f>
        <v>0</v>
      </c>
      <c r="H383" s="25" t="n">
        <v>0</v>
      </c>
      <c r="I383" s="25" t="n">
        <v>0</v>
      </c>
      <c r="J383" s="52" t="str">
        <f aca="false">IF(I383&gt;0,"Sim","Não")</f>
        <v>Não</v>
      </c>
    </row>
    <row r="384" customFormat="false" ht="15" hidden="false" customHeight="false" outlineLevel="0" collapsed="false">
      <c r="A384" s="25" t="n">
        <v>4127502</v>
      </c>
      <c r="B384" s="26" t="s">
        <v>450</v>
      </c>
      <c r="C384" s="26" t="s">
        <v>65</v>
      </c>
      <c r="D384" s="31" t="n">
        <f aca="false">'5 PCM'!G384</f>
        <v>0.575718420803447</v>
      </c>
      <c r="E384" s="25" t="n">
        <v>0</v>
      </c>
      <c r="F384" s="25" t="n">
        <v>1</v>
      </c>
      <c r="G384" s="25" t="n">
        <f aca="false">E384+F384</f>
        <v>1</v>
      </c>
      <c r="H384" s="25" t="n">
        <v>1</v>
      </c>
      <c r="I384" s="25" t="n">
        <v>1</v>
      </c>
      <c r="J384" s="52" t="str">
        <f aca="false">IF(I384&gt;0,"Sim","Não")</f>
        <v>Sim</v>
      </c>
    </row>
    <row r="385" customFormat="false" ht="15" hidden="false" customHeight="false" outlineLevel="0" collapsed="false">
      <c r="A385" s="25" t="n">
        <v>4127601</v>
      </c>
      <c r="B385" s="26" t="s">
        <v>451</v>
      </c>
      <c r="C385" s="26" t="s">
        <v>65</v>
      </c>
      <c r="D385" s="31" t="n">
        <f aca="false">'5 PCM'!G385</f>
        <v>0.682459392127949</v>
      </c>
      <c r="E385" s="25" t="n">
        <v>1</v>
      </c>
      <c r="F385" s="25" t="n">
        <v>0</v>
      </c>
      <c r="G385" s="25" t="n">
        <f aca="false">E385+F385</f>
        <v>1</v>
      </c>
      <c r="H385" s="25" t="n">
        <v>1</v>
      </c>
      <c r="I385" s="25" t="n">
        <v>1</v>
      </c>
      <c r="J385" s="52" t="str">
        <f aca="false">IF(I385&gt;0,"Sim","Não")</f>
        <v>Sim</v>
      </c>
    </row>
    <row r="386" customFormat="false" ht="15" hidden="false" customHeight="false" outlineLevel="0" collapsed="false">
      <c r="A386" s="25" t="n">
        <v>4127700</v>
      </c>
      <c r="B386" s="26" t="s">
        <v>452</v>
      </c>
      <c r="C386" s="26" t="s">
        <v>69</v>
      </c>
      <c r="D386" s="31" t="n">
        <f aca="false">'5 PCM'!G386</f>
        <v>0.32895079205818</v>
      </c>
      <c r="E386" s="25" t="n">
        <v>0</v>
      </c>
      <c r="F386" s="25" t="n">
        <v>2</v>
      </c>
      <c r="G386" s="25" t="n">
        <f aca="false">E386+F386</f>
        <v>2</v>
      </c>
      <c r="H386" s="25" t="n">
        <v>2</v>
      </c>
      <c r="I386" s="25" t="n">
        <v>2</v>
      </c>
      <c r="J386" s="52" t="str">
        <f aca="false">IF(I386&gt;0,"Sim","Não")</f>
        <v>Sim</v>
      </c>
    </row>
    <row r="387" customFormat="false" ht="15" hidden="false" customHeight="false" outlineLevel="0" collapsed="false">
      <c r="A387" s="25" t="n">
        <v>4127809</v>
      </c>
      <c r="B387" s="26" t="s">
        <v>453</v>
      </c>
      <c r="C387" s="26" t="s">
        <v>65</v>
      </c>
      <c r="D387" s="31" t="n">
        <f aca="false">'5 PCM'!G387</f>
        <v>0.512882009588707</v>
      </c>
      <c r="E387" s="25" t="n">
        <v>0</v>
      </c>
      <c r="F387" s="25" t="n">
        <v>1</v>
      </c>
      <c r="G387" s="25" t="n">
        <f aca="false">E387+F387</f>
        <v>1</v>
      </c>
      <c r="H387" s="25" t="n">
        <v>1</v>
      </c>
      <c r="I387" s="25" t="n">
        <v>1</v>
      </c>
      <c r="J387" s="52" t="str">
        <f aca="false">IF(I387&gt;0,"Sim","Não")</f>
        <v>Sim</v>
      </c>
    </row>
    <row r="388" customFormat="false" ht="15" hidden="false" customHeight="false" outlineLevel="0" collapsed="false">
      <c r="A388" s="25" t="n">
        <v>4127858</v>
      </c>
      <c r="B388" s="26" t="s">
        <v>454</v>
      </c>
      <c r="C388" s="26" t="s">
        <v>65</v>
      </c>
      <c r="D388" s="31" t="n">
        <f aca="false">'5 PCM'!G388</f>
        <v>0.541196985204473</v>
      </c>
      <c r="E388" s="25" t="n">
        <v>0</v>
      </c>
      <c r="F388" s="25" t="n">
        <v>1</v>
      </c>
      <c r="G388" s="25" t="n">
        <f aca="false">E388+F388</f>
        <v>1</v>
      </c>
      <c r="H388" s="25" t="n">
        <v>1</v>
      </c>
      <c r="I388" s="25" t="n">
        <v>1</v>
      </c>
      <c r="J388" s="52" t="str">
        <f aca="false">IF(I388&gt;0,"Sim","Não")</f>
        <v>Sim</v>
      </c>
    </row>
    <row r="389" customFormat="false" ht="15" hidden="false" customHeight="false" outlineLevel="0" collapsed="false">
      <c r="A389" s="25" t="n">
        <v>4127882</v>
      </c>
      <c r="B389" s="26" t="s">
        <v>455</v>
      </c>
      <c r="C389" s="26" t="s">
        <v>65</v>
      </c>
      <c r="D389" s="31" t="n">
        <f aca="false">'5 PCM'!G389</f>
        <v>0.673120505158896</v>
      </c>
      <c r="E389" s="25" t="n">
        <v>0</v>
      </c>
      <c r="F389" s="25" t="n">
        <v>1</v>
      </c>
      <c r="G389" s="25" t="n">
        <f aca="false">E389+F389</f>
        <v>1</v>
      </c>
      <c r="H389" s="25" t="n">
        <v>1</v>
      </c>
      <c r="I389" s="25" t="n">
        <v>1</v>
      </c>
      <c r="J389" s="52" t="str">
        <f aca="false">IF(I389&gt;0,"Sim","Não")</f>
        <v>Sim</v>
      </c>
    </row>
    <row r="390" customFormat="false" ht="15" hidden="false" customHeight="false" outlineLevel="0" collapsed="false">
      <c r="A390" s="25" t="n">
        <v>4127908</v>
      </c>
      <c r="B390" s="26" t="s">
        <v>456</v>
      </c>
      <c r="C390" s="26" t="s">
        <v>65</v>
      </c>
      <c r="D390" s="31" t="n">
        <f aca="false">'5 PCM'!G390</f>
        <v>0.489924556896593</v>
      </c>
      <c r="E390" s="25" t="n">
        <v>0</v>
      </c>
      <c r="F390" s="25" t="n">
        <v>1</v>
      </c>
      <c r="G390" s="25" t="n">
        <f aca="false">E390+F390</f>
        <v>1</v>
      </c>
      <c r="H390" s="25" t="n">
        <v>1</v>
      </c>
      <c r="I390" s="25" t="n">
        <v>1</v>
      </c>
      <c r="J390" s="52" t="str">
        <f aca="false">IF(I390&gt;0,"Sim","Não")</f>
        <v>Sim</v>
      </c>
    </row>
    <row r="391" customFormat="false" ht="15" hidden="false" customHeight="false" outlineLevel="0" collapsed="false">
      <c r="A391" s="25" t="n">
        <v>4127957</v>
      </c>
      <c r="B391" s="26" t="s">
        <v>457</v>
      </c>
      <c r="C391" s="26" t="s">
        <v>65</v>
      </c>
      <c r="D391" s="31" t="n">
        <f aca="false">'5 PCM'!G391</f>
        <v>0.351794649687301</v>
      </c>
      <c r="E391" s="25" t="n">
        <v>0</v>
      </c>
      <c r="F391" s="25" t="n">
        <v>0</v>
      </c>
      <c r="G391" s="25" t="n">
        <f aca="false">E391+F391</f>
        <v>0</v>
      </c>
      <c r="H391" s="25" t="n">
        <v>0</v>
      </c>
      <c r="I391" s="25" t="n">
        <v>0</v>
      </c>
      <c r="J391" s="52" t="str">
        <f aca="false">IF(I391&gt;0,"Sim","Não")</f>
        <v>Não</v>
      </c>
    </row>
    <row r="392" customFormat="false" ht="15" hidden="false" customHeight="false" outlineLevel="0" collapsed="false">
      <c r="A392" s="25" t="n">
        <v>4127965</v>
      </c>
      <c r="B392" s="26" t="s">
        <v>458</v>
      </c>
      <c r="C392" s="26" t="s">
        <v>65</v>
      </c>
      <c r="D392" s="31" t="n">
        <f aca="false">'5 PCM'!G392</f>
        <v>0.484867947496219</v>
      </c>
      <c r="E392" s="25" t="n">
        <v>0</v>
      </c>
      <c r="F392" s="25" t="n">
        <v>1</v>
      </c>
      <c r="G392" s="25" t="n">
        <f aca="false">E392+F392</f>
        <v>1</v>
      </c>
      <c r="H392" s="25" t="n">
        <v>1</v>
      </c>
      <c r="I392" s="25" t="n">
        <v>1</v>
      </c>
      <c r="J392" s="52" t="str">
        <f aca="false">IF(I392&gt;0,"Sim","Não")</f>
        <v>Sim</v>
      </c>
    </row>
    <row r="393" customFormat="false" ht="15" hidden="false" customHeight="false" outlineLevel="0" collapsed="false">
      <c r="A393" s="25" t="n">
        <v>4128005</v>
      </c>
      <c r="B393" s="26" t="s">
        <v>459</v>
      </c>
      <c r="C393" s="26" t="s">
        <v>86</v>
      </c>
      <c r="D393" s="31" t="n">
        <f aca="false">'5 PCM'!G393</f>
        <v>0.361599682445148</v>
      </c>
      <c r="E393" s="25" t="n">
        <v>0</v>
      </c>
      <c r="F393" s="25" t="n">
        <v>0</v>
      </c>
      <c r="G393" s="25" t="n">
        <f aca="false">E393+F393</f>
        <v>0</v>
      </c>
      <c r="H393" s="25" t="n">
        <v>1</v>
      </c>
      <c r="I393" s="25" t="n">
        <v>1</v>
      </c>
      <c r="J393" s="52" t="str">
        <f aca="false">IF(I393&gt;0,"Sim","Não")</f>
        <v>Sim</v>
      </c>
    </row>
    <row r="394" customFormat="false" ht="15" hidden="false" customHeight="false" outlineLevel="0" collapsed="false">
      <c r="A394" s="25" t="n">
        <v>4128104</v>
      </c>
      <c r="B394" s="26" t="s">
        <v>460</v>
      </c>
      <c r="C394" s="26" t="s">
        <v>69</v>
      </c>
      <c r="D394" s="31" t="n">
        <f aca="false">'5 PCM'!G394</f>
        <v>0.456943073445278</v>
      </c>
      <c r="E394" s="25" t="n">
        <v>1</v>
      </c>
      <c r="F394" s="25" t="n">
        <v>1</v>
      </c>
      <c r="G394" s="25" t="n">
        <f aca="false">E394+F394</f>
        <v>2</v>
      </c>
      <c r="H394" s="25" t="n">
        <v>2</v>
      </c>
      <c r="I394" s="25" t="n">
        <v>2</v>
      </c>
      <c r="J394" s="52" t="str">
        <f aca="false">IF(I394&gt;0,"Sim","Não")</f>
        <v>Sim</v>
      </c>
    </row>
    <row r="395" customFormat="false" ht="15" hidden="false" customHeight="false" outlineLevel="0" collapsed="false">
      <c r="A395" s="25" t="n">
        <v>4128203</v>
      </c>
      <c r="B395" s="26" t="s">
        <v>461</v>
      </c>
      <c r="C395" s="26" t="s">
        <v>86</v>
      </c>
      <c r="D395" s="31" t="n">
        <f aca="false">'5 PCM'!G395</f>
        <v>0.448192264636496</v>
      </c>
      <c r="E395" s="25" t="n">
        <v>0</v>
      </c>
      <c r="F395" s="25" t="n">
        <v>0</v>
      </c>
      <c r="G395" s="25" t="n">
        <f aca="false">E395+F395</f>
        <v>0</v>
      </c>
      <c r="H395" s="25" t="n">
        <v>1</v>
      </c>
      <c r="I395" s="25" t="n">
        <v>1</v>
      </c>
      <c r="J395" s="52" t="str">
        <f aca="false">IF(I395&gt;0,"Sim","Não")</f>
        <v>Sim</v>
      </c>
    </row>
    <row r="396" customFormat="false" ht="15" hidden="false" customHeight="false" outlineLevel="0" collapsed="false">
      <c r="A396" s="25" t="n">
        <v>4128302</v>
      </c>
      <c r="B396" s="26" t="s">
        <v>462</v>
      </c>
      <c r="C396" s="26" t="s">
        <v>71</v>
      </c>
      <c r="D396" s="31" t="n">
        <f aca="false">'5 PCM'!G396</f>
        <v>0.372964136301036</v>
      </c>
      <c r="E396" s="25" t="n">
        <v>0</v>
      </c>
      <c r="F396" s="25" t="n">
        <v>0</v>
      </c>
      <c r="G396" s="25" t="n">
        <f aca="false">E396+F396</f>
        <v>0</v>
      </c>
      <c r="H396" s="25" t="n">
        <v>0</v>
      </c>
      <c r="I396" s="25" t="n">
        <v>0</v>
      </c>
      <c r="J396" s="52" t="str">
        <f aca="false">IF(I396&gt;0,"Sim","Não")</f>
        <v>Não</v>
      </c>
    </row>
    <row r="397" customFormat="false" ht="15" hidden="false" customHeight="false" outlineLevel="0" collapsed="false">
      <c r="A397" s="25" t="n">
        <v>4128401</v>
      </c>
      <c r="B397" s="26" t="s">
        <v>463</v>
      </c>
      <c r="C397" s="26" t="s">
        <v>65</v>
      </c>
      <c r="D397" s="31" t="n">
        <f aca="false">'5 PCM'!G397</f>
        <v>0.472522127212186</v>
      </c>
      <c r="E397" s="25" t="n">
        <v>0</v>
      </c>
      <c r="F397" s="25" t="n">
        <v>1</v>
      </c>
      <c r="G397" s="25" t="n">
        <f aca="false">E397+F397</f>
        <v>1</v>
      </c>
      <c r="H397" s="25" t="n">
        <v>1</v>
      </c>
      <c r="I397" s="25" t="n">
        <v>1</v>
      </c>
      <c r="J397" s="52" t="str">
        <f aca="false">IF(I397&gt;0,"Sim","Não")</f>
        <v>Sim</v>
      </c>
    </row>
    <row r="398" customFormat="false" ht="15" hidden="false" customHeight="false" outlineLevel="0" collapsed="false">
      <c r="A398" s="25" t="n">
        <v>4128534</v>
      </c>
      <c r="B398" s="26" t="s">
        <v>464</v>
      </c>
      <c r="C398" s="26" t="s">
        <v>65</v>
      </c>
      <c r="D398" s="31" t="n">
        <f aca="false">'5 PCM'!G398</f>
        <v>0.555061069829469</v>
      </c>
      <c r="E398" s="25" t="n">
        <v>0</v>
      </c>
      <c r="F398" s="25" t="n">
        <v>1</v>
      </c>
      <c r="G398" s="25" t="n">
        <f aca="false">E398+F398</f>
        <v>1</v>
      </c>
      <c r="H398" s="25" t="n">
        <v>1</v>
      </c>
      <c r="I398" s="25" t="n">
        <v>1</v>
      </c>
      <c r="J398" s="52" t="str">
        <f aca="false">IF(I398&gt;0,"Sim","Não")</f>
        <v>Sim</v>
      </c>
    </row>
    <row r="399" customFormat="false" ht="15" hidden="false" customHeight="false" outlineLevel="0" collapsed="false">
      <c r="A399" s="25" t="n">
        <v>4128559</v>
      </c>
      <c r="B399" s="26" t="s">
        <v>465</v>
      </c>
      <c r="C399" s="26" t="s">
        <v>65</v>
      </c>
      <c r="D399" s="31" t="n">
        <f aca="false">'5 PCM'!G399</f>
        <v>0.519818142504622</v>
      </c>
      <c r="E399" s="25" t="n">
        <v>0</v>
      </c>
      <c r="F399" s="25" t="n">
        <v>1</v>
      </c>
      <c r="G399" s="25" t="n">
        <f aca="false">E399+F399</f>
        <v>1</v>
      </c>
      <c r="H399" s="25" t="n">
        <v>1</v>
      </c>
      <c r="I399" s="25" t="n">
        <v>1</v>
      </c>
      <c r="J399" s="52" t="str">
        <f aca="false">IF(I399&gt;0,"Sim","Não")</f>
        <v>Sim</v>
      </c>
    </row>
    <row r="400" customFormat="false" ht="15" hidden="false" customHeight="false" outlineLevel="0" collapsed="false">
      <c r="A400" s="25" t="n">
        <v>4128609</v>
      </c>
      <c r="B400" s="26" t="s">
        <v>466</v>
      </c>
      <c r="C400" s="26" t="s">
        <v>65</v>
      </c>
      <c r="D400" s="31" t="n">
        <f aca="false">'5 PCM'!G400</f>
        <v>0.41917413649145</v>
      </c>
      <c r="E400" s="25" t="n">
        <v>0</v>
      </c>
      <c r="F400" s="25" t="n">
        <v>0</v>
      </c>
      <c r="G400" s="25" t="n">
        <f aca="false">E400+F400</f>
        <v>0</v>
      </c>
      <c r="H400" s="25" t="n">
        <v>0</v>
      </c>
      <c r="I400" s="25" t="n">
        <v>0</v>
      </c>
      <c r="J400" s="52" t="str">
        <f aca="false">IF(I400&gt;0,"Sim","Não")</f>
        <v>Não</v>
      </c>
    </row>
    <row r="401" customFormat="false" ht="15" hidden="false" customHeight="false" outlineLevel="0" collapsed="false">
      <c r="A401" s="25" t="n">
        <v>4128658</v>
      </c>
      <c r="B401" s="26" t="s">
        <v>467</v>
      </c>
      <c r="C401" s="26" t="s">
        <v>71</v>
      </c>
      <c r="D401" s="31" t="n">
        <f aca="false">'5 PCM'!G401</f>
        <v>0.547572876088281</v>
      </c>
      <c r="E401" s="25" t="n">
        <v>0</v>
      </c>
      <c r="F401" s="25" t="n">
        <v>1</v>
      </c>
      <c r="G401" s="25" t="n">
        <f aca="false">E401+F401</f>
        <v>1</v>
      </c>
      <c r="H401" s="25" t="n">
        <v>1</v>
      </c>
      <c r="I401" s="25" t="n">
        <v>1</v>
      </c>
      <c r="J401" s="52" t="str">
        <f aca="false">IF(I401&gt;0,"Sim","Não")</f>
        <v>Sim</v>
      </c>
    </row>
    <row r="402" customFormat="false" ht="15" hidden="false" customHeight="false" outlineLevel="0" collapsed="false">
      <c r="A402" s="25" t="n">
        <v>4128708</v>
      </c>
      <c r="B402" s="26" t="s">
        <v>468</v>
      </c>
      <c r="C402" s="26" t="s">
        <v>65</v>
      </c>
      <c r="D402" s="31" t="n">
        <f aca="false">'5 PCM'!G402</f>
        <v>0.52039479298506</v>
      </c>
      <c r="E402" s="25" t="n">
        <v>1</v>
      </c>
      <c r="F402" s="25" t="n">
        <v>0</v>
      </c>
      <c r="G402" s="25" t="n">
        <f aca="false">E402+F402</f>
        <v>1</v>
      </c>
      <c r="H402" s="25" t="n">
        <v>1</v>
      </c>
      <c r="I402" s="25" t="n">
        <v>1</v>
      </c>
      <c r="J402" s="52" t="str">
        <f aca="false">IF(I402&gt;0,"Sim","Não")</f>
        <v>Sim</v>
      </c>
    </row>
    <row r="403" customFormat="false" ht="15" hidden="false" customHeight="false" outlineLevel="0" collapsed="false">
      <c r="A403" s="25" t="n">
        <v>4128500</v>
      </c>
      <c r="B403" s="26" t="s">
        <v>469</v>
      </c>
      <c r="C403" s="26" t="s">
        <v>65</v>
      </c>
      <c r="D403" s="31" t="n">
        <f aca="false">'5 PCM'!G403</f>
        <v>0.47465625196605</v>
      </c>
      <c r="E403" s="25" t="n">
        <v>1</v>
      </c>
      <c r="F403" s="25" t="n">
        <v>0</v>
      </c>
      <c r="G403" s="25" t="n">
        <f aca="false">E403+F403</f>
        <v>1</v>
      </c>
      <c r="H403" s="25" t="n">
        <v>1</v>
      </c>
      <c r="I403" s="25" t="n">
        <v>1</v>
      </c>
      <c r="J403" s="52" t="str">
        <f aca="false">IF(I403&gt;0,"Sim","Não")</f>
        <v>Sim</v>
      </c>
    </row>
    <row r="404" customFormat="false" ht="15" hidden="false" customHeight="false" outlineLevel="0" collapsed="false">
      <c r="A404" s="25" t="n">
        <v>4128807</v>
      </c>
      <c r="B404" s="26" t="s">
        <v>470</v>
      </c>
      <c r="C404" s="26" t="s">
        <v>65</v>
      </c>
      <c r="D404" s="31" t="n">
        <f aca="false">'5 PCM'!G404</f>
        <v>0.483785223988568</v>
      </c>
      <c r="E404" s="25" t="n">
        <v>0</v>
      </c>
      <c r="F404" s="25" t="n">
        <v>1</v>
      </c>
      <c r="G404" s="25" t="n">
        <f aca="false">E404+F404</f>
        <v>1</v>
      </c>
      <c r="H404" s="25" t="n">
        <v>1</v>
      </c>
      <c r="I404" s="25" t="n">
        <v>1</v>
      </c>
      <c r="J404" s="52" t="str">
        <f aca="false">IF(I404&gt;0,"Sim","Não")</f>
        <v>Sim</v>
      </c>
    </row>
    <row r="405" customFormat="false" ht="15" hidden="false" customHeight="false" outlineLevel="0" collapsed="false">
      <c r="A405" s="53"/>
      <c r="B405" s="54" t="s">
        <v>526</v>
      </c>
      <c r="C405" s="53"/>
      <c r="D405" s="53"/>
      <c r="E405" s="55" t="n">
        <f aca="false">SUM(E6:E404)</f>
        <v>43</v>
      </c>
      <c r="F405" s="55" t="n">
        <f aca="false">SUM(F6:F404)</f>
        <v>257</v>
      </c>
      <c r="G405" s="55" t="n">
        <f aca="false">SUM(G6:G404)</f>
        <v>300</v>
      </c>
      <c r="H405" s="55" t="n">
        <f aca="false">SUM(H6:H404)</f>
        <v>300</v>
      </c>
      <c r="I405" s="55" t="n">
        <f aca="false">SUM(I6:I404)</f>
        <v>303</v>
      </c>
      <c r="J405" s="54" t="str">
        <f aca="false">COUNTIF(J6:J404,"Sim")&amp;" municípios"</f>
        <v>261 municípios</v>
      </c>
    </row>
    <row r="407" customFormat="false" ht="15" hidden="false" customHeight="false" outlineLevel="0" collapsed="false">
      <c r="A407" s="32" t="s">
        <v>527</v>
      </c>
    </row>
  </sheetData>
  <mergeCells count="3">
    <mergeCell ref="A4:D4"/>
    <mergeCell ref="E4:G4"/>
    <mergeCell ref="I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9" min="5" style="0" width="10"/>
    <col collapsed="false" customWidth="true" hidden="false" outlineLevel="0" max="12" min="10" style="0" width="11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9" t="s">
        <v>528</v>
      </c>
    </row>
    <row r="2" customFormat="false" ht="15" hidden="false" customHeight="false" outlineLevel="0" collapsed="false">
      <c r="A2" s="2" t="s">
        <v>529</v>
      </c>
    </row>
    <row r="4" customFormat="false" ht="15" hidden="false" customHeight="false" outlineLevel="0" collapsed="false">
      <c r="A4" s="20" t="s">
        <v>530</v>
      </c>
      <c r="B4" s="20"/>
      <c r="C4" s="20"/>
      <c r="D4" s="20"/>
      <c r="E4" s="45" t="s">
        <v>531</v>
      </c>
      <c r="F4" s="45"/>
      <c r="G4" s="45"/>
      <c r="H4" s="45"/>
      <c r="I4" s="20" t="s">
        <v>532</v>
      </c>
      <c r="J4" s="20"/>
      <c r="K4" s="20"/>
      <c r="L4" s="20"/>
      <c r="M4" s="20"/>
    </row>
    <row r="5" customFormat="false" ht="43.5" hidden="false" customHeight="true" outlineLevel="0" collapsed="false">
      <c r="A5" s="24" t="s">
        <v>533</v>
      </c>
      <c r="B5" s="24" t="s">
        <v>534</v>
      </c>
      <c r="C5" s="24" t="s">
        <v>535</v>
      </c>
      <c r="D5" s="24" t="s">
        <v>536</v>
      </c>
      <c r="E5" s="24" t="s">
        <v>537</v>
      </c>
      <c r="F5" s="24" t="s">
        <v>538</v>
      </c>
      <c r="G5" s="24" t="s">
        <v>539</v>
      </c>
      <c r="H5" s="24" t="s">
        <v>540</v>
      </c>
      <c r="I5" s="24" t="s">
        <v>541</v>
      </c>
      <c r="J5" s="24" t="s">
        <v>522</v>
      </c>
      <c r="K5" s="24" t="s">
        <v>542</v>
      </c>
      <c r="L5" s="24" t="s">
        <v>543</v>
      </c>
      <c r="M5" s="24" t="s">
        <v>544</v>
      </c>
    </row>
    <row r="6" customFormat="false" ht="15" hidden="false" customHeight="false" outlineLevel="0" collapsed="false">
      <c r="A6" s="26" t="s">
        <v>545</v>
      </c>
      <c r="B6" s="25" t="n">
        <f aca="false">COUNTIF('1 Indicadores'!$C$6:$C$404,"G2")</f>
        <v>1</v>
      </c>
      <c r="C6" s="27" t="n">
        <f aca="false">SUMIF('1 Indicadores'!$C$6:$C$404,"G2",'1 Indicadores'!$E$6:$E$404)</f>
        <v>85003</v>
      </c>
      <c r="D6" s="28" t="n">
        <f aca="false">SUMIF('1 Indicadores'!$C$6:$C$404,"G2",'1 Indicadores'!$F$6:$F$404)/C6</f>
        <v>0.208522052162865</v>
      </c>
      <c r="E6" s="30" t="n">
        <f aca="false">AVERAGEIF('5 PCM'!$C$6:$C$404,"G2",'5 PCM'!$D$6:$D$404)</f>
        <v>56.511036138399</v>
      </c>
      <c r="F6" s="30" t="n">
        <f aca="false">AVERAGEIF('5 PCM'!$C$6:$C$404,"G2",'5 PCM'!$E$6:$E$404)</f>
        <v>29.9022540598341</v>
      </c>
      <c r="G6" s="30" t="n">
        <f aca="false">AVERAGEIF('5 PCM'!$C$6:$C$404,"G2",'5 PCM'!$F$6:$F$404)</f>
        <v>0</v>
      </c>
      <c r="H6" s="56" t="n">
        <f aca="false">AVERAGEIF('5 PCM'!$C$6:$C$404,"G2",'5 PCM'!$G$6:$G$404)</f>
        <v>0.285848652673264</v>
      </c>
      <c r="I6" s="25" t="n">
        <f aca="false">SUMIF('6 Distribuição'!$C$6:$C$404,"G2",'6 Distribuição'!$E$6:$E$404)</f>
        <v>0</v>
      </c>
      <c r="J6" s="25" t="n">
        <f aca="false">SUMIF('6 Distribuição'!$C$6:$C$404,"G2",'6 Distribuição'!$G$6:$G$404)</f>
        <v>10</v>
      </c>
      <c r="K6" s="25" t="n">
        <f aca="false">SUMIF('6 Distribuição'!$C$6:$C$404,"G2",'6 Distribuição'!$H$6:$H$404)</f>
        <v>6</v>
      </c>
      <c r="L6" s="25" t="n">
        <f aca="false">SUMIF('6 Distribuição'!$C$6:$C$404,"G2",'6 Distribuição'!$I$6:$I$404)</f>
        <v>6</v>
      </c>
      <c r="M6" s="25" t="n">
        <f aca="false">COUNTIFS('6 Distribuição'!$C$6:$C$404,"G2",'6 Distribuição'!$I$6:$I$404,"&gt;0")</f>
        <v>1</v>
      </c>
    </row>
    <row r="7" customFormat="false" ht="15" hidden="false" customHeight="false" outlineLevel="0" collapsed="false">
      <c r="A7" s="26" t="s">
        <v>546</v>
      </c>
      <c r="B7" s="25" t="n">
        <f aca="false">COUNTIF('1 Indicadores'!$C$6:$C$404,"G1")</f>
        <v>1</v>
      </c>
      <c r="C7" s="27" t="n">
        <f aca="false">SUMIF('1 Indicadores'!$C$6:$C$404,"G1",'1 Indicadores'!$E$6:$E$404)</f>
        <v>30194</v>
      </c>
      <c r="D7" s="28" t="n">
        <f aca="false">SUMIF('1 Indicadores'!$C$6:$C$404,"G1",'1 Indicadores'!$F$6:$F$404)/C7</f>
        <v>0.075577929389945</v>
      </c>
      <c r="E7" s="30" t="n">
        <f aca="false">AVERAGEIF('5 PCM'!$C$6:$C$404,"G1",'5 PCM'!$D$6:$D$404)</f>
        <v>65.8937102282405</v>
      </c>
      <c r="F7" s="30" t="n">
        <f aca="false">AVERAGEIF('5 PCM'!$C$6:$C$404,"G1",'5 PCM'!$E$6:$E$404)</f>
        <v>39.5406414579357</v>
      </c>
      <c r="G7" s="30" t="n">
        <f aca="false">AVERAGEIF('5 PCM'!$C$6:$C$404,"G1",'5 PCM'!$F$6:$F$404)</f>
        <v>24.2446834519996</v>
      </c>
      <c r="H7" s="56" t="n">
        <f aca="false">AVERAGEIF('5 PCM'!$C$6:$C$404,"G1",'5 PCM'!$G$6:$G$404)</f>
        <v>0.439634857636832</v>
      </c>
      <c r="I7" s="25" t="n">
        <f aca="false">SUMIF('6 Distribuição'!$C$6:$C$404,"G1",'6 Distribuição'!$E$6:$E$404)</f>
        <v>0</v>
      </c>
      <c r="J7" s="25" t="n">
        <f aca="false">SUMIF('6 Distribuição'!$C$6:$C$404,"G1",'6 Distribuição'!$G$6:$G$404)</f>
        <v>8</v>
      </c>
      <c r="K7" s="25" t="n">
        <f aca="false">SUMIF('6 Distribuição'!$C$6:$C$404,"G1",'6 Distribuição'!$H$6:$H$404)</f>
        <v>4</v>
      </c>
      <c r="L7" s="25" t="n">
        <f aca="false">SUMIF('6 Distribuição'!$C$6:$C$404,"G1",'6 Distribuição'!$I$6:$I$404)</f>
        <v>4</v>
      </c>
      <c r="M7" s="25" t="n">
        <f aca="false">COUNTIFS('6 Distribuição'!$C$6:$C$404,"G1",'6 Distribuição'!$I$6:$I$404,"&gt;0")</f>
        <v>1</v>
      </c>
    </row>
    <row r="8" customFormat="false" ht="15" hidden="false" customHeight="false" outlineLevel="0" collapsed="false">
      <c r="A8" s="26" t="s">
        <v>547</v>
      </c>
      <c r="B8" s="25" t="n">
        <f aca="false">COUNTIF('1 Indicadores'!$C$6:$C$404,"M2")</f>
        <v>6</v>
      </c>
      <c r="C8" s="27" t="n">
        <f aca="false">SUMIF('1 Indicadores'!$C$6:$C$404,"M2",'1 Indicadores'!$E$6:$E$404)</f>
        <v>121793</v>
      </c>
      <c r="D8" s="28" t="n">
        <f aca="false">SUMIF('1 Indicadores'!$C$6:$C$404,"M2",'1 Indicadores'!$F$6:$F$404)/C8</f>
        <v>0.237066169648502</v>
      </c>
      <c r="E8" s="30" t="n">
        <f aca="false">AVERAGEIF('5 PCM'!$C$6:$C$404,"M2",'5 PCM'!$D$6:$D$404)</f>
        <v>63.0588619149511</v>
      </c>
      <c r="F8" s="30" t="n">
        <f aca="false">AVERAGEIF('5 PCM'!$C$6:$C$404,"M2",'5 PCM'!$E$6:$E$404)</f>
        <v>47.3474261609117</v>
      </c>
      <c r="G8" s="30" t="n">
        <f aca="false">AVERAGEIF('5 PCM'!$C$6:$C$404,"M2",'5 PCM'!$F$6:$F$404)</f>
        <v>21.8673501917268</v>
      </c>
      <c r="H8" s="56" t="n">
        <f aca="false">AVERAGEIF('5 PCM'!$C$6:$C$404,"M2",'5 PCM'!$G$6:$G$404)</f>
        <v>0.434399700748535</v>
      </c>
      <c r="I8" s="25" t="n">
        <f aca="false">SUMIF('6 Distribuição'!$C$6:$C$404,"M2",'6 Distribuição'!$E$6:$E$404)</f>
        <v>0</v>
      </c>
      <c r="J8" s="25" t="n">
        <f aca="false">SUMIF('6 Distribuição'!$C$6:$C$404,"M2",'6 Distribuição'!$G$6:$G$404)</f>
        <v>37</v>
      </c>
      <c r="K8" s="25" t="n">
        <f aca="false">SUMIF('6 Distribuição'!$C$6:$C$404,"M2",'6 Distribuição'!$H$6:$H$404)</f>
        <v>18</v>
      </c>
      <c r="L8" s="25" t="n">
        <f aca="false">SUMIF('6 Distribuição'!$C$6:$C$404,"M2",'6 Distribuição'!$I$6:$I$404)</f>
        <v>18</v>
      </c>
      <c r="M8" s="25" t="n">
        <f aca="false">COUNTIFS('6 Distribuição'!$C$6:$C$404,"M2",'6 Distribuição'!$I$6:$I$404,"&gt;0")</f>
        <v>6</v>
      </c>
    </row>
    <row r="9" customFormat="false" ht="15" hidden="false" customHeight="false" outlineLevel="0" collapsed="false">
      <c r="A9" s="26" t="s">
        <v>548</v>
      </c>
      <c r="B9" s="25" t="n">
        <f aca="false">COUNTIF('1 Indicadores'!$C$6:$C$404,"M1")</f>
        <v>14</v>
      </c>
      <c r="C9" s="27" t="n">
        <f aca="false">SUMIF('1 Indicadores'!$C$6:$C$404,"M1",'1 Indicadores'!$E$6:$E$404)</f>
        <v>121729</v>
      </c>
      <c r="D9" s="28" t="n">
        <f aca="false">SUMIF('1 Indicadores'!$C$6:$C$404,"M1",'1 Indicadores'!$F$6:$F$404)/C9</f>
        <v>0.254664048829778</v>
      </c>
      <c r="E9" s="30" t="n">
        <f aca="false">AVERAGEIF('5 PCM'!$C$6:$C$404,"M1",'5 PCM'!$D$6:$D$404)</f>
        <v>63.7964601204786</v>
      </c>
      <c r="F9" s="30" t="n">
        <f aca="false">AVERAGEIF('5 PCM'!$C$6:$C$404,"M1",'5 PCM'!$E$6:$E$404)</f>
        <v>49.7198931652781</v>
      </c>
      <c r="G9" s="30" t="n">
        <f aca="false">AVERAGEIF('5 PCM'!$C$6:$C$404,"M1",'5 PCM'!$F$6:$F$404)</f>
        <v>26.9111414422138</v>
      </c>
      <c r="H9" s="56" t="n">
        <f aca="false">AVERAGEIF('5 PCM'!$C$6:$C$404,"M1",'5 PCM'!$G$6:$G$404)</f>
        <v>0.462270192581326</v>
      </c>
      <c r="I9" s="25" t="n">
        <f aca="false">SUMIF('6 Distribuição'!$C$6:$C$404,"M1",'6 Distribuição'!$E$6:$E$404)</f>
        <v>6</v>
      </c>
      <c r="J9" s="25" t="n">
        <f aca="false">SUMIF('6 Distribuição'!$C$6:$C$404,"M1",'6 Distribuição'!$G$6:$G$404)</f>
        <v>37</v>
      </c>
      <c r="K9" s="25" t="n">
        <f aca="false">SUMIF('6 Distribuição'!$C$6:$C$404,"M1",'6 Distribuição'!$H$6:$H$404)</f>
        <v>29</v>
      </c>
      <c r="L9" s="25" t="n">
        <f aca="false">SUMIF('6 Distribuição'!$C$6:$C$404,"M1",'6 Distribuição'!$I$6:$I$404)</f>
        <v>29</v>
      </c>
      <c r="M9" s="25" t="n">
        <f aca="false">COUNTIFS('6 Distribuição'!$C$6:$C$404,"M1",'6 Distribuição'!$I$6:$I$404,"&gt;0")</f>
        <v>14</v>
      </c>
    </row>
    <row r="10" customFormat="false" ht="15" hidden="false" customHeight="false" outlineLevel="0" collapsed="false">
      <c r="A10" s="26" t="s">
        <v>549</v>
      </c>
      <c r="B10" s="25" t="n">
        <f aca="false">COUNTIF('1 Indicadores'!$C$6:$C$404,"P4")</f>
        <v>8</v>
      </c>
      <c r="C10" s="27" t="n">
        <f aca="false">SUMIF('1 Indicadores'!$C$6:$C$404,"P4",'1 Indicadores'!$E$6:$E$404)</f>
        <v>44434</v>
      </c>
      <c r="D10" s="28" t="n">
        <f aca="false">SUMIF('1 Indicadores'!$C$6:$C$404,"P4",'1 Indicadores'!$F$6:$F$404)/C10</f>
        <v>0.283184048251339</v>
      </c>
      <c r="E10" s="30" t="n">
        <f aca="false">AVERAGEIF('5 PCM'!$C$6:$C$404,"P4",'5 PCM'!$D$6:$D$404)</f>
        <v>57.2042126257551</v>
      </c>
      <c r="F10" s="30" t="n">
        <f aca="false">AVERAGEIF('5 PCM'!$C$6:$C$404,"P4",'5 PCM'!$E$6:$E$404)</f>
        <v>49.352283844355</v>
      </c>
      <c r="G10" s="30" t="n">
        <f aca="false">AVERAGEIF('5 PCM'!$C$6:$C$404,"P4",'5 PCM'!$F$6:$F$404)</f>
        <v>21.7745851201076</v>
      </c>
      <c r="H10" s="56" t="n">
        <f aca="false">AVERAGEIF('5 PCM'!$C$6:$C$404,"P4",'5 PCM'!$G$6:$G$404)</f>
        <v>0.414619758672161</v>
      </c>
      <c r="I10" s="25" t="n">
        <f aca="false">SUMIF('6 Distribuição'!$C$6:$C$404,"P4",'6 Distribuição'!$E$6:$E$404)</f>
        <v>0</v>
      </c>
      <c r="J10" s="25" t="n">
        <f aca="false">SUMIF('6 Distribuição'!$C$6:$C$404,"P4",'6 Distribuição'!$G$6:$G$404)</f>
        <v>14</v>
      </c>
      <c r="K10" s="25" t="n">
        <f aca="false">SUMIF('6 Distribuição'!$C$6:$C$404,"P4",'6 Distribuição'!$H$6:$H$404)</f>
        <v>13</v>
      </c>
      <c r="L10" s="25" t="n">
        <f aca="false">SUMIF('6 Distribuição'!$C$6:$C$404,"P4",'6 Distribuição'!$I$6:$I$404)</f>
        <v>13</v>
      </c>
      <c r="M10" s="25" t="n">
        <f aca="false">COUNTIFS('6 Distribuição'!$C$6:$C$404,"P4",'6 Distribuição'!$I$6:$I$404,"&gt;0")</f>
        <v>8</v>
      </c>
    </row>
    <row r="11" customFormat="false" ht="15" hidden="false" customHeight="false" outlineLevel="0" collapsed="false">
      <c r="A11" s="26" t="s">
        <v>550</v>
      </c>
      <c r="B11" s="25" t="n">
        <f aca="false">COUNTIF('1 Indicadores'!$C$6:$C$404,"P3")</f>
        <v>62</v>
      </c>
      <c r="C11" s="27" t="n">
        <f aca="false">SUMIF('1 Indicadores'!$C$6:$C$404,"P3",'1 Indicadores'!$E$6:$E$404)</f>
        <v>135080</v>
      </c>
      <c r="D11" s="28" t="n">
        <f aca="false">SUMIF('1 Indicadores'!$C$6:$C$404,"P3",'1 Indicadores'!$F$6:$F$404)/C11</f>
        <v>0.306803375777317</v>
      </c>
      <c r="E11" s="30" t="n">
        <f aca="false">AVERAGEIF('5 PCM'!$C$6:$C$404,"P3",'5 PCM'!$D$6:$D$404)</f>
        <v>56.4311460106892</v>
      </c>
      <c r="F11" s="30" t="n">
        <f aca="false">AVERAGEIF('5 PCM'!$C$6:$C$404,"P3",'5 PCM'!$E$6:$E$404)</f>
        <v>49.1386931819119</v>
      </c>
      <c r="G11" s="30" t="n">
        <f aca="false">AVERAGEIF('5 PCM'!$C$6:$C$404,"P3",'5 PCM'!$F$6:$F$404)</f>
        <v>34.2361627444567</v>
      </c>
      <c r="H11" s="56" t="n">
        <f aca="false">AVERAGEIF('5 PCM'!$C$6:$C$404,"P3",'5 PCM'!$G$6:$G$404)</f>
        <v>0.460946621384407</v>
      </c>
      <c r="I11" s="25" t="n">
        <f aca="false">SUMIF('6 Distribuição'!$C$6:$C$404,"P3",'6 Distribuição'!$E$6:$E$404)</f>
        <v>5</v>
      </c>
      <c r="J11" s="25" t="n">
        <f aca="false">SUMIF('6 Distribuição'!$C$6:$C$404,"P3",'6 Distribuição'!$G$6:$G$404)</f>
        <v>32</v>
      </c>
      <c r="K11" s="25" t="n">
        <f aca="false">SUMIF('6 Distribuição'!$C$6:$C$404,"P3",'6 Distribuição'!$H$6:$H$404)</f>
        <v>49</v>
      </c>
      <c r="L11" s="25" t="n">
        <f aca="false">SUMIF('6 Distribuição'!$C$6:$C$404,"P3",'6 Distribuição'!$I$6:$I$404)</f>
        <v>50</v>
      </c>
      <c r="M11" s="25" t="n">
        <f aca="false">COUNTIFS('6 Distribuição'!$C$6:$C$404,"P3",'6 Distribuição'!$I$6:$I$404,"&gt;0")</f>
        <v>48</v>
      </c>
    </row>
    <row r="12" customFormat="false" ht="15" hidden="false" customHeight="false" outlineLevel="0" collapsed="false">
      <c r="A12" s="26" t="s">
        <v>551</v>
      </c>
      <c r="B12" s="25" t="n">
        <f aca="false">COUNTIF('1 Indicadores'!$C$6:$C$404,"P2")</f>
        <v>205</v>
      </c>
      <c r="C12" s="27" t="n">
        <f aca="false">SUMIF('1 Indicadores'!$C$6:$C$404,"P2",'1 Indicadores'!$E$6:$E$404)</f>
        <v>138126</v>
      </c>
      <c r="D12" s="28" t="n">
        <f aca="false">SUMIF('1 Indicadores'!$C$6:$C$404,"P2",'1 Indicadores'!$F$6:$F$404)/C12</f>
        <v>0.302310933495504</v>
      </c>
      <c r="E12" s="30" t="n">
        <f aca="false">AVERAGEIF('5 PCM'!$C$6:$C$404,"P2",'5 PCM'!$D$6:$D$404)</f>
        <v>57.3547648678449</v>
      </c>
      <c r="F12" s="30" t="n">
        <f aca="false">AVERAGEIF('5 PCM'!$C$6:$C$404,"P2",'5 PCM'!$E$6:$E$404)</f>
        <v>45.9109464629934</v>
      </c>
      <c r="G12" s="30" t="n">
        <f aca="false">AVERAGEIF('5 PCM'!$C$6:$C$404,"P2",'5 PCM'!$F$6:$F$404)</f>
        <v>44.1957596062677</v>
      </c>
      <c r="H12" s="56" t="n">
        <f aca="false">AVERAGEIF('5 PCM'!$C$6:$C$404,"P2",'5 PCM'!$G$6:$G$404)</f>
        <v>0.498023990822437</v>
      </c>
      <c r="I12" s="25" t="n">
        <f aca="false">SUMIF('6 Distribuição'!$C$6:$C$404,"P2",'6 Distribuição'!$E$6:$E$404)</f>
        <v>29</v>
      </c>
      <c r="J12" s="25" t="n">
        <f aca="false">SUMIF('6 Distribuição'!$C$6:$C$404,"P2",'6 Distribuição'!$G$6:$G$404)</f>
        <v>129</v>
      </c>
      <c r="K12" s="25" t="n">
        <f aca="false">SUMIF('6 Distribuição'!$C$6:$C$404,"P2",'6 Distribuição'!$H$6:$H$404)</f>
        <v>143</v>
      </c>
      <c r="L12" s="25" t="n">
        <f aca="false">SUMIF('6 Distribuição'!$C$6:$C$404,"P2",'6 Distribuição'!$I$6:$I$404)</f>
        <v>145</v>
      </c>
      <c r="M12" s="25" t="n">
        <f aca="false">COUNTIFS('6 Distribuição'!$C$6:$C$404,"P2",'6 Distribuição'!$I$6:$I$404,"&gt;0")</f>
        <v>145</v>
      </c>
    </row>
    <row r="13" customFormat="false" ht="15" hidden="false" customHeight="false" outlineLevel="0" collapsed="false">
      <c r="A13" s="26" t="s">
        <v>552</v>
      </c>
      <c r="B13" s="25" t="n">
        <f aca="false">COUNTIF('1 Indicadores'!$C$6:$C$404,"P1")</f>
        <v>102</v>
      </c>
      <c r="C13" s="27" t="n">
        <f aca="false">SUMIF('1 Indicadores'!$C$6:$C$404,"P1",'1 Indicadores'!$E$6:$E$404)</f>
        <v>21774</v>
      </c>
      <c r="D13" s="28" t="n">
        <f aca="false">SUMIF('1 Indicadores'!$C$6:$C$404,"P1",'1 Indicadores'!$F$6:$F$404)/C13</f>
        <v>0.417700009185267</v>
      </c>
      <c r="E13" s="30" t="n">
        <f aca="false">AVERAGEIF('5 PCM'!$C$6:$C$404,"P1",'5 PCM'!$D$6:$D$404)</f>
        <v>47.6412194710827</v>
      </c>
      <c r="F13" s="30" t="n">
        <f aca="false">AVERAGEIF('5 PCM'!$C$6:$C$404,"P1",'5 PCM'!$E$6:$E$404)</f>
        <v>44.1142797559967</v>
      </c>
      <c r="G13" s="30" t="n">
        <f aca="false">AVERAGEIF('5 PCM'!$C$6:$C$404,"P1",'5 PCM'!$F$6:$F$404)</f>
        <v>46.8665101808736</v>
      </c>
      <c r="H13" s="56" t="n">
        <f aca="false">AVERAGEIF('5 PCM'!$C$6:$C$404,"P1",'5 PCM'!$G$6:$G$404)</f>
        <v>0.466259478119819</v>
      </c>
      <c r="I13" s="25" t="n">
        <f aca="false">SUMIF('6 Distribuição'!$C$6:$C$404,"P1",'6 Distribuição'!$E$6:$E$404)</f>
        <v>3</v>
      </c>
      <c r="J13" s="25" t="n">
        <f aca="false">SUMIF('6 Distribuição'!$C$6:$C$404,"P1",'6 Distribuição'!$G$6:$G$404)</f>
        <v>33</v>
      </c>
      <c r="K13" s="25" t="n">
        <f aca="false">SUMIF('6 Distribuição'!$C$6:$C$404,"P1",'6 Distribuição'!$H$6:$H$404)</f>
        <v>38</v>
      </c>
      <c r="L13" s="25" t="n">
        <f aca="false">SUMIF('6 Distribuição'!$C$6:$C$404,"P1",'6 Distribuição'!$I$6:$I$404)</f>
        <v>38</v>
      </c>
      <c r="M13" s="25" t="n">
        <f aca="false">COUNTIFS('6 Distribuição'!$C$6:$C$404,"P1",'6 Distribuição'!$I$6:$I$404,"&gt;0")</f>
        <v>38</v>
      </c>
    </row>
    <row r="14" customFormat="false" ht="15" hidden="false" customHeight="false" outlineLevel="0" collapsed="false">
      <c r="A14" s="57" t="s">
        <v>526</v>
      </c>
      <c r="B14" s="58" t="n">
        <f aca="false">SUM(B6:B13)</f>
        <v>399</v>
      </c>
      <c r="C14" s="59" t="n">
        <f aca="false">SUM(C6:C13)</f>
        <v>698133</v>
      </c>
      <c r="D14" s="60" t="n">
        <f aca="false">SUM('1 Indicadores'!$F$6:$F$404)/C14</f>
        <v>0.264645848283923</v>
      </c>
      <c r="E14" s="61" t="n">
        <f aca="false">AVERAGE('5 PCM'!$D$6:$D$404)</f>
        <v>55.056151120728</v>
      </c>
      <c r="F14" s="61" t="n">
        <f aca="false">AVERAGE('5 PCM'!$E$6:$E$404)</f>
        <v>46.1213628191875</v>
      </c>
      <c r="G14" s="61" t="n">
        <f aca="false">AVERAGE('5 PCM'!$F$6:$F$404)</f>
        <v>41.7783415880815</v>
      </c>
      <c r="H14" s="62" t="n">
        <f aca="false">AVERAGE('5 PCM'!$G$6:$G$404)</f>
        <v>0.479580696473613</v>
      </c>
      <c r="I14" s="58" t="n">
        <f aca="false">SUM(I6:I13)</f>
        <v>43</v>
      </c>
      <c r="J14" s="58" t="n">
        <f aca="false">SUM(J6:J13)</f>
        <v>300</v>
      </c>
      <c r="K14" s="58" t="n">
        <f aca="false">SUM(K6:K13)</f>
        <v>300</v>
      </c>
      <c r="L14" s="58" t="n">
        <f aca="false">SUM(L6:L13)</f>
        <v>303</v>
      </c>
      <c r="M14" s="58" t="n">
        <f aca="false">SUM(M6:M13)</f>
        <v>261</v>
      </c>
    </row>
    <row r="16" customFormat="false" ht="15" hidden="false" customHeight="false" outlineLevel="0" collapsed="false">
      <c r="A16" s="32" t="s">
        <v>553</v>
      </c>
    </row>
  </sheetData>
  <mergeCells count="3">
    <mergeCell ref="A4:D4"/>
    <mergeCell ref="E4:H4"/>
    <mergeCell ref="I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2026-10-29T18:22:00Z</dcterms:created>
  <dc:creator/>
  <dc:description/>
  <dc:language>en-US</dc:language>
  <cp:lastModifiedBy/>
  <dcterms:modified xsi:type="dcterms:W3CDTF">2026-10-29T18:22:03Z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