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582609-2FE1-49A3-91F3-D558579A1CF2}" xr6:coauthVersionLast="47" xr6:coauthVersionMax="47" xr10:uidLastSave="{00000000-0000-0000-0000-000000000000}"/>
  <bookViews>
    <workbookView xWindow="-120" yWindow="-120" windowWidth="20730" windowHeight="11040" tabRatio="688" xr2:uid="{00000000-000D-0000-FFFF-FFFF00000000}"/>
  </bookViews>
  <sheets>
    <sheet name="Resultados" sheetId="9" r:id="rId1"/>
    <sheet name="Metodologia" sheetId="5" r:id="rId2"/>
    <sheet name="Dados" sheetId="1" r:id="rId3"/>
    <sheet name="Educacional" sheetId="2" r:id="rId4"/>
    <sheet name="Demográfico" sheetId="3" r:id="rId5"/>
    <sheet name="Socioeconômico" sheetId="4" r:id="rId6"/>
    <sheet name="Planilha1" sheetId="7" state="hidden" r:id="rId7"/>
  </sheets>
  <definedNames>
    <definedName name="_xlnm._FilterDatabase" localSheetId="2" hidden="1">Dados!$A$1:$Q$401</definedName>
    <definedName name="_xlnm._FilterDatabase" localSheetId="4" hidden="1">Demográfico!$A$1:$K$1</definedName>
    <definedName name="_xlchart.v5.0" hidden="1">Resultados!$A$1</definedName>
    <definedName name="_xlchart.v5.1" hidden="1">Resultados!$A$2:$A$400</definedName>
    <definedName name="_xlchart.v5.2" hidden="1">Resultados!$D$1</definedName>
    <definedName name="_xlchart.v5.3" hidden="1">Resultados!$D$2:$D$400</definedName>
    <definedName name="_xlchart.v5.4" hidden="1">Resultados!$A$1</definedName>
    <definedName name="_xlchart.v5.5" hidden="1">Resultados!$A$2:$A$400</definedName>
    <definedName name="_xlchart.v5.6" hidden="1">Resultados!$D$1</definedName>
    <definedName name="_xlchart.v5.7" hidden="1">Resultados!$D$2:$D$400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2" i="1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C11" i="5"/>
  <c r="Q7" i="5"/>
  <c r="Q8" i="5"/>
  <c r="Q9" i="5"/>
  <c r="L10" i="5"/>
  <c r="O3" i="5"/>
  <c r="O7" i="5"/>
  <c r="O8" i="5"/>
  <c r="O9" i="5"/>
  <c r="O2" i="5"/>
  <c r="M10" i="5"/>
  <c r="C367" i="1" a="1"/>
  <c r="C367" i="1" s="1"/>
  <c r="C234" i="1" a="1"/>
  <c r="C234" i="1" s="1"/>
  <c r="C342" i="1" a="1"/>
  <c r="C342" i="1" s="1"/>
  <c r="C285" i="1" a="1"/>
  <c r="C285" i="1" s="1"/>
  <c r="C280" i="1" a="1"/>
  <c r="C280" i="1" s="1"/>
  <c r="C114" i="1" a="1"/>
  <c r="C114" i="1" s="1"/>
  <c r="C282" i="1" a="1"/>
  <c r="C282" i="1" s="1"/>
  <c r="C306" i="1" a="1"/>
  <c r="C306" i="1" s="1"/>
  <c r="C179" i="1" a="1"/>
  <c r="C179" i="1" s="1"/>
  <c r="C162" i="1" a="1"/>
  <c r="C162" i="1" s="1"/>
  <c r="C139" i="1" a="1"/>
  <c r="C139" i="1" s="1"/>
  <c r="C155" i="1" a="1"/>
  <c r="C155" i="1" s="1"/>
  <c r="C251" i="1" a="1"/>
  <c r="C251" i="1" s="1"/>
  <c r="C361" i="1" a="1"/>
  <c r="C361" i="1" s="1"/>
  <c r="C201" i="1" a="1"/>
  <c r="C201" i="1" s="1"/>
  <c r="C263" i="1" a="1"/>
  <c r="C263" i="1" s="1"/>
  <c r="C283" i="1" a="1"/>
  <c r="C283" i="1" s="1"/>
  <c r="C239" i="1" a="1"/>
  <c r="C239" i="1" s="1"/>
  <c r="C122" i="1" a="1"/>
  <c r="C122" i="1" s="1"/>
  <c r="C316" i="1" a="1"/>
  <c r="C316" i="1" s="1"/>
  <c r="C68" i="1" a="1"/>
  <c r="C68" i="1" s="1"/>
  <c r="C63" i="1" a="1"/>
  <c r="C63" i="1" s="1"/>
  <c r="C107" i="1" a="1"/>
  <c r="C107" i="1" s="1"/>
  <c r="C233" i="1" a="1"/>
  <c r="C233" i="1" s="1"/>
  <c r="C195" i="1" a="1"/>
  <c r="C195" i="1" s="1"/>
  <c r="C229" i="1" a="1"/>
  <c r="C229" i="1" s="1"/>
  <c r="C340" i="1" a="1"/>
  <c r="C340" i="1" s="1"/>
  <c r="C268" i="1" a="1"/>
  <c r="C268" i="1" s="1"/>
  <c r="C299" i="1" a="1"/>
  <c r="C299" i="1" s="1"/>
  <c r="C332" i="1" a="1"/>
  <c r="C332" i="1" s="1"/>
  <c r="C153" i="1" a="1"/>
  <c r="C153" i="1" s="1"/>
  <c r="C156" i="1" a="1"/>
  <c r="C156" i="1" s="1"/>
  <c r="C221" i="1" a="1"/>
  <c r="C221" i="1" s="1"/>
  <c r="C193" i="1" a="1"/>
  <c r="C193" i="1" s="1"/>
  <c r="C356" i="1" a="1"/>
  <c r="C356" i="1" s="1"/>
  <c r="C151" i="1" a="1"/>
  <c r="C151" i="1" s="1"/>
  <c r="C328" i="1" a="1"/>
  <c r="C328" i="1" s="1"/>
  <c r="C78" i="1" a="1"/>
  <c r="C78" i="1" s="1"/>
  <c r="C196" i="1" a="1"/>
  <c r="C196" i="1" s="1"/>
  <c r="C64" i="1" a="1"/>
  <c r="C64" i="1" s="1"/>
  <c r="C180" i="1" a="1"/>
  <c r="C180" i="1" s="1"/>
  <c r="C359" i="1" a="1"/>
  <c r="C359" i="1" s="1"/>
  <c r="C106" i="1" a="1"/>
  <c r="C106" i="1" s="1"/>
  <c r="C203" i="1" a="1"/>
  <c r="C203" i="1" s="1"/>
  <c r="C352" i="1" a="1"/>
  <c r="C352" i="1" s="1"/>
  <c r="C256" i="1" a="1"/>
  <c r="C256" i="1" s="1"/>
  <c r="C294" i="1" a="1"/>
  <c r="C294" i="1" s="1"/>
  <c r="C308" i="1" a="1"/>
  <c r="C308" i="1" s="1"/>
  <c r="C219" i="1" a="1"/>
  <c r="C219" i="1" s="1"/>
  <c r="C182" i="1" a="1"/>
  <c r="C182" i="1" s="1"/>
  <c r="C210" i="1" a="1"/>
  <c r="C210" i="1" s="1"/>
  <c r="C350" i="1" a="1"/>
  <c r="C350" i="1" s="1"/>
  <c r="C261" i="1" a="1"/>
  <c r="C261" i="1" s="1"/>
  <c r="C254" i="1" a="1"/>
  <c r="C254" i="1" s="1"/>
  <c r="C318" i="1" a="1"/>
  <c r="C318" i="1" s="1"/>
  <c r="C120" i="1" a="1"/>
  <c r="C120" i="1" s="1"/>
  <c r="C113" i="1" a="1"/>
  <c r="C113" i="1" s="1"/>
  <c r="C146" i="1" a="1"/>
  <c r="C146" i="1" s="1"/>
  <c r="C300" i="1" a="1"/>
  <c r="C300" i="1" s="1"/>
  <c r="C358" i="1" a="1"/>
  <c r="C358" i="1" s="1"/>
  <c r="C228" i="1" a="1"/>
  <c r="C228" i="1" s="1"/>
  <c r="C121" i="1" a="1"/>
  <c r="C121" i="1" s="1"/>
  <c r="C133" i="1" a="1"/>
  <c r="C133" i="1" s="1"/>
  <c r="C337" i="1" a="1"/>
  <c r="C337" i="1" s="1"/>
  <c r="C349" i="1" a="1"/>
  <c r="C349" i="1" s="1"/>
  <c r="C246" i="1" a="1"/>
  <c r="C246" i="1" s="1"/>
  <c r="C115" i="1" a="1"/>
  <c r="C115" i="1" s="1"/>
  <c r="C287" i="1" a="1"/>
  <c r="C287" i="1" s="1"/>
  <c r="C147" i="1" a="1"/>
  <c r="C147" i="1" s="1"/>
  <c r="C249" i="1" a="1"/>
  <c r="C249" i="1" s="1"/>
  <c r="C301" i="1" a="1"/>
  <c r="C301" i="1" s="1"/>
  <c r="C130" i="1" a="1"/>
  <c r="C130" i="1" s="1"/>
  <c r="C18" i="1" a="1"/>
  <c r="C18" i="1" s="1"/>
  <c r="C177" i="1" a="1"/>
  <c r="C177" i="1" s="1"/>
  <c r="C243" i="1" a="1"/>
  <c r="C243" i="1" s="1"/>
  <c r="C20" i="1" a="1"/>
  <c r="C20" i="1" s="1"/>
  <c r="C387" i="1" a="1"/>
  <c r="C387" i="1" s="1"/>
  <c r="C225" i="1" a="1"/>
  <c r="C225" i="1" s="1"/>
  <c r="C140" i="1" a="1"/>
  <c r="C140" i="1" s="1"/>
  <c r="C175" i="1" a="1"/>
  <c r="C175" i="1" s="1"/>
  <c r="C94" i="1" a="1"/>
  <c r="C94" i="1" s="1"/>
  <c r="C125" i="1" a="1"/>
  <c r="C125" i="1" s="1"/>
  <c r="C333" i="1" a="1"/>
  <c r="C333" i="1" s="1"/>
  <c r="C215" i="1" a="1"/>
  <c r="C215" i="1" s="1"/>
  <c r="C128" i="1" a="1"/>
  <c r="C128" i="1" s="1"/>
  <c r="C138" i="1" a="1"/>
  <c r="C138" i="1" s="1"/>
  <c r="C369" i="1" a="1"/>
  <c r="C369" i="1" s="1"/>
  <c r="C289" i="1" a="1"/>
  <c r="C289" i="1" s="1"/>
  <c r="C38" i="1" a="1"/>
  <c r="C38" i="1" s="1"/>
  <c r="C72" i="1" a="1"/>
  <c r="C72" i="1" s="1"/>
  <c r="C245" i="1" a="1"/>
  <c r="C245" i="1" s="1"/>
  <c r="C184" i="1" a="1"/>
  <c r="C184" i="1" s="1"/>
  <c r="C370" i="1" a="1"/>
  <c r="C370" i="1" s="1"/>
  <c r="C319" i="1" a="1"/>
  <c r="C319" i="1" s="1"/>
  <c r="C324" i="1" a="1"/>
  <c r="C324" i="1" s="1"/>
  <c r="C305" i="1" a="1"/>
  <c r="C305" i="1" s="1"/>
  <c r="C226" i="1" a="1"/>
  <c r="C226" i="1" s="1"/>
  <c r="C104" i="1" a="1"/>
  <c r="C104" i="1" s="1"/>
  <c r="C50" i="1" a="1"/>
  <c r="C50" i="1" s="1"/>
  <c r="C183" i="1" a="1"/>
  <c r="C183" i="1" s="1"/>
  <c r="C112" i="1" a="1"/>
  <c r="C112" i="1" s="1"/>
  <c r="C174" i="1" a="1"/>
  <c r="C174" i="1" s="1"/>
  <c r="C171" i="1" a="1"/>
  <c r="C171" i="1" s="1"/>
  <c r="C252" i="1" a="1"/>
  <c r="C252" i="1" s="1"/>
  <c r="C240" i="1" a="1"/>
  <c r="C240" i="1" s="1"/>
  <c r="C276" i="1" a="1"/>
  <c r="C276" i="1" s="1"/>
  <c r="C357" i="1" a="1"/>
  <c r="C357" i="1" s="1"/>
  <c r="C167" i="1" a="1"/>
  <c r="C167" i="1" s="1"/>
  <c r="C214" i="1" a="1"/>
  <c r="C214" i="1" s="1"/>
  <c r="C186" i="1" a="1"/>
  <c r="C186" i="1" s="1"/>
  <c r="C317" i="1" a="1"/>
  <c r="C317" i="1" s="1"/>
  <c r="C391" i="1" a="1"/>
  <c r="C391" i="1" s="1"/>
  <c r="C111" i="1" a="1"/>
  <c r="C111" i="1" s="1"/>
  <c r="C66" i="1" a="1"/>
  <c r="C66" i="1" s="1"/>
  <c r="C264" i="1" a="1"/>
  <c r="C264" i="1" s="1"/>
  <c r="C136" i="1" a="1"/>
  <c r="C136" i="1" s="1"/>
  <c r="C134" i="1" a="1"/>
  <c r="C134" i="1" s="1"/>
  <c r="C348" i="1" a="1"/>
  <c r="C348" i="1" s="1"/>
  <c r="C205" i="1" a="1"/>
  <c r="C205" i="1" s="1"/>
  <c r="C99" i="1" a="1"/>
  <c r="C99" i="1" s="1"/>
  <c r="C217" i="1" a="1"/>
  <c r="C217" i="1" s="1"/>
  <c r="C185" i="1" a="1"/>
  <c r="C185" i="1" s="1"/>
  <c r="C200" i="1" a="1"/>
  <c r="C200" i="1" s="1"/>
  <c r="C37" i="1" a="1"/>
  <c r="C37" i="1" s="1"/>
  <c r="C341" i="1" a="1"/>
  <c r="C341" i="1" s="1"/>
  <c r="C281" i="1" a="1"/>
  <c r="C281" i="1" s="1"/>
  <c r="C286" i="1" a="1"/>
  <c r="C286" i="1" s="1"/>
  <c r="C303" i="1" a="1"/>
  <c r="C303" i="1" s="1"/>
  <c r="C290" i="1" a="1"/>
  <c r="C290" i="1" s="1"/>
  <c r="C129" i="1" a="1"/>
  <c r="C129" i="1" s="1"/>
  <c r="C368" i="1" a="1"/>
  <c r="C368" i="1" s="1"/>
  <c r="C322" i="1" a="1"/>
  <c r="C322" i="1" s="1"/>
  <c r="C126" i="1" a="1"/>
  <c r="C126" i="1" s="1"/>
  <c r="C231" i="1" a="1"/>
  <c r="C231" i="1" s="1"/>
  <c r="C144" i="1" a="1"/>
  <c r="C144" i="1" s="1"/>
  <c r="C163" i="1" a="1"/>
  <c r="C163" i="1" s="1"/>
  <c r="C56" i="1" a="1"/>
  <c r="C56" i="1" s="1"/>
  <c r="C298" i="1" a="1"/>
  <c r="C298" i="1" s="1"/>
  <c r="C309" i="1" a="1"/>
  <c r="C309" i="1" s="1"/>
  <c r="C345" i="1" a="1"/>
  <c r="C345" i="1" s="1"/>
  <c r="C373" i="1" a="1"/>
  <c r="C373" i="1" s="1"/>
  <c r="C339" i="1" a="1"/>
  <c r="C339" i="1" s="1"/>
  <c r="C351" i="1" a="1"/>
  <c r="C351" i="1" s="1"/>
  <c r="C213" i="1" a="1"/>
  <c r="C213" i="1" s="1"/>
  <c r="C271" i="1" a="1"/>
  <c r="C271" i="1" s="1"/>
  <c r="C325" i="1" a="1"/>
  <c r="C325" i="1" s="1"/>
  <c r="C44" i="1" a="1"/>
  <c r="C44" i="1" s="1"/>
  <c r="C84" i="1" a="1"/>
  <c r="C84" i="1" s="1"/>
  <c r="C275" i="1" a="1"/>
  <c r="C275" i="1" s="1"/>
  <c r="C343" i="1" a="1"/>
  <c r="C343" i="1" s="1"/>
  <c r="C198" i="1" a="1"/>
  <c r="C198" i="1" s="1"/>
  <c r="C372" i="1" a="1"/>
  <c r="C372" i="1" s="1"/>
  <c r="C293" i="1" a="1"/>
  <c r="C293" i="1" s="1"/>
  <c r="C173" i="1" a="1"/>
  <c r="C173" i="1" s="1"/>
  <c r="C364" i="1" a="1"/>
  <c r="C364" i="1" s="1"/>
  <c r="C384" i="1" a="1"/>
  <c r="C384" i="1" s="1"/>
  <c r="C334" i="1" a="1"/>
  <c r="C334" i="1" s="1"/>
  <c r="C224" i="1" a="1"/>
  <c r="C224" i="1" s="1"/>
  <c r="C310" i="1" a="1"/>
  <c r="C310" i="1" s="1"/>
  <c r="C67" i="1" a="1"/>
  <c r="C67" i="1" s="1"/>
  <c r="C354" i="1" a="1"/>
  <c r="C354" i="1" s="1"/>
  <c r="C255" i="1" a="1"/>
  <c r="C255" i="1" s="1"/>
  <c r="C80" i="1" a="1"/>
  <c r="C80" i="1" s="1"/>
  <c r="C235" i="1" a="1"/>
  <c r="C235" i="1" s="1"/>
  <c r="C236" i="1" a="1"/>
  <c r="C236" i="1" s="1"/>
  <c r="C168" i="1" a="1"/>
  <c r="C168" i="1" s="1"/>
  <c r="C197" i="1" a="1"/>
  <c r="C197" i="1" s="1"/>
  <c r="C216" i="1" a="1"/>
  <c r="C216" i="1" s="1"/>
  <c r="C110" i="1" a="1"/>
  <c r="C110" i="1" s="1"/>
  <c r="C259" i="1" a="1"/>
  <c r="C259" i="1" s="1"/>
  <c r="C88" i="1" a="1"/>
  <c r="C88" i="1" s="1"/>
  <c r="C389" i="1" a="1"/>
  <c r="C389" i="1" s="1"/>
  <c r="C347" i="1" a="1"/>
  <c r="C347" i="1" s="1"/>
  <c r="C103" i="1" a="1"/>
  <c r="C103" i="1" s="1"/>
  <c r="C326" i="1" a="1"/>
  <c r="C326" i="1" s="1"/>
  <c r="C230" i="1" a="1"/>
  <c r="C230" i="1" s="1"/>
  <c r="C260" i="1" a="1"/>
  <c r="C260" i="1" s="1"/>
  <c r="C220" i="1" a="1"/>
  <c r="C220" i="1" s="1"/>
  <c r="C377" i="1" a="1"/>
  <c r="C377" i="1" s="1"/>
  <c r="C74" i="1" a="1"/>
  <c r="C74" i="1" s="1"/>
  <c r="C123" i="1" a="1"/>
  <c r="C123" i="1" s="1"/>
  <c r="C237" i="1" a="1"/>
  <c r="C237" i="1" s="1"/>
  <c r="C32" i="1" a="1"/>
  <c r="C32" i="1" s="1"/>
  <c r="C313" i="1" a="1"/>
  <c r="C313" i="1" s="1"/>
  <c r="C9" i="1" a="1"/>
  <c r="C9" i="1" s="1"/>
  <c r="C346" i="1" a="1"/>
  <c r="C346" i="1" s="1"/>
  <c r="C98" i="1" a="1"/>
  <c r="C98" i="1" s="1"/>
  <c r="C191" i="1" a="1"/>
  <c r="C191" i="1" s="1"/>
  <c r="C344" i="1" a="1"/>
  <c r="C344" i="1" s="1"/>
  <c r="C385" i="1" a="1"/>
  <c r="C385" i="1" s="1"/>
  <c r="C150" i="1" a="1"/>
  <c r="C150" i="1" s="1"/>
  <c r="C49" i="1" a="1"/>
  <c r="C49" i="1" s="1"/>
  <c r="C30" i="1" a="1"/>
  <c r="C30" i="1" s="1"/>
  <c r="C311" i="1" a="1"/>
  <c r="C311" i="1" s="1"/>
  <c r="C79" i="1" a="1"/>
  <c r="C79" i="1" s="1"/>
  <c r="C277" i="1" a="1"/>
  <c r="C277" i="1" s="1"/>
  <c r="C353" i="1" a="1"/>
  <c r="C353" i="1" s="1"/>
  <c r="C242" i="1" a="1"/>
  <c r="C242" i="1" s="1"/>
  <c r="C40" i="1" a="1"/>
  <c r="C40" i="1" s="1"/>
  <c r="C190" i="1" a="1"/>
  <c r="C190" i="1" s="1"/>
  <c r="C250" i="1" a="1"/>
  <c r="C250" i="1" s="1"/>
  <c r="C211" i="1" a="1"/>
  <c r="C211" i="1" s="1"/>
  <c r="C187" i="1" a="1"/>
  <c r="C187" i="1" s="1"/>
  <c r="C135" i="1" a="1"/>
  <c r="C135" i="1" s="1"/>
  <c r="C269" i="1" a="1"/>
  <c r="C269" i="1" s="1"/>
  <c r="C53" i="1" a="1"/>
  <c r="C53" i="1" s="1"/>
  <c r="C273" i="1" a="1"/>
  <c r="C273" i="1" s="1"/>
  <c r="C188" i="1" a="1"/>
  <c r="C188" i="1" s="1"/>
  <c r="C13" i="1" a="1"/>
  <c r="C13" i="1" s="1"/>
  <c r="C46" i="1" a="1"/>
  <c r="C46" i="1" s="1"/>
  <c r="C238" i="1" a="1"/>
  <c r="C238" i="1" s="1"/>
  <c r="C39" i="1" a="1"/>
  <c r="C39" i="1" s="1"/>
  <c r="C95" i="1" a="1"/>
  <c r="C95" i="1" s="1"/>
  <c r="C262" i="1" a="1"/>
  <c r="C262" i="1" s="1"/>
  <c r="C141" i="1" a="1"/>
  <c r="C141" i="1" s="1"/>
  <c r="C160" i="1" a="1"/>
  <c r="C160" i="1" s="1"/>
  <c r="C42" i="1" a="1"/>
  <c r="C42" i="1" s="1"/>
  <c r="C258" i="1" a="1"/>
  <c r="C258" i="1" s="1"/>
  <c r="C131" i="1" a="1"/>
  <c r="C131" i="1" s="1"/>
  <c r="C127" i="1" a="1"/>
  <c r="C127" i="1" s="1"/>
  <c r="C65" i="1" a="1"/>
  <c r="C65" i="1" s="1"/>
  <c r="C117" i="1" a="1"/>
  <c r="C117" i="1" s="1"/>
  <c r="C390" i="1" a="1"/>
  <c r="C390" i="1" s="1"/>
  <c r="C59" i="1" a="1"/>
  <c r="C59" i="1" s="1"/>
  <c r="C338" i="1" a="1"/>
  <c r="C338" i="1" s="1"/>
  <c r="C208" i="1" a="1"/>
  <c r="C208" i="1" s="1"/>
  <c r="C45" i="1" a="1"/>
  <c r="C45" i="1" s="1"/>
  <c r="C257" i="1" a="1"/>
  <c r="C257" i="1" s="1"/>
  <c r="C376" i="1" a="1"/>
  <c r="C376" i="1" s="1"/>
  <c r="C70" i="1" a="1"/>
  <c r="C70" i="1" s="1"/>
  <c r="C399" i="1" a="1"/>
  <c r="C399" i="1" s="1"/>
  <c r="C199" i="1" a="1"/>
  <c r="C199" i="1" s="1"/>
  <c r="C304" i="1" a="1"/>
  <c r="C304" i="1" s="1"/>
  <c r="C202" i="1" a="1"/>
  <c r="C202" i="1" s="1"/>
  <c r="C154" i="1" a="1"/>
  <c r="C154" i="1" s="1"/>
  <c r="C267" i="1" a="1"/>
  <c r="C267" i="1" s="1"/>
  <c r="C232" i="1" a="1"/>
  <c r="C232" i="1" s="1"/>
  <c r="C297" i="1" a="1"/>
  <c r="C297" i="1" s="1"/>
  <c r="C149" i="1" a="1"/>
  <c r="C149" i="1" s="1"/>
  <c r="C272" i="1" a="1"/>
  <c r="C272" i="1" s="1"/>
  <c r="C58" i="1" a="1"/>
  <c r="C58" i="1" s="1"/>
  <c r="C161" i="1" a="1"/>
  <c r="C161" i="1" s="1"/>
  <c r="C158" i="1" a="1"/>
  <c r="C158" i="1" s="1"/>
  <c r="C244" i="1" a="1"/>
  <c r="C244" i="1" s="1"/>
  <c r="C83" i="1" a="1"/>
  <c r="C83" i="1" s="1"/>
  <c r="C355" i="1" a="1"/>
  <c r="C355" i="1" s="1"/>
  <c r="C192" i="1" a="1"/>
  <c r="C192" i="1" s="1"/>
  <c r="C288" i="1" a="1"/>
  <c r="C288" i="1" s="1"/>
  <c r="C85" i="1" a="1"/>
  <c r="C85" i="1" s="1"/>
  <c r="C73" i="1" a="1"/>
  <c r="C73" i="1" s="1"/>
  <c r="C76" i="1" a="1"/>
  <c r="C76" i="1" s="1"/>
  <c r="C378" i="1" a="1"/>
  <c r="C378" i="1" s="1"/>
  <c r="C71" i="1" a="1"/>
  <c r="C71" i="1" s="1"/>
  <c r="C21" i="1" a="1"/>
  <c r="C21" i="1" s="1"/>
  <c r="C320" i="1" a="1"/>
  <c r="C320" i="1" s="1"/>
  <c r="C222" i="1" a="1"/>
  <c r="C222" i="1" s="1"/>
  <c r="C312" i="1" a="1"/>
  <c r="C312" i="1" s="1"/>
  <c r="C159" i="1" a="1"/>
  <c r="C159" i="1" s="1"/>
  <c r="C374" i="1" a="1"/>
  <c r="C374" i="1" s="1"/>
  <c r="C8" i="1" a="1"/>
  <c r="C8" i="1" s="1"/>
  <c r="C92" i="1" a="1"/>
  <c r="C92" i="1" s="1"/>
  <c r="C398" i="1" a="1"/>
  <c r="C398" i="1" s="1"/>
  <c r="C14" i="1" a="1"/>
  <c r="C14" i="1" s="1"/>
  <c r="C388" i="1" a="1"/>
  <c r="C388" i="1" s="1"/>
  <c r="C36" i="1" a="1"/>
  <c r="C36" i="1" s="1"/>
  <c r="C143" i="1" a="1"/>
  <c r="C143" i="1" s="1"/>
  <c r="C362" i="1" a="1"/>
  <c r="C362" i="1" s="1"/>
  <c r="C101" i="1" a="1"/>
  <c r="C101" i="1" s="1"/>
  <c r="C116" i="1" a="1"/>
  <c r="C116" i="1" s="1"/>
  <c r="C178" i="1" a="1"/>
  <c r="C178" i="1" s="1"/>
  <c r="C194" i="1" a="1"/>
  <c r="C194" i="1" s="1"/>
  <c r="C137" i="1" a="1"/>
  <c r="C137" i="1" s="1"/>
  <c r="C62" i="1" a="1"/>
  <c r="C62" i="1" s="1"/>
  <c r="C10" i="1" a="1"/>
  <c r="C10" i="1" s="1"/>
  <c r="C302" i="1" a="1"/>
  <c r="C302" i="1" s="1"/>
  <c r="C34" i="1" a="1"/>
  <c r="C34" i="1" s="1"/>
  <c r="C371" i="1" a="1"/>
  <c r="C371" i="1" s="1"/>
  <c r="C360" i="1" a="1"/>
  <c r="C360" i="1" s="1"/>
  <c r="C248" i="1" a="1"/>
  <c r="C248" i="1" s="1"/>
  <c r="C335" i="1" a="1"/>
  <c r="C335" i="1" s="1"/>
  <c r="C274" i="1" a="1"/>
  <c r="C274" i="1" s="1"/>
  <c r="C48" i="1" a="1"/>
  <c r="C48" i="1" s="1"/>
  <c r="C329" i="1" a="1"/>
  <c r="C329" i="1" s="1"/>
  <c r="C366" i="1" a="1"/>
  <c r="C366" i="1" s="1"/>
  <c r="C90" i="1" a="1"/>
  <c r="C90" i="1" s="1"/>
  <c r="C330" i="1" a="1"/>
  <c r="C330" i="1" s="1"/>
  <c r="C132" i="1" a="1"/>
  <c r="C132" i="1" s="1"/>
  <c r="C292" i="1" a="1"/>
  <c r="C292" i="1" s="1"/>
  <c r="C105" i="1" a="1"/>
  <c r="C105" i="1" s="1"/>
  <c r="C109" i="1" a="1"/>
  <c r="C109" i="1" s="1"/>
  <c r="C119" i="1" a="1"/>
  <c r="C119" i="1" s="1"/>
  <c r="C57" i="1" a="1"/>
  <c r="C57" i="1" s="1"/>
  <c r="C397" i="1" a="1"/>
  <c r="C397" i="1" s="1"/>
  <c r="C142" i="1" a="1"/>
  <c r="C142" i="1" s="1"/>
  <c r="C181" i="1" a="1"/>
  <c r="C181" i="1" s="1"/>
  <c r="C400" i="1" a="1"/>
  <c r="C400" i="1" s="1"/>
  <c r="C22" i="1" a="1"/>
  <c r="C22" i="1" s="1"/>
  <c r="C5" i="1" a="1"/>
  <c r="C5" i="1" s="1"/>
  <c r="C383" i="1" a="1"/>
  <c r="C383" i="1" s="1"/>
  <c r="C209" i="1" a="1"/>
  <c r="C209" i="1" s="1"/>
  <c r="C86" i="1" a="1"/>
  <c r="C86" i="1" s="1"/>
  <c r="C278" i="1" a="1"/>
  <c r="C278" i="1" s="1"/>
  <c r="C47" i="1" a="1"/>
  <c r="C47" i="1" s="1"/>
  <c r="C386" i="1" a="1"/>
  <c r="C386" i="1" s="1"/>
  <c r="C227" i="1" a="1"/>
  <c r="C227" i="1" s="1"/>
  <c r="C296" i="1" a="1"/>
  <c r="C296" i="1" s="1"/>
  <c r="C15" i="1" a="1"/>
  <c r="C15" i="1" s="1"/>
  <c r="C82" i="1" a="1"/>
  <c r="C82" i="1" s="1"/>
  <c r="C395" i="1" a="1"/>
  <c r="C395" i="1" s="1"/>
  <c r="C204" i="1" a="1"/>
  <c r="C204" i="1" s="1"/>
  <c r="C26" i="1" a="1"/>
  <c r="C26" i="1" s="1"/>
  <c r="C241" i="1" a="1"/>
  <c r="C241" i="1" s="1"/>
  <c r="C60" i="1" a="1"/>
  <c r="C60" i="1" s="1"/>
  <c r="C170" i="1" a="1"/>
  <c r="C170" i="1" s="1"/>
  <c r="C16" i="1" a="1"/>
  <c r="C16" i="1" s="1"/>
  <c r="C394" i="1" a="1"/>
  <c r="C394" i="1" s="1"/>
  <c r="C55" i="1" a="1"/>
  <c r="C55" i="1" s="1"/>
  <c r="C166" i="1" a="1"/>
  <c r="C166" i="1" s="1"/>
  <c r="C87" i="1" a="1"/>
  <c r="C87" i="1" s="1"/>
  <c r="C365" i="1" a="1"/>
  <c r="C365" i="1" s="1"/>
  <c r="C23" i="1" a="1"/>
  <c r="C23" i="1" s="1"/>
  <c r="C148" i="1" a="1"/>
  <c r="C148" i="1" s="1"/>
  <c r="C380" i="1" a="1"/>
  <c r="C380" i="1" s="1"/>
  <c r="C381" i="1" a="1"/>
  <c r="C381" i="1" s="1"/>
  <c r="C157" i="1" a="1"/>
  <c r="C157" i="1" s="1"/>
  <c r="C69" i="1" a="1"/>
  <c r="C69" i="1" s="1"/>
  <c r="C327" i="1" a="1"/>
  <c r="C327" i="1" s="1"/>
  <c r="C51" i="1" a="1"/>
  <c r="C51" i="1" s="1"/>
  <c r="C3" i="1" a="1"/>
  <c r="C3" i="1" s="1"/>
  <c r="C91" i="1" a="1"/>
  <c r="C91" i="1" s="1"/>
  <c r="C89" i="1" a="1"/>
  <c r="C89" i="1" s="1"/>
  <c r="C96" i="1" a="1"/>
  <c r="C96" i="1" s="1"/>
  <c r="C118" i="1" a="1"/>
  <c r="C118" i="1" s="1"/>
  <c r="C295" i="1" a="1"/>
  <c r="C295" i="1" s="1"/>
  <c r="C31" i="1" a="1"/>
  <c r="C31" i="1" s="1"/>
  <c r="C145" i="1" a="1"/>
  <c r="C145" i="1" s="1"/>
  <c r="C189" i="1" a="1"/>
  <c r="C189" i="1" s="1"/>
  <c r="C24" i="1" a="1"/>
  <c r="C24" i="1" s="1"/>
  <c r="C61" i="1" a="1"/>
  <c r="C61" i="1" s="1"/>
  <c r="C108" i="1" a="1"/>
  <c r="C108" i="1" s="1"/>
  <c r="C382" i="1" a="1"/>
  <c r="C382" i="1" s="1"/>
  <c r="C253" i="1" a="1"/>
  <c r="C253" i="1" s="1"/>
  <c r="C206" i="1" a="1"/>
  <c r="C206" i="1" s="1"/>
  <c r="C29" i="1" a="1"/>
  <c r="C29" i="1" s="1"/>
  <c r="C331" i="1" a="1"/>
  <c r="C331" i="1" s="1"/>
  <c r="C152" i="1" a="1"/>
  <c r="C152" i="1" s="1"/>
  <c r="C19" i="1" a="1"/>
  <c r="C19" i="1" s="1"/>
  <c r="C164" i="1" a="1"/>
  <c r="C164" i="1" s="1"/>
  <c r="C7" i="1" a="1"/>
  <c r="C7" i="1" s="1"/>
  <c r="C165" i="1" a="1"/>
  <c r="C165" i="1" s="1"/>
  <c r="C392" i="1" a="1"/>
  <c r="C392" i="1" s="1"/>
  <c r="C97" i="1" a="1"/>
  <c r="C97" i="1" s="1"/>
  <c r="C17" i="1" a="1"/>
  <c r="C17" i="1" s="1"/>
  <c r="C315" i="1" a="1"/>
  <c r="C315" i="1" s="1"/>
  <c r="C396" i="1" a="1"/>
  <c r="C396" i="1" s="1"/>
  <c r="C41" i="1" a="1"/>
  <c r="C41" i="1" s="1"/>
  <c r="C75" i="1" a="1"/>
  <c r="C75" i="1" s="1"/>
  <c r="C28" i="1" a="1"/>
  <c r="C28" i="1" s="1"/>
  <c r="C172" i="1" a="1"/>
  <c r="C172" i="1" s="1"/>
  <c r="C363" i="1" a="1"/>
  <c r="C363" i="1" s="1"/>
  <c r="C393" i="1" a="1"/>
  <c r="C393" i="1" s="1"/>
  <c r="C307" i="1" a="1"/>
  <c r="C307" i="1" s="1"/>
  <c r="C77" i="1" a="1"/>
  <c r="C77" i="1" s="1"/>
  <c r="C284" i="1" a="1"/>
  <c r="C284" i="1" s="1"/>
  <c r="C93" i="1" a="1"/>
  <c r="C93" i="1" s="1"/>
  <c r="C176" i="1" a="1"/>
  <c r="C176" i="1" s="1"/>
  <c r="C223" i="1" a="1"/>
  <c r="C223" i="1" s="1"/>
  <c r="C124" i="1" a="1"/>
  <c r="C124" i="1" s="1"/>
  <c r="C266" i="1" a="1"/>
  <c r="C266" i="1" s="1"/>
  <c r="C379" i="1" a="1"/>
  <c r="C379" i="1" s="1"/>
  <c r="C218" i="1" a="1"/>
  <c r="C218" i="1" s="1"/>
  <c r="C314" i="1" a="1"/>
  <c r="C314" i="1" s="1"/>
  <c r="C25" i="1" a="1"/>
  <c r="C25" i="1" s="1"/>
  <c r="C11" i="1" a="1"/>
  <c r="C11" i="1" s="1"/>
  <c r="C270" i="1" a="1"/>
  <c r="C270" i="1" s="1"/>
  <c r="C43" i="1" a="1"/>
  <c r="C43" i="1" s="1"/>
  <c r="C323" i="1" a="1"/>
  <c r="C323" i="1" s="1"/>
  <c r="C169" i="1" a="1"/>
  <c r="C169" i="1" s="1"/>
  <c r="C336" i="1" a="1"/>
  <c r="C336" i="1" s="1"/>
  <c r="C6" i="1" a="1"/>
  <c r="C6" i="1" s="1"/>
  <c r="C291" i="1" a="1"/>
  <c r="C291" i="1" s="1"/>
  <c r="C207" i="1" a="1"/>
  <c r="C207" i="1" s="1"/>
  <c r="C81" i="1" a="1"/>
  <c r="C81" i="1" s="1"/>
  <c r="C212" i="1" a="1"/>
  <c r="C212" i="1" s="1"/>
  <c r="C52" i="1" a="1"/>
  <c r="C52" i="1" s="1"/>
  <c r="C279" i="1" a="1"/>
  <c r="C279" i="1" s="1"/>
  <c r="C33" i="1" a="1"/>
  <c r="C33" i="1" s="1"/>
  <c r="C100" i="1" a="1"/>
  <c r="C100" i="1" s="1"/>
  <c r="C27" i="1" a="1"/>
  <c r="C27" i="1" s="1"/>
  <c r="C247" i="1" a="1"/>
  <c r="C247" i="1" s="1"/>
  <c r="C35" i="1" a="1"/>
  <c r="C35" i="1" s="1"/>
  <c r="C12" i="1" a="1"/>
  <c r="C12" i="1" s="1"/>
  <c r="C102" i="1" a="1"/>
  <c r="C102" i="1" s="1"/>
  <c r="C4" i="1" a="1"/>
  <c r="C4" i="1" s="1"/>
  <c r="C54" i="1" a="1"/>
  <c r="C54" i="1" s="1"/>
  <c r="C265" i="1" a="1"/>
  <c r="C265" i="1" s="1"/>
  <c r="C321" i="1" a="1"/>
  <c r="C321" i="1" s="1"/>
  <c r="C2" i="1" a="1"/>
  <c r="C2" i="1" s="1"/>
  <c r="C375" i="1" a="1"/>
  <c r="C375" i="1" s="1"/>
  <c r="G367" i="1"/>
  <c r="G280" i="1"/>
  <c r="G114" i="1"/>
  <c r="G306" i="1"/>
  <c r="G285" i="1"/>
  <c r="G179" i="1"/>
  <c r="G375" i="1"/>
  <c r="G162" i="1"/>
  <c r="G342" i="1"/>
  <c r="G239" i="1"/>
  <c r="G229" i="1"/>
  <c r="G282" i="1"/>
  <c r="G139" i="1"/>
  <c r="G201" i="1"/>
  <c r="G316" i="1"/>
  <c r="G107" i="1"/>
  <c r="G68" i="1"/>
  <c r="G263" i="1"/>
  <c r="G268" i="1"/>
  <c r="G221" i="1"/>
  <c r="G340" i="1"/>
  <c r="G18" i="1"/>
  <c r="G155" i="1"/>
  <c r="G122" i="1"/>
  <c r="G361" i="1"/>
  <c r="G299" i="1"/>
  <c r="G233" i="1"/>
  <c r="G63" i="1"/>
  <c r="G251" i="1"/>
  <c r="G196" i="1"/>
  <c r="G133" i="1"/>
  <c r="G256" i="1"/>
  <c r="G153" i="1"/>
  <c r="G151" i="1"/>
  <c r="G195" i="1"/>
  <c r="G138" i="1"/>
  <c r="G283" i="1"/>
  <c r="G203" i="1"/>
  <c r="G193" i="1"/>
  <c r="G182" i="1"/>
  <c r="G300" i="1"/>
  <c r="G78" i="1"/>
  <c r="G246" i="1"/>
  <c r="G64" i="1"/>
  <c r="G156" i="1"/>
  <c r="G20" i="1"/>
  <c r="G106" i="1"/>
  <c r="G115" i="1"/>
  <c r="G219" i="1"/>
  <c r="G369" i="1"/>
  <c r="G254" i="1"/>
  <c r="G146" i="1"/>
  <c r="G66" i="1"/>
  <c r="G121" i="1"/>
  <c r="G38" i="1"/>
  <c r="G99" i="1"/>
  <c r="G337" i="1"/>
  <c r="G180" i="1"/>
  <c r="G350" i="1"/>
  <c r="G130" i="1"/>
  <c r="G308" i="1"/>
  <c r="G352" i="1"/>
  <c r="G261" i="1"/>
  <c r="G348" i="1"/>
  <c r="G184" i="1"/>
  <c r="G210" i="1"/>
  <c r="G332" i="1"/>
  <c r="G94" i="1"/>
  <c r="G215" i="1"/>
  <c r="G140" i="1"/>
  <c r="G359" i="1"/>
  <c r="G50" i="1"/>
  <c r="G318" i="1"/>
  <c r="G72" i="1"/>
  <c r="G226" i="1"/>
  <c r="G136" i="1"/>
  <c r="G144" i="1"/>
  <c r="G120" i="1"/>
  <c r="G301" i="1"/>
  <c r="G333" i="1"/>
  <c r="G147" i="1"/>
  <c r="G249" i="1"/>
  <c r="G349" i="1"/>
  <c r="G372" i="1"/>
  <c r="G356" i="1"/>
  <c r="G128" i="1"/>
  <c r="G125" i="1"/>
  <c r="G294" i="1"/>
  <c r="G200" i="1"/>
  <c r="G84" i="1"/>
  <c r="G183" i="1"/>
  <c r="G377" i="1"/>
  <c r="G104" i="1"/>
  <c r="G37" i="1"/>
  <c r="G112" i="1"/>
  <c r="G228" i="1"/>
  <c r="G341" i="1"/>
  <c r="G175" i="1"/>
  <c r="G281" i="1"/>
  <c r="G113" i="1"/>
  <c r="G328" i="1"/>
  <c r="G126" i="1"/>
  <c r="G80" i="1"/>
  <c r="G111" i="1"/>
  <c r="G286" i="1"/>
  <c r="G56" i="1"/>
  <c r="G134" i="1"/>
  <c r="G174" i="1"/>
  <c r="G287" i="1"/>
  <c r="G44" i="1"/>
  <c r="G177" i="1"/>
  <c r="G243" i="1"/>
  <c r="G351" i="1"/>
  <c r="G322" i="1"/>
  <c r="G13" i="1"/>
  <c r="G67" i="1"/>
  <c r="G260" i="1"/>
  <c r="G30" i="1"/>
  <c r="G167" i="1"/>
  <c r="G317" i="1"/>
  <c r="G289" i="1"/>
  <c r="G358" i="1"/>
  <c r="G53" i="1"/>
  <c r="G103" i="1"/>
  <c r="G298" i="1"/>
  <c r="G220" i="1"/>
  <c r="G339" i="1"/>
  <c r="G186" i="1"/>
  <c r="G225" i="1"/>
  <c r="G171" i="1"/>
  <c r="G123" i="1"/>
  <c r="G252" i="1"/>
  <c r="G199" i="1"/>
  <c r="G173" i="1"/>
  <c r="G245" i="1"/>
  <c r="G217" i="1"/>
  <c r="G309" i="1"/>
  <c r="G387" i="1"/>
  <c r="G324" i="1"/>
  <c r="G205" i="1"/>
  <c r="G9" i="1"/>
  <c r="G163" i="1"/>
  <c r="G129" i="1"/>
  <c r="G303" i="1"/>
  <c r="G110" i="1"/>
  <c r="G343" i="1"/>
  <c r="G325" i="1"/>
  <c r="G74" i="1"/>
  <c r="G21" i="1"/>
  <c r="G32" i="1"/>
  <c r="G158" i="1"/>
  <c r="G185" i="1"/>
  <c r="G347" i="1"/>
  <c r="G240" i="1"/>
  <c r="G230" i="1"/>
  <c r="G277" i="1"/>
  <c r="G368" i="1"/>
  <c r="G190" i="1"/>
  <c r="G198" i="1"/>
  <c r="G290" i="1"/>
  <c r="G131" i="1"/>
  <c r="G255" i="1"/>
  <c r="G88" i="1"/>
  <c r="G231" i="1"/>
  <c r="G42" i="1"/>
  <c r="G326" i="1"/>
  <c r="G346" i="1"/>
  <c r="G214" i="1"/>
  <c r="G224" i="1"/>
  <c r="G39" i="1"/>
  <c r="G238" i="1"/>
  <c r="G271" i="1"/>
  <c r="G275" i="1"/>
  <c r="G355" i="1"/>
  <c r="G276" i="1"/>
  <c r="G311" i="1"/>
  <c r="G235" i="1"/>
  <c r="G79" i="1"/>
  <c r="G264" i="1"/>
  <c r="G364" i="1"/>
  <c r="G269" i="1"/>
  <c r="G135" i="1"/>
  <c r="G310" i="1"/>
  <c r="G149" i="1"/>
  <c r="G197" i="1"/>
  <c r="G83" i="1"/>
  <c r="G191" i="1"/>
  <c r="G370" i="1"/>
  <c r="G357" i="1"/>
  <c r="G59" i="1"/>
  <c r="G116" i="1"/>
  <c r="G14" i="1"/>
  <c r="G293" i="1"/>
  <c r="G259" i="1"/>
  <c r="G117" i="1"/>
  <c r="G45" i="1"/>
  <c r="G305" i="1"/>
  <c r="G297" i="1"/>
  <c r="G86" i="1"/>
  <c r="G143" i="1"/>
  <c r="G373" i="1"/>
  <c r="G345" i="1"/>
  <c r="G98" i="1"/>
  <c r="G40" i="1"/>
  <c r="G49" i="1"/>
  <c r="G5" i="1"/>
  <c r="G85" i="1"/>
  <c r="G154" i="1"/>
  <c r="G391" i="1"/>
  <c r="G236" i="1"/>
  <c r="G319" i="1"/>
  <c r="G267" i="1"/>
  <c r="G383" i="1"/>
  <c r="G241" i="1"/>
  <c r="G168" i="1"/>
  <c r="G273" i="1"/>
  <c r="G160" i="1"/>
  <c r="G8" i="1"/>
  <c r="G213" i="1"/>
  <c r="G10" i="1"/>
  <c r="G137" i="1"/>
  <c r="G242" i="1"/>
  <c r="G244" i="1"/>
  <c r="G208" i="1"/>
  <c r="G188" i="1"/>
  <c r="G65" i="1"/>
  <c r="G211" i="1"/>
  <c r="G148" i="1"/>
  <c r="G70" i="1"/>
  <c r="G272" i="1"/>
  <c r="G161" i="1"/>
  <c r="G258" i="1"/>
  <c r="G150" i="1"/>
  <c r="G142" i="1"/>
  <c r="G58" i="1"/>
  <c r="G22" i="1"/>
  <c r="G181" i="1"/>
  <c r="G262" i="1"/>
  <c r="G390" i="1"/>
  <c r="G95" i="1"/>
  <c r="G73" i="1"/>
  <c r="G34" i="1"/>
  <c r="G353" i="1"/>
  <c r="G250" i="1"/>
  <c r="G76" i="1"/>
  <c r="G15" i="1"/>
  <c r="G334" i="1"/>
  <c r="G132" i="1"/>
  <c r="G338" i="1"/>
  <c r="G202" i="1"/>
  <c r="G344" i="1"/>
  <c r="G330" i="1"/>
  <c r="G92" i="1"/>
  <c r="G105" i="1"/>
  <c r="G127" i="1"/>
  <c r="G90" i="1"/>
  <c r="G376" i="1"/>
  <c r="G3" i="1"/>
  <c r="G7" i="1"/>
  <c r="G192" i="1"/>
  <c r="G388" i="1"/>
  <c r="G354" i="1"/>
  <c r="G141" i="1"/>
  <c r="G178" i="1"/>
  <c r="G384" i="1"/>
  <c r="G216" i="1"/>
  <c r="G23" i="1"/>
  <c r="G119" i="1"/>
  <c r="G26" i="1"/>
  <c r="G29" i="1"/>
  <c r="G302" i="1"/>
  <c r="G187" i="1"/>
  <c r="G89" i="1"/>
  <c r="G96" i="1"/>
  <c r="G62" i="1"/>
  <c r="G31" i="1"/>
  <c r="G101" i="1"/>
  <c r="G36" i="1"/>
  <c r="G399" i="1"/>
  <c r="G389" i="1"/>
  <c r="G55" i="1"/>
  <c r="G57" i="1"/>
  <c r="G304" i="1"/>
  <c r="G48" i="1"/>
  <c r="G71" i="1"/>
  <c r="G227" i="1"/>
  <c r="G145" i="1"/>
  <c r="G312" i="1"/>
  <c r="G47" i="1"/>
  <c r="G288" i="1"/>
  <c r="G237" i="1"/>
  <c r="G248" i="1"/>
  <c r="G374" i="1"/>
  <c r="G194" i="1"/>
  <c r="G371" i="1"/>
  <c r="G204" i="1"/>
  <c r="G257" i="1"/>
  <c r="G222" i="1"/>
  <c r="G320" i="1"/>
  <c r="G329" i="1"/>
  <c r="G313" i="1"/>
  <c r="G278" i="1"/>
  <c r="G109" i="1"/>
  <c r="G24" i="1"/>
  <c r="G46" i="1"/>
  <c r="G16" i="1"/>
  <c r="G292" i="1"/>
  <c r="G232" i="1"/>
  <c r="G60" i="1"/>
  <c r="G61" i="1"/>
  <c r="G166" i="1"/>
  <c r="G69" i="1"/>
  <c r="G398" i="1"/>
  <c r="G209" i="1"/>
  <c r="G366" i="1"/>
  <c r="G365" i="1"/>
  <c r="G41" i="1"/>
  <c r="G170" i="1"/>
  <c r="G295" i="1"/>
  <c r="G82" i="1"/>
  <c r="G385" i="1"/>
  <c r="G19" i="1"/>
  <c r="G118" i="1"/>
  <c r="G159" i="1"/>
  <c r="G362" i="1"/>
  <c r="G327" i="1"/>
  <c r="G274" i="1"/>
  <c r="G378" i="1"/>
  <c r="G165" i="1"/>
  <c r="G51" i="1"/>
  <c r="G6" i="1"/>
  <c r="G108" i="1"/>
  <c r="G124" i="1"/>
  <c r="G394" i="1"/>
  <c r="G381" i="1"/>
  <c r="G253" i="1"/>
  <c r="G91" i="1"/>
  <c r="G386" i="1"/>
  <c r="G397" i="1"/>
  <c r="G81" i="1"/>
  <c r="G28" i="1"/>
  <c r="G400" i="1"/>
  <c r="G157" i="1"/>
  <c r="G87" i="1"/>
  <c r="G206" i="1"/>
  <c r="G176" i="1"/>
  <c r="G164" i="1"/>
  <c r="G360" i="1"/>
  <c r="G17" i="1"/>
  <c r="G152" i="1"/>
  <c r="G77" i="1"/>
  <c r="G189" i="1"/>
  <c r="G97" i="1"/>
  <c r="G380" i="1"/>
  <c r="G382" i="1"/>
  <c r="G223" i="1"/>
  <c r="G11" i="1"/>
  <c r="G296" i="1"/>
  <c r="G270" i="1"/>
  <c r="G93" i="1"/>
  <c r="G25" i="1"/>
  <c r="G43" i="1"/>
  <c r="G75" i="1"/>
  <c r="G335" i="1"/>
  <c r="G396" i="1"/>
  <c r="G315" i="1"/>
  <c r="G27" i="1"/>
  <c r="G52" i="1"/>
  <c r="G33" i="1"/>
  <c r="G314" i="1"/>
  <c r="G284" i="1"/>
  <c r="G266" i="1"/>
  <c r="G392" i="1"/>
  <c r="G393" i="1"/>
  <c r="G331" i="1"/>
  <c r="G12" i="1"/>
  <c r="G169" i="1"/>
  <c r="G363" i="1"/>
  <c r="G207" i="1"/>
  <c r="G291" i="1"/>
  <c r="G395" i="1"/>
  <c r="G218" i="1"/>
  <c r="G100" i="1"/>
  <c r="G35" i="1"/>
  <c r="G172" i="1"/>
  <c r="G4" i="1"/>
  <c r="G212" i="1"/>
  <c r="G307" i="1"/>
  <c r="G247" i="1"/>
  <c r="G102" i="1"/>
  <c r="G323" i="1"/>
  <c r="G336" i="1"/>
  <c r="G2" i="1"/>
  <c r="G279" i="1"/>
  <c r="G54" i="1"/>
  <c r="G265" i="1"/>
  <c r="G321" i="1"/>
  <c r="G379" i="1"/>
  <c r="G234" i="1"/>
  <c r="F367" i="1"/>
  <c r="F280" i="1"/>
  <c r="F114" i="1"/>
  <c r="F306" i="1"/>
  <c r="F285" i="1"/>
  <c r="F179" i="1"/>
  <c r="F375" i="1"/>
  <c r="F162" i="1"/>
  <c r="F342" i="1"/>
  <c r="F239" i="1"/>
  <c r="F229" i="1"/>
  <c r="F282" i="1"/>
  <c r="F139" i="1"/>
  <c r="F201" i="1"/>
  <c r="F316" i="1"/>
  <c r="F107" i="1"/>
  <c r="F68" i="1"/>
  <c r="F263" i="1"/>
  <c r="F268" i="1"/>
  <c r="F221" i="1"/>
  <c r="F340" i="1"/>
  <c r="F18" i="1"/>
  <c r="F155" i="1"/>
  <c r="F122" i="1"/>
  <c r="F361" i="1"/>
  <c r="F299" i="1"/>
  <c r="F233" i="1"/>
  <c r="F63" i="1"/>
  <c r="F251" i="1"/>
  <c r="F196" i="1"/>
  <c r="F133" i="1"/>
  <c r="F256" i="1"/>
  <c r="F153" i="1"/>
  <c r="F151" i="1"/>
  <c r="F195" i="1"/>
  <c r="F138" i="1"/>
  <c r="F283" i="1"/>
  <c r="F203" i="1"/>
  <c r="F193" i="1"/>
  <c r="F182" i="1"/>
  <c r="F300" i="1"/>
  <c r="F78" i="1"/>
  <c r="F246" i="1"/>
  <c r="F64" i="1"/>
  <c r="F156" i="1"/>
  <c r="F20" i="1"/>
  <c r="F106" i="1"/>
  <c r="F115" i="1"/>
  <c r="F219" i="1"/>
  <c r="F369" i="1"/>
  <c r="F254" i="1"/>
  <c r="F146" i="1"/>
  <c r="F66" i="1"/>
  <c r="F121" i="1"/>
  <c r="F38" i="1"/>
  <c r="F99" i="1"/>
  <c r="F337" i="1"/>
  <c r="F180" i="1"/>
  <c r="F350" i="1"/>
  <c r="F130" i="1"/>
  <c r="F308" i="1"/>
  <c r="F352" i="1"/>
  <c r="F261" i="1"/>
  <c r="F348" i="1"/>
  <c r="F184" i="1"/>
  <c r="F210" i="1"/>
  <c r="F332" i="1"/>
  <c r="F94" i="1"/>
  <c r="F215" i="1"/>
  <c r="F140" i="1"/>
  <c r="F359" i="1"/>
  <c r="F50" i="1"/>
  <c r="F318" i="1"/>
  <c r="F72" i="1"/>
  <c r="F226" i="1"/>
  <c r="F136" i="1"/>
  <c r="F144" i="1"/>
  <c r="F120" i="1"/>
  <c r="F301" i="1"/>
  <c r="F333" i="1"/>
  <c r="F147" i="1"/>
  <c r="F249" i="1"/>
  <c r="F349" i="1"/>
  <c r="F372" i="1"/>
  <c r="F356" i="1"/>
  <c r="F128" i="1"/>
  <c r="F125" i="1"/>
  <c r="F294" i="1"/>
  <c r="F200" i="1"/>
  <c r="F84" i="1"/>
  <c r="F183" i="1"/>
  <c r="F377" i="1"/>
  <c r="F104" i="1"/>
  <c r="F37" i="1"/>
  <c r="F112" i="1"/>
  <c r="F228" i="1"/>
  <c r="F341" i="1"/>
  <c r="F175" i="1"/>
  <c r="F281" i="1"/>
  <c r="F113" i="1"/>
  <c r="F328" i="1"/>
  <c r="F126" i="1"/>
  <c r="F80" i="1"/>
  <c r="F111" i="1"/>
  <c r="F286" i="1"/>
  <c r="F56" i="1"/>
  <c r="F134" i="1"/>
  <c r="F174" i="1"/>
  <c r="F287" i="1"/>
  <c r="F44" i="1"/>
  <c r="F177" i="1"/>
  <c r="F243" i="1"/>
  <c r="F351" i="1"/>
  <c r="F322" i="1"/>
  <c r="F13" i="1"/>
  <c r="F67" i="1"/>
  <c r="F260" i="1"/>
  <c r="F30" i="1"/>
  <c r="F167" i="1"/>
  <c r="F317" i="1"/>
  <c r="F289" i="1"/>
  <c r="F358" i="1"/>
  <c r="F53" i="1"/>
  <c r="F103" i="1"/>
  <c r="F298" i="1"/>
  <c r="F220" i="1"/>
  <c r="F339" i="1"/>
  <c r="F186" i="1"/>
  <c r="F225" i="1"/>
  <c r="F171" i="1"/>
  <c r="F123" i="1"/>
  <c r="F252" i="1"/>
  <c r="F199" i="1"/>
  <c r="F173" i="1"/>
  <c r="F245" i="1"/>
  <c r="F217" i="1"/>
  <c r="F309" i="1"/>
  <c r="F387" i="1"/>
  <c r="F324" i="1"/>
  <c r="F205" i="1"/>
  <c r="F9" i="1"/>
  <c r="F163" i="1"/>
  <c r="F129" i="1"/>
  <c r="F303" i="1"/>
  <c r="F110" i="1"/>
  <c r="F343" i="1"/>
  <c r="F325" i="1"/>
  <c r="F74" i="1"/>
  <c r="F21" i="1"/>
  <c r="F32" i="1"/>
  <c r="F158" i="1"/>
  <c r="F185" i="1"/>
  <c r="F347" i="1"/>
  <c r="F240" i="1"/>
  <c r="F230" i="1"/>
  <c r="F277" i="1"/>
  <c r="F368" i="1"/>
  <c r="F190" i="1"/>
  <c r="F198" i="1"/>
  <c r="F290" i="1"/>
  <c r="F131" i="1"/>
  <c r="F255" i="1"/>
  <c r="F88" i="1"/>
  <c r="F231" i="1"/>
  <c r="F42" i="1"/>
  <c r="F326" i="1"/>
  <c r="F346" i="1"/>
  <c r="F214" i="1"/>
  <c r="F224" i="1"/>
  <c r="F39" i="1"/>
  <c r="F238" i="1"/>
  <c r="F271" i="1"/>
  <c r="F275" i="1"/>
  <c r="F355" i="1"/>
  <c r="F276" i="1"/>
  <c r="F311" i="1"/>
  <c r="F235" i="1"/>
  <c r="F79" i="1"/>
  <c r="F264" i="1"/>
  <c r="F364" i="1"/>
  <c r="F269" i="1"/>
  <c r="F135" i="1"/>
  <c r="F310" i="1"/>
  <c r="F149" i="1"/>
  <c r="F197" i="1"/>
  <c r="F83" i="1"/>
  <c r="F191" i="1"/>
  <c r="F370" i="1"/>
  <c r="F357" i="1"/>
  <c r="F59" i="1"/>
  <c r="F116" i="1"/>
  <c r="F14" i="1"/>
  <c r="F293" i="1"/>
  <c r="F259" i="1"/>
  <c r="F117" i="1"/>
  <c r="F45" i="1"/>
  <c r="F305" i="1"/>
  <c r="F297" i="1"/>
  <c r="F86" i="1"/>
  <c r="F143" i="1"/>
  <c r="F373" i="1"/>
  <c r="F345" i="1"/>
  <c r="F98" i="1"/>
  <c r="F40" i="1"/>
  <c r="F49" i="1"/>
  <c r="F5" i="1"/>
  <c r="F85" i="1"/>
  <c r="F154" i="1"/>
  <c r="F391" i="1"/>
  <c r="F236" i="1"/>
  <c r="F319" i="1"/>
  <c r="F267" i="1"/>
  <c r="F383" i="1"/>
  <c r="F241" i="1"/>
  <c r="F168" i="1"/>
  <c r="F273" i="1"/>
  <c r="F160" i="1"/>
  <c r="F8" i="1"/>
  <c r="F213" i="1"/>
  <c r="F10" i="1"/>
  <c r="F137" i="1"/>
  <c r="F242" i="1"/>
  <c r="F244" i="1"/>
  <c r="F208" i="1"/>
  <c r="F188" i="1"/>
  <c r="F65" i="1"/>
  <c r="F211" i="1"/>
  <c r="F148" i="1"/>
  <c r="F70" i="1"/>
  <c r="F272" i="1"/>
  <c r="F161" i="1"/>
  <c r="F258" i="1"/>
  <c r="F150" i="1"/>
  <c r="F142" i="1"/>
  <c r="F58" i="1"/>
  <c r="F22" i="1"/>
  <c r="F181" i="1"/>
  <c r="F262" i="1"/>
  <c r="F390" i="1"/>
  <c r="F95" i="1"/>
  <c r="F73" i="1"/>
  <c r="F34" i="1"/>
  <c r="F353" i="1"/>
  <c r="F250" i="1"/>
  <c r="F76" i="1"/>
  <c r="F15" i="1"/>
  <c r="F334" i="1"/>
  <c r="F132" i="1"/>
  <c r="F338" i="1"/>
  <c r="F202" i="1"/>
  <c r="F344" i="1"/>
  <c r="F330" i="1"/>
  <c r="F92" i="1"/>
  <c r="F105" i="1"/>
  <c r="F127" i="1"/>
  <c r="F90" i="1"/>
  <c r="F376" i="1"/>
  <c r="F3" i="1"/>
  <c r="F7" i="1"/>
  <c r="F192" i="1"/>
  <c r="F388" i="1"/>
  <c r="F354" i="1"/>
  <c r="F141" i="1"/>
  <c r="F178" i="1"/>
  <c r="F384" i="1"/>
  <c r="F216" i="1"/>
  <c r="F23" i="1"/>
  <c r="F119" i="1"/>
  <c r="F26" i="1"/>
  <c r="F29" i="1"/>
  <c r="F302" i="1"/>
  <c r="F187" i="1"/>
  <c r="F89" i="1"/>
  <c r="F96" i="1"/>
  <c r="F62" i="1"/>
  <c r="F31" i="1"/>
  <c r="F101" i="1"/>
  <c r="F36" i="1"/>
  <c r="F399" i="1"/>
  <c r="F389" i="1"/>
  <c r="F55" i="1"/>
  <c r="F57" i="1"/>
  <c r="F304" i="1"/>
  <c r="F48" i="1"/>
  <c r="F71" i="1"/>
  <c r="F227" i="1"/>
  <c r="F145" i="1"/>
  <c r="F312" i="1"/>
  <c r="F47" i="1"/>
  <c r="F288" i="1"/>
  <c r="F237" i="1"/>
  <c r="F248" i="1"/>
  <c r="F374" i="1"/>
  <c r="F194" i="1"/>
  <c r="F371" i="1"/>
  <c r="F204" i="1"/>
  <c r="F257" i="1"/>
  <c r="F222" i="1"/>
  <c r="F320" i="1"/>
  <c r="F329" i="1"/>
  <c r="F313" i="1"/>
  <c r="F278" i="1"/>
  <c r="F109" i="1"/>
  <c r="F24" i="1"/>
  <c r="F46" i="1"/>
  <c r="F16" i="1"/>
  <c r="F292" i="1"/>
  <c r="F232" i="1"/>
  <c r="F60" i="1"/>
  <c r="F61" i="1"/>
  <c r="F166" i="1"/>
  <c r="F69" i="1"/>
  <c r="F398" i="1"/>
  <c r="F209" i="1"/>
  <c r="F366" i="1"/>
  <c r="F365" i="1"/>
  <c r="F41" i="1"/>
  <c r="F170" i="1"/>
  <c r="F295" i="1"/>
  <c r="F82" i="1"/>
  <c r="F385" i="1"/>
  <c r="F19" i="1"/>
  <c r="F118" i="1"/>
  <c r="F159" i="1"/>
  <c r="F362" i="1"/>
  <c r="F327" i="1"/>
  <c r="F274" i="1"/>
  <c r="F378" i="1"/>
  <c r="F165" i="1"/>
  <c r="F51" i="1"/>
  <c r="F6" i="1"/>
  <c r="F108" i="1"/>
  <c r="F124" i="1"/>
  <c r="F394" i="1"/>
  <c r="F381" i="1"/>
  <c r="F253" i="1"/>
  <c r="F91" i="1"/>
  <c r="F386" i="1"/>
  <c r="F397" i="1"/>
  <c r="F81" i="1"/>
  <c r="F28" i="1"/>
  <c r="F400" i="1"/>
  <c r="F157" i="1"/>
  <c r="F87" i="1"/>
  <c r="F206" i="1"/>
  <c r="F176" i="1"/>
  <c r="F164" i="1"/>
  <c r="F360" i="1"/>
  <c r="F17" i="1"/>
  <c r="F152" i="1"/>
  <c r="F77" i="1"/>
  <c r="F189" i="1"/>
  <c r="F97" i="1"/>
  <c r="F380" i="1"/>
  <c r="F382" i="1"/>
  <c r="F223" i="1"/>
  <c r="F11" i="1"/>
  <c r="F296" i="1"/>
  <c r="F270" i="1"/>
  <c r="F93" i="1"/>
  <c r="F25" i="1"/>
  <c r="F43" i="1"/>
  <c r="F75" i="1"/>
  <c r="F335" i="1"/>
  <c r="F396" i="1"/>
  <c r="F315" i="1"/>
  <c r="F27" i="1"/>
  <c r="F52" i="1"/>
  <c r="F33" i="1"/>
  <c r="F314" i="1"/>
  <c r="F284" i="1"/>
  <c r="F266" i="1"/>
  <c r="F392" i="1"/>
  <c r="F393" i="1"/>
  <c r="F331" i="1"/>
  <c r="F12" i="1"/>
  <c r="F169" i="1"/>
  <c r="F363" i="1"/>
  <c r="F207" i="1"/>
  <c r="F291" i="1"/>
  <c r="F395" i="1"/>
  <c r="F218" i="1"/>
  <c r="F100" i="1"/>
  <c r="F35" i="1"/>
  <c r="F172" i="1"/>
  <c r="F4" i="1"/>
  <c r="F212" i="1"/>
  <c r="F307" i="1"/>
  <c r="F247" i="1"/>
  <c r="F102" i="1"/>
  <c r="F323" i="1"/>
  <c r="F336" i="1"/>
  <c r="F2" i="1"/>
  <c r="F279" i="1"/>
  <c r="F54" i="1"/>
  <c r="F265" i="1"/>
  <c r="F321" i="1"/>
  <c r="F379" i="1"/>
  <c r="F234" i="1"/>
  <c r="E367" i="1"/>
  <c r="E280" i="1"/>
  <c r="E114" i="1"/>
  <c r="E306" i="1"/>
  <c r="E285" i="1"/>
  <c r="E179" i="1"/>
  <c r="E375" i="1"/>
  <c r="E162" i="1"/>
  <c r="E342" i="1"/>
  <c r="E239" i="1"/>
  <c r="E229" i="1"/>
  <c r="E282" i="1"/>
  <c r="E139" i="1"/>
  <c r="E201" i="1"/>
  <c r="E316" i="1"/>
  <c r="E107" i="1"/>
  <c r="E68" i="1"/>
  <c r="E263" i="1"/>
  <c r="E268" i="1"/>
  <c r="E221" i="1"/>
  <c r="E340" i="1"/>
  <c r="E18" i="1"/>
  <c r="E155" i="1"/>
  <c r="E122" i="1"/>
  <c r="E361" i="1"/>
  <c r="E299" i="1"/>
  <c r="E233" i="1"/>
  <c r="E63" i="1"/>
  <c r="E251" i="1"/>
  <c r="E196" i="1"/>
  <c r="E133" i="1"/>
  <c r="E256" i="1"/>
  <c r="E153" i="1"/>
  <c r="E151" i="1"/>
  <c r="E195" i="1"/>
  <c r="E138" i="1"/>
  <c r="E283" i="1"/>
  <c r="E203" i="1"/>
  <c r="E193" i="1"/>
  <c r="E182" i="1"/>
  <c r="E300" i="1"/>
  <c r="E78" i="1"/>
  <c r="E246" i="1"/>
  <c r="E64" i="1"/>
  <c r="E156" i="1"/>
  <c r="E20" i="1"/>
  <c r="E106" i="1"/>
  <c r="E115" i="1"/>
  <c r="E219" i="1"/>
  <c r="E369" i="1"/>
  <c r="E254" i="1"/>
  <c r="E146" i="1"/>
  <c r="E66" i="1"/>
  <c r="E121" i="1"/>
  <c r="E38" i="1"/>
  <c r="E99" i="1"/>
  <c r="E337" i="1"/>
  <c r="E180" i="1"/>
  <c r="E350" i="1"/>
  <c r="E130" i="1"/>
  <c r="E308" i="1"/>
  <c r="E352" i="1"/>
  <c r="E261" i="1"/>
  <c r="E348" i="1"/>
  <c r="E184" i="1"/>
  <c r="E210" i="1"/>
  <c r="E332" i="1"/>
  <c r="E94" i="1"/>
  <c r="E215" i="1"/>
  <c r="E140" i="1"/>
  <c r="E359" i="1"/>
  <c r="E50" i="1"/>
  <c r="E318" i="1"/>
  <c r="E72" i="1"/>
  <c r="E226" i="1"/>
  <c r="E136" i="1"/>
  <c r="E144" i="1"/>
  <c r="E120" i="1"/>
  <c r="E301" i="1"/>
  <c r="E333" i="1"/>
  <c r="E147" i="1"/>
  <c r="E249" i="1"/>
  <c r="E349" i="1"/>
  <c r="E372" i="1"/>
  <c r="E356" i="1"/>
  <c r="E128" i="1"/>
  <c r="E125" i="1"/>
  <c r="E294" i="1"/>
  <c r="E200" i="1"/>
  <c r="E84" i="1"/>
  <c r="E183" i="1"/>
  <c r="E377" i="1"/>
  <c r="E104" i="1"/>
  <c r="E37" i="1"/>
  <c r="E112" i="1"/>
  <c r="E228" i="1"/>
  <c r="E341" i="1"/>
  <c r="E175" i="1"/>
  <c r="E281" i="1"/>
  <c r="E113" i="1"/>
  <c r="E328" i="1"/>
  <c r="E126" i="1"/>
  <c r="E80" i="1"/>
  <c r="E111" i="1"/>
  <c r="E286" i="1"/>
  <c r="E56" i="1"/>
  <c r="E134" i="1"/>
  <c r="E174" i="1"/>
  <c r="E287" i="1"/>
  <c r="E44" i="1"/>
  <c r="E177" i="1"/>
  <c r="E243" i="1"/>
  <c r="E351" i="1"/>
  <c r="E322" i="1"/>
  <c r="E13" i="1"/>
  <c r="E67" i="1"/>
  <c r="E260" i="1"/>
  <c r="E30" i="1"/>
  <c r="E167" i="1"/>
  <c r="E317" i="1"/>
  <c r="E289" i="1"/>
  <c r="E358" i="1"/>
  <c r="E53" i="1"/>
  <c r="E103" i="1"/>
  <c r="E298" i="1"/>
  <c r="E220" i="1"/>
  <c r="E339" i="1"/>
  <c r="E186" i="1"/>
  <c r="E225" i="1"/>
  <c r="E171" i="1"/>
  <c r="E123" i="1"/>
  <c r="E252" i="1"/>
  <c r="E199" i="1"/>
  <c r="E173" i="1"/>
  <c r="E245" i="1"/>
  <c r="E217" i="1"/>
  <c r="E309" i="1"/>
  <c r="E387" i="1"/>
  <c r="E324" i="1"/>
  <c r="E205" i="1"/>
  <c r="E9" i="1"/>
  <c r="E163" i="1"/>
  <c r="E129" i="1"/>
  <c r="E303" i="1"/>
  <c r="E110" i="1"/>
  <c r="E343" i="1"/>
  <c r="E325" i="1"/>
  <c r="E74" i="1"/>
  <c r="E21" i="1"/>
  <c r="E32" i="1"/>
  <c r="E158" i="1"/>
  <c r="E185" i="1"/>
  <c r="E347" i="1"/>
  <c r="E240" i="1"/>
  <c r="E230" i="1"/>
  <c r="E277" i="1"/>
  <c r="E368" i="1"/>
  <c r="E190" i="1"/>
  <c r="E198" i="1"/>
  <c r="E290" i="1"/>
  <c r="E131" i="1"/>
  <c r="E255" i="1"/>
  <c r="E88" i="1"/>
  <c r="E231" i="1"/>
  <c r="E42" i="1"/>
  <c r="E326" i="1"/>
  <c r="E346" i="1"/>
  <c r="E214" i="1"/>
  <c r="E224" i="1"/>
  <c r="E39" i="1"/>
  <c r="E238" i="1"/>
  <c r="E271" i="1"/>
  <c r="E275" i="1"/>
  <c r="E355" i="1"/>
  <c r="E276" i="1"/>
  <c r="E311" i="1"/>
  <c r="E235" i="1"/>
  <c r="E79" i="1"/>
  <c r="E264" i="1"/>
  <c r="E364" i="1"/>
  <c r="E269" i="1"/>
  <c r="E135" i="1"/>
  <c r="E310" i="1"/>
  <c r="E149" i="1"/>
  <c r="E197" i="1"/>
  <c r="E83" i="1"/>
  <c r="E191" i="1"/>
  <c r="E370" i="1"/>
  <c r="E357" i="1"/>
  <c r="E59" i="1"/>
  <c r="E116" i="1"/>
  <c r="E14" i="1"/>
  <c r="E293" i="1"/>
  <c r="E259" i="1"/>
  <c r="E117" i="1"/>
  <c r="E45" i="1"/>
  <c r="E305" i="1"/>
  <c r="E297" i="1"/>
  <c r="E86" i="1"/>
  <c r="E143" i="1"/>
  <c r="E373" i="1"/>
  <c r="E345" i="1"/>
  <c r="E98" i="1"/>
  <c r="E40" i="1"/>
  <c r="E49" i="1"/>
  <c r="E5" i="1"/>
  <c r="E85" i="1"/>
  <c r="E154" i="1"/>
  <c r="E391" i="1"/>
  <c r="E236" i="1"/>
  <c r="E319" i="1"/>
  <c r="E267" i="1"/>
  <c r="E383" i="1"/>
  <c r="E241" i="1"/>
  <c r="E168" i="1"/>
  <c r="E273" i="1"/>
  <c r="E160" i="1"/>
  <c r="E8" i="1"/>
  <c r="E213" i="1"/>
  <c r="E10" i="1"/>
  <c r="E137" i="1"/>
  <c r="E242" i="1"/>
  <c r="E244" i="1"/>
  <c r="E208" i="1"/>
  <c r="E188" i="1"/>
  <c r="E65" i="1"/>
  <c r="E211" i="1"/>
  <c r="E148" i="1"/>
  <c r="E70" i="1"/>
  <c r="E272" i="1"/>
  <c r="E161" i="1"/>
  <c r="E258" i="1"/>
  <c r="E150" i="1"/>
  <c r="E142" i="1"/>
  <c r="E58" i="1"/>
  <c r="E22" i="1"/>
  <c r="E181" i="1"/>
  <c r="E262" i="1"/>
  <c r="E390" i="1"/>
  <c r="E95" i="1"/>
  <c r="E73" i="1"/>
  <c r="E34" i="1"/>
  <c r="E353" i="1"/>
  <c r="E250" i="1"/>
  <c r="E76" i="1"/>
  <c r="E15" i="1"/>
  <c r="E334" i="1"/>
  <c r="E132" i="1"/>
  <c r="E338" i="1"/>
  <c r="E202" i="1"/>
  <c r="E344" i="1"/>
  <c r="E330" i="1"/>
  <c r="E92" i="1"/>
  <c r="E105" i="1"/>
  <c r="E127" i="1"/>
  <c r="E90" i="1"/>
  <c r="E376" i="1"/>
  <c r="E3" i="1"/>
  <c r="E7" i="1"/>
  <c r="E192" i="1"/>
  <c r="E388" i="1"/>
  <c r="E354" i="1"/>
  <c r="E141" i="1"/>
  <c r="E178" i="1"/>
  <c r="E384" i="1"/>
  <c r="E216" i="1"/>
  <c r="E23" i="1"/>
  <c r="E119" i="1"/>
  <c r="E26" i="1"/>
  <c r="E29" i="1"/>
  <c r="E302" i="1"/>
  <c r="E187" i="1"/>
  <c r="E89" i="1"/>
  <c r="E96" i="1"/>
  <c r="E62" i="1"/>
  <c r="E31" i="1"/>
  <c r="E101" i="1"/>
  <c r="E36" i="1"/>
  <c r="E399" i="1"/>
  <c r="E389" i="1"/>
  <c r="E55" i="1"/>
  <c r="E57" i="1"/>
  <c r="E304" i="1"/>
  <c r="E48" i="1"/>
  <c r="E71" i="1"/>
  <c r="E227" i="1"/>
  <c r="E145" i="1"/>
  <c r="E312" i="1"/>
  <c r="E47" i="1"/>
  <c r="E288" i="1"/>
  <c r="E237" i="1"/>
  <c r="E248" i="1"/>
  <c r="E374" i="1"/>
  <c r="E194" i="1"/>
  <c r="E371" i="1"/>
  <c r="E204" i="1"/>
  <c r="E257" i="1"/>
  <c r="E222" i="1"/>
  <c r="E320" i="1"/>
  <c r="E329" i="1"/>
  <c r="E313" i="1"/>
  <c r="E278" i="1"/>
  <c r="E109" i="1"/>
  <c r="E24" i="1"/>
  <c r="E46" i="1"/>
  <c r="E16" i="1"/>
  <c r="E292" i="1"/>
  <c r="E232" i="1"/>
  <c r="E60" i="1"/>
  <c r="E61" i="1"/>
  <c r="E166" i="1"/>
  <c r="E69" i="1"/>
  <c r="E398" i="1"/>
  <c r="E209" i="1"/>
  <c r="E366" i="1"/>
  <c r="E365" i="1"/>
  <c r="E41" i="1"/>
  <c r="E170" i="1"/>
  <c r="E295" i="1"/>
  <c r="E82" i="1"/>
  <c r="E385" i="1"/>
  <c r="E19" i="1"/>
  <c r="E118" i="1"/>
  <c r="E159" i="1"/>
  <c r="E362" i="1"/>
  <c r="E327" i="1"/>
  <c r="E274" i="1"/>
  <c r="E378" i="1"/>
  <c r="E165" i="1"/>
  <c r="E51" i="1"/>
  <c r="E6" i="1"/>
  <c r="E108" i="1"/>
  <c r="E124" i="1"/>
  <c r="E394" i="1"/>
  <c r="E381" i="1"/>
  <c r="E253" i="1"/>
  <c r="E91" i="1"/>
  <c r="E386" i="1"/>
  <c r="E397" i="1"/>
  <c r="E81" i="1"/>
  <c r="E28" i="1"/>
  <c r="E400" i="1"/>
  <c r="E157" i="1"/>
  <c r="E87" i="1"/>
  <c r="E206" i="1"/>
  <c r="E176" i="1"/>
  <c r="E164" i="1"/>
  <c r="E360" i="1"/>
  <c r="E17" i="1"/>
  <c r="E152" i="1"/>
  <c r="E77" i="1"/>
  <c r="E189" i="1"/>
  <c r="E97" i="1"/>
  <c r="E380" i="1"/>
  <c r="E382" i="1"/>
  <c r="E223" i="1"/>
  <c r="E11" i="1"/>
  <c r="E296" i="1"/>
  <c r="E270" i="1"/>
  <c r="E93" i="1"/>
  <c r="E25" i="1"/>
  <c r="E43" i="1"/>
  <c r="E75" i="1"/>
  <c r="E335" i="1"/>
  <c r="E396" i="1"/>
  <c r="E315" i="1"/>
  <c r="E27" i="1"/>
  <c r="E52" i="1"/>
  <c r="E33" i="1"/>
  <c r="E314" i="1"/>
  <c r="E284" i="1"/>
  <c r="E266" i="1"/>
  <c r="E392" i="1"/>
  <c r="E393" i="1"/>
  <c r="E331" i="1"/>
  <c r="E12" i="1"/>
  <c r="E169" i="1"/>
  <c r="E363" i="1"/>
  <c r="E207" i="1"/>
  <c r="E291" i="1"/>
  <c r="E395" i="1"/>
  <c r="E218" i="1"/>
  <c r="E100" i="1"/>
  <c r="E35" i="1"/>
  <c r="E172" i="1"/>
  <c r="E4" i="1"/>
  <c r="E212" i="1"/>
  <c r="E307" i="1"/>
  <c r="E247" i="1"/>
  <c r="E102" i="1"/>
  <c r="E323" i="1"/>
  <c r="E336" i="1"/>
  <c r="E2" i="1"/>
  <c r="E279" i="1"/>
  <c r="E54" i="1"/>
  <c r="E265" i="1"/>
  <c r="E321" i="1"/>
  <c r="E379" i="1"/>
  <c r="E234" i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2" i="3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3" i="2"/>
  <c r="P4" i="2"/>
  <c r="P5" i="2"/>
  <c r="P6" i="2"/>
  <c r="P2" i="2"/>
  <c r="N402" i="2"/>
  <c r="O402" i="2"/>
  <c r="N403" i="2"/>
  <c r="O403" i="2"/>
  <c r="H234" i="1" l="1"/>
  <c r="H323" i="1"/>
  <c r="H100" i="1"/>
  <c r="H331" i="1"/>
  <c r="H27" i="1"/>
  <c r="H270" i="1"/>
  <c r="H77" i="1"/>
  <c r="H157" i="1"/>
  <c r="S157" i="1" s="1"/>
  <c r="H381" i="1"/>
  <c r="H274" i="1"/>
  <c r="H295" i="1"/>
  <c r="H166" i="1"/>
  <c r="H109" i="1"/>
  <c r="S109" i="1" s="1"/>
  <c r="H371" i="1"/>
  <c r="H145" i="1"/>
  <c r="S145" i="1" s="1"/>
  <c r="H399" i="1"/>
  <c r="H302" i="1"/>
  <c r="H141" i="1"/>
  <c r="H127" i="1"/>
  <c r="H334" i="1"/>
  <c r="H390" i="1"/>
  <c r="H161" i="1"/>
  <c r="S161" i="1" s="1"/>
  <c r="H244" i="1"/>
  <c r="H168" i="1"/>
  <c r="H85" i="1"/>
  <c r="H86" i="1"/>
  <c r="H116" i="1"/>
  <c r="H310" i="1"/>
  <c r="H276" i="1"/>
  <c r="S276" i="1" s="1"/>
  <c r="H346" i="1"/>
  <c r="H198" i="1"/>
  <c r="S198" i="1" s="1"/>
  <c r="H158" i="1"/>
  <c r="S158" i="1" s="1"/>
  <c r="H129" i="1"/>
  <c r="H245" i="1"/>
  <c r="H339" i="1"/>
  <c r="H167" i="1"/>
  <c r="H177" i="1"/>
  <c r="S177" i="1" s="1"/>
  <c r="H80" i="1"/>
  <c r="H112" i="1"/>
  <c r="H125" i="1"/>
  <c r="S125" i="1" s="1"/>
  <c r="H301" i="1"/>
  <c r="H359" i="1"/>
  <c r="H261" i="1"/>
  <c r="H38" i="1"/>
  <c r="H106" i="1"/>
  <c r="H193" i="1"/>
  <c r="S193" i="1" s="1"/>
  <c r="H133" i="1"/>
  <c r="S133" i="1" s="1"/>
  <c r="H155" i="1"/>
  <c r="S155" i="1" s="1"/>
  <c r="H316" i="1"/>
  <c r="H375" i="1"/>
  <c r="H379" i="1"/>
  <c r="H102" i="1"/>
  <c r="H218" i="1"/>
  <c r="S218" i="1" s="1"/>
  <c r="H393" i="1"/>
  <c r="H296" i="1"/>
  <c r="H152" i="1"/>
  <c r="S152" i="1" s="1"/>
  <c r="H400" i="1"/>
  <c r="H394" i="1"/>
  <c r="H61" i="1"/>
  <c r="H278" i="1"/>
  <c r="H194" i="1"/>
  <c r="S194" i="1" s="1"/>
  <c r="H227" i="1"/>
  <c r="H36" i="1"/>
  <c r="H29" i="1"/>
  <c r="H354" i="1"/>
  <c r="H105" i="1"/>
  <c r="H262" i="1"/>
  <c r="H272" i="1"/>
  <c r="H241" i="1"/>
  <c r="H5" i="1"/>
  <c r="S38" i="1" s="1"/>
  <c r="H297" i="1"/>
  <c r="H59" i="1"/>
  <c r="H135" i="1"/>
  <c r="H355" i="1"/>
  <c r="H190" i="1"/>
  <c r="H32" i="1"/>
  <c r="H163" i="1"/>
  <c r="S163" i="1" s="1"/>
  <c r="H173" i="1"/>
  <c r="H220" i="1"/>
  <c r="H30" i="1"/>
  <c r="S30" i="1" s="1"/>
  <c r="H44" i="1"/>
  <c r="H126" i="1"/>
  <c r="H37" i="1"/>
  <c r="H128" i="1"/>
  <c r="H140" i="1"/>
  <c r="H352" i="1"/>
  <c r="H121" i="1"/>
  <c r="H20" i="1"/>
  <c r="S85" i="1" s="1"/>
  <c r="H196" i="1"/>
  <c r="H18" i="1"/>
  <c r="H201" i="1"/>
  <c r="H179" i="1"/>
  <c r="H2" i="1"/>
  <c r="H169" i="1"/>
  <c r="H33" i="1"/>
  <c r="H25" i="1"/>
  <c r="H97" i="1"/>
  <c r="H91" i="1"/>
  <c r="H165" i="1"/>
  <c r="H385" i="1"/>
  <c r="H398" i="1"/>
  <c r="H46" i="1"/>
  <c r="H257" i="1"/>
  <c r="S257" i="1" s="1"/>
  <c r="H47" i="1"/>
  <c r="H55" i="1"/>
  <c r="H89" i="1"/>
  <c r="H384" i="1"/>
  <c r="H376" i="1"/>
  <c r="H338" i="1"/>
  <c r="S318" i="1" s="1"/>
  <c r="H73" i="1"/>
  <c r="H150" i="1"/>
  <c r="S150" i="1" s="1"/>
  <c r="H188" i="1"/>
  <c r="S188" i="1" s="1"/>
  <c r="H160" i="1"/>
  <c r="H391" i="1"/>
  <c r="H373" i="1"/>
  <c r="H293" i="1"/>
  <c r="S293" i="1" s="1"/>
  <c r="H197" i="1"/>
  <c r="S197" i="1" s="1"/>
  <c r="H235" i="1"/>
  <c r="S235" i="1" s="1"/>
  <c r="H224" i="1"/>
  <c r="S224" i="1" s="1"/>
  <c r="H131" i="1"/>
  <c r="H347" i="1"/>
  <c r="H110" i="1"/>
  <c r="S110" i="1" s="1"/>
  <c r="H309" i="1"/>
  <c r="H225" i="1"/>
  <c r="S225" i="1" s="1"/>
  <c r="H289" i="1"/>
  <c r="S289" i="1" s="1"/>
  <c r="H351" i="1"/>
  <c r="H286" i="1"/>
  <c r="S286" i="1" s="1"/>
  <c r="H341" i="1"/>
  <c r="S341" i="1" s="1"/>
  <c r="H200" i="1"/>
  <c r="H147" i="1"/>
  <c r="S147" i="1" s="1"/>
  <c r="H318" i="1"/>
  <c r="H184" i="1"/>
  <c r="S184" i="1" s="1"/>
  <c r="H337" i="1"/>
  <c r="S317" i="1" s="1"/>
  <c r="H219" i="1"/>
  <c r="H300" i="1"/>
  <c r="H153" i="1"/>
  <c r="S153" i="1" s="1"/>
  <c r="H361" i="1"/>
  <c r="H68" i="1"/>
  <c r="H342" i="1"/>
  <c r="H367" i="1"/>
  <c r="H172" i="1"/>
  <c r="S172" i="1" s="1"/>
  <c r="H206" i="1"/>
  <c r="H336" i="1"/>
  <c r="H35" i="1"/>
  <c r="H12" i="1"/>
  <c r="H52" i="1"/>
  <c r="H93" i="1"/>
  <c r="H189" i="1"/>
  <c r="S189" i="1" s="1"/>
  <c r="H87" i="1"/>
  <c r="H253" i="1"/>
  <c r="H378" i="1"/>
  <c r="H82" i="1"/>
  <c r="H69" i="1"/>
  <c r="H24" i="1"/>
  <c r="H204" i="1"/>
  <c r="H312" i="1"/>
  <c r="H389" i="1"/>
  <c r="H187" i="1"/>
  <c r="S187" i="1" s="1"/>
  <c r="H178" i="1"/>
  <c r="S178" i="1" s="1"/>
  <c r="H90" i="1"/>
  <c r="H132" i="1"/>
  <c r="H95" i="1"/>
  <c r="H258" i="1"/>
  <c r="H208" i="1"/>
  <c r="S208" i="1" s="1"/>
  <c r="H273" i="1"/>
  <c r="S273" i="1" s="1"/>
  <c r="H154" i="1"/>
  <c r="H143" i="1"/>
  <c r="H14" i="1"/>
  <c r="S68" i="1" s="1"/>
  <c r="H149" i="1"/>
  <c r="H311" i="1"/>
  <c r="H214" i="1"/>
  <c r="H290" i="1"/>
  <c r="S290" i="1" s="1"/>
  <c r="H185" i="1"/>
  <c r="S185" i="1" s="1"/>
  <c r="H303" i="1"/>
  <c r="H217" i="1"/>
  <c r="S217" i="1" s="1"/>
  <c r="H186" i="1"/>
  <c r="S186" i="1" s="1"/>
  <c r="H317" i="1"/>
  <c r="H243" i="1"/>
  <c r="H111" i="1"/>
  <c r="H228" i="1"/>
  <c r="H294" i="1"/>
  <c r="H333" i="1"/>
  <c r="H50" i="1"/>
  <c r="H348" i="1"/>
  <c r="H99" i="1"/>
  <c r="H115" i="1"/>
  <c r="S115" i="1" s="1"/>
  <c r="H182" i="1"/>
  <c r="H256" i="1"/>
  <c r="S256" i="1" s="1"/>
  <c r="H122" i="1"/>
  <c r="H107" i="1"/>
  <c r="S107" i="1" s="1"/>
  <c r="H162" i="1"/>
  <c r="H75" i="1"/>
  <c r="H62" i="1"/>
  <c r="H58" i="1"/>
  <c r="S57" i="1" s="1"/>
  <c r="H88" i="1"/>
  <c r="H53" i="1"/>
  <c r="H332" i="1"/>
  <c r="H54" i="1"/>
  <c r="S52" i="1" s="1"/>
  <c r="H43" i="1"/>
  <c r="S37" i="1" s="1"/>
  <c r="H51" i="1"/>
  <c r="H57" i="1"/>
  <c r="H34" i="1"/>
  <c r="H65" i="1"/>
  <c r="H83" i="1"/>
  <c r="H79" i="1"/>
  <c r="H39" i="1"/>
  <c r="S32" i="1" s="1"/>
  <c r="H56" i="1"/>
  <c r="S54" i="1" s="1"/>
  <c r="H84" i="1"/>
  <c r="H72" i="1"/>
  <c r="H78" i="1"/>
  <c r="S89" i="1" s="1"/>
  <c r="H41" i="1"/>
  <c r="H60" i="1"/>
  <c r="S61" i="1" s="1"/>
  <c r="H71" i="1"/>
  <c r="S80" i="1" s="1"/>
  <c r="H92" i="1"/>
  <c r="H76" i="1"/>
  <c r="S86" i="1" s="1"/>
  <c r="H70" i="1"/>
  <c r="S70" i="1" s="1"/>
  <c r="H49" i="1"/>
  <c r="H42" i="1"/>
  <c r="H66" i="1"/>
  <c r="H81" i="1"/>
  <c r="H48" i="1"/>
  <c r="H40" i="1"/>
  <c r="H45" i="1"/>
  <c r="S40" i="1" s="1"/>
  <c r="H74" i="1"/>
  <c r="H67" i="1"/>
  <c r="H64" i="1"/>
  <c r="S66" i="1" s="1"/>
  <c r="H63" i="1"/>
  <c r="H321" i="1"/>
  <c r="H247" i="1"/>
  <c r="S247" i="1" s="1"/>
  <c r="H395" i="1"/>
  <c r="H392" i="1"/>
  <c r="H396" i="1"/>
  <c r="S391" i="1" s="1"/>
  <c r="H11" i="1"/>
  <c r="H17" i="1"/>
  <c r="H28" i="1"/>
  <c r="S379" i="1" s="1"/>
  <c r="H124" i="1"/>
  <c r="H362" i="1"/>
  <c r="H313" i="1"/>
  <c r="H374" i="1"/>
  <c r="H101" i="1"/>
  <c r="H181" i="1"/>
  <c r="H383" i="1"/>
  <c r="H357" i="1"/>
  <c r="H269" i="1"/>
  <c r="S269" i="1" s="1"/>
  <c r="H275" i="1"/>
  <c r="H368" i="1"/>
  <c r="S352" i="1" s="1"/>
  <c r="H21" i="1"/>
  <c r="H9" i="1"/>
  <c r="S55" i="1" s="1"/>
  <c r="H199" i="1"/>
  <c r="S199" i="1" s="1"/>
  <c r="H298" i="1"/>
  <c r="H328" i="1"/>
  <c r="H104" i="1"/>
  <c r="S104" i="1" s="1"/>
  <c r="H356" i="1"/>
  <c r="H144" i="1"/>
  <c r="H215" i="1"/>
  <c r="H308" i="1"/>
  <c r="S308" i="1" s="1"/>
  <c r="H156" i="1"/>
  <c r="H251" i="1"/>
  <c r="H340" i="1"/>
  <c r="H139" i="1"/>
  <c r="S139" i="1" s="1"/>
  <c r="H285" i="1"/>
  <c r="H265" i="1"/>
  <c r="S265" i="1" s="1"/>
  <c r="H307" i="1"/>
  <c r="S390" i="1" s="1"/>
  <c r="H291" i="1"/>
  <c r="H266" i="1"/>
  <c r="H335" i="1"/>
  <c r="H223" i="1"/>
  <c r="H360" i="1"/>
  <c r="H108" i="1"/>
  <c r="S108" i="1" s="1"/>
  <c r="H159" i="1"/>
  <c r="H365" i="1"/>
  <c r="H232" i="1"/>
  <c r="S232" i="1" s="1"/>
  <c r="H329" i="1"/>
  <c r="H248" i="1"/>
  <c r="S248" i="1" s="1"/>
  <c r="H31" i="1"/>
  <c r="H119" i="1"/>
  <c r="S119" i="1" s="1"/>
  <c r="H192" i="1"/>
  <c r="S192" i="1" s="1"/>
  <c r="H330" i="1"/>
  <c r="S310" i="1" s="1"/>
  <c r="H250" i="1"/>
  <c r="H22" i="1"/>
  <c r="S91" i="1" s="1"/>
  <c r="H148" i="1"/>
  <c r="H10" i="1"/>
  <c r="H267" i="1"/>
  <c r="H370" i="1"/>
  <c r="H364" i="1"/>
  <c r="S346" i="1" s="1"/>
  <c r="H271" i="1"/>
  <c r="H231" i="1"/>
  <c r="S196" i="1" s="1"/>
  <c r="H277" i="1"/>
  <c r="S277" i="1" s="1"/>
  <c r="H205" i="1"/>
  <c r="H252" i="1"/>
  <c r="S252" i="1" s="1"/>
  <c r="H103" i="1"/>
  <c r="H174" i="1"/>
  <c r="S174" i="1" s="1"/>
  <c r="H113" i="1"/>
  <c r="S113" i="1" s="1"/>
  <c r="H377" i="1"/>
  <c r="H372" i="1"/>
  <c r="H136" i="1"/>
  <c r="H94" i="1"/>
  <c r="S94" i="1" s="1"/>
  <c r="H130" i="1"/>
  <c r="S130" i="1" s="1"/>
  <c r="H146" i="1"/>
  <c r="H138" i="1"/>
  <c r="H221" i="1"/>
  <c r="S221" i="1" s="1"/>
  <c r="H282" i="1"/>
  <c r="S102" i="1" s="1"/>
  <c r="H306" i="1"/>
  <c r="H212" i="1"/>
  <c r="H207" i="1"/>
  <c r="S207" i="1" s="1"/>
  <c r="H284" i="1"/>
  <c r="H382" i="1"/>
  <c r="H164" i="1"/>
  <c r="S164" i="1" s="1"/>
  <c r="H397" i="1"/>
  <c r="H6" i="1"/>
  <c r="H118" i="1"/>
  <c r="S118" i="1" s="1"/>
  <c r="H366" i="1"/>
  <c r="H292" i="1"/>
  <c r="H320" i="1"/>
  <c r="H237" i="1"/>
  <c r="S237" i="1" s="1"/>
  <c r="H304" i="1"/>
  <c r="H23" i="1"/>
  <c r="H7" i="1"/>
  <c r="S44" i="1" s="1"/>
  <c r="H344" i="1"/>
  <c r="H353" i="1"/>
  <c r="S334" i="1" s="1"/>
  <c r="S62" i="1"/>
  <c r="H211" i="1"/>
  <c r="H213" i="1"/>
  <c r="S213" i="1" s="1"/>
  <c r="H319" i="1"/>
  <c r="H98" i="1"/>
  <c r="S214" i="1" s="1"/>
  <c r="H117" i="1"/>
  <c r="S117" i="1" s="1"/>
  <c r="H191" i="1"/>
  <c r="S191" i="1" s="1"/>
  <c r="H264" i="1"/>
  <c r="S264" i="1" s="1"/>
  <c r="H238" i="1"/>
  <c r="S238" i="1" s="1"/>
  <c r="H230" i="1"/>
  <c r="H325" i="1"/>
  <c r="H324" i="1"/>
  <c r="H123" i="1"/>
  <c r="S123" i="1" s="1"/>
  <c r="H13" i="1"/>
  <c r="H134" i="1"/>
  <c r="S134" i="1" s="1"/>
  <c r="H281" i="1"/>
  <c r="S281" i="1" s="1"/>
  <c r="H183" i="1"/>
  <c r="S183" i="1" s="1"/>
  <c r="H349" i="1"/>
  <c r="H226" i="1"/>
  <c r="S226" i="1" s="1"/>
  <c r="H350" i="1"/>
  <c r="H254" i="1"/>
  <c r="H246" i="1"/>
  <c r="H195" i="1"/>
  <c r="H233" i="1"/>
  <c r="S233" i="1" s="1"/>
  <c r="H268" i="1"/>
  <c r="H229" i="1"/>
  <c r="H114" i="1"/>
  <c r="S114" i="1" s="1"/>
  <c r="H279" i="1"/>
  <c r="H4" i="1"/>
  <c r="H363" i="1"/>
  <c r="H314" i="1"/>
  <c r="S392" i="1" s="1"/>
  <c r="H380" i="1"/>
  <c r="H176" i="1"/>
  <c r="S176" i="1" s="1"/>
  <c r="H386" i="1"/>
  <c r="H19" i="1"/>
  <c r="H209" i="1"/>
  <c r="H16" i="1"/>
  <c r="S72" i="1" s="1"/>
  <c r="H222" i="1"/>
  <c r="S222" i="1" s="1"/>
  <c r="H288" i="1"/>
  <c r="S288" i="1" s="1"/>
  <c r="H96" i="1"/>
  <c r="H216" i="1"/>
  <c r="H3" i="1"/>
  <c r="H202" i="1"/>
  <c r="H142" i="1"/>
  <c r="S142" i="1" s="1"/>
  <c r="S69" i="1"/>
  <c r="H8" i="1"/>
  <c r="H236" i="1"/>
  <c r="S236" i="1" s="1"/>
  <c r="H345" i="1"/>
  <c r="H259" i="1"/>
  <c r="S259" i="1" s="1"/>
  <c r="H255" i="1"/>
  <c r="H240" i="1"/>
  <c r="S240" i="1" s="1"/>
  <c r="H343" i="1"/>
  <c r="H387" i="1"/>
  <c r="H171" i="1"/>
  <c r="S171" i="1" s="1"/>
  <c r="H358" i="1"/>
  <c r="S340" i="1" s="1"/>
  <c r="H322" i="1"/>
  <c r="H175" i="1"/>
  <c r="S175" i="1" s="1"/>
  <c r="H249" i="1"/>
  <c r="S249" i="1" s="1"/>
  <c r="H210" i="1"/>
  <c r="S135" i="1" s="1"/>
  <c r="H180" i="1"/>
  <c r="S165" i="1" s="1"/>
  <c r="H369" i="1"/>
  <c r="H151" i="1"/>
  <c r="H299" i="1"/>
  <c r="H263" i="1"/>
  <c r="S263" i="1" s="1"/>
  <c r="H239" i="1"/>
  <c r="S239" i="1" s="1"/>
  <c r="H280" i="1"/>
  <c r="S280" i="1" s="1"/>
  <c r="H315" i="1"/>
  <c r="H327" i="1"/>
  <c r="S327" i="1" s="1"/>
  <c r="H170" i="1"/>
  <c r="H15" i="1"/>
  <c r="H242" i="1"/>
  <c r="H326" i="1"/>
  <c r="H120" i="1"/>
  <c r="H203" i="1"/>
  <c r="S203" i="1" s="1"/>
  <c r="H26" i="1"/>
  <c r="H388" i="1"/>
  <c r="H137" i="1"/>
  <c r="S137" i="1" s="1"/>
  <c r="H305" i="1"/>
  <c r="H260" i="1"/>
  <c r="H287" i="1"/>
  <c r="S287" i="1" s="1"/>
  <c r="H283" i="1"/>
  <c r="S274" i="1"/>
  <c r="S245" i="1"/>
  <c r="S126" i="1"/>
  <c r="S100" i="1"/>
  <c r="S295" i="1"/>
  <c r="S272" i="1"/>
  <c r="S179" i="1"/>
  <c r="S148" i="1"/>
  <c r="S267" i="1"/>
  <c r="S229" i="1"/>
  <c r="S73" i="1"/>
  <c r="S223" i="1"/>
  <c r="S337" i="1"/>
  <c r="S154" i="1"/>
  <c r="S315" i="1"/>
  <c r="S34" i="1"/>
  <c r="S258" i="1"/>
  <c r="S65" i="1"/>
  <c r="S336" i="1"/>
  <c r="S39" i="1"/>
  <c r="S160" i="1"/>
  <c r="S127" i="1"/>
  <c r="S394" i="1"/>
  <c r="S278" i="1"/>
  <c r="S266" i="1"/>
  <c r="S261" i="1"/>
  <c r="S262" i="1"/>
  <c r="S255" i="1"/>
  <c r="S211" i="1"/>
  <c r="S190" i="1"/>
  <c r="S180" i="1"/>
  <c r="S311" i="1"/>
  <c r="S99" i="1"/>
  <c r="S373" i="1"/>
  <c r="S234" i="1"/>
  <c r="S31" i="1"/>
  <c r="S377" i="1"/>
  <c r="S343" i="1"/>
  <c r="S169" i="1"/>
  <c r="S132" i="1"/>
  <c r="S116" i="1"/>
  <c r="S28" i="1"/>
  <c r="S182" i="1"/>
  <c r="S292" i="1"/>
  <c r="S271" i="1"/>
  <c r="S205" i="1"/>
  <c r="S201" i="1"/>
  <c r="S204" i="1"/>
  <c r="S53" i="1"/>
  <c r="S13" i="1"/>
  <c r="S129" i="1"/>
  <c r="S60" i="1"/>
  <c r="S400" i="1"/>
  <c r="S369" i="1"/>
  <c r="S149" i="1"/>
  <c r="S103" i="1"/>
  <c r="M13" i="3"/>
  <c r="M159" i="3"/>
  <c r="M89" i="3"/>
  <c r="M161" i="3"/>
  <c r="M56" i="3"/>
  <c r="M143" i="3"/>
  <c r="M94" i="3"/>
  <c r="M129" i="3"/>
  <c r="M241" i="3"/>
  <c r="M208" i="3"/>
  <c r="M226" i="3"/>
  <c r="M264" i="3"/>
  <c r="M303" i="3"/>
  <c r="M185" i="3"/>
  <c r="M116" i="3"/>
  <c r="M58" i="3"/>
  <c r="M96" i="3"/>
  <c r="M91" i="3"/>
  <c r="M141" i="3"/>
  <c r="M40" i="3"/>
  <c r="M17" i="3"/>
  <c r="M23" i="3"/>
  <c r="M84" i="3"/>
  <c r="M50" i="3"/>
  <c r="M280" i="3"/>
  <c r="M283" i="3"/>
  <c r="M351" i="3"/>
  <c r="M202" i="3"/>
  <c r="M327" i="3"/>
  <c r="M367" i="3"/>
  <c r="M274" i="3"/>
  <c r="M401" i="3"/>
  <c r="M402" i="3"/>
  <c r="M5" i="3"/>
  <c r="M8" i="3"/>
  <c r="M12" i="3"/>
  <c r="M14" i="3"/>
  <c r="M26" i="3"/>
  <c r="M34" i="3"/>
  <c r="M41" i="3"/>
  <c r="M49" i="3"/>
  <c r="M73" i="3"/>
  <c r="M74" i="3"/>
  <c r="M86" i="3"/>
  <c r="M87" i="3"/>
  <c r="M95" i="3"/>
  <c r="M98" i="3"/>
  <c r="M100" i="3"/>
  <c r="M103" i="3"/>
  <c r="M106" i="3"/>
  <c r="M107" i="3"/>
  <c r="M111" i="3"/>
  <c r="M119" i="3"/>
  <c r="M127" i="3"/>
  <c r="M135" i="3"/>
  <c r="M144" i="3"/>
  <c r="M149" i="3"/>
  <c r="M150" i="3"/>
  <c r="M163" i="3"/>
  <c r="M165" i="3"/>
  <c r="M166" i="3"/>
  <c r="M175" i="3"/>
  <c r="M177" i="3"/>
  <c r="M178" i="3"/>
  <c r="M193" i="3"/>
  <c r="M196" i="3"/>
  <c r="M219" i="3"/>
  <c r="M223" i="3"/>
  <c r="M234" i="3"/>
  <c r="M236" i="3"/>
  <c r="M239" i="3"/>
  <c r="M240" i="3"/>
  <c r="M244" i="3"/>
  <c r="M249" i="3"/>
  <c r="M250" i="3"/>
  <c r="M256" i="3"/>
  <c r="M259" i="3"/>
  <c r="M262" i="3"/>
  <c r="M263" i="3"/>
  <c r="M265" i="3"/>
  <c r="M277" i="3"/>
  <c r="M279" i="3"/>
  <c r="M286" i="3"/>
  <c r="M290" i="3"/>
  <c r="M295" i="3"/>
  <c r="M297" i="3"/>
  <c r="M299" i="3"/>
  <c r="M310" i="3"/>
  <c r="M322" i="3"/>
  <c r="M323" i="3"/>
  <c r="M324" i="3"/>
  <c r="M328" i="3"/>
  <c r="M333" i="3"/>
  <c r="M340" i="3"/>
  <c r="M342" i="3"/>
  <c r="M343" i="3"/>
  <c r="M344" i="3"/>
  <c r="M345" i="3"/>
  <c r="M358" i="3"/>
  <c r="M360" i="3"/>
  <c r="M362" i="3"/>
  <c r="M363" i="3"/>
  <c r="M368" i="3"/>
  <c r="M389" i="3"/>
  <c r="M394" i="3"/>
  <c r="M402" i="4"/>
  <c r="N402" i="4"/>
  <c r="O402" i="4"/>
  <c r="M403" i="4"/>
  <c r="N403" i="4"/>
  <c r="O403" i="4"/>
  <c r="S71" i="1" l="1"/>
  <c r="S20" i="1"/>
  <c r="S51" i="1"/>
  <c r="S43" i="1"/>
  <c r="S33" i="1"/>
  <c r="S41" i="1"/>
  <c r="S47" i="1"/>
  <c r="S45" i="1"/>
  <c r="S50" i="1"/>
  <c r="S75" i="1"/>
  <c r="S76" i="1"/>
  <c r="S35" i="1"/>
  <c r="S77" i="1"/>
  <c r="S9" i="1"/>
  <c r="S353" i="1"/>
  <c r="S83" i="1"/>
  <c r="S79" i="1"/>
  <c r="S48" i="1"/>
  <c r="S84" i="1"/>
  <c r="S42" i="1"/>
  <c r="S397" i="1"/>
  <c r="S58" i="1"/>
  <c r="S395" i="1"/>
  <c r="S324" i="1"/>
  <c r="S87" i="1"/>
  <c r="S25" i="1"/>
  <c r="S29" i="1"/>
  <c r="S88" i="1"/>
  <c r="S388" i="1"/>
  <c r="S82" i="1"/>
  <c r="S92" i="1"/>
  <c r="S357" i="1"/>
  <c r="S370" i="1"/>
  <c r="S362" i="1"/>
  <c r="S376" i="1"/>
  <c r="S305" i="1"/>
  <c r="S74" i="1"/>
  <c r="S351" i="1"/>
  <c r="S49" i="1"/>
  <c r="S46" i="1"/>
  <c r="S81" i="1"/>
  <c r="S56" i="1"/>
  <c r="S64" i="1"/>
  <c r="S78" i="1"/>
  <c r="S63" i="1"/>
  <c r="S378" i="1"/>
  <c r="S381" i="1"/>
  <c r="S302" i="1"/>
  <c r="S349" i="1"/>
  <c r="S242" i="1"/>
  <c r="S17" i="1"/>
  <c r="S121" i="1"/>
  <c r="S253" i="1"/>
  <c r="S342" i="1"/>
  <c r="S309" i="1"/>
  <c r="S124" i="1"/>
  <c r="S138" i="1"/>
  <c r="S228" i="1"/>
  <c r="S220" i="1"/>
  <c r="S282" i="1"/>
  <c r="S250" i="1"/>
  <c r="S215" i="1"/>
  <c r="S367" i="1"/>
  <c r="S202" i="1"/>
  <c r="S105" i="1"/>
  <c r="S146" i="1"/>
  <c r="S294" i="1"/>
  <c r="S279" i="1"/>
  <c r="S131" i="1"/>
  <c r="S241" i="1"/>
  <c r="S275" i="1"/>
  <c r="S296" i="1"/>
  <c r="S167" i="1"/>
  <c r="S210" i="1"/>
  <c r="S231" i="1"/>
  <c r="S97" i="1"/>
  <c r="S151" i="1"/>
  <c r="S101" i="1"/>
  <c r="S156" i="1"/>
  <c r="S230" i="1"/>
  <c r="S143" i="1"/>
  <c r="S112" i="1"/>
  <c r="S283" i="1"/>
  <c r="S200" i="1"/>
  <c r="S285" i="1"/>
  <c r="S173" i="1"/>
  <c r="S284" i="1"/>
  <c r="S219" i="1"/>
  <c r="S254" i="1"/>
  <c r="S251" i="1"/>
  <c r="S297" i="1"/>
  <c r="S270" i="1"/>
  <c r="S168" i="1"/>
  <c r="S206" i="1"/>
  <c r="S195" i="1"/>
  <c r="S106" i="1"/>
  <c r="S111" i="1"/>
  <c r="S170" i="1"/>
  <c r="S209" i="1"/>
  <c r="S291" i="1"/>
  <c r="S144" i="1"/>
  <c r="S128" i="1"/>
  <c r="S122" i="1"/>
  <c r="S96" i="1"/>
  <c r="S140" i="1"/>
  <c r="S162" i="1"/>
  <c r="S243" i="1"/>
  <c r="S136" i="1"/>
  <c r="S227" i="1"/>
  <c r="S98" i="1"/>
  <c r="S181" i="1"/>
  <c r="S212" i="1"/>
  <c r="S244" i="1"/>
  <c r="S298" i="1"/>
  <c r="S260" i="1"/>
  <c r="S95" i="1"/>
  <c r="S159" i="1"/>
  <c r="S216" i="1"/>
  <c r="S166" i="1"/>
  <c r="S141" i="1"/>
  <c r="S120" i="1"/>
  <c r="S268" i="1"/>
  <c r="S246" i="1"/>
  <c r="S36" i="1"/>
  <c r="S90" i="1"/>
  <c r="S67" i="1"/>
  <c r="S59" i="1"/>
  <c r="S93" i="1"/>
  <c r="S333" i="1"/>
  <c r="S363" i="1"/>
  <c r="S300" i="1"/>
  <c r="S326" i="1"/>
  <c r="S328" i="1"/>
  <c r="S325" i="1"/>
  <c r="S382" i="1"/>
  <c r="S323" i="1"/>
  <c r="S21" i="1"/>
  <c r="S312" i="1"/>
  <c r="S365" i="1"/>
  <c r="S301" i="1"/>
  <c r="S329" i="1"/>
  <c r="S11" i="1"/>
  <c r="S19" i="1"/>
  <c r="S358" i="1"/>
  <c r="S321" i="1"/>
  <c r="S332" i="1"/>
  <c r="S384" i="1"/>
  <c r="S320" i="1"/>
  <c r="S339" i="1"/>
  <c r="S345" i="1"/>
  <c r="S348" i="1"/>
  <c r="S380" i="1"/>
  <c r="S350" i="1"/>
  <c r="S359" i="1"/>
  <c r="S368" i="1"/>
  <c r="S338" i="1"/>
  <c r="S386" i="1"/>
  <c r="S366" i="1"/>
  <c r="S306" i="1"/>
  <c r="S8" i="1"/>
  <c r="S360" i="1"/>
  <c r="S355" i="1"/>
  <c r="S299" i="1"/>
  <c r="S385" i="1"/>
  <c r="S314" i="1"/>
  <c r="S335" i="1"/>
  <c r="S344" i="1"/>
  <c r="S304" i="1"/>
  <c r="S319" i="1"/>
  <c r="S371" i="1"/>
  <c r="S356" i="1"/>
  <c r="S313" i="1"/>
  <c r="S354" i="1"/>
  <c r="S10" i="1"/>
  <c r="S389" i="1"/>
  <c r="S361" i="1"/>
  <c r="S307" i="1"/>
  <c r="S347" i="1"/>
  <c r="S387" i="1"/>
  <c r="S322" i="1"/>
  <c r="S303" i="1"/>
  <c r="S398" i="1"/>
  <c r="S330" i="1"/>
  <c r="S375" i="1"/>
  <c r="S374" i="1"/>
  <c r="S5" i="1"/>
  <c r="S383" i="1"/>
  <c r="S396" i="1"/>
  <c r="S316" i="1"/>
  <c r="S393" i="1"/>
  <c r="S331" i="1"/>
  <c r="S372" i="1"/>
  <c r="S364" i="1"/>
  <c r="S399" i="1"/>
  <c r="S18" i="1"/>
  <c r="S3" i="1"/>
  <c r="S4" i="1"/>
  <c r="S26" i="1"/>
  <c r="S15" i="1"/>
  <c r="S2" i="1"/>
  <c r="S27" i="1"/>
  <c r="S24" i="1"/>
  <c r="S12" i="1"/>
  <c r="S7" i="1"/>
  <c r="S16" i="1"/>
  <c r="S14" i="1"/>
  <c r="S23" i="1"/>
  <c r="S6" i="1"/>
  <c r="S22" i="1"/>
  <c r="M179" i="3"/>
  <c r="M31" i="3"/>
  <c r="M79" i="3"/>
  <c r="M186" i="3"/>
  <c r="M293" i="3"/>
  <c r="M19" i="3"/>
  <c r="M53" i="3"/>
  <c r="M313" i="3"/>
  <c r="M209" i="3"/>
  <c r="M45" i="3"/>
  <c r="M136" i="3"/>
  <c r="M170" i="3"/>
  <c r="M335" i="3"/>
  <c r="M134" i="3"/>
  <c r="M361" i="3"/>
  <c r="M273" i="3"/>
  <c r="M353" i="3"/>
  <c r="M9" i="3"/>
  <c r="M7" i="3"/>
  <c r="M153" i="3"/>
  <c r="M231" i="3"/>
  <c r="M270" i="3"/>
  <c r="M77" i="3"/>
  <c r="M44" i="3"/>
  <c r="M168" i="3"/>
  <c r="M230" i="3"/>
  <c r="M169" i="3"/>
  <c r="M298" i="3"/>
  <c r="M93" i="3"/>
  <c r="M206" i="3"/>
  <c r="M243" i="3"/>
  <c r="M261" i="3"/>
  <c r="M6" i="3"/>
  <c r="M266" i="3"/>
  <c r="M319" i="3"/>
  <c r="M339" i="3"/>
  <c r="M33" i="3"/>
  <c r="M214" i="3"/>
  <c r="M205" i="3"/>
  <c r="M227" i="3"/>
  <c r="M380" i="3"/>
  <c r="M307" i="3"/>
  <c r="M383" i="3"/>
  <c r="M192" i="3"/>
  <c r="M251" i="3"/>
  <c r="M284" i="3"/>
  <c r="M133" i="3"/>
  <c r="M203" i="3"/>
  <c r="M300" i="3"/>
  <c r="M355" i="3"/>
  <c r="M302" i="3"/>
  <c r="M312" i="3"/>
  <c r="M191" i="3"/>
  <c r="M384" i="3"/>
  <c r="M309" i="3"/>
  <c r="M375" i="3"/>
  <c r="M254" i="3"/>
  <c r="M376" i="3"/>
  <c r="M63" i="3"/>
  <c r="M39" i="3"/>
  <c r="M104" i="3"/>
  <c r="M15" i="3"/>
  <c r="M21" i="3"/>
  <c r="M128" i="3"/>
  <c r="M198" i="3"/>
  <c r="M216" i="3"/>
  <c r="M102" i="3"/>
  <c r="M132" i="3"/>
  <c r="M348" i="3"/>
  <c r="M349" i="3"/>
  <c r="M400" i="3"/>
  <c r="M105" i="3"/>
  <c r="M70" i="3"/>
  <c r="M228" i="3"/>
  <c r="M332" i="3"/>
  <c r="M221" i="3"/>
  <c r="M28" i="3"/>
  <c r="M126" i="3"/>
  <c r="M200" i="3"/>
  <c r="M306" i="3"/>
  <c r="M10" i="3"/>
  <c r="M4" i="3"/>
  <c r="M238" i="3"/>
  <c r="M374" i="3"/>
  <c r="M88" i="3"/>
  <c r="M233" i="3"/>
  <c r="M120" i="3"/>
  <c r="M390" i="3"/>
  <c r="M124" i="3"/>
  <c r="M304" i="3"/>
  <c r="M308" i="3"/>
  <c r="M398" i="3"/>
  <c r="M197" i="3"/>
  <c r="M359" i="3"/>
  <c r="M237" i="3"/>
  <c r="M37" i="3"/>
  <c r="M232" i="3"/>
  <c r="M176" i="3"/>
  <c r="M222" i="3"/>
  <c r="M69" i="3"/>
  <c r="M137" i="3"/>
  <c r="M16" i="3"/>
  <c r="M184" i="3"/>
  <c r="M281" i="3"/>
  <c r="M212" i="3"/>
  <c r="M330" i="3"/>
  <c r="M272" i="3"/>
  <c r="M64" i="3"/>
  <c r="M258" i="3"/>
  <c r="M108" i="3"/>
  <c r="M371" i="3"/>
  <c r="M260" i="3"/>
  <c r="M248" i="3"/>
  <c r="M207" i="3"/>
  <c r="M183" i="3"/>
  <c r="M76" i="3"/>
  <c r="M55" i="3"/>
  <c r="M352" i="3"/>
  <c r="M350" i="3"/>
  <c r="M379" i="3"/>
  <c r="M142" i="3"/>
  <c r="M369" i="3"/>
  <c r="M392" i="3"/>
  <c r="M215" i="3"/>
  <c r="M171" i="3"/>
  <c r="M199" i="3"/>
  <c r="M399" i="3"/>
  <c r="M275" i="3"/>
  <c r="M346" i="3"/>
  <c r="M201" i="3"/>
  <c r="M287" i="3"/>
  <c r="M245" i="3"/>
  <c r="M301" i="3"/>
  <c r="M320" i="3"/>
  <c r="M80" i="3"/>
  <c r="M36" i="3"/>
  <c r="M90" i="3"/>
  <c r="M62" i="3"/>
  <c r="M109" i="3"/>
  <c r="M82" i="3"/>
  <c r="M156" i="3"/>
  <c r="M289" i="3"/>
  <c r="M288" i="3"/>
  <c r="M32" i="3"/>
  <c r="M172" i="3"/>
  <c r="M22" i="3"/>
  <c r="M121" i="3"/>
  <c r="M174" i="3"/>
  <c r="M318" i="3"/>
  <c r="M204" i="3"/>
  <c r="M101" i="3"/>
  <c r="M130" i="3"/>
  <c r="M210" i="3"/>
  <c r="M125" i="3"/>
  <c r="M43" i="3"/>
  <c r="M373" i="3"/>
  <c r="M30" i="3"/>
  <c r="M151" i="3"/>
  <c r="M167" i="3"/>
  <c r="M194" i="3"/>
  <c r="M154" i="3"/>
  <c r="M68" i="3"/>
  <c r="M138" i="3"/>
  <c r="M334" i="3"/>
  <c r="M97" i="3"/>
  <c r="M11" i="3"/>
  <c r="M3" i="3"/>
  <c r="M354" i="3"/>
  <c r="M364" i="3"/>
  <c r="M291" i="3"/>
  <c r="M27" i="3"/>
  <c r="M29" i="3"/>
  <c r="M155" i="3"/>
  <c r="M146" i="3"/>
  <c r="M385" i="3"/>
  <c r="M189" i="3"/>
  <c r="M180" i="3"/>
  <c r="M81" i="3"/>
  <c r="M347" i="3"/>
  <c r="M115" i="3"/>
  <c r="M145" i="3"/>
  <c r="M75" i="3"/>
  <c r="M54" i="3"/>
  <c r="M217" i="3"/>
  <c r="M325" i="3"/>
  <c r="M315" i="3"/>
  <c r="M276" i="3"/>
  <c r="M257" i="3"/>
  <c r="M387" i="3"/>
  <c r="M316" i="3"/>
  <c r="M147" i="3"/>
  <c r="M292" i="3"/>
  <c r="M268" i="3"/>
  <c r="M61" i="3"/>
  <c r="M195" i="3"/>
  <c r="M357" i="3"/>
  <c r="M246" i="3"/>
  <c r="M35" i="3"/>
  <c r="M158" i="3"/>
  <c r="M220" i="3"/>
  <c r="M296" i="3"/>
  <c r="M99" i="3"/>
  <c r="M255" i="3"/>
  <c r="M72" i="3"/>
  <c r="M381" i="3"/>
  <c r="M152" i="3"/>
  <c r="M213" i="3"/>
  <c r="M247" i="3"/>
  <c r="M370" i="3"/>
  <c r="M139" i="3"/>
  <c r="M338" i="3"/>
  <c r="M114" i="3"/>
  <c r="M294" i="3"/>
  <c r="M317" i="3"/>
  <c r="M188" i="3"/>
  <c r="M377" i="3"/>
  <c r="M341" i="3"/>
  <c r="M224" i="3"/>
  <c r="M382" i="3"/>
  <c r="M271" i="3"/>
  <c r="M337" i="3"/>
  <c r="M85" i="3"/>
  <c r="M117" i="3"/>
  <c r="M59" i="3"/>
  <c r="M46" i="3"/>
  <c r="M71" i="3"/>
  <c r="M24" i="3"/>
  <c r="M78" i="3"/>
  <c r="M60" i="3"/>
  <c r="M160" i="3"/>
  <c r="M122" i="3"/>
  <c r="M148" i="3"/>
  <c r="M235" i="3"/>
  <c r="M92" i="3"/>
  <c r="M47" i="3"/>
  <c r="M311" i="3"/>
  <c r="M164" i="3"/>
  <c r="M229" i="3"/>
  <c r="M365" i="3"/>
  <c r="M123" i="3"/>
  <c r="M267" i="3"/>
  <c r="M242" i="3"/>
  <c r="M278" i="3"/>
  <c r="M118" i="3"/>
  <c r="M65" i="3"/>
  <c r="M211" i="3"/>
  <c r="M388" i="3"/>
  <c r="M336" i="3"/>
  <c r="M57" i="3"/>
  <c r="M326" i="3"/>
  <c r="M51" i="3"/>
  <c r="M110" i="3"/>
  <c r="M372" i="3"/>
  <c r="M18" i="3"/>
  <c r="M282" i="3"/>
  <c r="M396" i="3"/>
  <c r="M386" i="3"/>
  <c r="M52" i="3"/>
  <c r="M181" i="3"/>
  <c r="M252" i="3"/>
  <c r="M187" i="3"/>
  <c r="M182" i="3"/>
  <c r="M393" i="3"/>
  <c r="M162" i="3"/>
  <c r="M269" i="3"/>
  <c r="M356" i="3"/>
  <c r="M285" i="3"/>
  <c r="M253" i="3"/>
  <c r="M218" i="3"/>
  <c r="M190" i="3"/>
  <c r="M173" i="3"/>
  <c r="M140" i="3"/>
  <c r="M113" i="3"/>
  <c r="M83" i="3"/>
  <c r="M67" i="3"/>
  <c r="M48" i="3"/>
  <c r="M25" i="3"/>
  <c r="M391" i="3"/>
  <c r="M314" i="3"/>
  <c r="M305" i="3"/>
  <c r="M397" i="3"/>
  <c r="M331" i="3"/>
  <c r="M395" i="3"/>
  <c r="M329" i="3"/>
  <c r="M366" i="3"/>
  <c r="M321" i="3"/>
  <c r="M38" i="3"/>
  <c r="M66" i="3"/>
  <c r="M131" i="3"/>
  <c r="M157" i="3"/>
  <c r="M112" i="3"/>
  <c r="M42" i="3"/>
  <c r="M378" i="3"/>
  <c r="M225" i="3"/>
  <c r="M20" i="3"/>
  <c r="M2" i="3"/>
  <c r="J402" i="4"/>
  <c r="G402" i="4"/>
  <c r="F402" i="4"/>
  <c r="E9" i="5"/>
  <c r="E8" i="5"/>
  <c r="E7" i="5"/>
  <c r="E6" i="5"/>
  <c r="E5" i="5"/>
  <c r="E4" i="5"/>
  <c r="E3" i="5"/>
  <c r="E2" i="5"/>
  <c r="J403" i="4"/>
  <c r="G403" i="4"/>
  <c r="F403" i="4"/>
  <c r="K402" i="2"/>
  <c r="L402" i="2"/>
  <c r="M402" i="2"/>
  <c r="K403" i="2"/>
  <c r="L403" i="2"/>
  <c r="M403" i="2"/>
  <c r="C3" i="5" l="1"/>
  <c r="G3" i="5"/>
  <c r="D402" i="4"/>
  <c r="H402" i="4"/>
  <c r="H403" i="4"/>
  <c r="D403" i="4"/>
  <c r="G6" i="5"/>
  <c r="K402" i="4" l="1"/>
  <c r="K403" i="4"/>
  <c r="C4" i="5"/>
  <c r="G8" i="5"/>
  <c r="C8" i="5"/>
  <c r="G9" i="5"/>
  <c r="C9" i="5"/>
  <c r="C5" i="5"/>
  <c r="C6" i="5"/>
  <c r="E405" i="3"/>
  <c r="C2" i="5"/>
  <c r="G2" i="5"/>
  <c r="G5" i="5"/>
  <c r="G7" i="5"/>
  <c r="C7" i="5"/>
  <c r="G4" i="5"/>
  <c r="L39" i="4"/>
  <c r="L337" i="4"/>
  <c r="L47" i="4"/>
  <c r="L77" i="4"/>
  <c r="L14" i="4"/>
  <c r="L357" i="4"/>
  <c r="L365" i="4"/>
  <c r="L340" i="4"/>
  <c r="L319" i="4"/>
  <c r="L10" i="4"/>
  <c r="L134" i="4"/>
  <c r="L307" i="4"/>
  <c r="L78" i="4"/>
  <c r="L135" i="4"/>
  <c r="L336" i="4"/>
  <c r="L73" i="4"/>
  <c r="L202" i="4"/>
  <c r="L191" i="4"/>
  <c r="L119" i="4"/>
  <c r="L280" i="4"/>
  <c r="L36" i="4"/>
  <c r="L237" i="4"/>
  <c r="L97" i="4"/>
  <c r="L209" i="4"/>
  <c r="L313" i="4"/>
  <c r="L257" i="4"/>
  <c r="L69" i="4"/>
  <c r="L137" i="4"/>
  <c r="L262" i="4"/>
  <c r="L360" i="4"/>
  <c r="L22" i="4"/>
  <c r="L38" i="4"/>
  <c r="L165" i="4"/>
  <c r="L342" i="4"/>
  <c r="L376" i="4"/>
  <c r="L369" i="4"/>
  <c r="L218" i="4"/>
  <c r="L298" i="4"/>
  <c r="L150" i="4"/>
  <c r="L286" i="4"/>
  <c r="L93" i="4"/>
  <c r="L364" i="4"/>
  <c r="L6" i="4"/>
  <c r="L29" i="4"/>
  <c r="L207" i="4"/>
  <c r="L111" i="4"/>
  <c r="L167" i="4"/>
  <c r="L158" i="4"/>
  <c r="L168" i="4"/>
  <c r="L203" i="4"/>
  <c r="L195" i="4"/>
  <c r="L379" i="4"/>
  <c r="L281" i="4"/>
  <c r="L236" i="4"/>
  <c r="L196" i="4"/>
  <c r="L258" i="4"/>
  <c r="L208" i="4"/>
  <c r="L11" i="4"/>
  <c r="L108" i="4"/>
  <c r="L8" i="4"/>
  <c r="L314" i="4"/>
  <c r="L61" i="4"/>
  <c r="L285" i="4"/>
  <c r="L106" i="4"/>
  <c r="L51" i="4"/>
  <c r="L344" i="4"/>
  <c r="L122" i="4"/>
  <c r="L219" i="4"/>
  <c r="L391" i="4"/>
  <c r="L288" i="4"/>
  <c r="L62" i="4"/>
  <c r="L212" i="4"/>
  <c r="L259" i="4"/>
  <c r="L163" i="4"/>
  <c r="L301" i="4"/>
  <c r="L187" i="4"/>
  <c r="L247" i="4"/>
  <c r="L239" i="4"/>
  <c r="L143" i="4"/>
  <c r="L305" i="4"/>
  <c r="L271" i="4"/>
  <c r="L343" i="4"/>
  <c r="L384" i="4"/>
  <c r="L175" i="4"/>
  <c r="L90" i="4"/>
  <c r="L261" i="4"/>
  <c r="L253" i="4"/>
  <c r="L275" i="4"/>
  <c r="L235" i="4"/>
  <c r="L345" i="4"/>
  <c r="L350" i="4"/>
  <c r="L75" i="4"/>
  <c r="L320" i="4"/>
  <c r="L260" i="4"/>
  <c r="L398" i="4"/>
  <c r="L95" i="4"/>
  <c r="L397" i="4"/>
  <c r="L221" i="4"/>
  <c r="L81" i="4"/>
  <c r="L128" i="4"/>
  <c r="L380" i="4"/>
  <c r="L374" i="4"/>
  <c r="L325" i="4"/>
  <c r="L176" i="4"/>
  <c r="L45" i="4"/>
  <c r="L148" i="4"/>
  <c r="L146" i="4"/>
  <c r="L349" i="4"/>
  <c r="L53" i="4"/>
  <c r="L133" i="4"/>
  <c r="L238" i="4"/>
  <c r="L112" i="4"/>
  <c r="L362" i="4"/>
  <c r="L31" i="4"/>
  <c r="L123" i="4"/>
  <c r="L348" i="4"/>
  <c r="L321" i="4"/>
  <c r="L120" i="4"/>
  <c r="L160" i="4"/>
  <c r="L211" i="4"/>
  <c r="L104" i="4"/>
  <c r="L157" i="4"/>
  <c r="L177" i="4"/>
  <c r="L385" i="4"/>
  <c r="L126" i="4"/>
  <c r="L393" i="4"/>
  <c r="L91" i="4"/>
  <c r="L367" i="4"/>
  <c r="L19" i="4"/>
  <c r="L359" i="4"/>
  <c r="L199" i="4"/>
  <c r="L89" i="4"/>
  <c r="L129" i="4"/>
  <c r="L110" i="4"/>
  <c r="L161" i="4"/>
  <c r="L335" i="4"/>
  <c r="L287" i="4"/>
  <c r="L333" i="4"/>
  <c r="L16" i="4"/>
  <c r="L170" i="4"/>
  <c r="L164" i="4"/>
  <c r="L159" i="4"/>
  <c r="L274" i="4"/>
  <c r="L183" i="4"/>
  <c r="L283" i="4"/>
  <c r="L232" i="4"/>
  <c r="L142" i="4"/>
  <c r="L315" i="4"/>
  <c r="L125" i="4"/>
  <c r="L230" i="4"/>
  <c r="L264" i="4"/>
  <c r="L254" i="4"/>
  <c r="L80" i="4"/>
  <c r="L269" i="4"/>
  <c r="L169" i="4"/>
  <c r="L136" i="4"/>
  <c r="L155" i="4"/>
  <c r="L189" i="4"/>
  <c r="L74" i="4"/>
  <c r="L65" i="4"/>
  <c r="L318" i="4"/>
  <c r="L370" i="4"/>
  <c r="L354" i="4"/>
  <c r="L297" i="4"/>
  <c r="L130" i="4"/>
  <c r="L82" i="4"/>
  <c r="L266" i="4"/>
  <c r="L194" i="4"/>
  <c r="L98" i="4"/>
  <c r="L303" i="4"/>
  <c r="L204" i="4"/>
  <c r="L240" i="4"/>
  <c r="L387" i="4"/>
  <c r="L193" i="4"/>
  <c r="L30" i="4"/>
  <c r="L197" i="4"/>
  <c r="L276" i="4"/>
  <c r="L34" i="4"/>
  <c r="L390" i="4"/>
  <c r="L268" i="4"/>
  <c r="L256" i="4"/>
  <c r="L263" i="4"/>
  <c r="L102" i="4"/>
  <c r="L399" i="4"/>
  <c r="L213" i="4"/>
  <c r="L198" i="4"/>
  <c r="L41" i="4"/>
  <c r="L227" i="4"/>
  <c r="L255" i="4"/>
  <c r="L55" i="4"/>
  <c r="L96" i="4"/>
  <c r="L132" i="4"/>
  <c r="L185" i="4"/>
  <c r="L242" i="4"/>
  <c r="L107" i="4"/>
  <c r="L201" i="4"/>
  <c r="L192" i="4"/>
  <c r="L13" i="4"/>
  <c r="I402" i="2"/>
  <c r="I403" i="2"/>
  <c r="O368" i="2" s="1"/>
  <c r="E402" i="2"/>
  <c r="E403" i="2"/>
  <c r="C10" i="5" l="1"/>
  <c r="L7" i="4"/>
  <c r="L118" i="4"/>
  <c r="L114" i="4"/>
  <c r="L190" i="4"/>
  <c r="L231" i="4"/>
  <c r="L381" i="4"/>
  <c r="L127" i="4"/>
  <c r="L392" i="4"/>
  <c r="L139" i="4"/>
  <c r="L179" i="4"/>
  <c r="L85" i="4"/>
  <c r="L304" i="4"/>
  <c r="L166" i="4"/>
  <c r="L371" i="4"/>
  <c r="L302" i="4"/>
  <c r="L366" i="4"/>
  <c r="L172" i="4"/>
  <c r="L330" i="4"/>
  <c r="L188" i="4"/>
  <c r="L84" i="4"/>
  <c r="L382" i="4"/>
  <c r="L291" i="4"/>
  <c r="L300" i="4"/>
  <c r="L54" i="4"/>
  <c r="L351" i="4"/>
  <c r="L308" i="4"/>
  <c r="L341" i="4"/>
  <c r="L394" i="4"/>
  <c r="L181" i="4"/>
  <c r="L217" i="4"/>
  <c r="L361" i="4"/>
  <c r="L37" i="4"/>
  <c r="L115" i="4"/>
  <c r="L310" i="4"/>
  <c r="L246" i="4"/>
  <c r="L70" i="4"/>
  <c r="L346" i="4"/>
  <c r="L83" i="4"/>
  <c r="L228" i="4"/>
  <c r="L200" i="4"/>
  <c r="L270" i="4"/>
  <c r="L44" i="4"/>
  <c r="L105" i="4"/>
  <c r="L378" i="4"/>
  <c r="L121" i="4"/>
  <c r="L243" i="4"/>
  <c r="L296" i="4"/>
  <c r="L324" i="4"/>
  <c r="L28" i="4"/>
  <c r="L386" i="4"/>
  <c r="L174" i="4"/>
  <c r="L64" i="4"/>
  <c r="L4" i="4"/>
  <c r="L21" i="4"/>
  <c r="L273" i="4"/>
  <c r="L292" i="4"/>
  <c r="L326" i="4"/>
  <c r="L178" i="4"/>
  <c r="L226" i="4"/>
  <c r="L26" i="4"/>
  <c r="L48" i="4"/>
  <c r="L156" i="4"/>
  <c r="L395" i="4"/>
  <c r="L147" i="4"/>
  <c r="L20" i="4"/>
  <c r="L299" i="4"/>
  <c r="L294" i="4"/>
  <c r="L141" i="4"/>
  <c r="L71" i="4"/>
  <c r="L248" i="4"/>
  <c r="L2" i="4"/>
  <c r="L229" i="4"/>
  <c r="L388" i="4"/>
  <c r="L220" i="4"/>
  <c r="L9" i="4"/>
  <c r="L383" i="4"/>
  <c r="L43" i="4"/>
  <c r="L92" i="4"/>
  <c r="L50" i="4"/>
  <c r="L72" i="4"/>
  <c r="L12" i="4"/>
  <c r="L234" i="4"/>
  <c r="L67" i="4"/>
  <c r="L144" i="4"/>
  <c r="L353" i="4"/>
  <c r="L88" i="4"/>
  <c r="L52" i="4"/>
  <c r="L372" i="4"/>
  <c r="L272" i="4"/>
  <c r="L94" i="4"/>
  <c r="L162" i="4"/>
  <c r="L25" i="4"/>
  <c r="L76" i="4"/>
  <c r="L279" i="4"/>
  <c r="L373" i="4"/>
  <c r="L244" i="4"/>
  <c r="L100" i="4"/>
  <c r="L293" i="4"/>
  <c r="L332" i="4"/>
  <c r="L338" i="4"/>
  <c r="L267" i="4"/>
  <c r="L173" i="4"/>
  <c r="L317" i="4"/>
  <c r="L400" i="4"/>
  <c r="L68" i="4"/>
  <c r="L138" i="4"/>
  <c r="L40" i="4"/>
  <c r="L368" i="4"/>
  <c r="L252" i="4"/>
  <c r="L355" i="4"/>
  <c r="L396" i="4"/>
  <c r="L57" i="4"/>
  <c r="L35" i="4"/>
  <c r="L329" i="4"/>
  <c r="L206" i="4"/>
  <c r="L363" i="4"/>
  <c r="L101" i="4"/>
  <c r="L124" i="4"/>
  <c r="L152" i="4"/>
  <c r="L117" i="4"/>
  <c r="L63" i="4"/>
  <c r="L86" i="4"/>
  <c r="L327" i="4"/>
  <c r="L251" i="4"/>
  <c r="L241" i="4"/>
  <c r="L347" i="4"/>
  <c r="L284" i="4"/>
  <c r="L356" i="4"/>
  <c r="L5" i="4"/>
  <c r="L277" i="4"/>
  <c r="L331" i="4"/>
  <c r="L46" i="4"/>
  <c r="L328" i="4"/>
  <c r="L60" i="4"/>
  <c r="L180" i="4"/>
  <c r="L311" i="4"/>
  <c r="L182" i="4"/>
  <c r="L290" i="4"/>
  <c r="L323" i="4"/>
  <c r="L58" i="4"/>
  <c r="L316" i="4"/>
  <c r="L389" i="4"/>
  <c r="L205" i="4"/>
  <c r="L151" i="4"/>
  <c r="L245" i="4"/>
  <c r="L154" i="4"/>
  <c r="L312" i="4"/>
  <c r="L33" i="4"/>
  <c r="L49" i="4"/>
  <c r="L289" i="4"/>
  <c r="L66" i="4"/>
  <c r="L59" i="4"/>
  <c r="L116" i="4"/>
  <c r="L278" i="4"/>
  <c r="L186" i="4"/>
  <c r="L225" i="4"/>
  <c r="L309" i="4"/>
  <c r="L171" i="4"/>
  <c r="L306" i="4"/>
  <c r="L224" i="4"/>
  <c r="L27" i="4"/>
  <c r="L375" i="4"/>
  <c r="L131" i="4"/>
  <c r="L233" i="4"/>
  <c r="L140" i="4"/>
  <c r="L32" i="4"/>
  <c r="L322" i="4"/>
  <c r="L334" i="4"/>
  <c r="L153" i="4"/>
  <c r="L295" i="4"/>
  <c r="L352" i="4"/>
  <c r="L215" i="4"/>
  <c r="L149" i="4"/>
  <c r="L24" i="4"/>
  <c r="L15" i="4"/>
  <c r="L103" i="4"/>
  <c r="L249" i="4"/>
  <c r="L250" i="4"/>
  <c r="L216" i="4"/>
  <c r="L377" i="4"/>
  <c r="L18" i="4"/>
  <c r="L214" i="4"/>
  <c r="L222" i="4"/>
  <c r="L184" i="4"/>
  <c r="L282" i="4"/>
  <c r="L23" i="4"/>
  <c r="L3" i="4"/>
  <c r="L42" i="4"/>
  <c r="L210" i="4"/>
  <c r="L339" i="4"/>
  <c r="L113" i="4"/>
  <c r="L109" i="4"/>
  <c r="L358" i="4"/>
  <c r="L99" i="4"/>
  <c r="L56" i="4"/>
  <c r="L223" i="4"/>
  <c r="L87" i="4"/>
  <c r="L265" i="4"/>
  <c r="L145" i="4"/>
  <c r="L17" i="4"/>
  <c r="L79" i="4"/>
  <c r="E402" i="4"/>
  <c r="E403" i="4"/>
  <c r="I403" i="4"/>
  <c r="I402" i="4"/>
  <c r="K357" i="3"/>
  <c r="K264" i="3"/>
  <c r="K123" i="3"/>
  <c r="K206" i="3"/>
  <c r="K373" i="3"/>
  <c r="K169" i="3"/>
  <c r="K301" i="3"/>
  <c r="K175" i="3"/>
  <c r="K33" i="3"/>
  <c r="K205" i="3"/>
  <c r="K120" i="3"/>
  <c r="K115" i="3"/>
  <c r="K189" i="3"/>
  <c r="K104" i="3"/>
  <c r="K198" i="3"/>
  <c r="K142" i="3"/>
  <c r="K370" i="3"/>
  <c r="K57" i="3"/>
  <c r="K8" i="3"/>
  <c r="K322" i="3"/>
  <c r="K28" i="3"/>
  <c r="K371" i="3"/>
  <c r="K210" i="3"/>
  <c r="K59" i="3"/>
  <c r="K143" i="3"/>
  <c r="K312" i="3"/>
  <c r="K330" i="3"/>
  <c r="K331" i="3"/>
  <c r="K45" i="3"/>
  <c r="K226" i="3"/>
  <c r="K192" i="3"/>
  <c r="K56" i="3"/>
  <c r="K140" i="3"/>
  <c r="K160" i="3"/>
  <c r="K270" i="3"/>
  <c r="K40" i="3"/>
  <c r="K65" i="3"/>
  <c r="K152" i="3"/>
  <c r="K190" i="3"/>
  <c r="K272" i="3"/>
  <c r="K126" i="3"/>
  <c r="K218" i="3"/>
  <c r="K165" i="3"/>
  <c r="K17" i="3"/>
  <c r="K99" i="3"/>
  <c r="K349" i="3"/>
  <c r="K151" i="3"/>
  <c r="K374" i="3"/>
  <c r="K164" i="3"/>
  <c r="K201" i="3"/>
  <c r="K155" i="3"/>
  <c r="K277" i="3"/>
  <c r="K14" i="3"/>
  <c r="K217" i="3"/>
  <c r="K135" i="3"/>
  <c r="K62" i="3"/>
  <c r="K69" i="3"/>
  <c r="K147" i="3"/>
  <c r="K358" i="3"/>
  <c r="K344" i="3"/>
  <c r="K378" i="3"/>
  <c r="K127" i="3"/>
  <c r="K319" i="3"/>
  <c r="K363" i="3"/>
  <c r="K111" i="3"/>
  <c r="K248" i="3"/>
  <c r="K268" i="3"/>
  <c r="K12" i="3"/>
  <c r="K392" i="3"/>
  <c r="K232" i="3"/>
  <c r="K346" i="3"/>
  <c r="K124" i="3"/>
  <c r="K21" i="3"/>
  <c r="K95" i="3"/>
  <c r="K187" i="3"/>
  <c r="K172" i="3"/>
  <c r="K41" i="3"/>
  <c r="K288" i="3"/>
  <c r="K131" i="3"/>
  <c r="K178" i="3"/>
  <c r="K67" i="3"/>
  <c r="K340" i="3"/>
  <c r="K194" i="3"/>
  <c r="K202" i="3"/>
  <c r="K117" i="3"/>
  <c r="K177" i="3"/>
  <c r="K27" i="3"/>
  <c r="K60" i="3"/>
  <c r="K80" i="3"/>
  <c r="K280" i="3"/>
  <c r="K139" i="3"/>
  <c r="K51" i="3"/>
  <c r="K108" i="3"/>
  <c r="K128" i="3"/>
  <c r="K256" i="3"/>
  <c r="K393" i="3"/>
  <c r="K360" i="3"/>
  <c r="K352" i="3"/>
  <c r="K274" i="3"/>
  <c r="K154" i="3"/>
  <c r="K70" i="3"/>
  <c r="K396" i="3"/>
  <c r="K249" i="3"/>
  <c r="K323" i="3"/>
  <c r="K204" i="3"/>
  <c r="K116" i="3"/>
  <c r="K247" i="3"/>
  <c r="K168" i="3"/>
  <c r="K193" i="3"/>
  <c r="K345" i="3"/>
  <c r="K289" i="3"/>
  <c r="K356" i="3"/>
  <c r="K266" i="3"/>
  <c r="K106" i="3"/>
  <c r="K66" i="3"/>
  <c r="K381" i="3"/>
  <c r="K176" i="3"/>
  <c r="K196" i="3"/>
  <c r="K239" i="3"/>
  <c r="K203" i="3"/>
  <c r="K48" i="3"/>
  <c r="K241" i="3"/>
  <c r="K173" i="3"/>
  <c r="K375" i="3"/>
  <c r="K361" i="3"/>
  <c r="K321" i="3"/>
  <c r="K250" i="3"/>
  <c r="K98" i="3"/>
  <c r="K273" i="3"/>
  <c r="K384" i="3"/>
  <c r="K309" i="3"/>
  <c r="K68" i="3"/>
  <c r="K267" i="3"/>
  <c r="K231" i="3"/>
  <c r="K32" i="3"/>
  <c r="K233" i="3"/>
  <c r="K54" i="3"/>
  <c r="K305" i="3"/>
  <c r="K367" i="3"/>
  <c r="K314" i="3"/>
  <c r="K134" i="3"/>
  <c r="K90" i="3"/>
  <c r="K34" i="3"/>
  <c r="K265" i="3"/>
  <c r="K180" i="3"/>
  <c r="K263" i="3"/>
  <c r="K227" i="3"/>
  <c r="K183" i="3"/>
  <c r="K16" i="3"/>
  <c r="K38" i="3"/>
  <c r="K397" i="3"/>
  <c r="K369" i="3"/>
  <c r="K299" i="3"/>
  <c r="K234" i="3"/>
  <c r="K170" i="3"/>
  <c r="K130" i="3"/>
  <c r="K261" i="3"/>
  <c r="K365" i="3"/>
  <c r="K287" i="3"/>
  <c r="K379" i="3"/>
  <c r="K52" i="3"/>
  <c r="K259" i="3"/>
  <c r="K4" i="3"/>
  <c r="K225" i="3"/>
  <c r="K26" i="3"/>
  <c r="K391" i="3"/>
  <c r="K385" i="3"/>
  <c r="K355" i="3"/>
  <c r="K162" i="3"/>
  <c r="K118" i="3"/>
  <c r="K74" i="3"/>
  <c r="K400" i="3"/>
  <c r="K253" i="3"/>
  <c r="K212" i="3"/>
  <c r="K286" i="3"/>
  <c r="K251" i="3"/>
  <c r="K215" i="3"/>
  <c r="K209" i="3"/>
  <c r="K174" i="3"/>
  <c r="K50" i="3"/>
  <c r="K24" i="3"/>
  <c r="K293" i="3"/>
  <c r="K36" i="3"/>
  <c r="K237" i="3"/>
  <c r="K221" i="3"/>
  <c r="K377" i="3"/>
  <c r="K351" i="3"/>
  <c r="K315" i="3"/>
  <c r="K258" i="3"/>
  <c r="K166" i="3"/>
  <c r="K316" i="3"/>
  <c r="K235" i="3"/>
  <c r="K146" i="3"/>
  <c r="K219" i="3"/>
  <c r="K200" i="3"/>
  <c r="K122" i="3"/>
  <c r="K317" i="3"/>
  <c r="K199" i="3"/>
  <c r="K148" i="3"/>
  <c r="K243" i="3"/>
  <c r="K82" i="3"/>
  <c r="K281" i="3"/>
  <c r="K84" i="3"/>
  <c r="K63" i="3"/>
  <c r="K228" i="3"/>
  <c r="K395" i="3"/>
  <c r="K81" i="3"/>
  <c r="K87" i="3"/>
  <c r="K303" i="3"/>
  <c r="K119" i="3"/>
  <c r="K394" i="3"/>
  <c r="K153" i="3"/>
  <c r="K163" i="3"/>
  <c r="K278" i="3"/>
  <c r="K53" i="3"/>
  <c r="K362" i="3"/>
  <c r="K167" i="3"/>
  <c r="K389" i="3"/>
  <c r="K382" i="3"/>
  <c r="K75" i="3"/>
  <c r="K328" i="3"/>
  <c r="K334" i="3"/>
  <c r="K197" i="3"/>
  <c r="K46" i="3"/>
  <c r="K347" i="3"/>
  <c r="K19" i="3"/>
  <c r="K208" i="3"/>
  <c r="K327" i="3"/>
  <c r="K307" i="3"/>
  <c r="K47" i="3"/>
  <c r="K336" i="3"/>
  <c r="K161" i="3"/>
  <c r="K79" i="3"/>
  <c r="K372" i="3"/>
  <c r="K326" i="3"/>
  <c r="K89" i="3"/>
  <c r="K109" i="3"/>
  <c r="K214" i="3"/>
  <c r="K294" i="3"/>
  <c r="K73" i="3"/>
  <c r="K179" i="3"/>
  <c r="K101" i="3"/>
  <c r="K364" i="3"/>
  <c r="K388" i="3"/>
  <c r="K269" i="3"/>
  <c r="K11" i="3"/>
  <c r="K376" i="3"/>
  <c r="K292" i="3"/>
  <c r="K156" i="3"/>
  <c r="K171" i="3"/>
  <c r="K97" i="3"/>
  <c r="K238" i="3"/>
  <c r="K368" i="3"/>
  <c r="K325" i="3"/>
  <c r="K3" i="3"/>
  <c r="K343" i="3"/>
  <c r="K129" i="3"/>
  <c r="K276" i="3"/>
  <c r="K25" i="3"/>
  <c r="K159" i="3"/>
  <c r="K262" i="3"/>
  <c r="K37" i="3"/>
  <c r="K390" i="3"/>
  <c r="K121" i="3"/>
  <c r="K211" i="3"/>
  <c r="K85" i="3"/>
  <c r="K342" i="3"/>
  <c r="K92" i="3"/>
  <c r="K112" i="3"/>
  <c r="K125" i="3"/>
  <c r="K88" i="3"/>
  <c r="K105" i="3"/>
  <c r="K136" i="3"/>
  <c r="K398" i="3"/>
  <c r="K230" i="3"/>
  <c r="K222" i="3"/>
  <c r="K310" i="3"/>
  <c r="K96" i="3"/>
  <c r="K72" i="3"/>
  <c r="K302" i="3"/>
  <c r="K224" i="3"/>
  <c r="K5" i="3"/>
  <c r="K308" i="3"/>
  <c r="K110" i="3"/>
  <c r="K107" i="3"/>
  <c r="K244" i="3"/>
  <c r="K236" i="3"/>
  <c r="K366" i="3"/>
  <c r="K78" i="3"/>
  <c r="K220" i="3"/>
  <c r="K149" i="3"/>
  <c r="K246" i="3"/>
  <c r="K324" i="3"/>
  <c r="K216" i="3"/>
  <c r="K213" i="3"/>
  <c r="K43" i="3"/>
  <c r="K254" i="3"/>
  <c r="K141" i="3"/>
  <c r="K137" i="3"/>
  <c r="K49" i="3"/>
  <c r="K113" i="3"/>
  <c r="K145" i="3"/>
  <c r="K186" i="3"/>
  <c r="K15" i="3"/>
  <c r="K31" i="3"/>
  <c r="K184" i="3"/>
  <c r="K229" i="3"/>
  <c r="K275" i="3"/>
  <c r="K182" i="3"/>
  <c r="K257" i="3"/>
  <c r="K383" i="3"/>
  <c r="K245" i="3"/>
  <c r="K150" i="3"/>
  <c r="K291" i="3"/>
  <c r="K329" i="3"/>
  <c r="K103" i="3"/>
  <c r="K191" i="3"/>
  <c r="K23" i="3"/>
  <c r="K7" i="3"/>
  <c r="K114" i="3"/>
  <c r="K335" i="3"/>
  <c r="K341" i="3"/>
  <c r="K353" i="3"/>
  <c r="K282" i="3"/>
  <c r="K320" i="3"/>
  <c r="K348" i="3"/>
  <c r="K185" i="3"/>
  <c r="K86" i="3"/>
  <c r="K339" i="3"/>
  <c r="K311" i="3"/>
  <c r="K271" i="3"/>
  <c r="K313" i="3"/>
  <c r="K255" i="3"/>
  <c r="K332" i="3"/>
  <c r="K55" i="3"/>
  <c r="K399" i="3"/>
  <c r="K359" i="3"/>
  <c r="K188" i="3"/>
  <c r="K304" i="3"/>
  <c r="K6" i="3"/>
  <c r="K102" i="3"/>
  <c r="K132" i="3"/>
  <c r="K58" i="3"/>
  <c r="K333" i="3"/>
  <c r="K295" i="3"/>
  <c r="K297" i="3"/>
  <c r="K300" i="3"/>
  <c r="K83" i="3"/>
  <c r="K71" i="3"/>
  <c r="K39" i="3"/>
  <c r="K42" i="3"/>
  <c r="K380" i="3"/>
  <c r="K296" i="3"/>
  <c r="K283" i="3"/>
  <c r="K207" i="3"/>
  <c r="K387" i="3"/>
  <c r="K61" i="3"/>
  <c r="K284" i="3"/>
  <c r="K306" i="3"/>
  <c r="K29" i="3"/>
  <c r="K35" i="3"/>
  <c r="K100" i="3"/>
  <c r="K64" i="3"/>
  <c r="K223" i="3"/>
  <c r="K242" i="3"/>
  <c r="K285" i="3"/>
  <c r="K337" i="3"/>
  <c r="K290" i="3"/>
  <c r="K13" i="3"/>
  <c r="K18" i="3"/>
  <c r="K138" i="3"/>
  <c r="K10" i="3"/>
  <c r="K279" i="3"/>
  <c r="K298" i="3"/>
  <c r="K240" i="3"/>
  <c r="K22" i="3"/>
  <c r="K76" i="3"/>
  <c r="K77" i="3"/>
  <c r="K350" i="3"/>
  <c r="K158" i="3"/>
  <c r="K318" i="3"/>
  <c r="K93" i="3"/>
  <c r="K181" i="3"/>
  <c r="K20" i="3"/>
  <c r="K338" i="3"/>
  <c r="K133" i="3"/>
  <c r="K144" i="3"/>
  <c r="K260" i="3"/>
  <c r="K252" i="3"/>
  <c r="K9" i="3"/>
  <c r="K94" i="3"/>
  <c r="K354" i="3"/>
  <c r="K91" i="3"/>
  <c r="K386" i="3"/>
  <c r="K44" i="3"/>
  <c r="K157" i="3"/>
  <c r="K195" i="3"/>
  <c r="K30" i="3"/>
  <c r="O384" i="2"/>
  <c r="O96" i="2"/>
  <c r="O192" i="2"/>
  <c r="O88" i="2"/>
  <c r="O144" i="2"/>
  <c r="O200" i="2"/>
  <c r="O104" i="2"/>
  <c r="O120" i="2"/>
  <c r="O40" i="2"/>
  <c r="O32" i="2"/>
  <c r="O24" i="2"/>
  <c r="O80" i="2"/>
  <c r="O136" i="2"/>
  <c r="O56" i="2"/>
  <c r="O16" i="2"/>
  <c r="O72" i="2"/>
  <c r="O123" i="2"/>
  <c r="O251" i="2"/>
  <c r="O91" i="2"/>
  <c r="O187" i="2"/>
  <c r="O283" i="2"/>
  <c r="O27" i="2"/>
  <c r="O155" i="2"/>
  <c r="O347" i="2"/>
  <c r="O59" i="2"/>
  <c r="O219" i="2"/>
  <c r="O315" i="2"/>
  <c r="O379" i="2"/>
  <c r="O3" i="2"/>
  <c r="O35" i="2"/>
  <c r="O67" i="2"/>
  <c r="O99" i="2"/>
  <c r="O131" i="2"/>
  <c r="O163" i="2"/>
  <c r="O195" i="2"/>
  <c r="O227" i="2"/>
  <c r="O259" i="2"/>
  <c r="O291" i="2"/>
  <c r="O323" i="2"/>
  <c r="O355" i="2"/>
  <c r="O387" i="2"/>
  <c r="O395" i="2"/>
  <c r="O267" i="2"/>
  <c r="O139" i="2"/>
  <c r="O11" i="2"/>
  <c r="O338" i="2"/>
  <c r="O274" i="2"/>
  <c r="O210" i="2"/>
  <c r="O146" i="2"/>
  <c r="O82" i="2"/>
  <c r="O18" i="2"/>
  <c r="O281" i="2"/>
  <c r="O217" i="2"/>
  <c r="O153" i="2"/>
  <c r="O89" i="2"/>
  <c r="O25" i="2"/>
  <c r="O295" i="2"/>
  <c r="O398" i="2"/>
  <c r="O334" i="2"/>
  <c r="O270" i="2"/>
  <c r="O206" i="2"/>
  <c r="O142" i="2"/>
  <c r="O78" i="2"/>
  <c r="O14" i="2"/>
  <c r="O127" i="2"/>
  <c r="O357" i="2"/>
  <c r="O293" i="2"/>
  <c r="O229" i="2"/>
  <c r="O165" i="2"/>
  <c r="O101" i="2"/>
  <c r="O37" i="2"/>
  <c r="O327" i="2"/>
  <c r="O396" i="2"/>
  <c r="O332" i="2"/>
  <c r="O268" i="2"/>
  <c r="O204" i="2"/>
  <c r="O140" i="2"/>
  <c r="O76" i="2"/>
  <c r="O12" i="2"/>
  <c r="O247" i="2"/>
  <c r="O359" i="2"/>
  <c r="O103" i="2"/>
  <c r="O51" i="2"/>
  <c r="O234" i="2"/>
  <c r="O305" i="2"/>
  <c r="O113" i="2"/>
  <c r="O294" i="2"/>
  <c r="O263" i="2"/>
  <c r="O125" i="2"/>
  <c r="O95" i="2"/>
  <c r="O164" i="2"/>
  <c r="O319" i="2"/>
  <c r="O371" i="2"/>
  <c r="O243" i="2"/>
  <c r="O115" i="2"/>
  <c r="O394" i="2"/>
  <c r="O330" i="2"/>
  <c r="O266" i="2"/>
  <c r="O202" i="2"/>
  <c r="O138" i="2"/>
  <c r="O74" i="2"/>
  <c r="O10" i="2"/>
  <c r="O273" i="2"/>
  <c r="O209" i="2"/>
  <c r="O145" i="2"/>
  <c r="O81" i="2"/>
  <c r="O17" i="2"/>
  <c r="O255" i="2"/>
  <c r="O390" i="2"/>
  <c r="O326" i="2"/>
  <c r="O262" i="2"/>
  <c r="O198" i="2"/>
  <c r="O134" i="2"/>
  <c r="O70" i="2"/>
  <c r="O6" i="2"/>
  <c r="O79" i="2"/>
  <c r="O349" i="2"/>
  <c r="O285" i="2"/>
  <c r="O221" i="2"/>
  <c r="O157" i="2"/>
  <c r="O93" i="2"/>
  <c r="O29" i="2"/>
  <c r="O287" i="2"/>
  <c r="O388" i="2"/>
  <c r="O324" i="2"/>
  <c r="O260" i="2"/>
  <c r="O196" i="2"/>
  <c r="O132" i="2"/>
  <c r="O68" i="2"/>
  <c r="O4" i="2"/>
  <c r="O175" i="2"/>
  <c r="O343" i="2"/>
  <c r="O63" i="2"/>
  <c r="O307" i="2"/>
  <c r="O106" i="2"/>
  <c r="O177" i="2"/>
  <c r="O71" i="2"/>
  <c r="O230" i="2"/>
  <c r="O38" i="2"/>
  <c r="O189" i="2"/>
  <c r="O356" i="2"/>
  <c r="O39" i="2"/>
  <c r="O363" i="2"/>
  <c r="O235" i="2"/>
  <c r="O107" i="2"/>
  <c r="O386" i="2"/>
  <c r="O322" i="2"/>
  <c r="O258" i="2"/>
  <c r="O194" i="2"/>
  <c r="O130" i="2"/>
  <c r="O66" i="2"/>
  <c r="O329" i="2"/>
  <c r="O265" i="2"/>
  <c r="O201" i="2"/>
  <c r="O137" i="2"/>
  <c r="O73" i="2"/>
  <c r="O9" i="2"/>
  <c r="O199" i="2"/>
  <c r="O382" i="2"/>
  <c r="O318" i="2"/>
  <c r="O254" i="2"/>
  <c r="O190" i="2"/>
  <c r="O126" i="2"/>
  <c r="O62" i="2"/>
  <c r="O393" i="2"/>
  <c r="O7" i="2"/>
  <c r="O341" i="2"/>
  <c r="O277" i="2"/>
  <c r="O213" i="2"/>
  <c r="O149" i="2"/>
  <c r="O85" i="2"/>
  <c r="O21" i="2"/>
  <c r="O231" i="2"/>
  <c r="O380" i="2"/>
  <c r="O316" i="2"/>
  <c r="O252" i="2"/>
  <c r="O188" i="2"/>
  <c r="O124" i="2"/>
  <c r="O60" i="2"/>
  <c r="O377" i="2"/>
  <c r="O159" i="2"/>
  <c r="O271" i="2"/>
  <c r="O23" i="2"/>
  <c r="O362" i="2"/>
  <c r="O170" i="2"/>
  <c r="O241" i="2"/>
  <c r="O49" i="2"/>
  <c r="O358" i="2"/>
  <c r="O102" i="2"/>
  <c r="O317" i="2"/>
  <c r="O61" i="2"/>
  <c r="O292" i="2"/>
  <c r="O36" i="2"/>
  <c r="O339" i="2"/>
  <c r="O211" i="2"/>
  <c r="O83" i="2"/>
  <c r="O378" i="2"/>
  <c r="O314" i="2"/>
  <c r="O250" i="2"/>
  <c r="O186" i="2"/>
  <c r="O122" i="2"/>
  <c r="O58" i="2"/>
  <c r="O321" i="2"/>
  <c r="O257" i="2"/>
  <c r="O193" i="2"/>
  <c r="O129" i="2"/>
  <c r="O65" i="2"/>
  <c r="O385" i="2"/>
  <c r="O143" i="2"/>
  <c r="O374" i="2"/>
  <c r="O310" i="2"/>
  <c r="O246" i="2"/>
  <c r="O182" i="2"/>
  <c r="O118" i="2"/>
  <c r="O54" i="2"/>
  <c r="O383" i="2"/>
  <c r="O397" i="2"/>
  <c r="O333" i="2"/>
  <c r="O269" i="2"/>
  <c r="O205" i="2"/>
  <c r="O141" i="2"/>
  <c r="O77" i="2"/>
  <c r="O13" i="2"/>
  <c r="O167" i="2"/>
  <c r="O372" i="2"/>
  <c r="O308" i="2"/>
  <c r="O244" i="2"/>
  <c r="O180" i="2"/>
  <c r="O116" i="2"/>
  <c r="O52" i="2"/>
  <c r="O337" i="2"/>
  <c r="O111" i="2"/>
  <c r="O239" i="2"/>
  <c r="O179" i="2"/>
  <c r="O298" i="2"/>
  <c r="O42" i="2"/>
  <c r="O399" i="2"/>
  <c r="O166" i="2"/>
  <c r="O381" i="2"/>
  <c r="O361" i="2"/>
  <c r="O228" i="2"/>
  <c r="O100" i="2"/>
  <c r="O207" i="2"/>
  <c r="O331" i="2"/>
  <c r="O203" i="2"/>
  <c r="O75" i="2"/>
  <c r="O370" i="2"/>
  <c r="O306" i="2"/>
  <c r="O242" i="2"/>
  <c r="O178" i="2"/>
  <c r="O114" i="2"/>
  <c r="O50" i="2"/>
  <c r="O313" i="2"/>
  <c r="O249" i="2"/>
  <c r="O185" i="2"/>
  <c r="O121" i="2"/>
  <c r="O57" i="2"/>
  <c r="O369" i="2"/>
  <c r="O135" i="2"/>
  <c r="O366" i="2"/>
  <c r="O302" i="2"/>
  <c r="O238" i="2"/>
  <c r="O174" i="2"/>
  <c r="O110" i="2"/>
  <c r="O46" i="2"/>
  <c r="O335" i="2"/>
  <c r="O389" i="2"/>
  <c r="O325" i="2"/>
  <c r="O261" i="2"/>
  <c r="O197" i="2"/>
  <c r="O133" i="2"/>
  <c r="O69" i="2"/>
  <c r="O5" i="2"/>
  <c r="O119" i="2"/>
  <c r="O364" i="2"/>
  <c r="O300" i="2"/>
  <c r="O236" i="2"/>
  <c r="O172" i="2"/>
  <c r="O108" i="2"/>
  <c r="O44" i="2"/>
  <c r="O367" i="2"/>
  <c r="O55" i="2"/>
  <c r="O223" i="2"/>
  <c r="O299" i="2"/>
  <c r="O171" i="2"/>
  <c r="O43" i="2"/>
  <c r="O354" i="2"/>
  <c r="O290" i="2"/>
  <c r="O226" i="2"/>
  <c r="O162" i="2"/>
  <c r="O98" i="2"/>
  <c r="O34" i="2"/>
  <c r="O297" i="2"/>
  <c r="O233" i="2"/>
  <c r="O169" i="2"/>
  <c r="O105" i="2"/>
  <c r="O41" i="2"/>
  <c r="O351" i="2"/>
  <c r="O47" i="2"/>
  <c r="O350" i="2"/>
  <c r="O286" i="2"/>
  <c r="O222" i="2"/>
  <c r="O158" i="2"/>
  <c r="O94" i="2"/>
  <c r="O30" i="2"/>
  <c r="O215" i="2"/>
  <c r="O373" i="2"/>
  <c r="O309" i="2"/>
  <c r="O245" i="2"/>
  <c r="O181" i="2"/>
  <c r="O117" i="2"/>
  <c r="O53" i="2"/>
  <c r="O353" i="2"/>
  <c r="O87" i="2"/>
  <c r="O348" i="2"/>
  <c r="O284" i="2"/>
  <c r="O220" i="2"/>
  <c r="O156" i="2"/>
  <c r="O92" i="2"/>
  <c r="O28" i="2"/>
  <c r="O303" i="2"/>
  <c r="O345" i="2"/>
  <c r="O191" i="2"/>
  <c r="O275" i="2"/>
  <c r="O147" i="2"/>
  <c r="O19" i="2"/>
  <c r="O346" i="2"/>
  <c r="O282" i="2"/>
  <c r="O218" i="2"/>
  <c r="O154" i="2"/>
  <c r="O90" i="2"/>
  <c r="O26" i="2"/>
  <c r="O289" i="2"/>
  <c r="O225" i="2"/>
  <c r="O161" i="2"/>
  <c r="O97" i="2"/>
  <c r="O33" i="2"/>
  <c r="O311" i="2"/>
  <c r="O15" i="2"/>
  <c r="O342" i="2"/>
  <c r="O278" i="2"/>
  <c r="O214" i="2"/>
  <c r="O150" i="2"/>
  <c r="O86" i="2"/>
  <c r="O22" i="2"/>
  <c r="O183" i="2"/>
  <c r="O365" i="2"/>
  <c r="O301" i="2"/>
  <c r="O237" i="2"/>
  <c r="O173" i="2"/>
  <c r="O109" i="2"/>
  <c r="O45" i="2"/>
  <c r="O375" i="2"/>
  <c r="O31" i="2"/>
  <c r="O340" i="2"/>
  <c r="O276" i="2"/>
  <c r="O212" i="2"/>
  <c r="O148" i="2"/>
  <c r="O84" i="2"/>
  <c r="O20" i="2"/>
  <c r="O279" i="2"/>
  <c r="O391" i="2"/>
  <c r="O253" i="2"/>
  <c r="O151" i="2"/>
  <c r="O64" i="2"/>
  <c r="O320" i="2"/>
  <c r="O256" i="2"/>
  <c r="O8" i="2"/>
  <c r="O304" i="2"/>
  <c r="O360" i="2"/>
  <c r="O352" i="2"/>
  <c r="O344" i="2"/>
  <c r="O400" i="2"/>
  <c r="O128" i="2"/>
  <c r="O376" i="2"/>
  <c r="O240" i="2"/>
  <c r="O296" i="2"/>
  <c r="O288" i="2"/>
  <c r="O280" i="2"/>
  <c r="O336" i="2"/>
  <c r="O392" i="2"/>
  <c r="O312" i="2"/>
  <c r="O176" i="2"/>
  <c r="O232" i="2"/>
  <c r="O224" i="2"/>
  <c r="O216" i="2"/>
  <c r="O272" i="2"/>
  <c r="O328" i="2"/>
  <c r="O248" i="2"/>
  <c r="O112" i="2"/>
  <c r="O168" i="2"/>
  <c r="O160" i="2"/>
  <c r="O152" i="2"/>
  <c r="O208" i="2"/>
  <c r="O264" i="2"/>
  <c r="O184" i="2"/>
  <c r="O48" i="2"/>
  <c r="M294" i="1" l="1"/>
  <c r="M345" i="1"/>
  <c r="M212" i="1"/>
  <c r="M147" i="1"/>
  <c r="M177" i="1"/>
  <c r="M124" i="1"/>
  <c r="M225" i="1"/>
  <c r="M240" i="1"/>
  <c r="M397" i="1"/>
  <c r="M237" i="1"/>
  <c r="M378" i="1"/>
  <c r="M61" i="1"/>
  <c r="M130" i="1"/>
  <c r="M370" i="1"/>
  <c r="M188" i="1"/>
  <c r="M394" i="1"/>
  <c r="M352" i="1"/>
  <c r="M390" i="1"/>
  <c r="M164" i="1"/>
  <c r="M85" i="1"/>
  <c r="M156" i="1"/>
  <c r="M323" i="1"/>
  <c r="M356" i="1"/>
  <c r="M16" i="1"/>
  <c r="M195" i="1"/>
  <c r="M366" i="1"/>
  <c r="M95" i="1"/>
  <c r="M41" i="1"/>
  <c r="M140" i="1"/>
  <c r="M256" i="1"/>
  <c r="M282" i="1"/>
  <c r="M86" i="1"/>
  <c r="M122" i="1"/>
  <c r="M383" i="1"/>
  <c r="M69" i="1"/>
  <c r="M75" i="1"/>
  <c r="M388" i="1"/>
  <c r="M80" i="1"/>
  <c r="M382" i="1"/>
  <c r="M174" i="1"/>
  <c r="M14" i="1"/>
  <c r="M117" i="1"/>
  <c r="M298" i="1"/>
  <c r="M104" i="1"/>
  <c r="M175" i="1"/>
  <c r="M277" i="1"/>
  <c r="M58" i="1"/>
  <c r="M210" i="1"/>
  <c r="M55" i="1"/>
  <c r="M360" i="1"/>
  <c r="M230" i="1"/>
  <c r="M43" i="1"/>
  <c r="M216" i="1"/>
  <c r="M269" i="1"/>
  <c r="M280" i="1"/>
  <c r="M208" i="1"/>
  <c r="M349" i="1"/>
  <c r="M272" i="1"/>
  <c r="M178" i="1"/>
  <c r="M33" i="1"/>
  <c r="M242" i="1"/>
  <c r="M88" i="1"/>
  <c r="M29" i="1"/>
  <c r="M398" i="1"/>
  <c r="M231" i="1"/>
  <c r="M373" i="1"/>
  <c r="M278" i="1"/>
  <c r="M350" i="1"/>
  <c r="M70" i="1"/>
  <c r="M255" i="1"/>
  <c r="M45" i="1"/>
  <c r="M308" i="1"/>
  <c r="M305" i="1"/>
  <c r="M310" i="1"/>
  <c r="M266" i="1"/>
  <c r="M199" i="1"/>
  <c r="M385" i="1"/>
  <c r="M40" i="1"/>
  <c r="M151" i="1"/>
  <c r="M206" i="1"/>
  <c r="M94" i="1"/>
  <c r="M235" i="1"/>
  <c r="M49" i="1"/>
  <c r="M52" i="1"/>
  <c r="M287" i="1"/>
  <c r="M90" i="1"/>
  <c r="M288" i="1"/>
  <c r="M274" i="1"/>
  <c r="M224" i="1"/>
  <c r="M74" i="1"/>
  <c r="M318" i="1"/>
  <c r="M296" i="1"/>
  <c r="M79" i="1"/>
  <c r="M7" i="1"/>
  <c r="M42" i="1"/>
  <c r="M170" i="1"/>
  <c r="M362" i="1"/>
  <c r="M27" i="1"/>
  <c r="M335" i="1"/>
  <c r="M324" i="1"/>
  <c r="M65" i="1"/>
  <c r="M227" i="1"/>
  <c r="M101" i="1"/>
  <c r="M143" i="1"/>
  <c r="M391" i="1"/>
  <c r="M286" i="1"/>
  <c r="M299" i="1"/>
  <c r="M238" i="1"/>
  <c r="M369" i="1"/>
  <c r="M155" i="1"/>
  <c r="M185" i="1"/>
  <c r="M361" i="1"/>
  <c r="M13" i="1"/>
  <c r="M353" i="1"/>
  <c r="L403" i="4"/>
  <c r="L402" i="4"/>
  <c r="K2" i="3"/>
  <c r="O2" i="2"/>
  <c r="J402" i="2"/>
  <c r="J403" i="2"/>
  <c r="M179" i="1" l="1"/>
  <c r="M340" i="1"/>
  <c r="M309" i="1"/>
  <c r="M354" i="1"/>
  <c r="M297" i="1"/>
  <c r="M12" i="1"/>
  <c r="M202" i="1"/>
  <c r="M99" i="1"/>
  <c r="M205" i="1"/>
  <c r="M159" i="1"/>
  <c r="M110" i="1"/>
  <c r="M384" i="1"/>
  <c r="M245" i="1"/>
  <c r="M222" i="1"/>
  <c r="M111" i="1"/>
  <c r="M148" i="1"/>
  <c r="M158" i="1"/>
  <c r="M91" i="1"/>
  <c r="M189" i="1"/>
  <c r="M399" i="1"/>
  <c r="M374" i="1"/>
  <c r="M126" i="1"/>
  <c r="M62" i="1"/>
  <c r="M377" i="1"/>
  <c r="M317" i="1"/>
  <c r="M332" i="1"/>
  <c r="M102" i="1"/>
  <c r="M379" i="1"/>
  <c r="M250" i="1"/>
  <c r="M381" i="1"/>
  <c r="M365" i="1"/>
  <c r="M268" i="1"/>
  <c r="M275" i="1"/>
  <c r="M259" i="1"/>
  <c r="M251" i="1"/>
  <c r="M395" i="1"/>
  <c r="M325" i="1"/>
  <c r="M364" i="1"/>
  <c r="M292" i="1"/>
  <c r="M35" i="1"/>
  <c r="M387" i="1"/>
  <c r="M18" i="1"/>
  <c r="M66" i="1"/>
  <c r="M19" i="1"/>
  <c r="M71" i="1"/>
  <c r="M357" i="1"/>
  <c r="M115" i="1"/>
  <c r="M50" i="1"/>
  <c r="M89" i="1"/>
  <c r="M87" i="1"/>
  <c r="M82" i="1"/>
  <c r="M186" i="1"/>
  <c r="M343" i="1"/>
  <c r="M301" i="1"/>
  <c r="M51" i="1"/>
  <c r="M98" i="1"/>
  <c r="M150" i="1"/>
  <c r="M107" i="1"/>
  <c r="M334" i="1"/>
  <c r="M180" i="1"/>
  <c r="M327" i="1"/>
  <c r="M367" i="1"/>
  <c r="M141" i="1"/>
  <c r="M187" i="1"/>
  <c r="M114" i="1"/>
  <c r="M145" i="1"/>
  <c r="M215" i="1"/>
  <c r="M211" i="1"/>
  <c r="M220" i="1"/>
  <c r="M34" i="1"/>
  <c r="M258" i="1"/>
  <c r="M120" i="1"/>
  <c r="M201" i="1"/>
  <c r="M149" i="1"/>
  <c r="M57" i="1"/>
  <c r="M129" i="1"/>
  <c r="M44" i="1"/>
  <c r="M9" i="1"/>
  <c r="M355" i="1"/>
  <c r="M262" i="1"/>
  <c r="M163" i="1"/>
  <c r="M23" i="1"/>
  <c r="M252" i="1"/>
  <c r="M363" i="1"/>
  <c r="M8" i="1"/>
  <c r="M396" i="1"/>
  <c r="M123" i="1"/>
  <c r="M146" i="1"/>
  <c r="M105" i="1"/>
  <c r="M54" i="1"/>
  <c r="M152" i="1"/>
  <c r="M116" i="1"/>
  <c r="M191" i="1"/>
  <c r="M368" i="1"/>
  <c r="M276" i="1"/>
  <c r="M196" i="1"/>
  <c r="M109" i="1"/>
  <c r="M346" i="1"/>
  <c r="M63" i="1"/>
  <c r="M328" i="1"/>
  <c r="M166" i="1"/>
  <c r="M223" i="1"/>
  <c r="M204" i="1"/>
  <c r="M198" i="1"/>
  <c r="M326" i="1"/>
  <c r="M168" i="1"/>
  <c r="M190" i="1"/>
  <c r="M96" i="1"/>
  <c r="M153" i="1"/>
  <c r="M6" i="1"/>
  <c r="M341" i="1"/>
  <c r="M125" i="1"/>
  <c r="M72" i="1"/>
  <c r="M329" i="1"/>
  <c r="M290" i="1"/>
  <c r="M348" i="1"/>
  <c r="M162" i="1"/>
  <c r="M344" i="1"/>
  <c r="M134" i="1"/>
  <c r="M330" i="1"/>
  <c r="M207" i="1"/>
  <c r="M300" i="1"/>
  <c r="M339" i="1"/>
  <c r="M11" i="1"/>
  <c r="M247" i="1"/>
  <c r="M264" i="1"/>
  <c r="M137" i="1"/>
  <c r="M194" i="1"/>
  <c r="M59" i="1"/>
  <c r="M73" i="1"/>
  <c r="M236" i="1"/>
  <c r="M291" i="1"/>
  <c r="M135" i="1"/>
  <c r="M118" i="1"/>
  <c r="M271" i="1"/>
  <c r="M121" i="1"/>
  <c r="M106" i="1"/>
  <c r="M219" i="1"/>
  <c r="M193" i="1"/>
  <c r="M351" i="1"/>
  <c r="M119" i="1"/>
  <c r="M181" i="1"/>
  <c r="M303" i="1"/>
  <c r="M10" i="1"/>
  <c r="M192" i="1"/>
  <c r="M244" i="1"/>
  <c r="M293" i="1"/>
  <c r="M157" i="1"/>
  <c r="M92" i="1"/>
  <c r="M200" i="1"/>
  <c r="M48" i="1"/>
  <c r="M172" i="1"/>
  <c r="M331" i="1"/>
  <c r="M30" i="1"/>
  <c r="M263" i="1"/>
  <c r="M267" i="1"/>
  <c r="M228" i="1"/>
  <c r="M138" i="1"/>
  <c r="M371" i="1"/>
  <c r="M4" i="1"/>
  <c r="M203" i="1"/>
  <c r="M108" i="1"/>
  <c r="M270" i="1"/>
  <c r="M226" i="1"/>
  <c r="M279" i="1"/>
  <c r="M112" i="1"/>
  <c r="M39" i="1"/>
  <c r="M136" i="1"/>
  <c r="M127" i="1"/>
  <c r="M20" i="1"/>
  <c r="M154" i="1"/>
  <c r="M380" i="1"/>
  <c r="M161" i="1"/>
  <c r="M46" i="1"/>
  <c r="M246" i="1"/>
  <c r="M132" i="1"/>
  <c r="M233" i="1"/>
  <c r="M320" i="1"/>
  <c r="M336" i="1"/>
  <c r="M234" i="1"/>
  <c r="M347" i="1"/>
  <c r="M169" i="1"/>
  <c r="M38" i="1"/>
  <c r="M167" i="1"/>
  <c r="M359" i="1"/>
  <c r="M257" i="1"/>
  <c r="M93" i="1"/>
  <c r="M128" i="1"/>
  <c r="M273" i="1"/>
  <c r="M376" i="1"/>
  <c r="M97" i="1"/>
  <c r="M209" i="1"/>
  <c r="M47" i="1"/>
  <c r="M221" i="1"/>
  <c r="M77" i="1"/>
  <c r="M386" i="1"/>
  <c r="M76" i="1"/>
  <c r="M78" i="1"/>
  <c r="M184" i="1"/>
  <c r="M131" i="1"/>
  <c r="M100" i="1"/>
  <c r="M160" i="1"/>
  <c r="M64" i="1"/>
  <c r="M241" i="1"/>
  <c r="M372" i="1"/>
  <c r="M171" i="1"/>
  <c r="M313" i="1"/>
  <c r="M103" i="1"/>
  <c r="M375" i="1"/>
  <c r="M358" i="1"/>
  <c r="M218" i="1"/>
  <c r="M68" i="1"/>
  <c r="M393" i="1"/>
  <c r="M289" i="1"/>
  <c r="M213" i="1"/>
  <c r="M182" i="1"/>
  <c r="M144" i="1"/>
  <c r="M314" i="1"/>
  <c r="M183" i="1"/>
  <c r="M3" i="1"/>
  <c r="M400" i="1"/>
  <c r="M24" i="1"/>
  <c r="M25" i="1"/>
  <c r="M84" i="1"/>
  <c r="M22" i="1"/>
  <c r="M139" i="1"/>
  <c r="M113" i="1"/>
  <c r="M316" i="1"/>
  <c r="M28" i="1"/>
  <c r="M5" i="1"/>
  <c r="M32" i="1"/>
  <c r="M83" i="1"/>
  <c r="M81" i="1"/>
  <c r="M21" i="1"/>
  <c r="M60" i="1"/>
  <c r="M284" i="1"/>
  <c r="M389" i="1"/>
  <c r="M67" i="1"/>
  <c r="M36" i="1"/>
  <c r="M56" i="1"/>
  <c r="M322" i="1"/>
  <c r="M307" i="1"/>
  <c r="M260" i="1"/>
  <c r="M249" i="1"/>
  <c r="M319" i="1"/>
  <c r="M248" i="1"/>
  <c r="M304" i="1"/>
  <c r="M229" i="1"/>
  <c r="M306" i="1"/>
  <c r="M232" i="1"/>
  <c r="M26" i="1"/>
  <c r="M15" i="1"/>
  <c r="M312" i="1"/>
  <c r="M392" i="1"/>
  <c r="M239" i="1"/>
  <c r="M133" i="1"/>
  <c r="M302" i="1"/>
  <c r="M283" i="1"/>
  <c r="M338" i="1"/>
  <c r="M253" i="1"/>
  <c r="M342" i="1"/>
  <c r="M217" i="1"/>
  <c r="M173" i="1"/>
  <c r="M243" i="1"/>
  <c r="M261" i="1"/>
  <c r="M31" i="1"/>
  <c r="M295" i="1"/>
  <c r="M165" i="1"/>
  <c r="M321" i="1"/>
  <c r="M37" i="1"/>
  <c r="M281" i="1"/>
  <c r="M176" i="1"/>
  <c r="M53" i="1"/>
  <c r="M17" i="1"/>
  <c r="M214" i="1"/>
  <c r="M142" i="1"/>
  <c r="M265" i="1"/>
  <c r="M285" i="1"/>
  <c r="M197" i="1"/>
  <c r="M311" i="1"/>
  <c r="M254" i="1"/>
  <c r="M333" i="1"/>
  <c r="M315" i="1"/>
  <c r="K401" i="3"/>
  <c r="K402" i="3"/>
  <c r="M2" i="1" l="1"/>
  <c r="M337" i="1"/>
  <c r="D9" i="5"/>
  <c r="D7" i="5"/>
  <c r="D8" i="5"/>
  <c r="D4" i="5"/>
  <c r="D5" i="5"/>
  <c r="D2" i="5"/>
  <c r="D6" i="5"/>
  <c r="D3" i="5"/>
  <c r="M401" i="1" l="1"/>
  <c r="P6" i="5"/>
  <c r="S402" i="1" l="1"/>
  <c r="F10" i="5" s="1"/>
  <c r="H8" i="5" l="1"/>
  <c r="H2" i="5"/>
  <c r="D2" i="1" s="1"/>
  <c r="H5" i="5"/>
  <c r="H4" i="5"/>
  <c r="H9" i="5"/>
  <c r="H7" i="5"/>
  <c r="H3" i="5"/>
  <c r="D3" i="1" s="1"/>
  <c r="J3" i="1" s="1"/>
  <c r="H6" i="5"/>
  <c r="J2" i="1" l="1"/>
  <c r="K2" i="1" s="1"/>
  <c r="D170" i="1"/>
  <c r="D153" i="1"/>
  <c r="D119" i="1"/>
  <c r="D161" i="1"/>
  <c r="D127" i="1"/>
  <c r="D202" i="1"/>
  <c r="D223" i="1"/>
  <c r="D226" i="1"/>
  <c r="D239" i="1"/>
  <c r="D233" i="1"/>
  <c r="D125" i="1"/>
  <c r="D112" i="1"/>
  <c r="D117" i="1"/>
  <c r="D196" i="1"/>
  <c r="D177" i="1"/>
  <c r="D192" i="1"/>
  <c r="D203" i="1"/>
  <c r="D157" i="1"/>
  <c r="D165" i="1"/>
  <c r="D171" i="1"/>
  <c r="D111" i="1"/>
  <c r="D235" i="1"/>
  <c r="D253" i="1"/>
  <c r="D210" i="1"/>
  <c r="D149" i="1"/>
  <c r="D268" i="1"/>
  <c r="D181" i="1"/>
  <c r="D252" i="1"/>
  <c r="D183" i="1"/>
  <c r="D150" i="1"/>
  <c r="D206" i="1"/>
  <c r="D278" i="1"/>
  <c r="D289" i="1"/>
  <c r="D143" i="1"/>
  <c r="D228" i="1"/>
  <c r="D213" i="1"/>
  <c r="D137" i="1"/>
  <c r="D285" i="1"/>
  <c r="D103" i="1"/>
  <c r="D199" i="1"/>
  <c r="D282" i="1"/>
  <c r="D251" i="1"/>
  <c r="D124" i="1"/>
  <c r="D273" i="1"/>
  <c r="D249" i="1"/>
  <c r="D115" i="1"/>
  <c r="D179" i="1"/>
  <c r="D277" i="1"/>
  <c r="D118" i="1"/>
  <c r="D254" i="1"/>
  <c r="D248" i="1"/>
  <c r="D121" i="1"/>
  <c r="D142" i="1"/>
  <c r="D291" i="1"/>
  <c r="D148" i="1"/>
  <c r="D296" i="1"/>
  <c r="D284" i="1"/>
  <c r="D154" i="1"/>
  <c r="D94" i="1"/>
  <c r="D167" i="1"/>
  <c r="D198" i="1"/>
  <c r="D259" i="1"/>
  <c r="D104" i="1"/>
  <c r="D133" i="1"/>
  <c r="D216" i="1"/>
  <c r="D279" i="1"/>
  <c r="D141" i="1"/>
  <c r="D134" i="1"/>
  <c r="D236" i="1"/>
  <c r="D269" i="1"/>
  <c r="D222" i="1"/>
  <c r="D261" i="1"/>
  <c r="D275" i="1"/>
  <c r="D145" i="1"/>
  <c r="D187" i="1"/>
  <c r="D190" i="1"/>
  <c r="D110" i="1"/>
  <c r="D242" i="1"/>
  <c r="D129" i="1"/>
  <c r="D255" i="1"/>
  <c r="D98" i="1"/>
  <c r="D144" i="1"/>
  <c r="D185" i="1"/>
  <c r="D267" i="1"/>
  <c r="D151" i="1"/>
  <c r="D116" i="1"/>
  <c r="D263" i="1"/>
  <c r="D178" i="1"/>
  <c r="D138" i="1"/>
  <c r="D270" i="1"/>
  <c r="D219" i="1"/>
  <c r="D164" i="1"/>
  <c r="D280" i="1"/>
  <c r="D271" i="1"/>
  <c r="D182" i="1"/>
  <c r="D200" i="1"/>
  <c r="D135" i="1"/>
  <c r="D220" i="1"/>
  <c r="D197" i="1"/>
  <c r="D130" i="1"/>
  <c r="D229" i="1"/>
  <c r="D173" i="1"/>
  <c r="D163" i="1"/>
  <c r="D191" i="1"/>
  <c r="D260" i="1"/>
  <c r="D120" i="1"/>
  <c r="D204" i="1"/>
  <c r="D97" i="1"/>
  <c r="D155" i="1"/>
  <c r="D244" i="1"/>
  <c r="D160" i="1"/>
  <c r="D209" i="1"/>
  <c r="D224" i="1"/>
  <c r="D262" i="1"/>
  <c r="D107" i="1"/>
  <c r="D162" i="1"/>
  <c r="D290" i="1"/>
  <c r="D234" i="1"/>
  <c r="D258" i="1"/>
  <c r="D286" i="1"/>
  <c r="D238" i="1"/>
  <c r="D297" i="1"/>
  <c r="D207" i="1"/>
  <c r="D225" i="1"/>
  <c r="D294" i="1"/>
  <c r="D266" i="1"/>
  <c r="D172" i="1"/>
  <c r="D101" i="1"/>
  <c r="D180" i="1"/>
  <c r="D166" i="1"/>
  <c r="D250" i="1"/>
  <c r="D128" i="1"/>
  <c r="D159" i="1"/>
  <c r="D298" i="1"/>
  <c r="D176" i="1"/>
  <c r="D201" i="1"/>
  <c r="D292" i="1"/>
  <c r="D195" i="1"/>
  <c r="D139" i="1"/>
  <c r="D136" i="1"/>
  <c r="D288" i="1"/>
  <c r="D272" i="1"/>
  <c r="D265" i="1"/>
  <c r="D212" i="1"/>
  <c r="D208" i="1"/>
  <c r="D205" i="1"/>
  <c r="D264" i="1"/>
  <c r="D194" i="1"/>
  <c r="D189" i="1"/>
  <c r="D287" i="1"/>
  <c r="D257" i="1"/>
  <c r="D168" i="1"/>
  <c r="D188" i="1"/>
  <c r="D227" i="1"/>
  <c r="D276" i="1"/>
  <c r="D247" i="1"/>
  <c r="D241" i="1"/>
  <c r="D214" i="1"/>
  <c r="D146" i="1"/>
  <c r="D232" i="1"/>
  <c r="D126" i="1"/>
  <c r="D215" i="1"/>
  <c r="D152" i="1"/>
  <c r="D237" i="1"/>
  <c r="D230" i="1"/>
  <c r="D184" i="1"/>
  <c r="D156" i="1"/>
  <c r="D169" i="1"/>
  <c r="D211" i="1"/>
  <c r="D100" i="1"/>
  <c r="D281" i="1"/>
  <c r="D123" i="1"/>
  <c r="D96" i="1"/>
  <c r="D114" i="1"/>
  <c r="D109" i="1"/>
  <c r="D218" i="1"/>
  <c r="D147" i="1"/>
  <c r="D243" i="1"/>
  <c r="D246" i="1"/>
  <c r="D175" i="1"/>
  <c r="D99" i="1"/>
  <c r="D158" i="1"/>
  <c r="D105" i="1"/>
  <c r="D256" i="1"/>
  <c r="D131" i="1"/>
  <c r="D231" i="1"/>
  <c r="D295" i="1"/>
  <c r="D274" i="1"/>
  <c r="D95" i="1"/>
  <c r="D283" i="1"/>
  <c r="D108" i="1"/>
  <c r="D186" i="1"/>
  <c r="D293" i="1"/>
  <c r="D132" i="1"/>
  <c r="D193" i="1"/>
  <c r="D240" i="1"/>
  <c r="D245" i="1"/>
  <c r="D221" i="1"/>
  <c r="D122" i="1"/>
  <c r="D113" i="1"/>
  <c r="D217" i="1"/>
  <c r="D174" i="1"/>
  <c r="D106" i="1"/>
  <c r="D102" i="1"/>
  <c r="D140" i="1"/>
  <c r="D25" i="1"/>
  <c r="J25" i="1" s="1"/>
  <c r="D28" i="1"/>
  <c r="J28" i="1" s="1"/>
  <c r="D30" i="1"/>
  <c r="J30" i="1" s="1"/>
  <c r="D24" i="1"/>
  <c r="J24" i="1" s="1"/>
  <c r="D27" i="1"/>
  <c r="J27" i="1" s="1"/>
  <c r="D31" i="1"/>
  <c r="J31" i="1" s="1"/>
  <c r="D29" i="1"/>
  <c r="J29" i="1" s="1"/>
  <c r="D26" i="1"/>
  <c r="J26" i="1" s="1"/>
  <c r="K3" i="1"/>
  <c r="N3" i="1" s="1"/>
  <c r="D61" i="1"/>
  <c r="D69" i="1"/>
  <c r="D58" i="1"/>
  <c r="D45" i="1"/>
  <c r="D60" i="1"/>
  <c r="D79" i="1"/>
  <c r="D83" i="1"/>
  <c r="D62" i="1"/>
  <c r="D64" i="1"/>
  <c r="D80" i="1"/>
  <c r="D89" i="1"/>
  <c r="D67" i="1"/>
  <c r="D66" i="1"/>
  <c r="D50" i="1"/>
  <c r="D73" i="1"/>
  <c r="D82" i="1"/>
  <c r="D34" i="1"/>
  <c r="D85" i="1"/>
  <c r="D41" i="1"/>
  <c r="D76" i="1"/>
  <c r="D43" i="1"/>
  <c r="D44" i="1"/>
  <c r="D75" i="1"/>
  <c r="D56" i="1"/>
  <c r="D78" i="1"/>
  <c r="D38" i="1"/>
  <c r="D53" i="1"/>
  <c r="D91" i="1"/>
  <c r="D55" i="1"/>
  <c r="D49" i="1"/>
  <c r="D92" i="1"/>
  <c r="D70" i="1"/>
  <c r="D54" i="1"/>
  <c r="D39" i="1"/>
  <c r="D37" i="1"/>
  <c r="D47" i="1"/>
  <c r="D32" i="1"/>
  <c r="D52" i="1"/>
  <c r="D77" i="1"/>
  <c r="D35" i="1"/>
  <c r="D59" i="1"/>
  <c r="D48" i="1"/>
  <c r="D71" i="1"/>
  <c r="D65" i="1"/>
  <c r="D74" i="1"/>
  <c r="D90" i="1"/>
  <c r="D81" i="1"/>
  <c r="D33" i="1"/>
  <c r="D42" i="1"/>
  <c r="D46" i="1"/>
  <c r="D87" i="1"/>
  <c r="D88" i="1"/>
  <c r="D63" i="1"/>
  <c r="D40" i="1"/>
  <c r="D36" i="1"/>
  <c r="D57" i="1"/>
  <c r="D72" i="1"/>
  <c r="D51" i="1"/>
  <c r="D86" i="1"/>
  <c r="D84" i="1"/>
  <c r="D93" i="1"/>
  <c r="D68" i="1"/>
  <c r="D328" i="1"/>
  <c r="D316" i="1"/>
  <c r="D305" i="1"/>
  <c r="D382" i="1"/>
  <c r="D319" i="1"/>
  <c r="D325" i="1"/>
  <c r="D384" i="1"/>
  <c r="D398" i="1"/>
  <c r="D359" i="1"/>
  <c r="D322" i="1"/>
  <c r="D388" i="1"/>
  <c r="D344" i="1"/>
  <c r="D400" i="1"/>
  <c r="D336" i="1"/>
  <c r="D313" i="1"/>
  <c r="D391" i="1"/>
  <c r="D308" i="1"/>
  <c r="D365" i="1"/>
  <c r="D356" i="1"/>
  <c r="D330" i="1"/>
  <c r="D301" i="1"/>
  <c r="D340" i="1"/>
  <c r="D347" i="1"/>
  <c r="D303" i="1"/>
  <c r="D394" i="1"/>
  <c r="D317" i="1"/>
  <c r="D300" i="1"/>
  <c r="D314" i="1"/>
  <c r="D324" i="1"/>
  <c r="D360" i="1"/>
  <c r="D358" i="1"/>
  <c r="D310" i="1"/>
  <c r="D331" i="1"/>
  <c r="D381" i="1"/>
  <c r="D350" i="1"/>
  <c r="D389" i="1"/>
  <c r="D376" i="1"/>
  <c r="D374" i="1"/>
  <c r="D351" i="1"/>
  <c r="D338" i="1"/>
  <c r="D377" i="1"/>
  <c r="D383" i="1"/>
  <c r="D387" i="1"/>
  <c r="D366" i="1"/>
  <c r="D318" i="1"/>
  <c r="D339" i="1"/>
  <c r="D335" i="1"/>
  <c r="D372" i="1"/>
  <c r="D368" i="1"/>
  <c r="D357" i="1"/>
  <c r="D397" i="1"/>
  <c r="D327" i="1"/>
  <c r="D399" i="1"/>
  <c r="D378" i="1"/>
  <c r="D390" i="1"/>
  <c r="D363" i="1"/>
  <c r="D348" i="1"/>
  <c r="D299" i="1"/>
  <c r="D353" i="1"/>
  <c r="D392" i="1"/>
  <c r="D306" i="1"/>
  <c r="D354" i="1"/>
  <c r="D333" i="1"/>
  <c r="D320" i="1"/>
  <c r="D379" i="1"/>
  <c r="D396" i="1"/>
  <c r="D334" i="1"/>
  <c r="D326" i="1"/>
  <c r="D309" i="1"/>
  <c r="D386" i="1"/>
  <c r="D393" i="1"/>
  <c r="D355" i="1"/>
  <c r="D373" i="1"/>
  <c r="D337" i="1"/>
  <c r="D349" i="1"/>
  <c r="D304" i="1"/>
  <c r="D385" i="1"/>
  <c r="D395" i="1"/>
  <c r="D369" i="1"/>
  <c r="D375" i="1"/>
  <c r="D346" i="1"/>
  <c r="D362" i="1"/>
  <c r="D380" i="1"/>
  <c r="D364" i="1"/>
  <c r="D307" i="1"/>
  <c r="D332" i="1"/>
  <c r="D315" i="1"/>
  <c r="D361" i="1"/>
  <c r="D311" i="1"/>
  <c r="D343" i="1"/>
  <c r="D370" i="1"/>
  <c r="D367" i="1"/>
  <c r="D352" i="1"/>
  <c r="D321" i="1"/>
  <c r="D345" i="1"/>
  <c r="D312" i="1"/>
  <c r="D302" i="1"/>
  <c r="D371" i="1"/>
  <c r="D323" i="1"/>
  <c r="D341" i="1"/>
  <c r="D329" i="1"/>
  <c r="D342" i="1"/>
  <c r="D8" i="1"/>
  <c r="J8" i="1" s="1"/>
  <c r="D6" i="1"/>
  <c r="J6" i="1" s="1"/>
  <c r="D5" i="1"/>
  <c r="J5" i="1" s="1"/>
  <c r="D7" i="1"/>
  <c r="D9" i="1"/>
  <c r="J9" i="1" s="1"/>
  <c r="D4" i="1"/>
  <c r="J4" i="1" s="1"/>
  <c r="D16" i="1"/>
  <c r="J16" i="1" s="1"/>
  <c r="D23" i="1"/>
  <c r="J23" i="1" s="1"/>
  <c r="D15" i="1"/>
  <c r="J15" i="1" s="1"/>
  <c r="D20" i="1"/>
  <c r="J20" i="1" s="1"/>
  <c r="D11" i="1"/>
  <c r="J11" i="1" s="1"/>
  <c r="D10" i="1"/>
  <c r="J10" i="1" s="1"/>
  <c r="D14" i="1"/>
  <c r="J14" i="1" s="1"/>
  <c r="D18" i="1"/>
  <c r="J18" i="1" s="1"/>
  <c r="D12" i="1"/>
  <c r="J12" i="1" s="1"/>
  <c r="D13" i="1"/>
  <c r="J13" i="1" s="1"/>
  <c r="D19" i="1"/>
  <c r="J19" i="1" s="1"/>
  <c r="D21" i="1"/>
  <c r="J21" i="1" s="1"/>
  <c r="D17" i="1"/>
  <c r="J17" i="1" s="1"/>
  <c r="D22" i="1"/>
  <c r="J22" i="1" s="1"/>
  <c r="T7" i="1" l="1"/>
  <c r="J7" i="1"/>
  <c r="T22" i="1"/>
  <c r="T17" i="1"/>
  <c r="T25" i="1"/>
  <c r="U25" i="1" s="1"/>
  <c r="T31" i="1"/>
  <c r="U31" i="1" s="1"/>
  <c r="T13" i="1"/>
  <c r="U13" i="1" s="1"/>
  <c r="T5" i="1"/>
  <c r="U5" i="1" s="1"/>
  <c r="T10" i="1"/>
  <c r="T21" i="1"/>
  <c r="U21" i="1" s="1"/>
  <c r="T23" i="1"/>
  <c r="T12" i="1"/>
  <c r="T18" i="1"/>
  <c r="U18" i="1" s="1"/>
  <c r="T4" i="1"/>
  <c r="U4" i="1" s="1"/>
  <c r="T20" i="1"/>
  <c r="U20" i="1" s="1"/>
  <c r="T8" i="1"/>
  <c r="U8" i="1" s="1"/>
  <c r="T19" i="1"/>
  <c r="T15" i="1"/>
  <c r="T29" i="1"/>
  <c r="U29" i="1" s="1"/>
  <c r="T27" i="1"/>
  <c r="U27" i="1" s="1"/>
  <c r="T16" i="1"/>
  <c r="T24" i="1"/>
  <c r="U24" i="1" s="1"/>
  <c r="T14" i="1"/>
  <c r="U14" i="1" s="1"/>
  <c r="T9" i="1"/>
  <c r="U9" i="1" s="1"/>
  <c r="T30" i="1"/>
  <c r="T28" i="1"/>
  <c r="U28" i="1" s="1"/>
  <c r="T11" i="1"/>
  <c r="T2" i="1"/>
  <c r="U2" i="1" s="1"/>
  <c r="T6" i="1"/>
  <c r="U6" i="1" s="1"/>
  <c r="T26" i="1"/>
  <c r="U26" i="1" s="1"/>
  <c r="T3" i="1"/>
  <c r="U3" i="1" s="1"/>
  <c r="T321" i="1"/>
  <c r="U321" i="1" s="1"/>
  <c r="J333" i="1"/>
  <c r="K333" i="1" s="1"/>
  <c r="N333" i="1" s="1"/>
  <c r="T316" i="1"/>
  <c r="U316" i="1" s="1"/>
  <c r="J358" i="1"/>
  <c r="K358" i="1" s="1"/>
  <c r="N358" i="1" s="1"/>
  <c r="T32" i="1"/>
  <c r="U32" i="1" s="1"/>
  <c r="J32" i="1"/>
  <c r="K32" i="1" s="1"/>
  <c r="N32" i="1" s="1"/>
  <c r="T297" i="1"/>
  <c r="U297" i="1" s="1"/>
  <c r="J102" i="1"/>
  <c r="K102" i="1" s="1"/>
  <c r="N102" i="1" s="1"/>
  <c r="T205" i="1"/>
  <c r="U205" i="1" s="1"/>
  <c r="J237" i="1"/>
  <c r="K237" i="1" s="1"/>
  <c r="N237" i="1" s="1"/>
  <c r="T169" i="1"/>
  <c r="U169" i="1" s="1"/>
  <c r="J136" i="1"/>
  <c r="K136" i="1" s="1"/>
  <c r="N136" i="1" s="1"/>
  <c r="T281" i="1"/>
  <c r="U281" i="1" s="1"/>
  <c r="J97" i="1"/>
  <c r="K97" i="1" s="1"/>
  <c r="N97" i="1" s="1"/>
  <c r="T141" i="1"/>
  <c r="U141" i="1" s="1"/>
  <c r="J130" i="1"/>
  <c r="K130" i="1" s="1"/>
  <c r="N130" i="1" s="1"/>
  <c r="T279" i="1"/>
  <c r="U279" i="1" s="1"/>
  <c r="J164" i="1"/>
  <c r="K164" i="1" s="1"/>
  <c r="N164" i="1" s="1"/>
  <c r="T233" i="1"/>
  <c r="U233" i="1" s="1"/>
  <c r="J267" i="1"/>
  <c r="K267" i="1" s="1"/>
  <c r="N267" i="1" s="1"/>
  <c r="T211" i="1"/>
  <c r="U211" i="1" s="1"/>
  <c r="J190" i="1"/>
  <c r="K190" i="1" s="1"/>
  <c r="N190" i="1" s="1"/>
  <c r="T170" i="1"/>
  <c r="U170" i="1" s="1"/>
  <c r="J134" i="1"/>
  <c r="K134" i="1" s="1"/>
  <c r="N134" i="1" s="1"/>
  <c r="T164" i="1"/>
  <c r="U164" i="1" s="1"/>
  <c r="J167" i="1"/>
  <c r="K167" i="1" s="1"/>
  <c r="N167" i="1" s="1"/>
  <c r="T134" i="1"/>
  <c r="U134" i="1" s="1"/>
  <c r="J121" i="1"/>
  <c r="K121" i="1" s="1"/>
  <c r="N121" i="1" s="1"/>
  <c r="T217" i="1"/>
  <c r="U217" i="1" s="1"/>
  <c r="J273" i="1"/>
  <c r="K273" i="1" s="1"/>
  <c r="N273" i="1" s="1"/>
  <c r="T185" i="1"/>
  <c r="U185" i="1" s="1"/>
  <c r="J213" i="1"/>
  <c r="K213" i="1" s="1"/>
  <c r="N213" i="1" s="1"/>
  <c r="T161" i="1"/>
  <c r="U161" i="1" s="1"/>
  <c r="J252" i="1"/>
  <c r="K252" i="1" s="1"/>
  <c r="N252" i="1" s="1"/>
  <c r="T160" i="1"/>
  <c r="U160" i="1" s="1"/>
  <c r="J171" i="1"/>
  <c r="K171" i="1" s="1"/>
  <c r="N171" i="1" s="1"/>
  <c r="T158" i="1"/>
  <c r="U158" i="1" s="1"/>
  <c r="J112" i="1"/>
  <c r="K112" i="1" s="1"/>
  <c r="N112" i="1" s="1"/>
  <c r="T238" i="1"/>
  <c r="U238" i="1" s="1"/>
  <c r="J161" i="1"/>
  <c r="K161" i="1" s="1"/>
  <c r="N161" i="1" s="1"/>
  <c r="T301" i="1"/>
  <c r="U301" i="1" s="1"/>
  <c r="J342" i="1"/>
  <c r="K342" i="1" s="1"/>
  <c r="N342" i="1" s="1"/>
  <c r="T400" i="1"/>
  <c r="U400" i="1" s="1"/>
  <c r="J321" i="1"/>
  <c r="K321" i="1" s="1"/>
  <c r="N321" i="1" s="1"/>
  <c r="T307" i="1"/>
  <c r="U307" i="1" s="1"/>
  <c r="J332" i="1"/>
  <c r="K332" i="1" s="1"/>
  <c r="N332" i="1" s="1"/>
  <c r="T382" i="1"/>
  <c r="U382" i="1" s="1"/>
  <c r="J395" i="1"/>
  <c r="K395" i="1" s="1"/>
  <c r="N395" i="1" s="1"/>
  <c r="T381" i="1"/>
  <c r="U381" i="1" s="1"/>
  <c r="J386" i="1"/>
  <c r="K386" i="1" s="1"/>
  <c r="N386" i="1" s="1"/>
  <c r="T347" i="1"/>
  <c r="U347" i="1" s="1"/>
  <c r="J354" i="1"/>
  <c r="K354" i="1" s="1"/>
  <c r="N354" i="1" s="1"/>
  <c r="T364" i="1"/>
  <c r="U364" i="1" s="1"/>
  <c r="J378" i="1"/>
  <c r="K378" i="1" s="1"/>
  <c r="N378" i="1" s="1"/>
  <c r="T338" i="1"/>
  <c r="U338" i="1" s="1"/>
  <c r="J339" i="1"/>
  <c r="K339" i="1" s="1"/>
  <c r="N339" i="1" s="1"/>
  <c r="T367" i="1"/>
  <c r="U367" i="1" s="1"/>
  <c r="J374" i="1"/>
  <c r="K374" i="1" s="1"/>
  <c r="N374" i="1" s="1"/>
  <c r="T373" i="1"/>
  <c r="U373" i="1" s="1"/>
  <c r="J360" i="1"/>
  <c r="K360" i="1" s="1"/>
  <c r="N360" i="1" s="1"/>
  <c r="T305" i="1"/>
  <c r="J340" i="1"/>
  <c r="K340" i="1" s="1"/>
  <c r="N340" i="1" s="1"/>
  <c r="T399" i="1"/>
  <c r="U399" i="1" s="1"/>
  <c r="J336" i="1"/>
  <c r="K336" i="1" s="1"/>
  <c r="N336" i="1" s="1"/>
  <c r="T340" i="1"/>
  <c r="U340" i="1" s="1"/>
  <c r="J325" i="1"/>
  <c r="K325" i="1" s="1"/>
  <c r="N325" i="1" s="1"/>
  <c r="T84" i="1"/>
  <c r="U84" i="1" s="1"/>
  <c r="J84" i="1"/>
  <c r="K84" i="1" s="1"/>
  <c r="N84" i="1" s="1"/>
  <c r="T88" i="1"/>
  <c r="U88" i="1" s="1"/>
  <c r="J88" i="1"/>
  <c r="K88" i="1" s="1"/>
  <c r="N88" i="1" s="1"/>
  <c r="T65" i="1"/>
  <c r="U65" i="1" s="1"/>
  <c r="J65" i="1"/>
  <c r="K65" i="1" s="1"/>
  <c r="N65" i="1" s="1"/>
  <c r="T47" i="1"/>
  <c r="U47" i="1" s="1"/>
  <c r="J47" i="1"/>
  <c r="K47" i="1" s="1"/>
  <c r="N47" i="1" s="1"/>
  <c r="T91" i="1"/>
  <c r="U91" i="1" s="1"/>
  <c r="J91" i="1"/>
  <c r="K91" i="1" s="1"/>
  <c r="N91" i="1" s="1"/>
  <c r="T76" i="1"/>
  <c r="U76" i="1" s="1"/>
  <c r="J76" i="1"/>
  <c r="K76" i="1" s="1"/>
  <c r="N76" i="1" s="1"/>
  <c r="T67" i="1"/>
  <c r="U67" i="1" s="1"/>
  <c r="J67" i="1"/>
  <c r="K67" i="1" s="1"/>
  <c r="N67" i="1" s="1"/>
  <c r="T45" i="1"/>
  <c r="U45" i="1" s="1"/>
  <c r="J45" i="1"/>
  <c r="K45" i="1" s="1"/>
  <c r="N45" i="1" s="1"/>
  <c r="T121" i="1"/>
  <c r="U121" i="1" s="1"/>
  <c r="J106" i="1"/>
  <c r="K106" i="1" s="1"/>
  <c r="N106" i="1" s="1"/>
  <c r="T117" i="1"/>
  <c r="U117" i="1" s="1"/>
  <c r="J193" i="1"/>
  <c r="K193" i="1" s="1"/>
  <c r="N193" i="1" s="1"/>
  <c r="T272" i="1"/>
  <c r="U272" i="1" s="1"/>
  <c r="J295" i="1"/>
  <c r="K295" i="1" s="1"/>
  <c r="N295" i="1" s="1"/>
  <c r="T136" i="1"/>
  <c r="U136" i="1" s="1"/>
  <c r="J246" i="1"/>
  <c r="K246" i="1" s="1"/>
  <c r="N246" i="1" s="1"/>
  <c r="T176" i="1"/>
  <c r="J281" i="1"/>
  <c r="K281" i="1" s="1"/>
  <c r="N281" i="1" s="1"/>
  <c r="T278" i="1"/>
  <c r="U278" i="1" s="1"/>
  <c r="J152" i="1"/>
  <c r="K152" i="1" s="1"/>
  <c r="N152" i="1" s="1"/>
  <c r="T163" i="1"/>
  <c r="U163" i="1" s="1"/>
  <c r="J276" i="1"/>
  <c r="K276" i="1" s="1"/>
  <c r="N276" i="1" s="1"/>
  <c r="T168" i="1"/>
  <c r="U168" i="1" s="1"/>
  <c r="J264" i="1"/>
  <c r="K264" i="1" s="1"/>
  <c r="N264" i="1" s="1"/>
  <c r="T101" i="1"/>
  <c r="U101" i="1" s="1"/>
  <c r="J139" i="1"/>
  <c r="K139" i="1" s="1"/>
  <c r="N139" i="1" s="1"/>
  <c r="T212" i="1"/>
  <c r="U212" i="1" s="1"/>
  <c r="J250" i="1"/>
  <c r="K250" i="1" s="1"/>
  <c r="N250" i="1" s="1"/>
  <c r="T292" i="1"/>
  <c r="U292" i="1" s="1"/>
  <c r="J207" i="1"/>
  <c r="K207" i="1" s="1"/>
  <c r="N207" i="1" s="1"/>
  <c r="T109" i="1"/>
  <c r="U109" i="1" s="1"/>
  <c r="J107" i="1"/>
  <c r="K107" i="1" s="1"/>
  <c r="N107" i="1" s="1"/>
  <c r="T264" i="1"/>
  <c r="U264" i="1" s="1"/>
  <c r="J204" i="1"/>
  <c r="K204" i="1" s="1"/>
  <c r="N204" i="1" s="1"/>
  <c r="T196" i="1"/>
  <c r="U196" i="1" s="1"/>
  <c r="J197" i="1"/>
  <c r="K197" i="1" s="1"/>
  <c r="N197" i="1" s="1"/>
  <c r="T125" i="1"/>
  <c r="U125" i="1" s="1"/>
  <c r="J219" i="1"/>
  <c r="K219" i="1" s="1"/>
  <c r="N219" i="1" s="1"/>
  <c r="T174" i="1"/>
  <c r="U174" i="1" s="1"/>
  <c r="J185" i="1"/>
  <c r="K185" i="1" s="1"/>
  <c r="N185" i="1" s="1"/>
  <c r="T214" i="1"/>
  <c r="U214" i="1" s="1"/>
  <c r="J187" i="1"/>
  <c r="K187" i="1" s="1"/>
  <c r="N187" i="1" s="1"/>
  <c r="T222" i="1"/>
  <c r="U222" i="1" s="1"/>
  <c r="J141" i="1"/>
  <c r="K141" i="1" s="1"/>
  <c r="N141" i="1" s="1"/>
  <c r="T147" i="1"/>
  <c r="U147" i="1" s="1"/>
  <c r="J94" i="1"/>
  <c r="K94" i="1" s="1"/>
  <c r="N94" i="1" s="1"/>
  <c r="T251" i="1"/>
  <c r="U251" i="1" s="1"/>
  <c r="J248" i="1"/>
  <c r="K248" i="1" s="1"/>
  <c r="N248" i="1" s="1"/>
  <c r="T286" i="1"/>
  <c r="U286" i="1" s="1"/>
  <c r="J124" i="1"/>
  <c r="K124" i="1" s="1"/>
  <c r="N124" i="1" s="1"/>
  <c r="T133" i="1"/>
  <c r="U133" i="1" s="1"/>
  <c r="J228" i="1"/>
  <c r="K228" i="1" s="1"/>
  <c r="N228" i="1" s="1"/>
  <c r="T259" i="1"/>
  <c r="U259" i="1" s="1"/>
  <c r="J181" i="1"/>
  <c r="K181" i="1" s="1"/>
  <c r="N181" i="1" s="1"/>
  <c r="T280" i="1"/>
  <c r="U280" i="1" s="1"/>
  <c r="J165" i="1"/>
  <c r="K165" i="1" s="1"/>
  <c r="N165" i="1" s="1"/>
  <c r="T148" i="1"/>
  <c r="U148" i="1" s="1"/>
  <c r="J125" i="1"/>
  <c r="K125" i="1" s="1"/>
  <c r="N125" i="1" s="1"/>
  <c r="T257" i="1"/>
  <c r="U257" i="1" s="1"/>
  <c r="J119" i="1"/>
  <c r="K119" i="1" s="1"/>
  <c r="N119" i="1" s="1"/>
  <c r="T322" i="1"/>
  <c r="U322" i="1" s="1"/>
  <c r="J369" i="1"/>
  <c r="K369" i="1" s="1"/>
  <c r="N369" i="1" s="1"/>
  <c r="T352" i="1"/>
  <c r="U352" i="1" s="1"/>
  <c r="J313" i="1"/>
  <c r="K313" i="1" s="1"/>
  <c r="N313" i="1" s="1"/>
  <c r="T43" i="1"/>
  <c r="U43" i="1" s="1"/>
  <c r="J43" i="1"/>
  <c r="K43" i="1" s="1"/>
  <c r="N43" i="1" s="1"/>
  <c r="T146" i="1"/>
  <c r="U146" i="1" s="1"/>
  <c r="J175" i="1"/>
  <c r="K175" i="1" s="1"/>
  <c r="N175" i="1" s="1"/>
  <c r="T100" i="1"/>
  <c r="U100" i="1" s="1"/>
  <c r="J162" i="1"/>
  <c r="K162" i="1" s="1"/>
  <c r="N162" i="1" s="1"/>
  <c r="T355" i="1"/>
  <c r="U355" i="1" s="1"/>
  <c r="J385" i="1"/>
  <c r="K385" i="1" s="1"/>
  <c r="N385" i="1" s="1"/>
  <c r="T325" i="1"/>
  <c r="U325" i="1" s="1"/>
  <c r="J324" i="1"/>
  <c r="K324" i="1" s="1"/>
  <c r="N324" i="1" s="1"/>
  <c r="T87" i="1"/>
  <c r="U87" i="1" s="1"/>
  <c r="J87" i="1"/>
  <c r="K87" i="1" s="1"/>
  <c r="N87" i="1" s="1"/>
  <c r="T41" i="1"/>
  <c r="U41" i="1" s="1"/>
  <c r="J41" i="1"/>
  <c r="K41" i="1" s="1"/>
  <c r="N41" i="1" s="1"/>
  <c r="T58" i="1"/>
  <c r="U58" i="1" s="1"/>
  <c r="J58" i="1"/>
  <c r="K58" i="1" s="1"/>
  <c r="N58" i="1" s="1"/>
  <c r="T143" i="1"/>
  <c r="J243" i="1"/>
  <c r="K243" i="1" s="1"/>
  <c r="N243" i="1" s="1"/>
  <c r="T111" i="1"/>
  <c r="U111" i="1" s="1"/>
  <c r="J195" i="1"/>
  <c r="K195" i="1" s="1"/>
  <c r="N195" i="1" s="1"/>
  <c r="T203" i="1"/>
  <c r="U203" i="1" s="1"/>
  <c r="J220" i="1"/>
  <c r="K220" i="1" s="1"/>
  <c r="N220" i="1" s="1"/>
  <c r="T232" i="1"/>
  <c r="U232" i="1" s="1"/>
  <c r="J154" i="1"/>
  <c r="K154" i="1" s="1"/>
  <c r="N154" i="1" s="1"/>
  <c r="T110" i="1"/>
  <c r="U110" i="1" s="1"/>
  <c r="J233" i="1"/>
  <c r="K233" i="1" s="1"/>
  <c r="N233" i="1" s="1"/>
  <c r="T300" i="1"/>
  <c r="U300" i="1" s="1"/>
  <c r="J367" i="1"/>
  <c r="K367" i="1" s="1"/>
  <c r="N367" i="1" s="1"/>
  <c r="T362" i="1"/>
  <c r="U362" i="1" s="1"/>
  <c r="J304" i="1"/>
  <c r="K304" i="1" s="1"/>
  <c r="N304" i="1" s="1"/>
  <c r="T390" i="1"/>
  <c r="U390" i="1" s="1"/>
  <c r="J392" i="1"/>
  <c r="K392" i="1" s="1"/>
  <c r="N392" i="1" s="1"/>
  <c r="T387" i="1"/>
  <c r="J327" i="1"/>
  <c r="K327" i="1" s="1"/>
  <c r="N327" i="1" s="1"/>
  <c r="T376" i="1"/>
  <c r="J366" i="1"/>
  <c r="K366" i="1" s="1"/>
  <c r="N366" i="1" s="1"/>
  <c r="T348" i="1"/>
  <c r="U348" i="1" s="1"/>
  <c r="J389" i="1"/>
  <c r="K389" i="1" s="1"/>
  <c r="N389" i="1" s="1"/>
  <c r="T397" i="1"/>
  <c r="U397" i="1" s="1"/>
  <c r="J314" i="1"/>
  <c r="K314" i="1" s="1"/>
  <c r="N314" i="1" s="1"/>
  <c r="T377" i="1"/>
  <c r="U377" i="1" s="1"/>
  <c r="J330" i="1"/>
  <c r="K330" i="1" s="1"/>
  <c r="N330" i="1" s="1"/>
  <c r="T354" i="1"/>
  <c r="U354" i="1" s="1"/>
  <c r="J344" i="1"/>
  <c r="K344" i="1" s="1"/>
  <c r="N344" i="1" s="1"/>
  <c r="T388" i="1"/>
  <c r="U388" i="1" s="1"/>
  <c r="J382" i="1"/>
  <c r="K382" i="1" s="1"/>
  <c r="N382" i="1" s="1"/>
  <c r="T51" i="1"/>
  <c r="U51" i="1" s="1"/>
  <c r="J51" i="1"/>
  <c r="K51" i="1" s="1"/>
  <c r="N51" i="1" s="1"/>
  <c r="T46" i="1"/>
  <c r="U46" i="1" s="1"/>
  <c r="J46" i="1"/>
  <c r="K46" i="1" s="1"/>
  <c r="N46" i="1" s="1"/>
  <c r="T48" i="1"/>
  <c r="U48" i="1" s="1"/>
  <c r="J48" i="1"/>
  <c r="K48" i="1" s="1"/>
  <c r="N48" i="1" s="1"/>
  <c r="T39" i="1"/>
  <c r="U39" i="1" s="1"/>
  <c r="J39" i="1"/>
  <c r="K39" i="1" s="1"/>
  <c r="N39" i="1" s="1"/>
  <c r="T38" i="1"/>
  <c r="U38" i="1" s="1"/>
  <c r="J38" i="1"/>
  <c r="K38" i="1" s="1"/>
  <c r="N38" i="1" s="1"/>
  <c r="T85" i="1"/>
  <c r="U85" i="1" s="1"/>
  <c r="J85" i="1"/>
  <c r="K85" i="1" s="1"/>
  <c r="N85" i="1" s="1"/>
  <c r="T80" i="1"/>
  <c r="U80" i="1" s="1"/>
  <c r="J80" i="1"/>
  <c r="K80" i="1" s="1"/>
  <c r="N80" i="1" s="1"/>
  <c r="T69" i="1"/>
  <c r="U69" i="1" s="1"/>
  <c r="J69" i="1"/>
  <c r="K69" i="1" s="1"/>
  <c r="N69" i="1" s="1"/>
  <c r="T173" i="1"/>
  <c r="U173" i="1" s="1"/>
  <c r="J217" i="1"/>
  <c r="K217" i="1" s="1"/>
  <c r="N217" i="1" s="1"/>
  <c r="T189" i="1"/>
  <c r="U189" i="1" s="1"/>
  <c r="J293" i="1"/>
  <c r="K293" i="1" s="1"/>
  <c r="N293" i="1" s="1"/>
  <c r="T225" i="1"/>
  <c r="U225" i="1" s="1"/>
  <c r="J131" i="1"/>
  <c r="K131" i="1" s="1"/>
  <c r="N131" i="1" s="1"/>
  <c r="T139" i="1"/>
  <c r="U139" i="1" s="1"/>
  <c r="J147" i="1"/>
  <c r="K147" i="1" s="1"/>
  <c r="N147" i="1" s="1"/>
  <c r="T213" i="1"/>
  <c r="U213" i="1" s="1"/>
  <c r="J211" i="1"/>
  <c r="K211" i="1" s="1"/>
  <c r="N211" i="1" s="1"/>
  <c r="T180" i="1"/>
  <c r="J126" i="1"/>
  <c r="K126" i="1" s="1"/>
  <c r="N126" i="1" s="1"/>
  <c r="T218" i="1"/>
  <c r="U218" i="1" s="1"/>
  <c r="J188" i="1"/>
  <c r="K188" i="1" s="1"/>
  <c r="N188" i="1" s="1"/>
  <c r="T228" i="1"/>
  <c r="U228" i="1" s="1"/>
  <c r="J208" i="1"/>
  <c r="K208" i="1" s="1"/>
  <c r="N208" i="1" s="1"/>
  <c r="T254" i="1"/>
  <c r="U254" i="1" s="1"/>
  <c r="J292" i="1"/>
  <c r="K292" i="1" s="1"/>
  <c r="N292" i="1" s="1"/>
  <c r="T120" i="1"/>
  <c r="U120" i="1" s="1"/>
  <c r="J180" i="1"/>
  <c r="K180" i="1" s="1"/>
  <c r="N180" i="1" s="1"/>
  <c r="T219" i="1"/>
  <c r="U219" i="1" s="1"/>
  <c r="J238" i="1"/>
  <c r="K238" i="1" s="1"/>
  <c r="N238" i="1" s="1"/>
  <c r="T191" i="1"/>
  <c r="U191" i="1" s="1"/>
  <c r="J224" i="1"/>
  <c r="K224" i="1" s="1"/>
  <c r="N224" i="1" s="1"/>
  <c r="T202" i="1"/>
  <c r="U202" i="1" s="1"/>
  <c r="J260" i="1"/>
  <c r="K260" i="1" s="1"/>
  <c r="N260" i="1" s="1"/>
  <c r="T215" i="1"/>
  <c r="U215" i="1" s="1"/>
  <c r="J135" i="1"/>
  <c r="K135" i="1" s="1"/>
  <c r="N135" i="1" s="1"/>
  <c r="T151" i="1"/>
  <c r="U151" i="1" s="1"/>
  <c r="J138" i="1"/>
  <c r="K138" i="1" s="1"/>
  <c r="N138" i="1" s="1"/>
  <c r="T206" i="1"/>
  <c r="U206" i="1" s="1"/>
  <c r="J98" i="1"/>
  <c r="K98" i="1" s="1"/>
  <c r="N98" i="1" s="1"/>
  <c r="T187" i="1"/>
  <c r="U187" i="1" s="1"/>
  <c r="J275" i="1"/>
  <c r="K275" i="1" s="1"/>
  <c r="N275" i="1" s="1"/>
  <c r="T197" i="1"/>
  <c r="U197" i="1" s="1"/>
  <c r="J216" i="1"/>
  <c r="K216" i="1" s="1"/>
  <c r="N216" i="1" s="1"/>
  <c r="T283" i="1"/>
  <c r="U283" i="1" s="1"/>
  <c r="J284" i="1"/>
  <c r="K284" i="1" s="1"/>
  <c r="N284" i="1" s="1"/>
  <c r="T271" i="1"/>
  <c r="U271" i="1" s="1"/>
  <c r="J118" i="1"/>
  <c r="K118" i="1" s="1"/>
  <c r="N118" i="1" s="1"/>
  <c r="T98" i="1"/>
  <c r="U98" i="1" s="1"/>
  <c r="J282" i="1"/>
  <c r="K282" i="1" s="1"/>
  <c r="N282" i="1" s="1"/>
  <c r="T152" i="1"/>
  <c r="U152" i="1" s="1"/>
  <c r="J289" i="1"/>
  <c r="K289" i="1" s="1"/>
  <c r="N289" i="1" s="1"/>
  <c r="T236" i="1"/>
  <c r="U236" i="1" s="1"/>
  <c r="J149" i="1"/>
  <c r="K149" i="1" s="1"/>
  <c r="N149" i="1" s="1"/>
  <c r="T122" i="1"/>
  <c r="U122" i="1" s="1"/>
  <c r="J203" i="1"/>
  <c r="K203" i="1" s="1"/>
  <c r="N203" i="1" s="1"/>
  <c r="T107" i="1"/>
  <c r="U107" i="1" s="1"/>
  <c r="J239" i="1"/>
  <c r="K239" i="1" s="1"/>
  <c r="N239" i="1" s="1"/>
  <c r="T266" i="1"/>
  <c r="J170" i="1"/>
  <c r="K170" i="1" s="1"/>
  <c r="N170" i="1" s="1"/>
  <c r="T336" i="1"/>
  <c r="U336" i="1" s="1"/>
  <c r="J345" i="1"/>
  <c r="K345" i="1" s="1"/>
  <c r="N345" i="1" s="1"/>
  <c r="T339" i="1"/>
  <c r="U339" i="1" s="1"/>
  <c r="J351" i="1"/>
  <c r="K351" i="1" s="1"/>
  <c r="N351" i="1" s="1"/>
  <c r="T63" i="1"/>
  <c r="U63" i="1" s="1"/>
  <c r="J63" i="1"/>
  <c r="K63" i="1" s="1"/>
  <c r="N63" i="1" s="1"/>
  <c r="T60" i="1"/>
  <c r="U60" i="1" s="1"/>
  <c r="J60" i="1"/>
  <c r="K60" i="1" s="1"/>
  <c r="N60" i="1" s="1"/>
  <c r="T204" i="1"/>
  <c r="U204" i="1" s="1"/>
  <c r="J123" i="1"/>
  <c r="K123" i="1" s="1"/>
  <c r="N123" i="1" s="1"/>
  <c r="T249" i="1"/>
  <c r="U249" i="1" s="1"/>
  <c r="J194" i="1"/>
  <c r="K194" i="1" s="1"/>
  <c r="N194" i="1" s="1"/>
  <c r="T395" i="1"/>
  <c r="U395" i="1" s="1"/>
  <c r="J307" i="1"/>
  <c r="K307" i="1" s="1"/>
  <c r="N307" i="1" s="1"/>
  <c r="T361" i="1"/>
  <c r="U361" i="1" s="1"/>
  <c r="J399" i="1"/>
  <c r="K399" i="1" s="1"/>
  <c r="N399" i="1" s="1"/>
  <c r="T379" i="1"/>
  <c r="U379" i="1" s="1"/>
  <c r="J400" i="1"/>
  <c r="K400" i="1" s="1"/>
  <c r="N400" i="1" s="1"/>
  <c r="T89" i="1"/>
  <c r="U89" i="1" s="1"/>
  <c r="J89" i="1"/>
  <c r="K89" i="1" s="1"/>
  <c r="N89" i="1" s="1"/>
  <c r="T159" i="1"/>
  <c r="U159" i="1" s="1"/>
  <c r="J174" i="1"/>
  <c r="K174" i="1" s="1"/>
  <c r="N174" i="1" s="1"/>
  <c r="T181" i="1"/>
  <c r="U181" i="1" s="1"/>
  <c r="J231" i="1"/>
  <c r="K231" i="1" s="1"/>
  <c r="N231" i="1" s="1"/>
  <c r="T171" i="1"/>
  <c r="U171" i="1" s="1"/>
  <c r="J205" i="1"/>
  <c r="K205" i="1" s="1"/>
  <c r="N205" i="1" s="1"/>
  <c r="T221" i="1"/>
  <c r="U221" i="1" s="1"/>
  <c r="J262" i="1"/>
  <c r="K262" i="1" s="1"/>
  <c r="N262" i="1" s="1"/>
  <c r="T273" i="1"/>
  <c r="U273" i="1" s="1"/>
  <c r="J145" i="1"/>
  <c r="K145" i="1" s="1"/>
  <c r="N145" i="1" s="1"/>
  <c r="T114" i="1"/>
  <c r="U114" i="1" s="1"/>
  <c r="J153" i="1"/>
  <c r="K153" i="1" s="1"/>
  <c r="N153" i="1" s="1"/>
  <c r="T331" i="1"/>
  <c r="U331" i="1" s="1"/>
  <c r="J341" i="1"/>
  <c r="K341" i="1" s="1"/>
  <c r="N341" i="1" s="1"/>
  <c r="T350" i="1"/>
  <c r="U350" i="1" s="1"/>
  <c r="J326" i="1"/>
  <c r="K326" i="1" s="1"/>
  <c r="N326" i="1" s="1"/>
  <c r="T398" i="1"/>
  <c r="U398" i="1" s="1"/>
  <c r="J323" i="1"/>
  <c r="K323" i="1" s="1"/>
  <c r="N323" i="1" s="1"/>
  <c r="T323" i="1"/>
  <c r="U323" i="1" s="1"/>
  <c r="J370" i="1"/>
  <c r="K370" i="1" s="1"/>
  <c r="N370" i="1" s="1"/>
  <c r="T385" i="1"/>
  <c r="U385" i="1" s="1"/>
  <c r="J380" i="1"/>
  <c r="K380" i="1" s="1"/>
  <c r="N380" i="1" s="1"/>
  <c r="T318" i="1"/>
  <c r="U318" i="1" s="1"/>
  <c r="J349" i="1"/>
  <c r="K349" i="1" s="1"/>
  <c r="N349" i="1" s="1"/>
  <c r="T345" i="1"/>
  <c r="U345" i="1" s="1"/>
  <c r="J334" i="1"/>
  <c r="K334" i="1" s="1"/>
  <c r="N334" i="1" s="1"/>
  <c r="T357" i="1"/>
  <c r="U357" i="1" s="1"/>
  <c r="J353" i="1"/>
  <c r="K353" i="1" s="1"/>
  <c r="N353" i="1" s="1"/>
  <c r="T378" i="1"/>
  <c r="U378" i="1" s="1"/>
  <c r="J397" i="1"/>
  <c r="K397" i="1" s="1"/>
  <c r="N397" i="1" s="1"/>
  <c r="T320" i="1"/>
  <c r="U320" i="1" s="1"/>
  <c r="J387" i="1"/>
  <c r="K387" i="1" s="1"/>
  <c r="N387" i="1" s="1"/>
  <c r="T313" i="1"/>
  <c r="U313" i="1" s="1"/>
  <c r="J350" i="1"/>
  <c r="K350" i="1" s="1"/>
  <c r="N350" i="1" s="1"/>
  <c r="T315" i="1"/>
  <c r="U315" i="1" s="1"/>
  <c r="J300" i="1"/>
  <c r="K300" i="1" s="1"/>
  <c r="N300" i="1" s="1"/>
  <c r="T308" i="1"/>
  <c r="U308" i="1" s="1"/>
  <c r="J356" i="1"/>
  <c r="K356" i="1" s="1"/>
  <c r="N356" i="1" s="1"/>
  <c r="T369" i="1"/>
  <c r="U369" i="1" s="1"/>
  <c r="J388" i="1"/>
  <c r="K388" i="1" s="1"/>
  <c r="N388" i="1" s="1"/>
  <c r="T326" i="1"/>
  <c r="U326" i="1" s="1"/>
  <c r="J305" i="1"/>
  <c r="K305" i="1" s="1"/>
  <c r="N305" i="1" s="1"/>
  <c r="T72" i="1"/>
  <c r="U72" i="1" s="1"/>
  <c r="J72" i="1"/>
  <c r="K72" i="1" s="1"/>
  <c r="N72" i="1" s="1"/>
  <c r="T42" i="1"/>
  <c r="U42" i="1" s="1"/>
  <c r="J42" i="1"/>
  <c r="K42" i="1" s="1"/>
  <c r="N42" i="1" s="1"/>
  <c r="T59" i="1"/>
  <c r="U59" i="1" s="1"/>
  <c r="J59" i="1"/>
  <c r="K59" i="1" s="1"/>
  <c r="N59" i="1" s="1"/>
  <c r="T54" i="1"/>
  <c r="U54" i="1" s="1"/>
  <c r="J54" i="1"/>
  <c r="K54" i="1" s="1"/>
  <c r="N54" i="1" s="1"/>
  <c r="T78" i="1"/>
  <c r="U78" i="1" s="1"/>
  <c r="J78" i="1"/>
  <c r="K78" i="1" s="1"/>
  <c r="N78" i="1" s="1"/>
  <c r="T34" i="1"/>
  <c r="U34" i="1" s="1"/>
  <c r="J34" i="1"/>
  <c r="K34" i="1" s="1"/>
  <c r="N34" i="1" s="1"/>
  <c r="T64" i="1"/>
  <c r="U64" i="1" s="1"/>
  <c r="J64" i="1"/>
  <c r="K64" i="1" s="1"/>
  <c r="N64" i="1" s="1"/>
  <c r="T61" i="1"/>
  <c r="U61" i="1" s="1"/>
  <c r="J61" i="1"/>
  <c r="K61" i="1" s="1"/>
  <c r="N61" i="1" s="1"/>
  <c r="T131" i="1"/>
  <c r="U131" i="1" s="1"/>
  <c r="J113" i="1"/>
  <c r="K113" i="1" s="1"/>
  <c r="N113" i="1" s="1"/>
  <c r="T166" i="1"/>
  <c r="U166" i="1" s="1"/>
  <c r="J186" i="1"/>
  <c r="K186" i="1" s="1"/>
  <c r="N186" i="1" s="1"/>
  <c r="T123" i="1"/>
  <c r="U123" i="1" s="1"/>
  <c r="J256" i="1"/>
  <c r="K256" i="1" s="1"/>
  <c r="N256" i="1" s="1"/>
  <c r="T288" i="1"/>
  <c r="U288" i="1" s="1"/>
  <c r="J218" i="1"/>
  <c r="K218" i="1" s="1"/>
  <c r="N218" i="1" s="1"/>
  <c r="T290" i="1"/>
  <c r="U290" i="1" s="1"/>
  <c r="J169" i="1"/>
  <c r="K169" i="1" s="1"/>
  <c r="N169" i="1" s="1"/>
  <c r="T234" i="1"/>
  <c r="U234" i="1" s="1"/>
  <c r="J232" i="1"/>
  <c r="K232" i="1" s="1"/>
  <c r="N232" i="1" s="1"/>
  <c r="T195" i="1"/>
  <c r="U195" i="1" s="1"/>
  <c r="J168" i="1"/>
  <c r="K168" i="1" s="1"/>
  <c r="N168" i="1" s="1"/>
  <c r="T293" i="1"/>
  <c r="U293" i="1" s="1"/>
  <c r="J212" i="1"/>
  <c r="K212" i="1" s="1"/>
  <c r="N212" i="1" s="1"/>
  <c r="T104" i="1"/>
  <c r="U104" i="1" s="1"/>
  <c r="J201" i="1"/>
  <c r="K201" i="1" s="1"/>
  <c r="N201" i="1" s="1"/>
  <c r="T246" i="1"/>
  <c r="U246" i="1" s="1"/>
  <c r="J101" i="1"/>
  <c r="K101" i="1" s="1"/>
  <c r="N101" i="1" s="1"/>
  <c r="T177" i="1"/>
  <c r="U177" i="1" s="1"/>
  <c r="J286" i="1"/>
  <c r="K286" i="1" s="1"/>
  <c r="N286" i="1" s="1"/>
  <c r="T260" i="1"/>
  <c r="U260" i="1" s="1"/>
  <c r="J209" i="1"/>
  <c r="K209" i="1" s="1"/>
  <c r="N209" i="1" s="1"/>
  <c r="T207" i="1"/>
  <c r="U207" i="1" s="1"/>
  <c r="J191" i="1"/>
  <c r="K191" i="1" s="1"/>
  <c r="N191" i="1" s="1"/>
  <c r="T175" i="1"/>
  <c r="U175" i="1" s="1"/>
  <c r="J200" i="1"/>
  <c r="K200" i="1" s="1"/>
  <c r="N200" i="1" s="1"/>
  <c r="T248" i="1"/>
  <c r="U248" i="1" s="1"/>
  <c r="J178" i="1"/>
  <c r="K178" i="1" s="1"/>
  <c r="N178" i="1" s="1"/>
  <c r="T192" i="1"/>
  <c r="U192" i="1" s="1"/>
  <c r="J255" i="1"/>
  <c r="K255" i="1" s="1"/>
  <c r="N255" i="1" s="1"/>
  <c r="T128" i="1"/>
  <c r="U128" i="1" s="1"/>
  <c r="J261" i="1"/>
  <c r="K261" i="1" s="1"/>
  <c r="N261" i="1" s="1"/>
  <c r="T135" i="1"/>
  <c r="U135" i="1" s="1"/>
  <c r="J133" i="1"/>
  <c r="K133" i="1" s="1"/>
  <c r="N133" i="1" s="1"/>
  <c r="T263" i="1"/>
  <c r="U263" i="1" s="1"/>
  <c r="J296" i="1"/>
  <c r="K296" i="1" s="1"/>
  <c r="N296" i="1" s="1"/>
  <c r="T209" i="1"/>
  <c r="U209" i="1" s="1"/>
  <c r="J277" i="1"/>
  <c r="K277" i="1" s="1"/>
  <c r="N277" i="1" s="1"/>
  <c r="T230" i="1"/>
  <c r="U230" i="1" s="1"/>
  <c r="J199" i="1"/>
  <c r="K199" i="1" s="1"/>
  <c r="N199" i="1" s="1"/>
  <c r="T261" i="1"/>
  <c r="U261" i="1" s="1"/>
  <c r="J278" i="1"/>
  <c r="K278" i="1" s="1"/>
  <c r="N278" i="1" s="1"/>
  <c r="T127" i="1"/>
  <c r="U127" i="1" s="1"/>
  <c r="J210" i="1"/>
  <c r="K210" i="1" s="1"/>
  <c r="N210" i="1" s="1"/>
  <c r="T241" i="1"/>
  <c r="U241" i="1" s="1"/>
  <c r="J192" i="1"/>
  <c r="K192" i="1" s="1"/>
  <c r="N192" i="1" s="1"/>
  <c r="T155" i="1"/>
  <c r="U155" i="1" s="1"/>
  <c r="J226" i="1"/>
  <c r="K226" i="1" s="1"/>
  <c r="N226" i="1" s="1"/>
  <c r="T394" i="1"/>
  <c r="U394" i="1" s="1"/>
  <c r="J393" i="1"/>
  <c r="K393" i="1" s="1"/>
  <c r="N393" i="1" s="1"/>
  <c r="T349" i="1"/>
  <c r="U349" i="1" s="1"/>
  <c r="J347" i="1"/>
  <c r="K347" i="1" s="1"/>
  <c r="N347" i="1" s="1"/>
  <c r="T74" i="1"/>
  <c r="U74" i="1" s="1"/>
  <c r="J74" i="1"/>
  <c r="K74" i="1" s="1"/>
  <c r="N74" i="1" s="1"/>
  <c r="T296" i="1"/>
  <c r="U296" i="1" s="1"/>
  <c r="J247" i="1"/>
  <c r="K247" i="1" s="1"/>
  <c r="N247" i="1" s="1"/>
  <c r="T335" i="1"/>
  <c r="J309" i="1"/>
  <c r="K309" i="1" s="1"/>
  <c r="N309" i="1" s="1"/>
  <c r="T314" i="1"/>
  <c r="U314" i="1" s="1"/>
  <c r="J318" i="1"/>
  <c r="K318" i="1" s="1"/>
  <c r="N318" i="1" s="1"/>
  <c r="T324" i="1"/>
  <c r="U324" i="1" s="1"/>
  <c r="J319" i="1"/>
  <c r="K319" i="1" s="1"/>
  <c r="N319" i="1" s="1"/>
  <c r="T37" i="1"/>
  <c r="U37" i="1" s="1"/>
  <c r="J37" i="1"/>
  <c r="K37" i="1" s="1"/>
  <c r="N37" i="1" s="1"/>
  <c r="T295" i="1"/>
  <c r="U295" i="1" s="1"/>
  <c r="J100" i="1"/>
  <c r="K100" i="1" s="1"/>
  <c r="N100" i="1" s="1"/>
  <c r="T267" i="1"/>
  <c r="U267" i="1" s="1"/>
  <c r="J166" i="1"/>
  <c r="K166" i="1" s="1"/>
  <c r="N166" i="1" s="1"/>
  <c r="T289" i="1"/>
  <c r="U289" i="1" s="1"/>
  <c r="J270" i="1"/>
  <c r="K270" i="1" s="1"/>
  <c r="N270" i="1" s="1"/>
  <c r="T294" i="1"/>
  <c r="U294" i="1" s="1"/>
  <c r="J279" i="1"/>
  <c r="K279" i="1" s="1"/>
  <c r="N279" i="1" s="1"/>
  <c r="T103" i="1"/>
  <c r="U103" i="1" s="1"/>
  <c r="J251" i="1"/>
  <c r="K251" i="1" s="1"/>
  <c r="N251" i="1" s="1"/>
  <c r="T113" i="1"/>
  <c r="U113" i="1" s="1"/>
  <c r="J268" i="1"/>
  <c r="K268" i="1" s="1"/>
  <c r="N268" i="1" s="1"/>
  <c r="T343" i="1"/>
  <c r="U343" i="1" s="1"/>
  <c r="J364" i="1"/>
  <c r="K364" i="1" s="1"/>
  <c r="N364" i="1" s="1"/>
  <c r="T372" i="1"/>
  <c r="U372" i="1" s="1"/>
  <c r="J371" i="1"/>
  <c r="K371" i="1" s="1"/>
  <c r="N371" i="1" s="1"/>
  <c r="T341" i="1"/>
  <c r="U341" i="1" s="1"/>
  <c r="J343" i="1"/>
  <c r="K343" i="1" s="1"/>
  <c r="N343" i="1" s="1"/>
  <c r="T370" i="1"/>
  <c r="U370" i="1" s="1"/>
  <c r="J362" i="1"/>
  <c r="K362" i="1" s="1"/>
  <c r="N362" i="1" s="1"/>
  <c r="T317" i="1"/>
  <c r="U317" i="1" s="1"/>
  <c r="J337" i="1"/>
  <c r="K337" i="1" s="1"/>
  <c r="N337" i="1" s="1"/>
  <c r="T392" i="1"/>
  <c r="U392" i="1" s="1"/>
  <c r="J396" i="1"/>
  <c r="K396" i="1" s="1"/>
  <c r="N396" i="1" s="1"/>
  <c r="T306" i="1"/>
  <c r="U306" i="1" s="1"/>
  <c r="J299" i="1"/>
  <c r="K299" i="1" s="1"/>
  <c r="N299" i="1" s="1"/>
  <c r="T327" i="1"/>
  <c r="U327" i="1" s="1"/>
  <c r="J357" i="1"/>
  <c r="K357" i="1" s="1"/>
  <c r="N357" i="1" s="1"/>
  <c r="T380" i="1"/>
  <c r="U380" i="1" s="1"/>
  <c r="J383" i="1"/>
  <c r="K383" i="1" s="1"/>
  <c r="N383" i="1" s="1"/>
  <c r="T386" i="1"/>
  <c r="U386" i="1" s="1"/>
  <c r="J381" i="1"/>
  <c r="K381" i="1" s="1"/>
  <c r="N381" i="1" s="1"/>
  <c r="T328" i="1"/>
  <c r="U328" i="1" s="1"/>
  <c r="J317" i="1"/>
  <c r="K317" i="1" s="1"/>
  <c r="N317" i="1" s="1"/>
  <c r="T384" i="1"/>
  <c r="U384" i="1" s="1"/>
  <c r="J365" i="1"/>
  <c r="K365" i="1" s="1"/>
  <c r="N365" i="1" s="1"/>
  <c r="T334" i="1"/>
  <c r="U334" i="1" s="1"/>
  <c r="J322" i="1"/>
  <c r="K322" i="1" s="1"/>
  <c r="N322" i="1" s="1"/>
  <c r="T304" i="1"/>
  <c r="U304" i="1" s="1"/>
  <c r="J316" i="1"/>
  <c r="K316" i="1" s="1"/>
  <c r="N316" i="1" s="1"/>
  <c r="T57" i="1"/>
  <c r="U57" i="1" s="1"/>
  <c r="J57" i="1"/>
  <c r="K57" i="1" s="1"/>
  <c r="N57" i="1" s="1"/>
  <c r="T33" i="1"/>
  <c r="U33" i="1" s="1"/>
  <c r="J33" i="1"/>
  <c r="K33" i="1" s="1"/>
  <c r="N33" i="1" s="1"/>
  <c r="T35" i="1"/>
  <c r="U35" i="1" s="1"/>
  <c r="J35" i="1"/>
  <c r="K35" i="1" s="1"/>
  <c r="N35" i="1" s="1"/>
  <c r="T70" i="1"/>
  <c r="U70" i="1" s="1"/>
  <c r="J70" i="1"/>
  <c r="K70" i="1" s="1"/>
  <c r="N70" i="1" s="1"/>
  <c r="T56" i="1"/>
  <c r="U56" i="1" s="1"/>
  <c r="J56" i="1"/>
  <c r="K56" i="1" s="1"/>
  <c r="N56" i="1" s="1"/>
  <c r="T82" i="1"/>
  <c r="U82" i="1" s="1"/>
  <c r="J82" i="1"/>
  <c r="K82" i="1" s="1"/>
  <c r="N82" i="1" s="1"/>
  <c r="T62" i="1"/>
  <c r="U62" i="1" s="1"/>
  <c r="J62" i="1"/>
  <c r="K62" i="1" s="1"/>
  <c r="N62" i="1" s="1"/>
  <c r="T108" i="1"/>
  <c r="U108" i="1" s="1"/>
  <c r="J122" i="1"/>
  <c r="K122" i="1" s="1"/>
  <c r="N122" i="1" s="1"/>
  <c r="T275" i="1"/>
  <c r="U275" i="1" s="1"/>
  <c r="J108" i="1"/>
  <c r="K108" i="1" s="1"/>
  <c r="N108" i="1" s="1"/>
  <c r="T255" i="1"/>
  <c r="U255" i="1" s="1"/>
  <c r="J105" i="1"/>
  <c r="K105" i="1" s="1"/>
  <c r="N105" i="1" s="1"/>
  <c r="T256" i="1"/>
  <c r="U256" i="1" s="1"/>
  <c r="J109" i="1"/>
  <c r="K109" i="1" s="1"/>
  <c r="N109" i="1" s="1"/>
  <c r="T115" i="1"/>
  <c r="U115" i="1" s="1"/>
  <c r="J156" i="1"/>
  <c r="K156" i="1" s="1"/>
  <c r="N156" i="1" s="1"/>
  <c r="T132" i="1"/>
  <c r="U132" i="1" s="1"/>
  <c r="J146" i="1"/>
  <c r="K146" i="1" s="1"/>
  <c r="N146" i="1" s="1"/>
  <c r="T229" i="1"/>
  <c r="U229" i="1" s="1"/>
  <c r="J257" i="1"/>
  <c r="K257" i="1" s="1"/>
  <c r="N257" i="1" s="1"/>
  <c r="T298" i="1"/>
  <c r="U298" i="1" s="1"/>
  <c r="J265" i="1"/>
  <c r="K265" i="1" s="1"/>
  <c r="N265" i="1" s="1"/>
  <c r="T284" i="1"/>
  <c r="U284" i="1" s="1"/>
  <c r="J176" i="1"/>
  <c r="K176" i="1" s="1"/>
  <c r="N176" i="1" s="1"/>
  <c r="T282" i="1"/>
  <c r="U282" i="1" s="1"/>
  <c r="J172" i="1"/>
  <c r="K172" i="1" s="1"/>
  <c r="N172" i="1" s="1"/>
  <c r="T224" i="1"/>
  <c r="U224" i="1" s="1"/>
  <c r="J258" i="1"/>
  <c r="K258" i="1" s="1"/>
  <c r="N258" i="1" s="1"/>
  <c r="T223" i="1"/>
  <c r="U223" i="1" s="1"/>
  <c r="J160" i="1"/>
  <c r="K160" i="1" s="1"/>
  <c r="N160" i="1" s="1"/>
  <c r="T183" i="1"/>
  <c r="U183" i="1" s="1"/>
  <c r="J163" i="1"/>
  <c r="K163" i="1" s="1"/>
  <c r="N163" i="1" s="1"/>
  <c r="T126" i="1"/>
  <c r="U126" i="1" s="1"/>
  <c r="J182" i="1"/>
  <c r="K182" i="1" s="1"/>
  <c r="N182" i="1" s="1"/>
  <c r="T105" i="1"/>
  <c r="U105" i="1" s="1"/>
  <c r="J263" i="1"/>
  <c r="K263" i="1" s="1"/>
  <c r="N263" i="1" s="1"/>
  <c r="T179" i="1"/>
  <c r="U179" i="1" s="1"/>
  <c r="J129" i="1"/>
  <c r="K129" i="1" s="1"/>
  <c r="N129" i="1" s="1"/>
  <c r="T243" i="1"/>
  <c r="U243" i="1" s="1"/>
  <c r="J222" i="1"/>
  <c r="K222" i="1" s="1"/>
  <c r="N222" i="1" s="1"/>
  <c r="T156" i="1"/>
  <c r="U156" i="1" s="1"/>
  <c r="J104" i="1"/>
  <c r="K104" i="1" s="1"/>
  <c r="N104" i="1" s="1"/>
  <c r="T268" i="1"/>
  <c r="U268" i="1" s="1"/>
  <c r="J148" i="1"/>
  <c r="K148" i="1" s="1"/>
  <c r="N148" i="1" s="1"/>
  <c r="T99" i="1"/>
  <c r="U99" i="1" s="1"/>
  <c r="J179" i="1"/>
  <c r="K179" i="1" s="1"/>
  <c r="N179" i="1" s="1"/>
  <c r="T200" i="1"/>
  <c r="U200" i="1" s="1"/>
  <c r="J103" i="1"/>
  <c r="K103" i="1" s="1"/>
  <c r="N103" i="1" s="1"/>
  <c r="T277" i="1"/>
  <c r="U277" i="1" s="1"/>
  <c r="J206" i="1"/>
  <c r="K206" i="1" s="1"/>
  <c r="N206" i="1" s="1"/>
  <c r="T276" i="1"/>
  <c r="U276" i="1" s="1"/>
  <c r="J253" i="1"/>
  <c r="K253" i="1" s="1"/>
  <c r="N253" i="1" s="1"/>
  <c r="T142" i="1"/>
  <c r="U142" i="1" s="1"/>
  <c r="J177" i="1"/>
  <c r="K177" i="1" s="1"/>
  <c r="N177" i="1" s="1"/>
  <c r="T285" i="1"/>
  <c r="U285" i="1" s="1"/>
  <c r="J223" i="1"/>
  <c r="K223" i="1" s="1"/>
  <c r="N223" i="1" s="1"/>
  <c r="T358" i="1"/>
  <c r="U358" i="1" s="1"/>
  <c r="J390" i="1"/>
  <c r="K390" i="1" s="1"/>
  <c r="N390" i="1" s="1"/>
  <c r="T344" i="1"/>
  <c r="U344" i="1" s="1"/>
  <c r="J384" i="1"/>
  <c r="K384" i="1" s="1"/>
  <c r="N384" i="1" s="1"/>
  <c r="T55" i="1"/>
  <c r="U55" i="1" s="1"/>
  <c r="J55" i="1"/>
  <c r="K55" i="1" s="1"/>
  <c r="N55" i="1" s="1"/>
  <c r="T162" i="1"/>
  <c r="U162" i="1" s="1"/>
  <c r="J240" i="1"/>
  <c r="K240" i="1" s="1"/>
  <c r="N240" i="1" s="1"/>
  <c r="T150" i="1"/>
  <c r="U150" i="1" s="1"/>
  <c r="J128" i="1"/>
  <c r="K128" i="1" s="1"/>
  <c r="N128" i="1" s="1"/>
  <c r="T311" i="1"/>
  <c r="U311" i="1" s="1"/>
  <c r="J352" i="1"/>
  <c r="K352" i="1" s="1"/>
  <c r="N352" i="1" s="1"/>
  <c r="T360" i="1"/>
  <c r="U360" i="1" s="1"/>
  <c r="J376" i="1"/>
  <c r="K376" i="1" s="1"/>
  <c r="N376" i="1" s="1"/>
  <c r="T71" i="1"/>
  <c r="U71" i="1" s="1"/>
  <c r="J71" i="1"/>
  <c r="K71" i="1" s="1"/>
  <c r="N71" i="1" s="1"/>
  <c r="T262" i="1"/>
  <c r="U262" i="1" s="1"/>
  <c r="J227" i="1"/>
  <c r="K227" i="1" s="1"/>
  <c r="N227" i="1" s="1"/>
  <c r="T130" i="1"/>
  <c r="U130" i="1" s="1"/>
  <c r="J120" i="1"/>
  <c r="K120" i="1" s="1"/>
  <c r="N120" i="1" s="1"/>
  <c r="T269" i="1"/>
  <c r="U269" i="1" s="1"/>
  <c r="J157" i="1"/>
  <c r="K157" i="1" s="1"/>
  <c r="N157" i="1" s="1"/>
  <c r="T356" i="1"/>
  <c r="U356" i="1" s="1"/>
  <c r="J311" i="1"/>
  <c r="K311" i="1" s="1"/>
  <c r="N311" i="1" s="1"/>
  <c r="T353" i="1"/>
  <c r="U353" i="1" s="1"/>
  <c r="J346" i="1"/>
  <c r="K346" i="1" s="1"/>
  <c r="N346" i="1" s="1"/>
  <c r="T337" i="1"/>
  <c r="U337" i="1" s="1"/>
  <c r="J373" i="1"/>
  <c r="K373" i="1" s="1"/>
  <c r="N373" i="1" s="1"/>
  <c r="T396" i="1"/>
  <c r="U396" i="1" s="1"/>
  <c r="J379" i="1"/>
  <c r="K379" i="1" s="1"/>
  <c r="N379" i="1" s="1"/>
  <c r="T330" i="1"/>
  <c r="U330" i="1" s="1"/>
  <c r="J348" i="1"/>
  <c r="K348" i="1" s="1"/>
  <c r="N348" i="1" s="1"/>
  <c r="T333" i="1"/>
  <c r="U333" i="1" s="1"/>
  <c r="J368" i="1"/>
  <c r="K368" i="1" s="1"/>
  <c r="N368" i="1" s="1"/>
  <c r="T351" i="1"/>
  <c r="U351" i="1" s="1"/>
  <c r="J377" i="1"/>
  <c r="K377" i="1" s="1"/>
  <c r="N377" i="1" s="1"/>
  <c r="T389" i="1"/>
  <c r="U389" i="1" s="1"/>
  <c r="J331" i="1"/>
  <c r="K331" i="1" s="1"/>
  <c r="N331" i="1" s="1"/>
  <c r="T383" i="1"/>
  <c r="U383" i="1" s="1"/>
  <c r="J394" i="1"/>
  <c r="K394" i="1" s="1"/>
  <c r="N394" i="1" s="1"/>
  <c r="T312" i="1"/>
  <c r="J308" i="1"/>
  <c r="K308" i="1" s="1"/>
  <c r="N308" i="1" s="1"/>
  <c r="T310" i="1"/>
  <c r="U310" i="1" s="1"/>
  <c r="J359" i="1"/>
  <c r="K359" i="1" s="1"/>
  <c r="N359" i="1" s="1"/>
  <c r="T309" i="1"/>
  <c r="U309" i="1" s="1"/>
  <c r="J328" i="1"/>
  <c r="K328" i="1" s="1"/>
  <c r="N328" i="1" s="1"/>
  <c r="T36" i="1"/>
  <c r="U36" i="1" s="1"/>
  <c r="J36" i="1"/>
  <c r="K36" i="1" s="1"/>
  <c r="N36" i="1" s="1"/>
  <c r="T81" i="1"/>
  <c r="U81" i="1" s="1"/>
  <c r="J81" i="1"/>
  <c r="K81" i="1" s="1"/>
  <c r="N81" i="1" s="1"/>
  <c r="T77" i="1"/>
  <c r="U77" i="1" s="1"/>
  <c r="J77" i="1"/>
  <c r="K77" i="1" s="1"/>
  <c r="N77" i="1" s="1"/>
  <c r="T92" i="1"/>
  <c r="U92" i="1" s="1"/>
  <c r="J92" i="1"/>
  <c r="K92" i="1" s="1"/>
  <c r="N92" i="1" s="1"/>
  <c r="T75" i="1"/>
  <c r="U75" i="1" s="1"/>
  <c r="J75" i="1"/>
  <c r="K75" i="1" s="1"/>
  <c r="N75" i="1" s="1"/>
  <c r="T73" i="1"/>
  <c r="U73" i="1" s="1"/>
  <c r="J73" i="1"/>
  <c r="K73" i="1" s="1"/>
  <c r="N73" i="1" s="1"/>
  <c r="T83" i="1"/>
  <c r="U83" i="1" s="1"/>
  <c r="J83" i="1"/>
  <c r="K83" i="1" s="1"/>
  <c r="N83" i="1" s="1"/>
  <c r="T116" i="1"/>
  <c r="U116" i="1" s="1"/>
  <c r="J221" i="1"/>
  <c r="K221" i="1" s="1"/>
  <c r="N221" i="1" s="1"/>
  <c r="T106" i="1"/>
  <c r="U106" i="1" s="1"/>
  <c r="J283" i="1"/>
  <c r="K283" i="1" s="1"/>
  <c r="N283" i="1" s="1"/>
  <c r="T239" i="1"/>
  <c r="U239" i="1" s="1"/>
  <c r="J158" i="1"/>
  <c r="K158" i="1" s="1"/>
  <c r="N158" i="1" s="1"/>
  <c r="T97" i="1"/>
  <c r="U97" i="1" s="1"/>
  <c r="J114" i="1"/>
  <c r="K114" i="1" s="1"/>
  <c r="N114" i="1" s="1"/>
  <c r="T154" i="1"/>
  <c r="U154" i="1" s="1"/>
  <c r="J184" i="1"/>
  <c r="K184" i="1" s="1"/>
  <c r="N184" i="1" s="1"/>
  <c r="T165" i="1"/>
  <c r="U165" i="1" s="1"/>
  <c r="J214" i="1"/>
  <c r="K214" i="1" s="1"/>
  <c r="N214" i="1" s="1"/>
  <c r="T138" i="1"/>
  <c r="U138" i="1" s="1"/>
  <c r="J287" i="1"/>
  <c r="K287" i="1" s="1"/>
  <c r="N287" i="1" s="1"/>
  <c r="T237" i="1"/>
  <c r="U237" i="1" s="1"/>
  <c r="J272" i="1"/>
  <c r="K272" i="1" s="1"/>
  <c r="N272" i="1" s="1"/>
  <c r="T184" i="1"/>
  <c r="U184" i="1" s="1"/>
  <c r="J298" i="1"/>
  <c r="K298" i="1" s="1"/>
  <c r="N298" i="1" s="1"/>
  <c r="T287" i="1"/>
  <c r="U287" i="1" s="1"/>
  <c r="J266" i="1"/>
  <c r="K266" i="1" s="1"/>
  <c r="N266" i="1" s="1"/>
  <c r="T94" i="1"/>
  <c r="U94" i="1" s="1"/>
  <c r="J234" i="1"/>
  <c r="K234" i="1" s="1"/>
  <c r="N234" i="1" s="1"/>
  <c r="T240" i="1"/>
  <c r="U240" i="1" s="1"/>
  <c r="J244" i="1"/>
  <c r="K244" i="1" s="1"/>
  <c r="N244" i="1" s="1"/>
  <c r="T190" i="1"/>
  <c r="U190" i="1" s="1"/>
  <c r="J173" i="1"/>
  <c r="K173" i="1" s="1"/>
  <c r="N173" i="1" s="1"/>
  <c r="T186" i="1"/>
  <c r="U186" i="1" s="1"/>
  <c r="J271" i="1"/>
  <c r="K271" i="1" s="1"/>
  <c r="N271" i="1" s="1"/>
  <c r="T247" i="1"/>
  <c r="U247" i="1" s="1"/>
  <c r="J116" i="1"/>
  <c r="K116" i="1" s="1"/>
  <c r="N116" i="1" s="1"/>
  <c r="T210" i="1"/>
  <c r="U210" i="1" s="1"/>
  <c r="J242" i="1"/>
  <c r="K242" i="1" s="1"/>
  <c r="N242" i="1" s="1"/>
  <c r="T216" i="1"/>
  <c r="U216" i="1" s="1"/>
  <c r="J269" i="1"/>
  <c r="K269" i="1" s="1"/>
  <c r="N269" i="1" s="1"/>
  <c r="T199" i="1"/>
  <c r="U199" i="1" s="1"/>
  <c r="J259" i="1"/>
  <c r="K259" i="1" s="1"/>
  <c r="N259" i="1" s="1"/>
  <c r="T291" i="1"/>
  <c r="U291" i="1" s="1"/>
  <c r="J291" i="1"/>
  <c r="K291" i="1" s="1"/>
  <c r="N291" i="1" s="1"/>
  <c r="T137" i="1"/>
  <c r="U137" i="1" s="1"/>
  <c r="J115" i="1"/>
  <c r="K115" i="1" s="1"/>
  <c r="N115" i="1" s="1"/>
  <c r="T95" i="1"/>
  <c r="U95" i="1" s="1"/>
  <c r="J285" i="1"/>
  <c r="K285" i="1" s="1"/>
  <c r="N285" i="1" s="1"/>
  <c r="T208" i="1"/>
  <c r="U208" i="1" s="1"/>
  <c r="J150" i="1"/>
  <c r="K150" i="1" s="1"/>
  <c r="N150" i="1" s="1"/>
  <c r="T193" i="1"/>
  <c r="U193" i="1" s="1"/>
  <c r="J235" i="1"/>
  <c r="K235" i="1" s="1"/>
  <c r="N235" i="1" s="1"/>
  <c r="T119" i="1"/>
  <c r="U119" i="1" s="1"/>
  <c r="J196" i="1"/>
  <c r="K196" i="1" s="1"/>
  <c r="N196" i="1" s="1"/>
  <c r="T231" i="1"/>
  <c r="U231" i="1" s="1"/>
  <c r="J202" i="1"/>
  <c r="K202" i="1" s="1"/>
  <c r="N202" i="1" s="1"/>
  <c r="T391" i="1"/>
  <c r="U391" i="1" s="1"/>
  <c r="J315" i="1"/>
  <c r="K315" i="1" s="1"/>
  <c r="N315" i="1" s="1"/>
  <c r="T374" i="1"/>
  <c r="U374" i="1" s="1"/>
  <c r="J335" i="1"/>
  <c r="K335" i="1" s="1"/>
  <c r="N335" i="1" s="1"/>
  <c r="T93" i="1"/>
  <c r="U93" i="1" s="1"/>
  <c r="J93" i="1"/>
  <c r="K93" i="1" s="1"/>
  <c r="N93" i="1" s="1"/>
  <c r="T66" i="1"/>
  <c r="U66" i="1" s="1"/>
  <c r="J66" i="1"/>
  <c r="K66" i="1" s="1"/>
  <c r="N66" i="1" s="1"/>
  <c r="T252" i="1"/>
  <c r="U252" i="1" s="1"/>
  <c r="J274" i="1"/>
  <c r="K274" i="1" s="1"/>
  <c r="N274" i="1" s="1"/>
  <c r="T144" i="1"/>
  <c r="U144" i="1" s="1"/>
  <c r="J225" i="1"/>
  <c r="K225" i="1" s="1"/>
  <c r="N225" i="1" s="1"/>
  <c r="T375" i="1"/>
  <c r="U375" i="1" s="1"/>
  <c r="J329" i="1"/>
  <c r="K329" i="1" s="1"/>
  <c r="N329" i="1" s="1"/>
  <c r="T302" i="1"/>
  <c r="U302" i="1" s="1"/>
  <c r="J306" i="1"/>
  <c r="K306" i="1" s="1"/>
  <c r="N306" i="1" s="1"/>
  <c r="T319" i="1"/>
  <c r="U319" i="1" s="1"/>
  <c r="J301" i="1"/>
  <c r="K301" i="1" s="1"/>
  <c r="N301" i="1" s="1"/>
  <c r="T86" i="1"/>
  <c r="U86" i="1" s="1"/>
  <c r="J86" i="1"/>
  <c r="K86" i="1" s="1"/>
  <c r="N86" i="1" s="1"/>
  <c r="T53" i="1"/>
  <c r="U53" i="1" s="1"/>
  <c r="J53" i="1"/>
  <c r="K53" i="1" s="1"/>
  <c r="N53" i="1" s="1"/>
  <c r="T253" i="1"/>
  <c r="U253" i="1" s="1"/>
  <c r="J132" i="1"/>
  <c r="K132" i="1" s="1"/>
  <c r="N132" i="1" s="1"/>
  <c r="T149" i="1"/>
  <c r="U149" i="1" s="1"/>
  <c r="J215" i="1"/>
  <c r="K215" i="1" s="1"/>
  <c r="N215" i="1" s="1"/>
  <c r="T235" i="1"/>
  <c r="U235" i="1" s="1"/>
  <c r="J297" i="1"/>
  <c r="K297" i="1" s="1"/>
  <c r="N297" i="1" s="1"/>
  <c r="T182" i="1"/>
  <c r="U182" i="1" s="1"/>
  <c r="J144" i="1"/>
  <c r="K144" i="1" s="1"/>
  <c r="N144" i="1" s="1"/>
  <c r="T129" i="1"/>
  <c r="U129" i="1" s="1"/>
  <c r="J254" i="1"/>
  <c r="K254" i="1" s="1"/>
  <c r="N254" i="1" s="1"/>
  <c r="T245" i="1"/>
  <c r="U245" i="1" s="1"/>
  <c r="J143" i="1"/>
  <c r="K143" i="1" s="1"/>
  <c r="N143" i="1" s="1"/>
  <c r="T371" i="1"/>
  <c r="U371" i="1" s="1"/>
  <c r="J302" i="1"/>
  <c r="K302" i="1" s="1"/>
  <c r="N302" i="1" s="1"/>
  <c r="T366" i="1"/>
  <c r="U366" i="1" s="1"/>
  <c r="J312" i="1"/>
  <c r="K312" i="1" s="1"/>
  <c r="N312" i="1" s="1"/>
  <c r="T303" i="1"/>
  <c r="U303" i="1" s="1"/>
  <c r="J361" i="1"/>
  <c r="K361" i="1" s="1"/>
  <c r="N361" i="1" s="1"/>
  <c r="T299" i="1"/>
  <c r="U299" i="1" s="1"/>
  <c r="J375" i="1"/>
  <c r="K375" i="1" s="1"/>
  <c r="N375" i="1" s="1"/>
  <c r="T363" i="1"/>
  <c r="U363" i="1" s="1"/>
  <c r="J355" i="1"/>
  <c r="K355" i="1" s="1"/>
  <c r="N355" i="1" s="1"/>
  <c r="T365" i="1"/>
  <c r="U365" i="1" s="1"/>
  <c r="J320" i="1"/>
  <c r="K320" i="1" s="1"/>
  <c r="N320" i="1" s="1"/>
  <c r="T393" i="1"/>
  <c r="U393" i="1" s="1"/>
  <c r="J363" i="1"/>
  <c r="K363" i="1" s="1"/>
  <c r="N363" i="1" s="1"/>
  <c r="T342" i="1"/>
  <c r="U342" i="1" s="1"/>
  <c r="J372" i="1"/>
  <c r="K372" i="1" s="1"/>
  <c r="N372" i="1" s="1"/>
  <c r="T359" i="1"/>
  <c r="U359" i="1" s="1"/>
  <c r="J338" i="1"/>
  <c r="K338" i="1" s="1"/>
  <c r="N338" i="1" s="1"/>
  <c r="T346" i="1"/>
  <c r="U346" i="1" s="1"/>
  <c r="J310" i="1"/>
  <c r="K310" i="1" s="1"/>
  <c r="N310" i="1" s="1"/>
  <c r="T332" i="1"/>
  <c r="U332" i="1" s="1"/>
  <c r="J303" i="1"/>
  <c r="K303" i="1" s="1"/>
  <c r="N303" i="1" s="1"/>
  <c r="T329" i="1"/>
  <c r="U329" i="1" s="1"/>
  <c r="J391" i="1"/>
  <c r="K391" i="1" s="1"/>
  <c r="N391" i="1" s="1"/>
  <c r="T368" i="1"/>
  <c r="U368" i="1" s="1"/>
  <c r="J398" i="1"/>
  <c r="K398" i="1" s="1"/>
  <c r="N398" i="1" s="1"/>
  <c r="T68" i="1"/>
  <c r="U68" i="1" s="1"/>
  <c r="J68" i="1"/>
  <c r="K68" i="1" s="1"/>
  <c r="N68" i="1" s="1"/>
  <c r="T40" i="1"/>
  <c r="U40" i="1" s="1"/>
  <c r="J40" i="1"/>
  <c r="K40" i="1" s="1"/>
  <c r="N40" i="1" s="1"/>
  <c r="T90" i="1"/>
  <c r="U90" i="1" s="1"/>
  <c r="J90" i="1"/>
  <c r="K90" i="1" s="1"/>
  <c r="N90" i="1" s="1"/>
  <c r="T52" i="1"/>
  <c r="U52" i="1" s="1"/>
  <c r="J52" i="1"/>
  <c r="K52" i="1" s="1"/>
  <c r="N52" i="1" s="1"/>
  <c r="T49" i="1"/>
  <c r="U49" i="1" s="1"/>
  <c r="J49" i="1"/>
  <c r="K49" i="1" s="1"/>
  <c r="N49" i="1" s="1"/>
  <c r="T44" i="1"/>
  <c r="U44" i="1" s="1"/>
  <c r="J44" i="1"/>
  <c r="K44" i="1" s="1"/>
  <c r="N44" i="1" s="1"/>
  <c r="T50" i="1"/>
  <c r="U50" i="1" s="1"/>
  <c r="J50" i="1"/>
  <c r="K50" i="1" s="1"/>
  <c r="N50" i="1" s="1"/>
  <c r="T79" i="1"/>
  <c r="U79" i="1" s="1"/>
  <c r="J79" i="1"/>
  <c r="K79" i="1" s="1"/>
  <c r="N79" i="1" s="1"/>
  <c r="T145" i="1"/>
  <c r="U145" i="1" s="1"/>
  <c r="J140" i="1"/>
  <c r="K140" i="1" s="1"/>
  <c r="N140" i="1" s="1"/>
  <c r="T153" i="1"/>
  <c r="U153" i="1" s="1"/>
  <c r="J245" i="1"/>
  <c r="K245" i="1" s="1"/>
  <c r="N245" i="1" s="1"/>
  <c r="T220" i="1"/>
  <c r="U220" i="1" s="1"/>
  <c r="J95" i="1"/>
  <c r="K95" i="1" s="1"/>
  <c r="N95" i="1" s="1"/>
  <c r="T172" i="1"/>
  <c r="J99" i="1"/>
  <c r="K99" i="1" s="1"/>
  <c r="N99" i="1" s="1"/>
  <c r="T270" i="1"/>
  <c r="U270" i="1" s="1"/>
  <c r="J96" i="1"/>
  <c r="K96" i="1" s="1"/>
  <c r="N96" i="1" s="1"/>
  <c r="T201" i="1"/>
  <c r="U201" i="1" s="1"/>
  <c r="J230" i="1"/>
  <c r="K230" i="1" s="1"/>
  <c r="N230" i="1" s="1"/>
  <c r="T265" i="1"/>
  <c r="U265" i="1" s="1"/>
  <c r="J241" i="1"/>
  <c r="K241" i="1" s="1"/>
  <c r="N241" i="1" s="1"/>
  <c r="T274" i="1"/>
  <c r="U274" i="1" s="1"/>
  <c r="J189" i="1"/>
  <c r="K189" i="1" s="1"/>
  <c r="N189" i="1" s="1"/>
  <c r="T242" i="1"/>
  <c r="U242" i="1" s="1"/>
  <c r="J288" i="1"/>
  <c r="K288" i="1" s="1"/>
  <c r="N288" i="1" s="1"/>
  <c r="T244" i="1"/>
  <c r="U244" i="1" s="1"/>
  <c r="J159" i="1"/>
  <c r="K159" i="1" s="1"/>
  <c r="N159" i="1" s="1"/>
  <c r="T124" i="1"/>
  <c r="U124" i="1" s="1"/>
  <c r="J294" i="1"/>
  <c r="K294" i="1" s="1"/>
  <c r="N294" i="1" s="1"/>
  <c r="T178" i="1"/>
  <c r="U178" i="1" s="1"/>
  <c r="J290" i="1"/>
  <c r="K290" i="1" s="1"/>
  <c r="N290" i="1" s="1"/>
  <c r="T102" i="1"/>
  <c r="U102" i="1" s="1"/>
  <c r="J155" i="1"/>
  <c r="K155" i="1" s="1"/>
  <c r="N155" i="1" s="1"/>
  <c r="T112" i="1"/>
  <c r="U112" i="1" s="1"/>
  <c r="J229" i="1"/>
  <c r="K229" i="1" s="1"/>
  <c r="N229" i="1" s="1"/>
  <c r="T96" i="1"/>
  <c r="U96" i="1" s="1"/>
  <c r="J280" i="1"/>
  <c r="K280" i="1" s="1"/>
  <c r="N280" i="1" s="1"/>
  <c r="T118" i="1"/>
  <c r="U118" i="1" s="1"/>
  <c r="J151" i="1"/>
  <c r="K151" i="1" s="1"/>
  <c r="N151" i="1" s="1"/>
  <c r="T198" i="1"/>
  <c r="U198" i="1" s="1"/>
  <c r="J110" i="1"/>
  <c r="K110" i="1" s="1"/>
  <c r="N110" i="1" s="1"/>
  <c r="T194" i="1"/>
  <c r="U194" i="1" s="1"/>
  <c r="J236" i="1"/>
  <c r="K236" i="1" s="1"/>
  <c r="N236" i="1" s="1"/>
  <c r="T188" i="1"/>
  <c r="U188" i="1" s="1"/>
  <c r="J198" i="1"/>
  <c r="K198" i="1" s="1"/>
  <c r="N198" i="1" s="1"/>
  <c r="T258" i="1"/>
  <c r="U258" i="1" s="1"/>
  <c r="J142" i="1"/>
  <c r="K142" i="1" s="1"/>
  <c r="N142" i="1" s="1"/>
  <c r="T140" i="1"/>
  <c r="U140" i="1" s="1"/>
  <c r="J249" i="1"/>
  <c r="K249" i="1" s="1"/>
  <c r="N249" i="1" s="1"/>
  <c r="T250" i="1"/>
  <c r="U250" i="1" s="1"/>
  <c r="J137" i="1"/>
  <c r="K137" i="1" s="1"/>
  <c r="N137" i="1" s="1"/>
  <c r="T157" i="1"/>
  <c r="U157" i="1" s="1"/>
  <c r="J183" i="1"/>
  <c r="K183" i="1" s="1"/>
  <c r="N183" i="1" s="1"/>
  <c r="T167" i="1"/>
  <c r="U167" i="1" s="1"/>
  <c r="J111" i="1"/>
  <c r="K111" i="1" s="1"/>
  <c r="N111" i="1" s="1"/>
  <c r="T227" i="1"/>
  <c r="U227" i="1" s="1"/>
  <c r="J117" i="1"/>
  <c r="K117" i="1" s="1"/>
  <c r="N117" i="1" s="1"/>
  <c r="T226" i="1"/>
  <c r="U226" i="1" s="1"/>
  <c r="J127" i="1"/>
  <c r="K127" i="1" s="1"/>
  <c r="N127" i="1" s="1"/>
  <c r="K17" i="1"/>
  <c r="N17" i="1" s="1"/>
  <c r="U17" i="1"/>
  <c r="U312" i="1"/>
  <c r="K25" i="1"/>
  <c r="N25" i="1" s="1"/>
  <c r="K21" i="1"/>
  <c r="N21" i="1" s="1"/>
  <c r="K20" i="1"/>
  <c r="N20" i="1" s="1"/>
  <c r="K6" i="1"/>
  <c r="N6" i="1" s="1"/>
  <c r="K26" i="1"/>
  <c r="N26" i="1" s="1"/>
  <c r="U172" i="1"/>
  <c r="K29" i="1"/>
  <c r="N29" i="1" s="1"/>
  <c r="K5" i="1"/>
  <c r="N5" i="1" s="1"/>
  <c r="K8" i="1"/>
  <c r="N8" i="1" s="1"/>
  <c r="K23" i="1"/>
  <c r="N23" i="1" s="1"/>
  <c r="U23" i="1"/>
  <c r="U305" i="1"/>
  <c r="K31" i="1"/>
  <c r="N31" i="1" s="1"/>
  <c r="U176" i="1"/>
  <c r="K12" i="1"/>
  <c r="N12" i="1" s="1"/>
  <c r="U12" i="1"/>
  <c r="U335" i="1"/>
  <c r="K27" i="1"/>
  <c r="N27" i="1" s="1"/>
  <c r="U143" i="1"/>
  <c r="K15" i="1"/>
  <c r="N15" i="1" s="1"/>
  <c r="U15" i="1"/>
  <c r="K13" i="1"/>
  <c r="N13" i="1" s="1"/>
  <c r="K16" i="1"/>
  <c r="N16" i="1" s="1"/>
  <c r="U16" i="1"/>
  <c r="K18" i="1"/>
  <c r="N18" i="1" s="1"/>
  <c r="K4" i="1"/>
  <c r="N4" i="1" s="1"/>
  <c r="U387" i="1"/>
  <c r="U376" i="1"/>
  <c r="K24" i="1"/>
  <c r="N24" i="1" s="1"/>
  <c r="U180" i="1"/>
  <c r="U266" i="1"/>
  <c r="K11" i="1"/>
  <c r="N11" i="1" s="1"/>
  <c r="U11" i="1"/>
  <c r="K14" i="1"/>
  <c r="N14" i="1" s="1"/>
  <c r="K30" i="1"/>
  <c r="N30" i="1" s="1"/>
  <c r="U30" i="1"/>
  <c r="O3" i="1"/>
  <c r="K19" i="1"/>
  <c r="N19" i="1" s="1"/>
  <c r="U19" i="1"/>
  <c r="K9" i="1"/>
  <c r="N9" i="1" s="1"/>
  <c r="K22" i="1"/>
  <c r="N22" i="1" s="1"/>
  <c r="U22" i="1"/>
  <c r="K10" i="1"/>
  <c r="N10" i="1" s="1"/>
  <c r="U10" i="1"/>
  <c r="K7" i="1"/>
  <c r="N7" i="1" s="1"/>
  <c r="U7" i="1"/>
  <c r="K28" i="1"/>
  <c r="N28" i="1" s="1"/>
  <c r="N2" i="1"/>
  <c r="O2" i="1" s="1"/>
  <c r="L2" i="1"/>
  <c r="U402" i="1" l="1"/>
  <c r="O263" i="1"/>
  <c r="O72" i="1"/>
  <c r="O238" i="1"/>
  <c r="O69" i="1"/>
  <c r="O258" i="1"/>
  <c r="O383" i="1"/>
  <c r="O323" i="1"/>
  <c r="O289" i="1"/>
  <c r="O180" i="1"/>
  <c r="O293" i="1"/>
  <c r="O80" i="1"/>
  <c r="O48" i="1"/>
  <c r="O352" i="1"/>
  <c r="O83" i="1"/>
  <c r="O143" i="1"/>
  <c r="O279" i="1"/>
  <c r="O215" i="1"/>
  <c r="O71" i="1"/>
  <c r="O329" i="1"/>
  <c r="O395" i="1"/>
  <c r="O345" i="1"/>
  <c r="O248" i="1"/>
  <c r="O185" i="1"/>
  <c r="O31" i="1"/>
  <c r="O91" i="1"/>
  <c r="O369" i="1"/>
  <c r="O73" i="1"/>
  <c r="O161" i="1"/>
  <c r="O213" i="1"/>
  <c r="O134" i="1"/>
  <c r="O240" i="1"/>
  <c r="O66" i="1"/>
  <c r="O74" i="1"/>
  <c r="O272" i="1"/>
  <c r="O117" i="1"/>
  <c r="O249" i="1"/>
  <c r="O155" i="1"/>
  <c r="O44" i="1"/>
  <c r="O303" i="1"/>
  <c r="O363" i="1"/>
  <c r="O21" i="1"/>
  <c r="O150" i="1"/>
  <c r="O92" i="1"/>
  <c r="O366" i="1"/>
  <c r="O178" i="1"/>
  <c r="O75" i="1"/>
  <c r="O126" i="1"/>
  <c r="O304" i="1"/>
  <c r="O4" i="1"/>
  <c r="O386" i="1"/>
  <c r="O153" i="1"/>
  <c r="O318" i="1"/>
  <c r="O104" i="1"/>
  <c r="O172" i="1"/>
  <c r="O146" i="1"/>
  <c r="O108" i="1"/>
  <c r="O33" i="1"/>
  <c r="O365" i="1"/>
  <c r="O357" i="1"/>
  <c r="O10" i="1"/>
  <c r="O349" i="1"/>
  <c r="O298" i="1"/>
  <c r="O217" i="1"/>
  <c r="O181" i="1"/>
  <c r="O310" i="1"/>
  <c r="O389" i="1"/>
  <c r="O337" i="1"/>
  <c r="O296" i="1"/>
  <c r="O216" i="1"/>
  <c r="O278" i="1"/>
  <c r="O101" i="1"/>
  <c r="O186" i="1"/>
  <c r="O59" i="1"/>
  <c r="O359" i="1"/>
  <c r="O275" i="1"/>
  <c r="O260" i="1"/>
  <c r="O85" i="1"/>
  <c r="O18" i="1"/>
  <c r="O16" i="1"/>
  <c r="O15" i="1"/>
  <c r="O36" i="1"/>
  <c r="O195" i="1"/>
  <c r="O100" i="1"/>
  <c r="O41" i="1"/>
  <c r="O301" i="1"/>
  <c r="O342" i="1"/>
  <c r="O271" i="1"/>
  <c r="O219" i="1"/>
  <c r="O45" i="1"/>
  <c r="O325" i="1"/>
  <c r="O112" i="1"/>
  <c r="O273" i="1"/>
  <c r="O97" i="1"/>
  <c r="O136" i="1"/>
  <c r="O123" i="1"/>
  <c r="O63" i="1"/>
  <c r="O347" i="1"/>
  <c r="O81" i="1"/>
  <c r="O151" i="1"/>
  <c r="O290" i="1"/>
  <c r="O189" i="1"/>
  <c r="O26" i="1"/>
  <c r="O49" i="1"/>
  <c r="O312" i="1"/>
  <c r="O202" i="1"/>
  <c r="O285" i="1"/>
  <c r="O287" i="1"/>
  <c r="O308" i="1"/>
  <c r="O255" i="1"/>
  <c r="O188" i="1"/>
  <c r="O326" i="1"/>
  <c r="O353" i="1"/>
  <c r="O220" i="1"/>
  <c r="O305" i="1"/>
  <c r="O170" i="1"/>
  <c r="O133" i="1"/>
  <c r="O200" i="1"/>
  <c r="O232" i="1"/>
  <c r="O64" i="1"/>
  <c r="O397" i="1"/>
  <c r="O239" i="1"/>
  <c r="O292" i="1"/>
  <c r="O330" i="1"/>
  <c r="O233" i="1"/>
  <c r="O145" i="1"/>
  <c r="O120" i="1"/>
  <c r="O174" i="1"/>
  <c r="O87" i="1"/>
  <c r="O399" i="1"/>
  <c r="O94" i="1"/>
  <c r="O207" i="1"/>
  <c r="O276" i="1"/>
  <c r="O332" i="1"/>
  <c r="O222" i="1"/>
  <c r="O163" i="1"/>
  <c r="O176" i="1"/>
  <c r="O156" i="1"/>
  <c r="O122" i="1"/>
  <c r="O56" i="1"/>
  <c r="O57" i="1"/>
  <c r="O317" i="1"/>
  <c r="O299" i="1"/>
  <c r="O343" i="1"/>
  <c r="O22" i="1"/>
  <c r="O370" i="1"/>
  <c r="O358" i="1"/>
  <c r="O267" i="1"/>
  <c r="O115" i="1"/>
  <c r="O218" i="1"/>
  <c r="O382" i="1"/>
  <c r="O148" i="1"/>
  <c r="O322" i="1"/>
  <c r="O7" i="1"/>
  <c r="O19" i="1"/>
  <c r="O135" i="1"/>
  <c r="O286" i="1"/>
  <c r="O177" i="1"/>
  <c r="O226" i="1"/>
  <c r="O191" i="1"/>
  <c r="O113" i="1"/>
  <c r="O356" i="1"/>
  <c r="O118" i="1"/>
  <c r="O98" i="1"/>
  <c r="O208" i="1"/>
  <c r="O24" i="1"/>
  <c r="O51" i="1"/>
  <c r="O392" i="1"/>
  <c r="O336" i="1"/>
  <c r="O13" i="1"/>
  <c r="O266" i="1"/>
  <c r="O254" i="1"/>
  <c r="O144" i="1"/>
  <c r="O243" i="1"/>
  <c r="O324" i="1"/>
  <c r="O119" i="1"/>
  <c r="O228" i="1"/>
  <c r="O250" i="1"/>
  <c r="O193" i="1"/>
  <c r="O67" i="1"/>
  <c r="O65" i="1"/>
  <c r="O23" i="1"/>
  <c r="O244" i="1"/>
  <c r="O171" i="1"/>
  <c r="O121" i="1"/>
  <c r="O162" i="1"/>
  <c r="O175" i="1"/>
  <c r="O29" i="1"/>
  <c r="O93" i="1"/>
  <c r="O351" i="1"/>
  <c r="O346" i="1"/>
  <c r="O183" i="1"/>
  <c r="O198" i="1"/>
  <c r="O280" i="1"/>
  <c r="O95" i="1"/>
  <c r="O79" i="1"/>
  <c r="O52" i="1"/>
  <c r="O338" i="1"/>
  <c r="O355" i="1"/>
  <c r="O242" i="1"/>
  <c r="O214" i="1"/>
  <c r="O192" i="1"/>
  <c r="O300" i="1"/>
  <c r="O138" i="1"/>
  <c r="O105" i="1"/>
  <c r="O377" i="1"/>
  <c r="O361" i="1"/>
  <c r="O168" i="1"/>
  <c r="O54" i="1"/>
  <c r="O129" i="1"/>
  <c r="O261" i="1"/>
  <c r="O201" i="1"/>
  <c r="O169" i="1"/>
  <c r="O34" i="1"/>
  <c r="O42" i="1"/>
  <c r="O334" i="1"/>
  <c r="O173" i="1"/>
  <c r="O203" i="1"/>
  <c r="O224" i="1"/>
  <c r="O147" i="1"/>
  <c r="O38" i="1"/>
  <c r="O314" i="1"/>
  <c r="O367" i="1"/>
  <c r="O306" i="1"/>
  <c r="O331" i="1"/>
  <c r="O157" i="1"/>
  <c r="O205" i="1"/>
  <c r="O53" i="1"/>
  <c r="O86" i="1"/>
  <c r="O309" i="1"/>
  <c r="O221" i="1"/>
  <c r="O141" i="1"/>
  <c r="O197" i="1"/>
  <c r="O340" i="1"/>
  <c r="O368" i="1"/>
  <c r="O194" i="1"/>
  <c r="O160" i="1"/>
  <c r="O265" i="1"/>
  <c r="O70" i="1"/>
  <c r="O316" i="1"/>
  <c r="O371" i="1"/>
  <c r="O387" i="1"/>
  <c r="O9" i="1"/>
  <c r="O78" i="1"/>
  <c r="O187" i="1"/>
  <c r="O60" i="1"/>
  <c r="O137" i="1"/>
  <c r="O212" i="1"/>
  <c r="O30" i="1"/>
  <c r="O131" i="1"/>
  <c r="O39" i="1"/>
  <c r="O385" i="1"/>
  <c r="O335" i="1"/>
  <c r="O114" i="1"/>
  <c r="O311" i="1"/>
  <c r="O154" i="1"/>
  <c r="O270" i="1"/>
  <c r="O297" i="1"/>
  <c r="O231" i="1"/>
  <c r="O58" i="1"/>
  <c r="O37" i="1"/>
  <c r="O319" i="1"/>
  <c r="O376" i="1"/>
  <c r="O307" i="1"/>
  <c r="O378" i="1"/>
  <c r="O77" i="1"/>
  <c r="O125" i="1"/>
  <c r="O124" i="1"/>
  <c r="O139" i="1"/>
  <c r="O281" i="1"/>
  <c r="O106" i="1"/>
  <c r="O88" i="1"/>
  <c r="O374" i="1"/>
  <c r="O390" i="1"/>
  <c r="O5" i="1"/>
  <c r="O252" i="1"/>
  <c r="O167" i="1"/>
  <c r="O225" i="1"/>
  <c r="O247" i="1"/>
  <c r="O274" i="1"/>
  <c r="O384" i="1"/>
  <c r="O393" i="1"/>
  <c r="O127" i="1"/>
  <c r="O229" i="1"/>
  <c r="O159" i="1"/>
  <c r="O230" i="1"/>
  <c r="O50" i="1"/>
  <c r="O90" i="1"/>
  <c r="O391" i="1"/>
  <c r="O372" i="1"/>
  <c r="O375" i="1"/>
  <c r="O20" i="1"/>
  <c r="O235" i="1"/>
  <c r="O116" i="1"/>
  <c r="O25" i="1"/>
  <c r="O17" i="1"/>
  <c r="P1" i="1" l="1"/>
  <c r="O360" i="1"/>
  <c r="O8" i="1"/>
  <c r="O14" i="1"/>
  <c r="O102" i="1"/>
  <c r="O190" i="1"/>
  <c r="O46" i="1"/>
  <c r="O350" i="1"/>
  <c r="O257" i="1"/>
  <c r="O166" i="1"/>
  <c r="O284" i="1"/>
  <c r="O40" i="1"/>
  <c r="O288" i="1"/>
  <c r="O130" i="1"/>
  <c r="O107" i="1"/>
  <c r="O394" i="1"/>
  <c r="O400" i="1"/>
  <c r="O396" i="1"/>
  <c r="O28" i="1"/>
  <c r="O179" i="1"/>
  <c r="O152" i="1"/>
  <c r="O262" i="1"/>
  <c r="O196" i="1"/>
  <c r="O398" i="1"/>
  <c r="O241" i="1"/>
  <c r="O55" i="1"/>
  <c r="O27" i="1"/>
  <c r="O206" i="1"/>
  <c r="O277" i="1"/>
  <c r="O184" i="1"/>
  <c r="O47" i="1"/>
  <c r="O373" i="1"/>
  <c r="O321" i="1"/>
  <c r="O282" i="1"/>
  <c r="O103" i="1"/>
  <c r="O283" i="1"/>
  <c r="O269" i="1"/>
  <c r="O320" i="1"/>
  <c r="O99" i="1"/>
  <c r="O142" i="1"/>
  <c r="O295" i="1"/>
  <c r="O251" i="1"/>
  <c r="O211" i="1"/>
  <c r="O388" i="1"/>
  <c r="O344" i="1"/>
  <c r="O11" i="1"/>
  <c r="O35" i="1"/>
  <c r="O234" i="1"/>
  <c r="O140" i="1"/>
  <c r="O110" i="1"/>
  <c r="O313" i="1"/>
  <c r="O237" i="1"/>
  <c r="O354" i="1"/>
  <c r="O246" i="1"/>
  <c r="O89" i="1"/>
  <c r="O256" i="1"/>
  <c r="O209" i="1"/>
  <c r="O291" i="1"/>
  <c r="O245" i="1"/>
  <c r="O236" i="1"/>
  <c r="O32" i="1"/>
  <c r="O164" i="1"/>
  <c r="O158" i="1"/>
  <c r="O76" i="1"/>
  <c r="O204" i="1"/>
  <c r="O333" i="1"/>
  <c r="O227" i="1"/>
  <c r="O268" i="1"/>
  <c r="O339" i="1"/>
  <c r="O149" i="1"/>
  <c r="O381" i="1"/>
  <c r="O109" i="1"/>
  <c r="O199" i="1"/>
  <c r="O341" i="1"/>
  <c r="O379" i="1"/>
  <c r="O6" i="1"/>
  <c r="O294" i="1"/>
  <c r="O348" i="1"/>
  <c r="O223" i="1"/>
  <c r="O12" i="1"/>
  <c r="O327" i="1"/>
  <c r="O62" i="1"/>
  <c r="O68" i="1"/>
  <c r="O111" i="1"/>
  <c r="O43" i="1"/>
  <c r="O328" i="1"/>
  <c r="O364" i="1"/>
  <c r="O380" i="1"/>
  <c r="O302" i="1"/>
  <c r="O362" i="1"/>
  <c r="O82" i="1"/>
  <c r="O182" i="1"/>
  <c r="O132" i="1"/>
  <c r="O61" i="1"/>
  <c r="O253" i="1"/>
  <c r="O259" i="1"/>
  <c r="O96" i="1"/>
  <c r="O128" i="1"/>
  <c r="O84" i="1"/>
  <c r="O264" i="1"/>
  <c r="O165" i="1"/>
  <c r="O315" i="1"/>
  <c r="O210" i="1"/>
  <c r="P315" i="1" l="1"/>
  <c r="P306" i="1"/>
  <c r="P348" i="1"/>
  <c r="P149" i="1"/>
  <c r="P61" i="1"/>
  <c r="Q61" i="1" s="1"/>
  <c r="P328" i="1"/>
  <c r="Q328" i="1" s="1"/>
  <c r="P262" i="1"/>
  <c r="Q262" i="1" s="1"/>
  <c r="P371" i="1"/>
  <c r="Q371" i="1" s="1"/>
  <c r="P297" i="1"/>
  <c r="P127" i="1"/>
  <c r="P67" i="1"/>
  <c r="P276" i="1"/>
  <c r="P349" i="1"/>
  <c r="Q349" i="1" s="1"/>
  <c r="P281" i="1"/>
  <c r="Q281" i="1" s="1"/>
  <c r="P383" i="1"/>
  <c r="Q383" i="1" s="1"/>
  <c r="P247" i="1"/>
  <c r="Q247" i="1" s="1"/>
  <c r="P165" i="1"/>
  <c r="P132" i="1"/>
  <c r="P43" i="1"/>
  <c r="P294" i="1"/>
  <c r="P339" i="1"/>
  <c r="Q339" i="1" s="1"/>
  <c r="P354" i="1"/>
  <c r="Q354" i="1" s="1"/>
  <c r="P344" i="1"/>
  <c r="Q344" i="1" s="1"/>
  <c r="P269" i="1"/>
  <c r="Q269" i="1" s="1"/>
  <c r="P277" i="1"/>
  <c r="Q277" i="1" s="1"/>
  <c r="P152" i="1"/>
  <c r="P288" i="1"/>
  <c r="P102" i="1"/>
  <c r="Q102" i="1" s="1"/>
  <c r="P363" i="1"/>
  <c r="Q363" i="1" s="1"/>
  <c r="P353" i="1"/>
  <c r="Q353" i="1" s="1"/>
  <c r="P121" i="1"/>
  <c r="Q121" i="1" s="1"/>
  <c r="P270" i="1"/>
  <c r="Q270" i="1" s="1"/>
  <c r="P191" i="1"/>
  <c r="Q191" i="1" s="1"/>
  <c r="P33" i="1"/>
  <c r="P239" i="1"/>
  <c r="P192" i="1"/>
  <c r="P77" i="1"/>
  <c r="Q77" i="1" s="1"/>
  <c r="P293" i="1"/>
  <c r="Q293" i="1" s="1"/>
  <c r="P359" i="1"/>
  <c r="P122" i="1"/>
  <c r="Q122" i="1" s="1"/>
  <c r="P261" i="1"/>
  <c r="P375" i="1"/>
  <c r="P274" i="1"/>
  <c r="P357" i="1"/>
  <c r="Q357" i="1" s="1"/>
  <c r="P330" i="1"/>
  <c r="Q330" i="1" s="1"/>
  <c r="P79" i="1"/>
  <c r="Q79" i="1" s="1"/>
  <c r="P58" i="1"/>
  <c r="Q58" i="1" s="1"/>
  <c r="P69" i="1"/>
  <c r="Q69" i="1" s="1"/>
  <c r="P260" i="1"/>
  <c r="P57" i="1"/>
  <c r="P105" i="1"/>
  <c r="P139" i="1"/>
  <c r="P258" i="1"/>
  <c r="Q258" i="1" s="1"/>
  <c r="P216" i="1"/>
  <c r="Q216" i="1" s="1"/>
  <c r="P332" i="1"/>
  <c r="Q332" i="1" s="1"/>
  <c r="P34" i="1"/>
  <c r="Q34" i="1" s="1"/>
  <c r="P225" i="1"/>
  <c r="Q225" i="1" s="1"/>
  <c r="P83" i="1"/>
  <c r="P342" i="1"/>
  <c r="Q342" i="1" s="1"/>
  <c r="P226" i="1"/>
  <c r="Q226" i="1" s="1"/>
  <c r="P367" i="1"/>
  <c r="Q367" i="1" s="1"/>
  <c r="P50" i="1"/>
  <c r="Q50" i="1" s="1"/>
  <c r="P320" i="1"/>
  <c r="Q320" i="1" s="1"/>
  <c r="P312" i="1"/>
  <c r="Q312" i="1" s="1"/>
  <c r="P280" i="1"/>
  <c r="P316" i="1"/>
  <c r="P385" i="1"/>
  <c r="Q385" i="1" s="1"/>
  <c r="P52" i="1"/>
  <c r="Q52" i="1" s="1"/>
  <c r="P377" i="1"/>
  <c r="Q377" i="1" s="1"/>
  <c r="P382" i="1"/>
  <c r="Q382" i="1" s="1"/>
  <c r="P182" i="1"/>
  <c r="Q182" i="1" s="1"/>
  <c r="P268" i="1"/>
  <c r="Q268" i="1" s="1"/>
  <c r="P236" i="1"/>
  <c r="Q236" i="1" s="1"/>
  <c r="P237" i="1"/>
  <c r="P388" i="1"/>
  <c r="P283" i="1"/>
  <c r="P206" i="1"/>
  <c r="Q206" i="1" s="1"/>
  <c r="P179" i="1"/>
  <c r="Q179" i="1" s="1"/>
  <c r="P40" i="1"/>
  <c r="Q40" i="1" s="1"/>
  <c r="P304" i="1"/>
  <c r="Q304" i="1" s="1"/>
  <c r="P397" i="1"/>
  <c r="Q397" i="1" s="1"/>
  <c r="P198" i="1"/>
  <c r="P378" i="1"/>
  <c r="Q378" i="1" s="1"/>
  <c r="P168" i="1"/>
  <c r="Q168" i="1" s="1"/>
  <c r="P310" i="1"/>
  <c r="Q310" i="1" s="1"/>
  <c r="P399" i="1"/>
  <c r="Q399" i="1" s="1"/>
  <c r="P129" i="1"/>
  <c r="Q129" i="1" s="1"/>
  <c r="P390" i="1"/>
  <c r="Q390" i="1" s="1"/>
  <c r="P71" i="1"/>
  <c r="P195" i="1"/>
  <c r="Q195" i="1" s="1"/>
  <c r="P358" i="1"/>
  <c r="Q358" i="1" s="1"/>
  <c r="P224" i="1"/>
  <c r="Q224" i="1" s="1"/>
  <c r="P235" i="1"/>
  <c r="Q235" i="1" s="1"/>
  <c r="P238" i="1"/>
  <c r="Q238" i="1" s="1"/>
  <c r="P337" i="1"/>
  <c r="Q337" i="1" s="1"/>
  <c r="P207" i="1"/>
  <c r="Q207" i="1" s="1"/>
  <c r="P138" i="1"/>
  <c r="Q138" i="1" s="1"/>
  <c r="P124" i="1"/>
  <c r="P48" i="1"/>
  <c r="P41" i="1"/>
  <c r="P115" i="1"/>
  <c r="Q115" i="1" s="1"/>
  <c r="P169" i="1"/>
  <c r="Q169" i="1" s="1"/>
  <c r="P167" i="1"/>
  <c r="Q167" i="1" s="1"/>
  <c r="P352" i="1"/>
  <c r="Q352" i="1" s="1"/>
  <c r="P85" i="1"/>
  <c r="Q85" i="1" s="1"/>
  <c r="P317" i="1"/>
  <c r="Q317" i="1" s="1"/>
  <c r="P314" i="1"/>
  <c r="Q314" i="1" s="1"/>
  <c r="P230" i="1"/>
  <c r="P248" i="1"/>
  <c r="Q248" i="1" s="1"/>
  <c r="P136" i="1"/>
  <c r="Q136" i="1" s="1"/>
  <c r="P51" i="1"/>
  <c r="Q51" i="1" s="1"/>
  <c r="P221" i="1"/>
  <c r="P323" i="1"/>
  <c r="Q323" i="1" s="1"/>
  <c r="P190" i="1"/>
  <c r="P271" i="1"/>
  <c r="Q271" i="1" s="1"/>
  <c r="P389" i="1"/>
  <c r="Q389" i="1" s="1"/>
  <c r="P170" i="1"/>
  <c r="Q170" i="1" s="1"/>
  <c r="P296" i="1"/>
  <c r="Q296" i="1" s="1"/>
  <c r="P37" i="1"/>
  <c r="Q37" i="1" s="1"/>
  <c r="P145" i="1"/>
  <c r="Q145" i="1" s="1"/>
  <c r="P278" i="1"/>
  <c r="Q278" i="1" s="1"/>
  <c r="P264" i="1"/>
  <c r="Q264" i="1" s="1"/>
  <c r="P111" i="1"/>
  <c r="P84" i="1"/>
  <c r="Q84" i="1" s="1"/>
  <c r="P82" i="1"/>
  <c r="Q82" i="1" s="1"/>
  <c r="P68" i="1"/>
  <c r="P379" i="1"/>
  <c r="Q379" i="1" s="1"/>
  <c r="P227" i="1"/>
  <c r="Q227" i="1" s="1"/>
  <c r="P245" i="1"/>
  <c r="Q245" i="1" s="1"/>
  <c r="P313" i="1"/>
  <c r="P211" i="1"/>
  <c r="P103" i="1"/>
  <c r="Q103" i="1" s="1"/>
  <c r="P284" i="1"/>
  <c r="Q284" i="1" s="1"/>
  <c r="P108" i="1"/>
  <c r="Q108" i="1" s="1"/>
  <c r="P87" i="1"/>
  <c r="Q87" i="1" s="1"/>
  <c r="P214" i="1"/>
  <c r="Q214" i="1" s="1"/>
  <c r="P374" i="1"/>
  <c r="P307" i="1"/>
  <c r="P59" i="1"/>
  <c r="P156" i="1"/>
  <c r="Q156" i="1" s="1"/>
  <c r="P203" i="1"/>
  <c r="Q203" i="1" s="1"/>
  <c r="P393" i="1"/>
  <c r="Q393" i="1" s="1"/>
  <c r="P369" i="1"/>
  <c r="Q369" i="1" s="1"/>
  <c r="P325" i="1"/>
  <c r="Q325" i="1" s="1"/>
  <c r="P118" i="1"/>
  <c r="P205" i="1"/>
  <c r="Q205" i="1" s="1"/>
  <c r="P240" i="1"/>
  <c r="Q240" i="1" s="1"/>
  <c r="P80" i="1"/>
  <c r="P275" i="1"/>
  <c r="Q275" i="1" s="1"/>
  <c r="P56" i="1"/>
  <c r="Q56" i="1" s="1"/>
  <c r="P201" i="1"/>
  <c r="Q201" i="1" s="1"/>
  <c r="P252" i="1"/>
  <c r="Q252" i="1" s="1"/>
  <c r="P395" i="1"/>
  <c r="P273" i="1"/>
  <c r="P286" i="1"/>
  <c r="P38" i="1"/>
  <c r="Q38" i="1" s="1"/>
  <c r="P159" i="1"/>
  <c r="Q159" i="1" s="1"/>
  <c r="P345" i="1"/>
  <c r="Q345" i="1" s="1"/>
  <c r="P301" i="1"/>
  <c r="Q301" i="1" s="1"/>
  <c r="P218" i="1"/>
  <c r="Q218" i="1" s="1"/>
  <c r="P309" i="1"/>
  <c r="Q309" i="1" s="1"/>
  <c r="P303" i="1"/>
  <c r="Q303" i="1" s="1"/>
  <c r="P134" i="1"/>
  <c r="P188" i="1"/>
  <c r="Q188" i="1" s="1"/>
  <c r="P324" i="1"/>
  <c r="Q324" i="1" s="1"/>
  <c r="P70" i="1"/>
  <c r="Q70" i="1" s="1"/>
  <c r="P101" i="1"/>
  <c r="Q101" i="1" s="1"/>
  <c r="P130" i="1"/>
  <c r="Q130" i="1" s="1"/>
  <c r="P220" i="1"/>
  <c r="Q220" i="1" s="1"/>
  <c r="P94" i="1"/>
  <c r="Q94" i="1" s="1"/>
  <c r="P153" i="1"/>
  <c r="Q153" i="1" s="1"/>
  <c r="P212" i="1"/>
  <c r="Q212" i="1" s="1"/>
  <c r="P141" i="1"/>
  <c r="Q141" i="1" s="1"/>
  <c r="P42" i="1"/>
  <c r="Q42" i="1" s="1"/>
  <c r="P128" i="1"/>
  <c r="Q128" i="1" s="1"/>
  <c r="P362" i="1"/>
  <c r="Q362" i="1" s="1"/>
  <c r="P62" i="1"/>
  <c r="Q62" i="1" s="1"/>
  <c r="P341" i="1"/>
  <c r="Q341" i="1" s="1"/>
  <c r="P333" i="1"/>
  <c r="Q333" i="1" s="1"/>
  <c r="P291" i="1"/>
  <c r="Q291" i="1" s="1"/>
  <c r="P110" i="1"/>
  <c r="Q110" i="1" s="1"/>
  <c r="P251" i="1"/>
  <c r="Q251" i="1" s="1"/>
  <c r="P282" i="1"/>
  <c r="Q282" i="1" s="1"/>
  <c r="P55" i="1"/>
  <c r="Q55" i="1" s="1"/>
  <c r="P396" i="1"/>
  <c r="Q396" i="1" s="1"/>
  <c r="P166" i="1"/>
  <c r="Q166" i="1" s="1"/>
  <c r="P360" i="1"/>
  <c r="Q360" i="1" s="1"/>
  <c r="P181" i="1"/>
  <c r="Q181" i="1" s="1"/>
  <c r="P176" i="1"/>
  <c r="Q176" i="1" s="1"/>
  <c r="P54" i="1"/>
  <c r="Q54" i="1" s="1"/>
  <c r="P384" i="1"/>
  <c r="Q384" i="1" s="1"/>
  <c r="P263" i="1"/>
  <c r="Q263" i="1" s="1"/>
  <c r="P36" i="1"/>
  <c r="Q36" i="1" s="1"/>
  <c r="P370" i="1"/>
  <c r="Q370" i="1" s="1"/>
  <c r="P157" i="1"/>
  <c r="Q157" i="1" s="1"/>
  <c r="P185" i="1"/>
  <c r="Q185" i="1" s="1"/>
  <c r="P272" i="1"/>
  <c r="Q272" i="1" s="1"/>
  <c r="P81" i="1"/>
  <c r="Q81" i="1" s="1"/>
  <c r="P266" i="1"/>
  <c r="Q266" i="1" s="1"/>
  <c r="P368" i="1"/>
  <c r="Q368" i="1" s="1"/>
  <c r="P217" i="1"/>
  <c r="Q217" i="1" s="1"/>
  <c r="P329" i="1"/>
  <c r="Q329" i="1" s="1"/>
  <c r="P100" i="1"/>
  <c r="P267" i="1"/>
  <c r="Q267" i="1" s="1"/>
  <c r="P147" i="1"/>
  <c r="Q147" i="1" s="1"/>
  <c r="P229" i="1"/>
  <c r="Q229" i="1" s="1"/>
  <c r="P161" i="1"/>
  <c r="Q161" i="1" s="1"/>
  <c r="P290" i="1"/>
  <c r="Q290" i="1" s="1"/>
  <c r="P208" i="1"/>
  <c r="Q208" i="1" s="1"/>
  <c r="P86" i="1"/>
  <c r="P143" i="1"/>
  <c r="P213" i="1"/>
  <c r="P97" i="1"/>
  <c r="Q97" i="1" s="1"/>
  <c r="P177" i="1"/>
  <c r="Q177" i="1" s="1"/>
  <c r="P265" i="1"/>
  <c r="Q265" i="1" s="1"/>
  <c r="P326" i="1"/>
  <c r="Q326" i="1" s="1"/>
  <c r="P44" i="1"/>
  <c r="Q44" i="1" s="1"/>
  <c r="P232" i="1"/>
  <c r="P244" i="1"/>
  <c r="Q244" i="1" s="1"/>
  <c r="P137" i="1"/>
  <c r="Q137" i="1" s="1"/>
  <c r="P64" i="1"/>
  <c r="Q64" i="1" s="1"/>
  <c r="P184" i="1"/>
  <c r="Q184" i="1" s="1"/>
  <c r="P228" i="1"/>
  <c r="Q228" i="1" s="1"/>
  <c r="P300" i="1"/>
  <c r="Q300" i="1" s="1"/>
  <c r="P96" i="1"/>
  <c r="Q96" i="1" s="1"/>
  <c r="P302" i="1"/>
  <c r="Q302" i="1" s="1"/>
  <c r="P327" i="1"/>
  <c r="Q327" i="1" s="1"/>
  <c r="P199" i="1"/>
  <c r="P204" i="1"/>
  <c r="Q204" i="1" s="1"/>
  <c r="P209" i="1"/>
  <c r="Q209" i="1" s="1"/>
  <c r="P140" i="1"/>
  <c r="Q140" i="1" s="1"/>
  <c r="P295" i="1"/>
  <c r="Q295" i="1" s="1"/>
  <c r="P321" i="1"/>
  <c r="Q321" i="1" s="1"/>
  <c r="P241" i="1"/>
  <c r="Q241" i="1" s="1"/>
  <c r="P400" i="1"/>
  <c r="Q400" i="1" s="1"/>
  <c r="P257" i="1"/>
  <c r="Q257" i="1" s="1"/>
  <c r="P186" i="1"/>
  <c r="Q186" i="1" s="1"/>
  <c r="P322" i="1"/>
  <c r="Q322" i="1" s="1"/>
  <c r="P173" i="1"/>
  <c r="Q173" i="1" s="1"/>
  <c r="P391" i="1"/>
  <c r="Q391" i="1" s="1"/>
  <c r="P180" i="1"/>
  <c r="Q180" i="1" s="1"/>
  <c r="P45" i="1"/>
  <c r="Q45" i="1" s="1"/>
  <c r="P356" i="1"/>
  <c r="Q356" i="1" s="1"/>
  <c r="P340" i="1"/>
  <c r="Q340" i="1" s="1"/>
  <c r="P163" i="1"/>
  <c r="Q163" i="1" s="1"/>
  <c r="P150" i="1"/>
  <c r="Q150" i="1" s="1"/>
  <c r="P285" i="1"/>
  <c r="P193" i="1"/>
  <c r="P39" i="1"/>
  <c r="Q39" i="1" s="1"/>
  <c r="P123" i="1"/>
  <c r="Q123" i="1" s="1"/>
  <c r="P73" i="1"/>
  <c r="Q73" i="1" s="1"/>
  <c r="P112" i="1"/>
  <c r="Q112" i="1" s="1"/>
  <c r="P135" i="1"/>
  <c r="Q135" i="1" s="1"/>
  <c r="P53" i="1"/>
  <c r="Q53" i="1" s="1"/>
  <c r="P116" i="1"/>
  <c r="Q116" i="1" s="1"/>
  <c r="P249" i="1"/>
  <c r="P308" i="1"/>
  <c r="Q308" i="1" s="1"/>
  <c r="P144" i="1"/>
  <c r="Q144" i="1" s="1"/>
  <c r="P160" i="1"/>
  <c r="P49" i="1"/>
  <c r="Q49" i="1" s="1"/>
  <c r="P155" i="1"/>
  <c r="Q155" i="1" s="1"/>
  <c r="P189" i="1"/>
  <c r="Q189" i="1" s="1"/>
  <c r="P243" i="1"/>
  <c r="Q243" i="1" s="1"/>
  <c r="P60" i="1"/>
  <c r="Q60" i="1" s="1"/>
  <c r="P343" i="1"/>
  <c r="Q343" i="1" s="1"/>
  <c r="P75" i="1"/>
  <c r="Q75" i="1" s="1"/>
  <c r="P120" i="1"/>
  <c r="Q120" i="1" s="1"/>
  <c r="P346" i="1"/>
  <c r="Q346" i="1" s="1"/>
  <c r="P311" i="1"/>
  <c r="Q311" i="1" s="1"/>
  <c r="P392" i="1"/>
  <c r="Q392" i="1" s="1"/>
  <c r="P164" i="1"/>
  <c r="Q164" i="1" s="1"/>
  <c r="P74" i="1"/>
  <c r="Q74" i="1" s="1"/>
  <c r="P259" i="1"/>
  <c r="Q259" i="1" s="1"/>
  <c r="P109" i="1"/>
  <c r="P256" i="1"/>
  <c r="Q256" i="1" s="1"/>
  <c r="P142" i="1"/>
  <c r="Q142" i="1" s="1"/>
  <c r="P398" i="1"/>
  <c r="Q398" i="1" s="1"/>
  <c r="P350" i="1"/>
  <c r="Q350" i="1" s="1"/>
  <c r="P219" i="1"/>
  <c r="Q219" i="1" s="1"/>
  <c r="P113" i="1"/>
  <c r="Q113" i="1" s="1"/>
  <c r="P331" i="1"/>
  <c r="Q331" i="1" s="1"/>
  <c r="P372" i="1"/>
  <c r="P215" i="1"/>
  <c r="P347" i="1"/>
  <c r="Q347" i="1" s="1"/>
  <c r="P250" i="1"/>
  <c r="Q250" i="1" s="1"/>
  <c r="P387" i="1"/>
  <c r="Q387" i="1" s="1"/>
  <c r="P334" i="1"/>
  <c r="Q334" i="1" s="1"/>
  <c r="P386" i="1"/>
  <c r="Q386" i="1" s="1"/>
  <c r="P305" i="1"/>
  <c r="Q305" i="1" s="1"/>
  <c r="P175" i="1"/>
  <c r="Q175" i="1" s="1"/>
  <c r="P231" i="1"/>
  <c r="Q231" i="1" s="1"/>
  <c r="P148" i="1"/>
  <c r="Q148" i="1" s="1"/>
  <c r="P117" i="1"/>
  <c r="P151" i="1"/>
  <c r="P98" i="1"/>
  <c r="P194" i="1"/>
  <c r="Q194" i="1" s="1"/>
  <c r="P146" i="1"/>
  <c r="Q146" i="1" s="1"/>
  <c r="P366" i="1"/>
  <c r="P133" i="1"/>
  <c r="P65" i="1"/>
  <c r="P187" i="1"/>
  <c r="Q187" i="1" s="1"/>
  <c r="P174" i="1"/>
  <c r="Q174" i="1" s="1"/>
  <c r="P178" i="1"/>
  <c r="Q178" i="1" s="1"/>
  <c r="P255" i="1"/>
  <c r="Q255" i="1" s="1"/>
  <c r="P351" i="1"/>
  <c r="Q351" i="1" s="1"/>
  <c r="P114" i="1"/>
  <c r="P242" i="1"/>
  <c r="Q242" i="1" s="1"/>
  <c r="P172" i="1"/>
  <c r="Q172" i="1" s="1"/>
  <c r="P222" i="1"/>
  <c r="Q222" i="1" s="1"/>
  <c r="P355" i="1"/>
  <c r="P376" i="1"/>
  <c r="Q376" i="1" s="1"/>
  <c r="P246" i="1"/>
  <c r="Q246" i="1" s="1"/>
  <c r="P66" i="1"/>
  <c r="Q66" i="1" s="1"/>
  <c r="P72" i="1"/>
  <c r="P380" i="1"/>
  <c r="Q380" i="1" s="1"/>
  <c r="P76" i="1"/>
  <c r="Q76" i="1" s="1"/>
  <c r="P234" i="1"/>
  <c r="P373" i="1"/>
  <c r="Q373" i="1" s="1"/>
  <c r="P394" i="1"/>
  <c r="Q394" i="1" s="1"/>
  <c r="P289" i="1"/>
  <c r="Q289" i="1" s="1"/>
  <c r="P210" i="1"/>
  <c r="P253" i="1"/>
  <c r="Q253" i="1" s="1"/>
  <c r="P364" i="1"/>
  <c r="Q364" i="1" s="1"/>
  <c r="P223" i="1"/>
  <c r="Q223" i="1" s="1"/>
  <c r="P381" i="1"/>
  <c r="Q381" i="1" s="1"/>
  <c r="P158" i="1"/>
  <c r="Q158" i="1" s="1"/>
  <c r="P89" i="1"/>
  <c r="Q89" i="1" s="1"/>
  <c r="P35" i="1"/>
  <c r="Q35" i="1" s="1"/>
  <c r="P99" i="1"/>
  <c r="P47" i="1"/>
  <c r="Q47" i="1" s="1"/>
  <c r="P196" i="1"/>
  <c r="Q196" i="1" s="1"/>
  <c r="P107" i="1"/>
  <c r="P46" i="1"/>
  <c r="Q46" i="1" s="1"/>
  <c r="P279" i="1"/>
  <c r="Q279" i="1" s="1"/>
  <c r="P63" i="1"/>
  <c r="P336" i="1"/>
  <c r="Q336" i="1" s="1"/>
  <c r="P197" i="1"/>
  <c r="P126" i="1"/>
  <c r="P91" i="1"/>
  <c r="Q91" i="1" s="1"/>
  <c r="P202" i="1"/>
  <c r="Q202" i="1" s="1"/>
  <c r="P162" i="1"/>
  <c r="P131" i="1"/>
  <c r="Q131" i="1" s="1"/>
  <c r="P88" i="1"/>
  <c r="Q88" i="1" s="1"/>
  <c r="P365" i="1"/>
  <c r="Q365" i="1" s="1"/>
  <c r="P292" i="1"/>
  <c r="Q292" i="1" s="1"/>
  <c r="P95" i="1"/>
  <c r="Q95" i="1" s="1"/>
  <c r="P125" i="1"/>
  <c r="Q125" i="1" s="1"/>
  <c r="P183" i="1"/>
  <c r="Q183" i="1" s="1"/>
  <c r="P92" i="1"/>
  <c r="P287" i="1"/>
  <c r="Q287" i="1" s="1"/>
  <c r="P254" i="1"/>
  <c r="Q254" i="1" s="1"/>
  <c r="P78" i="1"/>
  <c r="Q78" i="1" s="1"/>
  <c r="P119" i="1"/>
  <c r="Q119" i="1" s="1"/>
  <c r="P318" i="1"/>
  <c r="Q318" i="1" s="1"/>
  <c r="P233" i="1"/>
  <c r="P93" i="1"/>
  <c r="Q93" i="1" s="1"/>
  <c r="P335" i="1"/>
  <c r="Q335" i="1" s="1"/>
  <c r="P171" i="1"/>
  <c r="Q171" i="1" s="1"/>
  <c r="P104" i="1"/>
  <c r="P200" i="1"/>
  <c r="Q200" i="1" s="1"/>
  <c r="P338" i="1"/>
  <c r="Q338" i="1" s="1"/>
  <c r="P319" i="1"/>
  <c r="Q319" i="1" s="1"/>
  <c r="P154" i="1"/>
  <c r="P298" i="1"/>
  <c r="Q298" i="1" s="1"/>
  <c r="P299" i="1"/>
  <c r="Q299" i="1" s="1"/>
  <c r="P361" i="1"/>
  <c r="Q361" i="1" s="1"/>
  <c r="P106" i="1"/>
  <c r="Q106" i="1" s="1"/>
  <c r="P90" i="1"/>
  <c r="Q90" i="1" s="1"/>
  <c r="P10" i="1"/>
  <c r="P18" i="1"/>
  <c r="Q18" i="1" s="1"/>
  <c r="P26" i="1"/>
  <c r="Q26" i="1" s="1"/>
  <c r="P30" i="1"/>
  <c r="Q30" i="1" s="1"/>
  <c r="P3" i="1"/>
  <c r="Q3" i="1" s="1"/>
  <c r="P11" i="1"/>
  <c r="Q11" i="1" s="1"/>
  <c r="P19" i="1"/>
  <c r="Q19" i="1" s="1"/>
  <c r="P27" i="1"/>
  <c r="Q27" i="1" s="1"/>
  <c r="P22" i="1"/>
  <c r="P4" i="1"/>
  <c r="Q4" i="1" s="1"/>
  <c r="P12" i="1"/>
  <c r="Q12" i="1" s="1"/>
  <c r="P20" i="1"/>
  <c r="P28" i="1"/>
  <c r="Q28" i="1" s="1"/>
  <c r="P6" i="1"/>
  <c r="Q6" i="1" s="1"/>
  <c r="P5" i="1"/>
  <c r="Q5" i="1" s="1"/>
  <c r="P13" i="1"/>
  <c r="P21" i="1"/>
  <c r="P29" i="1"/>
  <c r="Q29" i="1" s="1"/>
  <c r="P14" i="1"/>
  <c r="P7" i="1"/>
  <c r="Q7" i="1" s="1"/>
  <c r="P15" i="1"/>
  <c r="Q15" i="1" s="1"/>
  <c r="P23" i="1"/>
  <c r="Q23" i="1" s="1"/>
  <c r="P31" i="1"/>
  <c r="Q31" i="1" s="1"/>
  <c r="P8" i="1"/>
  <c r="Q8" i="1" s="1"/>
  <c r="P16" i="1"/>
  <c r="Q16" i="1" s="1"/>
  <c r="P24" i="1"/>
  <c r="Q24" i="1" s="1"/>
  <c r="P32" i="1"/>
  <c r="Q32" i="1" s="1"/>
  <c r="P9" i="1"/>
  <c r="Q9" i="1" s="1"/>
  <c r="P17" i="1"/>
  <c r="Q17" i="1" s="1"/>
  <c r="P25" i="1"/>
  <c r="Q25" i="1" s="1"/>
  <c r="P2" i="1"/>
  <c r="Q2" i="1" s="1"/>
  <c r="Q72" i="1"/>
  <c r="Q33" i="1"/>
  <c r="Q283" i="1"/>
  <c r="Q307" i="1"/>
  <c r="Q100" i="1"/>
  <c r="Q105" i="1"/>
  <c r="Q127" i="1"/>
  <c r="Q316" i="1"/>
  <c r="Q86" i="1"/>
  <c r="Q374" i="1"/>
  <c r="Q213" i="1"/>
  <c r="Q261" i="1"/>
  <c r="Q48" i="1"/>
  <c r="Q288" i="1"/>
  <c r="Q126" i="1"/>
  <c r="Q165" i="1"/>
  <c r="Q67" i="1"/>
  <c r="Q109" i="1"/>
  <c r="Q41" i="1"/>
  <c r="Q276" i="1"/>
  <c r="Q388" i="1"/>
  <c r="Q118" i="1"/>
  <c r="Q366" i="1"/>
  <c r="Q348" i="1"/>
  <c r="Q211" i="1"/>
  <c r="Q83" i="1"/>
  <c r="Q71" i="1"/>
  <c r="Q198" i="1"/>
  <c r="Q286" i="1"/>
  <c r="Q375" i="1"/>
  <c r="Q260" i="1"/>
  <c r="Q294" i="1"/>
  <c r="Q237" i="1"/>
  <c r="Q192" i="1"/>
  <c r="Q297" i="1"/>
  <c r="Q190" i="1"/>
  <c r="Q274" i="1"/>
  <c r="Q143" i="1"/>
  <c r="Q57" i="1"/>
  <c r="Q315" i="1"/>
  <c r="Q132" i="1"/>
  <c r="Q43" i="1"/>
  <c r="Q149" i="1"/>
  <c r="Q59" i="1"/>
  <c r="Q232" i="1"/>
  <c r="Q313" i="1"/>
  <c r="Q152" i="1"/>
  <c r="Q395" i="1"/>
  <c r="Q372" i="1"/>
  <c r="Q111" i="1" l="1"/>
  <c r="C7" i="7" s="1"/>
  <c r="C34" i="7"/>
  <c r="Q20" i="1"/>
  <c r="C44" i="7"/>
  <c r="Q98" i="1"/>
  <c r="Q80" i="1"/>
  <c r="C31" i="7" s="1"/>
  <c r="Q13" i="1"/>
  <c r="C13" i="7" s="1"/>
  <c r="C4" i="7"/>
  <c r="Q197" i="1"/>
  <c r="C33" i="7"/>
  <c r="Q68" i="1"/>
  <c r="I3" i="5"/>
  <c r="J3" i="5" s="1"/>
  <c r="C20" i="7"/>
  <c r="Q63" i="1"/>
  <c r="C9" i="7"/>
  <c r="Q92" i="1"/>
  <c r="Q14" i="1"/>
  <c r="C32" i="7" s="1"/>
  <c r="Q233" i="1"/>
  <c r="C6" i="7" s="1"/>
  <c r="C5" i="7"/>
  <c r="Q151" i="1"/>
  <c r="C35" i="7"/>
  <c r="Q65" i="1"/>
  <c r="Q221" i="1"/>
  <c r="C14" i="7" s="1"/>
  <c r="Q154" i="1"/>
  <c r="C38" i="7" s="1"/>
  <c r="C28" i="7"/>
  <c r="Q117" i="1"/>
  <c r="C42" i="7"/>
  <c r="Q22" i="1"/>
  <c r="C15" i="7"/>
  <c r="Q249" i="1"/>
  <c r="Q210" i="1"/>
  <c r="C18" i="7" s="1"/>
  <c r="C30" i="7"/>
  <c r="Q162" i="1"/>
  <c r="C17" i="7"/>
  <c r="Q234" i="1"/>
  <c r="C21" i="7"/>
  <c r="Q124" i="1"/>
  <c r="Q359" i="1"/>
  <c r="C22" i="7" s="1"/>
  <c r="C19" i="7"/>
  <c r="Q133" i="1"/>
  <c r="C29" i="7"/>
  <c r="Q104" i="1"/>
  <c r="C26" i="7"/>
  <c r="Q273" i="1"/>
  <c r="Q10" i="1"/>
  <c r="C16" i="7" s="1"/>
  <c r="C2" i="7"/>
  <c r="Q193" i="1"/>
  <c r="C11" i="7"/>
  <c r="Q280" i="1"/>
  <c r="C41" i="7"/>
  <c r="Q107" i="1"/>
  <c r="Q114" i="1"/>
  <c r="C8" i="7" s="1"/>
  <c r="C39" i="7"/>
  <c r="Q21" i="1"/>
  <c r="C24" i="7"/>
  <c r="Q285" i="1"/>
  <c r="C25" i="7"/>
  <c r="Q134" i="1"/>
  <c r="Q99" i="1"/>
  <c r="C10" i="7" s="1"/>
  <c r="I4" i="5"/>
  <c r="J4" i="5" s="1"/>
  <c r="I6" i="5"/>
  <c r="J6" i="5" s="1"/>
  <c r="C37" i="7"/>
  <c r="Q139" i="1"/>
  <c r="C3" i="7"/>
  <c r="Q239" i="1"/>
  <c r="Q306" i="1"/>
  <c r="C12" i="7" s="1"/>
  <c r="C40" i="7"/>
  <c r="Q355" i="1"/>
  <c r="C23" i="7"/>
  <c r="Q230" i="1"/>
  <c r="C36" i="7"/>
  <c r="Q160" i="1"/>
  <c r="I2" i="5"/>
  <c r="J2" i="5" s="1"/>
  <c r="Q199" i="1"/>
  <c r="C43" i="7" s="1"/>
  <c r="C27" i="7"/>
  <c r="Q215" i="1"/>
  <c r="I7" i="5" l="1"/>
  <c r="J7" i="5" s="1"/>
  <c r="I9" i="5"/>
  <c r="J9" i="5" s="1"/>
  <c r="I5" i="5"/>
  <c r="J5" i="5" s="1"/>
  <c r="I8" i="5"/>
  <c r="J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<sst xmlns="http://schemas.openxmlformats.org/spreadsheetml/2006/main" count="2140" uniqueCount="477">
  <si>
    <t>MUNICÍPIO</t>
  </si>
  <si>
    <t>PORTE DO MUNICÍPIO</t>
  </si>
  <si>
    <t>TOTAL CRECHES</t>
  </si>
  <si>
    <t>Código [-]</t>
  </si>
  <si>
    <t>Mortalidade Infantil</t>
  </si>
  <si>
    <t>Taxa de Natalidade</t>
  </si>
  <si>
    <t>Curitiba</t>
  </si>
  <si>
    <t>Londrina</t>
  </si>
  <si>
    <t>Maringá</t>
  </si>
  <si>
    <t>Ponta Grossa</t>
  </si>
  <si>
    <t>Cascavel</t>
  </si>
  <si>
    <t>São José dos Pinhais</t>
  </si>
  <si>
    <t>Foz do Iguaçu</t>
  </si>
  <si>
    <t>Colombo</t>
  </si>
  <si>
    <t>Guarapuava</t>
  </si>
  <si>
    <t>Araucária</t>
  </si>
  <si>
    <t>Toledo</t>
  </si>
  <si>
    <t>Fazenda Rio Grande</t>
  </si>
  <si>
    <t>Paranaguá</t>
  </si>
  <si>
    <t>Campo Largo</t>
  </si>
  <si>
    <t>Apucarana</t>
  </si>
  <si>
    <t>Pinhais</t>
  </si>
  <si>
    <t>Almirante Tamandaré</t>
  </si>
  <si>
    <t>Arapongas</t>
  </si>
  <si>
    <t>Piraquara</t>
  </si>
  <si>
    <t>Sarandi</t>
  </si>
  <si>
    <t>Umuarama</t>
  </si>
  <si>
    <t>Cambé</t>
  </si>
  <si>
    <t>Campo Mourão</t>
  </si>
  <si>
    <t>Francisco Beltrão</t>
  </si>
  <si>
    <t>Paranavaí</t>
  </si>
  <si>
    <t>Pato Branco</t>
  </si>
  <si>
    <t>Cianorte</t>
  </si>
  <si>
    <t>Telêmaco Borba</t>
  </si>
  <si>
    <t>Castro</t>
  </si>
  <si>
    <t>Rolândia</t>
  </si>
  <si>
    <t>Irati</t>
  </si>
  <si>
    <t>Marechal Cândido Rondon</t>
  </si>
  <si>
    <t>União da Vitória</t>
  </si>
  <si>
    <t>Medianeira</t>
  </si>
  <si>
    <t>Ibiporã</t>
  </si>
  <si>
    <t>Prudentópolis</t>
  </si>
  <si>
    <t>Palmas</t>
  </si>
  <si>
    <t>Campina Grande do Sul</t>
  </si>
  <si>
    <t>Paiçandu</t>
  </si>
  <si>
    <t>Cornélio Procópio</t>
  </si>
  <si>
    <t>Lapa</t>
  </si>
  <si>
    <t>Dois Vizinhos</t>
  </si>
  <si>
    <t>Santo Antônio da Platina</t>
  </si>
  <si>
    <t>São Mateus do Sul</t>
  </si>
  <si>
    <t>Guaratuba</t>
  </si>
  <si>
    <t>Marialva</t>
  </si>
  <si>
    <t>Jacarezinho</t>
  </si>
  <si>
    <t>Matinhos</t>
  </si>
  <si>
    <t>Rio Branco do Sul</t>
  </si>
  <si>
    <t>Assis Chateaubriand</t>
  </si>
  <si>
    <t>Mandaguari</t>
  </si>
  <si>
    <t>Jaguariaíva</t>
  </si>
  <si>
    <t>Palotina</t>
  </si>
  <si>
    <t>Palmeira</t>
  </si>
  <si>
    <t>Pitanga</t>
  </si>
  <si>
    <t>Ivaiporã</t>
  </si>
  <si>
    <t>Laranjeiras do Sul</t>
  </si>
  <si>
    <t>Guaíra</t>
  </si>
  <si>
    <t>Mandaguaçu</t>
  </si>
  <si>
    <t>Rio Negro</t>
  </si>
  <si>
    <t>Bandeirantes</t>
  </si>
  <si>
    <t>Itaperuçu</t>
  </si>
  <si>
    <t>Quedas do Iguaçu</t>
  </si>
  <si>
    <t>Pontal do Paraná</t>
  </si>
  <si>
    <t>Campo Magro</t>
  </si>
  <si>
    <t>Imbituva</t>
  </si>
  <si>
    <t>Pinhão</t>
  </si>
  <si>
    <t>São Miguel do Iguaçu</t>
  </si>
  <si>
    <t>Ibaiti</t>
  </si>
  <si>
    <t>Goioerê</t>
  </si>
  <si>
    <t>Mandirituba</t>
  </si>
  <si>
    <t>Nova Esperança</t>
  </si>
  <si>
    <t>Arapoti</t>
  </si>
  <si>
    <t>Santa Helena</t>
  </si>
  <si>
    <t>Astorga</t>
  </si>
  <si>
    <t>Ubiratã</t>
  </si>
  <si>
    <t>Reserva</t>
  </si>
  <si>
    <t>Santa Terezinha de Itaipu</t>
  </si>
  <si>
    <t>Ortigueira</t>
  </si>
  <si>
    <t>Quatro Barras</t>
  </si>
  <si>
    <t>Cruzeiro do Oeste</t>
  </si>
  <si>
    <t>Santo Antônio do Sudoeste</t>
  </si>
  <si>
    <t>Piraí do Sul</t>
  </si>
  <si>
    <t>Coronel Vivida</t>
  </si>
  <si>
    <t>Carambeí</t>
  </si>
  <si>
    <t>Loanda</t>
  </si>
  <si>
    <t>Cambará</t>
  </si>
  <si>
    <t>Colorado</t>
  </si>
  <si>
    <t>Siqueira Campos</t>
  </si>
  <si>
    <t>Jandaia do Sul</t>
  </si>
  <si>
    <t>Chopinzinho</t>
  </si>
  <si>
    <t>Capanema</t>
  </si>
  <si>
    <t>Tibagi</t>
  </si>
  <si>
    <t>Andirá</t>
  </si>
  <si>
    <t>Ampére</t>
  </si>
  <si>
    <t>Realeza</t>
  </si>
  <si>
    <t>Wenceslau Braz</t>
  </si>
  <si>
    <t>Contenda</t>
  </si>
  <si>
    <t>Cafelândia</t>
  </si>
  <si>
    <t>Altônia</t>
  </si>
  <si>
    <t>Matelândia</t>
  </si>
  <si>
    <t>Quitandinha</t>
  </si>
  <si>
    <t>Morretes</t>
  </si>
  <si>
    <t>Terra Roxa</t>
  </si>
  <si>
    <t>Antonina</t>
  </si>
  <si>
    <t>Tijucas do Sul</t>
  </si>
  <si>
    <t>Terra Boa</t>
  </si>
  <si>
    <t>Corbélia</t>
  </si>
  <si>
    <t>Sengés</t>
  </si>
  <si>
    <t>Carlópolis</t>
  </si>
  <si>
    <t>Mangueirinha</t>
  </si>
  <si>
    <t>Faxinal</t>
  </si>
  <si>
    <t>Cerro Azul</t>
  </si>
  <si>
    <t>Cruz Machado</t>
  </si>
  <si>
    <t>Sertanópolis</t>
  </si>
  <si>
    <t>Marmeleiro</t>
  </si>
  <si>
    <t>Tapejara</t>
  </si>
  <si>
    <t>Iporã</t>
  </si>
  <si>
    <t>Campina da Lagoa</t>
  </si>
  <si>
    <t>Bituruna</t>
  </si>
  <si>
    <t>Cândido de Abreu</t>
  </si>
  <si>
    <t>Salto do Lontra</t>
  </si>
  <si>
    <t>Jaguapitã</t>
  </si>
  <si>
    <t>Clevelândia</t>
  </si>
  <si>
    <t>Candói</t>
  </si>
  <si>
    <t>Terra Rica</t>
  </si>
  <si>
    <t>Bela Vista do Paraíso</t>
  </si>
  <si>
    <t>Capitão Leônidas Marques</t>
  </si>
  <si>
    <t>Rebouças</t>
  </si>
  <si>
    <t>Araruna</t>
  </si>
  <si>
    <t>Planalto</t>
  </si>
  <si>
    <t>Imbaú</t>
  </si>
  <si>
    <t>Manoel Ribas</t>
  </si>
  <si>
    <t>Turvo</t>
  </si>
  <si>
    <t>Ipiranga</t>
  </si>
  <si>
    <t>Santa Izabel do Oeste</t>
  </si>
  <si>
    <t>Rio Azul</t>
  </si>
  <si>
    <t>Rio Bonito do Iguaçu</t>
  </si>
  <si>
    <t>Alto Paraná</t>
  </si>
  <si>
    <t>Assaí</t>
  </si>
  <si>
    <t>Nova Aurora</t>
  </si>
  <si>
    <t>Guaraniaçu</t>
  </si>
  <si>
    <t>São João do Triunfo</t>
  </si>
  <si>
    <t>Piên</t>
  </si>
  <si>
    <t>Curiúva</t>
  </si>
  <si>
    <t>Mamborê</t>
  </si>
  <si>
    <t>Mallet</t>
  </si>
  <si>
    <t>Balsa Nova</t>
  </si>
  <si>
    <t>Peabiru</t>
  </si>
  <si>
    <t>Bocaiúva do Sul</t>
  </si>
  <si>
    <t>Paraíso do Norte</t>
  </si>
  <si>
    <t>Ivaí</t>
  </si>
  <si>
    <t>Santa Tereza do Oeste</t>
  </si>
  <si>
    <t>Ribeirão do Pinhal</t>
  </si>
  <si>
    <t>Palmital</t>
  </si>
  <si>
    <t>Nova Londrina</t>
  </si>
  <si>
    <t>Nova Prata do Iguaçu</t>
  </si>
  <si>
    <t>Engenheiro Beltrão</t>
  </si>
  <si>
    <t>Ribeirão Claro</t>
  </si>
  <si>
    <t>Itapejara d'Oeste</t>
  </si>
  <si>
    <t>Nova Laranjeiras</t>
  </si>
  <si>
    <t>Jardim Alegre</t>
  </si>
  <si>
    <t>Joaquim Távora</t>
  </si>
  <si>
    <t>São João</t>
  </si>
  <si>
    <t>Pérola</t>
  </si>
  <si>
    <t>Jataizinho</t>
  </si>
  <si>
    <t>Porecatu</t>
  </si>
  <si>
    <t>Itaipulândia</t>
  </si>
  <si>
    <t>Cidade Gaúcha</t>
  </si>
  <si>
    <t>Florestópolis</t>
  </si>
  <si>
    <t>Santa Fé</t>
  </si>
  <si>
    <t>Roncador</t>
  </si>
  <si>
    <t>Moreira Sales</t>
  </si>
  <si>
    <t>Três Barras do Paraná</t>
  </si>
  <si>
    <t>Céu Azul</t>
  </si>
  <si>
    <t>Santa Mariana</t>
  </si>
  <si>
    <t>Missal</t>
  </si>
  <si>
    <t>General Carneiro</t>
  </si>
  <si>
    <t>Cantagalo</t>
  </si>
  <si>
    <t>Centenário do Sul</t>
  </si>
  <si>
    <t>São Jerônimo da Serra</t>
  </si>
  <si>
    <t>Barbosa Ferraz</t>
  </si>
  <si>
    <t>Tamarana</t>
  </si>
  <si>
    <t>Querência do Norte</t>
  </si>
  <si>
    <t>Iretama</t>
  </si>
  <si>
    <t>São João do Ivaí</t>
  </si>
  <si>
    <t>Jesuítas</t>
  </si>
  <si>
    <t>Floresta</t>
  </si>
  <si>
    <t>Catanduvas</t>
  </si>
  <si>
    <t>Uraí</t>
  </si>
  <si>
    <t>Alvorada do Sul</t>
  </si>
  <si>
    <t>Agudos do Sul</t>
  </si>
  <si>
    <t>Primeiro de Maio</t>
  </si>
  <si>
    <t>Santa Maria do Oeste</t>
  </si>
  <si>
    <t>Mariluz</t>
  </si>
  <si>
    <t>Barracão</t>
  </si>
  <si>
    <t>Alto Piquiri</t>
  </si>
  <si>
    <t>Vitorino</t>
  </si>
  <si>
    <t>Ventania</t>
  </si>
  <si>
    <t>Inácio Martins</t>
  </si>
  <si>
    <t>Paranacity</t>
  </si>
  <si>
    <t>Teixeira Soares</t>
  </si>
  <si>
    <t>Cambira</t>
  </si>
  <si>
    <t>Mauá da Serra</t>
  </si>
  <si>
    <t>São Jorge d'Oeste</t>
  </si>
  <si>
    <t>Douradina</t>
  </si>
  <si>
    <t>Japurá</t>
  </si>
  <si>
    <t>Rondon</t>
  </si>
  <si>
    <t>Icaraíma</t>
  </si>
  <si>
    <t>Santa Isabel do Ivaí</t>
  </si>
  <si>
    <t>Sabáudia</t>
  </si>
  <si>
    <t>Califórnia</t>
  </si>
  <si>
    <t>São Pedro do Ivaí</t>
  </si>
  <si>
    <t>Marilândia do Sul</t>
  </si>
  <si>
    <t>Santa Cruz de Monte Castelo</t>
  </si>
  <si>
    <t>Tomazina</t>
  </si>
  <si>
    <t>Nova Santa Rosa</t>
  </si>
  <si>
    <t>Congonhinhas</t>
  </si>
  <si>
    <t>Vera Cruz do Oeste</t>
  </si>
  <si>
    <t>Francisco Alves</t>
  </si>
  <si>
    <t>Quatiguá</t>
  </si>
  <si>
    <t>Tupãssi</t>
  </si>
  <si>
    <t>Tuneiras do Oeste</t>
  </si>
  <si>
    <t>São Sebastião da Amoreira</t>
  </si>
  <si>
    <t>Figueira</t>
  </si>
  <si>
    <t>Verê</t>
  </si>
  <si>
    <t>Boa Vista da Aparecida</t>
  </si>
  <si>
    <t>Guamiranga</t>
  </si>
  <si>
    <t>Juranda</t>
  </si>
  <si>
    <t>Borrazópolis</t>
  </si>
  <si>
    <t>Formosa do Oeste</t>
  </si>
  <si>
    <t>Campo do Tenente</t>
  </si>
  <si>
    <t>Guaraqueçaba</t>
  </si>
  <si>
    <t>Marilena</t>
  </si>
  <si>
    <t>Abatiá</t>
  </si>
  <si>
    <t>Nova Fátima</t>
  </si>
  <si>
    <t>Perobal</t>
  </si>
  <si>
    <t>Antônio Olinto</t>
  </si>
  <si>
    <t>Nova Tebas</t>
  </si>
  <si>
    <t>Renascença</t>
  </si>
  <si>
    <t>Ivaté</t>
  </si>
  <si>
    <t>Nova Cantu</t>
  </si>
  <si>
    <t>Ouro Verde do Oeste</t>
  </si>
  <si>
    <t>Sapopema</t>
  </si>
  <si>
    <t>Jussara</t>
  </si>
  <si>
    <t>Luiziana</t>
  </si>
  <si>
    <t>Guairaçá</t>
  </si>
  <si>
    <t>São Carlos do Ivaí</t>
  </si>
  <si>
    <t>Bom Sucesso</t>
  </si>
  <si>
    <t>Goioxim</t>
  </si>
  <si>
    <t>Pinhalão</t>
  </si>
  <si>
    <t>Maripá</t>
  </si>
  <si>
    <t>Reserva do Iguaçu</t>
  </si>
  <si>
    <t>São Jorge do Patrocínio</t>
  </si>
  <si>
    <t>Boa Ventura de São Roque</t>
  </si>
  <si>
    <t>Mariópolis</t>
  </si>
  <si>
    <t>Paulo Frontin</t>
  </si>
  <si>
    <t>Doutor Camargo</t>
  </si>
  <si>
    <t>Adrianópolis</t>
  </si>
  <si>
    <t>Fernandes Pinheiro</t>
  </si>
  <si>
    <t>Pérola d'Oeste</t>
  </si>
  <si>
    <t>Tunas do Paraná</t>
  </si>
  <si>
    <t>Ibema</t>
  </si>
  <si>
    <t>Santo Inácio</t>
  </si>
  <si>
    <t>Itambé</t>
  </si>
  <si>
    <t>Saudade do Iguaçu</t>
  </si>
  <si>
    <t>São José da Boa Vista</t>
  </si>
  <si>
    <t>Enéas Marques</t>
  </si>
  <si>
    <t>Mercedes</t>
  </si>
  <si>
    <t>Itambaracá</t>
  </si>
  <si>
    <t>Janiópolis</t>
  </si>
  <si>
    <t>Maria Helena</t>
  </si>
  <si>
    <t>Nova Olímpia</t>
  </si>
  <si>
    <t>Xambrê</t>
  </si>
  <si>
    <t>São Pedro do Iguaçu</t>
  </si>
  <si>
    <t>Tapira</t>
  </si>
  <si>
    <t>Pranchita</t>
  </si>
  <si>
    <t>Pato Bragado</t>
  </si>
  <si>
    <t>Doutor Ulysses</t>
  </si>
  <si>
    <t>Paula Freitas</t>
  </si>
  <si>
    <t>Coronel Domingos Soares</t>
  </si>
  <si>
    <t>Grandes Rios</t>
  </si>
  <si>
    <t>Sertaneja</t>
  </si>
  <si>
    <t>Laranjal</t>
  </si>
  <si>
    <t>Nova Esperança do Sudoeste</t>
  </si>
  <si>
    <t>São João do Caiuá</t>
  </si>
  <si>
    <t>Santana do Itararé</t>
  </si>
  <si>
    <t>Rosário do Ivaí</t>
  </si>
  <si>
    <t>Jaboti</t>
  </si>
  <si>
    <t>Iguaraçu</t>
  </si>
  <si>
    <t>São Tomé</t>
  </si>
  <si>
    <t>Salto do Itararé</t>
  </si>
  <si>
    <t>Lindoeste</t>
  </si>
  <si>
    <t>São Jorge do Ivaí</t>
  </si>
  <si>
    <t>Diamante do Norte</t>
  </si>
  <si>
    <t>Serranópolis do Iguaçu</t>
  </si>
  <si>
    <t>Quinta do Sol</t>
  </si>
  <si>
    <t>Japira</t>
  </si>
  <si>
    <t>Honório Serpa</t>
  </si>
  <si>
    <t>Foz do Jordão</t>
  </si>
  <si>
    <t>Tamboara</t>
  </si>
  <si>
    <t>Lunardelli</t>
  </si>
  <si>
    <t>Braganey</t>
  </si>
  <si>
    <t>Lupionópolis</t>
  </si>
  <si>
    <t>Espigão Alto do Iguaçu</t>
  </si>
  <si>
    <t>Floraí</t>
  </si>
  <si>
    <t>Amaporã</t>
  </si>
  <si>
    <t>Guaraci</t>
  </si>
  <si>
    <t>Marumbi</t>
  </si>
  <si>
    <t>Guapirama</t>
  </si>
  <si>
    <t>Lobato</t>
  </si>
  <si>
    <t>Kaloré</t>
  </si>
  <si>
    <t>Entre Rios do Oeste</t>
  </si>
  <si>
    <t>Boa Esperança</t>
  </si>
  <si>
    <t>Diamante D'Oeste</t>
  </si>
  <si>
    <t>Marquinho</t>
  </si>
  <si>
    <t>Cruzeiro do Sul</t>
  </si>
  <si>
    <t>Fênix</t>
  </si>
  <si>
    <t>Itaguajé</t>
  </si>
  <si>
    <t>Quatro Pontes</t>
  </si>
  <si>
    <t>Cafezal do Sul</t>
  </si>
  <si>
    <t>Indianópolis</t>
  </si>
  <si>
    <t>Flor da Serra do Sul</t>
  </si>
  <si>
    <t>Presidente Castelo Branco</t>
  </si>
  <si>
    <t>Ramilândia</t>
  </si>
  <si>
    <t>Quarto Centenário</t>
  </si>
  <si>
    <t>Nova Santa Bárbara</t>
  </si>
  <si>
    <t>Cruzeiro do Iguaçu</t>
  </si>
  <si>
    <t>Porto Amazonas</t>
  </si>
  <si>
    <t>Salgado Filho</t>
  </si>
  <si>
    <t>Planaltina do Paraná</t>
  </si>
  <si>
    <t>Bela Vista da Caroba</t>
  </si>
  <si>
    <t>Campo Bonito</t>
  </si>
  <si>
    <t>Atalaia</t>
  </si>
  <si>
    <t>Bom Jesus do Sul</t>
  </si>
  <si>
    <t>São José das Palmeiras</t>
  </si>
  <si>
    <t>Munhoz de Melo</t>
  </si>
  <si>
    <t>Lidianópolis</t>
  </si>
  <si>
    <t>Campina do Simão</t>
  </si>
  <si>
    <t>Virmond</t>
  </si>
  <si>
    <t>Rio Branco do Ivaí</t>
  </si>
  <si>
    <t>Corumbataí do Sul</t>
  </si>
  <si>
    <t>Leópolis</t>
  </si>
  <si>
    <t>Prado Ferreira</t>
  </si>
  <si>
    <t>Brasilândia do Sul</t>
  </si>
  <si>
    <t>Nossa Senhora das Graças</t>
  </si>
  <si>
    <t>Santa Lúcia</t>
  </si>
  <si>
    <t>Altamira do Paraná</t>
  </si>
  <si>
    <t>Itaúna do Sul</t>
  </si>
  <si>
    <t>Porto Vitória</t>
  </si>
  <si>
    <t>Arapuã</t>
  </si>
  <si>
    <t>Rancho Alegre</t>
  </si>
  <si>
    <t>Conselheiro Mairinck</t>
  </si>
  <si>
    <t>Sulina</t>
  </si>
  <si>
    <t>Santa Amélia</t>
  </si>
  <si>
    <t>Santa Cecília do Pavão</t>
  </si>
  <si>
    <t>Santa Mônica</t>
  </si>
  <si>
    <t>Jundiaí do Sul</t>
  </si>
  <si>
    <t>Nova América da Colina</t>
  </si>
  <si>
    <t>Mato Rico</t>
  </si>
  <si>
    <t>Ângulo</t>
  </si>
  <si>
    <t>Bom Sucesso do Sul</t>
  </si>
  <si>
    <t>Rio Bom</t>
  </si>
  <si>
    <t>Ourizona</t>
  </si>
  <si>
    <t>Porto Rico</t>
  </si>
  <si>
    <t>Diamante do Sul</t>
  </si>
  <si>
    <t>Novo Itacolomi</t>
  </si>
  <si>
    <t>Porto Barreiro</t>
  </si>
  <si>
    <t>Alto Paraíso</t>
  </si>
  <si>
    <t>Pitangueiras</t>
  </si>
  <si>
    <t>Farol</t>
  </si>
  <si>
    <t>Godoy Moreira</t>
  </si>
  <si>
    <t>Anahy</t>
  </si>
  <si>
    <t>Cruzmaltina</t>
  </si>
  <si>
    <t>Barra do Jacaré</t>
  </si>
  <si>
    <t>Manfrinópolis</t>
  </si>
  <si>
    <t>Pinhal de São Bento</t>
  </si>
  <si>
    <t>Ivatuba</t>
  </si>
  <si>
    <t>São Pedro do Paraná</t>
  </si>
  <si>
    <t>Flórida</t>
  </si>
  <si>
    <t>Cafeara</t>
  </si>
  <si>
    <t>Rancho Alegre D'Oeste</t>
  </si>
  <si>
    <t>Inajá</t>
  </si>
  <si>
    <t>Santo Antônio do Caiuá</t>
  </si>
  <si>
    <t>Boa Esperança do Iguaçu</t>
  </si>
  <si>
    <t>Paranapoema</t>
  </si>
  <si>
    <t>Iracema do Oeste</t>
  </si>
  <si>
    <t>Ariranha do Ivaí</t>
  </si>
  <si>
    <t>Mirador</t>
  </si>
  <si>
    <t>Guaporema</t>
  </si>
  <si>
    <t>Iguatu</t>
  </si>
  <si>
    <t>São Manoel do Paraná</t>
  </si>
  <si>
    <t>Uniflor</t>
  </si>
  <si>
    <t>Santo Antônio do Paraíso</t>
  </si>
  <si>
    <t>Miraselva</t>
  </si>
  <si>
    <t>Esperança Nova</t>
  </si>
  <si>
    <t>Santa Inês</t>
  </si>
  <si>
    <t>Jardim Olinda</t>
  </si>
  <si>
    <t>Nova Aliança do Ivaí</t>
  </si>
  <si>
    <t>G2</t>
  </si>
  <si>
    <t>G1</t>
  </si>
  <si>
    <t>M2</t>
  </si>
  <si>
    <t>M1</t>
  </si>
  <si>
    <t>P2</t>
  </si>
  <si>
    <t>P1</t>
  </si>
  <si>
    <t>Entre 100 até 200 mil habitantes</t>
  </si>
  <si>
    <t>Entre 200 até 500 mil habitantes</t>
  </si>
  <si>
    <t>PCM</t>
  </si>
  <si>
    <t>Total</t>
  </si>
  <si>
    <t>TOTAL</t>
  </si>
  <si>
    <t>FATOR EDUCAÇÃO</t>
  </si>
  <si>
    <t>FATOR DEMOGRÁFICO</t>
  </si>
  <si>
    <t>População Alvo</t>
  </si>
  <si>
    <t>Proporção</t>
  </si>
  <si>
    <t>SIMULAÇÃO</t>
  </si>
  <si>
    <t>Matriculas Creches</t>
  </si>
  <si>
    <t>População 0 a 4</t>
  </si>
  <si>
    <t>Quartil Minimo</t>
  </si>
  <si>
    <t>Quartil Máximo</t>
  </si>
  <si>
    <t>Creche_Normalizado</t>
  </si>
  <si>
    <t>População 5 a 14</t>
  </si>
  <si>
    <t>Matrícula_Normalizado</t>
  </si>
  <si>
    <t>Oferta Privado</t>
  </si>
  <si>
    <t>Total Oferta</t>
  </si>
  <si>
    <t>Privado_Normalizado</t>
  </si>
  <si>
    <t>Matriculas Pré-Escola e Fundamental</t>
  </si>
  <si>
    <t>Oferta Total</t>
  </si>
  <si>
    <t>Desnutrição_Normalizado</t>
  </si>
  <si>
    <t>MI_Normalizado</t>
  </si>
  <si>
    <t>População Total</t>
  </si>
  <si>
    <t>Proporção_Normalizado</t>
  </si>
  <si>
    <t>Natalidade_Normalizado</t>
  </si>
  <si>
    <t>POPULAÇÃO</t>
  </si>
  <si>
    <t>FATOR SOCIOECONÔMICO</t>
  </si>
  <si>
    <t>P3</t>
  </si>
  <si>
    <t>P4</t>
  </si>
  <si>
    <t>Código</t>
  </si>
  <si>
    <t>[-]</t>
  </si>
  <si>
    <t>Contemplado</t>
  </si>
  <si>
    <t>Sim</t>
  </si>
  <si>
    <t>Não</t>
  </si>
  <si>
    <t>PROPORÇÃO CRECHES</t>
  </si>
  <si>
    <t>CADUnico</t>
  </si>
  <si>
    <t>IPDM-R</t>
  </si>
  <si>
    <t>CADUnico_Normalizado</t>
  </si>
  <si>
    <t>Prop Ajustado</t>
  </si>
  <si>
    <t xml:space="preserve">APROX. CRECHES </t>
  </si>
  <si>
    <t>Entre 70 a 100 mil habitantes</t>
  </si>
  <si>
    <t>PCM Ponderado</t>
  </si>
  <si>
    <t>Ponderação Pop</t>
  </si>
  <si>
    <t>Quantidade Município Porte</t>
  </si>
  <si>
    <t>IPARDES</t>
  </si>
  <si>
    <t>Até 5 mil habitantes</t>
  </si>
  <si>
    <t>Entre 5 a 20 mil habitantes</t>
  </si>
  <si>
    <t>Entre 20 a 70 mil habitantes</t>
  </si>
  <si>
    <t>Proporção Final</t>
  </si>
  <si>
    <t>Cobertura</t>
  </si>
  <si>
    <t>Número de Municípios</t>
  </si>
  <si>
    <t>Distribuição por Faixa</t>
  </si>
  <si>
    <t>Classificação por Faixa</t>
  </si>
  <si>
    <t>Legenda de Cada Faixa</t>
  </si>
  <si>
    <t>Método de Distribuição</t>
  </si>
  <si>
    <t>Creches</t>
  </si>
  <si>
    <t>Proporção da População Alvo</t>
  </si>
  <si>
    <t>Limite de Creches Por Município</t>
  </si>
  <si>
    <t>CALCULO PROPORÇÃO</t>
  </si>
  <si>
    <t>IPARDES (43 creches)</t>
  </si>
  <si>
    <t>TOTAL (300 creches)</t>
  </si>
  <si>
    <t>Cálculo Proporção Populacional com o PCM</t>
  </si>
  <si>
    <t>Ranking do PCM (Com maior peso no fator socioeconômico)</t>
  </si>
  <si>
    <t>PCM (257 creches)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</si>
</sst>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#,##0.0000"/>
    <numFmt numFmtId="167" formatCode="0.0"/>
    <numFmt numFmtId="168" formatCode="0.0%"/>
  </numFmts>
  <fonts count="25" x14ac:knownFonts="1">
    <font>
      <sz val="11"/>
      <color rgb="FF000000"/>
      <name val="Calibri"/>
    </font>
    <font>
      <b/>
      <sz val="11"/>
      <color theme="0"/>
      <name val="Antonio"/>
    </font>
    <font>
      <sz val="11"/>
      <color theme="0"/>
      <name val="Antonio"/>
    </font>
    <font>
      <sz val="14"/>
      <color theme="0"/>
      <name val="Antonio"/>
    </font>
    <font>
      <b/>
      <sz val="10"/>
      <color theme="0"/>
      <name val="Antonio"/>
    </font>
    <font>
      <sz val="12"/>
      <color theme="0"/>
      <name val="Antonio"/>
    </font>
    <font>
      <sz val="11"/>
      <color rgb="FF000000"/>
      <name val="Antonio"/>
    </font>
    <font>
      <sz val="16"/>
      <color theme="0"/>
      <name val="Antonio"/>
    </font>
    <font>
      <sz val="11"/>
      <color rgb="FF000000"/>
      <name val="Calibri"/>
      <family val="2"/>
    </font>
    <font>
      <sz val="11"/>
      <color rgb="FF000000"/>
      <name val="Bahnschrift Light Condensed"/>
      <family val="2"/>
    </font>
    <font>
      <sz val="13"/>
      <color theme="0"/>
      <name val="Antonio"/>
    </font>
    <font>
      <sz val="11"/>
      <color theme="0"/>
      <name val="Bahnschrift Light Condensed"/>
      <family val="2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ntonio"/>
    </font>
    <font>
      <sz val="11"/>
      <color rgb="FF000000"/>
      <name val="Calibri"/>
      <family val="2"/>
      <scheme val="minor"/>
    </font>
    <font>
      <sz val="11"/>
      <name val="Bahnschrift Light Condensed"/>
      <family val="2"/>
    </font>
    <font>
      <sz val="11"/>
      <color theme="0"/>
      <name val="Calibri"/>
      <family val="2"/>
    </font>
    <font>
      <b/>
      <sz val="9"/>
      <color theme="0"/>
      <name val="Antonio"/>
    </font>
    <font>
      <sz val="10"/>
      <color rgb="FF000000"/>
      <name val="Bahnschrift Light"/>
      <family val="2"/>
    </font>
    <font>
      <sz val="12"/>
      <color rgb="FF000000"/>
      <name val="Bahnschrift Light Condensed"/>
      <family val="2"/>
    </font>
    <font>
      <sz val="10"/>
      <color rgb="FF000000"/>
      <name val="Bahnschrift Light Condensed"/>
      <family val="2"/>
    </font>
    <font>
      <sz val="9"/>
      <color theme="0"/>
      <name val="Antonio"/>
    </font>
    <font>
      <sz val="10"/>
      <name val="Antonio"/>
    </font>
    <font>
      <sz val="8"/>
      <color rgb="FF000000"/>
      <name val="Bahnschrift Light Condensed"/>
      <family val="2"/>
    </font>
  </fonts>
  <fills count="3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492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F4FF"/>
        <bgColor indexed="64"/>
      </patternFill>
    </fill>
    <fill>
      <patternFill patternType="solid">
        <fgColor rgb="FF64B7CE"/>
        <bgColor indexed="64"/>
      </patternFill>
    </fill>
    <fill>
      <patternFill patternType="solid">
        <fgColor rgb="FFFFD72F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9FB"/>
        <bgColor indexed="64"/>
      </patternFill>
    </fill>
    <fill>
      <gradientFill degree="90">
        <stop position="0">
          <color theme="8" tint="0.59999389629810485"/>
        </stop>
        <stop position="1">
          <color rgb="FFF3F9FB"/>
        </stop>
      </gradient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002060"/>
        <bgColor theme="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6" fillId="8" borderId="1" xfId="0" applyFont="1" applyFill="1" applyBorder="1" applyAlignment="1">
      <alignment horizontal="left" vertical="center"/>
    </xf>
    <xf numFmtId="1" fontId="5" fillId="12" borderId="1" xfId="0" applyNumberFormat="1" applyFont="1" applyFill="1" applyBorder="1" applyAlignment="1">
      <alignment horizontal="center" vertical="center"/>
    </xf>
    <xf numFmtId="0" fontId="0" fillId="14" borderId="0" xfId="0" applyFill="1"/>
    <xf numFmtId="2" fontId="0" fillId="1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/>
    </xf>
    <xf numFmtId="164" fontId="0" fillId="19" borderId="6" xfId="0" applyNumberFormat="1" applyFill="1" applyBorder="1" applyAlignment="1">
      <alignment horizontal="center"/>
    </xf>
    <xf numFmtId="0" fontId="0" fillId="0" borderId="7" xfId="0" applyBorder="1"/>
    <xf numFmtId="0" fontId="0" fillId="0" borderId="6" xfId="0" applyBorder="1"/>
    <xf numFmtId="164" fontId="0" fillId="19" borderId="7" xfId="0" applyNumberFormat="1" applyFill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13" fillId="18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2" fontId="0" fillId="0" borderId="0" xfId="0" applyNumberFormat="1"/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 vertical="center"/>
    </xf>
    <xf numFmtId="2" fontId="0" fillId="22" borderId="1" xfId="0" applyNumberFormat="1" applyFill="1" applyBorder="1" applyAlignment="1">
      <alignment horizontal="center"/>
    </xf>
    <xf numFmtId="0" fontId="13" fillId="21" borderId="3" xfId="0" applyFont="1" applyFill="1" applyBorder="1" applyAlignment="1">
      <alignment vertical="center"/>
    </xf>
    <xf numFmtId="2" fontId="0" fillId="23" borderId="1" xfId="0" applyNumberFormat="1" applyFill="1" applyBorder="1" applyAlignment="1">
      <alignment horizontal="center"/>
    </xf>
    <xf numFmtId="0" fontId="15" fillId="17" borderId="3" xfId="0" applyFont="1" applyFill="1" applyBorder="1" applyAlignment="1">
      <alignment horizontal="center" vertical="center"/>
    </xf>
    <xf numFmtId="0" fontId="13" fillId="21" borderId="10" xfId="0" applyFont="1" applyFill="1" applyBorder="1" applyAlignment="1">
      <alignment vertical="center"/>
    </xf>
    <xf numFmtId="164" fontId="0" fillId="22" borderId="1" xfId="0" applyNumberFormat="1" applyFill="1" applyBorder="1" applyAlignment="1">
      <alignment horizontal="center"/>
    </xf>
    <xf numFmtId="164" fontId="0" fillId="23" borderId="1" xfId="0" applyNumberFormat="1" applyFill="1" applyBorder="1" applyAlignment="1">
      <alignment horizontal="center"/>
    </xf>
    <xf numFmtId="0" fontId="0" fillId="14" borderId="0" xfId="0" applyFill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0" xfId="0" applyFill="1"/>
    <xf numFmtId="164" fontId="0" fillId="3" borderId="7" xfId="0" applyNumberFormat="1" applyFill="1" applyBorder="1" applyAlignment="1">
      <alignment horizontal="center"/>
    </xf>
    <xf numFmtId="0" fontId="0" fillId="2" borderId="0" xfId="0" applyFill="1"/>
    <xf numFmtId="164" fontId="0" fillId="2" borderId="7" xfId="0" applyNumberFormat="1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left" vertical="center"/>
    </xf>
    <xf numFmtId="0" fontId="0" fillId="20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14" borderId="0" xfId="0" applyFill="1" applyAlignment="1">
      <alignment vertical="center"/>
    </xf>
    <xf numFmtId="2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1" fontId="0" fillId="14" borderId="0" xfId="0" applyNumberFormat="1" applyFill="1" applyAlignment="1">
      <alignment vertical="center"/>
    </xf>
    <xf numFmtId="1" fontId="0" fillId="25" borderId="1" xfId="0" applyNumberFormat="1" applyFill="1" applyBorder="1" applyAlignment="1">
      <alignment horizontal="center"/>
    </xf>
    <xf numFmtId="2" fontId="0" fillId="25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5" fillId="12" borderId="1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8" fillId="0" borderId="0" xfId="0" applyFont="1"/>
    <xf numFmtId="0" fontId="6" fillId="15" borderId="1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1" fontId="11" fillId="12" borderId="0" xfId="0" applyNumberFormat="1" applyFont="1" applyFill="1"/>
    <xf numFmtId="0" fontId="8" fillId="14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1" fontId="11" fillId="12" borderId="0" xfId="0" applyNumberFormat="1" applyFont="1" applyFill="1" applyBorder="1"/>
    <xf numFmtId="0" fontId="0" fillId="14" borderId="0" xfId="0" applyFill="1" applyBorder="1"/>
    <xf numFmtId="1" fontId="9" fillId="15" borderId="0" xfId="0" applyNumberFormat="1" applyFont="1" applyFill="1" applyBorder="1" applyAlignment="1">
      <alignment horizontal="center"/>
    </xf>
    <xf numFmtId="0" fontId="2" fillId="14" borderId="0" xfId="0" applyFont="1" applyFill="1" applyBorder="1" applyAlignment="1">
      <alignment horizontal="center"/>
    </xf>
    <xf numFmtId="0" fontId="2" fillId="14" borderId="0" xfId="0" applyFont="1" applyFill="1" applyBorder="1" applyAlignment="1">
      <alignment horizontal="center"/>
    </xf>
    <xf numFmtId="1" fontId="11" fillId="14" borderId="0" xfId="0" applyNumberFormat="1" applyFont="1" applyFill="1" applyBorder="1" applyAlignment="1">
      <alignment horizontal="center"/>
    </xf>
    <xf numFmtId="1" fontId="11" fillId="14" borderId="0" xfId="0" applyNumberFormat="1" applyFont="1" applyFill="1" applyBorder="1"/>
    <xf numFmtId="4" fontId="9" fillId="14" borderId="0" xfId="0" applyNumberFormat="1" applyFont="1" applyFill="1" applyBorder="1" applyAlignment="1">
      <alignment horizontal="center"/>
    </xf>
    <xf numFmtId="1" fontId="9" fillId="14" borderId="0" xfId="0" applyNumberFormat="1" applyFont="1" applyFill="1" applyBorder="1" applyAlignment="1">
      <alignment horizontal="center"/>
    </xf>
    <xf numFmtId="1" fontId="9" fillId="14" borderId="0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1" fontId="8" fillId="14" borderId="0" xfId="0" applyNumberFormat="1" applyFont="1" applyFill="1" applyAlignment="1">
      <alignment vertical="center"/>
    </xf>
    <xf numFmtId="0" fontId="9" fillId="10" borderId="10" xfId="0" applyFont="1" applyFill="1" applyBorder="1" applyAlignment="1">
      <alignment horizontal="center" vertical="center"/>
    </xf>
    <xf numFmtId="168" fontId="9" fillId="10" borderId="10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/>
    </xf>
    <xf numFmtId="1" fontId="2" fillId="12" borderId="11" xfId="0" applyNumberFormat="1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1" fontId="11" fillId="12" borderId="12" xfId="0" applyNumberFormat="1" applyFont="1" applyFill="1" applyBorder="1" applyAlignment="1">
      <alignment horizontal="center"/>
    </xf>
    <xf numFmtId="1" fontId="11" fillId="12" borderId="5" xfId="0" applyNumberFormat="1" applyFont="1" applyFill="1" applyBorder="1"/>
    <xf numFmtId="0" fontId="18" fillId="12" borderId="10" xfId="0" applyFont="1" applyFill="1" applyBorder="1" applyAlignment="1">
      <alignment horizontal="center"/>
    </xf>
    <xf numFmtId="0" fontId="17" fillId="12" borderId="10" xfId="0" applyFont="1" applyFill="1" applyBorder="1"/>
    <xf numFmtId="1" fontId="9" fillId="10" borderId="0" xfId="1" applyNumberFormat="1" applyFont="1" applyFill="1" applyBorder="1" applyAlignment="1">
      <alignment horizontal="center"/>
    </xf>
    <xf numFmtId="1" fontId="9" fillId="10" borderId="0" xfId="0" applyNumberFormat="1" applyFont="1" applyFill="1" applyBorder="1" applyAlignment="1">
      <alignment horizontal="center"/>
    </xf>
    <xf numFmtId="1" fontId="16" fillId="10" borderId="0" xfId="0" applyNumberFormat="1" applyFont="1" applyFill="1" applyBorder="1" applyAlignment="1">
      <alignment horizontal="center"/>
    </xf>
    <xf numFmtId="9" fontId="16" fillId="10" borderId="0" xfId="1" applyFont="1" applyFill="1" applyBorder="1" applyAlignment="1">
      <alignment horizontal="center"/>
    </xf>
    <xf numFmtId="0" fontId="8" fillId="14" borderId="0" xfId="0" applyFont="1" applyFill="1" applyBorder="1" applyAlignment="1">
      <alignment horizontal="center"/>
    </xf>
    <xf numFmtId="1" fontId="0" fillId="14" borderId="0" xfId="0" applyNumberFormat="1" applyFill="1" applyBorder="1"/>
    <xf numFmtId="1" fontId="9" fillId="26" borderId="0" xfId="1" applyNumberFormat="1" applyFont="1" applyFill="1" applyBorder="1" applyAlignment="1">
      <alignment horizontal="center"/>
    </xf>
    <xf numFmtId="1" fontId="9" fillId="26" borderId="0" xfId="0" applyNumberFormat="1" applyFont="1" applyFill="1" applyBorder="1" applyAlignment="1">
      <alignment horizontal="center"/>
    </xf>
    <xf numFmtId="1" fontId="16" fillId="26" borderId="0" xfId="0" applyNumberFormat="1" applyFont="1" applyFill="1" applyBorder="1" applyAlignment="1">
      <alignment horizontal="center"/>
    </xf>
    <xf numFmtId="9" fontId="16" fillId="26" borderId="0" xfId="1" applyFont="1" applyFill="1" applyBorder="1" applyAlignment="1">
      <alignment horizontal="center"/>
    </xf>
    <xf numFmtId="1" fontId="9" fillId="15" borderId="0" xfId="1" applyNumberFormat="1" applyFont="1" applyFill="1" applyBorder="1" applyAlignment="1">
      <alignment horizontal="center"/>
    </xf>
    <xf numFmtId="1" fontId="16" fillId="15" borderId="0" xfId="0" applyNumberFormat="1" applyFont="1" applyFill="1" applyBorder="1" applyAlignment="1">
      <alignment horizontal="center"/>
    </xf>
    <xf numFmtId="9" fontId="16" fillId="15" borderId="0" xfId="1" applyFont="1" applyFill="1" applyBorder="1" applyAlignment="1">
      <alignment horizontal="center"/>
    </xf>
    <xf numFmtId="1" fontId="9" fillId="27" borderId="0" xfId="1" applyNumberFormat="1" applyFont="1" applyFill="1" applyBorder="1" applyAlignment="1">
      <alignment horizontal="center"/>
    </xf>
    <xf numFmtId="1" fontId="9" fillId="27" borderId="0" xfId="0" applyNumberFormat="1" applyFont="1" applyFill="1" applyBorder="1" applyAlignment="1">
      <alignment horizontal="center"/>
    </xf>
    <xf numFmtId="1" fontId="16" fillId="27" borderId="0" xfId="0" applyNumberFormat="1" applyFont="1" applyFill="1" applyBorder="1" applyAlignment="1">
      <alignment horizontal="center"/>
    </xf>
    <xf numFmtId="9" fontId="16" fillId="27" borderId="0" xfId="1" applyFont="1" applyFill="1" applyBorder="1" applyAlignment="1">
      <alignment horizontal="center"/>
    </xf>
    <xf numFmtId="0" fontId="2" fillId="12" borderId="0" xfId="0" applyFont="1" applyFill="1" applyBorder="1" applyAlignment="1">
      <alignment horizontal="center" vertical="center" wrapText="1"/>
    </xf>
    <xf numFmtId="0" fontId="0" fillId="14" borderId="0" xfId="0" applyFill="1" applyBorder="1" applyAlignment="1">
      <alignment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/>
    </xf>
    <xf numFmtId="0" fontId="16" fillId="26" borderId="5" xfId="0" applyFont="1" applyFill="1" applyBorder="1" applyAlignment="1">
      <alignment horizontal="center"/>
    </xf>
    <xf numFmtId="0" fontId="16" fillId="15" borderId="5" xfId="0" applyFont="1" applyFill="1" applyBorder="1" applyAlignment="1">
      <alignment horizontal="center"/>
    </xf>
    <xf numFmtId="0" fontId="16" fillId="27" borderId="5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left" vertical="center"/>
    </xf>
    <xf numFmtId="0" fontId="21" fillId="26" borderId="10" xfId="0" applyFont="1" applyFill="1" applyBorder="1" applyAlignment="1">
      <alignment horizontal="left" vertical="center"/>
    </xf>
    <xf numFmtId="0" fontId="21" fillId="15" borderId="10" xfId="0" applyFont="1" applyFill="1" applyBorder="1" applyAlignment="1">
      <alignment horizontal="left" vertical="center"/>
    </xf>
    <xf numFmtId="0" fontId="21" fillId="27" borderId="10" xfId="0" applyFont="1" applyFill="1" applyBorder="1" applyAlignment="1">
      <alignment horizontal="left" vertical="center"/>
    </xf>
    <xf numFmtId="3" fontId="9" fillId="10" borderId="10" xfId="0" applyNumberFormat="1" applyFont="1" applyFill="1" applyBorder="1" applyAlignment="1">
      <alignment horizontal="center"/>
    </xf>
    <xf numFmtId="3" fontId="9" fillId="26" borderId="10" xfId="0" applyNumberFormat="1" applyFont="1" applyFill="1" applyBorder="1" applyAlignment="1">
      <alignment horizontal="center"/>
    </xf>
    <xf numFmtId="3" fontId="9" fillId="15" borderId="10" xfId="0" applyNumberFormat="1" applyFont="1" applyFill="1" applyBorder="1" applyAlignment="1">
      <alignment horizontal="center"/>
    </xf>
    <xf numFmtId="3" fontId="9" fillId="27" borderId="10" xfId="0" applyNumberFormat="1" applyFont="1" applyFill="1" applyBorder="1" applyAlignment="1">
      <alignment horizontal="center"/>
    </xf>
    <xf numFmtId="9" fontId="9" fillId="10" borderId="10" xfId="1" applyFont="1" applyFill="1" applyBorder="1" applyAlignment="1">
      <alignment horizontal="center"/>
    </xf>
    <xf numFmtId="9" fontId="9" fillId="26" borderId="10" xfId="1" applyFont="1" applyFill="1" applyBorder="1" applyAlignment="1">
      <alignment horizontal="center"/>
    </xf>
    <xf numFmtId="9" fontId="9" fillId="15" borderId="10" xfId="1" applyFont="1" applyFill="1" applyBorder="1" applyAlignment="1">
      <alignment horizontal="center"/>
    </xf>
    <xf numFmtId="9" fontId="9" fillId="27" borderId="10" xfId="1" applyFont="1" applyFill="1" applyBorder="1" applyAlignment="1">
      <alignment horizontal="center"/>
    </xf>
    <xf numFmtId="1" fontId="9" fillId="10" borderId="5" xfId="1" applyNumberFormat="1" applyFont="1" applyFill="1" applyBorder="1" applyAlignment="1">
      <alignment horizontal="center"/>
    </xf>
    <xf numFmtId="1" fontId="9" fillId="26" borderId="5" xfId="1" applyNumberFormat="1" applyFont="1" applyFill="1" applyBorder="1" applyAlignment="1">
      <alignment horizontal="center"/>
    </xf>
    <xf numFmtId="1" fontId="9" fillId="15" borderId="5" xfId="1" applyNumberFormat="1" applyFont="1" applyFill="1" applyBorder="1" applyAlignment="1">
      <alignment horizontal="center"/>
    </xf>
    <xf numFmtId="1" fontId="9" fillId="27" borderId="5" xfId="1" applyNumberFormat="1" applyFont="1" applyFill="1" applyBorder="1" applyAlignment="1">
      <alignment horizontal="center"/>
    </xf>
    <xf numFmtId="0" fontId="16" fillId="10" borderId="5" xfId="1" applyNumberFormat="1" applyFont="1" applyFill="1" applyBorder="1" applyAlignment="1">
      <alignment horizontal="center"/>
    </xf>
    <xf numFmtId="0" fontId="16" fillId="26" borderId="5" xfId="1" applyNumberFormat="1" applyFont="1" applyFill="1" applyBorder="1" applyAlignment="1">
      <alignment horizontal="center"/>
    </xf>
    <xf numFmtId="0" fontId="16" fillId="15" borderId="5" xfId="1" applyNumberFormat="1" applyFont="1" applyFill="1" applyBorder="1" applyAlignment="1">
      <alignment horizontal="center"/>
    </xf>
    <xf numFmtId="0" fontId="16" fillId="27" borderId="5" xfId="1" applyNumberFormat="1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/>
    </xf>
    <xf numFmtId="0" fontId="9" fillId="15" borderId="10" xfId="0" applyFont="1" applyFill="1" applyBorder="1" applyAlignment="1">
      <alignment horizontal="center"/>
    </xf>
    <xf numFmtId="0" fontId="9" fillId="27" borderId="10" xfId="0" applyFont="1" applyFill="1" applyBorder="1" applyAlignment="1">
      <alignment horizontal="center"/>
    </xf>
    <xf numFmtId="0" fontId="22" fillId="12" borderId="10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/>
    </xf>
    <xf numFmtId="168" fontId="9" fillId="10" borderId="10" xfId="1" applyNumberFormat="1" applyFont="1" applyFill="1" applyBorder="1" applyAlignment="1">
      <alignment horizontal="center"/>
    </xf>
    <xf numFmtId="168" fontId="9" fillId="26" borderId="10" xfId="1" applyNumberFormat="1" applyFont="1" applyFill="1" applyBorder="1" applyAlignment="1">
      <alignment horizontal="center"/>
    </xf>
    <xf numFmtId="168" fontId="9" fillId="15" borderId="10" xfId="1" applyNumberFormat="1" applyFont="1" applyFill="1" applyBorder="1" applyAlignment="1">
      <alignment horizontal="center"/>
    </xf>
    <xf numFmtId="168" fontId="9" fillId="27" borderId="10" xfId="1" applyNumberFormat="1" applyFont="1" applyFill="1" applyBorder="1" applyAlignment="1">
      <alignment horizontal="center"/>
    </xf>
    <xf numFmtId="9" fontId="19" fillId="10" borderId="5" xfId="1" applyFont="1" applyFill="1" applyBorder="1" applyAlignment="1">
      <alignment horizontal="center" vertical="center"/>
    </xf>
    <xf numFmtId="9" fontId="19" fillId="26" borderId="5" xfId="1" applyFont="1" applyFill="1" applyBorder="1" applyAlignment="1">
      <alignment horizontal="center"/>
    </xf>
    <xf numFmtId="9" fontId="19" fillId="15" borderId="5" xfId="1" applyFont="1" applyFill="1" applyBorder="1" applyAlignment="1">
      <alignment horizontal="center"/>
    </xf>
    <xf numFmtId="9" fontId="19" fillId="27" borderId="5" xfId="1" applyFont="1" applyFill="1" applyBorder="1" applyAlignment="1">
      <alignment horizontal="center"/>
    </xf>
    <xf numFmtId="166" fontId="9" fillId="27" borderId="1" xfId="0" applyNumberFormat="1" applyFont="1" applyFill="1" applyBorder="1" applyAlignment="1">
      <alignment horizontal="center" vertical="center"/>
    </xf>
    <xf numFmtId="1" fontId="20" fillId="27" borderId="1" xfId="0" applyNumberFormat="1" applyFont="1" applyFill="1" applyBorder="1" applyAlignment="1">
      <alignment horizontal="center"/>
    </xf>
    <xf numFmtId="2" fontId="5" fillId="12" borderId="1" xfId="0" applyNumberFormat="1" applyFont="1" applyFill="1" applyBorder="1" applyAlignment="1">
      <alignment horizontal="center" vertical="center"/>
    </xf>
    <xf numFmtId="2" fontId="0" fillId="14" borderId="0" xfId="0" applyNumberForma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3" fontId="23" fillId="15" borderId="1" xfId="0" applyNumberFormat="1" applyFont="1" applyFill="1" applyBorder="1" applyAlignment="1">
      <alignment horizontal="center"/>
    </xf>
    <xf numFmtId="3" fontId="23" fillId="15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3" fillId="1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4" fillId="28" borderId="10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ont>
        <color rgb="FF00B050"/>
      </font>
    </dxf>
    <dxf>
      <font>
        <b/>
        <i val="0"/>
        <color rgb="FF00B050"/>
      </font>
    </dxf>
  </dxfs>
  <tableStyles count="0" defaultTableStyle="TableStyleMedium9"/>
  <colors>
    <mruColors>
      <color rgb="FF0DFF7A"/>
      <color rgb="FFFF8989"/>
      <color rgb="FF0D97FF"/>
      <color rgb="FFF3F9FB"/>
      <color rgb="FFD5F4FF"/>
      <color rgb="FFDAEEF3"/>
      <color rgb="FF9BE5FF"/>
      <color rgb="FFFFFFE7"/>
      <color rgb="FFA3FFCD"/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78087B-C506-42E2-9499-F4FE6ECBEF72}">
  <we:reference id="wa200000169" version="1.18.0.0" store="pt-BR" storeType="OMEX"/>
  <we:alternateReferences>
    <we:reference id="WA200000169" version="1.18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D378-613A-4119-899F-BE81892B1B28}">
  <sheetPr>
    <tabColor rgb="FF00B0F0"/>
  </sheetPr>
  <dimension ref="A1:D400"/>
  <sheetViews>
    <sheetView tabSelected="1" workbookViewId="0">
      <selection activeCell="F9" sqref="F9"/>
    </sheetView>
  </sheetViews>
  <sheetFormatPr defaultRowHeight="15" x14ac:dyDescent="0.25"/>
  <cols>
    <col min="1" max="1" width="33.5703125" customWidth="1"/>
    <col min="2" max="3" width="34.28515625" customWidth="1"/>
    <col min="4" max="4" width="34.28515625" style="81" customWidth="1"/>
  </cols>
  <sheetData>
    <row r="1" spans="1:4" ht="24" x14ac:dyDescent="0.25">
      <c r="A1" s="178" t="s">
        <v>0</v>
      </c>
      <c r="B1" s="175" t="s">
        <v>472</v>
      </c>
      <c r="C1" s="176" t="s">
        <v>476</v>
      </c>
      <c r="D1" s="177" t="s">
        <v>473</v>
      </c>
    </row>
    <row r="2" spans="1:4" ht="18" x14ac:dyDescent="0.35">
      <c r="A2" s="76" t="s">
        <v>6</v>
      </c>
      <c r="B2" s="179">
        <v>0</v>
      </c>
      <c r="C2" s="180">
        <v>10</v>
      </c>
      <c r="D2" s="184">
        <f>SUM(B2:C2)</f>
        <v>10</v>
      </c>
    </row>
    <row r="3" spans="1:4" ht="18" x14ac:dyDescent="0.25">
      <c r="A3" s="76" t="s">
        <v>7</v>
      </c>
      <c r="B3" s="179">
        <v>0</v>
      </c>
      <c r="C3" s="181">
        <v>8</v>
      </c>
      <c r="D3" s="184">
        <f t="shared" ref="D3:D66" si="0">SUM(B3:C3)</f>
        <v>8</v>
      </c>
    </row>
    <row r="4" spans="1:4" ht="18" x14ac:dyDescent="0.25">
      <c r="A4" s="76" t="s">
        <v>8</v>
      </c>
      <c r="B4" s="179">
        <v>0</v>
      </c>
      <c r="C4" s="181">
        <v>6</v>
      </c>
      <c r="D4" s="184">
        <f t="shared" si="0"/>
        <v>6</v>
      </c>
    </row>
    <row r="5" spans="1:4" ht="18" x14ac:dyDescent="0.25">
      <c r="A5" s="76" t="s">
        <v>9</v>
      </c>
      <c r="B5" s="179">
        <v>0</v>
      </c>
      <c r="C5" s="181">
        <v>7</v>
      </c>
      <c r="D5" s="184">
        <f t="shared" si="0"/>
        <v>7</v>
      </c>
    </row>
    <row r="6" spans="1:4" ht="18" x14ac:dyDescent="0.25">
      <c r="A6" s="76" t="s">
        <v>10</v>
      </c>
      <c r="B6" s="179">
        <v>0</v>
      </c>
      <c r="C6" s="181">
        <v>6</v>
      </c>
      <c r="D6" s="184">
        <f t="shared" si="0"/>
        <v>6</v>
      </c>
    </row>
    <row r="7" spans="1:4" ht="18" x14ac:dyDescent="0.25">
      <c r="A7" s="76" t="s">
        <v>11</v>
      </c>
      <c r="B7" s="179">
        <v>0</v>
      </c>
      <c r="C7" s="181">
        <v>7</v>
      </c>
      <c r="D7" s="184">
        <f t="shared" si="0"/>
        <v>7</v>
      </c>
    </row>
    <row r="8" spans="1:4" ht="18" x14ac:dyDescent="0.25">
      <c r="A8" s="76" t="s">
        <v>12</v>
      </c>
      <c r="B8" s="179">
        <v>0</v>
      </c>
      <c r="C8" s="181">
        <v>6</v>
      </c>
      <c r="D8" s="184">
        <f t="shared" si="0"/>
        <v>6</v>
      </c>
    </row>
    <row r="9" spans="1:4" ht="18" x14ac:dyDescent="0.25">
      <c r="A9" s="76" t="s">
        <v>13</v>
      </c>
      <c r="B9" s="179">
        <v>0</v>
      </c>
      <c r="C9" s="182">
        <v>5</v>
      </c>
      <c r="D9" s="184">
        <f t="shared" si="0"/>
        <v>5</v>
      </c>
    </row>
    <row r="10" spans="1:4" ht="18" x14ac:dyDescent="0.25">
      <c r="A10" s="76" t="s">
        <v>14</v>
      </c>
      <c r="B10" s="179">
        <v>1</v>
      </c>
      <c r="C10" s="182">
        <v>3</v>
      </c>
      <c r="D10" s="184">
        <f t="shared" si="0"/>
        <v>4</v>
      </c>
    </row>
    <row r="11" spans="1:4" ht="18" x14ac:dyDescent="0.25">
      <c r="A11" s="76" t="s">
        <v>15</v>
      </c>
      <c r="B11" s="179">
        <v>0</v>
      </c>
      <c r="C11" s="182">
        <v>3</v>
      </c>
      <c r="D11" s="184">
        <f t="shared" si="0"/>
        <v>3</v>
      </c>
    </row>
    <row r="12" spans="1:4" ht="18" x14ac:dyDescent="0.25">
      <c r="A12" s="76" t="s">
        <v>16</v>
      </c>
      <c r="B12" s="179">
        <v>0</v>
      </c>
      <c r="C12" s="182">
        <v>2</v>
      </c>
      <c r="D12" s="184">
        <f t="shared" si="0"/>
        <v>2</v>
      </c>
    </row>
    <row r="13" spans="1:4" ht="18" x14ac:dyDescent="0.25">
      <c r="A13" s="76" t="s">
        <v>17</v>
      </c>
      <c r="B13" s="179">
        <v>1</v>
      </c>
      <c r="C13" s="182">
        <v>3</v>
      </c>
      <c r="D13" s="184">
        <f t="shared" si="0"/>
        <v>4</v>
      </c>
    </row>
    <row r="14" spans="1:4" ht="18" x14ac:dyDescent="0.25">
      <c r="A14" s="76" t="s">
        <v>18</v>
      </c>
      <c r="B14" s="179">
        <v>1</v>
      </c>
      <c r="C14" s="182">
        <v>2</v>
      </c>
      <c r="D14" s="184">
        <f t="shared" si="0"/>
        <v>3</v>
      </c>
    </row>
    <row r="15" spans="1:4" ht="18" x14ac:dyDescent="0.25">
      <c r="A15" s="76" t="s">
        <v>19</v>
      </c>
      <c r="B15" s="179">
        <v>0</v>
      </c>
      <c r="C15" s="182">
        <v>3</v>
      </c>
      <c r="D15" s="184">
        <f t="shared" si="0"/>
        <v>3</v>
      </c>
    </row>
    <row r="16" spans="1:4" ht="18" x14ac:dyDescent="0.25">
      <c r="A16" s="76" t="s">
        <v>20</v>
      </c>
      <c r="B16" s="179">
        <v>0</v>
      </c>
      <c r="C16" s="182">
        <v>2</v>
      </c>
      <c r="D16" s="184">
        <f t="shared" si="0"/>
        <v>2</v>
      </c>
    </row>
    <row r="17" spans="1:4" ht="18" x14ac:dyDescent="0.25">
      <c r="A17" s="76" t="s">
        <v>21</v>
      </c>
      <c r="B17" s="179">
        <v>0</v>
      </c>
      <c r="C17" s="182">
        <v>2</v>
      </c>
      <c r="D17" s="184">
        <f t="shared" si="0"/>
        <v>2</v>
      </c>
    </row>
    <row r="18" spans="1:4" ht="18" x14ac:dyDescent="0.25">
      <c r="A18" s="76" t="s">
        <v>22</v>
      </c>
      <c r="B18" s="179">
        <v>0</v>
      </c>
      <c r="C18" s="182">
        <v>3</v>
      </c>
      <c r="D18" s="184">
        <f t="shared" si="0"/>
        <v>3</v>
      </c>
    </row>
    <row r="19" spans="1:4" ht="18" x14ac:dyDescent="0.25">
      <c r="A19" s="76" t="s">
        <v>23</v>
      </c>
      <c r="B19" s="179">
        <v>0</v>
      </c>
      <c r="C19" s="182">
        <v>2</v>
      </c>
      <c r="D19" s="184">
        <f t="shared" si="0"/>
        <v>2</v>
      </c>
    </row>
    <row r="20" spans="1:4" ht="18" x14ac:dyDescent="0.25">
      <c r="A20" s="76" t="s">
        <v>24</v>
      </c>
      <c r="B20" s="179">
        <v>1</v>
      </c>
      <c r="C20" s="182">
        <v>2</v>
      </c>
      <c r="D20" s="184">
        <f t="shared" si="0"/>
        <v>3</v>
      </c>
    </row>
    <row r="21" spans="1:4" ht="18" x14ac:dyDescent="0.25">
      <c r="A21" s="76" t="s">
        <v>25</v>
      </c>
      <c r="B21" s="179">
        <v>1</v>
      </c>
      <c r="C21" s="182">
        <v>1</v>
      </c>
      <c r="D21" s="184">
        <f t="shared" si="0"/>
        <v>2</v>
      </c>
    </row>
    <row r="22" spans="1:4" ht="18" x14ac:dyDescent="0.25">
      <c r="A22" s="76" t="s">
        <v>26</v>
      </c>
      <c r="B22" s="179">
        <v>1</v>
      </c>
      <c r="C22" s="182">
        <v>1</v>
      </c>
      <c r="D22" s="184">
        <f t="shared" si="0"/>
        <v>2</v>
      </c>
    </row>
    <row r="23" spans="1:4" ht="18" x14ac:dyDescent="0.25">
      <c r="A23" s="76" t="s">
        <v>27</v>
      </c>
      <c r="B23" s="179">
        <v>0</v>
      </c>
      <c r="C23" s="182">
        <v>2</v>
      </c>
      <c r="D23" s="184">
        <f t="shared" si="0"/>
        <v>2</v>
      </c>
    </row>
    <row r="24" spans="1:4" ht="18" x14ac:dyDescent="0.25">
      <c r="A24" s="76" t="s">
        <v>28</v>
      </c>
      <c r="B24" s="179">
        <v>0</v>
      </c>
      <c r="C24" s="182">
        <v>2</v>
      </c>
      <c r="D24" s="184">
        <f t="shared" si="0"/>
        <v>2</v>
      </c>
    </row>
    <row r="25" spans="1:4" ht="18" x14ac:dyDescent="0.25">
      <c r="A25" s="76" t="s">
        <v>29</v>
      </c>
      <c r="B25" s="179">
        <v>0</v>
      </c>
      <c r="C25" s="182">
        <v>2</v>
      </c>
      <c r="D25" s="184">
        <f t="shared" si="0"/>
        <v>2</v>
      </c>
    </row>
    <row r="26" spans="1:4" ht="18" x14ac:dyDescent="0.25">
      <c r="A26" s="76" t="s">
        <v>30</v>
      </c>
      <c r="B26" s="179">
        <v>0</v>
      </c>
      <c r="C26" s="182">
        <v>2</v>
      </c>
      <c r="D26" s="184">
        <f t="shared" si="0"/>
        <v>2</v>
      </c>
    </row>
    <row r="27" spans="1:4" ht="18" x14ac:dyDescent="0.25">
      <c r="A27" s="76" t="s">
        <v>31</v>
      </c>
      <c r="B27" s="179">
        <v>0</v>
      </c>
      <c r="C27" s="182">
        <v>2</v>
      </c>
      <c r="D27" s="184">
        <f t="shared" si="0"/>
        <v>2</v>
      </c>
    </row>
    <row r="28" spans="1:4" ht="18" x14ac:dyDescent="0.25">
      <c r="A28" s="76" t="s">
        <v>32</v>
      </c>
      <c r="B28" s="179">
        <v>0</v>
      </c>
      <c r="C28" s="182">
        <v>1</v>
      </c>
      <c r="D28" s="184">
        <f t="shared" si="0"/>
        <v>1</v>
      </c>
    </row>
    <row r="29" spans="1:4" ht="18" x14ac:dyDescent="0.25">
      <c r="A29" s="76" t="s">
        <v>33</v>
      </c>
      <c r="B29" s="179">
        <v>0</v>
      </c>
      <c r="C29" s="182">
        <v>2</v>
      </c>
      <c r="D29" s="184">
        <f t="shared" si="0"/>
        <v>2</v>
      </c>
    </row>
    <row r="30" spans="1:4" ht="18" x14ac:dyDescent="0.25">
      <c r="A30" s="76" t="s">
        <v>34</v>
      </c>
      <c r="B30" s="179">
        <v>0</v>
      </c>
      <c r="C30" s="182">
        <v>2</v>
      </c>
      <c r="D30" s="184">
        <f t="shared" si="0"/>
        <v>2</v>
      </c>
    </row>
    <row r="31" spans="1:4" ht="18" x14ac:dyDescent="0.25">
      <c r="A31" s="76" t="s">
        <v>35</v>
      </c>
      <c r="B31" s="179">
        <v>0</v>
      </c>
      <c r="C31" s="182">
        <v>1</v>
      </c>
      <c r="D31" s="184">
        <f t="shared" si="0"/>
        <v>1</v>
      </c>
    </row>
    <row r="32" spans="1:4" ht="18" x14ac:dyDescent="0.25">
      <c r="A32" s="76" t="s">
        <v>36</v>
      </c>
      <c r="B32" s="179">
        <v>0</v>
      </c>
      <c r="C32" s="183">
        <v>1</v>
      </c>
      <c r="D32" s="184">
        <f t="shared" si="0"/>
        <v>1</v>
      </c>
    </row>
    <row r="33" spans="1:4" ht="18" x14ac:dyDescent="0.25">
      <c r="A33" s="76" t="s">
        <v>37</v>
      </c>
      <c r="B33" s="179">
        <v>0</v>
      </c>
      <c r="C33" s="183">
        <v>0</v>
      </c>
      <c r="D33" s="184">
        <f t="shared" si="0"/>
        <v>0</v>
      </c>
    </row>
    <row r="34" spans="1:4" ht="18" x14ac:dyDescent="0.25">
      <c r="A34" s="76" t="s">
        <v>38</v>
      </c>
      <c r="B34" s="179">
        <v>0</v>
      </c>
      <c r="C34" s="183">
        <v>0</v>
      </c>
      <c r="D34" s="184">
        <f t="shared" si="0"/>
        <v>0</v>
      </c>
    </row>
    <row r="35" spans="1:4" ht="18" x14ac:dyDescent="0.25">
      <c r="A35" s="76" t="s">
        <v>39</v>
      </c>
      <c r="B35" s="179">
        <v>0</v>
      </c>
      <c r="C35" s="183">
        <v>0</v>
      </c>
      <c r="D35" s="184">
        <f t="shared" si="0"/>
        <v>0</v>
      </c>
    </row>
    <row r="36" spans="1:4" ht="18" x14ac:dyDescent="0.25">
      <c r="A36" s="76" t="s">
        <v>40</v>
      </c>
      <c r="B36" s="179">
        <v>0</v>
      </c>
      <c r="C36" s="183">
        <v>0</v>
      </c>
      <c r="D36" s="184">
        <f t="shared" si="0"/>
        <v>0</v>
      </c>
    </row>
    <row r="37" spans="1:4" ht="18" x14ac:dyDescent="0.25">
      <c r="A37" s="76" t="s">
        <v>41</v>
      </c>
      <c r="B37" s="179">
        <v>0</v>
      </c>
      <c r="C37" s="183">
        <v>1</v>
      </c>
      <c r="D37" s="184">
        <f t="shared" si="0"/>
        <v>1</v>
      </c>
    </row>
    <row r="38" spans="1:4" ht="18" x14ac:dyDescent="0.25">
      <c r="A38" s="76" t="s">
        <v>42</v>
      </c>
      <c r="B38" s="179">
        <v>0</v>
      </c>
      <c r="C38" s="183">
        <v>1</v>
      </c>
      <c r="D38" s="184">
        <f t="shared" si="0"/>
        <v>1</v>
      </c>
    </row>
    <row r="39" spans="1:4" ht="18" x14ac:dyDescent="0.25">
      <c r="A39" s="76" t="s">
        <v>43</v>
      </c>
      <c r="B39" s="179">
        <v>0</v>
      </c>
      <c r="C39" s="183">
        <v>1</v>
      </c>
      <c r="D39" s="184">
        <f t="shared" si="0"/>
        <v>1</v>
      </c>
    </row>
    <row r="40" spans="1:4" ht="18" x14ac:dyDescent="0.25">
      <c r="A40" s="76" t="s">
        <v>44</v>
      </c>
      <c r="B40" s="179">
        <v>0</v>
      </c>
      <c r="C40" s="183">
        <v>1</v>
      </c>
      <c r="D40" s="184">
        <f t="shared" si="0"/>
        <v>1</v>
      </c>
    </row>
    <row r="41" spans="1:4" ht="18" x14ac:dyDescent="0.25">
      <c r="A41" s="76" t="s">
        <v>45</v>
      </c>
      <c r="B41" s="179">
        <v>0</v>
      </c>
      <c r="C41" s="183">
        <v>0</v>
      </c>
      <c r="D41" s="184">
        <f t="shared" si="0"/>
        <v>0</v>
      </c>
    </row>
    <row r="42" spans="1:4" ht="18" x14ac:dyDescent="0.25">
      <c r="A42" s="76" t="s">
        <v>46</v>
      </c>
      <c r="B42" s="179">
        <v>0</v>
      </c>
      <c r="C42" s="183">
        <v>1</v>
      </c>
      <c r="D42" s="184">
        <f t="shared" si="0"/>
        <v>1</v>
      </c>
    </row>
    <row r="43" spans="1:4" ht="18" x14ac:dyDescent="0.25">
      <c r="A43" s="76" t="s">
        <v>47</v>
      </c>
      <c r="B43" s="179">
        <v>0</v>
      </c>
      <c r="C43" s="183">
        <v>0</v>
      </c>
      <c r="D43" s="184">
        <f t="shared" si="0"/>
        <v>0</v>
      </c>
    </row>
    <row r="44" spans="1:4" ht="18" x14ac:dyDescent="0.25">
      <c r="A44" s="76" t="s">
        <v>48</v>
      </c>
      <c r="B44" s="179">
        <v>0</v>
      </c>
      <c r="C44" s="183">
        <v>1</v>
      </c>
      <c r="D44" s="184">
        <f t="shared" si="0"/>
        <v>1</v>
      </c>
    </row>
    <row r="45" spans="1:4" ht="18" x14ac:dyDescent="0.25">
      <c r="A45" s="76" t="s">
        <v>49</v>
      </c>
      <c r="B45" s="179">
        <v>0</v>
      </c>
      <c r="C45" s="183">
        <v>1</v>
      </c>
      <c r="D45" s="184">
        <f t="shared" si="0"/>
        <v>1</v>
      </c>
    </row>
    <row r="46" spans="1:4" ht="18" x14ac:dyDescent="0.25">
      <c r="A46" s="76" t="s">
        <v>50</v>
      </c>
      <c r="B46" s="179">
        <v>0</v>
      </c>
      <c r="C46" s="183">
        <v>1</v>
      </c>
      <c r="D46" s="184">
        <f t="shared" si="0"/>
        <v>1</v>
      </c>
    </row>
    <row r="47" spans="1:4" ht="18" x14ac:dyDescent="0.25">
      <c r="A47" s="76" t="s">
        <v>51</v>
      </c>
      <c r="B47" s="179">
        <v>0</v>
      </c>
      <c r="C47" s="183">
        <v>0</v>
      </c>
      <c r="D47" s="184">
        <f t="shared" si="0"/>
        <v>0</v>
      </c>
    </row>
    <row r="48" spans="1:4" ht="18" x14ac:dyDescent="0.25">
      <c r="A48" s="76" t="s">
        <v>52</v>
      </c>
      <c r="B48" s="179">
        <v>0</v>
      </c>
      <c r="C48" s="183">
        <v>0</v>
      </c>
      <c r="D48" s="184">
        <f t="shared" si="0"/>
        <v>0</v>
      </c>
    </row>
    <row r="49" spans="1:4" ht="18" x14ac:dyDescent="0.25">
      <c r="A49" s="76" t="s">
        <v>53</v>
      </c>
      <c r="B49" s="179">
        <v>0</v>
      </c>
      <c r="C49" s="183">
        <v>1</v>
      </c>
      <c r="D49" s="184">
        <f t="shared" si="0"/>
        <v>1</v>
      </c>
    </row>
    <row r="50" spans="1:4" ht="18" x14ac:dyDescent="0.25">
      <c r="A50" s="76" t="s">
        <v>54</v>
      </c>
      <c r="B50" s="179">
        <v>0</v>
      </c>
      <c r="C50" s="183">
        <v>1</v>
      </c>
      <c r="D50" s="184">
        <f t="shared" si="0"/>
        <v>1</v>
      </c>
    </row>
    <row r="51" spans="1:4" ht="18" x14ac:dyDescent="0.25">
      <c r="A51" s="76" t="s">
        <v>55</v>
      </c>
      <c r="B51" s="179">
        <v>0</v>
      </c>
      <c r="C51" s="183">
        <v>0</v>
      </c>
      <c r="D51" s="184">
        <f t="shared" si="0"/>
        <v>0</v>
      </c>
    </row>
    <row r="52" spans="1:4" ht="18" x14ac:dyDescent="0.25">
      <c r="A52" s="76" t="s">
        <v>56</v>
      </c>
      <c r="B52" s="179">
        <v>0</v>
      </c>
      <c r="C52" s="183">
        <v>0</v>
      </c>
      <c r="D52" s="184">
        <f t="shared" si="0"/>
        <v>0</v>
      </c>
    </row>
    <row r="53" spans="1:4" ht="18" x14ac:dyDescent="0.25">
      <c r="A53" s="76" t="s">
        <v>57</v>
      </c>
      <c r="B53" s="179">
        <v>0</v>
      </c>
      <c r="C53" s="183">
        <v>1</v>
      </c>
      <c r="D53" s="184">
        <f t="shared" si="0"/>
        <v>1</v>
      </c>
    </row>
    <row r="54" spans="1:4" ht="18" x14ac:dyDescent="0.25">
      <c r="A54" s="76" t="s">
        <v>58</v>
      </c>
      <c r="B54" s="179">
        <v>0</v>
      </c>
      <c r="C54" s="183">
        <v>0</v>
      </c>
      <c r="D54" s="184">
        <f t="shared" si="0"/>
        <v>0</v>
      </c>
    </row>
    <row r="55" spans="1:4" ht="18" x14ac:dyDescent="0.25">
      <c r="A55" s="76" t="s">
        <v>59</v>
      </c>
      <c r="B55" s="179">
        <v>0</v>
      </c>
      <c r="C55" s="183">
        <v>0</v>
      </c>
      <c r="D55" s="184">
        <f t="shared" si="0"/>
        <v>0</v>
      </c>
    </row>
    <row r="56" spans="1:4" ht="18" x14ac:dyDescent="0.25">
      <c r="A56" s="76" t="s">
        <v>60</v>
      </c>
      <c r="B56" s="179">
        <v>0</v>
      </c>
      <c r="C56" s="183">
        <v>1</v>
      </c>
      <c r="D56" s="184">
        <f t="shared" si="0"/>
        <v>1</v>
      </c>
    </row>
    <row r="57" spans="1:4" ht="18" x14ac:dyDescent="0.25">
      <c r="A57" s="76" t="s">
        <v>61</v>
      </c>
      <c r="B57" s="179">
        <v>0</v>
      </c>
      <c r="C57" s="183">
        <v>0</v>
      </c>
      <c r="D57" s="184">
        <f t="shared" si="0"/>
        <v>0</v>
      </c>
    </row>
    <row r="58" spans="1:4" ht="18" x14ac:dyDescent="0.25">
      <c r="A58" s="76" t="s">
        <v>62</v>
      </c>
      <c r="B58" s="179">
        <v>0</v>
      </c>
      <c r="C58" s="183">
        <v>1</v>
      </c>
      <c r="D58" s="184">
        <f t="shared" si="0"/>
        <v>1</v>
      </c>
    </row>
    <row r="59" spans="1:4" ht="18" x14ac:dyDescent="0.25">
      <c r="A59" s="76" t="s">
        <v>63</v>
      </c>
      <c r="B59" s="179">
        <v>0</v>
      </c>
      <c r="C59" s="183">
        <v>1</v>
      </c>
      <c r="D59" s="184">
        <f t="shared" si="0"/>
        <v>1</v>
      </c>
    </row>
    <row r="60" spans="1:4" ht="18" x14ac:dyDescent="0.25">
      <c r="A60" s="76" t="s">
        <v>64</v>
      </c>
      <c r="B60" s="179">
        <v>0</v>
      </c>
      <c r="C60" s="183">
        <v>0</v>
      </c>
      <c r="D60" s="184">
        <f t="shared" si="0"/>
        <v>0</v>
      </c>
    </row>
    <row r="61" spans="1:4" ht="18" x14ac:dyDescent="0.25">
      <c r="A61" s="76" t="s">
        <v>65</v>
      </c>
      <c r="B61" s="179">
        <v>0</v>
      </c>
      <c r="C61" s="183">
        <v>0</v>
      </c>
      <c r="D61" s="184">
        <f t="shared" si="0"/>
        <v>0</v>
      </c>
    </row>
    <row r="62" spans="1:4" ht="18" x14ac:dyDescent="0.25">
      <c r="A62" s="76" t="s">
        <v>66</v>
      </c>
      <c r="B62" s="179">
        <v>0</v>
      </c>
      <c r="C62" s="183">
        <v>0</v>
      </c>
      <c r="D62" s="184">
        <f t="shared" si="0"/>
        <v>0</v>
      </c>
    </row>
    <row r="63" spans="1:4" ht="18" x14ac:dyDescent="0.25">
      <c r="A63" s="76" t="s">
        <v>67</v>
      </c>
      <c r="B63" s="179">
        <v>1</v>
      </c>
      <c r="C63" s="183">
        <v>0</v>
      </c>
      <c r="D63" s="184">
        <f t="shared" si="0"/>
        <v>1</v>
      </c>
    </row>
    <row r="64" spans="1:4" ht="18" x14ac:dyDescent="0.25">
      <c r="A64" s="76" t="s">
        <v>68</v>
      </c>
      <c r="B64" s="179">
        <v>0</v>
      </c>
      <c r="C64" s="183">
        <v>1</v>
      </c>
      <c r="D64" s="184">
        <f t="shared" si="0"/>
        <v>1</v>
      </c>
    </row>
    <row r="65" spans="1:4" ht="18" x14ac:dyDescent="0.25">
      <c r="A65" s="76" t="s">
        <v>69</v>
      </c>
      <c r="B65" s="179">
        <v>1</v>
      </c>
      <c r="C65" s="183">
        <v>0</v>
      </c>
      <c r="D65" s="184">
        <f t="shared" si="0"/>
        <v>1</v>
      </c>
    </row>
    <row r="66" spans="1:4" ht="18" x14ac:dyDescent="0.25">
      <c r="A66" s="76" t="s">
        <v>70</v>
      </c>
      <c r="B66" s="179">
        <v>0</v>
      </c>
      <c r="C66" s="183">
        <v>1</v>
      </c>
      <c r="D66" s="184">
        <f t="shared" si="0"/>
        <v>1</v>
      </c>
    </row>
    <row r="67" spans="1:4" ht="18" x14ac:dyDescent="0.25">
      <c r="A67" s="76" t="s">
        <v>71</v>
      </c>
      <c r="B67" s="179">
        <v>0</v>
      </c>
      <c r="C67" s="183">
        <v>1</v>
      </c>
      <c r="D67" s="184">
        <f t="shared" ref="D67:D93" si="1">SUM(B67:C67)</f>
        <v>1</v>
      </c>
    </row>
    <row r="68" spans="1:4" ht="18" x14ac:dyDescent="0.25">
      <c r="A68" s="76" t="s">
        <v>72</v>
      </c>
      <c r="B68" s="179">
        <v>1</v>
      </c>
      <c r="C68" s="183">
        <v>0</v>
      </c>
      <c r="D68" s="184">
        <f t="shared" si="1"/>
        <v>1</v>
      </c>
    </row>
    <row r="69" spans="1:4" ht="18" x14ac:dyDescent="0.25">
      <c r="A69" s="76" t="s">
        <v>73</v>
      </c>
      <c r="B69" s="179">
        <v>0</v>
      </c>
      <c r="C69" s="183">
        <v>0</v>
      </c>
      <c r="D69" s="184">
        <f t="shared" si="1"/>
        <v>0</v>
      </c>
    </row>
    <row r="70" spans="1:4" ht="18" x14ac:dyDescent="0.25">
      <c r="A70" s="76" t="s">
        <v>74</v>
      </c>
      <c r="B70" s="179">
        <v>0</v>
      </c>
      <c r="C70" s="183">
        <v>1</v>
      </c>
      <c r="D70" s="184">
        <f t="shared" si="1"/>
        <v>1</v>
      </c>
    </row>
    <row r="71" spans="1:4" ht="18" x14ac:dyDescent="0.25">
      <c r="A71" s="76" t="s">
        <v>75</v>
      </c>
      <c r="B71" s="179">
        <v>0</v>
      </c>
      <c r="C71" s="183">
        <v>0</v>
      </c>
      <c r="D71" s="184">
        <f t="shared" si="1"/>
        <v>0</v>
      </c>
    </row>
    <row r="72" spans="1:4" ht="18" x14ac:dyDescent="0.25">
      <c r="A72" s="76" t="s">
        <v>76</v>
      </c>
      <c r="B72" s="179">
        <v>0</v>
      </c>
      <c r="C72" s="183">
        <v>1</v>
      </c>
      <c r="D72" s="184">
        <f t="shared" si="1"/>
        <v>1</v>
      </c>
    </row>
    <row r="73" spans="1:4" ht="18" x14ac:dyDescent="0.25">
      <c r="A73" s="76" t="s">
        <v>77</v>
      </c>
      <c r="B73" s="179">
        <v>0</v>
      </c>
      <c r="C73" s="183">
        <v>0</v>
      </c>
      <c r="D73" s="184">
        <f t="shared" si="1"/>
        <v>0</v>
      </c>
    </row>
    <row r="74" spans="1:4" ht="18" x14ac:dyDescent="0.25">
      <c r="A74" s="76" t="s">
        <v>78</v>
      </c>
      <c r="B74" s="179">
        <v>0</v>
      </c>
      <c r="C74" s="183">
        <v>1</v>
      </c>
      <c r="D74" s="184">
        <f t="shared" si="1"/>
        <v>1</v>
      </c>
    </row>
    <row r="75" spans="1:4" ht="18" x14ac:dyDescent="0.25">
      <c r="A75" s="76" t="s">
        <v>79</v>
      </c>
      <c r="B75" s="179">
        <v>0</v>
      </c>
      <c r="C75" s="183">
        <v>0</v>
      </c>
      <c r="D75" s="184">
        <f t="shared" si="1"/>
        <v>0</v>
      </c>
    </row>
    <row r="76" spans="1:4" ht="18" x14ac:dyDescent="0.25">
      <c r="A76" s="76" t="s">
        <v>80</v>
      </c>
      <c r="B76" s="179">
        <v>0</v>
      </c>
      <c r="C76" s="183">
        <v>0</v>
      </c>
      <c r="D76" s="184">
        <f t="shared" si="1"/>
        <v>0</v>
      </c>
    </row>
    <row r="77" spans="1:4" ht="18" x14ac:dyDescent="0.25">
      <c r="A77" s="76" t="s">
        <v>81</v>
      </c>
      <c r="B77" s="179">
        <v>0</v>
      </c>
      <c r="C77" s="183">
        <v>0</v>
      </c>
      <c r="D77" s="184">
        <f t="shared" si="1"/>
        <v>0</v>
      </c>
    </row>
    <row r="78" spans="1:4" ht="18" x14ac:dyDescent="0.25">
      <c r="A78" s="76" t="s">
        <v>82</v>
      </c>
      <c r="B78" s="179">
        <v>0</v>
      </c>
      <c r="C78" s="183">
        <v>1</v>
      </c>
      <c r="D78" s="184">
        <f t="shared" si="1"/>
        <v>1</v>
      </c>
    </row>
    <row r="79" spans="1:4" ht="18" x14ac:dyDescent="0.25">
      <c r="A79" s="76" t="s">
        <v>83</v>
      </c>
      <c r="B79" s="179">
        <v>0</v>
      </c>
      <c r="C79" s="183">
        <v>1</v>
      </c>
      <c r="D79" s="184">
        <f t="shared" si="1"/>
        <v>1</v>
      </c>
    </row>
    <row r="80" spans="1:4" ht="18" x14ac:dyDescent="0.25">
      <c r="A80" s="76" t="s">
        <v>84</v>
      </c>
      <c r="B80" s="179">
        <v>1</v>
      </c>
      <c r="C80" s="183">
        <v>0</v>
      </c>
      <c r="D80" s="184">
        <f t="shared" si="1"/>
        <v>1</v>
      </c>
    </row>
    <row r="81" spans="1:4" ht="18" x14ac:dyDescent="0.25">
      <c r="A81" s="76" t="s">
        <v>85</v>
      </c>
      <c r="B81" s="179">
        <v>0</v>
      </c>
      <c r="C81" s="183">
        <v>0</v>
      </c>
      <c r="D81" s="184">
        <f t="shared" si="1"/>
        <v>0</v>
      </c>
    </row>
    <row r="82" spans="1:4" ht="18" x14ac:dyDescent="0.25">
      <c r="A82" s="76" t="s">
        <v>86</v>
      </c>
      <c r="B82" s="179">
        <v>0</v>
      </c>
      <c r="C82" s="183">
        <v>0</v>
      </c>
      <c r="D82" s="184">
        <f t="shared" si="1"/>
        <v>0</v>
      </c>
    </row>
    <row r="83" spans="1:4" ht="18" x14ac:dyDescent="0.25">
      <c r="A83" s="76" t="s">
        <v>87</v>
      </c>
      <c r="B83" s="179">
        <v>0</v>
      </c>
      <c r="C83" s="183">
        <v>1</v>
      </c>
      <c r="D83" s="184">
        <f t="shared" si="1"/>
        <v>1</v>
      </c>
    </row>
    <row r="84" spans="1:4" ht="18" x14ac:dyDescent="0.25">
      <c r="A84" s="76" t="s">
        <v>88</v>
      </c>
      <c r="B84" s="179">
        <v>0</v>
      </c>
      <c r="C84" s="183">
        <v>1</v>
      </c>
      <c r="D84" s="184">
        <f t="shared" si="1"/>
        <v>1</v>
      </c>
    </row>
    <row r="85" spans="1:4" ht="18" x14ac:dyDescent="0.25">
      <c r="A85" s="76" t="s">
        <v>89</v>
      </c>
      <c r="B85" s="179">
        <v>0</v>
      </c>
      <c r="C85" s="183">
        <v>1</v>
      </c>
      <c r="D85" s="184">
        <f t="shared" si="1"/>
        <v>1</v>
      </c>
    </row>
    <row r="86" spans="1:4" ht="18" x14ac:dyDescent="0.25">
      <c r="A86" s="76" t="s">
        <v>90</v>
      </c>
      <c r="B86" s="179">
        <v>0</v>
      </c>
      <c r="C86" s="183">
        <v>0</v>
      </c>
      <c r="D86" s="184">
        <f t="shared" si="1"/>
        <v>0</v>
      </c>
    </row>
    <row r="87" spans="1:4" ht="18" x14ac:dyDescent="0.25">
      <c r="A87" s="76" t="s">
        <v>91</v>
      </c>
      <c r="B87" s="179">
        <v>0</v>
      </c>
      <c r="C87" s="183">
        <v>0</v>
      </c>
      <c r="D87" s="184">
        <f t="shared" si="1"/>
        <v>0</v>
      </c>
    </row>
    <row r="88" spans="1:4" ht="18" x14ac:dyDescent="0.25">
      <c r="A88" s="76" t="s">
        <v>92</v>
      </c>
      <c r="B88" s="179">
        <v>0</v>
      </c>
      <c r="C88" s="183">
        <v>1</v>
      </c>
      <c r="D88" s="184">
        <f t="shared" si="1"/>
        <v>1</v>
      </c>
    </row>
    <row r="89" spans="1:4" ht="18" x14ac:dyDescent="0.25">
      <c r="A89" s="76" t="s">
        <v>93</v>
      </c>
      <c r="B89" s="179">
        <v>0</v>
      </c>
      <c r="C89" s="183">
        <v>0</v>
      </c>
      <c r="D89" s="184">
        <f t="shared" si="1"/>
        <v>0</v>
      </c>
    </row>
    <row r="90" spans="1:4" ht="18" x14ac:dyDescent="0.25">
      <c r="A90" s="76" t="s">
        <v>94</v>
      </c>
      <c r="B90" s="179">
        <v>0</v>
      </c>
      <c r="C90" s="183">
        <v>0</v>
      </c>
      <c r="D90" s="184">
        <f t="shared" si="1"/>
        <v>0</v>
      </c>
    </row>
    <row r="91" spans="1:4" ht="18" x14ac:dyDescent="0.25">
      <c r="A91" s="76" t="s">
        <v>95</v>
      </c>
      <c r="B91" s="179">
        <v>0</v>
      </c>
      <c r="C91" s="183">
        <v>0</v>
      </c>
      <c r="D91" s="184">
        <f t="shared" si="1"/>
        <v>0</v>
      </c>
    </row>
    <row r="92" spans="1:4" ht="18" x14ac:dyDescent="0.25">
      <c r="A92" s="76" t="s">
        <v>96</v>
      </c>
      <c r="B92" s="179">
        <v>1</v>
      </c>
      <c r="C92" s="183">
        <v>0</v>
      </c>
      <c r="D92" s="184">
        <f t="shared" si="1"/>
        <v>1</v>
      </c>
    </row>
    <row r="93" spans="1:4" ht="18" x14ac:dyDescent="0.25">
      <c r="A93" s="76" t="s">
        <v>97</v>
      </c>
      <c r="B93" s="179">
        <v>0</v>
      </c>
      <c r="C93" s="183">
        <v>0</v>
      </c>
      <c r="D93" s="184">
        <f t="shared" si="1"/>
        <v>0</v>
      </c>
    </row>
    <row r="94" spans="1:4" ht="18" x14ac:dyDescent="0.25">
      <c r="A94" s="76" t="s">
        <v>98</v>
      </c>
      <c r="B94" s="179">
        <v>0</v>
      </c>
      <c r="C94" s="183">
        <v>1</v>
      </c>
      <c r="D94" s="184">
        <v>1</v>
      </c>
    </row>
    <row r="95" spans="1:4" ht="18" x14ac:dyDescent="0.25">
      <c r="A95" s="76" t="s">
        <v>99</v>
      </c>
      <c r="B95" s="179">
        <v>0</v>
      </c>
      <c r="C95" s="183">
        <v>0</v>
      </c>
      <c r="D95" s="184">
        <v>0</v>
      </c>
    </row>
    <row r="96" spans="1:4" ht="18" x14ac:dyDescent="0.25">
      <c r="A96" s="76" t="s">
        <v>100</v>
      </c>
      <c r="B96" s="179">
        <v>0</v>
      </c>
      <c r="C96" s="183">
        <v>0</v>
      </c>
      <c r="D96" s="184">
        <f t="shared" ref="D96:D159" si="2">SUM(B96:C96)</f>
        <v>0</v>
      </c>
    </row>
    <row r="97" spans="1:4" ht="18" x14ac:dyDescent="0.25">
      <c r="A97" s="76" t="s">
        <v>101</v>
      </c>
      <c r="B97" s="179">
        <v>0</v>
      </c>
      <c r="C97" s="183">
        <v>0</v>
      </c>
      <c r="D97" s="184">
        <f t="shared" si="2"/>
        <v>0</v>
      </c>
    </row>
    <row r="98" spans="1:4" ht="18" x14ac:dyDescent="0.25">
      <c r="A98" s="76" t="s">
        <v>102</v>
      </c>
      <c r="B98" s="179">
        <v>1</v>
      </c>
      <c r="C98" s="183">
        <v>0</v>
      </c>
      <c r="D98" s="184">
        <f t="shared" si="2"/>
        <v>1</v>
      </c>
    </row>
    <row r="99" spans="1:4" ht="18" x14ac:dyDescent="0.25">
      <c r="A99" s="76" t="s">
        <v>103</v>
      </c>
      <c r="B99" s="179">
        <v>1</v>
      </c>
      <c r="C99" s="183">
        <v>0</v>
      </c>
      <c r="D99" s="184">
        <f t="shared" si="2"/>
        <v>1</v>
      </c>
    </row>
    <row r="100" spans="1:4" ht="18" x14ac:dyDescent="0.25">
      <c r="A100" s="76" t="s">
        <v>104</v>
      </c>
      <c r="B100" s="179">
        <v>0</v>
      </c>
      <c r="C100" s="183">
        <v>0</v>
      </c>
      <c r="D100" s="184">
        <f t="shared" si="2"/>
        <v>0</v>
      </c>
    </row>
    <row r="101" spans="1:4" ht="18" x14ac:dyDescent="0.25">
      <c r="A101" s="76" t="s">
        <v>105</v>
      </c>
      <c r="B101" s="179">
        <v>0</v>
      </c>
      <c r="C101" s="183">
        <v>0</v>
      </c>
      <c r="D101" s="184">
        <f t="shared" si="2"/>
        <v>0</v>
      </c>
    </row>
    <row r="102" spans="1:4" ht="18" x14ac:dyDescent="0.25">
      <c r="A102" s="76" t="s">
        <v>106</v>
      </c>
      <c r="B102" s="179">
        <v>0</v>
      </c>
      <c r="C102" s="183">
        <v>0</v>
      </c>
      <c r="D102" s="184">
        <f t="shared" si="2"/>
        <v>0</v>
      </c>
    </row>
    <row r="103" spans="1:4" ht="18" x14ac:dyDescent="0.25">
      <c r="A103" s="76" t="s">
        <v>107</v>
      </c>
      <c r="B103" s="179">
        <v>0</v>
      </c>
      <c r="C103" s="183">
        <v>1</v>
      </c>
      <c r="D103" s="184">
        <f t="shared" si="2"/>
        <v>1</v>
      </c>
    </row>
    <row r="104" spans="1:4" ht="18" x14ac:dyDescent="0.25">
      <c r="A104" s="76" t="s">
        <v>108</v>
      </c>
      <c r="B104" s="179">
        <v>1</v>
      </c>
      <c r="C104" s="183">
        <v>0</v>
      </c>
      <c r="D104" s="184">
        <f t="shared" si="2"/>
        <v>1</v>
      </c>
    </row>
    <row r="105" spans="1:4" ht="18" x14ac:dyDescent="0.25">
      <c r="A105" s="76" t="s">
        <v>109</v>
      </c>
      <c r="B105" s="179">
        <v>0</v>
      </c>
      <c r="C105" s="183">
        <v>0</v>
      </c>
      <c r="D105" s="184">
        <f t="shared" si="2"/>
        <v>0</v>
      </c>
    </row>
    <row r="106" spans="1:4" ht="18" x14ac:dyDescent="0.25">
      <c r="A106" s="76" t="s">
        <v>110</v>
      </c>
      <c r="B106" s="179">
        <v>0</v>
      </c>
      <c r="C106" s="183">
        <v>1</v>
      </c>
      <c r="D106" s="184">
        <f t="shared" si="2"/>
        <v>1</v>
      </c>
    </row>
    <row r="107" spans="1:4" ht="18" x14ac:dyDescent="0.25">
      <c r="A107" s="76" t="s">
        <v>111</v>
      </c>
      <c r="B107" s="179">
        <v>1</v>
      </c>
      <c r="C107" s="183">
        <v>0</v>
      </c>
      <c r="D107" s="184">
        <f t="shared" si="2"/>
        <v>1</v>
      </c>
    </row>
    <row r="108" spans="1:4" ht="18" x14ac:dyDescent="0.25">
      <c r="A108" s="76" t="s">
        <v>112</v>
      </c>
      <c r="B108" s="179">
        <v>0</v>
      </c>
      <c r="C108" s="183">
        <v>0</v>
      </c>
      <c r="D108" s="184">
        <f t="shared" si="2"/>
        <v>0</v>
      </c>
    </row>
    <row r="109" spans="1:4" ht="18" x14ac:dyDescent="0.25">
      <c r="A109" s="76" t="s">
        <v>113</v>
      </c>
      <c r="B109" s="179">
        <v>0</v>
      </c>
      <c r="C109" s="183">
        <v>0</v>
      </c>
      <c r="D109" s="184">
        <f t="shared" si="2"/>
        <v>0</v>
      </c>
    </row>
    <row r="110" spans="1:4" ht="18" x14ac:dyDescent="0.25">
      <c r="A110" s="76" t="s">
        <v>114</v>
      </c>
      <c r="B110" s="179">
        <v>0</v>
      </c>
      <c r="C110" s="183">
        <v>1</v>
      </c>
      <c r="D110" s="184">
        <f t="shared" si="2"/>
        <v>1</v>
      </c>
    </row>
    <row r="111" spans="1:4" ht="18" x14ac:dyDescent="0.25">
      <c r="A111" s="76" t="s">
        <v>115</v>
      </c>
      <c r="B111" s="179">
        <v>1</v>
      </c>
      <c r="C111" s="183">
        <v>0</v>
      </c>
      <c r="D111" s="184">
        <f t="shared" si="2"/>
        <v>1</v>
      </c>
    </row>
    <row r="112" spans="1:4" ht="18" x14ac:dyDescent="0.25">
      <c r="A112" s="76" t="s">
        <v>116</v>
      </c>
      <c r="B112" s="179">
        <v>0</v>
      </c>
      <c r="C112" s="183">
        <v>1</v>
      </c>
      <c r="D112" s="184">
        <f t="shared" si="2"/>
        <v>1</v>
      </c>
    </row>
    <row r="113" spans="1:4" ht="18" x14ac:dyDescent="0.25">
      <c r="A113" s="76" t="s">
        <v>117</v>
      </c>
      <c r="B113" s="179">
        <v>0</v>
      </c>
      <c r="C113" s="183">
        <v>1</v>
      </c>
      <c r="D113" s="184">
        <f t="shared" si="2"/>
        <v>1</v>
      </c>
    </row>
    <row r="114" spans="1:4" ht="18" x14ac:dyDescent="0.25">
      <c r="A114" s="76" t="s">
        <v>118</v>
      </c>
      <c r="B114" s="179">
        <v>1</v>
      </c>
      <c r="C114" s="183">
        <v>0</v>
      </c>
      <c r="D114" s="184">
        <f t="shared" si="2"/>
        <v>1</v>
      </c>
    </row>
    <row r="115" spans="1:4" ht="18" x14ac:dyDescent="0.25">
      <c r="A115" s="76" t="s">
        <v>119</v>
      </c>
      <c r="B115" s="179">
        <v>0</v>
      </c>
      <c r="C115" s="183">
        <v>1</v>
      </c>
      <c r="D115" s="184">
        <f t="shared" si="2"/>
        <v>1</v>
      </c>
    </row>
    <row r="116" spans="1:4" ht="18" x14ac:dyDescent="0.25">
      <c r="A116" s="76" t="s">
        <v>120</v>
      </c>
      <c r="B116" s="179">
        <v>0</v>
      </c>
      <c r="C116" s="183">
        <v>1</v>
      </c>
      <c r="D116" s="184">
        <f t="shared" si="2"/>
        <v>1</v>
      </c>
    </row>
    <row r="117" spans="1:4" ht="18" x14ac:dyDescent="0.25">
      <c r="A117" s="76" t="s">
        <v>121</v>
      </c>
      <c r="B117" s="179">
        <v>1</v>
      </c>
      <c r="C117" s="183">
        <v>0</v>
      </c>
      <c r="D117" s="184">
        <f t="shared" si="2"/>
        <v>1</v>
      </c>
    </row>
    <row r="118" spans="1:4" ht="18" x14ac:dyDescent="0.25">
      <c r="A118" s="76" t="s">
        <v>122</v>
      </c>
      <c r="B118" s="179">
        <v>0</v>
      </c>
      <c r="C118" s="183">
        <v>0</v>
      </c>
      <c r="D118" s="184">
        <f t="shared" si="2"/>
        <v>0</v>
      </c>
    </row>
    <row r="119" spans="1:4" ht="18" x14ac:dyDescent="0.25">
      <c r="A119" s="76" t="s">
        <v>123</v>
      </c>
      <c r="B119" s="179">
        <v>0</v>
      </c>
      <c r="C119" s="183">
        <v>0</v>
      </c>
      <c r="D119" s="184">
        <f t="shared" si="2"/>
        <v>0</v>
      </c>
    </row>
    <row r="120" spans="1:4" ht="18" x14ac:dyDescent="0.25">
      <c r="A120" s="76" t="s">
        <v>124</v>
      </c>
      <c r="B120" s="179">
        <v>0</v>
      </c>
      <c r="C120" s="183">
        <v>1</v>
      </c>
      <c r="D120" s="184">
        <f t="shared" si="2"/>
        <v>1</v>
      </c>
    </row>
    <row r="121" spans="1:4" ht="18" x14ac:dyDescent="0.25">
      <c r="A121" s="76" t="s">
        <v>125</v>
      </c>
      <c r="B121" s="179">
        <v>0</v>
      </c>
      <c r="C121" s="183">
        <v>1</v>
      </c>
      <c r="D121" s="184">
        <f t="shared" si="2"/>
        <v>1</v>
      </c>
    </row>
    <row r="122" spans="1:4" ht="18" x14ac:dyDescent="0.25">
      <c r="A122" s="76" t="s">
        <v>126</v>
      </c>
      <c r="B122" s="179">
        <v>0</v>
      </c>
      <c r="C122" s="183">
        <v>1</v>
      </c>
      <c r="D122" s="184">
        <f t="shared" si="2"/>
        <v>1</v>
      </c>
    </row>
    <row r="123" spans="1:4" ht="18" x14ac:dyDescent="0.25">
      <c r="A123" s="76" t="s">
        <v>127</v>
      </c>
      <c r="B123" s="179">
        <v>0</v>
      </c>
      <c r="C123" s="183">
        <v>1</v>
      </c>
      <c r="D123" s="184">
        <f t="shared" si="2"/>
        <v>1</v>
      </c>
    </row>
    <row r="124" spans="1:4" ht="18" x14ac:dyDescent="0.25">
      <c r="A124" s="76" t="s">
        <v>128</v>
      </c>
      <c r="B124" s="179">
        <v>1</v>
      </c>
      <c r="C124" s="183">
        <v>0</v>
      </c>
      <c r="D124" s="184">
        <f t="shared" si="2"/>
        <v>1</v>
      </c>
    </row>
    <row r="125" spans="1:4" ht="18" x14ac:dyDescent="0.25">
      <c r="A125" s="76" t="s">
        <v>129</v>
      </c>
      <c r="B125" s="179">
        <v>0</v>
      </c>
      <c r="C125" s="183">
        <v>1</v>
      </c>
      <c r="D125" s="184">
        <f t="shared" si="2"/>
        <v>1</v>
      </c>
    </row>
    <row r="126" spans="1:4" ht="18" x14ac:dyDescent="0.25">
      <c r="A126" s="76" t="s">
        <v>130</v>
      </c>
      <c r="B126" s="179">
        <v>0</v>
      </c>
      <c r="C126" s="183">
        <v>1</v>
      </c>
      <c r="D126" s="184">
        <f t="shared" si="2"/>
        <v>1</v>
      </c>
    </row>
    <row r="127" spans="1:4" ht="18" x14ac:dyDescent="0.25">
      <c r="A127" s="76" t="s">
        <v>131</v>
      </c>
      <c r="B127" s="179">
        <v>0</v>
      </c>
      <c r="C127" s="183">
        <v>0</v>
      </c>
      <c r="D127" s="184">
        <f t="shared" si="2"/>
        <v>0</v>
      </c>
    </row>
    <row r="128" spans="1:4" ht="18" x14ac:dyDescent="0.25">
      <c r="A128" s="76" t="s">
        <v>132</v>
      </c>
      <c r="B128" s="179">
        <v>0</v>
      </c>
      <c r="C128" s="183">
        <v>1</v>
      </c>
      <c r="D128" s="184">
        <f t="shared" si="2"/>
        <v>1</v>
      </c>
    </row>
    <row r="129" spans="1:4" ht="18" x14ac:dyDescent="0.25">
      <c r="A129" s="76" t="s">
        <v>133</v>
      </c>
      <c r="B129" s="179">
        <v>0</v>
      </c>
      <c r="C129" s="183">
        <v>1</v>
      </c>
      <c r="D129" s="184">
        <f t="shared" si="2"/>
        <v>1</v>
      </c>
    </row>
    <row r="130" spans="1:4" ht="18" x14ac:dyDescent="0.25">
      <c r="A130" s="76" t="s">
        <v>134</v>
      </c>
      <c r="B130" s="179">
        <v>0</v>
      </c>
      <c r="C130" s="183">
        <v>1</v>
      </c>
      <c r="D130" s="184">
        <f t="shared" si="2"/>
        <v>1</v>
      </c>
    </row>
    <row r="131" spans="1:4" ht="18" x14ac:dyDescent="0.25">
      <c r="A131" s="76" t="s">
        <v>135</v>
      </c>
      <c r="B131" s="179">
        <v>0</v>
      </c>
      <c r="C131" s="183">
        <v>1</v>
      </c>
      <c r="D131" s="184">
        <f t="shared" si="2"/>
        <v>1</v>
      </c>
    </row>
    <row r="132" spans="1:4" ht="18" x14ac:dyDescent="0.25">
      <c r="A132" s="76" t="s">
        <v>136</v>
      </c>
      <c r="B132" s="179">
        <v>0</v>
      </c>
      <c r="C132" s="183">
        <v>0</v>
      </c>
      <c r="D132" s="184">
        <f t="shared" si="2"/>
        <v>0</v>
      </c>
    </row>
    <row r="133" spans="1:4" ht="18" x14ac:dyDescent="0.25">
      <c r="A133" s="76" t="s">
        <v>137</v>
      </c>
      <c r="B133" s="179">
        <v>1</v>
      </c>
      <c r="C133" s="183">
        <v>0</v>
      </c>
      <c r="D133" s="184">
        <f t="shared" si="2"/>
        <v>1</v>
      </c>
    </row>
    <row r="134" spans="1:4" ht="18" x14ac:dyDescent="0.25">
      <c r="A134" s="76" t="s">
        <v>138</v>
      </c>
      <c r="B134" s="179">
        <v>1</v>
      </c>
      <c r="C134" s="183">
        <v>0</v>
      </c>
      <c r="D134" s="184">
        <f t="shared" si="2"/>
        <v>1</v>
      </c>
    </row>
    <row r="135" spans="1:4" ht="18" x14ac:dyDescent="0.25">
      <c r="A135" s="76" t="s">
        <v>139</v>
      </c>
      <c r="B135" s="179">
        <v>0</v>
      </c>
      <c r="C135" s="183">
        <v>1</v>
      </c>
      <c r="D135" s="184">
        <f t="shared" si="2"/>
        <v>1</v>
      </c>
    </row>
    <row r="136" spans="1:4" ht="18" x14ac:dyDescent="0.25">
      <c r="A136" s="76" t="s">
        <v>140</v>
      </c>
      <c r="B136" s="179">
        <v>0</v>
      </c>
      <c r="C136" s="183">
        <v>1</v>
      </c>
      <c r="D136" s="184">
        <f t="shared" si="2"/>
        <v>1</v>
      </c>
    </row>
    <row r="137" spans="1:4" ht="18" x14ac:dyDescent="0.25">
      <c r="A137" s="76" t="s">
        <v>141</v>
      </c>
      <c r="B137" s="179">
        <v>0</v>
      </c>
      <c r="C137" s="183">
        <v>0</v>
      </c>
      <c r="D137" s="184">
        <f t="shared" si="2"/>
        <v>0</v>
      </c>
    </row>
    <row r="138" spans="1:4" ht="18" x14ac:dyDescent="0.25">
      <c r="A138" s="76" t="s">
        <v>142</v>
      </c>
      <c r="B138" s="179">
        <v>0</v>
      </c>
      <c r="C138" s="183">
        <v>1</v>
      </c>
      <c r="D138" s="184">
        <f t="shared" si="2"/>
        <v>1</v>
      </c>
    </row>
    <row r="139" spans="1:4" ht="18" x14ac:dyDescent="0.25">
      <c r="A139" s="76" t="s">
        <v>143</v>
      </c>
      <c r="B139" s="179">
        <v>1</v>
      </c>
      <c r="C139" s="183">
        <v>0</v>
      </c>
      <c r="D139" s="184">
        <f t="shared" si="2"/>
        <v>1</v>
      </c>
    </row>
    <row r="140" spans="1:4" ht="18" x14ac:dyDescent="0.25">
      <c r="A140" s="76" t="s">
        <v>144</v>
      </c>
      <c r="B140" s="179">
        <v>0</v>
      </c>
      <c r="C140" s="183">
        <v>1</v>
      </c>
      <c r="D140" s="184">
        <f t="shared" si="2"/>
        <v>1</v>
      </c>
    </row>
    <row r="141" spans="1:4" ht="18" x14ac:dyDescent="0.25">
      <c r="A141" s="76" t="s">
        <v>145</v>
      </c>
      <c r="B141" s="179">
        <v>0</v>
      </c>
      <c r="C141" s="183">
        <v>0</v>
      </c>
      <c r="D141" s="184">
        <f t="shared" si="2"/>
        <v>0</v>
      </c>
    </row>
    <row r="142" spans="1:4" ht="18" x14ac:dyDescent="0.25">
      <c r="A142" s="76" t="s">
        <v>146</v>
      </c>
      <c r="B142" s="179">
        <v>0</v>
      </c>
      <c r="C142" s="183">
        <v>0</v>
      </c>
      <c r="D142" s="184">
        <f t="shared" si="2"/>
        <v>0</v>
      </c>
    </row>
    <row r="143" spans="1:4" ht="18" x14ac:dyDescent="0.25">
      <c r="A143" s="76" t="s">
        <v>147</v>
      </c>
      <c r="B143" s="179">
        <v>0</v>
      </c>
      <c r="C143" s="183">
        <v>1</v>
      </c>
      <c r="D143" s="184">
        <f t="shared" si="2"/>
        <v>1</v>
      </c>
    </row>
    <row r="144" spans="1:4" ht="18" x14ac:dyDescent="0.25">
      <c r="A144" s="76" t="s">
        <v>148</v>
      </c>
      <c r="B144" s="179">
        <v>0</v>
      </c>
      <c r="C144" s="183">
        <v>1</v>
      </c>
      <c r="D144" s="184">
        <f t="shared" si="2"/>
        <v>1</v>
      </c>
    </row>
    <row r="145" spans="1:4" ht="18" x14ac:dyDescent="0.25">
      <c r="A145" s="76" t="s">
        <v>149</v>
      </c>
      <c r="B145" s="179">
        <v>0</v>
      </c>
      <c r="C145" s="183">
        <v>0</v>
      </c>
      <c r="D145" s="184">
        <f t="shared" si="2"/>
        <v>0</v>
      </c>
    </row>
    <row r="146" spans="1:4" ht="18" x14ac:dyDescent="0.25">
      <c r="A146" s="76" t="s">
        <v>150</v>
      </c>
      <c r="B146" s="179">
        <v>0</v>
      </c>
      <c r="C146" s="183">
        <v>1</v>
      </c>
      <c r="D146" s="184">
        <f t="shared" si="2"/>
        <v>1</v>
      </c>
    </row>
    <row r="147" spans="1:4" ht="18" x14ac:dyDescent="0.25">
      <c r="A147" s="76" t="s">
        <v>151</v>
      </c>
      <c r="B147" s="179">
        <v>0</v>
      </c>
      <c r="C147" s="183">
        <v>1</v>
      </c>
      <c r="D147" s="184">
        <f t="shared" si="2"/>
        <v>1</v>
      </c>
    </row>
    <row r="148" spans="1:4" ht="18" x14ac:dyDescent="0.25">
      <c r="A148" s="76" t="s">
        <v>152</v>
      </c>
      <c r="B148" s="179">
        <v>0</v>
      </c>
      <c r="C148" s="183">
        <v>0</v>
      </c>
      <c r="D148" s="184">
        <f t="shared" si="2"/>
        <v>0</v>
      </c>
    </row>
    <row r="149" spans="1:4" ht="18" x14ac:dyDescent="0.25">
      <c r="A149" s="76" t="s">
        <v>153</v>
      </c>
      <c r="B149" s="179">
        <v>0</v>
      </c>
      <c r="C149" s="183">
        <v>1</v>
      </c>
      <c r="D149" s="184">
        <f t="shared" si="2"/>
        <v>1</v>
      </c>
    </row>
    <row r="150" spans="1:4" ht="18" x14ac:dyDescent="0.25">
      <c r="A150" s="76" t="s">
        <v>154</v>
      </c>
      <c r="B150" s="179">
        <v>0</v>
      </c>
      <c r="C150" s="183">
        <v>0</v>
      </c>
      <c r="D150" s="184">
        <f t="shared" si="2"/>
        <v>0</v>
      </c>
    </row>
    <row r="151" spans="1:4" ht="18" x14ac:dyDescent="0.25">
      <c r="A151" s="76" t="s">
        <v>155</v>
      </c>
      <c r="B151" s="179">
        <v>1</v>
      </c>
      <c r="C151" s="183">
        <v>0</v>
      </c>
      <c r="D151" s="184">
        <f t="shared" si="2"/>
        <v>1</v>
      </c>
    </row>
    <row r="152" spans="1:4" ht="18" x14ac:dyDescent="0.25">
      <c r="A152" s="76" t="s">
        <v>156</v>
      </c>
      <c r="B152" s="179">
        <v>0</v>
      </c>
      <c r="C152" s="183">
        <v>0</v>
      </c>
      <c r="D152" s="184">
        <f t="shared" si="2"/>
        <v>0</v>
      </c>
    </row>
    <row r="153" spans="1:4" ht="18" x14ac:dyDescent="0.25">
      <c r="A153" s="76" t="s">
        <v>157</v>
      </c>
      <c r="B153" s="179">
        <v>0</v>
      </c>
      <c r="C153" s="183">
        <v>1</v>
      </c>
      <c r="D153" s="184">
        <f t="shared" si="2"/>
        <v>1</v>
      </c>
    </row>
    <row r="154" spans="1:4" ht="18" x14ac:dyDescent="0.25">
      <c r="A154" s="76" t="s">
        <v>158</v>
      </c>
      <c r="B154" s="179">
        <v>1</v>
      </c>
      <c r="C154" s="183">
        <v>0</v>
      </c>
      <c r="D154" s="184">
        <f t="shared" si="2"/>
        <v>1</v>
      </c>
    </row>
    <row r="155" spans="1:4" ht="18" x14ac:dyDescent="0.25">
      <c r="A155" s="76" t="s">
        <v>159</v>
      </c>
      <c r="B155" s="179">
        <v>0</v>
      </c>
      <c r="C155" s="183">
        <v>1</v>
      </c>
      <c r="D155" s="184">
        <f t="shared" si="2"/>
        <v>1</v>
      </c>
    </row>
    <row r="156" spans="1:4" ht="18" x14ac:dyDescent="0.25">
      <c r="A156" s="76" t="s">
        <v>160</v>
      </c>
      <c r="B156" s="179">
        <v>0</v>
      </c>
      <c r="C156" s="183">
        <v>1</v>
      </c>
      <c r="D156" s="184">
        <f t="shared" si="2"/>
        <v>1</v>
      </c>
    </row>
    <row r="157" spans="1:4" ht="18" x14ac:dyDescent="0.25">
      <c r="A157" s="76" t="s">
        <v>161</v>
      </c>
      <c r="B157" s="179">
        <v>0</v>
      </c>
      <c r="C157" s="183">
        <v>0</v>
      </c>
      <c r="D157" s="184">
        <f t="shared" si="2"/>
        <v>0</v>
      </c>
    </row>
    <row r="158" spans="1:4" ht="18" x14ac:dyDescent="0.25">
      <c r="A158" s="76" t="s">
        <v>162</v>
      </c>
      <c r="B158" s="179">
        <v>0</v>
      </c>
      <c r="C158" s="183">
        <v>1</v>
      </c>
      <c r="D158" s="184">
        <f t="shared" si="2"/>
        <v>1</v>
      </c>
    </row>
    <row r="159" spans="1:4" ht="18" x14ac:dyDescent="0.25">
      <c r="A159" s="76" t="s">
        <v>163</v>
      </c>
      <c r="B159" s="179">
        <v>0</v>
      </c>
      <c r="C159" s="183">
        <v>0</v>
      </c>
      <c r="D159" s="184">
        <f t="shared" si="2"/>
        <v>0</v>
      </c>
    </row>
    <row r="160" spans="1:4" ht="18" x14ac:dyDescent="0.25">
      <c r="A160" s="76" t="s">
        <v>164</v>
      </c>
      <c r="B160" s="179">
        <v>1</v>
      </c>
      <c r="C160" s="183">
        <v>0</v>
      </c>
      <c r="D160" s="184">
        <f t="shared" ref="D160:D223" si="3">SUM(B160:C160)</f>
        <v>1</v>
      </c>
    </row>
    <row r="161" spans="1:4" ht="18" x14ac:dyDescent="0.25">
      <c r="A161" s="76" t="s">
        <v>165</v>
      </c>
      <c r="B161" s="179">
        <v>0</v>
      </c>
      <c r="C161" s="183">
        <v>0</v>
      </c>
      <c r="D161" s="184">
        <f t="shared" si="3"/>
        <v>0</v>
      </c>
    </row>
    <row r="162" spans="1:4" ht="18" x14ac:dyDescent="0.25">
      <c r="A162" s="76" t="s">
        <v>166</v>
      </c>
      <c r="B162" s="179">
        <v>1</v>
      </c>
      <c r="C162" s="183">
        <v>0</v>
      </c>
      <c r="D162" s="184">
        <f t="shared" si="3"/>
        <v>1</v>
      </c>
    </row>
    <row r="163" spans="1:4" ht="18" x14ac:dyDescent="0.25">
      <c r="A163" s="76" t="s">
        <v>167</v>
      </c>
      <c r="B163" s="179">
        <v>0</v>
      </c>
      <c r="C163" s="183">
        <v>1</v>
      </c>
      <c r="D163" s="184">
        <f t="shared" si="3"/>
        <v>1</v>
      </c>
    </row>
    <row r="164" spans="1:4" ht="18" x14ac:dyDescent="0.25">
      <c r="A164" s="76" t="s">
        <v>168</v>
      </c>
      <c r="B164" s="179">
        <v>0</v>
      </c>
      <c r="C164" s="183">
        <v>0</v>
      </c>
      <c r="D164" s="184">
        <f t="shared" si="3"/>
        <v>0</v>
      </c>
    </row>
    <row r="165" spans="1:4" ht="18" x14ac:dyDescent="0.25">
      <c r="A165" s="76" t="s">
        <v>169</v>
      </c>
      <c r="B165" s="179">
        <v>0</v>
      </c>
      <c r="C165" s="183">
        <v>0</v>
      </c>
      <c r="D165" s="184">
        <f t="shared" si="3"/>
        <v>0</v>
      </c>
    </row>
    <row r="166" spans="1:4" ht="18" x14ac:dyDescent="0.25">
      <c r="A166" s="76" t="s">
        <v>170</v>
      </c>
      <c r="B166" s="179">
        <v>0</v>
      </c>
      <c r="C166" s="183">
        <v>0</v>
      </c>
      <c r="D166" s="184">
        <f t="shared" si="3"/>
        <v>0</v>
      </c>
    </row>
    <row r="167" spans="1:4" ht="18" x14ac:dyDescent="0.25">
      <c r="A167" s="76" t="s">
        <v>171</v>
      </c>
      <c r="B167" s="179">
        <v>0</v>
      </c>
      <c r="C167" s="183">
        <v>1</v>
      </c>
      <c r="D167" s="184">
        <f t="shared" si="3"/>
        <v>1</v>
      </c>
    </row>
    <row r="168" spans="1:4" ht="18" x14ac:dyDescent="0.25">
      <c r="A168" s="76" t="s">
        <v>172</v>
      </c>
      <c r="B168" s="179">
        <v>0</v>
      </c>
      <c r="C168" s="183">
        <v>0</v>
      </c>
      <c r="D168" s="184">
        <f t="shared" si="3"/>
        <v>0</v>
      </c>
    </row>
    <row r="169" spans="1:4" ht="18" x14ac:dyDescent="0.25">
      <c r="A169" s="76" t="s">
        <v>173</v>
      </c>
      <c r="B169" s="179">
        <v>0</v>
      </c>
      <c r="C169" s="183">
        <v>0</v>
      </c>
      <c r="D169" s="184">
        <f t="shared" si="3"/>
        <v>0</v>
      </c>
    </row>
    <row r="170" spans="1:4" ht="18" x14ac:dyDescent="0.25">
      <c r="A170" s="76" t="s">
        <v>174</v>
      </c>
      <c r="B170" s="179">
        <v>0</v>
      </c>
      <c r="C170" s="183">
        <v>0</v>
      </c>
      <c r="D170" s="184">
        <f t="shared" si="3"/>
        <v>0</v>
      </c>
    </row>
    <row r="171" spans="1:4" ht="18" x14ac:dyDescent="0.25">
      <c r="A171" s="76" t="s">
        <v>175</v>
      </c>
      <c r="B171" s="179">
        <v>0</v>
      </c>
      <c r="C171" s="183">
        <v>1</v>
      </c>
      <c r="D171" s="184">
        <f t="shared" si="3"/>
        <v>1</v>
      </c>
    </row>
    <row r="172" spans="1:4" ht="18" x14ac:dyDescent="0.25">
      <c r="A172" s="76" t="s">
        <v>176</v>
      </c>
      <c r="B172" s="179">
        <v>0</v>
      </c>
      <c r="C172" s="183">
        <v>0</v>
      </c>
      <c r="D172" s="184">
        <f t="shared" si="3"/>
        <v>0</v>
      </c>
    </row>
    <row r="173" spans="1:4" ht="18" x14ac:dyDescent="0.25">
      <c r="A173" s="76" t="s">
        <v>177</v>
      </c>
      <c r="B173" s="179">
        <v>0</v>
      </c>
      <c r="C173" s="183">
        <v>1</v>
      </c>
      <c r="D173" s="184">
        <f t="shared" si="3"/>
        <v>1</v>
      </c>
    </row>
    <row r="174" spans="1:4" ht="18" x14ac:dyDescent="0.25">
      <c r="A174" s="76" t="s">
        <v>178</v>
      </c>
      <c r="B174" s="179">
        <v>0</v>
      </c>
      <c r="C174" s="183">
        <v>1</v>
      </c>
      <c r="D174" s="184">
        <f t="shared" si="3"/>
        <v>1</v>
      </c>
    </row>
    <row r="175" spans="1:4" ht="18" x14ac:dyDescent="0.25">
      <c r="A175" s="76" t="s">
        <v>179</v>
      </c>
      <c r="B175" s="179">
        <v>0</v>
      </c>
      <c r="C175" s="183">
        <v>1</v>
      </c>
      <c r="D175" s="184">
        <f t="shared" si="3"/>
        <v>1</v>
      </c>
    </row>
    <row r="176" spans="1:4" ht="18" x14ac:dyDescent="0.25">
      <c r="A176" s="76" t="s">
        <v>180</v>
      </c>
      <c r="B176" s="179">
        <v>0</v>
      </c>
      <c r="C176" s="183">
        <v>0</v>
      </c>
      <c r="D176" s="184">
        <f t="shared" si="3"/>
        <v>0</v>
      </c>
    </row>
    <row r="177" spans="1:4" ht="18" x14ac:dyDescent="0.25">
      <c r="A177" s="76" t="s">
        <v>181</v>
      </c>
      <c r="B177" s="179">
        <v>0</v>
      </c>
      <c r="C177" s="183">
        <v>1</v>
      </c>
      <c r="D177" s="184">
        <f t="shared" si="3"/>
        <v>1</v>
      </c>
    </row>
    <row r="178" spans="1:4" ht="18" x14ac:dyDescent="0.25">
      <c r="A178" s="76" t="s">
        <v>182</v>
      </c>
      <c r="B178" s="179">
        <v>0</v>
      </c>
      <c r="C178" s="183">
        <v>0</v>
      </c>
      <c r="D178" s="184">
        <f t="shared" si="3"/>
        <v>0</v>
      </c>
    </row>
    <row r="179" spans="1:4" ht="18" x14ac:dyDescent="0.25">
      <c r="A179" s="76" t="s">
        <v>183</v>
      </c>
      <c r="B179" s="179">
        <v>0</v>
      </c>
      <c r="C179" s="183">
        <v>1</v>
      </c>
      <c r="D179" s="184">
        <f t="shared" si="3"/>
        <v>1</v>
      </c>
    </row>
    <row r="180" spans="1:4" ht="18" x14ac:dyDescent="0.25">
      <c r="A180" s="76" t="s">
        <v>184</v>
      </c>
      <c r="B180" s="179">
        <v>0</v>
      </c>
      <c r="C180" s="183">
        <v>1</v>
      </c>
      <c r="D180" s="184">
        <f t="shared" si="3"/>
        <v>1</v>
      </c>
    </row>
    <row r="181" spans="1:4" ht="18" x14ac:dyDescent="0.25">
      <c r="A181" s="76" t="s">
        <v>185</v>
      </c>
      <c r="B181" s="179">
        <v>0</v>
      </c>
      <c r="C181" s="183">
        <v>0</v>
      </c>
      <c r="D181" s="184">
        <f t="shared" si="3"/>
        <v>0</v>
      </c>
    </row>
    <row r="182" spans="1:4" ht="18" x14ac:dyDescent="0.25">
      <c r="A182" s="76" t="s">
        <v>186</v>
      </c>
      <c r="B182" s="179">
        <v>0</v>
      </c>
      <c r="C182" s="183">
        <v>1</v>
      </c>
      <c r="D182" s="184">
        <f t="shared" si="3"/>
        <v>1</v>
      </c>
    </row>
    <row r="183" spans="1:4" ht="18" x14ac:dyDescent="0.25">
      <c r="A183" s="76" t="s">
        <v>187</v>
      </c>
      <c r="B183" s="179">
        <v>0</v>
      </c>
      <c r="C183" s="183">
        <v>1</v>
      </c>
      <c r="D183" s="184">
        <f t="shared" si="3"/>
        <v>1</v>
      </c>
    </row>
    <row r="184" spans="1:4" ht="18" x14ac:dyDescent="0.25">
      <c r="A184" s="76" t="s">
        <v>188</v>
      </c>
      <c r="B184" s="179">
        <v>0</v>
      </c>
      <c r="C184" s="183">
        <v>1</v>
      </c>
      <c r="D184" s="184">
        <f t="shared" si="3"/>
        <v>1</v>
      </c>
    </row>
    <row r="185" spans="1:4" ht="18" x14ac:dyDescent="0.25">
      <c r="A185" s="76" t="s">
        <v>189</v>
      </c>
      <c r="B185" s="179">
        <v>0</v>
      </c>
      <c r="C185" s="183">
        <v>1</v>
      </c>
      <c r="D185" s="184">
        <f t="shared" si="3"/>
        <v>1</v>
      </c>
    </row>
    <row r="186" spans="1:4" ht="18" x14ac:dyDescent="0.25">
      <c r="A186" s="76" t="s">
        <v>190</v>
      </c>
      <c r="B186" s="179">
        <v>0</v>
      </c>
      <c r="C186" s="183">
        <v>1</v>
      </c>
      <c r="D186" s="184">
        <f t="shared" si="3"/>
        <v>1</v>
      </c>
    </row>
    <row r="187" spans="1:4" ht="18" x14ac:dyDescent="0.25">
      <c r="A187" s="76" t="s">
        <v>191</v>
      </c>
      <c r="B187" s="179">
        <v>0</v>
      </c>
      <c r="C187" s="183">
        <v>0</v>
      </c>
      <c r="D187" s="184">
        <f t="shared" si="3"/>
        <v>0</v>
      </c>
    </row>
    <row r="188" spans="1:4" ht="18" x14ac:dyDescent="0.25">
      <c r="A188" s="76" t="s">
        <v>192</v>
      </c>
      <c r="B188" s="179">
        <v>0</v>
      </c>
      <c r="C188" s="183">
        <v>0</v>
      </c>
      <c r="D188" s="184">
        <f t="shared" si="3"/>
        <v>0</v>
      </c>
    </row>
    <row r="189" spans="1:4" ht="18" x14ac:dyDescent="0.25">
      <c r="A189" s="76" t="s">
        <v>193</v>
      </c>
      <c r="B189" s="179">
        <v>0</v>
      </c>
      <c r="C189" s="183">
        <v>0</v>
      </c>
      <c r="D189" s="184">
        <f t="shared" si="3"/>
        <v>0</v>
      </c>
    </row>
    <row r="190" spans="1:4" ht="18" x14ac:dyDescent="0.25">
      <c r="A190" s="76" t="s">
        <v>194</v>
      </c>
      <c r="B190" s="179">
        <v>0</v>
      </c>
      <c r="C190" s="183">
        <v>1</v>
      </c>
      <c r="D190" s="184">
        <f t="shared" si="3"/>
        <v>1</v>
      </c>
    </row>
    <row r="191" spans="1:4" ht="18" x14ac:dyDescent="0.25">
      <c r="A191" s="76" t="s">
        <v>195</v>
      </c>
      <c r="B191" s="179">
        <v>0</v>
      </c>
      <c r="C191" s="183">
        <v>1</v>
      </c>
      <c r="D191" s="184">
        <f t="shared" si="3"/>
        <v>1</v>
      </c>
    </row>
    <row r="192" spans="1:4" ht="18" x14ac:dyDescent="0.25">
      <c r="A192" s="76" t="s">
        <v>196</v>
      </c>
      <c r="B192" s="179">
        <v>0</v>
      </c>
      <c r="C192" s="183">
        <v>0</v>
      </c>
      <c r="D192" s="184">
        <f t="shared" si="3"/>
        <v>0</v>
      </c>
    </row>
    <row r="193" spans="1:4" ht="18" x14ac:dyDescent="0.25">
      <c r="A193" s="76" t="s">
        <v>197</v>
      </c>
      <c r="B193" s="179">
        <v>1</v>
      </c>
      <c r="C193" s="183">
        <v>0</v>
      </c>
      <c r="D193" s="184">
        <f t="shared" si="3"/>
        <v>1</v>
      </c>
    </row>
    <row r="194" spans="1:4" ht="18" x14ac:dyDescent="0.25">
      <c r="A194" s="76" t="s">
        <v>198</v>
      </c>
      <c r="B194" s="179">
        <v>0</v>
      </c>
      <c r="C194" s="183">
        <v>0</v>
      </c>
      <c r="D194" s="184">
        <f t="shared" si="3"/>
        <v>0</v>
      </c>
    </row>
    <row r="195" spans="1:4" ht="18" x14ac:dyDescent="0.25">
      <c r="A195" s="76" t="s">
        <v>199</v>
      </c>
      <c r="B195" s="179">
        <v>0</v>
      </c>
      <c r="C195" s="183">
        <v>1</v>
      </c>
      <c r="D195" s="184">
        <f t="shared" si="3"/>
        <v>1</v>
      </c>
    </row>
    <row r="196" spans="1:4" ht="18" x14ac:dyDescent="0.25">
      <c r="A196" s="76" t="s">
        <v>200</v>
      </c>
      <c r="B196" s="179">
        <v>0</v>
      </c>
      <c r="C196" s="183">
        <v>1</v>
      </c>
      <c r="D196" s="184">
        <f t="shared" si="3"/>
        <v>1</v>
      </c>
    </row>
    <row r="197" spans="1:4" ht="18" x14ac:dyDescent="0.25">
      <c r="A197" s="76" t="s">
        <v>201</v>
      </c>
      <c r="B197" s="179">
        <v>1</v>
      </c>
      <c r="C197" s="183">
        <v>0</v>
      </c>
      <c r="D197" s="184">
        <f t="shared" si="3"/>
        <v>1</v>
      </c>
    </row>
    <row r="198" spans="1:4" ht="18" x14ac:dyDescent="0.25">
      <c r="A198" s="76" t="s">
        <v>202</v>
      </c>
      <c r="B198" s="179">
        <v>0</v>
      </c>
      <c r="C198" s="183">
        <v>1</v>
      </c>
      <c r="D198" s="184">
        <f t="shared" si="3"/>
        <v>1</v>
      </c>
    </row>
    <row r="199" spans="1:4" ht="18" x14ac:dyDescent="0.25">
      <c r="A199" s="76" t="s">
        <v>203</v>
      </c>
      <c r="B199" s="179">
        <v>1</v>
      </c>
      <c r="C199" s="183">
        <v>0</v>
      </c>
      <c r="D199" s="184">
        <f t="shared" si="3"/>
        <v>1</v>
      </c>
    </row>
    <row r="200" spans="1:4" ht="18" x14ac:dyDescent="0.25">
      <c r="A200" s="76" t="s">
        <v>204</v>
      </c>
      <c r="B200" s="179">
        <v>0</v>
      </c>
      <c r="C200" s="183">
        <v>1</v>
      </c>
      <c r="D200" s="184">
        <f t="shared" si="3"/>
        <v>1</v>
      </c>
    </row>
    <row r="201" spans="1:4" ht="18" x14ac:dyDescent="0.25">
      <c r="A201" s="76" t="s">
        <v>205</v>
      </c>
      <c r="B201" s="179">
        <v>0</v>
      </c>
      <c r="C201" s="183">
        <v>1</v>
      </c>
      <c r="D201" s="184">
        <f t="shared" si="3"/>
        <v>1</v>
      </c>
    </row>
    <row r="202" spans="1:4" ht="18" x14ac:dyDescent="0.25">
      <c r="A202" s="76" t="s">
        <v>206</v>
      </c>
      <c r="B202" s="179">
        <v>0</v>
      </c>
      <c r="C202" s="183">
        <v>0</v>
      </c>
      <c r="D202" s="184">
        <f t="shared" si="3"/>
        <v>0</v>
      </c>
    </row>
    <row r="203" spans="1:4" ht="18" x14ac:dyDescent="0.25">
      <c r="A203" s="76" t="s">
        <v>207</v>
      </c>
      <c r="B203" s="179">
        <v>0</v>
      </c>
      <c r="C203" s="183">
        <v>1</v>
      </c>
      <c r="D203" s="184">
        <f t="shared" si="3"/>
        <v>1</v>
      </c>
    </row>
    <row r="204" spans="1:4" ht="18" x14ac:dyDescent="0.25">
      <c r="A204" s="76" t="s">
        <v>208</v>
      </c>
      <c r="B204" s="179">
        <v>0</v>
      </c>
      <c r="C204" s="183">
        <v>0</v>
      </c>
      <c r="D204" s="184">
        <f t="shared" si="3"/>
        <v>0</v>
      </c>
    </row>
    <row r="205" spans="1:4" ht="18" x14ac:dyDescent="0.25">
      <c r="A205" s="76" t="s">
        <v>209</v>
      </c>
      <c r="B205" s="179">
        <v>0</v>
      </c>
      <c r="C205" s="183">
        <v>1</v>
      </c>
      <c r="D205" s="184">
        <f t="shared" si="3"/>
        <v>1</v>
      </c>
    </row>
    <row r="206" spans="1:4" ht="18" x14ac:dyDescent="0.25">
      <c r="A206" s="76" t="s">
        <v>210</v>
      </c>
      <c r="B206" s="179">
        <v>0</v>
      </c>
      <c r="C206" s="183">
        <v>0</v>
      </c>
      <c r="D206" s="184">
        <f t="shared" si="3"/>
        <v>0</v>
      </c>
    </row>
    <row r="207" spans="1:4" ht="18" x14ac:dyDescent="0.25">
      <c r="A207" s="76" t="s">
        <v>211</v>
      </c>
      <c r="B207" s="179">
        <v>0</v>
      </c>
      <c r="C207" s="183">
        <v>0</v>
      </c>
      <c r="D207" s="184">
        <f t="shared" si="3"/>
        <v>0</v>
      </c>
    </row>
    <row r="208" spans="1:4" ht="18" x14ac:dyDescent="0.25">
      <c r="A208" s="76" t="s">
        <v>212</v>
      </c>
      <c r="B208" s="179">
        <v>0</v>
      </c>
      <c r="C208" s="183">
        <v>0</v>
      </c>
      <c r="D208" s="184">
        <f t="shared" si="3"/>
        <v>0</v>
      </c>
    </row>
    <row r="209" spans="1:4" ht="18" x14ac:dyDescent="0.25">
      <c r="A209" s="76" t="s">
        <v>213</v>
      </c>
      <c r="B209" s="179">
        <v>0</v>
      </c>
      <c r="C209" s="183">
        <v>0</v>
      </c>
      <c r="D209" s="184">
        <f t="shared" si="3"/>
        <v>0</v>
      </c>
    </row>
    <row r="210" spans="1:4" ht="18" x14ac:dyDescent="0.25">
      <c r="A210" s="76" t="s">
        <v>214</v>
      </c>
      <c r="B210" s="179">
        <v>1</v>
      </c>
      <c r="C210" s="183">
        <v>0</v>
      </c>
      <c r="D210" s="184">
        <f t="shared" si="3"/>
        <v>1</v>
      </c>
    </row>
    <row r="211" spans="1:4" ht="18" x14ac:dyDescent="0.25">
      <c r="A211" s="76" t="s">
        <v>215</v>
      </c>
      <c r="B211" s="179">
        <v>0</v>
      </c>
      <c r="C211" s="183">
        <v>0</v>
      </c>
      <c r="D211" s="184">
        <f t="shared" si="3"/>
        <v>0</v>
      </c>
    </row>
    <row r="212" spans="1:4" ht="18" x14ac:dyDescent="0.25">
      <c r="A212" s="76" t="s">
        <v>216</v>
      </c>
      <c r="B212" s="179">
        <v>0</v>
      </c>
      <c r="C212" s="183">
        <v>0</v>
      </c>
      <c r="D212" s="184">
        <f t="shared" si="3"/>
        <v>0</v>
      </c>
    </row>
    <row r="213" spans="1:4" ht="18" x14ac:dyDescent="0.25">
      <c r="A213" s="76" t="s">
        <v>217</v>
      </c>
      <c r="B213" s="179">
        <v>0</v>
      </c>
      <c r="C213" s="183">
        <v>0</v>
      </c>
      <c r="D213" s="184">
        <f t="shared" si="3"/>
        <v>0</v>
      </c>
    </row>
    <row r="214" spans="1:4" ht="18" x14ac:dyDescent="0.25">
      <c r="A214" s="76" t="s">
        <v>218</v>
      </c>
      <c r="B214" s="179">
        <v>0</v>
      </c>
      <c r="C214" s="183">
        <v>1</v>
      </c>
      <c r="D214" s="184">
        <f t="shared" si="3"/>
        <v>1</v>
      </c>
    </row>
    <row r="215" spans="1:4" ht="18" x14ac:dyDescent="0.25">
      <c r="A215" s="76" t="s">
        <v>219</v>
      </c>
      <c r="B215" s="179">
        <v>1</v>
      </c>
      <c r="C215" s="183">
        <v>0</v>
      </c>
      <c r="D215" s="184">
        <f t="shared" si="3"/>
        <v>1</v>
      </c>
    </row>
    <row r="216" spans="1:4" ht="18" x14ac:dyDescent="0.25">
      <c r="A216" s="76" t="s">
        <v>220</v>
      </c>
      <c r="B216" s="179">
        <v>0</v>
      </c>
      <c r="C216" s="183">
        <v>0</v>
      </c>
      <c r="D216" s="184">
        <f t="shared" si="3"/>
        <v>0</v>
      </c>
    </row>
    <row r="217" spans="1:4" ht="18" x14ac:dyDescent="0.25">
      <c r="A217" s="76" t="s">
        <v>221</v>
      </c>
      <c r="B217" s="179">
        <v>0</v>
      </c>
      <c r="C217" s="183">
        <v>1</v>
      </c>
      <c r="D217" s="184">
        <f t="shared" si="3"/>
        <v>1</v>
      </c>
    </row>
    <row r="218" spans="1:4" ht="18" x14ac:dyDescent="0.25">
      <c r="A218" s="76" t="s">
        <v>222</v>
      </c>
      <c r="B218" s="179">
        <v>0</v>
      </c>
      <c r="C218" s="183">
        <v>0</v>
      </c>
      <c r="D218" s="184">
        <f t="shared" si="3"/>
        <v>0</v>
      </c>
    </row>
    <row r="219" spans="1:4" ht="18" x14ac:dyDescent="0.25">
      <c r="A219" s="76" t="s">
        <v>223</v>
      </c>
      <c r="B219" s="179">
        <v>0</v>
      </c>
      <c r="C219" s="183">
        <v>1</v>
      </c>
      <c r="D219" s="184">
        <f t="shared" si="3"/>
        <v>1</v>
      </c>
    </row>
    <row r="220" spans="1:4" ht="18" x14ac:dyDescent="0.25">
      <c r="A220" s="76" t="s">
        <v>224</v>
      </c>
      <c r="B220" s="179">
        <v>0</v>
      </c>
      <c r="C220" s="183">
        <v>1</v>
      </c>
      <c r="D220" s="184">
        <f t="shared" si="3"/>
        <v>1</v>
      </c>
    </row>
    <row r="221" spans="1:4" ht="18" x14ac:dyDescent="0.25">
      <c r="A221" s="76" t="s">
        <v>225</v>
      </c>
      <c r="B221" s="179">
        <v>1</v>
      </c>
      <c r="C221" s="183">
        <v>0</v>
      </c>
      <c r="D221" s="184">
        <f t="shared" si="3"/>
        <v>1</v>
      </c>
    </row>
    <row r="222" spans="1:4" ht="18" x14ac:dyDescent="0.25">
      <c r="A222" s="76" t="s">
        <v>226</v>
      </c>
      <c r="B222" s="179">
        <v>0</v>
      </c>
      <c r="C222" s="183">
        <v>0</v>
      </c>
      <c r="D222" s="184">
        <f t="shared" si="3"/>
        <v>0</v>
      </c>
    </row>
    <row r="223" spans="1:4" ht="18" x14ac:dyDescent="0.25">
      <c r="A223" s="76" t="s">
        <v>227</v>
      </c>
      <c r="B223" s="179">
        <v>0</v>
      </c>
      <c r="C223" s="183">
        <v>0</v>
      </c>
      <c r="D223" s="184">
        <f t="shared" si="3"/>
        <v>0</v>
      </c>
    </row>
    <row r="224" spans="1:4" ht="18" x14ac:dyDescent="0.25">
      <c r="A224" s="76" t="s">
        <v>228</v>
      </c>
      <c r="B224" s="179">
        <v>0</v>
      </c>
      <c r="C224" s="183">
        <v>1</v>
      </c>
      <c r="D224" s="184">
        <f t="shared" ref="D224:D287" si="4">SUM(B224:C224)</f>
        <v>1</v>
      </c>
    </row>
    <row r="225" spans="1:4" ht="18" x14ac:dyDescent="0.25">
      <c r="A225" s="76" t="s">
        <v>229</v>
      </c>
      <c r="B225" s="179">
        <v>0</v>
      </c>
      <c r="C225" s="183">
        <v>1</v>
      </c>
      <c r="D225" s="184">
        <f t="shared" si="4"/>
        <v>1</v>
      </c>
    </row>
    <row r="226" spans="1:4" ht="18" x14ac:dyDescent="0.25">
      <c r="A226" s="76" t="s">
        <v>230</v>
      </c>
      <c r="B226" s="179">
        <v>0</v>
      </c>
      <c r="C226" s="183">
        <v>1</v>
      </c>
      <c r="D226" s="184">
        <f t="shared" si="4"/>
        <v>1</v>
      </c>
    </row>
    <row r="227" spans="1:4" ht="18" x14ac:dyDescent="0.25">
      <c r="A227" s="76" t="s">
        <v>231</v>
      </c>
      <c r="B227" s="179">
        <v>0</v>
      </c>
      <c r="C227" s="183">
        <v>0</v>
      </c>
      <c r="D227" s="184">
        <f t="shared" si="4"/>
        <v>0</v>
      </c>
    </row>
    <row r="228" spans="1:4" ht="18" x14ac:dyDescent="0.25">
      <c r="A228" s="76" t="s">
        <v>232</v>
      </c>
      <c r="B228" s="179">
        <v>0</v>
      </c>
      <c r="C228" s="183">
        <v>1</v>
      </c>
      <c r="D228" s="184">
        <f t="shared" si="4"/>
        <v>1</v>
      </c>
    </row>
    <row r="229" spans="1:4" ht="18" x14ac:dyDescent="0.25">
      <c r="A229" s="76" t="s">
        <v>233</v>
      </c>
      <c r="B229" s="179">
        <v>0</v>
      </c>
      <c r="C229" s="183">
        <v>1</v>
      </c>
      <c r="D229" s="184">
        <f t="shared" si="4"/>
        <v>1</v>
      </c>
    </row>
    <row r="230" spans="1:4" ht="18" x14ac:dyDescent="0.25">
      <c r="A230" s="76" t="s">
        <v>234</v>
      </c>
      <c r="B230" s="179">
        <v>1</v>
      </c>
      <c r="C230" s="183">
        <v>0</v>
      </c>
      <c r="D230" s="184">
        <f t="shared" si="4"/>
        <v>1</v>
      </c>
    </row>
    <row r="231" spans="1:4" ht="18" x14ac:dyDescent="0.25">
      <c r="A231" s="76" t="s">
        <v>235</v>
      </c>
      <c r="B231" s="179">
        <v>0</v>
      </c>
      <c r="C231" s="183">
        <v>1</v>
      </c>
      <c r="D231" s="184">
        <f t="shared" si="4"/>
        <v>1</v>
      </c>
    </row>
    <row r="232" spans="1:4" ht="18" x14ac:dyDescent="0.25">
      <c r="A232" s="76" t="s">
        <v>236</v>
      </c>
      <c r="B232" s="179">
        <v>0</v>
      </c>
      <c r="C232" s="183">
        <v>0</v>
      </c>
      <c r="D232" s="184">
        <f t="shared" si="4"/>
        <v>0</v>
      </c>
    </row>
    <row r="233" spans="1:4" ht="18" x14ac:dyDescent="0.25">
      <c r="A233" s="76" t="s">
        <v>237</v>
      </c>
      <c r="B233" s="179">
        <v>1</v>
      </c>
      <c r="C233" s="183">
        <v>0</v>
      </c>
      <c r="D233" s="184">
        <f t="shared" si="4"/>
        <v>1</v>
      </c>
    </row>
    <row r="234" spans="1:4" ht="18" x14ac:dyDescent="0.25">
      <c r="A234" s="76" t="s">
        <v>238</v>
      </c>
      <c r="B234" s="179">
        <v>1</v>
      </c>
      <c r="C234" s="183">
        <v>0</v>
      </c>
      <c r="D234" s="184">
        <f t="shared" si="4"/>
        <v>1</v>
      </c>
    </row>
    <row r="235" spans="1:4" ht="18" x14ac:dyDescent="0.25">
      <c r="A235" s="76" t="s">
        <v>239</v>
      </c>
      <c r="B235" s="179">
        <v>0</v>
      </c>
      <c r="C235" s="183">
        <v>1</v>
      </c>
      <c r="D235" s="184">
        <f t="shared" si="4"/>
        <v>1</v>
      </c>
    </row>
    <row r="236" spans="1:4" ht="18" x14ac:dyDescent="0.25">
      <c r="A236" s="76" t="s">
        <v>240</v>
      </c>
      <c r="B236" s="179">
        <v>0</v>
      </c>
      <c r="C236" s="183">
        <v>0</v>
      </c>
      <c r="D236" s="184">
        <f t="shared" si="4"/>
        <v>0</v>
      </c>
    </row>
    <row r="237" spans="1:4" ht="18" x14ac:dyDescent="0.25">
      <c r="A237" s="76" t="s">
        <v>241</v>
      </c>
      <c r="B237" s="179">
        <v>0</v>
      </c>
      <c r="C237" s="183">
        <v>0</v>
      </c>
      <c r="D237" s="184">
        <f t="shared" si="4"/>
        <v>0</v>
      </c>
    </row>
    <row r="238" spans="1:4" ht="18" x14ac:dyDescent="0.25">
      <c r="A238" s="76" t="s">
        <v>242</v>
      </c>
      <c r="B238" s="179">
        <v>0</v>
      </c>
      <c r="C238" s="183">
        <v>1</v>
      </c>
      <c r="D238" s="184">
        <f t="shared" si="4"/>
        <v>1</v>
      </c>
    </row>
    <row r="239" spans="1:4" ht="18" x14ac:dyDescent="0.25">
      <c r="A239" s="76" t="s">
        <v>243</v>
      </c>
      <c r="B239" s="179">
        <v>1</v>
      </c>
      <c r="C239" s="183">
        <v>0</v>
      </c>
      <c r="D239" s="184">
        <f t="shared" si="4"/>
        <v>1</v>
      </c>
    </row>
    <row r="240" spans="1:4" ht="18" x14ac:dyDescent="0.25">
      <c r="A240" s="76" t="s">
        <v>244</v>
      </c>
      <c r="B240" s="179">
        <v>0</v>
      </c>
      <c r="C240" s="183">
        <v>1</v>
      </c>
      <c r="D240" s="184">
        <f t="shared" si="4"/>
        <v>1</v>
      </c>
    </row>
    <row r="241" spans="1:4" ht="18" x14ac:dyDescent="0.25">
      <c r="A241" s="76" t="s">
        <v>245</v>
      </c>
      <c r="B241" s="179">
        <v>0</v>
      </c>
      <c r="C241" s="183">
        <v>1</v>
      </c>
      <c r="D241" s="184">
        <f t="shared" si="4"/>
        <v>1</v>
      </c>
    </row>
    <row r="242" spans="1:4" ht="18" x14ac:dyDescent="0.25">
      <c r="A242" s="76" t="s">
        <v>246</v>
      </c>
      <c r="B242" s="179">
        <v>0</v>
      </c>
      <c r="C242" s="183">
        <v>0</v>
      </c>
      <c r="D242" s="184">
        <f t="shared" si="4"/>
        <v>0</v>
      </c>
    </row>
    <row r="243" spans="1:4" ht="18" x14ac:dyDescent="0.25">
      <c r="A243" s="76" t="s">
        <v>247</v>
      </c>
      <c r="B243" s="179">
        <v>0</v>
      </c>
      <c r="C243" s="183">
        <v>1</v>
      </c>
      <c r="D243" s="184">
        <f t="shared" si="4"/>
        <v>1</v>
      </c>
    </row>
    <row r="244" spans="1:4" ht="18" x14ac:dyDescent="0.25">
      <c r="A244" s="76" t="s">
        <v>248</v>
      </c>
      <c r="B244" s="179">
        <v>0</v>
      </c>
      <c r="C244" s="183">
        <v>1</v>
      </c>
      <c r="D244" s="184">
        <f t="shared" si="4"/>
        <v>1</v>
      </c>
    </row>
    <row r="245" spans="1:4" ht="18" x14ac:dyDescent="0.25">
      <c r="A245" s="76" t="s">
        <v>249</v>
      </c>
      <c r="B245" s="179">
        <v>0</v>
      </c>
      <c r="C245" s="183">
        <v>1</v>
      </c>
      <c r="D245" s="184">
        <f t="shared" si="4"/>
        <v>1</v>
      </c>
    </row>
    <row r="246" spans="1:4" ht="18" x14ac:dyDescent="0.25">
      <c r="A246" s="76" t="s">
        <v>251</v>
      </c>
      <c r="B246" s="179">
        <v>0</v>
      </c>
      <c r="C246" s="183">
        <v>1</v>
      </c>
      <c r="D246" s="184">
        <f t="shared" si="4"/>
        <v>1</v>
      </c>
    </row>
    <row r="247" spans="1:4" ht="18" x14ac:dyDescent="0.25">
      <c r="A247" s="76" t="s">
        <v>250</v>
      </c>
      <c r="B247" s="179">
        <v>0</v>
      </c>
      <c r="C247" s="183">
        <v>0</v>
      </c>
      <c r="D247" s="184">
        <f t="shared" si="4"/>
        <v>0</v>
      </c>
    </row>
    <row r="248" spans="1:4" ht="18" x14ac:dyDescent="0.25">
      <c r="A248" s="76" t="s">
        <v>252</v>
      </c>
      <c r="B248" s="179">
        <v>1</v>
      </c>
      <c r="C248" s="183">
        <v>0</v>
      </c>
      <c r="D248" s="184">
        <f t="shared" si="4"/>
        <v>1</v>
      </c>
    </row>
    <row r="249" spans="1:4" ht="18" x14ac:dyDescent="0.25">
      <c r="A249" s="76" t="s">
        <v>253</v>
      </c>
      <c r="B249" s="179">
        <v>0</v>
      </c>
      <c r="C249" s="183">
        <v>0</v>
      </c>
      <c r="D249" s="184">
        <f t="shared" si="4"/>
        <v>0</v>
      </c>
    </row>
    <row r="250" spans="1:4" ht="18" x14ac:dyDescent="0.25">
      <c r="A250" s="76" t="s">
        <v>254</v>
      </c>
      <c r="B250" s="179">
        <v>0</v>
      </c>
      <c r="C250" s="183">
        <v>0</v>
      </c>
      <c r="D250" s="184">
        <f t="shared" si="4"/>
        <v>0</v>
      </c>
    </row>
    <row r="251" spans="1:4" ht="18" x14ac:dyDescent="0.25">
      <c r="A251" s="76" t="s">
        <v>255</v>
      </c>
      <c r="B251" s="179">
        <v>0</v>
      </c>
      <c r="C251" s="183">
        <v>1</v>
      </c>
      <c r="D251" s="184">
        <f t="shared" si="4"/>
        <v>1</v>
      </c>
    </row>
    <row r="252" spans="1:4" ht="18" x14ac:dyDescent="0.25">
      <c r="A252" s="76" t="s">
        <v>256</v>
      </c>
      <c r="B252" s="179">
        <v>0</v>
      </c>
      <c r="C252" s="183">
        <v>1</v>
      </c>
      <c r="D252" s="184">
        <f t="shared" si="4"/>
        <v>1</v>
      </c>
    </row>
    <row r="253" spans="1:4" ht="18" x14ac:dyDescent="0.25">
      <c r="A253" s="76" t="s">
        <v>257</v>
      </c>
      <c r="B253" s="179">
        <v>0</v>
      </c>
      <c r="C253" s="183">
        <v>0</v>
      </c>
      <c r="D253" s="184">
        <f t="shared" si="4"/>
        <v>0</v>
      </c>
    </row>
    <row r="254" spans="1:4" ht="18" x14ac:dyDescent="0.25">
      <c r="A254" s="76" t="s">
        <v>258</v>
      </c>
      <c r="B254" s="179">
        <v>0</v>
      </c>
      <c r="C254" s="183">
        <v>1</v>
      </c>
      <c r="D254" s="184">
        <f t="shared" si="4"/>
        <v>1</v>
      </c>
    </row>
    <row r="255" spans="1:4" ht="18" x14ac:dyDescent="0.25">
      <c r="A255" s="76" t="s">
        <v>259</v>
      </c>
      <c r="B255" s="179">
        <v>0</v>
      </c>
      <c r="C255" s="183">
        <v>1</v>
      </c>
      <c r="D255" s="184">
        <f t="shared" si="4"/>
        <v>1</v>
      </c>
    </row>
    <row r="256" spans="1:4" ht="18" x14ac:dyDescent="0.25">
      <c r="A256" s="76" t="s">
        <v>260</v>
      </c>
      <c r="B256" s="179">
        <v>0</v>
      </c>
      <c r="C256" s="183">
        <v>1</v>
      </c>
      <c r="D256" s="184">
        <f t="shared" si="4"/>
        <v>1</v>
      </c>
    </row>
    <row r="257" spans="1:4" ht="18" x14ac:dyDescent="0.25">
      <c r="A257" s="76" t="s">
        <v>261</v>
      </c>
      <c r="B257" s="179">
        <v>0</v>
      </c>
      <c r="C257" s="183">
        <v>0</v>
      </c>
      <c r="D257" s="184">
        <f t="shared" si="4"/>
        <v>0</v>
      </c>
    </row>
    <row r="258" spans="1:4" ht="18" x14ac:dyDescent="0.25">
      <c r="A258" s="76" t="s">
        <v>262</v>
      </c>
      <c r="B258" s="179">
        <v>0</v>
      </c>
      <c r="C258" s="183">
        <v>0</v>
      </c>
      <c r="D258" s="184">
        <f t="shared" si="4"/>
        <v>0</v>
      </c>
    </row>
    <row r="259" spans="1:4" ht="18" x14ac:dyDescent="0.25">
      <c r="A259" s="76" t="s">
        <v>263</v>
      </c>
      <c r="B259" s="179">
        <v>0</v>
      </c>
      <c r="C259" s="183">
        <v>1</v>
      </c>
      <c r="D259" s="184">
        <f t="shared" si="4"/>
        <v>1</v>
      </c>
    </row>
    <row r="260" spans="1:4" ht="18" x14ac:dyDescent="0.25">
      <c r="A260" s="76" t="s">
        <v>264</v>
      </c>
      <c r="B260" s="179">
        <v>0</v>
      </c>
      <c r="C260" s="183">
        <v>1</v>
      </c>
      <c r="D260" s="184">
        <f t="shared" si="4"/>
        <v>1</v>
      </c>
    </row>
    <row r="261" spans="1:4" ht="18" x14ac:dyDescent="0.25">
      <c r="A261" s="76" t="s">
        <v>265</v>
      </c>
      <c r="B261" s="179">
        <v>0</v>
      </c>
      <c r="C261" s="183">
        <v>1</v>
      </c>
      <c r="D261" s="184">
        <f t="shared" si="4"/>
        <v>1</v>
      </c>
    </row>
    <row r="262" spans="1:4" ht="18" x14ac:dyDescent="0.25">
      <c r="A262" s="76" t="s">
        <v>266</v>
      </c>
      <c r="B262" s="179">
        <v>0</v>
      </c>
      <c r="C262" s="183">
        <v>0</v>
      </c>
      <c r="D262" s="184">
        <f t="shared" si="4"/>
        <v>0</v>
      </c>
    </row>
    <row r="263" spans="1:4" ht="18" x14ac:dyDescent="0.25">
      <c r="A263" s="76" t="s">
        <v>267</v>
      </c>
      <c r="B263" s="179">
        <v>0</v>
      </c>
      <c r="C263" s="183">
        <v>1</v>
      </c>
      <c r="D263" s="184">
        <f t="shared" si="4"/>
        <v>1</v>
      </c>
    </row>
    <row r="264" spans="1:4" ht="18" x14ac:dyDescent="0.25">
      <c r="A264" s="76" t="s">
        <v>268</v>
      </c>
      <c r="B264" s="179">
        <v>0</v>
      </c>
      <c r="C264" s="183">
        <v>1</v>
      </c>
      <c r="D264" s="184">
        <f t="shared" si="4"/>
        <v>1</v>
      </c>
    </row>
    <row r="265" spans="1:4" ht="18" x14ac:dyDescent="0.25">
      <c r="A265" s="76" t="s">
        <v>269</v>
      </c>
      <c r="B265" s="179">
        <v>0</v>
      </c>
      <c r="C265" s="183">
        <v>0</v>
      </c>
      <c r="D265" s="184">
        <f t="shared" si="4"/>
        <v>0</v>
      </c>
    </row>
    <row r="266" spans="1:4" ht="18" x14ac:dyDescent="0.25">
      <c r="A266" s="76" t="s">
        <v>270</v>
      </c>
      <c r="B266" s="179">
        <v>0</v>
      </c>
      <c r="C266" s="183">
        <v>0</v>
      </c>
      <c r="D266" s="184">
        <f t="shared" si="4"/>
        <v>0</v>
      </c>
    </row>
    <row r="267" spans="1:4" ht="18" x14ac:dyDescent="0.25">
      <c r="A267" s="76" t="s">
        <v>271</v>
      </c>
      <c r="B267" s="179">
        <v>0</v>
      </c>
      <c r="C267" s="183">
        <v>1</v>
      </c>
      <c r="D267" s="184">
        <f t="shared" si="4"/>
        <v>1</v>
      </c>
    </row>
    <row r="268" spans="1:4" ht="18" x14ac:dyDescent="0.25">
      <c r="A268" s="76" t="s">
        <v>272</v>
      </c>
      <c r="B268" s="179">
        <v>0</v>
      </c>
      <c r="C268" s="183">
        <v>1</v>
      </c>
      <c r="D268" s="184">
        <f t="shared" si="4"/>
        <v>1</v>
      </c>
    </row>
    <row r="269" spans="1:4" ht="18" x14ac:dyDescent="0.25">
      <c r="A269" s="76" t="s">
        <v>273</v>
      </c>
      <c r="B269" s="179">
        <v>0</v>
      </c>
      <c r="C269" s="183">
        <v>1</v>
      </c>
      <c r="D269" s="184">
        <f t="shared" si="4"/>
        <v>1</v>
      </c>
    </row>
    <row r="270" spans="1:4" ht="18" x14ac:dyDescent="0.25">
      <c r="A270" s="76" t="s">
        <v>274</v>
      </c>
      <c r="B270" s="179">
        <v>0</v>
      </c>
      <c r="C270" s="183">
        <v>0</v>
      </c>
      <c r="D270" s="184">
        <f t="shared" si="4"/>
        <v>0</v>
      </c>
    </row>
    <row r="271" spans="1:4" ht="18" x14ac:dyDescent="0.25">
      <c r="A271" s="76" t="s">
        <v>275</v>
      </c>
      <c r="B271" s="179">
        <v>0</v>
      </c>
      <c r="C271" s="183">
        <v>1</v>
      </c>
      <c r="D271" s="184">
        <f t="shared" si="4"/>
        <v>1</v>
      </c>
    </row>
    <row r="272" spans="1:4" ht="18" x14ac:dyDescent="0.25">
      <c r="A272" s="76" t="s">
        <v>276</v>
      </c>
      <c r="B272" s="179">
        <v>0</v>
      </c>
      <c r="C272" s="183">
        <v>0</v>
      </c>
      <c r="D272" s="184">
        <f t="shared" si="4"/>
        <v>0</v>
      </c>
    </row>
    <row r="273" spans="1:4" ht="18" x14ac:dyDescent="0.25">
      <c r="A273" s="76" t="s">
        <v>277</v>
      </c>
      <c r="B273" s="179">
        <v>1</v>
      </c>
      <c r="C273" s="183">
        <v>0</v>
      </c>
      <c r="D273" s="184">
        <f t="shared" si="4"/>
        <v>1</v>
      </c>
    </row>
    <row r="274" spans="1:4" ht="18" x14ac:dyDescent="0.25">
      <c r="A274" s="76" t="s">
        <v>278</v>
      </c>
      <c r="B274" s="179">
        <v>0</v>
      </c>
      <c r="C274" s="183">
        <v>0</v>
      </c>
      <c r="D274" s="184">
        <f t="shared" si="4"/>
        <v>0</v>
      </c>
    </row>
    <row r="275" spans="1:4" ht="18" x14ac:dyDescent="0.25">
      <c r="A275" s="76" t="s">
        <v>279</v>
      </c>
      <c r="B275" s="179">
        <v>0</v>
      </c>
      <c r="C275" s="183">
        <v>1</v>
      </c>
      <c r="D275" s="184">
        <f t="shared" si="4"/>
        <v>1</v>
      </c>
    </row>
    <row r="276" spans="1:4" ht="18" x14ac:dyDescent="0.25">
      <c r="A276" s="76" t="s">
        <v>280</v>
      </c>
      <c r="B276" s="179">
        <v>0</v>
      </c>
      <c r="C276" s="183">
        <v>1</v>
      </c>
      <c r="D276" s="184">
        <f t="shared" si="4"/>
        <v>1</v>
      </c>
    </row>
    <row r="277" spans="1:4" ht="18" x14ac:dyDescent="0.25">
      <c r="A277" s="76" t="s">
        <v>281</v>
      </c>
      <c r="B277" s="179">
        <v>0</v>
      </c>
      <c r="C277" s="183">
        <v>1</v>
      </c>
      <c r="D277" s="184">
        <f t="shared" si="4"/>
        <v>1</v>
      </c>
    </row>
    <row r="278" spans="1:4" ht="18" x14ac:dyDescent="0.25">
      <c r="A278" s="76" t="s">
        <v>282</v>
      </c>
      <c r="B278" s="179">
        <v>0</v>
      </c>
      <c r="C278" s="183">
        <v>0</v>
      </c>
      <c r="D278" s="184">
        <f t="shared" si="4"/>
        <v>0</v>
      </c>
    </row>
    <row r="279" spans="1:4" ht="18" x14ac:dyDescent="0.25">
      <c r="A279" s="76" t="s">
        <v>283</v>
      </c>
      <c r="B279" s="179">
        <v>0</v>
      </c>
      <c r="C279" s="183">
        <v>0</v>
      </c>
      <c r="D279" s="184">
        <f t="shared" si="4"/>
        <v>0</v>
      </c>
    </row>
    <row r="280" spans="1:4" ht="18" x14ac:dyDescent="0.25">
      <c r="A280" s="76" t="s">
        <v>284</v>
      </c>
      <c r="B280" s="179">
        <v>1</v>
      </c>
      <c r="C280" s="183">
        <v>0</v>
      </c>
      <c r="D280" s="184">
        <f t="shared" si="4"/>
        <v>1</v>
      </c>
    </row>
    <row r="281" spans="1:4" ht="18" x14ac:dyDescent="0.25">
      <c r="A281" s="76" t="s">
        <v>285</v>
      </c>
      <c r="B281" s="179">
        <v>0</v>
      </c>
      <c r="C281" s="183">
        <v>1</v>
      </c>
      <c r="D281" s="184">
        <f t="shared" si="4"/>
        <v>1</v>
      </c>
    </row>
    <row r="282" spans="1:4" ht="18" x14ac:dyDescent="0.25">
      <c r="A282" s="76" t="s">
        <v>286</v>
      </c>
      <c r="B282" s="179">
        <v>0</v>
      </c>
      <c r="C282" s="183">
        <v>1</v>
      </c>
      <c r="D282" s="184">
        <f t="shared" si="4"/>
        <v>1</v>
      </c>
    </row>
    <row r="283" spans="1:4" ht="18" x14ac:dyDescent="0.25">
      <c r="A283" s="76" t="s">
        <v>287</v>
      </c>
      <c r="B283" s="179">
        <v>0</v>
      </c>
      <c r="C283" s="183">
        <v>1</v>
      </c>
      <c r="D283" s="184">
        <f t="shared" si="4"/>
        <v>1</v>
      </c>
    </row>
    <row r="284" spans="1:4" ht="18" x14ac:dyDescent="0.25">
      <c r="A284" s="76" t="s">
        <v>288</v>
      </c>
      <c r="B284" s="179">
        <v>0</v>
      </c>
      <c r="C284" s="183">
        <v>0</v>
      </c>
      <c r="D284" s="184">
        <f t="shared" si="4"/>
        <v>0</v>
      </c>
    </row>
    <row r="285" spans="1:4" ht="18" x14ac:dyDescent="0.25">
      <c r="A285" s="76" t="s">
        <v>289</v>
      </c>
      <c r="B285" s="179">
        <v>1</v>
      </c>
      <c r="C285" s="183">
        <v>0</v>
      </c>
      <c r="D285" s="184">
        <f t="shared" si="4"/>
        <v>1</v>
      </c>
    </row>
    <row r="286" spans="1:4" ht="18" x14ac:dyDescent="0.25">
      <c r="A286" s="76" t="s">
        <v>290</v>
      </c>
      <c r="B286" s="179">
        <v>0</v>
      </c>
      <c r="C286" s="183">
        <v>1</v>
      </c>
      <c r="D286" s="184">
        <f t="shared" si="4"/>
        <v>1</v>
      </c>
    </row>
    <row r="287" spans="1:4" ht="18" x14ac:dyDescent="0.25">
      <c r="A287" s="76" t="s">
        <v>291</v>
      </c>
      <c r="B287" s="179">
        <v>0</v>
      </c>
      <c r="C287" s="183">
        <v>1</v>
      </c>
      <c r="D287" s="184">
        <f t="shared" si="4"/>
        <v>1</v>
      </c>
    </row>
    <row r="288" spans="1:4" ht="18" x14ac:dyDescent="0.25">
      <c r="A288" s="76" t="s">
        <v>292</v>
      </c>
      <c r="B288" s="179">
        <v>0</v>
      </c>
      <c r="C288" s="183">
        <v>0</v>
      </c>
      <c r="D288" s="184">
        <f t="shared" ref="D288:D351" si="5">SUM(B288:C288)</f>
        <v>0</v>
      </c>
    </row>
    <row r="289" spans="1:4" ht="18" x14ac:dyDescent="0.25">
      <c r="A289" s="76" t="s">
        <v>293</v>
      </c>
      <c r="B289" s="179">
        <v>0</v>
      </c>
      <c r="C289" s="183">
        <v>1</v>
      </c>
      <c r="D289" s="184">
        <f t="shared" si="5"/>
        <v>1</v>
      </c>
    </row>
    <row r="290" spans="1:4" ht="18" x14ac:dyDescent="0.25">
      <c r="A290" s="76" t="s">
        <v>294</v>
      </c>
      <c r="B290" s="179">
        <v>0</v>
      </c>
      <c r="C290" s="183">
        <v>1</v>
      </c>
      <c r="D290" s="184">
        <f t="shared" si="5"/>
        <v>1</v>
      </c>
    </row>
    <row r="291" spans="1:4" ht="18" x14ac:dyDescent="0.25">
      <c r="A291" s="76" t="s">
        <v>295</v>
      </c>
      <c r="B291" s="179">
        <v>0</v>
      </c>
      <c r="C291" s="183">
        <v>0</v>
      </c>
      <c r="D291" s="184">
        <f t="shared" si="5"/>
        <v>0</v>
      </c>
    </row>
    <row r="292" spans="1:4" ht="18" x14ac:dyDescent="0.25">
      <c r="A292" s="76" t="s">
        <v>296</v>
      </c>
      <c r="B292" s="179">
        <v>0</v>
      </c>
      <c r="C292" s="183">
        <v>0</v>
      </c>
      <c r="D292" s="184">
        <f t="shared" si="5"/>
        <v>0</v>
      </c>
    </row>
    <row r="293" spans="1:4" ht="18" x14ac:dyDescent="0.25">
      <c r="A293" s="76" t="s">
        <v>297</v>
      </c>
      <c r="B293" s="179">
        <v>0</v>
      </c>
      <c r="C293" s="183">
        <v>1</v>
      </c>
      <c r="D293" s="184">
        <f t="shared" si="5"/>
        <v>1</v>
      </c>
    </row>
    <row r="294" spans="1:4" ht="18" x14ac:dyDescent="0.25">
      <c r="A294" s="76" t="s">
        <v>298</v>
      </c>
      <c r="B294" s="179">
        <v>0</v>
      </c>
      <c r="C294" s="183">
        <v>1</v>
      </c>
      <c r="D294" s="184">
        <f t="shared" si="5"/>
        <v>1</v>
      </c>
    </row>
    <row r="295" spans="1:4" ht="18" x14ac:dyDescent="0.25">
      <c r="A295" s="76" t="s">
        <v>299</v>
      </c>
      <c r="B295" s="179">
        <v>0</v>
      </c>
      <c r="C295" s="183">
        <v>0</v>
      </c>
      <c r="D295" s="184">
        <f t="shared" si="5"/>
        <v>0</v>
      </c>
    </row>
    <row r="296" spans="1:4" ht="18" x14ac:dyDescent="0.25">
      <c r="A296" s="76" t="s">
        <v>300</v>
      </c>
      <c r="B296" s="179">
        <v>0</v>
      </c>
      <c r="C296" s="183">
        <v>0</v>
      </c>
      <c r="D296" s="184">
        <f t="shared" si="5"/>
        <v>0</v>
      </c>
    </row>
    <row r="297" spans="1:4" ht="18" x14ac:dyDescent="0.25">
      <c r="A297" s="76" t="s">
        <v>301</v>
      </c>
      <c r="B297" s="179">
        <v>0</v>
      </c>
      <c r="C297" s="183">
        <v>1</v>
      </c>
      <c r="D297" s="184">
        <f t="shared" si="5"/>
        <v>1</v>
      </c>
    </row>
    <row r="298" spans="1:4" ht="18" x14ac:dyDescent="0.25">
      <c r="A298" s="76" t="s">
        <v>302</v>
      </c>
      <c r="B298" s="179">
        <v>0</v>
      </c>
      <c r="C298" s="183">
        <v>1</v>
      </c>
      <c r="D298" s="184">
        <f t="shared" si="5"/>
        <v>1</v>
      </c>
    </row>
    <row r="299" spans="1:4" ht="18" x14ac:dyDescent="0.25">
      <c r="A299" s="76" t="s">
        <v>303</v>
      </c>
      <c r="B299" s="179">
        <v>0</v>
      </c>
      <c r="C299" s="182">
        <v>1</v>
      </c>
      <c r="D299" s="184">
        <f t="shared" si="5"/>
        <v>1</v>
      </c>
    </row>
    <row r="300" spans="1:4" ht="18" x14ac:dyDescent="0.25">
      <c r="A300" s="76" t="s">
        <v>304</v>
      </c>
      <c r="B300" s="179">
        <v>0</v>
      </c>
      <c r="C300" s="182">
        <v>1</v>
      </c>
      <c r="D300" s="184">
        <f t="shared" si="5"/>
        <v>1</v>
      </c>
    </row>
    <row r="301" spans="1:4" ht="18" x14ac:dyDescent="0.25">
      <c r="A301" s="76" t="s">
        <v>305</v>
      </c>
      <c r="B301" s="179">
        <v>0</v>
      </c>
      <c r="C301" s="182">
        <v>1</v>
      </c>
      <c r="D301" s="184">
        <f t="shared" si="5"/>
        <v>1</v>
      </c>
    </row>
    <row r="302" spans="1:4" ht="18" x14ac:dyDescent="0.25">
      <c r="A302" s="76" t="s">
        <v>306</v>
      </c>
      <c r="B302" s="179">
        <v>0</v>
      </c>
      <c r="C302" s="182">
        <v>0</v>
      </c>
      <c r="D302" s="184">
        <f t="shared" si="5"/>
        <v>0</v>
      </c>
    </row>
    <row r="303" spans="1:4" ht="18" x14ac:dyDescent="0.25">
      <c r="A303" s="76" t="s">
        <v>307</v>
      </c>
      <c r="B303" s="179">
        <v>0</v>
      </c>
      <c r="C303" s="182">
        <v>0</v>
      </c>
      <c r="D303" s="184">
        <f t="shared" si="5"/>
        <v>0</v>
      </c>
    </row>
    <row r="304" spans="1:4" ht="18" x14ac:dyDescent="0.25">
      <c r="A304" s="76" t="s">
        <v>308</v>
      </c>
      <c r="B304" s="179">
        <v>0</v>
      </c>
      <c r="C304" s="182">
        <v>0</v>
      </c>
      <c r="D304" s="184">
        <f t="shared" si="5"/>
        <v>0</v>
      </c>
    </row>
    <row r="305" spans="1:4" ht="18" x14ac:dyDescent="0.25">
      <c r="A305" s="76" t="s">
        <v>309</v>
      </c>
      <c r="B305" s="179">
        <v>0</v>
      </c>
      <c r="C305" s="182">
        <v>0</v>
      </c>
      <c r="D305" s="184">
        <f t="shared" si="5"/>
        <v>0</v>
      </c>
    </row>
    <row r="306" spans="1:4" ht="18" x14ac:dyDescent="0.25">
      <c r="A306" s="76" t="s">
        <v>310</v>
      </c>
      <c r="B306" s="179">
        <v>1</v>
      </c>
      <c r="C306" s="182">
        <v>0</v>
      </c>
      <c r="D306" s="184">
        <f t="shared" si="5"/>
        <v>1</v>
      </c>
    </row>
    <row r="307" spans="1:4" ht="18" x14ac:dyDescent="0.25">
      <c r="A307" s="76" t="s">
        <v>311</v>
      </c>
      <c r="B307" s="179">
        <v>0</v>
      </c>
      <c r="C307" s="182">
        <v>0</v>
      </c>
      <c r="D307" s="184">
        <f t="shared" si="5"/>
        <v>0</v>
      </c>
    </row>
    <row r="308" spans="1:4" ht="18" x14ac:dyDescent="0.25">
      <c r="A308" s="76" t="s">
        <v>312</v>
      </c>
      <c r="B308" s="179">
        <v>0</v>
      </c>
      <c r="C308" s="182">
        <v>1</v>
      </c>
      <c r="D308" s="184">
        <f t="shared" si="5"/>
        <v>1</v>
      </c>
    </row>
    <row r="309" spans="1:4" ht="18" x14ac:dyDescent="0.25">
      <c r="A309" s="76" t="s">
        <v>313</v>
      </c>
      <c r="B309" s="179">
        <v>0</v>
      </c>
      <c r="C309" s="182">
        <v>0</v>
      </c>
      <c r="D309" s="184">
        <f t="shared" si="5"/>
        <v>0</v>
      </c>
    </row>
    <row r="310" spans="1:4" ht="18" x14ac:dyDescent="0.25">
      <c r="A310" s="76" t="s">
        <v>314</v>
      </c>
      <c r="B310" s="179">
        <v>0</v>
      </c>
      <c r="C310" s="182">
        <v>0</v>
      </c>
      <c r="D310" s="184">
        <f t="shared" si="5"/>
        <v>0</v>
      </c>
    </row>
    <row r="311" spans="1:4" ht="18" x14ac:dyDescent="0.25">
      <c r="A311" s="76" t="s">
        <v>315</v>
      </c>
      <c r="B311" s="179">
        <v>0</v>
      </c>
      <c r="C311" s="182">
        <v>0</v>
      </c>
      <c r="D311" s="184">
        <f t="shared" si="5"/>
        <v>0</v>
      </c>
    </row>
    <row r="312" spans="1:4" ht="18" x14ac:dyDescent="0.25">
      <c r="A312" s="76" t="s">
        <v>316</v>
      </c>
      <c r="B312" s="179">
        <v>0</v>
      </c>
      <c r="C312" s="182">
        <v>0</v>
      </c>
      <c r="D312" s="184">
        <f t="shared" si="5"/>
        <v>0</v>
      </c>
    </row>
    <row r="313" spans="1:4" ht="18" x14ac:dyDescent="0.25">
      <c r="A313" s="76" t="s">
        <v>317</v>
      </c>
      <c r="B313" s="179">
        <v>0</v>
      </c>
      <c r="C313" s="182">
        <v>0</v>
      </c>
      <c r="D313" s="184">
        <f t="shared" si="5"/>
        <v>0</v>
      </c>
    </row>
    <row r="314" spans="1:4" ht="18" x14ac:dyDescent="0.25">
      <c r="A314" s="76" t="s">
        <v>318</v>
      </c>
      <c r="B314" s="179">
        <v>0</v>
      </c>
      <c r="C314" s="182">
        <v>0</v>
      </c>
      <c r="D314" s="184">
        <f t="shared" si="5"/>
        <v>0</v>
      </c>
    </row>
    <row r="315" spans="1:4" ht="18" x14ac:dyDescent="0.25">
      <c r="A315" s="76" t="s">
        <v>319</v>
      </c>
      <c r="B315" s="179">
        <v>0</v>
      </c>
      <c r="C315" s="182">
        <v>0</v>
      </c>
      <c r="D315" s="184">
        <f t="shared" si="5"/>
        <v>0</v>
      </c>
    </row>
    <row r="316" spans="1:4" ht="18" x14ac:dyDescent="0.25">
      <c r="A316" s="76" t="s">
        <v>320</v>
      </c>
      <c r="B316" s="179">
        <v>0</v>
      </c>
      <c r="C316" s="182">
        <v>1</v>
      </c>
      <c r="D316" s="184">
        <f t="shared" si="5"/>
        <v>1</v>
      </c>
    </row>
    <row r="317" spans="1:4" ht="18" x14ac:dyDescent="0.25">
      <c r="A317" s="76" t="s">
        <v>321</v>
      </c>
      <c r="B317" s="179">
        <v>0</v>
      </c>
      <c r="C317" s="182">
        <v>1</v>
      </c>
      <c r="D317" s="184">
        <f t="shared" si="5"/>
        <v>1</v>
      </c>
    </row>
    <row r="318" spans="1:4" ht="18" x14ac:dyDescent="0.25">
      <c r="A318" s="76" t="s">
        <v>322</v>
      </c>
      <c r="B318" s="179">
        <v>0</v>
      </c>
      <c r="C318" s="182">
        <v>1</v>
      </c>
      <c r="D318" s="184">
        <f t="shared" si="5"/>
        <v>1</v>
      </c>
    </row>
    <row r="319" spans="1:4" ht="18" x14ac:dyDescent="0.25">
      <c r="A319" s="76" t="s">
        <v>323</v>
      </c>
      <c r="B319" s="179">
        <v>0</v>
      </c>
      <c r="C319" s="182">
        <v>0</v>
      </c>
      <c r="D319" s="184">
        <f t="shared" si="5"/>
        <v>0</v>
      </c>
    </row>
    <row r="320" spans="1:4" ht="18" x14ac:dyDescent="0.25">
      <c r="A320" s="76" t="s">
        <v>324</v>
      </c>
      <c r="B320" s="179">
        <v>0</v>
      </c>
      <c r="C320" s="182">
        <v>0</v>
      </c>
      <c r="D320" s="184">
        <f t="shared" si="5"/>
        <v>0</v>
      </c>
    </row>
    <row r="321" spans="1:4" ht="18" x14ac:dyDescent="0.25">
      <c r="A321" s="76" t="s">
        <v>325</v>
      </c>
      <c r="B321" s="179">
        <v>0</v>
      </c>
      <c r="C321" s="182">
        <v>0</v>
      </c>
      <c r="D321" s="184">
        <f t="shared" si="5"/>
        <v>0</v>
      </c>
    </row>
    <row r="322" spans="1:4" ht="18" x14ac:dyDescent="0.25">
      <c r="A322" s="76" t="s">
        <v>326</v>
      </c>
      <c r="B322" s="179">
        <v>0</v>
      </c>
      <c r="C322" s="182">
        <v>1</v>
      </c>
      <c r="D322" s="184">
        <f t="shared" si="5"/>
        <v>1</v>
      </c>
    </row>
    <row r="323" spans="1:4" ht="18" x14ac:dyDescent="0.25">
      <c r="A323" s="76" t="s">
        <v>327</v>
      </c>
      <c r="B323" s="179">
        <v>0</v>
      </c>
      <c r="C323" s="182">
        <v>0</v>
      </c>
      <c r="D323" s="184">
        <f t="shared" si="5"/>
        <v>0</v>
      </c>
    </row>
    <row r="324" spans="1:4" ht="18" x14ac:dyDescent="0.25">
      <c r="A324" s="76" t="s">
        <v>328</v>
      </c>
      <c r="B324" s="179">
        <v>0</v>
      </c>
      <c r="C324" s="182">
        <v>1</v>
      </c>
      <c r="D324" s="184">
        <f t="shared" si="5"/>
        <v>1</v>
      </c>
    </row>
    <row r="325" spans="1:4" ht="18" x14ac:dyDescent="0.25">
      <c r="A325" s="76" t="s">
        <v>329</v>
      </c>
      <c r="B325" s="179">
        <v>0</v>
      </c>
      <c r="C325" s="182">
        <v>1</v>
      </c>
      <c r="D325" s="184">
        <f t="shared" si="5"/>
        <v>1</v>
      </c>
    </row>
    <row r="326" spans="1:4" ht="18" x14ac:dyDescent="0.25">
      <c r="A326" s="76" t="s">
        <v>330</v>
      </c>
      <c r="B326" s="179">
        <v>0</v>
      </c>
      <c r="C326" s="182">
        <v>0</v>
      </c>
      <c r="D326" s="184">
        <f t="shared" si="5"/>
        <v>0</v>
      </c>
    </row>
    <row r="327" spans="1:4" ht="18" x14ac:dyDescent="0.25">
      <c r="A327" s="76" t="s">
        <v>331</v>
      </c>
      <c r="B327" s="179">
        <v>0</v>
      </c>
      <c r="C327" s="182">
        <v>0</v>
      </c>
      <c r="D327" s="184">
        <f t="shared" si="5"/>
        <v>0</v>
      </c>
    </row>
    <row r="328" spans="1:4" ht="18" x14ac:dyDescent="0.25">
      <c r="A328" s="76" t="s">
        <v>332</v>
      </c>
      <c r="B328" s="179">
        <v>0</v>
      </c>
      <c r="C328" s="182">
        <v>1</v>
      </c>
      <c r="D328" s="184">
        <f t="shared" si="5"/>
        <v>1</v>
      </c>
    </row>
    <row r="329" spans="1:4" ht="18" x14ac:dyDescent="0.25">
      <c r="A329" s="76" t="s">
        <v>333</v>
      </c>
      <c r="B329" s="179">
        <v>0</v>
      </c>
      <c r="C329" s="182">
        <v>0</v>
      </c>
      <c r="D329" s="184">
        <f t="shared" si="5"/>
        <v>0</v>
      </c>
    </row>
    <row r="330" spans="1:4" ht="18" x14ac:dyDescent="0.25">
      <c r="A330" s="76" t="s">
        <v>334</v>
      </c>
      <c r="B330" s="179">
        <v>0</v>
      </c>
      <c r="C330" s="182">
        <v>0</v>
      </c>
      <c r="D330" s="184">
        <f t="shared" si="5"/>
        <v>0</v>
      </c>
    </row>
    <row r="331" spans="1:4" ht="18" x14ac:dyDescent="0.25">
      <c r="A331" s="76" t="s">
        <v>335</v>
      </c>
      <c r="B331" s="179">
        <v>0</v>
      </c>
      <c r="C331" s="182">
        <v>0</v>
      </c>
      <c r="D331" s="184">
        <f t="shared" si="5"/>
        <v>0</v>
      </c>
    </row>
    <row r="332" spans="1:4" ht="18" x14ac:dyDescent="0.25">
      <c r="A332" s="76" t="s">
        <v>336</v>
      </c>
      <c r="B332" s="179">
        <v>0</v>
      </c>
      <c r="C332" s="182">
        <v>1</v>
      </c>
      <c r="D332" s="184">
        <f t="shared" si="5"/>
        <v>1</v>
      </c>
    </row>
    <row r="333" spans="1:4" ht="18" x14ac:dyDescent="0.25">
      <c r="A333" s="76" t="s">
        <v>337</v>
      </c>
      <c r="B333" s="179">
        <v>0</v>
      </c>
      <c r="C333" s="182">
        <v>1</v>
      </c>
      <c r="D333" s="184">
        <f t="shared" si="5"/>
        <v>1</v>
      </c>
    </row>
    <row r="334" spans="1:4" ht="18" x14ac:dyDescent="0.25">
      <c r="A334" s="76" t="s">
        <v>338</v>
      </c>
      <c r="B334" s="179">
        <v>0</v>
      </c>
      <c r="C334" s="182">
        <v>0</v>
      </c>
      <c r="D334" s="184">
        <f t="shared" si="5"/>
        <v>0</v>
      </c>
    </row>
    <row r="335" spans="1:4" ht="18" x14ac:dyDescent="0.25">
      <c r="A335" s="76" t="s">
        <v>340</v>
      </c>
      <c r="B335" s="179">
        <v>0</v>
      </c>
      <c r="C335" s="182">
        <v>0</v>
      </c>
      <c r="D335" s="184">
        <f t="shared" si="5"/>
        <v>0</v>
      </c>
    </row>
    <row r="336" spans="1:4" ht="18" x14ac:dyDescent="0.25">
      <c r="A336" s="76" t="s">
        <v>339</v>
      </c>
      <c r="B336" s="179">
        <v>0</v>
      </c>
      <c r="C336" s="182">
        <v>0</v>
      </c>
      <c r="D336" s="184">
        <f t="shared" si="5"/>
        <v>0</v>
      </c>
    </row>
    <row r="337" spans="1:4" ht="18" x14ac:dyDescent="0.25">
      <c r="A337" s="76" t="s">
        <v>341</v>
      </c>
      <c r="B337" s="179">
        <v>0</v>
      </c>
      <c r="C337" s="182">
        <v>1</v>
      </c>
      <c r="D337" s="184">
        <f t="shared" si="5"/>
        <v>1</v>
      </c>
    </row>
    <row r="338" spans="1:4" ht="18" x14ac:dyDescent="0.25">
      <c r="A338" s="76" t="s">
        <v>342</v>
      </c>
      <c r="B338" s="179">
        <v>0</v>
      </c>
      <c r="C338" s="182">
        <v>0</v>
      </c>
      <c r="D338" s="184">
        <f t="shared" si="5"/>
        <v>0</v>
      </c>
    </row>
    <row r="339" spans="1:4" ht="18" x14ac:dyDescent="0.25">
      <c r="A339" s="76" t="s">
        <v>343</v>
      </c>
      <c r="B339" s="179">
        <v>0</v>
      </c>
      <c r="C339" s="182">
        <v>0</v>
      </c>
      <c r="D339" s="184">
        <f t="shared" si="5"/>
        <v>0</v>
      </c>
    </row>
    <row r="340" spans="1:4" ht="18" x14ac:dyDescent="0.25">
      <c r="A340" s="76" t="s">
        <v>344</v>
      </c>
      <c r="B340" s="179">
        <v>0</v>
      </c>
      <c r="C340" s="182">
        <v>1</v>
      </c>
      <c r="D340" s="184">
        <f t="shared" si="5"/>
        <v>1</v>
      </c>
    </row>
    <row r="341" spans="1:4" ht="18" x14ac:dyDescent="0.25">
      <c r="A341" s="76" t="s">
        <v>345</v>
      </c>
      <c r="B341" s="179">
        <v>0</v>
      </c>
      <c r="C341" s="182">
        <v>1</v>
      </c>
      <c r="D341" s="184">
        <f t="shared" si="5"/>
        <v>1</v>
      </c>
    </row>
    <row r="342" spans="1:4" ht="18" x14ac:dyDescent="0.25">
      <c r="A342" s="76" t="s">
        <v>346</v>
      </c>
      <c r="B342" s="179">
        <v>0</v>
      </c>
      <c r="C342" s="182">
        <v>1</v>
      </c>
      <c r="D342" s="184">
        <f t="shared" si="5"/>
        <v>1</v>
      </c>
    </row>
    <row r="343" spans="1:4" ht="18" x14ac:dyDescent="0.25">
      <c r="A343" s="76" t="s">
        <v>347</v>
      </c>
      <c r="B343" s="179">
        <v>0</v>
      </c>
      <c r="C343" s="182">
        <v>0</v>
      </c>
      <c r="D343" s="184">
        <f t="shared" si="5"/>
        <v>0</v>
      </c>
    </row>
    <row r="344" spans="1:4" ht="18" x14ac:dyDescent="0.25">
      <c r="A344" s="76" t="s">
        <v>348</v>
      </c>
      <c r="B344" s="179">
        <v>0</v>
      </c>
      <c r="C344" s="182">
        <v>0</v>
      </c>
      <c r="D344" s="184">
        <f t="shared" si="5"/>
        <v>0</v>
      </c>
    </row>
    <row r="345" spans="1:4" ht="18" x14ac:dyDescent="0.25">
      <c r="A345" s="76" t="s">
        <v>349</v>
      </c>
      <c r="B345" s="179">
        <v>0</v>
      </c>
      <c r="C345" s="182">
        <v>0</v>
      </c>
      <c r="D345" s="184">
        <f t="shared" si="5"/>
        <v>0</v>
      </c>
    </row>
    <row r="346" spans="1:4" ht="18" x14ac:dyDescent="0.25">
      <c r="A346" s="76" t="s">
        <v>350</v>
      </c>
      <c r="B346" s="179">
        <v>0</v>
      </c>
      <c r="C346" s="182">
        <v>0</v>
      </c>
      <c r="D346" s="184">
        <f t="shared" si="5"/>
        <v>0</v>
      </c>
    </row>
    <row r="347" spans="1:4" ht="18" x14ac:dyDescent="0.25">
      <c r="A347" s="76" t="s">
        <v>351</v>
      </c>
      <c r="B347" s="179">
        <v>0</v>
      </c>
      <c r="C347" s="182">
        <v>0</v>
      </c>
      <c r="D347" s="184">
        <f t="shared" si="5"/>
        <v>0</v>
      </c>
    </row>
    <row r="348" spans="1:4" ht="18" x14ac:dyDescent="0.25">
      <c r="A348" s="76" t="s">
        <v>352</v>
      </c>
      <c r="B348" s="179">
        <v>0</v>
      </c>
      <c r="C348" s="182">
        <v>1</v>
      </c>
      <c r="D348" s="184">
        <f t="shared" si="5"/>
        <v>1</v>
      </c>
    </row>
    <row r="349" spans="1:4" ht="18" x14ac:dyDescent="0.25">
      <c r="A349" s="76" t="s">
        <v>353</v>
      </c>
      <c r="B349" s="179">
        <v>0</v>
      </c>
      <c r="C349" s="182">
        <v>1</v>
      </c>
      <c r="D349" s="184">
        <f t="shared" si="5"/>
        <v>1</v>
      </c>
    </row>
    <row r="350" spans="1:4" ht="18" x14ac:dyDescent="0.25">
      <c r="A350" s="76" t="s">
        <v>354</v>
      </c>
      <c r="B350" s="179">
        <v>0</v>
      </c>
      <c r="C350" s="182">
        <v>1</v>
      </c>
      <c r="D350" s="184">
        <f t="shared" si="5"/>
        <v>1</v>
      </c>
    </row>
    <row r="351" spans="1:4" ht="18" x14ac:dyDescent="0.25">
      <c r="A351" s="76" t="s">
        <v>355</v>
      </c>
      <c r="B351" s="179">
        <v>0</v>
      </c>
      <c r="C351" s="182">
        <v>1</v>
      </c>
      <c r="D351" s="184">
        <f t="shared" si="5"/>
        <v>1</v>
      </c>
    </row>
    <row r="352" spans="1:4" ht="18" x14ac:dyDescent="0.25">
      <c r="A352" s="76" t="s">
        <v>356</v>
      </c>
      <c r="B352" s="179">
        <v>0</v>
      </c>
      <c r="C352" s="182">
        <v>1</v>
      </c>
      <c r="D352" s="184">
        <f t="shared" ref="D352:D400" si="6">SUM(B352:C352)</f>
        <v>1</v>
      </c>
    </row>
    <row r="353" spans="1:4" ht="18" x14ac:dyDescent="0.25">
      <c r="A353" s="76" t="s">
        <v>357</v>
      </c>
      <c r="B353" s="179">
        <v>0</v>
      </c>
      <c r="C353" s="182">
        <v>0</v>
      </c>
      <c r="D353" s="184">
        <f t="shared" si="6"/>
        <v>0</v>
      </c>
    </row>
    <row r="354" spans="1:4" ht="18" x14ac:dyDescent="0.25">
      <c r="A354" s="76" t="s">
        <v>358</v>
      </c>
      <c r="B354" s="179">
        <v>0</v>
      </c>
      <c r="C354" s="182">
        <v>0</v>
      </c>
      <c r="D354" s="184">
        <f t="shared" si="6"/>
        <v>0</v>
      </c>
    </row>
    <row r="355" spans="1:4" ht="18" x14ac:dyDescent="0.25">
      <c r="A355" s="76" t="s">
        <v>359</v>
      </c>
      <c r="B355" s="179">
        <v>1</v>
      </c>
      <c r="C355" s="182">
        <v>0</v>
      </c>
      <c r="D355" s="184">
        <f t="shared" si="6"/>
        <v>1</v>
      </c>
    </row>
    <row r="356" spans="1:4" ht="18" x14ac:dyDescent="0.25">
      <c r="A356" s="76" t="s">
        <v>360</v>
      </c>
      <c r="B356" s="179">
        <v>0</v>
      </c>
      <c r="C356" s="182">
        <v>1</v>
      </c>
      <c r="D356" s="184">
        <f t="shared" si="6"/>
        <v>1</v>
      </c>
    </row>
    <row r="357" spans="1:4" ht="18" x14ac:dyDescent="0.25">
      <c r="A357" s="76" t="s">
        <v>361</v>
      </c>
      <c r="B357" s="179">
        <v>0</v>
      </c>
      <c r="C357" s="182">
        <v>0</v>
      </c>
      <c r="D357" s="184">
        <f t="shared" si="6"/>
        <v>0</v>
      </c>
    </row>
    <row r="358" spans="1:4" ht="18" x14ac:dyDescent="0.25">
      <c r="A358" s="76" t="s">
        <v>362</v>
      </c>
      <c r="B358" s="179">
        <v>0</v>
      </c>
      <c r="C358" s="182">
        <v>1</v>
      </c>
      <c r="D358" s="184">
        <f t="shared" si="6"/>
        <v>1</v>
      </c>
    </row>
    <row r="359" spans="1:4" ht="18" x14ac:dyDescent="0.25">
      <c r="A359" s="76" t="s">
        <v>363</v>
      </c>
      <c r="B359" s="179">
        <v>1</v>
      </c>
      <c r="C359" s="182">
        <v>0</v>
      </c>
      <c r="D359" s="184">
        <f t="shared" si="6"/>
        <v>1</v>
      </c>
    </row>
    <row r="360" spans="1:4" ht="18" x14ac:dyDescent="0.25">
      <c r="A360" s="76" t="s">
        <v>364</v>
      </c>
      <c r="B360" s="179">
        <v>0</v>
      </c>
      <c r="C360" s="182">
        <v>0</v>
      </c>
      <c r="D360" s="184">
        <f t="shared" si="6"/>
        <v>0</v>
      </c>
    </row>
    <row r="361" spans="1:4" ht="18" x14ac:dyDescent="0.25">
      <c r="A361" s="76" t="s">
        <v>365</v>
      </c>
      <c r="B361" s="179">
        <v>0</v>
      </c>
      <c r="C361" s="182">
        <v>1</v>
      </c>
      <c r="D361" s="184">
        <f t="shared" si="6"/>
        <v>1</v>
      </c>
    </row>
    <row r="362" spans="1:4" ht="18" x14ac:dyDescent="0.25">
      <c r="A362" s="76" t="s">
        <v>366</v>
      </c>
      <c r="B362" s="179">
        <v>0</v>
      </c>
      <c r="C362" s="182">
        <v>0</v>
      </c>
      <c r="D362" s="184">
        <f t="shared" si="6"/>
        <v>0</v>
      </c>
    </row>
    <row r="363" spans="1:4" ht="18" x14ac:dyDescent="0.25">
      <c r="A363" s="76" t="s">
        <v>367</v>
      </c>
      <c r="B363" s="179">
        <v>0</v>
      </c>
      <c r="C363" s="182">
        <v>0</v>
      </c>
      <c r="D363" s="184">
        <f t="shared" si="6"/>
        <v>0</v>
      </c>
    </row>
    <row r="364" spans="1:4" ht="18" x14ac:dyDescent="0.25">
      <c r="A364" s="76" t="s">
        <v>368</v>
      </c>
      <c r="B364" s="179">
        <v>0</v>
      </c>
      <c r="C364" s="182">
        <v>0</v>
      </c>
      <c r="D364" s="184">
        <f t="shared" si="6"/>
        <v>0</v>
      </c>
    </row>
    <row r="365" spans="1:4" ht="18" x14ac:dyDescent="0.25">
      <c r="A365" s="76" t="s">
        <v>369</v>
      </c>
      <c r="B365" s="179">
        <v>0</v>
      </c>
      <c r="C365" s="182">
        <v>0</v>
      </c>
      <c r="D365" s="184">
        <f t="shared" si="6"/>
        <v>0</v>
      </c>
    </row>
    <row r="366" spans="1:4" ht="18" x14ac:dyDescent="0.25">
      <c r="A366" s="76" t="s">
        <v>370</v>
      </c>
      <c r="B366" s="179">
        <v>0</v>
      </c>
      <c r="C366" s="182">
        <v>0</v>
      </c>
      <c r="D366" s="184">
        <f t="shared" si="6"/>
        <v>0</v>
      </c>
    </row>
    <row r="367" spans="1:4" ht="18" x14ac:dyDescent="0.25">
      <c r="A367" s="76" t="s">
        <v>371</v>
      </c>
      <c r="B367" s="179">
        <v>0</v>
      </c>
      <c r="C367" s="182">
        <v>1</v>
      </c>
      <c r="D367" s="184">
        <f t="shared" si="6"/>
        <v>1</v>
      </c>
    </row>
    <row r="368" spans="1:4" ht="18" x14ac:dyDescent="0.25">
      <c r="A368" s="76" t="s">
        <v>372</v>
      </c>
      <c r="B368" s="179">
        <v>0</v>
      </c>
      <c r="C368" s="182">
        <v>0</v>
      </c>
      <c r="D368" s="184">
        <f t="shared" si="6"/>
        <v>0</v>
      </c>
    </row>
    <row r="369" spans="1:4" ht="18" x14ac:dyDescent="0.25">
      <c r="A369" s="76" t="s">
        <v>373</v>
      </c>
      <c r="B369" s="179">
        <v>0</v>
      </c>
      <c r="C369" s="182">
        <v>1</v>
      </c>
      <c r="D369" s="184">
        <f t="shared" si="6"/>
        <v>1</v>
      </c>
    </row>
    <row r="370" spans="1:4" ht="18" x14ac:dyDescent="0.25">
      <c r="A370" s="76" t="s">
        <v>374</v>
      </c>
      <c r="B370" s="179">
        <v>0</v>
      </c>
      <c r="C370" s="182">
        <v>0</v>
      </c>
      <c r="D370" s="184">
        <f t="shared" si="6"/>
        <v>0</v>
      </c>
    </row>
    <row r="371" spans="1:4" ht="18" x14ac:dyDescent="0.25">
      <c r="A371" s="76" t="s">
        <v>375</v>
      </c>
      <c r="B371" s="179">
        <v>0</v>
      </c>
      <c r="C371" s="182">
        <v>0</v>
      </c>
      <c r="D371" s="184">
        <f t="shared" si="6"/>
        <v>0</v>
      </c>
    </row>
    <row r="372" spans="1:4" ht="18" x14ac:dyDescent="0.25">
      <c r="A372" s="76" t="s">
        <v>376</v>
      </c>
      <c r="B372" s="179">
        <v>0</v>
      </c>
      <c r="C372" s="182">
        <v>1</v>
      </c>
      <c r="D372" s="184">
        <f t="shared" si="6"/>
        <v>1</v>
      </c>
    </row>
    <row r="373" spans="1:4" ht="18" x14ac:dyDescent="0.25">
      <c r="A373" s="76" t="s">
        <v>377</v>
      </c>
      <c r="B373" s="179">
        <v>0</v>
      </c>
      <c r="C373" s="182">
        <v>0</v>
      </c>
      <c r="D373" s="184">
        <f t="shared" si="6"/>
        <v>0</v>
      </c>
    </row>
    <row r="374" spans="1:4" ht="18" x14ac:dyDescent="0.25">
      <c r="A374" s="76" t="s">
        <v>378</v>
      </c>
      <c r="B374" s="179">
        <v>0</v>
      </c>
      <c r="C374" s="182">
        <v>0</v>
      </c>
      <c r="D374" s="184">
        <f t="shared" si="6"/>
        <v>0</v>
      </c>
    </row>
    <row r="375" spans="1:4" ht="18" x14ac:dyDescent="0.25">
      <c r="A375" s="76" t="s">
        <v>379</v>
      </c>
      <c r="B375" s="179">
        <v>0</v>
      </c>
      <c r="C375" s="182">
        <v>1</v>
      </c>
      <c r="D375" s="184">
        <f t="shared" si="6"/>
        <v>1</v>
      </c>
    </row>
    <row r="376" spans="1:4" ht="18" x14ac:dyDescent="0.25">
      <c r="A376" s="76" t="s">
        <v>380</v>
      </c>
      <c r="B376" s="179">
        <v>0</v>
      </c>
      <c r="C376" s="182">
        <v>0</v>
      </c>
      <c r="D376" s="184">
        <f t="shared" si="6"/>
        <v>0</v>
      </c>
    </row>
    <row r="377" spans="1:4" ht="18" x14ac:dyDescent="0.25">
      <c r="A377" s="76" t="s">
        <v>381</v>
      </c>
      <c r="B377" s="179">
        <v>0</v>
      </c>
      <c r="C377" s="182">
        <v>1</v>
      </c>
      <c r="D377" s="184">
        <f t="shared" si="6"/>
        <v>1</v>
      </c>
    </row>
    <row r="378" spans="1:4" ht="18" x14ac:dyDescent="0.25">
      <c r="A378" s="76" t="s">
        <v>382</v>
      </c>
      <c r="B378" s="179">
        <v>0</v>
      </c>
      <c r="C378" s="182">
        <v>0</v>
      </c>
      <c r="D378" s="184">
        <f t="shared" si="6"/>
        <v>0</v>
      </c>
    </row>
    <row r="379" spans="1:4" ht="18" x14ac:dyDescent="0.25">
      <c r="A379" s="76" t="s">
        <v>383</v>
      </c>
      <c r="B379" s="179">
        <v>0</v>
      </c>
      <c r="C379" s="182">
        <v>0</v>
      </c>
      <c r="D379" s="184">
        <f t="shared" si="6"/>
        <v>0</v>
      </c>
    </row>
    <row r="380" spans="1:4" ht="18" x14ac:dyDescent="0.25">
      <c r="A380" s="76" t="s">
        <v>384</v>
      </c>
      <c r="B380" s="179">
        <v>0</v>
      </c>
      <c r="C380" s="182">
        <v>0</v>
      </c>
      <c r="D380" s="184">
        <f t="shared" si="6"/>
        <v>0</v>
      </c>
    </row>
    <row r="381" spans="1:4" ht="18" x14ac:dyDescent="0.25">
      <c r="A381" s="76" t="s">
        <v>385</v>
      </c>
      <c r="B381" s="179">
        <v>0</v>
      </c>
      <c r="C381" s="182">
        <v>0</v>
      </c>
      <c r="D381" s="184">
        <f t="shared" si="6"/>
        <v>0</v>
      </c>
    </row>
    <row r="382" spans="1:4" ht="18" x14ac:dyDescent="0.25">
      <c r="A382" s="76" t="s">
        <v>386</v>
      </c>
      <c r="B382" s="179">
        <v>0</v>
      </c>
      <c r="C382" s="182">
        <v>0</v>
      </c>
      <c r="D382" s="184">
        <f t="shared" si="6"/>
        <v>0</v>
      </c>
    </row>
    <row r="383" spans="1:4" ht="18" x14ac:dyDescent="0.25">
      <c r="A383" s="76" t="s">
        <v>387</v>
      </c>
      <c r="B383" s="179">
        <v>0</v>
      </c>
      <c r="C383" s="182">
        <v>0</v>
      </c>
      <c r="D383" s="184">
        <f t="shared" si="6"/>
        <v>0</v>
      </c>
    </row>
    <row r="384" spans="1:4" ht="18" x14ac:dyDescent="0.25">
      <c r="A384" s="76" t="s">
        <v>388</v>
      </c>
      <c r="B384" s="179">
        <v>0</v>
      </c>
      <c r="C384" s="182">
        <v>0</v>
      </c>
      <c r="D384" s="184">
        <f t="shared" si="6"/>
        <v>0</v>
      </c>
    </row>
    <row r="385" spans="1:4" ht="18" x14ac:dyDescent="0.25">
      <c r="A385" s="76" t="s">
        <v>389</v>
      </c>
      <c r="B385" s="179">
        <v>0</v>
      </c>
      <c r="C385" s="182">
        <v>0</v>
      </c>
      <c r="D385" s="184">
        <f t="shared" si="6"/>
        <v>0</v>
      </c>
    </row>
    <row r="386" spans="1:4" ht="18" x14ac:dyDescent="0.25">
      <c r="A386" s="76" t="s">
        <v>390</v>
      </c>
      <c r="B386" s="179">
        <v>0</v>
      </c>
      <c r="C386" s="182">
        <v>0</v>
      </c>
      <c r="D386" s="184">
        <f t="shared" si="6"/>
        <v>0</v>
      </c>
    </row>
    <row r="387" spans="1:4" ht="18" x14ac:dyDescent="0.25">
      <c r="A387" s="76" t="s">
        <v>391</v>
      </c>
      <c r="B387" s="179">
        <v>0</v>
      </c>
      <c r="C387" s="182">
        <v>0</v>
      </c>
      <c r="D387" s="184">
        <f t="shared" si="6"/>
        <v>0</v>
      </c>
    </row>
    <row r="388" spans="1:4" ht="18" x14ac:dyDescent="0.25">
      <c r="A388" s="76" t="s">
        <v>392</v>
      </c>
      <c r="B388" s="179">
        <v>0</v>
      </c>
      <c r="C388" s="182">
        <v>0</v>
      </c>
      <c r="D388" s="184">
        <f t="shared" si="6"/>
        <v>0</v>
      </c>
    </row>
    <row r="389" spans="1:4" ht="18" x14ac:dyDescent="0.25">
      <c r="A389" s="76" t="s">
        <v>393</v>
      </c>
      <c r="B389" s="179">
        <v>0</v>
      </c>
      <c r="C389" s="182">
        <v>0</v>
      </c>
      <c r="D389" s="184">
        <f t="shared" si="6"/>
        <v>0</v>
      </c>
    </row>
    <row r="390" spans="1:4" ht="18" x14ac:dyDescent="0.25">
      <c r="A390" s="76" t="s">
        <v>394</v>
      </c>
      <c r="B390" s="179">
        <v>0</v>
      </c>
      <c r="C390" s="182">
        <v>0</v>
      </c>
      <c r="D390" s="184">
        <f t="shared" si="6"/>
        <v>0</v>
      </c>
    </row>
    <row r="391" spans="1:4" ht="18" x14ac:dyDescent="0.25">
      <c r="A391" s="76" t="s">
        <v>395</v>
      </c>
      <c r="B391" s="179">
        <v>0</v>
      </c>
      <c r="C391" s="182">
        <v>0</v>
      </c>
      <c r="D391" s="184">
        <f t="shared" si="6"/>
        <v>0</v>
      </c>
    </row>
    <row r="392" spans="1:4" ht="18" x14ac:dyDescent="0.25">
      <c r="A392" s="76" t="s">
        <v>396</v>
      </c>
      <c r="B392" s="179">
        <v>0</v>
      </c>
      <c r="C392" s="182">
        <v>0</v>
      </c>
      <c r="D392" s="184">
        <f t="shared" si="6"/>
        <v>0</v>
      </c>
    </row>
    <row r="393" spans="1:4" ht="18" x14ac:dyDescent="0.25">
      <c r="A393" s="76" t="s">
        <v>397</v>
      </c>
      <c r="B393" s="179">
        <v>0</v>
      </c>
      <c r="C393" s="182">
        <v>0</v>
      </c>
      <c r="D393" s="184">
        <f t="shared" si="6"/>
        <v>0</v>
      </c>
    </row>
    <row r="394" spans="1:4" ht="18" x14ac:dyDescent="0.25">
      <c r="A394" s="76" t="s">
        <v>398</v>
      </c>
      <c r="B394" s="179">
        <v>0</v>
      </c>
      <c r="C394" s="182">
        <v>0</v>
      </c>
      <c r="D394" s="184">
        <f t="shared" si="6"/>
        <v>0</v>
      </c>
    </row>
    <row r="395" spans="1:4" ht="18" x14ac:dyDescent="0.25">
      <c r="A395" s="76" t="s">
        <v>399</v>
      </c>
      <c r="B395" s="179">
        <v>0</v>
      </c>
      <c r="C395" s="182">
        <v>0</v>
      </c>
      <c r="D395" s="184">
        <f t="shared" si="6"/>
        <v>0</v>
      </c>
    </row>
    <row r="396" spans="1:4" ht="18" x14ac:dyDescent="0.25">
      <c r="A396" s="76" t="s">
        <v>400</v>
      </c>
      <c r="B396" s="179">
        <v>0</v>
      </c>
      <c r="C396" s="182">
        <v>0</v>
      </c>
      <c r="D396" s="184">
        <f t="shared" si="6"/>
        <v>0</v>
      </c>
    </row>
    <row r="397" spans="1:4" ht="18" x14ac:dyDescent="0.25">
      <c r="A397" s="76" t="s">
        <v>401</v>
      </c>
      <c r="B397" s="179">
        <v>0</v>
      </c>
      <c r="C397" s="182">
        <v>0</v>
      </c>
      <c r="D397" s="184">
        <f t="shared" si="6"/>
        <v>0</v>
      </c>
    </row>
    <row r="398" spans="1:4" ht="18" x14ac:dyDescent="0.25">
      <c r="A398" s="76" t="s">
        <v>402</v>
      </c>
      <c r="B398" s="179">
        <v>0</v>
      </c>
      <c r="C398" s="182">
        <v>0</v>
      </c>
      <c r="D398" s="184">
        <f t="shared" si="6"/>
        <v>0</v>
      </c>
    </row>
    <row r="399" spans="1:4" ht="18" x14ac:dyDescent="0.25">
      <c r="A399" s="76" t="s">
        <v>403</v>
      </c>
      <c r="B399" s="179">
        <v>0</v>
      </c>
      <c r="C399" s="182">
        <v>0</v>
      </c>
      <c r="D399" s="184">
        <f t="shared" si="6"/>
        <v>0</v>
      </c>
    </row>
    <row r="400" spans="1:4" ht="18" x14ac:dyDescent="0.25">
      <c r="A400" s="77" t="s">
        <v>404</v>
      </c>
      <c r="B400" s="179">
        <v>0</v>
      </c>
      <c r="C400" s="182">
        <v>0</v>
      </c>
      <c r="D400" s="184">
        <f t="shared" si="6"/>
        <v>0</v>
      </c>
    </row>
  </sheetData>
  <conditionalFormatting sqref="C32:C93">
    <cfRule type="colorScale" priority="1">
      <colorScale>
        <cfvo type="min"/>
        <cfvo type="max"/>
        <color theme="8" tint="0.79998168889431442"/>
        <color theme="8" tint="0.39997558519241921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E94A-A544-4C7D-9EDD-D13E576BADD4}">
  <sheetPr>
    <tabColor rgb="FF003DB8"/>
  </sheetPr>
  <dimension ref="A1:Q26"/>
  <sheetViews>
    <sheetView zoomScale="110" zoomScaleNormal="110" workbookViewId="0">
      <selection activeCell="K14" sqref="K14"/>
    </sheetView>
  </sheetViews>
  <sheetFormatPr defaultRowHeight="15" x14ac:dyDescent="0.25"/>
  <cols>
    <col min="1" max="1" width="11.85546875" style="4" bestFit="1" customWidth="1"/>
    <col min="2" max="2" width="24.42578125" style="4" bestFit="1" customWidth="1"/>
    <col min="3" max="3" width="13.85546875" style="4" bestFit="1" customWidth="1"/>
    <col min="4" max="4" width="15" style="4" customWidth="1"/>
    <col min="5" max="5" width="12.7109375" style="4" hidden="1" customWidth="1"/>
    <col min="6" max="6" width="10.85546875" style="4" customWidth="1"/>
    <col min="7" max="7" width="11" style="4" hidden="1" customWidth="1"/>
    <col min="8" max="8" width="14.28515625" style="4" hidden="1" customWidth="1"/>
    <col min="9" max="9" width="6.28515625" style="4" hidden="1" customWidth="1"/>
    <col min="10" max="10" width="7.85546875" style="4" hidden="1" customWidth="1"/>
    <col min="11" max="11" width="12.140625" style="4" customWidth="1"/>
    <col min="12" max="13" width="9.140625" style="4"/>
    <col min="14" max="14" width="11.7109375" style="4" customWidth="1"/>
    <col min="15" max="15" width="13.85546875" style="4" bestFit="1" customWidth="1"/>
    <col min="16" max="16" width="11" style="4" hidden="1" customWidth="1"/>
    <col min="17" max="16384" width="9.140625" style="4"/>
  </cols>
  <sheetData>
    <row r="1" spans="1:17" ht="72" x14ac:dyDescent="0.25">
      <c r="A1" s="124" t="s">
        <v>465</v>
      </c>
      <c r="B1" s="129" t="s">
        <v>466</v>
      </c>
      <c r="C1" s="129" t="s">
        <v>418</v>
      </c>
      <c r="D1" s="129" t="s">
        <v>469</v>
      </c>
      <c r="E1" s="122" t="s">
        <v>463</v>
      </c>
      <c r="F1" s="124" t="s">
        <v>444</v>
      </c>
      <c r="G1" s="122" t="s">
        <v>451</v>
      </c>
      <c r="H1" s="122" t="s">
        <v>455</v>
      </c>
      <c r="I1" s="122" t="s">
        <v>414</v>
      </c>
      <c r="J1" s="122" t="s">
        <v>419</v>
      </c>
      <c r="K1" s="124" t="s">
        <v>470</v>
      </c>
      <c r="L1" s="129" t="s">
        <v>463</v>
      </c>
      <c r="M1" s="153" t="s">
        <v>464</v>
      </c>
      <c r="N1" s="129" t="s">
        <v>467</v>
      </c>
      <c r="O1" s="129" t="s">
        <v>461</v>
      </c>
      <c r="P1" s="123"/>
      <c r="Q1" s="124" t="s">
        <v>462</v>
      </c>
    </row>
    <row r="2" spans="1:17" x14ac:dyDescent="0.25">
      <c r="A2" s="125" t="s">
        <v>405</v>
      </c>
      <c r="B2" s="130" t="s">
        <v>6</v>
      </c>
      <c r="C2" s="134">
        <f>SUMIF(Demográfico!M$2:M$400,Metodologia!A2,Demográfico!E$2:E$400)</f>
        <v>202402</v>
      </c>
      <c r="D2" s="138">
        <f>C2/C$10</f>
        <v>0.13519026639700127</v>
      </c>
      <c r="E2" s="105">
        <f>COUNTIF(Dados!C$2:C$400,Metodologia!A2)</f>
        <v>1</v>
      </c>
      <c r="F2" s="142" t="s">
        <v>445</v>
      </c>
      <c r="G2" s="106">
        <f>IF(F2=P$2,SUMIF(Demográfico!M$2:M$400,Metodologia!A2,Demográfico!E$2:E$400),0)</f>
        <v>202402</v>
      </c>
      <c r="H2" s="106">
        <f t="shared" ref="H2:H9" si="0">IF(F2=P$2,D2*F$10,0)</f>
        <v>23.114213223006058</v>
      </c>
      <c r="I2" s="107">
        <f>SUMIF(Dados!C$2:C$400,Metodologia!A2,Dados!Q$2:Q$400)</f>
        <v>30</v>
      </c>
      <c r="J2" s="108">
        <f>I2/F$11</f>
        <v>0.11673151750972763</v>
      </c>
      <c r="K2" s="146">
        <v>10</v>
      </c>
      <c r="L2" s="95">
        <v>30</v>
      </c>
      <c r="M2" s="154">
        <v>10</v>
      </c>
      <c r="N2" s="186" t="s">
        <v>474</v>
      </c>
      <c r="O2" s="155">
        <f>M2/M$10</f>
        <v>3.8910505836575876E-2</v>
      </c>
      <c r="P2" s="109" t="s">
        <v>445</v>
      </c>
      <c r="Q2" s="159">
        <v>1</v>
      </c>
    </row>
    <row r="3" spans="1:17" ht="15" customHeight="1" x14ac:dyDescent="0.25">
      <c r="A3" s="125" t="s">
        <v>406</v>
      </c>
      <c r="B3" s="130" t="s">
        <v>7</v>
      </c>
      <c r="C3" s="134">
        <f>SUMIF(Demográfico!M$2:M$400,Metodologia!A3,Demográfico!E$2:E$400)</f>
        <v>66820</v>
      </c>
      <c r="D3" s="138">
        <f>C3/C$10</f>
        <v>4.463104910350503E-2</v>
      </c>
      <c r="E3" s="105">
        <f>COUNTIF(Dados!C$2:C$400,Metodologia!A3)</f>
        <v>1</v>
      </c>
      <c r="F3" s="142" t="s">
        <v>445</v>
      </c>
      <c r="G3" s="106">
        <f>IF(F3=P$2,SUMIF(Demográfico!M$2:M$400,Metodologia!A3,Demográfico!E$2:E$400),0)</f>
        <v>66820</v>
      </c>
      <c r="H3" s="106">
        <f t="shared" si="0"/>
        <v>7.630812578735708</v>
      </c>
      <c r="I3" s="107">
        <f>SUMIF(Dados!C$2:C$400,Metodologia!A3,Dados!Q$2:Q$400)</f>
        <v>11</v>
      </c>
      <c r="J3" s="108">
        <f>I3/F$11</f>
        <v>4.2801556420233464E-2</v>
      </c>
      <c r="K3" s="146">
        <v>8</v>
      </c>
      <c r="L3" s="95"/>
      <c r="M3" s="95">
        <v>90</v>
      </c>
      <c r="N3" s="186"/>
      <c r="O3" s="96">
        <f t="shared" ref="O3:O9" si="1">M3/M$10</f>
        <v>0.35019455252918286</v>
      </c>
      <c r="P3" s="109" t="s">
        <v>446</v>
      </c>
      <c r="Q3" s="159"/>
    </row>
    <row r="4" spans="1:17" x14ac:dyDescent="0.25">
      <c r="A4" s="125" t="s">
        <v>407</v>
      </c>
      <c r="B4" s="130" t="s">
        <v>412</v>
      </c>
      <c r="C4" s="134">
        <f>SUMIF(Demográfico!M$2:M$400,Metodologia!A4,Demográfico!E$2:E$400)</f>
        <v>261249</v>
      </c>
      <c r="D4" s="138">
        <f>C4/C$10</f>
        <v>0.17449591360732691</v>
      </c>
      <c r="E4" s="105">
        <f>COUNTIF(Dados!C$2:C$400,Metodologia!A4)</f>
        <v>6</v>
      </c>
      <c r="F4" s="142" t="s">
        <v>445</v>
      </c>
      <c r="G4" s="106">
        <f>IF(F4=P$2,SUMIF(Demográfico!M$2:M$400,Metodologia!A4,Demográfico!E$2:E$400),0)</f>
        <v>261249</v>
      </c>
      <c r="H4" s="106">
        <f t="shared" si="0"/>
        <v>29.834512950944699</v>
      </c>
      <c r="I4" s="107">
        <f>SUMIF(Dados!C$2:C$400,Metodologia!A4,Dados!Q$2:Q$400)</f>
        <v>44</v>
      </c>
      <c r="J4" s="108">
        <f>I4/F$11</f>
        <v>0.17120622568093385</v>
      </c>
      <c r="K4" s="146">
        <v>7</v>
      </c>
      <c r="L4" s="95"/>
      <c r="M4" s="95"/>
      <c r="N4" s="186"/>
      <c r="O4" s="96"/>
      <c r="P4" s="83"/>
      <c r="Q4" s="159"/>
    </row>
    <row r="5" spans="1:17" x14ac:dyDescent="0.25">
      <c r="A5" s="125" t="s">
        <v>408</v>
      </c>
      <c r="B5" s="130" t="s">
        <v>411</v>
      </c>
      <c r="C5" s="134">
        <f>SUMIF(Demográfico!M$2:M$400,Metodologia!A5,Demográfico!E$2:E$400)</f>
        <v>263104</v>
      </c>
      <c r="D5" s="138">
        <f>C5/C$10</f>
        <v>0.17573492282742573</v>
      </c>
      <c r="E5" s="105">
        <f>COUNTIF(Dados!C$2:C$400,Metodologia!A5)</f>
        <v>14</v>
      </c>
      <c r="F5" s="142" t="s">
        <v>445</v>
      </c>
      <c r="G5" s="106">
        <f>IF(F5=P$2,SUMIF(Demográfico!M$2:M$400,Metodologia!A5,Demográfico!E$2:E$400),0)</f>
        <v>263104</v>
      </c>
      <c r="H5" s="106">
        <f t="shared" si="0"/>
        <v>30.046353078654292</v>
      </c>
      <c r="I5" s="107">
        <f>SUMIF(Dados!C$2:C$400,Metodologia!A5,Dados!Q$2:Q$400)</f>
        <v>41</v>
      </c>
      <c r="J5" s="108">
        <f>I5/F$11</f>
        <v>0.15953307392996108</v>
      </c>
      <c r="K5" s="146">
        <v>4</v>
      </c>
      <c r="L5" s="95"/>
      <c r="M5" s="95"/>
      <c r="N5" s="186"/>
      <c r="O5" s="96"/>
      <c r="P5" s="83"/>
      <c r="Q5" s="159"/>
    </row>
    <row r="6" spans="1:17" x14ac:dyDescent="0.25">
      <c r="A6" s="125" t="s">
        <v>441</v>
      </c>
      <c r="B6" s="130" t="s">
        <v>453</v>
      </c>
      <c r="C6" s="134">
        <f>SUMIF(Demográfico!M$2:M$400,Metodologia!A6,Demográfico!E$2:E$400)</f>
        <v>90999</v>
      </c>
      <c r="D6" s="138">
        <f>C6/C$10</f>
        <v>6.0780916452706585E-2</v>
      </c>
      <c r="E6" s="105">
        <f>COUNTIF(Dados!C$2:C$400,Metodologia!A6)</f>
        <v>8</v>
      </c>
      <c r="F6" s="142" t="s">
        <v>445</v>
      </c>
      <c r="G6" s="106">
        <f>IF(F6=P$2,SUMIF(Demográfico!M$2:M$400,Metodologia!A6,Demográfico!E$2:E$400),0)</f>
        <v>90999</v>
      </c>
      <c r="H6" s="106">
        <f t="shared" si="0"/>
        <v>10.392043008865171</v>
      </c>
      <c r="I6" s="107">
        <f>SUMIF(Dados!C$2:C$400,Metodologia!A6,Dados!Q$2:Q$400)</f>
        <v>16</v>
      </c>
      <c r="J6" s="108">
        <f>I6/F$11</f>
        <v>6.2256809338521402E-2</v>
      </c>
      <c r="K6" s="146">
        <v>2</v>
      </c>
      <c r="L6" s="95"/>
      <c r="M6" s="95"/>
      <c r="N6" s="186"/>
      <c r="O6" s="96"/>
      <c r="P6" s="110">
        <f>SUM(G2:G9)</f>
        <v>1497164</v>
      </c>
      <c r="Q6" s="159"/>
    </row>
    <row r="7" spans="1:17" x14ac:dyDescent="0.25">
      <c r="A7" s="126" t="s">
        <v>440</v>
      </c>
      <c r="B7" s="131" t="s">
        <v>460</v>
      </c>
      <c r="C7" s="135">
        <f>SUMIF(Demográfico!M$2:M$400,Metodologia!A7,Demográfico!E$2:E$400)</f>
        <v>280446</v>
      </c>
      <c r="D7" s="139">
        <f t="shared" ref="D7:D8" si="2">C7/C$10</f>
        <v>0.1873181561939774</v>
      </c>
      <c r="E7" s="111">
        <f>COUNTIF(Dados!C$2:C$400,Metodologia!A7)</f>
        <v>62</v>
      </c>
      <c r="F7" s="143" t="s">
        <v>445</v>
      </c>
      <c r="G7" s="112">
        <f>IF(F7=P$2,SUMIF(Demográfico!M$2:M$400,Metodologia!A7,Demográfico!E$2:E$400),0)</f>
        <v>280446</v>
      </c>
      <c r="H7" s="112">
        <f t="shared" si="0"/>
        <v>32.026801323796981</v>
      </c>
      <c r="I7" s="113">
        <f>SUMIF(Dados!C$2:C$400,Metodologia!A7,Dados!Q$2:Q$400)</f>
        <v>57</v>
      </c>
      <c r="J7" s="114">
        <f t="shared" ref="J7:J9" si="3">I7/F$11</f>
        <v>0.22178988326848248</v>
      </c>
      <c r="K7" s="147">
        <v>1</v>
      </c>
      <c r="L7" s="150">
        <v>62</v>
      </c>
      <c r="M7" s="150">
        <v>27</v>
      </c>
      <c r="N7" s="185" t="s">
        <v>475</v>
      </c>
      <c r="O7" s="156">
        <f t="shared" si="1"/>
        <v>0.10505836575875487</v>
      </c>
      <c r="P7" s="83"/>
      <c r="Q7" s="160">
        <f>M7/L7</f>
        <v>0.43548387096774194</v>
      </c>
    </row>
    <row r="8" spans="1:17" x14ac:dyDescent="0.25">
      <c r="A8" s="127" t="s">
        <v>409</v>
      </c>
      <c r="B8" s="132" t="s">
        <v>459</v>
      </c>
      <c r="C8" s="136">
        <f>SUMIF(Demográfico!M$2:M$400,Metodologia!A8,Demográfico!E$2:E$400)</f>
        <v>285766</v>
      </c>
      <c r="D8" s="140">
        <f t="shared" si="2"/>
        <v>0.19087154112709095</v>
      </c>
      <c r="E8" s="115">
        <f>COUNTIF(Dados!C$2:C$400,Metodologia!A8)</f>
        <v>205</v>
      </c>
      <c r="F8" s="144" t="s">
        <v>445</v>
      </c>
      <c r="G8" s="84">
        <f>IF(F8=P$2,SUMIF(Demográfico!M$2:M$400,Metodologia!A8,Demográfico!E$2:E$400),0)</f>
        <v>285766</v>
      </c>
      <c r="H8" s="84">
        <f t="shared" si="0"/>
        <v>32.634342822133917</v>
      </c>
      <c r="I8" s="116">
        <f>SUMIF(Dados!C$2:C$400,Metodologia!A8,Dados!Q$2:Q$400)</f>
        <v>5</v>
      </c>
      <c r="J8" s="117">
        <f t="shared" si="3"/>
        <v>1.9455252918287938E-2</v>
      </c>
      <c r="K8" s="148">
        <v>1</v>
      </c>
      <c r="L8" s="151">
        <v>205</v>
      </c>
      <c r="M8" s="151">
        <v>100</v>
      </c>
      <c r="N8" s="185"/>
      <c r="O8" s="157">
        <f t="shared" si="1"/>
        <v>0.38910505836575876</v>
      </c>
      <c r="P8" s="83"/>
      <c r="Q8" s="161">
        <f t="shared" ref="Q8:Q9" si="4">M8/L8</f>
        <v>0.48780487804878048</v>
      </c>
    </row>
    <row r="9" spans="1:17" x14ac:dyDescent="0.25">
      <c r="A9" s="128" t="s">
        <v>410</v>
      </c>
      <c r="B9" s="133" t="s">
        <v>458</v>
      </c>
      <c r="C9" s="137">
        <f>SUMIF(Demográfico!M$2:M$400,Metodologia!A9,Demográfico!E$2:E$400)</f>
        <v>46378</v>
      </c>
      <c r="D9" s="141">
        <f>C9/C$10</f>
        <v>3.0977234290966119E-2</v>
      </c>
      <c r="E9" s="118">
        <f>COUNTIF(Dados!C$2:C$400,Metodologia!A9)</f>
        <v>102</v>
      </c>
      <c r="F9" s="145" t="s">
        <v>445</v>
      </c>
      <c r="G9" s="119">
        <f>IF(F9=P$2,SUMIF(Demográfico!M$2:M$400,Metodologia!A9,Demográfico!E$2:E$400),0)</f>
        <v>46378</v>
      </c>
      <c r="H9" s="119">
        <f t="shared" si="0"/>
        <v>5.2963457913290126</v>
      </c>
      <c r="I9" s="120">
        <f>SUMIF(Dados!C$2:C$400,Metodologia!A9,Dados!Q$2:Q$400)</f>
        <v>-3</v>
      </c>
      <c r="J9" s="121">
        <f t="shared" si="3"/>
        <v>-1.1673151750972763E-2</v>
      </c>
      <c r="K9" s="149">
        <v>1</v>
      </c>
      <c r="L9" s="152">
        <v>102</v>
      </c>
      <c r="M9" s="152">
        <v>30</v>
      </c>
      <c r="N9" s="185"/>
      <c r="O9" s="158">
        <f t="shared" si="1"/>
        <v>0.11673151750972763</v>
      </c>
      <c r="P9" s="83"/>
      <c r="Q9" s="162">
        <f t="shared" si="4"/>
        <v>0.29411764705882354</v>
      </c>
    </row>
    <row r="10" spans="1:17" ht="18" hidden="1" x14ac:dyDescent="0.35">
      <c r="A10" s="98" t="s">
        <v>415</v>
      </c>
      <c r="B10" s="98"/>
      <c r="C10" s="99">
        <f>SUM(G2:G9)</f>
        <v>1497164</v>
      </c>
      <c r="D10" s="98"/>
      <c r="E10" s="100" t="s">
        <v>420</v>
      </c>
      <c r="F10" s="101">
        <f>F11/(1+C11)</f>
        <v>170.97542477746583</v>
      </c>
      <c r="G10" s="82"/>
      <c r="H10" s="82"/>
      <c r="I10" s="82"/>
      <c r="J10" s="102"/>
      <c r="K10" s="78"/>
      <c r="L10" s="103">
        <f>SUM(L2:L9)</f>
        <v>399</v>
      </c>
      <c r="M10" s="103">
        <f>SUM(M2:M9)</f>
        <v>257</v>
      </c>
      <c r="N10" s="104"/>
      <c r="O10" s="104"/>
    </row>
    <row r="11" spans="1:17" ht="18" x14ac:dyDescent="0.35">
      <c r="A11" s="80" t="s">
        <v>454</v>
      </c>
      <c r="B11" s="80"/>
      <c r="C11" s="163">
        <f>0.50314</f>
        <v>0.50314000000000003</v>
      </c>
      <c r="D11" s="97" t="s">
        <v>468</v>
      </c>
      <c r="E11" s="97"/>
      <c r="F11" s="164">
        <v>257</v>
      </c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</row>
    <row r="24" spans="1:12" ht="18" x14ac:dyDescent="0.35">
      <c r="A24" s="85"/>
      <c r="B24" s="85"/>
      <c r="C24" s="85"/>
      <c r="D24" s="85"/>
      <c r="E24" s="86"/>
      <c r="F24" s="87"/>
      <c r="G24" s="88"/>
      <c r="H24" s="88"/>
      <c r="I24" s="88"/>
      <c r="J24" s="88"/>
      <c r="K24" s="88"/>
      <c r="L24" s="83"/>
    </row>
    <row r="25" spans="1:12" ht="18" x14ac:dyDescent="0.35">
      <c r="A25" s="85"/>
      <c r="B25" s="85"/>
      <c r="C25" s="89"/>
      <c r="D25" s="85"/>
      <c r="E25" s="85"/>
      <c r="F25" s="90"/>
      <c r="G25" s="90"/>
      <c r="H25" s="90"/>
      <c r="I25" s="90"/>
      <c r="J25" s="90"/>
      <c r="K25" s="91"/>
      <c r="L25" s="83"/>
    </row>
    <row r="26" spans="1:12" x14ac:dyDescent="0.25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</sheetData>
  <mergeCells count="16">
    <mergeCell ref="N7:N9"/>
    <mergeCell ref="Q2:Q6"/>
    <mergeCell ref="L2:L6"/>
    <mergeCell ref="M3:M6"/>
    <mergeCell ref="O3:O6"/>
    <mergeCell ref="N2:N6"/>
    <mergeCell ref="A10:B10"/>
    <mergeCell ref="C10:D10"/>
    <mergeCell ref="A11:B11"/>
    <mergeCell ref="D11:E11"/>
    <mergeCell ref="F11:Q11"/>
    <mergeCell ref="A24:B24"/>
    <mergeCell ref="C24:D24"/>
    <mergeCell ref="A25:B25"/>
    <mergeCell ref="D25:E25"/>
    <mergeCell ref="F25:J25"/>
  </mergeCells>
  <dataValidations count="1">
    <dataValidation type="list" allowBlank="1" showInputMessage="1" showErrorMessage="1" sqref="F2:F9" xr:uid="{F8657117-8C77-4BBA-836D-9960DA78CB36}">
      <formula1>$P$2:$P$3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U550"/>
  <sheetViews>
    <sheetView zoomScale="85" zoomScaleNormal="85" workbookViewId="0">
      <pane xSplit="1" topLeftCell="B1" activePane="topRight" state="frozen"/>
      <selection pane="topRight" activeCell="Z6" sqref="Z6"/>
    </sheetView>
  </sheetViews>
  <sheetFormatPr defaultRowHeight="15" x14ac:dyDescent="0.25"/>
  <cols>
    <col min="1" max="1" width="20.5703125" style="67" customWidth="1"/>
    <col min="2" max="2" width="20.7109375" style="37" customWidth="1"/>
    <col min="3" max="3" width="20.7109375" style="65" customWidth="1"/>
    <col min="4" max="4" width="12.7109375" style="65" hidden="1" customWidth="1"/>
    <col min="5" max="7" width="20.7109375" style="65" customWidth="1"/>
    <col min="8" max="8" width="12.5703125" style="65" bestFit="1" customWidth="1"/>
    <col min="9" max="9" width="12.5703125" style="65" customWidth="1"/>
    <col min="10" max="10" width="12.85546875" style="65" hidden="1" customWidth="1"/>
    <col min="11" max="11" width="11" style="65" hidden="1" customWidth="1"/>
    <col min="12" max="12" width="12.7109375" style="65" hidden="1" customWidth="1"/>
    <col min="13" max="13" width="13.5703125" style="65" hidden="1" customWidth="1"/>
    <col min="14" max="14" width="9.7109375" style="65" hidden="1" customWidth="1"/>
    <col min="15" max="15" width="11.85546875" style="65" hidden="1" customWidth="1"/>
    <col min="16" max="16" width="10.42578125" style="65" hidden="1" customWidth="1"/>
    <col min="17" max="18" width="0" style="65" hidden="1" customWidth="1"/>
    <col min="19" max="19" width="10.42578125" style="65" hidden="1" customWidth="1"/>
    <col min="20" max="20" width="3.7109375" style="65" hidden="1" customWidth="1"/>
    <col min="21" max="21" width="11.28515625" style="65" hidden="1" customWidth="1"/>
    <col min="22" max="16384" width="9.140625" style="65"/>
  </cols>
  <sheetData>
    <row r="1" spans="1:21" ht="54" customHeight="1" x14ac:dyDescent="0.25">
      <c r="A1" s="19" t="s">
        <v>0</v>
      </c>
      <c r="B1" s="18" t="s">
        <v>438</v>
      </c>
      <c r="C1" s="18" t="s">
        <v>1</v>
      </c>
      <c r="D1" s="18" t="s">
        <v>471</v>
      </c>
      <c r="E1" s="21" t="s">
        <v>416</v>
      </c>
      <c r="F1" s="22" t="s">
        <v>417</v>
      </c>
      <c r="G1" s="23" t="s">
        <v>439</v>
      </c>
      <c r="H1" s="20" t="s">
        <v>413</v>
      </c>
      <c r="I1" s="167" t="s">
        <v>457</v>
      </c>
      <c r="J1" s="92" t="s">
        <v>447</v>
      </c>
      <c r="K1" s="93" t="s">
        <v>452</v>
      </c>
      <c r="L1" s="93"/>
      <c r="M1" s="79"/>
      <c r="N1" s="79"/>
      <c r="O1" s="79"/>
      <c r="P1" s="94">
        <f>SUM(K$2:K$400)-(SUM(N$2:N$400))</f>
        <v>111.4367438843133</v>
      </c>
      <c r="Q1" s="93" t="s">
        <v>2</v>
      </c>
    </row>
    <row r="2" spans="1:21" ht="19.5" x14ac:dyDescent="0.25">
      <c r="A2" s="2" t="s">
        <v>6</v>
      </c>
      <c r="B2" s="168">
        <v>1773718</v>
      </c>
      <c r="C2" s="169" t="str" cm="1">
        <f t="array" ref="C2">_xlfn.IFS(B2&lt;5000, "P1",B2&lt;20000, "P2",B2&lt;70000, "P3",B2&lt;100000, "P4",B2&lt;200000,"M1",B2&lt;500000,"M2",B2&lt;1000000,"G1",B2&gt;1000000,"G2")</f>
        <v>G2</v>
      </c>
      <c r="D2" s="170">
        <f>VLOOKUP(C2,Metodologia!A$2:H$9,8,FALSE)</f>
        <v>23.114213223006058</v>
      </c>
      <c r="E2" s="171">
        <f>VLOOKUP(A2,Educacional!A$2:P$405,16,FALSE)</f>
        <v>56.511036138398964</v>
      </c>
      <c r="F2" s="171">
        <f>VLOOKUP(A2,Demográfico!A$2:L$405,12,FALSE)</f>
        <v>29.90225405983405</v>
      </c>
      <c r="G2" s="172">
        <f>VLOOKUP(A2,Socioeconômico!A$2:M$405,13,FALSE)</f>
        <v>0</v>
      </c>
      <c r="H2" s="173">
        <f>(2*E2+F2+2*G2)/5/100</f>
        <v>0.28584865267326393</v>
      </c>
      <c r="I2" s="170">
        <f>VLOOKUP(A2,Resultados!A$2:B400,2,FALSE)</f>
        <v>0</v>
      </c>
      <c r="J2" s="5">
        <f>IFERROR(VLOOKUP(A2,Demográfico!A$2:E$400,5,FALSE)/(VLOOKUP(C2,Metodologia!A$2:G$9,7,FALSE))*D2,0)</f>
        <v>23.114213223006058</v>
      </c>
      <c r="K2" s="72">
        <f>(J2*(1+H2)-I2)</f>
        <v>29.721379930404883</v>
      </c>
      <c r="L2" s="3">
        <f>INT(K2)</f>
        <v>29</v>
      </c>
      <c r="M2" s="165">
        <f>VLOOKUP(A2,Demográfico!A$2:E$400,5,FALSE)*H2</f>
        <v>57856.338998373962</v>
      </c>
      <c r="N2" s="68">
        <f>FLOOR(K2,1)</f>
        <v>29</v>
      </c>
      <c r="O2" s="68">
        <f>K2-N2</f>
        <v>0.72137993040488269</v>
      </c>
      <c r="P2" s="65">
        <f>IFERROR(RANK(O2,O$2:O$400,0),0)</f>
        <v>29</v>
      </c>
      <c r="Q2" s="3">
        <f>N2+IF(P2&lt;P$1,1,0)</f>
        <v>30</v>
      </c>
      <c r="S2" s="65">
        <f>VLOOKUP(A2,Demográfico!A$2:E$400,5,FALSE)*(H2)</f>
        <v>57856.338998373962</v>
      </c>
      <c r="T2" s="79">
        <f>IFERROR(D2/D2,0)</f>
        <v>1</v>
      </c>
      <c r="U2" s="65">
        <f>S2*T2</f>
        <v>57856.338998373962</v>
      </c>
    </row>
    <row r="3" spans="1:21" ht="19.5" x14ac:dyDescent="0.25">
      <c r="A3" s="2" t="s">
        <v>7</v>
      </c>
      <c r="B3" s="168">
        <v>555965</v>
      </c>
      <c r="C3" s="169" t="str" cm="1">
        <f t="array" ref="C3">_xlfn.IFS(B3&lt;5000, "P1",B3&lt;20000, "P2",B3&lt;70000, "P3",B3&lt;100000, "P4",B3&lt;200000,"M1",B3&lt;500000,"M2",B3&lt;1000000,"G1",B3&gt;1000000,"G2")</f>
        <v>G1</v>
      </c>
      <c r="D3" s="170">
        <f>VLOOKUP(C3,Metodologia!A$2:H$9,8,FALSE)</f>
        <v>7.630812578735708</v>
      </c>
      <c r="E3" s="171">
        <f>VLOOKUP(A3,Educacional!A$2:P$405,16,FALSE)</f>
        <v>65.893710228240536</v>
      </c>
      <c r="F3" s="171">
        <f>VLOOKUP(A3,Demográfico!A$2:L$405,12,FALSE)</f>
        <v>39.540641457935671</v>
      </c>
      <c r="G3" s="172">
        <f>VLOOKUP(A3,Socioeconômico!A$2:M$405,13,FALSE)</f>
        <v>24.244683451999634</v>
      </c>
      <c r="H3" s="173">
        <f>(2*E3+F3+2*G3)/5/100</f>
        <v>0.43963485763683202</v>
      </c>
      <c r="I3" s="170">
        <f>VLOOKUP(A3,Resultados!A$2:B401,2,FALSE)</f>
        <v>0</v>
      </c>
      <c r="J3" s="5">
        <f>IFERROR(VLOOKUP(A3,Demográfico!A$2:E$400,5,FALSE)/(VLOOKUP(C3,Metodologia!A$2:G$9,7,FALSE))*D3,0)</f>
        <v>7.630812578735708</v>
      </c>
      <c r="K3" s="72">
        <f>(J3*(1+H3)-I3)</f>
        <v>10.985583780441528</v>
      </c>
      <c r="L3" s="3">
        <v>4</v>
      </c>
      <c r="M3" s="66">
        <f>VLOOKUP(A3,Demográfico!A$2:E$400,5,FALSE)*H3</f>
        <v>29376.401187293115</v>
      </c>
      <c r="N3" s="68">
        <f>FLOOR(K3,1)</f>
        <v>10</v>
      </c>
      <c r="O3" s="68">
        <f>K3-N3</f>
        <v>0.98558378044152839</v>
      </c>
      <c r="P3" s="65">
        <f>IFERROR(RANK(O3,O$2:O$400,0),0)</f>
        <v>3</v>
      </c>
      <c r="Q3" s="3">
        <f>N3+IF(P3&lt;P$1,1,0)</f>
        <v>11</v>
      </c>
      <c r="S3" s="65">
        <f>VLOOKUP(A3,Demográfico!A$2:E$400,5,FALSE)*(H3)</f>
        <v>29376.401187293115</v>
      </c>
      <c r="T3" s="79">
        <f>IFERROR(D3/D3,0)</f>
        <v>1</v>
      </c>
      <c r="U3" s="65">
        <f t="shared" ref="U3:U66" si="0">S3*T3</f>
        <v>29376.401187293115</v>
      </c>
    </row>
    <row r="4" spans="1:21" ht="19.5" x14ac:dyDescent="0.25">
      <c r="A4" s="2" t="s">
        <v>8</v>
      </c>
      <c r="B4" s="168">
        <v>409657</v>
      </c>
      <c r="C4" s="169" t="str" cm="1">
        <f t="array" ref="C4">_xlfn.IFS(B4&lt;5000, "P1",B4&lt;20000, "P2",B4&lt;70000, "P3",B4&lt;100000, "P4",B4&lt;200000,"M1",B4&lt;500000,"M2",B4&lt;1000000,"G1",B4&gt;1000000,"G2")</f>
        <v>M2</v>
      </c>
      <c r="D4" s="170">
        <f>VLOOKUP(C4,Metodologia!A$2:H$9,8,FALSE)</f>
        <v>29.834512950944699</v>
      </c>
      <c r="E4" s="171">
        <f>VLOOKUP(A4,Educacional!A$2:P$405,16,FALSE)</f>
        <v>48.551507504000128</v>
      </c>
      <c r="F4" s="171">
        <f>VLOOKUP(A4,Demográfico!A$2:L$405,12,FALSE)</f>
        <v>32.364450437019762</v>
      </c>
      <c r="G4" s="172">
        <f>VLOOKUP(A4,Socioeconômico!A$2:M$405,13,FALSE)</f>
        <v>12.678384687816605</v>
      </c>
      <c r="H4" s="173">
        <f>(2*E4+F4+2*G4)/5/100</f>
        <v>0.30964846964130649</v>
      </c>
      <c r="I4" s="170">
        <f>VLOOKUP(A4,Resultados!A$2:B402,2,FALSE)</f>
        <v>0</v>
      </c>
      <c r="J4" s="5">
        <f>IFERROR(VLOOKUP(A4,Demográfico!A$2:E$400,5,FALSE)/(VLOOKUP(C4,Metodologia!A$2:G$9,7,FALSE))*D4,0)</f>
        <v>5.2013317825665446</v>
      </c>
      <c r="K4" s="72">
        <f>(J4*(1+H4)-I4)</f>
        <v>6.8119162091349637</v>
      </c>
      <c r="L4" s="3">
        <v>3</v>
      </c>
      <c r="M4" s="66">
        <f>VLOOKUP(A4,Demográfico!A$2:E$400,5,FALSE)*H4</f>
        <v>14103.249198282945</v>
      </c>
      <c r="N4" s="68">
        <f>FLOOR(K4,1)</f>
        <v>6</v>
      </c>
      <c r="O4" s="68">
        <f>K4-N4</f>
        <v>0.81191620913496365</v>
      </c>
      <c r="P4" s="65">
        <f>IFERROR(RANK(O4,O$2:O$400,0),0)</f>
        <v>21</v>
      </c>
      <c r="Q4" s="3">
        <f>N4+IF(P4&lt;P$1,1,0)</f>
        <v>7</v>
      </c>
      <c r="S4" s="65">
        <f>VLOOKUP(A4,Demográfico!A$2:E$400,5,FALSE)*(H4)</f>
        <v>14103.249198282945</v>
      </c>
      <c r="T4" s="79">
        <f>IFERROR(D4/D4,0)</f>
        <v>1</v>
      </c>
      <c r="U4" s="65">
        <f t="shared" si="0"/>
        <v>14103.249198282945</v>
      </c>
    </row>
    <row r="5" spans="1:21" ht="19.5" x14ac:dyDescent="0.25">
      <c r="A5" s="2" t="s">
        <v>9</v>
      </c>
      <c r="B5" s="168">
        <v>358371</v>
      </c>
      <c r="C5" s="169" t="str" cm="1">
        <f t="array" ref="C5">_xlfn.IFS(B5&lt;5000, "P1",B5&lt;20000, "P2",B5&lt;70000, "P3",B5&lt;100000, "P4",B5&lt;200000,"M1",B5&lt;500000,"M2",B5&lt;1000000,"G1",B5&gt;1000000,"G2")</f>
        <v>M2</v>
      </c>
      <c r="D5" s="170">
        <f>VLOOKUP(C5,Metodologia!A$2:H$9,8,FALSE)</f>
        <v>29.834512950944699</v>
      </c>
      <c r="E5" s="171">
        <f>VLOOKUP(A5,Educacional!A$2:P$405,16,FALSE)</f>
        <v>70.225564585415626</v>
      </c>
      <c r="F5" s="171">
        <f>VLOOKUP(A5,Demográfico!A$2:L$405,12,FALSE)</f>
        <v>50.63869742327671</v>
      </c>
      <c r="G5" s="172">
        <f>VLOOKUP(A5,Socioeconômico!A$2:M$405,13,FALSE)</f>
        <v>23.835002895503568</v>
      </c>
      <c r="H5" s="173">
        <f>(2*E5+F5+2*G5)/5/100</f>
        <v>0.47751966477023017</v>
      </c>
      <c r="I5" s="170">
        <f>VLOOKUP(A5,Resultados!A$2:B403,2,FALSE)</f>
        <v>0</v>
      </c>
      <c r="J5" s="5">
        <f>IFERROR(VLOOKUP(A5,Demográfico!A$2:E$400,5,FALSE)/(VLOOKUP(C5,Metodologia!A$2:G$9,7,FALSE))*D5,0)</f>
        <v>5.7618230746412964</v>
      </c>
      <c r="K5" s="72">
        <f>(J5*(1+H5)-I5)</f>
        <v>8.5132068977093862</v>
      </c>
      <c r="L5" s="3">
        <v>3</v>
      </c>
      <c r="M5" s="66">
        <f>VLOOKUP(A5,Demográfico!A$2:E$400,5,FALSE)*H5</f>
        <v>24092.777166317192</v>
      </c>
      <c r="N5" s="68">
        <f>FLOOR(K5,1)</f>
        <v>8</v>
      </c>
      <c r="O5" s="68">
        <f>K5-N5</f>
        <v>0.51320689770938621</v>
      </c>
      <c r="P5" s="65">
        <f>IFERROR(RANK(O5,O$2:O$400,0),0)</f>
        <v>63</v>
      </c>
      <c r="Q5" s="3">
        <f>N5+IF(P5&lt;P$1,1,0)</f>
        <v>9</v>
      </c>
      <c r="S5" s="65">
        <f>VLOOKUP(A5,Demográfico!A$2:E$400,5,FALSE)*(H5)</f>
        <v>24092.777166317192</v>
      </c>
      <c r="T5" s="79">
        <f>IFERROR(D5/D5,0)</f>
        <v>1</v>
      </c>
      <c r="U5" s="65">
        <f t="shared" si="0"/>
        <v>24092.777166317192</v>
      </c>
    </row>
    <row r="6" spans="1:21" ht="19.5" x14ac:dyDescent="0.25">
      <c r="A6" s="2" t="s">
        <v>10</v>
      </c>
      <c r="B6" s="168">
        <v>348051</v>
      </c>
      <c r="C6" s="169" t="str" cm="1">
        <f t="array" ref="C6">_xlfn.IFS(B6&lt;5000, "P1",B6&lt;20000, "P2",B6&lt;70000, "P3",B6&lt;100000, "P4",B6&lt;200000,"M1",B6&lt;500000,"M2",B6&lt;1000000,"G1",B6&gt;1000000,"G2")</f>
        <v>M2</v>
      </c>
      <c r="D6" s="170">
        <f>VLOOKUP(C6,Metodologia!A$2:H$9,8,FALSE)</f>
        <v>29.834512950944699</v>
      </c>
      <c r="E6" s="171">
        <f>VLOOKUP(A6,Educacional!A$2:P$405,16,FALSE)</f>
        <v>62.192263982816186</v>
      </c>
      <c r="F6" s="171">
        <f>VLOOKUP(A6,Demográfico!A$2:L$405,12,FALSE)</f>
        <v>46.363930869705435</v>
      </c>
      <c r="G6" s="172">
        <f>VLOOKUP(A6,Socioeconômico!A$2:M$405,13,FALSE)</f>
        <v>12.082409959911693</v>
      </c>
      <c r="H6" s="173">
        <f>(2*E6+F6+2*G6)/5/100</f>
        <v>0.38982655751032236</v>
      </c>
      <c r="I6" s="170">
        <f>VLOOKUP(A6,Resultados!A$2:B404,2,FALSE)</f>
        <v>0</v>
      </c>
      <c r="J6" s="5">
        <f>IFERROR(VLOOKUP(A6,Demográfico!A$2:E$400,5,FALSE)/(VLOOKUP(C6,Metodologia!A$2:G$9,7,FALSE))*D6,0)</f>
        <v>5.1526827828876849</v>
      </c>
      <c r="K6" s="72">
        <f>(J6*(1+H6)-I6)</f>
        <v>7.1613353740834986</v>
      </c>
      <c r="L6" s="3">
        <v>3</v>
      </c>
      <c r="M6" s="66">
        <f>VLOOKUP(A6,Demográfico!A$2:E$400,5,FALSE)*H6</f>
        <v>17588.974274865745</v>
      </c>
      <c r="N6" s="68">
        <f>FLOOR(K6,1)</f>
        <v>7</v>
      </c>
      <c r="O6" s="68">
        <f>K6-N6</f>
        <v>0.16133537408349863</v>
      </c>
      <c r="P6" s="65">
        <f>IFERROR(RANK(O6,O$2:O$400,0),0)</f>
        <v>230</v>
      </c>
      <c r="Q6" s="3">
        <f>N6+IF(P6&lt;P$1,1,0)</f>
        <v>7</v>
      </c>
      <c r="S6" s="65">
        <f>VLOOKUP(A6,Demográfico!A$2:E$400,5,FALSE)*(H6)</f>
        <v>17588.974274865745</v>
      </c>
      <c r="T6" s="79">
        <f>IFERROR(D6/D6,0)</f>
        <v>1</v>
      </c>
      <c r="U6" s="65">
        <f t="shared" si="0"/>
        <v>17588.974274865745</v>
      </c>
    </row>
    <row r="7" spans="1:21" ht="19.5" x14ac:dyDescent="0.25">
      <c r="A7" s="2" t="s">
        <v>11</v>
      </c>
      <c r="B7" s="168">
        <v>329628</v>
      </c>
      <c r="C7" s="169" t="str" cm="1">
        <f t="array" ref="C7">_xlfn.IFS(B7&lt;5000, "P1",B7&lt;20000, "P2",B7&lt;70000, "P3",B7&lt;100000, "P4",B7&lt;200000,"M1",B7&lt;500000,"M2",B7&lt;1000000,"G1",B7&gt;1000000,"G2")</f>
        <v>M2</v>
      </c>
      <c r="D7" s="170">
        <f>VLOOKUP(C7,Metodologia!A$2:H$9,8,FALSE)</f>
        <v>29.834512950944699</v>
      </c>
      <c r="E7" s="171">
        <f>VLOOKUP(A7,Educacional!A$2:P$405,16,FALSE)</f>
        <v>71.120463170487568</v>
      </c>
      <c r="F7" s="171">
        <f>VLOOKUP(A7,Demográfico!A$2:L$405,12,FALSE)</f>
        <v>51.131176235873042</v>
      </c>
      <c r="G7" s="172">
        <f>VLOOKUP(A7,Socioeconômico!A$2:M$405,13,FALSE)</f>
        <v>14.615579776264079</v>
      </c>
      <c r="H7" s="173">
        <f>(2*E7+F7+2*G7)/5/100</f>
        <v>0.44520652425875268</v>
      </c>
      <c r="I7" s="170">
        <f>VLOOKUP(A7,Resultados!A$2:B405,2,FALSE)</f>
        <v>0</v>
      </c>
      <c r="J7" s="5">
        <f>IFERROR(VLOOKUP(A7,Demográfico!A$2:E$400,5,FALSE)/(VLOOKUP(C7,Metodologia!A$2:G$9,7,FALSE))*D7,0)</f>
        <v>5.3692050913175393</v>
      </c>
      <c r="K7" s="72">
        <f>(J7*(1+H7)-I7)</f>
        <v>7.7596102280554193</v>
      </c>
      <c r="L7" s="3">
        <v>3</v>
      </c>
      <c r="M7" s="66">
        <f>VLOOKUP(A7,Demográfico!A$2:E$400,5,FALSE)*H7</f>
        <v>20931.829944549518</v>
      </c>
      <c r="N7" s="68">
        <f>FLOOR(K7,1)</f>
        <v>7</v>
      </c>
      <c r="O7" s="68">
        <f>K7-N7</f>
        <v>0.75961022805541933</v>
      </c>
      <c r="P7" s="65">
        <f>IFERROR(RANK(O7,O$2:O$400,0),0)</f>
        <v>25</v>
      </c>
      <c r="Q7" s="3">
        <f>N7+IF(P7&lt;P$1,1,0)</f>
        <v>8</v>
      </c>
      <c r="S7" s="65">
        <f>VLOOKUP(A7,Demográfico!A$2:E$400,5,FALSE)*(H7)</f>
        <v>20931.829944549518</v>
      </c>
      <c r="T7" s="79">
        <f>IFERROR(D7/D7,0)</f>
        <v>1</v>
      </c>
      <c r="U7" s="65">
        <f t="shared" si="0"/>
        <v>20931.829944549518</v>
      </c>
    </row>
    <row r="8" spans="1:21" ht="19.5" x14ac:dyDescent="0.25">
      <c r="A8" s="2" t="s">
        <v>12</v>
      </c>
      <c r="B8" s="168">
        <v>285415</v>
      </c>
      <c r="C8" s="169" t="str" cm="1">
        <f t="array" ref="C8">_xlfn.IFS(B8&lt;5000, "P1",B8&lt;20000, "P2",B8&lt;70000, "P3",B8&lt;100000, "P4",B8&lt;200000,"M1",B8&lt;500000,"M2",B8&lt;1000000,"G1",B8&gt;1000000,"G2")</f>
        <v>M2</v>
      </c>
      <c r="D8" s="170">
        <f>VLOOKUP(C8,Metodologia!A$2:H$9,8,FALSE)</f>
        <v>29.834512950944699</v>
      </c>
      <c r="E8" s="171">
        <f>VLOOKUP(A8,Educacional!A$2:P$405,16,FALSE)</f>
        <v>59.854018377483989</v>
      </c>
      <c r="F8" s="171">
        <f>VLOOKUP(A8,Demográfico!A$2:L$405,12,FALSE)</f>
        <v>53.393821239306995</v>
      </c>
      <c r="G8" s="172">
        <f>VLOOKUP(A8,Socioeconômico!A$2:M$405,13,FALSE)</f>
        <v>30.757392976440158</v>
      </c>
      <c r="H8" s="173">
        <f>(2*E8+F8+2*G8)/5/100</f>
        <v>0.46923328789431062</v>
      </c>
      <c r="I8" s="170">
        <f>VLOOKUP(A8,Resultados!A$2:B406,2,FALSE)</f>
        <v>0</v>
      </c>
      <c r="J8" s="5">
        <f>IFERROR(VLOOKUP(A8,Demográfico!A$2:E$400,5,FALSE)/(VLOOKUP(C8,Metodologia!A$2:G$9,7,FALSE))*D8,0)</f>
        <v>4.5087116345564864</v>
      </c>
      <c r="K8" s="72">
        <f>(J8*(1+H8)-I8)</f>
        <v>6.6243492190067581</v>
      </c>
      <c r="L8" s="3">
        <v>3</v>
      </c>
      <c r="M8" s="66">
        <f>VLOOKUP(A8,Demográfico!A$2:E$400,5,FALSE)*H8</f>
        <v>18525.799439355276</v>
      </c>
      <c r="N8" s="68">
        <f>FLOOR(K8,1)</f>
        <v>6</v>
      </c>
      <c r="O8" s="68">
        <f>K8-N8</f>
        <v>0.6243492190067581</v>
      </c>
      <c r="P8" s="65">
        <f>IFERROR(RANK(O8,O$2:O$400,0),0)</f>
        <v>43</v>
      </c>
      <c r="Q8" s="3">
        <f>N8+IF(P8&lt;P$1,1,0)</f>
        <v>7</v>
      </c>
      <c r="S8" s="65">
        <f>VLOOKUP(A8,Demográfico!A$2:E$400,5,FALSE)*(H8)</f>
        <v>18525.799439355276</v>
      </c>
      <c r="T8" s="79">
        <f>IFERROR(D8/D8,0)</f>
        <v>1</v>
      </c>
      <c r="U8" s="65">
        <f t="shared" si="0"/>
        <v>18525.799439355276</v>
      </c>
    </row>
    <row r="9" spans="1:21" ht="19.5" x14ac:dyDescent="0.25">
      <c r="A9" s="2" t="s">
        <v>13</v>
      </c>
      <c r="B9" s="168">
        <v>232212</v>
      </c>
      <c r="C9" s="169" t="str" cm="1">
        <f t="array" ref="C9">_xlfn.IFS(B9&lt;5000, "P1",B9&lt;20000, "P2",B9&lt;70000, "P3",B9&lt;100000, "P4",B9&lt;200000,"M1",B9&lt;500000,"M2",B9&lt;1000000,"G1",B9&gt;1000000,"G2")</f>
        <v>M2</v>
      </c>
      <c r="D9" s="170">
        <f>VLOOKUP(C9,Metodologia!A$2:H$9,8,FALSE)</f>
        <v>29.834512950944699</v>
      </c>
      <c r="E9" s="171">
        <f>VLOOKUP(A9,Educacional!A$2:P$405,16,FALSE)</f>
        <v>66.409353869502922</v>
      </c>
      <c r="F9" s="171">
        <f>VLOOKUP(A9,Demográfico!A$2:L$405,12,FALSE)</f>
        <v>50.192480760288369</v>
      </c>
      <c r="G9" s="172">
        <f>VLOOKUP(A9,Socioeconômico!A$2:M$405,13,FALSE)</f>
        <v>37.23533085442488</v>
      </c>
      <c r="H9" s="173">
        <f>(2*E9+F9+2*G9)/5/100</f>
        <v>0.51496370041628792</v>
      </c>
      <c r="I9" s="170">
        <f>VLOOKUP(A9,Resultados!A$2:B407,2,FALSE)</f>
        <v>0</v>
      </c>
      <c r="J9" s="5">
        <f>IFERROR(VLOOKUP(A9,Demográfico!A$2:E$400,5,FALSE)/(VLOOKUP(C9,Metodologia!A$2:G$9,7,FALSE))*D9,0)</f>
        <v>3.8407585849751467</v>
      </c>
      <c r="K9" s="72">
        <f>(J9*(1+H9)-I9)</f>
        <v>5.8186098382995741</v>
      </c>
      <c r="L9" s="3">
        <v>2</v>
      </c>
      <c r="M9" s="66">
        <f>VLOOKUP(A9,Demográfico!A$2:E$400,5,FALSE)*H9</f>
        <v>17319.259172400594</v>
      </c>
      <c r="N9" s="68">
        <f>FLOOR(K9,1)</f>
        <v>5</v>
      </c>
      <c r="O9" s="68">
        <f>K9-N9</f>
        <v>0.81860983829957412</v>
      </c>
      <c r="P9" s="65">
        <f>IFERROR(RANK(O9,O$2:O$400,0),0)</f>
        <v>20</v>
      </c>
      <c r="Q9" s="3">
        <f>N9+IF(P9&lt;P$1,1,0)</f>
        <v>6</v>
      </c>
      <c r="S9" s="65">
        <f>VLOOKUP(A9,Demográfico!A$2:E$400,5,FALSE)*(H9)</f>
        <v>17319.259172400594</v>
      </c>
      <c r="T9" s="79">
        <f>IFERROR(D9/D9,0)</f>
        <v>1</v>
      </c>
      <c r="U9" s="65">
        <f t="shared" si="0"/>
        <v>17319.259172400594</v>
      </c>
    </row>
    <row r="10" spans="1:21" ht="19.5" x14ac:dyDescent="0.25">
      <c r="A10" s="2" t="s">
        <v>14</v>
      </c>
      <c r="B10" s="168">
        <v>182093</v>
      </c>
      <c r="C10" s="169" t="str" cm="1">
        <f t="array" ref="C10">_xlfn.IFS(B10&lt;5000, "P1",B10&lt;20000, "P2",B10&lt;70000, "P3",B10&lt;100000, "P4",B10&lt;200000,"M1",B10&lt;500000,"M2",B10&lt;1000000,"G1",B10&gt;1000000,"G2")</f>
        <v>M1</v>
      </c>
      <c r="D10" s="170">
        <f>VLOOKUP(C10,Metodologia!A$2:H$9,8,FALSE)</f>
        <v>30.046353078654292</v>
      </c>
      <c r="E10" s="171">
        <f>VLOOKUP(A10,Educacional!A$2:P$405,16,FALSE)</f>
        <v>61.083403387561908</v>
      </c>
      <c r="F10" s="171">
        <f>VLOOKUP(A10,Demográfico!A$2:L$405,12,FALSE)</f>
        <v>55.600277119987865</v>
      </c>
      <c r="G10" s="172">
        <f>VLOOKUP(A10,Socioeconômico!A$2:M$405,13,FALSE)</f>
        <v>28.3840091657794</v>
      </c>
      <c r="H10" s="173">
        <f>(2*E10+F10+2*G10)/5/100</f>
        <v>0.46907020445334097</v>
      </c>
      <c r="I10" s="170">
        <f>VLOOKUP(A10,Resultados!A$2:B408,2,FALSE)</f>
        <v>1</v>
      </c>
      <c r="J10" s="5">
        <f>IFERROR(VLOOKUP(A10,Demográfico!A$2:E$400,5,FALSE)/(VLOOKUP(C10,Metodologia!A$2:G$9,7,FALSE))*D10,0)</f>
        <v>2.9182547835530124</v>
      </c>
      <c r="K10" s="72">
        <f>(J10*(1+H10)-I10)</f>
        <v>3.2871211515211645</v>
      </c>
      <c r="L10" s="3">
        <v>2</v>
      </c>
      <c r="M10" s="66">
        <f>VLOOKUP(A10,Demográfico!A$2:E$400,5,FALSE)*H10</f>
        <v>11986.620004600674</v>
      </c>
      <c r="N10" s="68">
        <f>FLOOR(K10,1)</f>
        <v>3</v>
      </c>
      <c r="O10" s="68">
        <f>K10-N10</f>
        <v>0.28712115152116446</v>
      </c>
      <c r="P10" s="65">
        <f>IFERROR(RANK(O10,O$2:O$400,0),0)</f>
        <v>144</v>
      </c>
      <c r="Q10" s="3">
        <f>N10+IF(P10&lt;P$1,1,0)</f>
        <v>3</v>
      </c>
      <c r="S10" s="65">
        <f>VLOOKUP(A10,Demográfico!A$2:E$400,5,FALSE)*(H10)</f>
        <v>11986.620004600674</v>
      </c>
      <c r="T10" s="79">
        <f>IFERROR(D10/D10,0)</f>
        <v>1</v>
      </c>
      <c r="U10" s="65">
        <f t="shared" si="0"/>
        <v>11986.620004600674</v>
      </c>
    </row>
    <row r="11" spans="1:21" ht="19.5" x14ac:dyDescent="0.25">
      <c r="A11" s="2" t="s">
        <v>15</v>
      </c>
      <c r="B11" s="168">
        <v>151666</v>
      </c>
      <c r="C11" s="169" t="str" cm="1">
        <f t="array" ref="C11">_xlfn.IFS(B11&lt;5000, "P1",B11&lt;20000, "P2",B11&lt;70000, "P3",B11&lt;100000, "P4",B11&lt;200000,"M1",B11&lt;500000,"M2",B11&lt;1000000,"G1",B11&gt;1000000,"G2")</f>
        <v>M1</v>
      </c>
      <c r="D11" s="170">
        <f>VLOOKUP(C11,Metodologia!A$2:H$9,8,FALSE)</f>
        <v>30.046353078654292</v>
      </c>
      <c r="E11" s="171">
        <f>VLOOKUP(A11,Educacional!A$2:P$405,16,FALSE)</f>
        <v>48.892272958045986</v>
      </c>
      <c r="F11" s="171">
        <f>VLOOKUP(A11,Demográfico!A$2:L$405,12,FALSE)</f>
        <v>49.468609359384132</v>
      </c>
      <c r="G11" s="172">
        <f>VLOOKUP(A11,Socioeconômico!A$2:M$405,13,FALSE)</f>
        <v>16.192753341499312</v>
      </c>
      <c r="H11" s="173">
        <f>(2*E11+F11+2*G11)/5/100</f>
        <v>0.35927732391694944</v>
      </c>
      <c r="I11" s="170">
        <f>VLOOKUP(A11,Resultados!A$2:B409,2,FALSE)</f>
        <v>0</v>
      </c>
      <c r="J11" s="5">
        <f>IFERROR(VLOOKUP(A11,Demográfico!A$2:E$400,5,FALSE)/(VLOOKUP(C11,Metodologia!A$2:G$9,7,FALSE))*D11,0)</f>
        <v>2.5503038986579742</v>
      </c>
      <c r="K11" s="72">
        <f>(J11*(1+H11)-I11)</f>
        <v>3.4665702585427738</v>
      </c>
      <c r="L11" s="3">
        <v>2</v>
      </c>
      <c r="M11" s="66">
        <f>VLOOKUP(A11,Demográfico!A$2:E$400,5,FALSE)*H11</f>
        <v>8023.3811977133146</v>
      </c>
      <c r="N11" s="68">
        <f>FLOOR(K11,1)</f>
        <v>3</v>
      </c>
      <c r="O11" s="68">
        <f>K11-N11</f>
        <v>0.46657025854277379</v>
      </c>
      <c r="P11" s="65">
        <f>IFERROR(RANK(O11,O$2:O$400,0),0)</f>
        <v>71</v>
      </c>
      <c r="Q11" s="3">
        <f>N11+IF(P11&lt;P$1,1,0)</f>
        <v>4</v>
      </c>
      <c r="S11" s="65">
        <f>VLOOKUP(A11,Demográfico!A$2:E$400,5,FALSE)*(H11)</f>
        <v>8023.3811977133146</v>
      </c>
      <c r="T11" s="79">
        <f>IFERROR(D11/D11,0)</f>
        <v>1</v>
      </c>
      <c r="U11" s="65">
        <f t="shared" si="0"/>
        <v>8023.3811977133146</v>
      </c>
    </row>
    <row r="12" spans="1:21" ht="19.5" x14ac:dyDescent="0.25">
      <c r="A12" s="2" t="s">
        <v>16</v>
      </c>
      <c r="B12" s="168">
        <v>150470</v>
      </c>
      <c r="C12" s="169" t="str" cm="1">
        <f t="array" ref="C12">_xlfn.IFS(B12&lt;5000, "P1",B12&lt;20000, "P2",B12&lt;70000, "P3",B12&lt;100000, "P4",B12&lt;200000,"M1",B12&lt;500000,"M2",B12&lt;1000000,"G1",B12&gt;1000000,"G2")</f>
        <v>M1</v>
      </c>
      <c r="D12" s="170">
        <f>VLOOKUP(C12,Metodologia!A$2:H$9,8,FALSE)</f>
        <v>30.046353078654292</v>
      </c>
      <c r="E12" s="171">
        <f>VLOOKUP(A12,Educacional!A$2:P$405,16,FALSE)</f>
        <v>51.770830245353416</v>
      </c>
      <c r="F12" s="171">
        <f>VLOOKUP(A12,Demográfico!A$2:L$405,12,FALSE)</f>
        <v>46.319073773812491</v>
      </c>
      <c r="G12" s="172">
        <f>VLOOKUP(A12,Socioeconômico!A$2:M$405,13,FALSE)</f>
        <v>7.3073308822852958</v>
      </c>
      <c r="H12" s="173">
        <f>(2*E12+F12+2*G12)/5/100</f>
        <v>0.32895079205817984</v>
      </c>
      <c r="I12" s="170">
        <f>VLOOKUP(A12,Resultados!A$2:B410,2,FALSE)</f>
        <v>0</v>
      </c>
      <c r="J12" s="5">
        <f>IFERROR(VLOOKUP(A12,Demográfico!A$2:E$400,5,FALSE)/(VLOOKUP(C12,Metodologia!A$2:G$9,7,FALSE))*D12,0)</f>
        <v>2.2337428021560979</v>
      </c>
      <c r="K12" s="72">
        <f>(J12*(1+H12)-I12)</f>
        <v>2.9685342661796041</v>
      </c>
      <c r="L12" s="3">
        <v>2</v>
      </c>
      <c r="M12" s="66">
        <f>VLOOKUP(A12,Demográfico!A$2:E$400,5,FALSE)*H12</f>
        <v>6434.2774926579978</v>
      </c>
      <c r="N12" s="68">
        <f>FLOOR(K12,1)</f>
        <v>2</v>
      </c>
      <c r="O12" s="68">
        <f>K12-N12</f>
        <v>0.96853426617960414</v>
      </c>
      <c r="P12" s="65">
        <f>IFERROR(RANK(O12,O$2:O$400,0),0)</f>
        <v>6</v>
      </c>
      <c r="Q12" s="3">
        <f>N12+IF(P12&lt;P$1,1,0)</f>
        <v>3</v>
      </c>
      <c r="S12" s="65">
        <f>VLOOKUP(A12,Demográfico!A$2:E$400,5,FALSE)*(H12)</f>
        <v>6434.2774926579978</v>
      </c>
      <c r="T12" s="79">
        <f>IFERROR(D12/D12,0)</f>
        <v>1</v>
      </c>
      <c r="U12" s="65">
        <f t="shared" si="0"/>
        <v>6434.2774926579978</v>
      </c>
    </row>
    <row r="13" spans="1:21" ht="19.5" x14ac:dyDescent="0.25">
      <c r="A13" s="2" t="s">
        <v>17</v>
      </c>
      <c r="B13" s="168">
        <v>148873</v>
      </c>
      <c r="C13" s="169" t="str" cm="1">
        <f t="array" ref="C13">_xlfn.IFS(B13&lt;5000, "P1",B13&lt;20000, "P2",B13&lt;70000, "P3",B13&lt;100000, "P4",B13&lt;200000,"M1",B13&lt;500000,"M2",B13&lt;1000000,"G1",B13&gt;1000000,"G2")</f>
        <v>M1</v>
      </c>
      <c r="D13" s="170">
        <f>VLOOKUP(C13,Metodologia!A$2:H$9,8,FALSE)</f>
        <v>30.046353078654292</v>
      </c>
      <c r="E13" s="171">
        <f>VLOOKUP(A13,Educacional!A$2:P$405,16,FALSE)</f>
        <v>76.705673946923156</v>
      </c>
      <c r="F13" s="171">
        <f>VLOOKUP(A13,Demográfico!A$2:L$405,12,FALSE)</f>
        <v>60.165164239073853</v>
      </c>
      <c r="G13" s="172">
        <f>VLOOKUP(A13,Socioeconômico!A$2:M$405,13,FALSE)</f>
        <v>27.811608072946335</v>
      </c>
      <c r="H13" s="173">
        <f>(2*E13+F13+2*G13)/5/100</f>
        <v>0.53839945655762567</v>
      </c>
      <c r="I13" s="170">
        <f>VLOOKUP(A13,Resultados!A$2:B411,2,FALSE)</f>
        <v>1</v>
      </c>
      <c r="J13" s="5">
        <f>IFERROR(VLOOKUP(A13,Demográfico!A$2:E$400,5,FALSE)/(VLOOKUP(C13,Metodologia!A$2:G$9,7,FALSE))*D13,0)</f>
        <v>2.8113640236952362</v>
      </c>
      <c r="K13" s="72">
        <f>(J13*(1+H13)-I13)</f>
        <v>3.3250008862384108</v>
      </c>
      <c r="L13" s="3">
        <v>2</v>
      </c>
      <c r="M13" s="66">
        <f>VLOOKUP(A13,Demográfico!A$2:E$400,5,FALSE)*H13</f>
        <v>13254.317821535629</v>
      </c>
      <c r="N13" s="68">
        <f>FLOOR(K13,1)</f>
        <v>3</v>
      </c>
      <c r="O13" s="68">
        <f>K13-N13</f>
        <v>0.32500088623841084</v>
      </c>
      <c r="P13" s="65">
        <f>IFERROR(RANK(O13,O$2:O$400,0),0)</f>
        <v>128</v>
      </c>
      <c r="Q13" s="3">
        <f>N13+IF(P13&lt;P$1,1,0)</f>
        <v>3</v>
      </c>
      <c r="S13" s="65">
        <f>VLOOKUP(A13,Demográfico!A$2:E$400,5,FALSE)*(H13)</f>
        <v>13254.317821535629</v>
      </c>
      <c r="T13" s="79">
        <f>IFERROR(D13/D13,0)</f>
        <v>1</v>
      </c>
      <c r="U13" s="65">
        <f t="shared" si="0"/>
        <v>13254.317821535629</v>
      </c>
    </row>
    <row r="14" spans="1:21" ht="19.5" x14ac:dyDescent="0.25">
      <c r="A14" s="2" t="s">
        <v>18</v>
      </c>
      <c r="B14" s="168">
        <v>145829</v>
      </c>
      <c r="C14" s="169" t="str" cm="1">
        <f t="array" ref="C14">_xlfn.IFS(B14&lt;5000, "P1",B14&lt;20000, "P2",B14&lt;70000, "P3",B14&lt;100000, "P4",B14&lt;200000,"M1",B14&lt;500000,"M2",B14&lt;1000000,"G1",B14&gt;1000000,"G2")</f>
        <v>M1</v>
      </c>
      <c r="D14" s="170">
        <f>VLOOKUP(C14,Metodologia!A$2:H$9,8,FALSE)</f>
        <v>30.046353078654292</v>
      </c>
      <c r="E14" s="171">
        <f>VLOOKUP(A14,Educacional!A$2:P$405,16,FALSE)</f>
        <v>65.08663201788643</v>
      </c>
      <c r="F14" s="171">
        <f>VLOOKUP(A14,Demográfico!A$2:L$405,12,FALSE)</f>
        <v>57.474840301119158</v>
      </c>
      <c r="G14" s="172">
        <f>VLOOKUP(A14,Socioeconômico!A$2:M$405,13,FALSE)</f>
        <v>27.509810848945399</v>
      </c>
      <c r="H14" s="173">
        <f>(2*E14+F14+2*G14)/5/100</f>
        <v>0.48533545206956563</v>
      </c>
      <c r="I14" s="170">
        <f>VLOOKUP(A14,Resultados!A$2:B412,2,FALSE)</f>
        <v>1</v>
      </c>
      <c r="J14" s="5">
        <f>IFERROR(VLOOKUP(A14,Demográfico!A$2:E$400,5,FALSE)/(VLOOKUP(C14,Metodologia!A$2:G$9,7,FALSE))*D14,0)</f>
        <v>2.4064124911571212</v>
      </c>
      <c r="K14" s="72">
        <f>(J14*(1+H14)-I14)</f>
        <v>2.5743297854187124</v>
      </c>
      <c r="L14" s="3">
        <v>2</v>
      </c>
      <c r="M14" s="66">
        <f>VLOOKUP(A14,Demográfico!A$2:E$400,5,FALSE)*H14</f>
        <v>10226.988646009888</v>
      </c>
      <c r="N14" s="68">
        <f>FLOOR(K14,1)</f>
        <v>2</v>
      </c>
      <c r="O14" s="68">
        <f>K14-N14</f>
        <v>0.57432978541871238</v>
      </c>
      <c r="P14" s="65">
        <f>IFERROR(RANK(O14,O$2:O$400,0),0)</f>
        <v>54</v>
      </c>
      <c r="Q14" s="3">
        <f>N14+IF(P14&lt;P$1,1,0)</f>
        <v>3</v>
      </c>
      <c r="S14" s="65">
        <f>VLOOKUP(A14,Demográfico!A$2:E$400,5,FALSE)*(H14)</f>
        <v>10226.988646009888</v>
      </c>
      <c r="T14" s="79">
        <f>IFERROR(D14/D14,0)</f>
        <v>1</v>
      </c>
      <c r="U14" s="65">
        <f t="shared" si="0"/>
        <v>10226.988646009888</v>
      </c>
    </row>
    <row r="15" spans="1:21" ht="19.5" x14ac:dyDescent="0.25">
      <c r="A15" s="2" t="s">
        <v>19</v>
      </c>
      <c r="B15" s="168">
        <v>136327</v>
      </c>
      <c r="C15" s="169" t="str" cm="1">
        <f t="array" ref="C15">_xlfn.IFS(B15&lt;5000, "P1",B15&lt;20000, "P2",B15&lt;70000, "P3",B15&lt;100000, "P4",B15&lt;200000,"M1",B15&lt;500000,"M2",B15&lt;1000000,"G1",B15&gt;1000000,"G2")</f>
        <v>M1</v>
      </c>
      <c r="D15" s="170">
        <f>VLOOKUP(C15,Metodologia!A$2:H$9,8,FALSE)</f>
        <v>30.046353078654292</v>
      </c>
      <c r="E15" s="171">
        <f>VLOOKUP(A15,Educacional!A$2:P$405,16,FALSE)</f>
        <v>62.554494849485195</v>
      </c>
      <c r="F15" s="171">
        <f>VLOOKUP(A15,Demográfico!A$2:L$405,12,FALSE)</f>
        <v>45.393209724675728</v>
      </c>
      <c r="G15" s="172">
        <f>VLOOKUP(A15,Socioeconômico!A$2:M$405,13,FALSE)</f>
        <v>26.48768600738499</v>
      </c>
      <c r="H15" s="173">
        <f>(2*E15+F15+2*G15)/5/100</f>
        <v>0.44695514287683225</v>
      </c>
      <c r="I15" s="170">
        <f>VLOOKUP(A15,Resultados!A$2:B413,2,FALSE)</f>
        <v>0</v>
      </c>
      <c r="J15" s="5">
        <f>IFERROR(VLOOKUP(A15,Demográfico!A$2:E$400,5,FALSE)/(VLOOKUP(C15,Metodologia!A$2:G$9,7,FALSE))*D15,0)</f>
        <v>2.1169166832089767</v>
      </c>
      <c r="K15" s="72">
        <f>(J15*(1+H15)-I15)</f>
        <v>3.0630834818109944</v>
      </c>
      <c r="L15" s="3">
        <v>2</v>
      </c>
      <c r="M15" s="66">
        <f>VLOOKUP(A15,Demográfico!A$2:E$400,5,FALSE)*H15</f>
        <v>8285.2074835078402</v>
      </c>
      <c r="N15" s="68">
        <f>FLOOR(K15,1)</f>
        <v>3</v>
      </c>
      <c r="O15" s="68">
        <f>K15-N15</f>
        <v>6.3083481810994435E-2</v>
      </c>
      <c r="P15" s="65">
        <f>IFERROR(RANK(O15,O$2:O$400,0),0)</f>
        <v>362</v>
      </c>
      <c r="Q15" s="3">
        <f>N15+IF(P15&lt;P$1,1,0)</f>
        <v>3</v>
      </c>
      <c r="S15" s="65">
        <f>VLOOKUP(A15,Demográfico!A$2:E$400,5,FALSE)*(H15)</f>
        <v>8285.2074835078402</v>
      </c>
      <c r="T15" s="79">
        <f>IFERROR(D15/D15,0)</f>
        <v>1</v>
      </c>
      <c r="U15" s="65">
        <f t="shared" si="0"/>
        <v>8285.2074835078402</v>
      </c>
    </row>
    <row r="16" spans="1:21" ht="19.5" x14ac:dyDescent="0.25">
      <c r="A16" s="2" t="s">
        <v>20</v>
      </c>
      <c r="B16" s="168">
        <v>130134</v>
      </c>
      <c r="C16" s="169" t="str" cm="1">
        <f t="array" ref="C16">_xlfn.IFS(B16&lt;5000, "P1",B16&lt;20000, "P2",B16&lt;70000, "P3",B16&lt;100000, "P4",B16&lt;200000,"M1",B16&lt;500000,"M2",B16&lt;1000000,"G1",B16&gt;1000000,"G2")</f>
        <v>M1</v>
      </c>
      <c r="D16" s="170">
        <f>VLOOKUP(C16,Metodologia!A$2:H$9,8,FALSE)</f>
        <v>30.046353078654292</v>
      </c>
      <c r="E16" s="171">
        <f>VLOOKUP(A16,Educacional!A$2:P$405,16,FALSE)</f>
        <v>47.946666135264557</v>
      </c>
      <c r="F16" s="171">
        <f>VLOOKUP(A16,Demográfico!A$2:L$405,12,FALSE)</f>
        <v>44.057217275802422</v>
      </c>
      <c r="G16" s="172">
        <f>VLOOKUP(A16,Socioeconômico!A$2:M$405,13,FALSE)</f>
        <v>30.732470554840507</v>
      </c>
      <c r="H16" s="173">
        <f>(2*E16+F16+2*G16)/5/100</f>
        <v>0.40283098131202505</v>
      </c>
      <c r="I16" s="170">
        <f>VLOOKUP(A16,Resultados!A$2:B414,2,FALSE)</f>
        <v>0</v>
      </c>
      <c r="J16" s="5">
        <f>IFERROR(VLOOKUP(A16,Demográfico!A$2:E$400,5,FALSE)/(VLOOKUP(C16,Metodologia!A$2:G$9,7,FALSE))*D16,0)</f>
        <v>1.934996832297184</v>
      </c>
      <c r="K16" s="72">
        <f>(J16*(1+H16)-I16)</f>
        <v>2.7144735050871187</v>
      </c>
      <c r="L16" s="3">
        <v>1</v>
      </c>
      <c r="M16" s="66">
        <f>VLOOKUP(A16,Demográfico!A$2:E$400,5,FALSE)*H16</f>
        <v>6825.5681473509521</v>
      </c>
      <c r="N16" s="68">
        <f>FLOOR(K16,1)</f>
        <v>2</v>
      </c>
      <c r="O16" s="68">
        <f>K16-N16</f>
        <v>0.71447350508711871</v>
      </c>
      <c r="P16" s="65">
        <f>IFERROR(RANK(O16,O$2:O$400,0),0)</f>
        <v>32</v>
      </c>
      <c r="Q16" s="3">
        <f>N16+IF(P16&lt;P$1,1,0)</f>
        <v>3</v>
      </c>
      <c r="S16" s="65">
        <f>VLOOKUP(A16,Demográfico!A$2:E$400,5,FALSE)*(H16)</f>
        <v>6825.5681473509521</v>
      </c>
      <c r="T16" s="79">
        <f>IFERROR(D16/D16,0)</f>
        <v>1</v>
      </c>
      <c r="U16" s="65">
        <f t="shared" si="0"/>
        <v>6825.5681473509521</v>
      </c>
    </row>
    <row r="17" spans="1:21" ht="19.5" x14ac:dyDescent="0.25">
      <c r="A17" s="2" t="s">
        <v>21</v>
      </c>
      <c r="B17" s="168">
        <v>127019</v>
      </c>
      <c r="C17" s="169" t="str" cm="1">
        <f t="array" ref="C17">_xlfn.IFS(B17&lt;5000, "P1",B17&lt;20000, "P2",B17&lt;70000, "P3",B17&lt;100000, "P4",B17&lt;200000,"M1",B17&lt;500000,"M2",B17&lt;1000000,"G1",B17&gt;1000000,"G2")</f>
        <v>M1</v>
      </c>
      <c r="D17" s="170">
        <f>VLOOKUP(C17,Metodologia!A$2:H$9,8,FALSE)</f>
        <v>30.046353078654292</v>
      </c>
      <c r="E17" s="171">
        <f>VLOOKUP(A17,Educacional!A$2:P$405,16,FALSE)</f>
        <v>44.434159588740187</v>
      </c>
      <c r="F17" s="171">
        <f>VLOOKUP(A17,Demográfico!A$2:L$405,12,FALSE)</f>
        <v>44.744745283965088</v>
      </c>
      <c r="G17" s="172">
        <f>VLOOKUP(A17,Socioeconômico!A$2:M$405,13,FALSE)</f>
        <v>24.630204990787867</v>
      </c>
      <c r="H17" s="173">
        <f>(2*E17+F17+2*G17)/5/100</f>
        <v>0.36574694888604237</v>
      </c>
      <c r="I17" s="170">
        <f>VLOOKUP(A17,Resultados!A$2:B415,2,FALSE)</f>
        <v>0</v>
      </c>
      <c r="J17" s="5">
        <f>IFERROR(VLOOKUP(A17,Demográfico!A$2:E$400,5,FALSE)/(VLOOKUP(C17,Metodologia!A$2:G$9,7,FALSE))*D17,0)</f>
        <v>1.9179811023625595</v>
      </c>
      <c r="K17" s="72">
        <f>(J17*(1+H17)-I17)</f>
        <v>2.6194768385727536</v>
      </c>
      <c r="L17" s="3">
        <v>1</v>
      </c>
      <c r="M17" s="66">
        <f>VLOOKUP(A17,Demográfico!A$2:E$400,5,FALSE)*H17</f>
        <v>6142.7200065410816</v>
      </c>
      <c r="N17" s="68">
        <f>FLOOR(K17,1)</f>
        <v>2</v>
      </c>
      <c r="O17" s="68">
        <f>K17-N17</f>
        <v>0.6194768385727536</v>
      </c>
      <c r="P17" s="65">
        <f>IFERROR(RANK(O17,O$2:O$400,0),0)</f>
        <v>45</v>
      </c>
      <c r="Q17" s="3">
        <f>N17+IF(P17&lt;P$1,1,0)</f>
        <v>3</v>
      </c>
      <c r="S17" s="65">
        <f>VLOOKUP(A17,Demográfico!A$2:E$400,5,FALSE)*(H17)</f>
        <v>6142.7200065410816</v>
      </c>
      <c r="T17" s="79">
        <f>IFERROR(D17/D17,0)</f>
        <v>1</v>
      </c>
      <c r="U17" s="65">
        <f t="shared" si="0"/>
        <v>6142.7200065410816</v>
      </c>
    </row>
    <row r="18" spans="1:21" ht="19.5" x14ac:dyDescent="0.25">
      <c r="A18" s="2" t="s">
        <v>22</v>
      </c>
      <c r="B18" s="168">
        <v>119825</v>
      </c>
      <c r="C18" s="169" t="str" cm="1">
        <f t="array" ref="C18">_xlfn.IFS(B18&lt;5000, "P1",B18&lt;20000, "P2",B18&lt;70000, "P3",B18&lt;100000, "P4",B18&lt;200000,"M1",B18&lt;500000,"M2",B18&lt;1000000,"G1",B18&gt;1000000,"G2")</f>
        <v>M1</v>
      </c>
      <c r="D18" s="170">
        <f>VLOOKUP(C18,Metodologia!A$2:H$9,8,FALSE)</f>
        <v>30.046353078654292</v>
      </c>
      <c r="E18" s="171">
        <f>VLOOKUP(A18,Educacional!A$2:P$405,16,FALSE)</f>
        <v>100</v>
      </c>
      <c r="F18" s="171">
        <f>VLOOKUP(A18,Demográfico!A$2:L$405,12,FALSE)</f>
        <v>55.369115563058649</v>
      </c>
      <c r="G18" s="172">
        <f>VLOOKUP(A18,Socioeconômico!A$2:M$405,13,FALSE)</f>
        <v>38.813775005746209</v>
      </c>
      <c r="H18" s="173">
        <f>(2*E18+F18+2*G18)/5/100</f>
        <v>0.66599333114910209</v>
      </c>
      <c r="I18" s="170">
        <f>VLOOKUP(A18,Resultados!A$2:B416,2,FALSE)</f>
        <v>0</v>
      </c>
      <c r="J18" s="5">
        <f>IFERROR(VLOOKUP(A18,Demográfico!A$2:E$400,5,FALSE)/(VLOOKUP(C18,Metodologia!A$2:G$9,7,FALSE))*D18,0)</f>
        <v>2.1600841054592328</v>
      </c>
      <c r="K18" s="72">
        <f>(J18*(1+H18)-I18)</f>
        <v>3.5986857144162556</v>
      </c>
      <c r="L18" s="3">
        <v>2</v>
      </c>
      <c r="M18" s="66">
        <f>VLOOKUP(A18,Demográfico!A$2:E$400,5,FALSE)*H18</f>
        <v>12597.263858685266</v>
      </c>
      <c r="N18" s="68">
        <f>FLOOR(K18,1)</f>
        <v>3</v>
      </c>
      <c r="O18" s="68">
        <f>K18-N18</f>
        <v>0.59868571441625562</v>
      </c>
      <c r="P18" s="65">
        <f>IFERROR(RANK(O18,O$2:O$400,0),0)</f>
        <v>50</v>
      </c>
      <c r="Q18" s="3">
        <f>N18+IF(P18&lt;P$1,1,0)</f>
        <v>4</v>
      </c>
      <c r="S18" s="65">
        <f>VLOOKUP(A18,Demográfico!A$2:E$400,5,FALSE)*(H18)</f>
        <v>12597.263858685266</v>
      </c>
      <c r="T18" s="79">
        <f>IFERROR(D18/D18,0)</f>
        <v>1</v>
      </c>
      <c r="U18" s="65">
        <f t="shared" si="0"/>
        <v>12597.263858685266</v>
      </c>
    </row>
    <row r="19" spans="1:21" ht="19.5" x14ac:dyDescent="0.25">
      <c r="A19" s="2" t="s">
        <v>23</v>
      </c>
      <c r="B19" s="168">
        <v>119138</v>
      </c>
      <c r="C19" s="169" t="str" cm="1">
        <f t="array" ref="C19">_xlfn.IFS(B19&lt;5000, "P1",B19&lt;20000, "P2",B19&lt;70000, "P3",B19&lt;100000, "P4",B19&lt;200000,"M1",B19&lt;500000,"M2",B19&lt;1000000,"G1",B19&gt;1000000,"G2")</f>
        <v>M1</v>
      </c>
      <c r="D19" s="170">
        <f>VLOOKUP(C19,Metodologia!A$2:H$9,8,FALSE)</f>
        <v>30.046353078654292</v>
      </c>
      <c r="E19" s="171">
        <f>VLOOKUP(A19,Educacional!A$2:P$405,16,FALSE)</f>
        <v>53.064565806462618</v>
      </c>
      <c r="F19" s="171">
        <f>VLOOKUP(A19,Demográfico!A$2:L$405,12,FALSE)</f>
        <v>44.530897569765152</v>
      </c>
      <c r="G19" s="172">
        <f>VLOOKUP(A19,Socioeconômico!A$2:M$405,13,FALSE)</f>
        <v>23.0772524561952</v>
      </c>
      <c r="H19" s="173">
        <f>(2*E19+F19+2*G19)/5/100</f>
        <v>0.39362906819016152</v>
      </c>
      <c r="I19" s="170">
        <f>VLOOKUP(A19,Resultados!A$2:B417,2,FALSE)</f>
        <v>0</v>
      </c>
      <c r="J19" s="5">
        <f>IFERROR(VLOOKUP(A19,Demográfico!A$2:E$400,5,FALSE)/(VLOOKUP(C19,Metodologia!A$2:G$9,7,FALSE))*D19,0)</f>
        <v>1.7666667254271387</v>
      </c>
      <c r="K19" s="72">
        <f>(J19*(1+H19)-I19)</f>
        <v>2.462078102359587</v>
      </c>
      <c r="L19" s="3">
        <v>1</v>
      </c>
      <c r="M19" s="66">
        <f>VLOOKUP(A19,Demográfico!A$2:E$400,5,FALSE)*H19</f>
        <v>6089.4416849017989</v>
      </c>
      <c r="N19" s="68">
        <f>FLOOR(K19,1)</f>
        <v>2</v>
      </c>
      <c r="O19" s="68">
        <f>K19-N19</f>
        <v>0.46207810235958702</v>
      </c>
      <c r="P19" s="65">
        <f>IFERROR(RANK(O19,O$2:O$400,0),0)</f>
        <v>73</v>
      </c>
      <c r="Q19" s="3">
        <f>N19+IF(P19&lt;P$1,1,0)</f>
        <v>3</v>
      </c>
      <c r="S19" s="65">
        <f>VLOOKUP(A19,Demográfico!A$2:E$400,5,FALSE)*(H19)</f>
        <v>6089.4416849017989</v>
      </c>
      <c r="T19" s="79">
        <f>IFERROR(D19/D19,0)</f>
        <v>1</v>
      </c>
      <c r="U19" s="65">
        <f t="shared" si="0"/>
        <v>6089.4416849017989</v>
      </c>
    </row>
    <row r="20" spans="1:21" ht="19.5" x14ac:dyDescent="0.25">
      <c r="A20" s="2" t="s">
        <v>24</v>
      </c>
      <c r="B20" s="168">
        <v>118730</v>
      </c>
      <c r="C20" s="169" t="str" cm="1">
        <f t="array" ref="C20">_xlfn.IFS(B20&lt;5000, "P1",B20&lt;20000, "P2",B20&lt;70000, "P3",B20&lt;100000, "P4",B20&lt;200000,"M1",B20&lt;500000,"M2",B20&lt;1000000,"G1",B20&gt;1000000,"G2")</f>
        <v>M1</v>
      </c>
      <c r="D20" s="170">
        <f>VLOOKUP(C20,Metodologia!A$2:H$9,8,FALSE)</f>
        <v>30.046353078654292</v>
      </c>
      <c r="E20" s="171">
        <f>VLOOKUP(A20,Educacional!A$2:P$405,16,FALSE)</f>
        <v>81.799610463789179</v>
      </c>
      <c r="F20" s="171">
        <f>VLOOKUP(A20,Demográfico!A$2:L$405,12,FALSE)</f>
        <v>51.092066078164997</v>
      </c>
      <c r="G20" s="172">
        <f>VLOOKUP(A20,Socioeconômico!A$2:M$405,13,FALSE)</f>
        <v>45.573903426322161</v>
      </c>
      <c r="H20" s="173">
        <f>(2*E20+F20+2*G20)/5/100</f>
        <v>0.6116781877167754</v>
      </c>
      <c r="I20" s="170">
        <f>VLOOKUP(A20,Resultados!A$2:B418,2,FALSE)</f>
        <v>1</v>
      </c>
      <c r="J20" s="5">
        <f>IFERROR(VLOOKUP(A20,Demográfico!A$2:E$400,5,FALSE)/(VLOOKUP(C20,Metodologia!A$2:G$9,7,FALSE))*D20,0)</f>
        <v>2.0807154322742383</v>
      </c>
      <c r="K20" s="72">
        <f>(J20*(1+H20)-I20)</f>
        <v>2.3534436770420712</v>
      </c>
      <c r="L20" s="3">
        <v>2</v>
      </c>
      <c r="M20" s="66">
        <f>VLOOKUP(A20,Demográfico!A$2:E$400,5,FALSE)*H20</f>
        <v>11144.776580199648</v>
      </c>
      <c r="N20" s="68">
        <f>FLOOR(K20,1)</f>
        <v>2</v>
      </c>
      <c r="O20" s="68">
        <f>K20-N20</f>
        <v>0.35344367704207125</v>
      </c>
      <c r="P20" s="65">
        <f>IFERROR(RANK(O20,O$2:O$400,0),0)</f>
        <v>110</v>
      </c>
      <c r="Q20" s="3">
        <f>N20+IF(P20&lt;P$1,1,0)</f>
        <v>3</v>
      </c>
      <c r="S20" s="65">
        <f>VLOOKUP(A20,Demográfico!A$2:E$400,5,FALSE)*(H20)</f>
        <v>11144.776580199648</v>
      </c>
      <c r="T20" s="79">
        <f>IFERROR(D20/D20,0)</f>
        <v>1</v>
      </c>
      <c r="U20" s="65">
        <f t="shared" si="0"/>
        <v>11144.776580199648</v>
      </c>
    </row>
    <row r="21" spans="1:21" ht="19.5" x14ac:dyDescent="0.25">
      <c r="A21" s="2" t="s">
        <v>25</v>
      </c>
      <c r="B21" s="168">
        <v>118455</v>
      </c>
      <c r="C21" s="169" t="str" cm="1">
        <f t="array" ref="C21">_xlfn.IFS(B21&lt;5000, "P1",B21&lt;20000, "P2",B21&lt;70000, "P3",B21&lt;100000, "P4",B21&lt;200000,"M1",B21&lt;500000,"M2",B21&lt;1000000,"G1",B21&gt;1000000,"G2")</f>
        <v>M1</v>
      </c>
      <c r="D21" s="170">
        <f>VLOOKUP(C21,Metodologia!A$2:H$9,8,FALSE)</f>
        <v>30.046353078654292</v>
      </c>
      <c r="E21" s="171">
        <f>VLOOKUP(A21,Educacional!A$2:P$405,16,FALSE)</f>
        <v>76.677696216482133</v>
      </c>
      <c r="F21" s="171">
        <f>VLOOKUP(A21,Demográfico!A$2:L$405,12,FALSE)</f>
        <v>51.851290485378264</v>
      </c>
      <c r="G21" s="172">
        <f>VLOOKUP(A21,Socioeconômico!A$2:M$405,13,FALSE)</f>
        <v>26.119177815217618</v>
      </c>
      <c r="H21" s="173">
        <f>(2*E21+F21+2*G21)/5/100</f>
        <v>0.51489007709755552</v>
      </c>
      <c r="I21" s="170">
        <f>VLOOKUP(A21,Resultados!A$2:B419,2,FALSE)</f>
        <v>1</v>
      </c>
      <c r="J21" s="5">
        <f>IFERROR(VLOOKUP(A21,Demográfico!A$2:E$400,5,FALSE)/(VLOOKUP(C21,Metodologia!A$2:G$9,7,FALSE))*D21,0)</f>
        <v>1.9296294543983428</v>
      </c>
      <c r="K21" s="72">
        <f>(J21*(1+H21)-I21)</f>
        <v>1.9231765129432197</v>
      </c>
      <c r="L21" s="3">
        <v>2</v>
      </c>
      <c r="M21" s="66">
        <f>VLOOKUP(A21,Demográfico!A$2:E$400,5,FALSE)*H21</f>
        <v>8700.0976327173958</v>
      </c>
      <c r="N21" s="68">
        <f>FLOOR(K21,1)</f>
        <v>1</v>
      </c>
      <c r="O21" s="68">
        <f>K21-N21</f>
        <v>0.92317651294321967</v>
      </c>
      <c r="P21" s="65">
        <f>IFERROR(RANK(O21,O$2:O$400,0),0)</f>
        <v>10</v>
      </c>
      <c r="Q21" s="3">
        <f>N21+IF(P21&lt;P$1,1,0)</f>
        <v>2</v>
      </c>
      <c r="S21" s="65">
        <f>VLOOKUP(A21,Demográfico!A$2:E$400,5,FALSE)*(H21)</f>
        <v>8700.0976327173958</v>
      </c>
      <c r="T21" s="79">
        <f>IFERROR(D21/D21,0)</f>
        <v>1</v>
      </c>
      <c r="U21" s="65">
        <f t="shared" si="0"/>
        <v>8700.0976327173958</v>
      </c>
    </row>
    <row r="22" spans="1:21" ht="19.5" x14ac:dyDescent="0.25">
      <c r="A22" s="2" t="s">
        <v>26</v>
      </c>
      <c r="B22" s="168">
        <v>117095</v>
      </c>
      <c r="C22" s="169" t="str" cm="1">
        <f t="array" ref="C22">_xlfn.IFS(B22&lt;5000, "P1",B22&lt;20000, "P2",B22&lt;70000, "P3",B22&lt;100000, "P4",B22&lt;200000,"M1",B22&lt;500000,"M2",B22&lt;1000000,"G1",B22&gt;1000000,"G2")</f>
        <v>M1</v>
      </c>
      <c r="D22" s="170">
        <f>VLOOKUP(C22,Metodologia!A$2:H$9,8,FALSE)</f>
        <v>30.046353078654292</v>
      </c>
      <c r="E22" s="171">
        <f>VLOOKUP(A22,Educacional!A$2:P$405,16,FALSE)</f>
        <v>62.289704104402411</v>
      </c>
      <c r="F22" s="171">
        <f>VLOOKUP(A22,Demográfico!A$2:L$405,12,FALSE)</f>
        <v>51.318557185078674</v>
      </c>
      <c r="G22" s="172">
        <f>VLOOKUP(A22,Socioeconômico!A$2:M$405,13,FALSE)</f>
        <v>26.286785664377639</v>
      </c>
      <c r="H22" s="173">
        <f>(2*E22+F22+2*G22)/5/100</f>
        <v>0.45694307344527757</v>
      </c>
      <c r="I22" s="170">
        <f>VLOOKUP(A22,Resultados!A$2:B420,2,FALSE)</f>
        <v>1</v>
      </c>
      <c r="J22" s="5">
        <f>IFERROR(VLOOKUP(A22,Demográfico!A$2:E$400,5,FALSE)/(VLOOKUP(C22,Metodologia!A$2:G$9,7,FALSE))*D22,0)</f>
        <v>1.6885542470695327</v>
      </c>
      <c r="K22" s="72">
        <f>(J22*(1+H22)-I22)</f>
        <v>1.4601274144045613</v>
      </c>
      <c r="L22" s="3">
        <v>1</v>
      </c>
      <c r="M22" s="66">
        <f>VLOOKUP(A22,Demográfico!A$2:E$400,5,FALSE)*H22</f>
        <v>6756.3602839618743</v>
      </c>
      <c r="N22" s="68">
        <f>FLOOR(K22,1)</f>
        <v>1</v>
      </c>
      <c r="O22" s="68">
        <f>K22-N22</f>
        <v>0.46012741440456129</v>
      </c>
      <c r="P22" s="65">
        <f>IFERROR(RANK(O22,O$2:O$400,0),0)</f>
        <v>75</v>
      </c>
      <c r="Q22" s="3">
        <f>N22+IF(P22&lt;P$1,1,0)</f>
        <v>2</v>
      </c>
      <c r="S22" s="65">
        <f>VLOOKUP(A22,Demográfico!A$2:E$400,5,FALSE)*(H22)</f>
        <v>6756.3602839618743</v>
      </c>
      <c r="T22" s="79">
        <f>IFERROR(D22/D22,0)</f>
        <v>1</v>
      </c>
      <c r="U22" s="65">
        <f t="shared" si="0"/>
        <v>6756.3602839618743</v>
      </c>
    </row>
    <row r="23" spans="1:21" ht="19.5" x14ac:dyDescent="0.25">
      <c r="A23" s="2" t="s">
        <v>27</v>
      </c>
      <c r="B23" s="168">
        <v>107208</v>
      </c>
      <c r="C23" s="169" t="str" cm="1">
        <f t="array" ref="C23">_xlfn.IFS(B23&lt;5000, "P1",B23&lt;20000, "P2",B23&lt;70000, "P3",B23&lt;100000, "P4",B23&lt;200000,"M1",B23&lt;500000,"M2",B23&lt;1000000,"G1",B23&gt;1000000,"G2")</f>
        <v>M1</v>
      </c>
      <c r="D23" s="170">
        <f>VLOOKUP(C23,Metodologia!A$2:H$9,8,FALSE)</f>
        <v>30.046353078654292</v>
      </c>
      <c r="E23" s="171">
        <f>VLOOKUP(A23,Educacional!A$2:P$405,16,FALSE)</f>
        <v>60.84473196630379</v>
      </c>
      <c r="F23" s="171">
        <f>VLOOKUP(A23,Demográfico!A$2:L$405,12,FALSE)</f>
        <v>38.693440354626965</v>
      </c>
      <c r="G23" s="172">
        <f>VLOOKUP(A23,Socioeconômico!A$2:M$405,13,FALSE)</f>
        <v>27.829211958665283</v>
      </c>
      <c r="H23" s="173">
        <f>(2*E23+F23+2*G23)/5/100</f>
        <v>0.43208265640913018</v>
      </c>
      <c r="I23" s="170">
        <f>VLOOKUP(A23,Resultados!A$2:B421,2,FALSE)</f>
        <v>0</v>
      </c>
      <c r="J23" s="5">
        <f>IFERROR(VLOOKUP(A23,Demográfico!A$2:E$400,5,FALSE)/(VLOOKUP(C23,Metodologia!A$2:G$9,7,FALSE))*D23,0)</f>
        <v>1.530730496937645</v>
      </c>
      <c r="K23" s="72">
        <f>(J23*(1+H23)-I23)</f>
        <v>2.1921325963009304</v>
      </c>
      <c r="L23" s="3">
        <v>1</v>
      </c>
      <c r="M23" s="66">
        <f>VLOOKUP(A23,Demográfico!A$2:E$400,5,FALSE)*H23</f>
        <v>5791.6359265079809</v>
      </c>
      <c r="N23" s="68">
        <f>FLOOR(K23,1)</f>
        <v>2</v>
      </c>
      <c r="O23" s="68">
        <f>K23-N23</f>
        <v>0.19213259630093038</v>
      </c>
      <c r="P23" s="65">
        <f>IFERROR(RANK(O23,O$2:O$400,0),0)</f>
        <v>202</v>
      </c>
      <c r="Q23" s="3">
        <f>N23+IF(P23&lt;P$1,1,0)</f>
        <v>2</v>
      </c>
      <c r="S23" s="65">
        <f>VLOOKUP(A23,Demográfico!A$2:E$400,5,FALSE)*(H23)</f>
        <v>5791.6359265079809</v>
      </c>
      <c r="T23" s="79">
        <f>IFERROR(D23/D23,0)</f>
        <v>1</v>
      </c>
      <c r="U23" s="65">
        <f t="shared" si="0"/>
        <v>5791.6359265079809</v>
      </c>
    </row>
    <row r="24" spans="1:21" ht="19.5" x14ac:dyDescent="0.25">
      <c r="A24" s="2" t="s">
        <v>28</v>
      </c>
      <c r="B24" s="168">
        <v>99432</v>
      </c>
      <c r="C24" s="169" t="str" cm="1">
        <f t="array" ref="C24">_xlfn.IFS(B24&lt;5000, "P1",B24&lt;20000, "P2",B24&lt;70000, "P3",B24&lt;100000, "P4",B24&lt;200000,"M1",B24&lt;500000,"M2",B24&lt;1000000,"G1",B24&gt;1000000,"G2")</f>
        <v>P4</v>
      </c>
      <c r="D24" s="170">
        <f>VLOOKUP(C24,Metodologia!A$2:H$9,8,FALSE)</f>
        <v>10.392043008865171</v>
      </c>
      <c r="E24" s="171">
        <f>VLOOKUP(A24,Educacional!A$2:P$405,16,FALSE)</f>
        <v>53.827124495985956</v>
      </c>
      <c r="F24" s="171">
        <f>VLOOKUP(A24,Demográfico!A$2:L$405,12,FALSE)</f>
        <v>45.846592753140477</v>
      </c>
      <c r="G24" s="172">
        <f>VLOOKUP(A24,Socioeconômico!A$2:M$405,13,FALSE)</f>
        <v>25.280277700344406</v>
      </c>
      <c r="H24" s="173">
        <f>(2*E24+F24+2*G24)/5/100</f>
        <v>0.40812279429160242</v>
      </c>
      <c r="I24" s="170">
        <f>VLOOKUP(A24,Resultados!A$2:B422,2,FALSE)</f>
        <v>0</v>
      </c>
      <c r="J24" s="5">
        <f>IFERROR(VLOOKUP(A24,Demográfico!A$2:E$400,5,FALSE)/(VLOOKUP(C24,Metodologia!A$2:G$9,7,FALSE))*D24,0)</f>
        <v>1.4549020091752907</v>
      </c>
      <c r="K24" s="72">
        <f>(J24*(1+H24)-I24)</f>
        <v>2.0486806825803767</v>
      </c>
      <c r="L24" s="3">
        <v>1</v>
      </c>
      <c r="M24" s="66">
        <f>VLOOKUP(A24,Demográfico!A$2:E$400,5,FALSE)*H24</f>
        <v>5199.4843992750148</v>
      </c>
      <c r="N24" s="68">
        <f>FLOOR(K24,1)</f>
        <v>2</v>
      </c>
      <c r="O24" s="68">
        <f>K24-N24</f>
        <v>4.8680682580376722E-2</v>
      </c>
      <c r="P24" s="65">
        <f>IFERROR(RANK(O24,O$2:O$400,0),0)</f>
        <v>382</v>
      </c>
      <c r="Q24" s="3">
        <f>N24+IF(P24&lt;P$1,1,0)</f>
        <v>2</v>
      </c>
      <c r="S24" s="65">
        <f>VLOOKUP(A24,Demográfico!A$2:E$400,5,FALSE)*(H24)</f>
        <v>5199.4843992750148</v>
      </c>
      <c r="T24" s="79">
        <f>IFERROR(D24/D24,0)</f>
        <v>1</v>
      </c>
      <c r="U24" s="65">
        <f t="shared" si="0"/>
        <v>5199.4843992750148</v>
      </c>
    </row>
    <row r="25" spans="1:21" ht="19.5" x14ac:dyDescent="0.25">
      <c r="A25" s="2" t="s">
        <v>29</v>
      </c>
      <c r="B25" s="168">
        <v>96666</v>
      </c>
      <c r="C25" s="169" t="str" cm="1">
        <f t="array" ref="C25">_xlfn.IFS(B25&lt;5000, "P1",B25&lt;20000, "P2",B25&lt;70000, "P3",B25&lt;100000, "P4",B25&lt;200000,"M1",B25&lt;500000,"M2",B25&lt;1000000,"G1",B25&gt;1000000,"G2")</f>
        <v>P4</v>
      </c>
      <c r="D25" s="170">
        <f>VLOOKUP(C25,Metodologia!A$2:H$9,8,FALSE)</f>
        <v>10.392043008865171</v>
      </c>
      <c r="E25" s="171">
        <f>VLOOKUP(A25,Educacional!A$2:P$405,16,FALSE)</f>
        <v>44.924726012537327</v>
      </c>
      <c r="F25" s="171">
        <f>VLOOKUP(A25,Demográfico!A$2:L$405,12,FALSE)</f>
        <v>46.703697476772149</v>
      </c>
      <c r="G25" s="172">
        <f>VLOOKUP(A25,Socioeconômico!A$2:M$405,13,FALSE)</f>
        <v>19.334853979699254</v>
      </c>
      <c r="H25" s="173">
        <f>(2*E25+F25+2*G25)/5/100</f>
        <v>0.3504457149224906</v>
      </c>
      <c r="I25" s="170">
        <f>VLOOKUP(A25,Resultados!A$2:B423,2,FALSE)</f>
        <v>0</v>
      </c>
      <c r="J25" s="5">
        <f>IFERROR(VLOOKUP(A25,Demográfico!A$2:E$400,5,FALSE)/(VLOOKUP(C25,Metodologia!A$2:G$9,7,FALSE))*D25,0)</f>
        <v>1.4143611761095742</v>
      </c>
      <c r="K25" s="72">
        <f>(J25*(1+H25)-I25)</f>
        <v>1.9100179896299088</v>
      </c>
      <c r="L25" s="3">
        <v>1</v>
      </c>
      <c r="M25" s="66">
        <f>VLOOKUP(A25,Demográfico!A$2:E$400,5,FALSE)*H25</f>
        <v>4340.2701793150463</v>
      </c>
      <c r="N25" s="68">
        <f>FLOOR(K25,1)</f>
        <v>1</v>
      </c>
      <c r="O25" s="68">
        <f>K25-N25</f>
        <v>0.91001798962990876</v>
      </c>
      <c r="P25" s="65">
        <f>IFERROR(RANK(O25,O$2:O$400,0),0)</f>
        <v>12</v>
      </c>
      <c r="Q25" s="3">
        <f>N25+IF(P25&lt;P$1,1,0)</f>
        <v>2</v>
      </c>
      <c r="S25" s="65">
        <f>VLOOKUP(A25,Demográfico!A$2:E$400,5,FALSE)*(H25)</f>
        <v>4340.2701793150463</v>
      </c>
      <c r="T25" s="79">
        <f>IFERROR(D25/D25,0)</f>
        <v>1</v>
      </c>
      <c r="U25" s="65">
        <f t="shared" si="0"/>
        <v>4340.2701793150463</v>
      </c>
    </row>
    <row r="26" spans="1:21" ht="19.5" x14ac:dyDescent="0.25">
      <c r="A26" s="2" t="s">
        <v>30</v>
      </c>
      <c r="B26" s="168">
        <v>92001</v>
      </c>
      <c r="C26" s="169" t="str" cm="1">
        <f t="array" ref="C26">_xlfn.IFS(B26&lt;5000, "P1",B26&lt;20000, "P2",B26&lt;70000, "P3",B26&lt;100000, "P4",B26&lt;200000,"M1",B26&lt;500000,"M2",B26&lt;1000000,"G1",B26&gt;1000000,"G2")</f>
        <v>P4</v>
      </c>
      <c r="D26" s="170">
        <f>VLOOKUP(C26,Metodologia!A$2:H$9,8,FALSE)</f>
        <v>10.392043008865171</v>
      </c>
      <c r="E26" s="171">
        <f>VLOOKUP(A26,Educacional!A$2:P$405,16,FALSE)</f>
        <v>58.518274181065891</v>
      </c>
      <c r="F26" s="171">
        <f>VLOOKUP(A26,Demográfico!A$2:L$405,12,FALSE)</f>
        <v>44.749668510355484</v>
      </c>
      <c r="G26" s="172">
        <f>VLOOKUP(A26,Socioeconômico!A$2:M$405,13,FALSE)</f>
        <v>27.359888472717529</v>
      </c>
      <c r="H26" s="173">
        <f>(2*E26+F26+2*G26)/5/100</f>
        <v>0.43301198763584464</v>
      </c>
      <c r="I26" s="170">
        <f>VLOOKUP(A26,Resultados!A$2:B424,2,FALSE)</f>
        <v>0</v>
      </c>
      <c r="J26" s="5">
        <f>IFERROR(VLOOKUP(A26,Demográfico!A$2:E$400,5,FALSE)/(VLOOKUP(C26,Metodologia!A$2:G$9,7,FALSE))*D26,0)</f>
        <v>1.3686813642045415</v>
      </c>
      <c r="K26" s="72">
        <f>(J26*(1+H26)-I26)</f>
        <v>1.9613368021588895</v>
      </c>
      <c r="L26" s="3">
        <v>1</v>
      </c>
      <c r="M26" s="66">
        <f>VLOOKUP(A26,Demográfico!A$2:E$400,5,FALSE)*H26</f>
        <v>5189.6486718155984</v>
      </c>
      <c r="N26" s="68">
        <f>FLOOR(K26,1)</f>
        <v>1</v>
      </c>
      <c r="O26" s="68">
        <f>K26-N26</f>
        <v>0.9613368021588895</v>
      </c>
      <c r="P26" s="65">
        <f>IFERROR(RANK(O26,O$2:O$400,0),0)</f>
        <v>8</v>
      </c>
      <c r="Q26" s="3">
        <f>N26+IF(P26&lt;P$1,1,0)</f>
        <v>2</v>
      </c>
      <c r="S26" s="65">
        <f>VLOOKUP(A26,Demográfico!A$2:E$400,5,FALSE)*(H26)</f>
        <v>5189.6486718155984</v>
      </c>
      <c r="T26" s="79">
        <f>IFERROR(D26/D26,0)</f>
        <v>1</v>
      </c>
      <c r="U26" s="65">
        <f t="shared" si="0"/>
        <v>5189.6486718155984</v>
      </c>
    </row>
    <row r="27" spans="1:21" ht="19.5" x14ac:dyDescent="0.25">
      <c r="A27" s="2" t="s">
        <v>31</v>
      </c>
      <c r="B27" s="168">
        <v>91836</v>
      </c>
      <c r="C27" s="169" t="str" cm="1">
        <f t="array" ref="C27">_xlfn.IFS(B27&lt;5000, "P1",B27&lt;20000, "P2",B27&lt;70000, "P3",B27&lt;100000, "P4",B27&lt;200000,"M1",B27&lt;500000,"M2",B27&lt;1000000,"G1",B27&gt;1000000,"G2")</f>
        <v>P4</v>
      </c>
      <c r="D27" s="170">
        <f>VLOOKUP(C27,Metodologia!A$2:H$9,8,FALSE)</f>
        <v>10.392043008865171</v>
      </c>
      <c r="E27" s="171">
        <f>VLOOKUP(A27,Educacional!A$2:P$405,16,FALSE)</f>
        <v>50.621040997542281</v>
      </c>
      <c r="F27" s="171">
        <f>VLOOKUP(A27,Demográfico!A$2:L$405,12,FALSE)</f>
        <v>48.088322277109604</v>
      </c>
      <c r="G27" s="172">
        <f>VLOOKUP(A27,Socioeconômico!A$2:M$405,13,FALSE)</f>
        <v>11.259050306820823</v>
      </c>
      <c r="H27" s="173">
        <f>(2*E27+F27+2*G27)/5/100</f>
        <v>0.34369700977167161</v>
      </c>
      <c r="I27" s="170">
        <f>VLOOKUP(A27,Resultados!A$2:B425,2,FALSE)</f>
        <v>0</v>
      </c>
      <c r="J27" s="5">
        <f>IFERROR(VLOOKUP(A27,Demográfico!A$2:E$400,5,FALSE)/(VLOOKUP(C27,Metodologia!A$2:G$9,7,FALSE))*D27,0)</f>
        <v>1.3645701811330886</v>
      </c>
      <c r="K27" s="72">
        <f>(J27*(1+H27)-I27)</f>
        <v>1.8335688720121195</v>
      </c>
      <c r="L27" s="3">
        <v>1</v>
      </c>
      <c r="M27" s="66">
        <f>VLOOKUP(A27,Demográfico!A$2:E$400,5,FALSE)*H27</f>
        <v>4106.8355697617044</v>
      </c>
      <c r="N27" s="68">
        <f>FLOOR(K27,1)</f>
        <v>1</v>
      </c>
      <c r="O27" s="68">
        <f>K27-N27</f>
        <v>0.83356887201211949</v>
      </c>
      <c r="P27" s="65">
        <f>IFERROR(RANK(O27,O$2:O$400,0),0)</f>
        <v>19</v>
      </c>
      <c r="Q27" s="3">
        <f>N27+IF(P27&lt;P$1,1,0)</f>
        <v>2</v>
      </c>
      <c r="S27" s="65">
        <f>VLOOKUP(A27,Demográfico!A$2:E$400,5,FALSE)*(H27)</f>
        <v>4106.8355697617044</v>
      </c>
      <c r="T27" s="79">
        <f>IFERROR(D27/D27,0)</f>
        <v>1</v>
      </c>
      <c r="U27" s="65">
        <f t="shared" si="0"/>
        <v>4106.8355697617044</v>
      </c>
    </row>
    <row r="28" spans="1:21" ht="19.5" x14ac:dyDescent="0.25">
      <c r="A28" s="2" t="s">
        <v>32</v>
      </c>
      <c r="B28" s="168">
        <v>79527</v>
      </c>
      <c r="C28" s="169" t="str" cm="1">
        <f t="array" ref="C28">_xlfn.IFS(B28&lt;5000, "P1",B28&lt;20000, "P2",B28&lt;70000, "P3",B28&lt;100000, "P4",B28&lt;200000,"M1",B28&lt;500000,"M2",B28&lt;1000000,"G1",B28&gt;1000000,"G2")</f>
        <v>P4</v>
      </c>
      <c r="D28" s="170">
        <f>VLOOKUP(C28,Metodologia!A$2:H$9,8,FALSE)</f>
        <v>10.392043008865171</v>
      </c>
      <c r="E28" s="171">
        <f>VLOOKUP(A28,Educacional!A$2:P$405,16,FALSE)</f>
        <v>48.936339034471274</v>
      </c>
      <c r="F28" s="171">
        <f>VLOOKUP(A28,Demográfico!A$2:L$405,12,FALSE)</f>
        <v>44.947973091678008</v>
      </c>
      <c r="G28" s="172">
        <f>VLOOKUP(A28,Socioeconômico!A$2:M$405,13,FALSE)</f>
        <v>21.948345069503311</v>
      </c>
      <c r="H28" s="173">
        <f>(2*E28+F28+2*G28)/5/100</f>
        <v>0.37343468259925444</v>
      </c>
      <c r="I28" s="170">
        <f>VLOOKUP(A28,Resultados!A$2:B426,2,FALSE)</f>
        <v>0</v>
      </c>
      <c r="J28" s="5">
        <f>IFERROR(VLOOKUP(A28,Demográfico!A$2:E$400,5,FALSE)/(VLOOKUP(C28,Metodologia!A$2:G$9,7,FALSE))*D28,0)</f>
        <v>1.1559276402568517</v>
      </c>
      <c r="K28" s="72">
        <f>(J28*(1+H28)-I28)</f>
        <v>1.5875911117038743</v>
      </c>
      <c r="L28" s="3">
        <v>1</v>
      </c>
      <c r="M28" s="66">
        <f>VLOOKUP(A28,Demográfico!A$2:E$400,5,FALSE)*H28</f>
        <v>3779.9058572696536</v>
      </c>
      <c r="N28" s="68">
        <f>FLOOR(K28,1)</f>
        <v>1</v>
      </c>
      <c r="O28" s="68">
        <f>K28-N28</f>
        <v>0.58759111170387435</v>
      </c>
      <c r="P28" s="65">
        <f>IFERROR(RANK(O28,O$2:O$400,0),0)</f>
        <v>53</v>
      </c>
      <c r="Q28" s="3">
        <f>N28+IF(P28&lt;P$1,1,0)</f>
        <v>2</v>
      </c>
      <c r="S28" s="65">
        <f>VLOOKUP(A28,Demográfico!A$2:E$400,5,FALSE)*(H28)</f>
        <v>3779.9058572696536</v>
      </c>
      <c r="T28" s="79">
        <f>IFERROR(D28/D28,0)</f>
        <v>1</v>
      </c>
      <c r="U28" s="65">
        <f t="shared" si="0"/>
        <v>3779.9058572696536</v>
      </c>
    </row>
    <row r="29" spans="1:21" ht="19.5" x14ac:dyDescent="0.25">
      <c r="A29" s="2" t="s">
        <v>33</v>
      </c>
      <c r="B29" s="168">
        <v>75042</v>
      </c>
      <c r="C29" s="169" t="str" cm="1">
        <f t="array" ref="C29">_xlfn.IFS(B29&lt;5000, "P1",B29&lt;20000, "P2",B29&lt;70000, "P3",B29&lt;100000, "P4",B29&lt;200000,"M1",B29&lt;500000,"M2",B29&lt;1000000,"G1",B29&gt;1000000,"G2")</f>
        <v>P4</v>
      </c>
      <c r="D29" s="170">
        <f>VLOOKUP(C29,Metodologia!A$2:H$9,8,FALSE)</f>
        <v>10.392043008865171</v>
      </c>
      <c r="E29" s="171">
        <f>VLOOKUP(A29,Educacional!A$2:P$405,16,FALSE)</f>
        <v>65.835350902111273</v>
      </c>
      <c r="F29" s="171">
        <f>VLOOKUP(A29,Demográfico!A$2:L$405,12,FALSE)</f>
        <v>56.385124568570646</v>
      </c>
      <c r="G29" s="172">
        <f>VLOOKUP(A29,Socioeconômico!A$2:M$405,13,FALSE)</f>
        <v>15.78442495615031</v>
      </c>
      <c r="H29" s="173">
        <f>(2*E29+F29+2*G29)/5/100</f>
        <v>0.4392493525701876</v>
      </c>
      <c r="I29" s="170">
        <f>VLOOKUP(A29,Resultados!A$2:B427,2,FALSE)</f>
        <v>0</v>
      </c>
      <c r="J29" s="5">
        <f>IFERROR(VLOOKUP(A29,Demográfico!A$2:E$400,5,FALSE)/(VLOOKUP(C29,Metodologia!A$2:G$9,7,FALSE))*D29,0)</f>
        <v>1.2583646184538875</v>
      </c>
      <c r="K29" s="72">
        <f>(J29*(1+H29)-I29)</f>
        <v>1.8111004624069886</v>
      </c>
      <c r="L29" s="3">
        <v>1</v>
      </c>
      <c r="M29" s="66">
        <f>VLOOKUP(A29,Demográfico!A$2:E$400,5,FALSE)*H29</f>
        <v>4840.0886159708971</v>
      </c>
      <c r="N29" s="68">
        <f>FLOOR(K29,1)</f>
        <v>1</v>
      </c>
      <c r="O29" s="68">
        <f>K29-N29</f>
        <v>0.81110046240698863</v>
      </c>
      <c r="P29" s="65">
        <f>IFERROR(RANK(O29,O$2:O$400,0),0)</f>
        <v>22</v>
      </c>
      <c r="Q29" s="3">
        <f>N29+IF(P29&lt;P$1,1,0)</f>
        <v>2</v>
      </c>
      <c r="S29" s="65">
        <f>VLOOKUP(A29,Demográfico!A$2:E$400,5,FALSE)*(H29)</f>
        <v>4840.0886159708971</v>
      </c>
      <c r="T29" s="79">
        <f>IFERROR(D29/D29,0)</f>
        <v>1</v>
      </c>
      <c r="U29" s="65">
        <f t="shared" si="0"/>
        <v>4840.0886159708971</v>
      </c>
    </row>
    <row r="30" spans="1:21" ht="19.5" x14ac:dyDescent="0.25">
      <c r="A30" s="2" t="s">
        <v>34</v>
      </c>
      <c r="B30" s="168">
        <v>73075</v>
      </c>
      <c r="C30" s="169" t="str" cm="1">
        <f t="array" ref="C30">_xlfn.IFS(B30&lt;5000, "P1",B30&lt;20000, "P2",B30&lt;70000, "P3",B30&lt;100000, "P4",B30&lt;200000,"M1",B30&lt;500000,"M2",B30&lt;1000000,"G1",B30&gt;1000000,"G2")</f>
        <v>P4</v>
      </c>
      <c r="D30" s="170">
        <f>VLOOKUP(C30,Metodologia!A$2:H$9,8,FALSE)</f>
        <v>10.392043008865171</v>
      </c>
      <c r="E30" s="171">
        <f>VLOOKUP(A30,Educacional!A$2:P$405,16,FALSE)</f>
        <v>73.07245791371993</v>
      </c>
      <c r="F30" s="171">
        <f>VLOOKUP(A30,Demográfico!A$2:L$405,12,FALSE)</f>
        <v>56.431387419875179</v>
      </c>
      <c r="G30" s="172">
        <f>VLOOKUP(A30,Socioeconômico!A$2:M$405,13,FALSE)</f>
        <v>32.405816474315941</v>
      </c>
      <c r="H30" s="173">
        <f>(2*E30+F30+2*G30)/5/100</f>
        <v>0.53477587239189384</v>
      </c>
      <c r="I30" s="170">
        <f>VLOOKUP(A30,Resultados!A$2:B428,2,FALSE)</f>
        <v>0</v>
      </c>
      <c r="J30" s="5">
        <f>IFERROR(VLOOKUP(A30,Demográfico!A$2:E$400,5,FALSE)/(VLOOKUP(C30,Metodologia!A$2:G$9,7,FALSE))*D30,0)</f>
        <v>1.2894268905493098</v>
      </c>
      <c r="K30" s="72">
        <f>(J30*(1+H30)-I30)</f>
        <v>1.978981280828384</v>
      </c>
      <c r="L30" s="3">
        <v>1</v>
      </c>
      <c r="M30" s="66">
        <f>VLOOKUP(A30,Demográfico!A$2:E$400,5,FALSE)*H30</f>
        <v>6038.1543751768731</v>
      </c>
      <c r="N30" s="68">
        <f>FLOOR(K30,1)</f>
        <v>1</v>
      </c>
      <c r="O30" s="68">
        <f>K30-N30</f>
        <v>0.97898128082838398</v>
      </c>
      <c r="P30" s="65">
        <f>IFERROR(RANK(O30,O$2:O$400,0),0)</f>
        <v>4</v>
      </c>
      <c r="Q30" s="3">
        <f>N30+IF(P30&lt;P$1,1,0)</f>
        <v>2</v>
      </c>
      <c r="S30" s="65">
        <f>VLOOKUP(A30,Demográfico!A$2:E$400,5,FALSE)*(H30)</f>
        <v>6038.1543751768731</v>
      </c>
      <c r="T30" s="79">
        <f>IFERROR(D30/D30,0)</f>
        <v>1</v>
      </c>
      <c r="U30" s="65">
        <f t="shared" si="0"/>
        <v>6038.1543751768731</v>
      </c>
    </row>
    <row r="31" spans="1:21" ht="19.5" x14ac:dyDescent="0.25">
      <c r="A31" s="2" t="s">
        <v>35</v>
      </c>
      <c r="B31" s="168">
        <v>71670</v>
      </c>
      <c r="C31" s="169" t="str" cm="1">
        <f t="array" ref="C31">_xlfn.IFS(B31&lt;5000, "P1",B31&lt;20000, "P2",B31&lt;70000, "P3",B31&lt;100000, "P4",B31&lt;200000,"M1",B31&lt;500000,"M2",B31&lt;1000000,"G1",B31&gt;1000000,"G2")</f>
        <v>P4</v>
      </c>
      <c r="D31" s="170">
        <f>VLOOKUP(C31,Metodologia!A$2:H$9,8,FALSE)</f>
        <v>10.392043008865171</v>
      </c>
      <c r="E31" s="171">
        <f>VLOOKUP(A31,Educacional!A$2:P$405,16,FALSE)</f>
        <v>61.898387468606884</v>
      </c>
      <c r="F31" s="171">
        <f>VLOOKUP(A31,Demográfico!A$2:L$405,12,FALSE)</f>
        <v>51.665504657338126</v>
      </c>
      <c r="G31" s="172">
        <f>VLOOKUP(A31,Socioeconômico!A$2:M$405,13,FALSE)</f>
        <v>20.824024001308992</v>
      </c>
      <c r="H31" s="173">
        <f>(2*E31+F31+2*G31)/5/100</f>
        <v>0.43422065519433978</v>
      </c>
      <c r="I31" s="170">
        <f>VLOOKUP(A31,Resultados!A$2:B429,2,FALSE)</f>
        <v>0</v>
      </c>
      <c r="J31" s="5">
        <f>IFERROR(VLOOKUP(A31,Demográfico!A$2:E$400,5,FALSE)/(VLOOKUP(C31,Metodologia!A$2:G$9,7,FALSE))*D31,0)</f>
        <v>1.0858091289826266</v>
      </c>
      <c r="K31" s="72">
        <f>(J31*(1+H31)-I31)</f>
        <v>1.557289880385458</v>
      </c>
      <c r="L31" s="3">
        <v>1</v>
      </c>
      <c r="M31" s="66">
        <f>VLOOKUP(A31,Demográfico!A$2:E$400,5,FALSE)*H31</f>
        <v>4128.5699895877824</v>
      </c>
      <c r="N31" s="68">
        <f>FLOOR(K31,1)</f>
        <v>1</v>
      </c>
      <c r="O31" s="68">
        <f>K31-N31</f>
        <v>0.55728988038545801</v>
      </c>
      <c r="P31" s="65">
        <f>IFERROR(RANK(O31,O$2:O$400,0),0)</f>
        <v>56</v>
      </c>
      <c r="Q31" s="3">
        <f>N31+IF(P31&lt;P$1,1,0)</f>
        <v>2</v>
      </c>
      <c r="S31" s="65">
        <f>VLOOKUP(A31,Demográfico!A$2:E$400,5,FALSE)*(H31)</f>
        <v>4128.5699895877824</v>
      </c>
      <c r="T31" s="79">
        <f>IFERROR(D31/D31,0)</f>
        <v>1</v>
      </c>
      <c r="U31" s="65">
        <f t="shared" si="0"/>
        <v>4128.5699895877824</v>
      </c>
    </row>
    <row r="32" spans="1:21" ht="19.5" x14ac:dyDescent="0.25">
      <c r="A32" s="2" t="s">
        <v>36</v>
      </c>
      <c r="B32" s="168">
        <v>59250</v>
      </c>
      <c r="C32" s="169" t="str" cm="1">
        <f t="array" ref="C32">_xlfn.IFS(B32&lt;5000, "P1",B32&lt;20000, "P2",B32&lt;70000, "P3",B32&lt;100000, "P4",B32&lt;200000,"M1",B32&lt;500000,"M2",B32&lt;1000000,"G1",B32&gt;1000000,"G2")</f>
        <v>P3</v>
      </c>
      <c r="D32" s="170">
        <f>VLOOKUP(C32,Metodologia!A$2:H$9,8,FALSE)</f>
        <v>32.026801323796981</v>
      </c>
      <c r="E32" s="171">
        <f>VLOOKUP(A32,Educacional!A$2:P$405,16,FALSE)</f>
        <v>65.32294594104161</v>
      </c>
      <c r="F32" s="171">
        <f>VLOOKUP(A32,Demográfico!A$2:L$405,12,FALSE)</f>
        <v>42.090227281186742</v>
      </c>
      <c r="G32" s="172">
        <f>VLOOKUP(A32,Socioeconômico!A$2:M$405,13,FALSE)</f>
        <v>40.36640337095627</v>
      </c>
      <c r="H32" s="173">
        <f>(1*E32+F32+3*G32)/5/100</f>
        <v>0.45702476667019432</v>
      </c>
      <c r="I32" s="170">
        <f>VLOOKUP(A32,Resultados!A$2:B430,2,FALSE)</f>
        <v>0</v>
      </c>
      <c r="J32" s="5">
        <f>IFERROR(VLOOKUP(A32,Demográfico!A$2:E$400,5,FALSE)/(VLOOKUP(C32,Metodologia!A$2:G$9,7,FALSE))*D32,0)</f>
        <v>0.87613879233852665</v>
      </c>
      <c r="K32" s="72">
        <f>(J32*(1+H32)-I32)</f>
        <v>1.2765559194777476</v>
      </c>
      <c r="L32" s="3">
        <v>1</v>
      </c>
      <c r="M32" s="66">
        <f>VLOOKUP(A32,Demográfico!A$2:E$400,5,FALSE)*H32</f>
        <v>3506.2940098937306</v>
      </c>
      <c r="N32" s="68">
        <f>IFERROR(FLOOR(K32,1),0)</f>
        <v>1</v>
      </c>
      <c r="O32" s="68">
        <f>K32-N32</f>
        <v>0.2765559194777476</v>
      </c>
      <c r="P32" s="65">
        <f>IFERROR(RANK(O32,O$2:O$400,0),0)</f>
        <v>149</v>
      </c>
      <c r="Q32" s="3">
        <f>N32+IF(P32&lt;P$1,1,0)</f>
        <v>1</v>
      </c>
      <c r="S32" s="65">
        <f>VLOOKUP(A32,Demográfico!A$2:E$400,5,FALSE)*(H32)</f>
        <v>3506.2940098937306</v>
      </c>
      <c r="T32" s="79">
        <f>IFERROR(D32/D32,0)</f>
        <v>1</v>
      </c>
      <c r="U32" s="65">
        <f t="shared" si="0"/>
        <v>3506.2940098937306</v>
      </c>
    </row>
    <row r="33" spans="1:21" ht="19.5" x14ac:dyDescent="0.25">
      <c r="A33" s="2" t="s">
        <v>37</v>
      </c>
      <c r="B33" s="168">
        <v>55836</v>
      </c>
      <c r="C33" s="169" t="str" cm="1">
        <f t="array" ref="C33">_xlfn.IFS(B33&lt;5000, "P1",B33&lt;20000, "P2",B33&lt;70000, "P3",B33&lt;100000, "P4",B33&lt;200000,"M1",B33&lt;500000,"M2",B33&lt;1000000,"G1",B33&gt;1000000,"G2")</f>
        <v>P3</v>
      </c>
      <c r="D33" s="170">
        <f>VLOOKUP(C33,Metodologia!A$2:H$9,8,FALSE)</f>
        <v>32.026801323796981</v>
      </c>
      <c r="E33" s="171">
        <f>VLOOKUP(A33,Educacional!A$2:P$405,16,FALSE)</f>
        <v>48.265239520585055</v>
      </c>
      <c r="F33" s="171">
        <f>VLOOKUP(A33,Demográfico!A$2:L$405,12,FALSE)</f>
        <v>43.874611830583156</v>
      </c>
      <c r="G33" s="172">
        <f>VLOOKUP(A33,Socioeconômico!A$2:M$405,13,FALSE)</f>
        <v>13.962972699172022</v>
      </c>
      <c r="H33" s="173">
        <f>(1*E33+F33+3*G33)/5/100</f>
        <v>0.26805753889736855</v>
      </c>
      <c r="I33" s="170">
        <f>VLOOKUP(A33,Resultados!A$2:B431,2,FALSE)</f>
        <v>0</v>
      </c>
      <c r="J33" s="5">
        <f>IFERROR(VLOOKUP(A33,Demográfico!A$2:E$400,5,FALSE)/(VLOOKUP(C33,Metodologia!A$2:G$9,7,FALSE))*D33,0)</f>
        <v>0.7931157342011298</v>
      </c>
      <c r="K33" s="72">
        <f>(J33*(1+H33)-I33)</f>
        <v>1.0057163859718641</v>
      </c>
      <c r="L33" s="3">
        <v>1</v>
      </c>
      <c r="M33" s="66">
        <f>VLOOKUP(A33,Demográfico!A$2:E$400,5,FALSE)*H33</f>
        <v>1861.6596076422245</v>
      </c>
      <c r="N33" s="68">
        <f>IFERROR(FLOOR(K33,1),0)</f>
        <v>1</v>
      </c>
      <c r="O33" s="68">
        <f>K33-N33</f>
        <v>5.7163859718640797E-3</v>
      </c>
      <c r="P33" s="65">
        <f>IFERROR(RANK(O33,O$2:O$400,0),0)</f>
        <v>399</v>
      </c>
      <c r="Q33" s="3">
        <f>N33+IF(P33&lt;P$1,1,0)</f>
        <v>1</v>
      </c>
      <c r="S33" s="65">
        <f>VLOOKUP(A33,Demográfico!A$2:E$400,5,FALSE)*(H33)</f>
        <v>1861.6596076422245</v>
      </c>
      <c r="T33" s="79">
        <f>IFERROR(D33/D33,0)</f>
        <v>1</v>
      </c>
      <c r="U33" s="65">
        <f t="shared" si="0"/>
        <v>1861.6596076422245</v>
      </c>
    </row>
    <row r="34" spans="1:21" ht="19.5" x14ac:dyDescent="0.25">
      <c r="A34" s="2" t="s">
        <v>38</v>
      </c>
      <c r="B34" s="168">
        <v>55033</v>
      </c>
      <c r="C34" s="169" t="str" cm="1">
        <f t="array" ref="C34">_xlfn.IFS(B34&lt;5000, "P1",B34&lt;20000, "P2",B34&lt;70000, "P3",B34&lt;100000, "P4",B34&lt;200000,"M1",B34&lt;500000,"M2",B34&lt;1000000,"G1",B34&gt;1000000,"G2")</f>
        <v>P3</v>
      </c>
      <c r="D34" s="170">
        <f>VLOOKUP(C34,Metodologia!A$2:H$9,8,FALSE)</f>
        <v>32.026801323796981</v>
      </c>
      <c r="E34" s="171">
        <f>VLOOKUP(A34,Educacional!A$2:P$405,16,FALSE)</f>
        <v>55.995838637936771</v>
      </c>
      <c r="F34" s="171">
        <f>VLOOKUP(A34,Demográfico!A$2:L$405,12,FALSE)</f>
        <v>46.190754619304258</v>
      </c>
      <c r="G34" s="172">
        <f>VLOOKUP(A34,Socioeconômico!A$2:M$405,13,FALSE)</f>
        <v>32.956850211535091</v>
      </c>
      <c r="H34" s="173">
        <f>(1*E34+F34+3*G34)/5/100</f>
        <v>0.40211428778369263</v>
      </c>
      <c r="I34" s="170">
        <f>VLOOKUP(A34,Resultados!A$2:B432,2,FALSE)</f>
        <v>0</v>
      </c>
      <c r="J34" s="5">
        <f>IFERROR(VLOOKUP(A34,Demográfico!A$2:E$400,5,FALSE)/(VLOOKUP(C34,Metodologia!A$2:G$9,7,FALSE))*D34,0)</f>
        <v>0.8230360109989262</v>
      </c>
      <c r="K34" s="72">
        <f>(J34*(1+H34)-I34)</f>
        <v>1.1539905503820906</v>
      </c>
      <c r="L34" s="3">
        <v>1</v>
      </c>
      <c r="M34" s="66">
        <f>VLOOKUP(A34,Demográfico!A$2:E$400,5,FALSE)*H34</f>
        <v>2898.0376720570725</v>
      </c>
      <c r="N34" s="68">
        <f>IFERROR(FLOOR(K34,1),0)</f>
        <v>1</v>
      </c>
      <c r="O34" s="68">
        <f>K34-N34</f>
        <v>0.15399055038209064</v>
      </c>
      <c r="P34" s="65">
        <f>IFERROR(RANK(O34,O$2:O$400,0),0)</f>
        <v>240</v>
      </c>
      <c r="Q34" s="3">
        <f>N34+IF(P34&lt;P$1,1,0)</f>
        <v>1</v>
      </c>
      <c r="S34" s="65">
        <f>VLOOKUP(A34,Demográfico!A$2:E$400,5,FALSE)*(H34)</f>
        <v>2898.0376720570725</v>
      </c>
      <c r="T34" s="79">
        <f>IFERROR(D34/D34,0)</f>
        <v>1</v>
      </c>
      <c r="U34" s="65">
        <f t="shared" si="0"/>
        <v>2898.0376720570725</v>
      </c>
    </row>
    <row r="35" spans="1:21" ht="19.5" x14ac:dyDescent="0.25">
      <c r="A35" s="2" t="s">
        <v>39</v>
      </c>
      <c r="B35" s="168">
        <v>54369</v>
      </c>
      <c r="C35" s="169" t="str" cm="1">
        <f t="array" ref="C35">_xlfn.IFS(B35&lt;5000, "P1",B35&lt;20000, "P2",B35&lt;70000, "P3",B35&lt;100000, "P4",B35&lt;200000,"M1",B35&lt;500000,"M2",B35&lt;1000000,"G1",B35&gt;1000000,"G2")</f>
        <v>P3</v>
      </c>
      <c r="D35" s="170">
        <f>VLOOKUP(C35,Metodologia!A$2:H$9,8,FALSE)</f>
        <v>32.026801323796981</v>
      </c>
      <c r="E35" s="171">
        <f>VLOOKUP(A35,Educacional!A$2:P$405,16,FALSE)</f>
        <v>44.364029112811139</v>
      </c>
      <c r="F35" s="171">
        <f>VLOOKUP(A35,Demográfico!A$2:L$405,12,FALSE)</f>
        <v>54.951014068289631</v>
      </c>
      <c r="G35" s="172">
        <f>VLOOKUP(A35,Socioeconômico!A$2:M$405,13,FALSE)</f>
        <v>8.6096202514985816</v>
      </c>
      <c r="H35" s="173">
        <f>(1*E35+F35+3*G35)/5/100</f>
        <v>0.25028780787119304</v>
      </c>
      <c r="I35" s="170">
        <f>VLOOKUP(A35,Resultados!A$2:B433,2,FALSE)</f>
        <v>0</v>
      </c>
      <c r="J35" s="5">
        <f>IFERROR(VLOOKUP(A35,Demográfico!A$2:E$400,5,FALSE)/(VLOOKUP(C35,Metodologia!A$2:G$9,7,FALSE))*D35,0)</f>
        <v>0.79037494548682774</v>
      </c>
      <c r="K35" s="72">
        <f>(J35*(1+H35)-I35)</f>
        <v>0.98819615798903948</v>
      </c>
      <c r="L35" s="3">
        <v>1</v>
      </c>
      <c r="M35" s="66">
        <f>VLOOKUP(A35,Demográfico!A$2:E$400,5,FALSE)*H35</f>
        <v>1732.241918276527</v>
      </c>
      <c r="N35" s="68">
        <f>IFERROR(FLOOR(K35,1),0)</f>
        <v>0</v>
      </c>
      <c r="O35" s="68">
        <f>K35-N35</f>
        <v>0.98819615798903948</v>
      </c>
      <c r="P35" s="65">
        <f>IFERROR(RANK(O35,O$2:O$400,0),0)</f>
        <v>2</v>
      </c>
      <c r="Q35" s="3">
        <f>N35+IF(P35&lt;P$1,1,0)</f>
        <v>1</v>
      </c>
      <c r="S35" s="65">
        <f>VLOOKUP(A35,Demográfico!A$2:E$400,5,FALSE)*(H35)</f>
        <v>1732.241918276527</v>
      </c>
      <c r="T35" s="79">
        <f>IFERROR(D35/D35,0)</f>
        <v>1</v>
      </c>
      <c r="U35" s="65">
        <f t="shared" si="0"/>
        <v>1732.241918276527</v>
      </c>
    </row>
    <row r="36" spans="1:21" ht="19.5" x14ac:dyDescent="0.25">
      <c r="A36" s="2" t="s">
        <v>40</v>
      </c>
      <c r="B36" s="168">
        <v>51603</v>
      </c>
      <c r="C36" s="169" t="str" cm="1">
        <f t="array" ref="C36">_xlfn.IFS(B36&lt;5000, "P1",B36&lt;20000, "P2",B36&lt;70000, "P3",B36&lt;100000, "P4",B36&lt;200000,"M1",B36&lt;500000,"M2",B36&lt;1000000,"G1",B36&gt;1000000,"G2")</f>
        <v>P3</v>
      </c>
      <c r="D36" s="170">
        <f>VLOOKUP(C36,Metodologia!A$2:H$9,8,FALSE)</f>
        <v>32.026801323796981</v>
      </c>
      <c r="E36" s="171">
        <f>VLOOKUP(A36,Educacional!A$2:P$405,16,FALSE)</f>
        <v>44.544379208892245</v>
      </c>
      <c r="F36" s="171">
        <f>VLOOKUP(A36,Demográfico!A$2:L$405,12,FALSE)</f>
        <v>56.082721415543958</v>
      </c>
      <c r="G36" s="172">
        <f>VLOOKUP(A36,Socioeconômico!A$2:M$405,13,FALSE)</f>
        <v>34.618049093154632</v>
      </c>
      <c r="H36" s="173">
        <f>(1*E36+F36+3*G36)/5/100</f>
        <v>0.40896249580780014</v>
      </c>
      <c r="I36" s="170">
        <f>VLOOKUP(A36,Resultados!A$2:B434,2,FALSE)</f>
        <v>0</v>
      </c>
      <c r="J36" s="5">
        <f>IFERROR(VLOOKUP(A36,Demográfico!A$2:E$400,5,FALSE)/(VLOOKUP(C36,Metodologia!A$2:G$9,7,FALSE))*D36,0)</f>
        <v>0.78066798545700833</v>
      </c>
      <c r="K36" s="72">
        <f>(J36*(1+H36)-I36)</f>
        <v>1.099931913186754</v>
      </c>
      <c r="L36" s="3">
        <v>1</v>
      </c>
      <c r="M36" s="66">
        <f>VLOOKUP(A36,Demográfico!A$2:E$400,5,FALSE)*H36</f>
        <v>2795.6676213421219</v>
      </c>
      <c r="N36" s="68">
        <f>IFERROR(FLOOR(K36,1),0)</f>
        <v>1</v>
      </c>
      <c r="O36" s="68">
        <f>K36-N36</f>
        <v>9.9931913186753984E-2</v>
      </c>
      <c r="P36" s="65">
        <f>IFERROR(RANK(O36,O$2:O$400,0),0)</f>
        <v>306</v>
      </c>
      <c r="Q36" s="3">
        <f>N36+IF(P36&lt;P$1,1,0)</f>
        <v>1</v>
      </c>
      <c r="S36" s="65">
        <f>VLOOKUP(A36,Demográfico!A$2:E$400,5,FALSE)*(H36)</f>
        <v>2795.6676213421219</v>
      </c>
      <c r="T36" s="79">
        <f>IFERROR(D36/D36,0)</f>
        <v>1</v>
      </c>
      <c r="U36" s="65">
        <f t="shared" si="0"/>
        <v>2795.6676213421219</v>
      </c>
    </row>
    <row r="37" spans="1:21" ht="19.5" x14ac:dyDescent="0.25">
      <c r="A37" s="2" t="s">
        <v>41</v>
      </c>
      <c r="B37" s="168">
        <v>49393</v>
      </c>
      <c r="C37" s="169" t="str" cm="1">
        <f t="array" ref="C37">_xlfn.IFS(B37&lt;5000, "P1",B37&lt;20000, "P2",B37&lt;70000, "P3",B37&lt;100000, "P4",B37&lt;200000,"M1",B37&lt;500000,"M2",B37&lt;1000000,"G1",B37&gt;1000000,"G2")</f>
        <v>P3</v>
      </c>
      <c r="D37" s="170">
        <f>VLOOKUP(C37,Metodologia!A$2:H$9,8,FALSE)</f>
        <v>32.026801323796981</v>
      </c>
      <c r="E37" s="171">
        <f>VLOOKUP(A37,Educacional!A$2:P$405,16,FALSE)</f>
        <v>68.040210895218848</v>
      </c>
      <c r="F37" s="171">
        <f>VLOOKUP(A37,Demográfico!A$2:L$405,12,FALSE)</f>
        <v>44.152550091561331</v>
      </c>
      <c r="G37" s="172">
        <f>VLOOKUP(A37,Socioeconômico!A$2:M$405,13,FALSE)</f>
        <v>45.78237115588901</v>
      </c>
      <c r="H37" s="173">
        <f>(1*E37+F37+3*G37)/5/100</f>
        <v>0.49907974890889439</v>
      </c>
      <c r="I37" s="170">
        <f>VLOOKUP(A37,Resultados!A$2:B435,2,FALSE)</f>
        <v>0</v>
      </c>
      <c r="J37" s="5">
        <f>IFERROR(VLOOKUP(A37,Demográfico!A$2:E$400,5,FALSE)/(VLOOKUP(C37,Metodologia!A$2:G$9,7,FALSE))*D37,0)</f>
        <v>0.75257490113541325</v>
      </c>
      <c r="K37" s="72">
        <f>(J37*(1+H37)-I37)</f>
        <v>1.1281697938292115</v>
      </c>
      <c r="L37" s="3">
        <v>1</v>
      </c>
      <c r="M37" s="66">
        <f>VLOOKUP(A37,Demográfico!A$2:E$400,5,FALSE)*H37</f>
        <v>3288.9355453096141</v>
      </c>
      <c r="N37" s="68">
        <f>IFERROR(FLOOR(K37,1),0)</f>
        <v>1</v>
      </c>
      <c r="O37" s="68">
        <f>K37-N37</f>
        <v>0.12816979382921145</v>
      </c>
      <c r="P37" s="65">
        <f>IFERROR(RANK(O37,O$2:O$400,0),0)</f>
        <v>266</v>
      </c>
      <c r="Q37" s="3">
        <f>N37+IF(P37&lt;P$1,1,0)</f>
        <v>1</v>
      </c>
      <c r="S37" s="65">
        <f>VLOOKUP(A37,Demográfico!A$2:E$400,5,FALSE)*(H37)</f>
        <v>3288.9355453096141</v>
      </c>
      <c r="T37" s="79">
        <f>IFERROR(D37/D37,0)</f>
        <v>1</v>
      </c>
      <c r="U37" s="65">
        <f t="shared" si="0"/>
        <v>3288.9355453096141</v>
      </c>
    </row>
    <row r="38" spans="1:21" ht="19.5" x14ac:dyDescent="0.25">
      <c r="A38" s="2" t="s">
        <v>42</v>
      </c>
      <c r="B38" s="168">
        <v>48247</v>
      </c>
      <c r="C38" s="169" t="str" cm="1">
        <f t="array" ref="C38">_xlfn.IFS(B38&lt;5000, "P1",B38&lt;20000, "P2",B38&lt;70000, "P3",B38&lt;100000, "P4",B38&lt;200000,"M1",B38&lt;500000,"M2",B38&lt;1000000,"G1",B38&gt;1000000,"G2")</f>
        <v>P3</v>
      </c>
      <c r="D38" s="170">
        <f>VLOOKUP(C38,Metodologia!A$2:H$9,8,FALSE)</f>
        <v>32.026801323796981</v>
      </c>
      <c r="E38" s="171">
        <f>VLOOKUP(A38,Educacional!A$2:P$405,16,FALSE)</f>
        <v>71.469773711462125</v>
      </c>
      <c r="F38" s="171">
        <f>VLOOKUP(A38,Demográfico!A$2:L$405,12,FALSE)</f>
        <v>78.204142693833361</v>
      </c>
      <c r="G38" s="172">
        <f>VLOOKUP(A38,Socioeconômico!A$2:M$405,13,FALSE)</f>
        <v>38.166829684893578</v>
      </c>
      <c r="H38" s="173">
        <f>(1*E38+F38+3*G38)/5/100</f>
        <v>0.52834881091995245</v>
      </c>
      <c r="I38" s="170">
        <f>VLOOKUP(A38,Resultados!A$2:B436,2,FALSE)</f>
        <v>0</v>
      </c>
      <c r="J38" s="5">
        <f>IFERROR(VLOOKUP(A38,Demográfico!A$2:E$400,5,FALSE)/(VLOOKUP(C38,Metodologia!A$2:G$9,7,FALSE))*D38,0)</f>
        <v>0.8826481655349937</v>
      </c>
      <c r="K38" s="72">
        <f>(J38*(1+H38)-I38)</f>
        <v>1.348994274256085</v>
      </c>
      <c r="L38" s="3">
        <v>1</v>
      </c>
      <c r="M38" s="66">
        <f>VLOOKUP(A38,Demográfico!A$2:E$400,5,FALSE)*H38</f>
        <v>4083.6079596003124</v>
      </c>
      <c r="N38" s="68">
        <f>IFERROR(FLOOR(K38,1),0)</f>
        <v>1</v>
      </c>
      <c r="O38" s="68">
        <f>K38-N38</f>
        <v>0.34899427425608498</v>
      </c>
      <c r="P38" s="65">
        <f>IFERROR(RANK(O38,O$2:O$400,0),0)</f>
        <v>115</v>
      </c>
      <c r="Q38" s="3">
        <f>N38+IF(P38&lt;P$1,1,0)</f>
        <v>1</v>
      </c>
      <c r="S38" s="65">
        <f>VLOOKUP(A38,Demográfico!A$2:E$400,5,FALSE)*(H38)</f>
        <v>4083.6079596003124</v>
      </c>
      <c r="T38" s="79">
        <f>IFERROR(D38/D38,0)</f>
        <v>1</v>
      </c>
      <c r="U38" s="65">
        <f t="shared" si="0"/>
        <v>4083.6079596003124</v>
      </c>
    </row>
    <row r="39" spans="1:21" ht="19.5" x14ac:dyDescent="0.25">
      <c r="A39" s="2" t="s">
        <v>43</v>
      </c>
      <c r="B39" s="168">
        <v>47825</v>
      </c>
      <c r="C39" s="169" t="str" cm="1">
        <f t="array" ref="C39">_xlfn.IFS(B39&lt;5000, "P1",B39&lt;20000, "P2",B39&lt;70000, "P3",B39&lt;100000, "P4",B39&lt;200000,"M1",B39&lt;500000,"M2",B39&lt;1000000,"G1",B39&gt;1000000,"G2")</f>
        <v>P3</v>
      </c>
      <c r="D39" s="170">
        <f>VLOOKUP(C39,Metodologia!A$2:H$9,8,FALSE)</f>
        <v>32.026801323796981</v>
      </c>
      <c r="E39" s="171">
        <f>VLOOKUP(A39,Educacional!A$2:P$405,16,FALSE)</f>
        <v>62.356853491898292</v>
      </c>
      <c r="F39" s="171">
        <f>VLOOKUP(A39,Demográfico!A$2:L$405,12,FALSE)</f>
        <v>58.974280851528945</v>
      </c>
      <c r="G39" s="172">
        <f>VLOOKUP(A39,Socioeconômico!A$2:M$405,13,FALSE)</f>
        <v>32.621851964139623</v>
      </c>
      <c r="H39" s="173">
        <f>(1*E39+F39+3*G39)/5/100</f>
        <v>0.43839338047169218</v>
      </c>
      <c r="I39" s="170">
        <f>VLOOKUP(A39,Resultados!A$2:B437,2,FALSE)</f>
        <v>0</v>
      </c>
      <c r="J39" s="5">
        <f>IFERROR(VLOOKUP(A39,Demográfico!A$2:E$400,5,FALSE)/(VLOOKUP(C39,Metodologia!A$2:G$9,7,FALSE))*D39,0)</f>
        <v>0.82257921287987579</v>
      </c>
      <c r="K39" s="72">
        <f>(J39*(1+H39)-I39)</f>
        <v>1.1831924947200283</v>
      </c>
      <c r="L39" s="3">
        <v>1</v>
      </c>
      <c r="M39" s="66">
        <f>VLOOKUP(A39,Demográfico!A$2:E$400,5,FALSE)*H39</f>
        <v>3157.7475195375987</v>
      </c>
      <c r="N39" s="68">
        <f>IFERROR(FLOOR(K39,1),0)</f>
        <v>1</v>
      </c>
      <c r="O39" s="68">
        <f>K39-N39</f>
        <v>0.1831924947200283</v>
      </c>
      <c r="P39" s="65">
        <f>IFERROR(RANK(O39,O$2:O$400,0),0)</f>
        <v>208</v>
      </c>
      <c r="Q39" s="3">
        <f>N39+IF(P39&lt;P$1,1,0)</f>
        <v>1</v>
      </c>
      <c r="S39" s="65">
        <f>VLOOKUP(A39,Demográfico!A$2:E$400,5,FALSE)*(H39)</f>
        <v>3157.7475195375987</v>
      </c>
      <c r="T39" s="79">
        <f>IFERROR(D39/D39,0)</f>
        <v>1</v>
      </c>
      <c r="U39" s="65">
        <f t="shared" si="0"/>
        <v>3157.7475195375987</v>
      </c>
    </row>
    <row r="40" spans="1:21" ht="19.5" x14ac:dyDescent="0.25">
      <c r="A40" s="2" t="s">
        <v>44</v>
      </c>
      <c r="B40" s="168">
        <v>45962</v>
      </c>
      <c r="C40" s="169" t="str" cm="1">
        <f t="array" ref="C40">_xlfn.IFS(B40&lt;5000, "P1",B40&lt;20000, "P2",B40&lt;70000, "P3",B40&lt;100000, "P4",B40&lt;200000,"M1",B40&lt;500000,"M2",B40&lt;1000000,"G1",B40&gt;1000000,"G2")</f>
        <v>P3</v>
      </c>
      <c r="D40" s="170">
        <f>VLOOKUP(C40,Metodologia!A$2:H$9,8,FALSE)</f>
        <v>32.026801323796981</v>
      </c>
      <c r="E40" s="171">
        <f>VLOOKUP(A40,Educacional!A$2:P$405,16,FALSE)</f>
        <v>52.928465199026775</v>
      </c>
      <c r="F40" s="171">
        <f>VLOOKUP(A40,Demográfico!A$2:L$405,12,FALSE)</f>
        <v>52.388047846233377</v>
      </c>
      <c r="G40" s="172">
        <f>VLOOKUP(A40,Socioeconômico!A$2:M$405,13,FALSE)</f>
        <v>39.855772081915667</v>
      </c>
      <c r="H40" s="173">
        <f>(1*E40+F40+3*G40)/5/100</f>
        <v>0.44976765858201434</v>
      </c>
      <c r="I40" s="170">
        <f>VLOOKUP(A40,Resultados!A$2:B438,2,FALSE)</f>
        <v>0</v>
      </c>
      <c r="J40" s="5">
        <f>IFERROR(VLOOKUP(A40,Demográfico!A$2:E$400,5,FALSE)/(VLOOKUP(C40,Metodologia!A$2:G$9,7,FALSE))*D40,0)</f>
        <v>0.72756520411740788</v>
      </c>
      <c r="K40" s="72">
        <f>(J40*(1+H40)-I40)</f>
        <v>1.0548005024390397</v>
      </c>
      <c r="L40" s="3">
        <v>1</v>
      </c>
      <c r="M40" s="66">
        <f>VLOOKUP(A40,Demográfico!A$2:E$400,5,FALSE)*H40</f>
        <v>2865.4697528260135</v>
      </c>
      <c r="N40" s="68">
        <f>IFERROR(FLOOR(K40,1),0)</f>
        <v>1</v>
      </c>
      <c r="O40" s="68">
        <f>K40-N40</f>
        <v>5.4800502439039667E-2</v>
      </c>
      <c r="P40" s="65">
        <f>IFERROR(RANK(O40,O$2:O$400,0),0)</f>
        <v>375</v>
      </c>
      <c r="Q40" s="3">
        <f>N40+IF(P40&lt;P$1,1,0)</f>
        <v>1</v>
      </c>
      <c r="S40" s="65">
        <f>VLOOKUP(A40,Demográfico!A$2:E$400,5,FALSE)*(H40)</f>
        <v>2865.4697528260135</v>
      </c>
      <c r="T40" s="79">
        <f>IFERROR(D40/D40,0)</f>
        <v>1</v>
      </c>
      <c r="U40" s="65">
        <f t="shared" si="0"/>
        <v>2865.4697528260135</v>
      </c>
    </row>
    <row r="41" spans="1:21" ht="19.5" x14ac:dyDescent="0.25">
      <c r="A41" s="2" t="s">
        <v>45</v>
      </c>
      <c r="B41" s="168">
        <v>45206</v>
      </c>
      <c r="C41" s="169" t="str" cm="1">
        <f t="array" ref="C41">_xlfn.IFS(B41&lt;5000, "P1",B41&lt;20000, "P2",B41&lt;70000, "P3",B41&lt;100000, "P4",B41&lt;200000,"M1",B41&lt;500000,"M2",B41&lt;1000000,"G1",B41&gt;1000000,"G2")</f>
        <v>P3</v>
      </c>
      <c r="D41" s="170">
        <f>VLOOKUP(C41,Metodologia!A$2:H$9,8,FALSE)</f>
        <v>32.026801323796981</v>
      </c>
      <c r="E41" s="171">
        <f>VLOOKUP(A41,Educacional!A$2:P$405,16,FALSE)</f>
        <v>57.898640073672738</v>
      </c>
      <c r="F41" s="171">
        <f>VLOOKUP(A41,Demográfico!A$2:L$405,12,FALSE)</f>
        <v>33.91660138366904</v>
      </c>
      <c r="G41" s="172">
        <f>VLOOKUP(A41,Socioeconômico!A$2:M$405,13,FALSE)</f>
        <v>23.427535423480879</v>
      </c>
      <c r="H41" s="173">
        <f>(1*E41+F41+3*G41)/5/100</f>
        <v>0.32419569545556881</v>
      </c>
      <c r="I41" s="170">
        <f>VLOOKUP(A41,Resultados!A$2:B439,2,FALSE)</f>
        <v>0</v>
      </c>
      <c r="J41" s="5">
        <f>IFERROR(VLOOKUP(A41,Demográfico!A$2:E$400,5,FALSE)/(VLOOKUP(C41,Metodologia!A$2:G$9,7,FALSE))*D41,0)</f>
        <v>0.57042665116409552</v>
      </c>
      <c r="K41" s="72">
        <f>(J41*(1+H41)-I41)</f>
        <v>0.75535651604463061</v>
      </c>
      <c r="L41" s="3">
        <v>1</v>
      </c>
      <c r="M41" s="66">
        <f>VLOOKUP(A41,Demográfico!A$2:E$400,5,FALSE)*H41</f>
        <v>1619.3574988005662</v>
      </c>
      <c r="N41" s="68">
        <f>IFERROR(FLOOR(K41,1),0)</f>
        <v>0</v>
      </c>
      <c r="O41" s="68">
        <f>K41-N41</f>
        <v>0.75535651604463061</v>
      </c>
      <c r="P41" s="65">
        <f>IFERROR(RANK(O41,O$2:O$400,0),0)</f>
        <v>26</v>
      </c>
      <c r="Q41" s="3">
        <f>N41+IF(P41&lt;P$1,1,0)</f>
        <v>1</v>
      </c>
      <c r="S41" s="65">
        <f>VLOOKUP(A41,Demográfico!A$2:E$400,5,FALSE)*(H41)</f>
        <v>1619.3574988005662</v>
      </c>
      <c r="T41" s="79">
        <f>IFERROR(D41/D41,0)</f>
        <v>1</v>
      </c>
      <c r="U41" s="65">
        <f t="shared" si="0"/>
        <v>1619.3574988005662</v>
      </c>
    </row>
    <row r="42" spans="1:21" ht="19.5" x14ac:dyDescent="0.25">
      <c r="A42" s="2" t="s">
        <v>46</v>
      </c>
      <c r="B42" s="168">
        <v>45003</v>
      </c>
      <c r="C42" s="169" t="str" cm="1">
        <f t="array" ref="C42">_xlfn.IFS(B42&lt;5000, "P1",B42&lt;20000, "P2",B42&lt;70000, "P3",B42&lt;100000, "P4",B42&lt;200000,"M1",B42&lt;500000,"M2",B42&lt;1000000,"G1",B42&gt;1000000,"G2")</f>
        <v>P3</v>
      </c>
      <c r="D42" s="170">
        <f>VLOOKUP(C42,Metodologia!A$2:H$9,8,FALSE)</f>
        <v>32.026801323796981</v>
      </c>
      <c r="E42" s="171">
        <f>VLOOKUP(A42,Educacional!A$2:P$405,16,FALSE)</f>
        <v>66.202104995409414</v>
      </c>
      <c r="F42" s="171">
        <f>VLOOKUP(A42,Demográfico!A$2:L$405,12,FALSE)</f>
        <v>50.004905058722493</v>
      </c>
      <c r="G42" s="172">
        <f>VLOOKUP(A42,Socioeconômico!A$2:M$405,13,FALSE)</f>
        <v>33.922885413188133</v>
      </c>
      <c r="H42" s="173">
        <f>(1*E42+F42+3*G42)/5/100</f>
        <v>0.4359513325873926</v>
      </c>
      <c r="I42" s="170">
        <f>VLOOKUP(A42,Resultados!A$2:B440,2,FALSE)</f>
        <v>0</v>
      </c>
      <c r="J42" s="5">
        <f>IFERROR(VLOOKUP(A42,Demográfico!A$2:E$400,5,FALSE)/(VLOOKUP(C42,Metodologia!A$2:G$9,7,FALSE))*D42,0)</f>
        <v>0.6783452067897352</v>
      </c>
      <c r="K42" s="72">
        <f>(J42*(1+H42)-I42)</f>
        <v>0.97407070364399062</v>
      </c>
      <c r="L42" s="3">
        <v>1</v>
      </c>
      <c r="M42" s="66">
        <f>VLOOKUP(A42,Demográfico!A$2:E$400,5,FALSE)*H42</f>
        <v>2589.550915569112</v>
      </c>
      <c r="N42" s="68">
        <f>IFERROR(FLOOR(K42,1),0)</f>
        <v>0</v>
      </c>
      <c r="O42" s="68">
        <f>K42-N42</f>
        <v>0.97407070364399062</v>
      </c>
      <c r="P42" s="65">
        <f>IFERROR(RANK(O42,O$2:O$400,0),0)</f>
        <v>5</v>
      </c>
      <c r="Q42" s="3">
        <f>N42+IF(P42&lt;P$1,1,0)</f>
        <v>1</v>
      </c>
      <c r="S42" s="65">
        <f>VLOOKUP(A42,Demográfico!A$2:E$400,5,FALSE)*(H42)</f>
        <v>2589.550915569112</v>
      </c>
      <c r="T42" s="79">
        <f>IFERROR(D42/D42,0)</f>
        <v>1</v>
      </c>
      <c r="U42" s="65">
        <f t="shared" si="0"/>
        <v>2589.550915569112</v>
      </c>
    </row>
    <row r="43" spans="1:21" ht="19.5" x14ac:dyDescent="0.25">
      <c r="A43" s="2" t="s">
        <v>47</v>
      </c>
      <c r="B43" s="168">
        <v>44869</v>
      </c>
      <c r="C43" s="169" t="str" cm="1">
        <f t="array" ref="C43">_xlfn.IFS(B43&lt;5000, "P1",B43&lt;20000, "P2",B43&lt;70000, "P3",B43&lt;100000, "P4",B43&lt;200000,"M1",B43&lt;500000,"M2",B43&lt;1000000,"G1",B43&gt;1000000,"G2")</f>
        <v>P3</v>
      </c>
      <c r="D43" s="170">
        <f>VLOOKUP(C43,Metodologia!A$2:H$9,8,FALSE)</f>
        <v>32.026801323796981</v>
      </c>
      <c r="E43" s="171">
        <f>VLOOKUP(A43,Educacional!A$2:P$405,16,FALSE)</f>
        <v>45.691604285692158</v>
      </c>
      <c r="F43" s="171">
        <f>VLOOKUP(A43,Demográfico!A$2:L$405,12,FALSE)</f>
        <v>46.06327137852805</v>
      </c>
      <c r="G43" s="172">
        <f>VLOOKUP(A43,Socioeconômico!A$2:M$405,13,FALSE)</f>
        <v>18.167620569213771</v>
      </c>
      <c r="H43" s="173">
        <f>(1*E43+F43+3*G43)/5/100</f>
        <v>0.29251547474372308</v>
      </c>
      <c r="I43" s="170">
        <f>VLOOKUP(A43,Resultados!A$2:B441,2,FALSE)</f>
        <v>0</v>
      </c>
      <c r="J43" s="5">
        <f>IFERROR(VLOOKUP(A43,Demográfico!A$2:E$400,5,FALSE)/(VLOOKUP(C43,Metodologia!A$2:G$9,7,FALSE))*D43,0)</f>
        <v>0.66030168108724729</v>
      </c>
      <c r="K43" s="72">
        <f>(J43*(1+H43)-I43)</f>
        <v>0.85345014080456183</v>
      </c>
      <c r="L43" s="3">
        <v>1</v>
      </c>
      <c r="M43" s="66">
        <f>VLOOKUP(A43,Demográfico!A$2:E$400,5,FALSE)*H43</f>
        <v>1691.3244749682069</v>
      </c>
      <c r="N43" s="68">
        <f>IFERROR(FLOOR(K43,1),0)</f>
        <v>0</v>
      </c>
      <c r="O43" s="68">
        <f>K43-N43</f>
        <v>0.85345014080456183</v>
      </c>
      <c r="P43" s="65">
        <f>IFERROR(RANK(O43,O$2:O$400,0),0)</f>
        <v>17</v>
      </c>
      <c r="Q43" s="3">
        <f>N43+IF(P43&lt;P$1,1,0)</f>
        <v>1</v>
      </c>
      <c r="S43" s="65">
        <f>VLOOKUP(A43,Demográfico!A$2:E$400,5,FALSE)*(H43)</f>
        <v>1691.3244749682069</v>
      </c>
      <c r="T43" s="79">
        <f>IFERROR(D43/D43,0)</f>
        <v>1</v>
      </c>
      <c r="U43" s="65">
        <f t="shared" si="0"/>
        <v>1691.3244749682069</v>
      </c>
    </row>
    <row r="44" spans="1:21" ht="19.5" x14ac:dyDescent="0.25">
      <c r="A44" s="2" t="s">
        <v>48</v>
      </c>
      <c r="B44" s="168">
        <v>44369</v>
      </c>
      <c r="C44" s="169" t="str" cm="1">
        <f t="array" ref="C44">_xlfn.IFS(B44&lt;5000, "P1",B44&lt;20000, "P2",B44&lt;70000, "P3",B44&lt;100000, "P4",B44&lt;200000,"M1",B44&lt;500000,"M2",B44&lt;1000000,"G1",B44&gt;1000000,"G2")</f>
        <v>P3</v>
      </c>
      <c r="D44" s="170">
        <f>VLOOKUP(C44,Metodologia!A$2:H$9,8,FALSE)</f>
        <v>32.026801323796981</v>
      </c>
      <c r="E44" s="171">
        <f>VLOOKUP(A44,Educacional!A$2:P$405,16,FALSE)</f>
        <v>69.328159118439231</v>
      </c>
      <c r="F44" s="171">
        <f>VLOOKUP(A44,Demográfico!A$2:L$405,12,FALSE)</f>
        <v>44.283446434435</v>
      </c>
      <c r="G44" s="172">
        <f>VLOOKUP(A44,Socioeconômico!A$2:M$405,13,FALSE)</f>
        <v>41.985561268951258</v>
      </c>
      <c r="H44" s="173">
        <f>(1*E44+F44+3*G44)/5/100</f>
        <v>0.47913657871945603</v>
      </c>
      <c r="I44" s="170">
        <f>VLOOKUP(A44,Resultados!A$2:B442,2,FALSE)</f>
        <v>0</v>
      </c>
      <c r="J44" s="5">
        <f>IFERROR(VLOOKUP(A44,Demográfico!A$2:E$400,5,FALSE)/(VLOOKUP(C44,Metodologia!A$2:G$9,7,FALSE))*D44,0)</f>
        <v>0.66818144864086537</v>
      </c>
      <c r="K44" s="72">
        <f>(J44*(1+H44)-I44)</f>
        <v>0.9883316219064594</v>
      </c>
      <c r="L44" s="3">
        <v>1</v>
      </c>
      <c r="M44" s="66">
        <f>VLOOKUP(A44,Demográfico!A$2:E$400,5,FALSE)*H44</f>
        <v>2803.4281220875373</v>
      </c>
      <c r="N44" s="68">
        <f>IFERROR(FLOOR(K44,1),0)</f>
        <v>0</v>
      </c>
      <c r="O44" s="68">
        <f>K44-N44</f>
        <v>0.9883316219064594</v>
      </c>
      <c r="P44" s="65">
        <f>IFERROR(RANK(O44,O$2:O$400,0),0)</f>
        <v>1</v>
      </c>
      <c r="Q44" s="3">
        <f>N44+IF(P44&lt;P$1,1,0)</f>
        <v>1</v>
      </c>
      <c r="S44" s="65">
        <f>VLOOKUP(A44,Demográfico!A$2:E$400,5,FALSE)*(H44)</f>
        <v>2803.4281220875373</v>
      </c>
      <c r="T44" s="79">
        <f>IFERROR(D44/D44,0)</f>
        <v>1</v>
      </c>
      <c r="U44" s="65">
        <f t="shared" si="0"/>
        <v>2803.4281220875373</v>
      </c>
    </row>
    <row r="45" spans="1:21" ht="19.5" x14ac:dyDescent="0.25">
      <c r="A45" s="2" t="s">
        <v>49</v>
      </c>
      <c r="B45" s="168">
        <v>42366</v>
      </c>
      <c r="C45" s="169" t="str" cm="1">
        <f t="array" ref="C45">_xlfn.IFS(B45&lt;5000, "P1",B45&lt;20000, "P2",B45&lt;70000, "P3",B45&lt;100000, "P4",B45&lt;200000,"M1",B45&lt;500000,"M2",B45&lt;1000000,"G1",B45&gt;1000000,"G2")</f>
        <v>P3</v>
      </c>
      <c r="D45" s="170">
        <f>VLOOKUP(C45,Metodologia!A$2:H$9,8,FALSE)</f>
        <v>32.026801323796981</v>
      </c>
      <c r="E45" s="171">
        <f>VLOOKUP(A45,Educacional!A$2:P$405,16,FALSE)</f>
        <v>60.621363590151766</v>
      </c>
      <c r="F45" s="171">
        <f>VLOOKUP(A45,Demográfico!A$2:L$405,12,FALSE)</f>
        <v>53.257957824811861</v>
      </c>
      <c r="G45" s="172">
        <f>VLOOKUP(A45,Socioeconômico!A$2:M$405,13,FALSE)</f>
        <v>33.140469897612789</v>
      </c>
      <c r="H45" s="173">
        <f>(1*E45+F45+3*G45)/5/100</f>
        <v>0.42660146221560397</v>
      </c>
      <c r="I45" s="170">
        <f>VLOOKUP(A45,Resultados!A$2:B443,2,FALSE)</f>
        <v>0</v>
      </c>
      <c r="J45" s="5">
        <f>IFERROR(VLOOKUP(A45,Demográfico!A$2:E$400,5,FALSE)/(VLOOKUP(C45,Metodologia!A$2:G$9,7,FALSE))*D45,0)</f>
        <v>0.65664729613484463</v>
      </c>
      <c r="K45" s="72">
        <f>(J45*(1+H45)-I45)</f>
        <v>0.93677399282589213</v>
      </c>
      <c r="L45" s="3">
        <v>1</v>
      </c>
      <c r="M45" s="66">
        <f>VLOOKUP(A45,Demográfico!A$2:E$400,5,FALSE)*H45</f>
        <v>2452.9584077397226</v>
      </c>
      <c r="N45" s="68">
        <f>IFERROR(FLOOR(K45,1),0)</f>
        <v>0</v>
      </c>
      <c r="O45" s="68">
        <f>K45-N45</f>
        <v>0.93677399282589213</v>
      </c>
      <c r="P45" s="65">
        <f>IFERROR(RANK(O45,O$2:O$400,0),0)</f>
        <v>9</v>
      </c>
      <c r="Q45" s="3">
        <f>N45+IF(P45&lt;P$1,1,0)</f>
        <v>1</v>
      </c>
      <c r="S45" s="65">
        <f>VLOOKUP(A45,Demográfico!A$2:E$400,5,FALSE)*(H45)</f>
        <v>2452.9584077397226</v>
      </c>
      <c r="T45" s="79">
        <f>IFERROR(D45/D45,0)</f>
        <v>1</v>
      </c>
      <c r="U45" s="65">
        <f t="shared" si="0"/>
        <v>2452.9584077397226</v>
      </c>
    </row>
    <row r="46" spans="1:21" ht="19.5" x14ac:dyDescent="0.25">
      <c r="A46" s="2" t="s">
        <v>50</v>
      </c>
      <c r="B46" s="168">
        <v>42062</v>
      </c>
      <c r="C46" s="169" t="str" cm="1">
        <f t="array" ref="C46">_xlfn.IFS(B46&lt;5000, "P1",B46&lt;20000, "P2",B46&lt;70000, "P3",B46&lt;100000, "P4",B46&lt;200000,"M1",B46&lt;500000,"M2",B46&lt;1000000,"G1",B46&gt;1000000,"G2")</f>
        <v>P3</v>
      </c>
      <c r="D46" s="170">
        <f>VLOOKUP(C46,Metodologia!A$2:H$9,8,FALSE)</f>
        <v>32.026801323796981</v>
      </c>
      <c r="E46" s="171">
        <f>VLOOKUP(A46,Educacional!A$2:P$405,16,FALSE)</f>
        <v>27.172292361646921</v>
      </c>
      <c r="F46" s="171">
        <f>VLOOKUP(A46,Demográfico!A$2:L$405,12,FALSE)</f>
        <v>52.528426527383132</v>
      </c>
      <c r="G46" s="172">
        <f>VLOOKUP(A46,Socioeconômico!A$2:M$405,13,FALSE)</f>
        <v>46.808995918233613</v>
      </c>
      <c r="H46" s="173">
        <f>(1*E46+F46+3*G46)/5/100</f>
        <v>0.44025541328746182</v>
      </c>
      <c r="I46" s="170">
        <f>VLOOKUP(A46,Resultados!A$2:B444,2,FALSE)</f>
        <v>0</v>
      </c>
      <c r="J46" s="5">
        <f>IFERROR(VLOOKUP(A46,Demográfico!A$2:E$400,5,FALSE)/(VLOOKUP(C46,Metodologia!A$2:G$9,7,FALSE))*D46,0)</f>
        <v>0.7051820962839418</v>
      </c>
      <c r="K46" s="72">
        <f>(J46*(1+H46)-I46)</f>
        <v>1.0156423315263474</v>
      </c>
      <c r="L46" s="3">
        <v>1</v>
      </c>
      <c r="M46" s="66">
        <f>VLOOKUP(A46,Demográfico!A$2:E$400,5,FALSE)*H46</f>
        <v>2718.5771770500769</v>
      </c>
      <c r="N46" s="68">
        <f>IFERROR(FLOOR(K46,1),0)</f>
        <v>1</v>
      </c>
      <c r="O46" s="68">
        <f>K46-N46</f>
        <v>1.5642331526347419E-2</v>
      </c>
      <c r="P46" s="65">
        <f>IFERROR(RANK(O46,O$2:O$400,0),0)</f>
        <v>398</v>
      </c>
      <c r="Q46" s="3">
        <f>N46+IF(P46&lt;P$1,1,0)</f>
        <v>1</v>
      </c>
      <c r="S46" s="65">
        <f>VLOOKUP(A46,Demográfico!A$2:E$400,5,FALSE)*(H46)</f>
        <v>2718.5771770500769</v>
      </c>
      <c r="T46" s="79">
        <f>IFERROR(D46/D46,0)</f>
        <v>1</v>
      </c>
      <c r="U46" s="65">
        <f t="shared" si="0"/>
        <v>2718.5771770500769</v>
      </c>
    </row>
    <row r="47" spans="1:21" ht="19.5" x14ac:dyDescent="0.25">
      <c r="A47" s="2" t="s">
        <v>51</v>
      </c>
      <c r="B47" s="168">
        <v>41851</v>
      </c>
      <c r="C47" s="169" t="str" cm="1">
        <f t="array" ref="C47">_xlfn.IFS(B47&lt;5000, "P1",B47&lt;20000, "P2",B47&lt;70000, "P3",B47&lt;100000, "P4",B47&lt;200000,"M1",B47&lt;500000,"M2",B47&lt;1000000,"G1",B47&gt;1000000,"G2")</f>
        <v>P3</v>
      </c>
      <c r="D47" s="170">
        <f>VLOOKUP(C47,Metodologia!A$2:H$9,8,FALSE)</f>
        <v>32.026801323796981</v>
      </c>
      <c r="E47" s="171">
        <f>VLOOKUP(A47,Educacional!A$2:P$405,16,FALSE)</f>
        <v>49.335349514390138</v>
      </c>
      <c r="F47" s="171">
        <f>VLOOKUP(A47,Demográfico!A$2:L$405,12,FALSE)</f>
        <v>56.088550734969033</v>
      </c>
      <c r="G47" s="172">
        <f>VLOOKUP(A47,Socioeconômico!A$2:M$405,13,FALSE)</f>
        <v>27.884883132447445</v>
      </c>
      <c r="H47" s="173">
        <f>(1*E47+F47+3*G47)/5/100</f>
        <v>0.37815709929340302</v>
      </c>
      <c r="I47" s="170">
        <f>VLOOKUP(A47,Resultados!A$2:B445,2,FALSE)</f>
        <v>0</v>
      </c>
      <c r="J47" s="5">
        <f>IFERROR(VLOOKUP(A47,Demográfico!A$2:E$400,5,FALSE)/(VLOOKUP(C47,Metodologia!A$2:G$9,7,FALSE))*D47,0)</f>
        <v>0.62193063908701984</v>
      </c>
      <c r="K47" s="72">
        <f>(J47*(1+H47)-I47)</f>
        <v>0.85711812552585964</v>
      </c>
      <c r="L47" s="3">
        <v>1</v>
      </c>
      <c r="M47" s="66">
        <f>VLOOKUP(A47,Demográfico!A$2:E$400,5,FALSE)*H47</f>
        <v>2059.4435627518728</v>
      </c>
      <c r="N47" s="68">
        <f>IFERROR(FLOOR(K47,1),0)</f>
        <v>0</v>
      </c>
      <c r="O47" s="68">
        <f>K47-N47</f>
        <v>0.85711812552585964</v>
      </c>
      <c r="P47" s="65">
        <f>IFERROR(RANK(O47,O$2:O$400,0),0)</f>
        <v>16</v>
      </c>
      <c r="Q47" s="3">
        <f>N47+IF(P47&lt;P$1,1,0)</f>
        <v>1</v>
      </c>
      <c r="S47" s="65">
        <f>VLOOKUP(A47,Demográfico!A$2:E$400,5,FALSE)*(H47)</f>
        <v>2059.4435627518728</v>
      </c>
      <c r="T47" s="79">
        <f>IFERROR(D47/D47,0)</f>
        <v>1</v>
      </c>
      <c r="U47" s="65">
        <f t="shared" si="0"/>
        <v>2059.4435627518728</v>
      </c>
    </row>
    <row r="48" spans="1:21" ht="19.5" x14ac:dyDescent="0.25">
      <c r="A48" s="2" t="s">
        <v>52</v>
      </c>
      <c r="B48" s="168">
        <v>40375</v>
      </c>
      <c r="C48" s="169" t="str" cm="1">
        <f t="array" ref="C48">_xlfn.IFS(B48&lt;5000, "P1",B48&lt;20000, "P2",B48&lt;70000, "P3",B48&lt;100000, "P4",B48&lt;200000,"M1",B48&lt;500000,"M2",B48&lt;1000000,"G1",B48&gt;1000000,"G2")</f>
        <v>P3</v>
      </c>
      <c r="D48" s="170">
        <f>VLOOKUP(C48,Metodologia!A$2:H$9,8,FALSE)</f>
        <v>32.026801323796981</v>
      </c>
      <c r="E48" s="171">
        <f>VLOOKUP(A48,Educacional!A$2:P$405,16,FALSE)</f>
        <v>45.981453491342677</v>
      </c>
      <c r="F48" s="171">
        <f>VLOOKUP(A48,Demográfico!A$2:L$405,12,FALSE)</f>
        <v>42.94876214773771</v>
      </c>
      <c r="G48" s="172">
        <f>VLOOKUP(A48,Socioeconômico!A$2:M$405,13,FALSE)</f>
        <v>36.809499199456219</v>
      </c>
      <c r="H48" s="173">
        <f>(1*E48+F48+3*G48)/5/100</f>
        <v>0.39871742647489811</v>
      </c>
      <c r="I48" s="170">
        <f>VLOOKUP(A48,Resultados!A$2:B446,2,FALSE)</f>
        <v>0</v>
      </c>
      <c r="J48" s="5">
        <f>IFERROR(VLOOKUP(A48,Demográfico!A$2:E$400,5,FALSE)/(VLOOKUP(C48,Metodologia!A$2:G$9,7,FALSE))*D48,0)</f>
        <v>0.60936869081313583</v>
      </c>
      <c r="K48" s="72">
        <f>(J48*(1+H48)-I48)</f>
        <v>0.85233460698852714</v>
      </c>
      <c r="L48" s="3">
        <v>1</v>
      </c>
      <c r="M48" s="66">
        <f>VLOOKUP(A48,Demográfico!A$2:E$400,5,FALSE)*H48</f>
        <v>2127.5561876700563</v>
      </c>
      <c r="N48" s="68">
        <f>IFERROR(FLOOR(K48,1),0)</f>
        <v>0</v>
      </c>
      <c r="O48" s="68">
        <f>K48-N48</f>
        <v>0.85233460698852714</v>
      </c>
      <c r="P48" s="65">
        <f>IFERROR(RANK(O48,O$2:O$400,0),0)</f>
        <v>18</v>
      </c>
      <c r="Q48" s="3">
        <f>N48+IF(P48&lt;P$1,1,0)</f>
        <v>1</v>
      </c>
      <c r="S48" s="65">
        <f>VLOOKUP(A48,Demográfico!A$2:E$400,5,FALSE)*(H48)</f>
        <v>2127.5561876700563</v>
      </c>
      <c r="T48" s="79">
        <f>IFERROR(D48/D48,0)</f>
        <v>1</v>
      </c>
      <c r="U48" s="65">
        <f t="shared" si="0"/>
        <v>2127.5561876700563</v>
      </c>
    </row>
    <row r="49" spans="1:21" ht="19.5" x14ac:dyDescent="0.25">
      <c r="A49" s="2" t="s">
        <v>53</v>
      </c>
      <c r="B49" s="168">
        <v>39259</v>
      </c>
      <c r="C49" s="169" t="str" cm="1">
        <f t="array" ref="C49">_xlfn.IFS(B49&lt;5000, "P1",B49&lt;20000, "P2",B49&lt;70000, "P3",B49&lt;100000, "P4",B49&lt;200000,"M1",B49&lt;500000,"M2",B49&lt;1000000,"G1",B49&gt;1000000,"G2")</f>
        <v>P3</v>
      </c>
      <c r="D49" s="170">
        <f>VLOOKUP(C49,Metodologia!A$2:H$9,8,FALSE)</f>
        <v>32.026801323796981</v>
      </c>
      <c r="E49" s="171">
        <f>VLOOKUP(A49,Educacional!A$2:P$405,16,FALSE)</f>
        <v>50.079768421486335</v>
      </c>
      <c r="F49" s="171">
        <f>VLOOKUP(A49,Demográfico!A$2:L$405,12,FALSE)</f>
        <v>55.804533436387246</v>
      </c>
      <c r="G49" s="172">
        <f>VLOOKUP(A49,Socioeconômico!A$2:M$405,13,FALSE)</f>
        <v>40.32796977660351</v>
      </c>
      <c r="H49" s="173">
        <f>(1*E49+F49+3*G49)/5/100</f>
        <v>0.45373642237536821</v>
      </c>
      <c r="I49" s="170">
        <f>VLOOKUP(A49,Resultados!A$2:B447,2,FALSE)</f>
        <v>0</v>
      </c>
      <c r="J49" s="5">
        <f>IFERROR(VLOOKUP(A49,Demográfico!A$2:E$400,5,FALSE)/(VLOOKUP(C49,Metodologia!A$2:G$9,7,FALSE))*D49,0)</f>
        <v>0.60879769316432286</v>
      </c>
      <c r="K49" s="72">
        <f>(J49*(1+H49)-I49)</f>
        <v>0.88503138041107987</v>
      </c>
      <c r="L49" s="3">
        <v>1</v>
      </c>
      <c r="M49" s="66">
        <f>VLOOKUP(A49,Demográfico!A$2:E$400,5,FALSE)*H49</f>
        <v>2418.868867683088</v>
      </c>
      <c r="N49" s="68">
        <f>IFERROR(FLOOR(K49,1),0)</f>
        <v>0</v>
      </c>
      <c r="O49" s="68">
        <f>K49-N49</f>
        <v>0.88503138041107987</v>
      </c>
      <c r="P49" s="65">
        <f>IFERROR(RANK(O49,O$2:O$400,0),0)</f>
        <v>13</v>
      </c>
      <c r="Q49" s="3">
        <f>N49+IF(P49&lt;P$1,1,0)</f>
        <v>1</v>
      </c>
      <c r="S49" s="65">
        <f>VLOOKUP(A49,Demográfico!A$2:E$400,5,FALSE)*(H49)</f>
        <v>2418.868867683088</v>
      </c>
      <c r="T49" s="79">
        <f>IFERROR(D49/D49,0)</f>
        <v>1</v>
      </c>
      <c r="U49" s="65">
        <f t="shared" si="0"/>
        <v>2418.868867683088</v>
      </c>
    </row>
    <row r="50" spans="1:21" ht="19.5" x14ac:dyDescent="0.25">
      <c r="A50" s="2" t="s">
        <v>54</v>
      </c>
      <c r="B50" s="168">
        <v>37558</v>
      </c>
      <c r="C50" s="169" t="str" cm="1">
        <f t="array" ref="C50">_xlfn.IFS(B50&lt;5000, "P1",B50&lt;20000, "P2",B50&lt;70000, "P3",B50&lt;100000, "P4",B50&lt;200000,"M1",B50&lt;500000,"M2",B50&lt;1000000,"G1",B50&gt;1000000,"G2")</f>
        <v>P3</v>
      </c>
      <c r="D50" s="170">
        <f>VLOOKUP(C50,Metodologia!A$2:H$9,8,FALSE)</f>
        <v>32.026801323796981</v>
      </c>
      <c r="E50" s="171">
        <f>VLOOKUP(A50,Educacional!A$2:P$405,16,FALSE)</f>
        <v>72.472036249102203</v>
      </c>
      <c r="F50" s="171">
        <f>VLOOKUP(A50,Demográfico!A$2:L$405,12,FALSE)</f>
        <v>46.60777933401409</v>
      </c>
      <c r="G50" s="172">
        <f>VLOOKUP(A50,Socioeconômico!A$2:M$405,13,FALSE)</f>
        <v>46.594697609066017</v>
      </c>
      <c r="H50" s="173">
        <f>(1*E50+F50+3*G50)/5/100</f>
        <v>0.51772781682062874</v>
      </c>
      <c r="I50" s="170">
        <f>VLOOKUP(A50,Resultados!A$2:B448,2,FALSE)</f>
        <v>0</v>
      </c>
      <c r="J50" s="5">
        <f>IFERROR(VLOOKUP(A50,Demográfico!A$2:E$400,5,FALSE)/(VLOOKUP(C50,Metodologia!A$2:G$9,7,FALSE))*D50,0)</f>
        <v>0.63563458265852968</v>
      </c>
      <c r="K50" s="72">
        <f>(J50*(1+H50)-I50)</f>
        <v>0.96472028743402172</v>
      </c>
      <c r="L50" s="3">
        <v>1</v>
      </c>
      <c r="M50" s="66">
        <f>VLOOKUP(A50,Demográfico!A$2:E$400,5,FALSE)*H50</f>
        <v>2881.6730284236196</v>
      </c>
      <c r="N50" s="68">
        <f>IFERROR(FLOOR(K50,1),0)</f>
        <v>0</v>
      </c>
      <c r="O50" s="68">
        <f>K50-N50</f>
        <v>0.96472028743402172</v>
      </c>
      <c r="P50" s="65">
        <f>IFERROR(RANK(O50,O$2:O$400,0),0)</f>
        <v>7</v>
      </c>
      <c r="Q50" s="3">
        <f>N50+IF(P50&lt;P$1,1,0)</f>
        <v>1</v>
      </c>
      <c r="S50" s="65">
        <f>VLOOKUP(A50,Demográfico!A$2:E$400,5,FALSE)*(H50)</f>
        <v>2881.6730284236196</v>
      </c>
      <c r="T50" s="79">
        <f>IFERROR(D50/D50,0)</f>
        <v>1</v>
      </c>
      <c r="U50" s="65">
        <f t="shared" si="0"/>
        <v>2881.6730284236196</v>
      </c>
    </row>
    <row r="51" spans="1:21" ht="19.5" x14ac:dyDescent="0.25">
      <c r="A51" s="2" t="s">
        <v>55</v>
      </c>
      <c r="B51" s="168">
        <v>36808</v>
      </c>
      <c r="C51" s="169" t="str" cm="1">
        <f t="array" ref="C51">_xlfn.IFS(B51&lt;5000, "P1",B51&lt;20000, "P2",B51&lt;70000, "P3",B51&lt;100000, "P4",B51&lt;200000,"M1",B51&lt;500000,"M2",B51&lt;1000000,"G1",B51&gt;1000000,"G2")</f>
        <v>P3</v>
      </c>
      <c r="D51" s="170">
        <f>VLOOKUP(C51,Metodologia!A$2:H$9,8,FALSE)</f>
        <v>32.026801323796981</v>
      </c>
      <c r="E51" s="171">
        <f>VLOOKUP(A51,Educacional!A$2:P$405,16,FALSE)</f>
        <v>44.430588436708582</v>
      </c>
      <c r="F51" s="171">
        <f>VLOOKUP(A51,Demográfico!A$2:L$405,12,FALSE)</f>
        <v>37.822830991493277</v>
      </c>
      <c r="G51" s="172">
        <f>VLOOKUP(A51,Socioeconômico!A$2:M$405,13,FALSE)</f>
        <v>32.217746462588501</v>
      </c>
      <c r="H51" s="173">
        <f>(1*E51+F51+3*G51)/5/100</f>
        <v>0.35781331763193469</v>
      </c>
      <c r="I51" s="170">
        <f>VLOOKUP(A51,Resultados!A$2:B449,2,FALSE)</f>
        <v>0</v>
      </c>
      <c r="J51" s="5">
        <f>IFERROR(VLOOKUP(A51,Demográfico!A$2:E$400,5,FALSE)/(VLOOKUP(C51,Metodologia!A$2:G$9,7,FALSE))*D51,0)</f>
        <v>0.50955830180063943</v>
      </c>
      <c r="K51" s="72">
        <f>(J51*(1+H51)-I51)</f>
        <v>0.69188504829482089</v>
      </c>
      <c r="L51" s="3">
        <v>1</v>
      </c>
      <c r="M51" s="66">
        <f>VLOOKUP(A51,Demográfico!A$2:E$400,5,FALSE)*H51</f>
        <v>1596.5630232736926</v>
      </c>
      <c r="N51" s="68">
        <f>IFERROR(FLOOR(K51,1),0)</f>
        <v>0</v>
      </c>
      <c r="O51" s="68">
        <f>K51-N51</f>
        <v>0.69188504829482089</v>
      </c>
      <c r="P51" s="65">
        <f>IFERROR(RANK(O51,O$2:O$400,0),0)</f>
        <v>34</v>
      </c>
      <c r="Q51" s="3">
        <f>N51+IF(P51&lt;P$1,1,0)</f>
        <v>1</v>
      </c>
      <c r="S51" s="65">
        <f>VLOOKUP(A51,Demográfico!A$2:E$400,5,FALSE)*(H51)</f>
        <v>1596.5630232736926</v>
      </c>
      <c r="T51" s="79">
        <f>IFERROR(D51/D51,0)</f>
        <v>1</v>
      </c>
      <c r="U51" s="65">
        <f t="shared" si="0"/>
        <v>1596.5630232736926</v>
      </c>
    </row>
    <row r="52" spans="1:21" ht="19.5" x14ac:dyDescent="0.25">
      <c r="A52" s="2" t="s">
        <v>56</v>
      </c>
      <c r="B52" s="168">
        <v>36716</v>
      </c>
      <c r="C52" s="169" t="str" cm="1">
        <f t="array" ref="C52">_xlfn.IFS(B52&lt;5000, "P1",B52&lt;20000, "P2",B52&lt;70000, "P3",B52&lt;100000, "P4",B52&lt;200000,"M1",B52&lt;500000,"M2",B52&lt;1000000,"G1",B52&gt;1000000,"G2")</f>
        <v>P3</v>
      </c>
      <c r="D52" s="170">
        <f>VLOOKUP(C52,Metodologia!A$2:H$9,8,FALSE)</f>
        <v>32.026801323796981</v>
      </c>
      <c r="E52" s="171">
        <f>VLOOKUP(A52,Educacional!A$2:P$405,16,FALSE)</f>
        <v>47.675848324655377</v>
      </c>
      <c r="F52" s="171">
        <f>VLOOKUP(A52,Demográfico!A$2:L$405,12,FALSE)</f>
        <v>44.449557671775224</v>
      </c>
      <c r="G52" s="172">
        <f>VLOOKUP(A52,Socioeconômico!A$2:M$405,13,FALSE)</f>
        <v>15.09971922344617</v>
      </c>
      <c r="H52" s="173">
        <f>(1*E52+F52+3*G52)/5/100</f>
        <v>0.27484912733353822</v>
      </c>
      <c r="I52" s="170">
        <f>VLOOKUP(A52,Resultados!A$2:B450,2,FALSE)</f>
        <v>0</v>
      </c>
      <c r="J52" s="5">
        <f>IFERROR(VLOOKUP(A52,Demográfico!A$2:E$400,5,FALSE)/(VLOOKUP(C52,Metodologia!A$2:G$9,7,FALSE))*D52,0)</f>
        <v>0.51127129474707811</v>
      </c>
      <c r="K52" s="72">
        <f>(J52*(1+H52)-I52)</f>
        <v>0.65179376393900079</v>
      </c>
      <c r="L52" s="3">
        <v>1</v>
      </c>
      <c r="M52" s="66">
        <f>VLOOKUP(A52,Demográfico!A$2:E$400,5,FALSE)*H52</f>
        <v>1230.4995430722506</v>
      </c>
      <c r="N52" s="68">
        <f>IFERROR(FLOOR(K52,1),0)</f>
        <v>0</v>
      </c>
      <c r="O52" s="68">
        <f>K52-N52</f>
        <v>0.65179376393900079</v>
      </c>
      <c r="P52" s="65">
        <f>IFERROR(RANK(O52,O$2:O$400,0),0)</f>
        <v>38</v>
      </c>
      <c r="Q52" s="3">
        <f>N52+IF(P52&lt;P$1,1,0)</f>
        <v>1</v>
      </c>
      <c r="S52" s="65">
        <f>VLOOKUP(A52,Demográfico!A$2:E$400,5,FALSE)*(H52)</f>
        <v>1230.4995430722506</v>
      </c>
      <c r="T52" s="79">
        <f>IFERROR(D52/D52,0)</f>
        <v>1</v>
      </c>
      <c r="U52" s="65">
        <f t="shared" si="0"/>
        <v>1230.4995430722506</v>
      </c>
    </row>
    <row r="53" spans="1:21" ht="19.5" x14ac:dyDescent="0.25">
      <c r="A53" s="2" t="s">
        <v>57</v>
      </c>
      <c r="B53" s="168">
        <v>35141</v>
      </c>
      <c r="C53" s="169" t="str" cm="1">
        <f t="array" ref="C53">_xlfn.IFS(B53&lt;5000, "P1",B53&lt;20000, "P2",B53&lt;70000, "P3",B53&lt;100000, "P4",B53&lt;200000,"M1",B53&lt;500000,"M2",B53&lt;1000000,"G1",B53&gt;1000000,"G2")</f>
        <v>P3</v>
      </c>
      <c r="D53" s="170">
        <f>VLOOKUP(C53,Metodologia!A$2:H$9,8,FALSE)</f>
        <v>32.026801323796981</v>
      </c>
      <c r="E53" s="171">
        <f>VLOOKUP(A53,Educacional!A$2:P$405,16,FALSE)</f>
        <v>75.695866007293588</v>
      </c>
      <c r="F53" s="171">
        <f>VLOOKUP(A53,Demográfico!A$2:L$405,12,FALSE)</f>
        <v>51.50290288329208</v>
      </c>
      <c r="G53" s="172">
        <f>VLOOKUP(A53,Socioeconômico!A$2:M$405,13,FALSE)</f>
        <v>31.443509253538078</v>
      </c>
      <c r="H53" s="173">
        <f>(1*E53+F53+3*G53)/5/100</f>
        <v>0.44305859330239983</v>
      </c>
      <c r="I53" s="170">
        <f>VLOOKUP(A53,Resultados!A$2:B451,2,FALSE)</f>
        <v>0</v>
      </c>
      <c r="J53" s="5">
        <f>IFERROR(VLOOKUP(A53,Demográfico!A$2:E$400,5,FALSE)/(VLOOKUP(C53,Metodologia!A$2:G$9,7,FALSE))*D53,0)</f>
        <v>0.60057532702141703</v>
      </c>
      <c r="K53" s="72">
        <f>(J53*(1+H53)-I53)</f>
        <v>0.86666538658365477</v>
      </c>
      <c r="L53" s="3">
        <v>1</v>
      </c>
      <c r="M53" s="66">
        <f>VLOOKUP(A53,Demográfico!A$2:E$400,5,FALSE)*H53</f>
        <v>2330.0451421773205</v>
      </c>
      <c r="N53" s="68">
        <f>IFERROR(FLOOR(K53,1),0)</f>
        <v>0</v>
      </c>
      <c r="O53" s="68">
        <f>K53-N53</f>
        <v>0.86666538658365477</v>
      </c>
      <c r="P53" s="65">
        <f>IFERROR(RANK(O53,O$2:O$400,0),0)</f>
        <v>15</v>
      </c>
      <c r="Q53" s="3">
        <f>N53+IF(P53&lt;P$1,1,0)</f>
        <v>1</v>
      </c>
      <c r="S53" s="65">
        <f>VLOOKUP(A53,Demográfico!A$2:E$400,5,FALSE)*(H53)</f>
        <v>2330.0451421773205</v>
      </c>
      <c r="T53" s="79">
        <f>IFERROR(D53/D53,0)</f>
        <v>1</v>
      </c>
      <c r="U53" s="65">
        <f t="shared" si="0"/>
        <v>2330.0451421773205</v>
      </c>
    </row>
    <row r="54" spans="1:21" ht="19.5" x14ac:dyDescent="0.25">
      <c r="A54" s="2" t="s">
        <v>58</v>
      </c>
      <c r="B54" s="168">
        <v>35011</v>
      </c>
      <c r="C54" s="169" t="str" cm="1">
        <f t="array" ref="C54">_xlfn.IFS(B54&lt;5000, "P1",B54&lt;20000, "P2",B54&lt;70000, "P3",B54&lt;100000, "P4",B54&lt;200000,"M1",B54&lt;500000,"M2",B54&lt;1000000,"G1",B54&gt;1000000,"G2")</f>
        <v>P3</v>
      </c>
      <c r="D54" s="170">
        <f>VLOOKUP(C54,Metodologia!A$2:H$9,8,FALSE)</f>
        <v>32.026801323796981</v>
      </c>
      <c r="E54" s="171">
        <f>VLOOKUP(A54,Educacional!A$2:P$405,16,FALSE)</f>
        <v>37.350122509324194</v>
      </c>
      <c r="F54" s="171">
        <f>VLOOKUP(A54,Demográfico!A$2:L$405,12,FALSE)</f>
        <v>56.845285280966564</v>
      </c>
      <c r="G54" s="172">
        <f>VLOOKUP(A54,Socioeconômico!A$2:M$405,13,FALSE)</f>
        <v>6.1400279491172816</v>
      </c>
      <c r="H54" s="173">
        <f>(1*E54+F54+3*G54)/5/100</f>
        <v>0.22523098327528523</v>
      </c>
      <c r="I54" s="170">
        <f>VLOOKUP(A54,Resultados!A$2:B452,2,FALSE)</f>
        <v>0</v>
      </c>
      <c r="J54" s="5">
        <f>IFERROR(VLOOKUP(A54,Demográfico!A$2:E$400,5,FALSE)/(VLOOKUP(C54,Metodologia!A$2:G$9,7,FALSE))*D54,0)</f>
        <v>0.53970697765796105</v>
      </c>
      <c r="K54" s="72">
        <f>(J54*(1+H54)-I54)</f>
        <v>0.66126571091639597</v>
      </c>
      <c r="L54" s="3">
        <v>1</v>
      </c>
      <c r="M54" s="66">
        <f>VLOOKUP(A54,Demográfico!A$2:E$400,5,FALSE)*H54</f>
        <v>1064.4416269589981</v>
      </c>
      <c r="N54" s="68">
        <f>IFERROR(FLOOR(K54,1),0)</f>
        <v>0</v>
      </c>
      <c r="O54" s="68">
        <f>K54-N54</f>
        <v>0.66126571091639597</v>
      </c>
      <c r="P54" s="65">
        <f>IFERROR(RANK(O54,O$2:O$400,0),0)</f>
        <v>37</v>
      </c>
      <c r="Q54" s="3">
        <f>N54+IF(P54&lt;P$1,1,0)</f>
        <v>1</v>
      </c>
      <c r="S54" s="65">
        <f>VLOOKUP(A54,Demográfico!A$2:E$400,5,FALSE)*(H54)</f>
        <v>1064.4416269589981</v>
      </c>
      <c r="T54" s="79">
        <f>IFERROR(D54/D54,0)</f>
        <v>1</v>
      </c>
      <c r="U54" s="65">
        <f t="shared" si="0"/>
        <v>1064.4416269589981</v>
      </c>
    </row>
    <row r="55" spans="1:21" ht="19.5" x14ac:dyDescent="0.25">
      <c r="A55" s="2" t="s">
        <v>59</v>
      </c>
      <c r="B55" s="168">
        <v>33855</v>
      </c>
      <c r="C55" s="169" t="str" cm="1">
        <f t="array" ref="C55">_xlfn.IFS(B55&lt;5000, "P1",B55&lt;20000, "P2",B55&lt;70000, "P3",B55&lt;100000, "P4",B55&lt;200000,"M1",B55&lt;500000,"M2",B55&lt;1000000,"G1",B55&gt;1000000,"G2")</f>
        <v>P3</v>
      </c>
      <c r="D55" s="170">
        <f>VLOOKUP(C55,Metodologia!A$2:H$9,8,FALSE)</f>
        <v>32.026801323796981</v>
      </c>
      <c r="E55" s="171">
        <f>VLOOKUP(A55,Educacional!A$2:P$405,16,FALSE)</f>
        <v>56.466209118200048</v>
      </c>
      <c r="F55" s="171">
        <f>VLOOKUP(A55,Demográfico!A$2:L$405,12,FALSE)</f>
        <v>51.135208884194974</v>
      </c>
      <c r="G55" s="172">
        <f>VLOOKUP(A55,Socioeconômico!A$2:M$405,13,FALSE)</f>
        <v>25.418978512544804</v>
      </c>
      <c r="H55" s="173">
        <f>(1*E55+F55+3*G55)/5/100</f>
        <v>0.36771670708005888</v>
      </c>
      <c r="I55" s="170">
        <f>VLOOKUP(A55,Resultados!A$2:B453,2,FALSE)</f>
        <v>0</v>
      </c>
      <c r="J55" s="5">
        <f>IFERROR(VLOOKUP(A55,Demográfico!A$2:E$400,5,FALSE)/(VLOOKUP(C55,Metodologia!A$2:G$9,7,FALSE))*D55,0)</f>
        <v>0.52177765148523569</v>
      </c>
      <c r="K55" s="72">
        <f>(J55*(1+H55)-I55)</f>
        <v>0.71364401131735311</v>
      </c>
      <c r="L55" s="3">
        <v>1</v>
      </c>
      <c r="M55" s="66">
        <f>VLOOKUP(A55,Demográfico!A$2:E$400,5,FALSE)*H55</f>
        <v>1680.0976346487889</v>
      </c>
      <c r="N55" s="68">
        <f>IFERROR(FLOOR(K55,1),0)</f>
        <v>0</v>
      </c>
      <c r="O55" s="68">
        <f>K55-N55</f>
        <v>0.71364401131735311</v>
      </c>
      <c r="P55" s="65">
        <f>IFERROR(RANK(O55,O$2:O$400,0),0)</f>
        <v>33</v>
      </c>
      <c r="Q55" s="3">
        <f>N55+IF(P55&lt;P$1,1,0)</f>
        <v>1</v>
      </c>
      <c r="S55" s="65">
        <f>VLOOKUP(A55,Demográfico!A$2:E$400,5,FALSE)*(H55)</f>
        <v>1680.0976346487889</v>
      </c>
      <c r="T55" s="79">
        <f>IFERROR(D55/D55,0)</f>
        <v>1</v>
      </c>
      <c r="U55" s="65">
        <f t="shared" si="0"/>
        <v>1680.0976346487889</v>
      </c>
    </row>
    <row r="56" spans="1:21" ht="19.5" x14ac:dyDescent="0.25">
      <c r="A56" s="2" t="s">
        <v>60</v>
      </c>
      <c r="B56" s="168">
        <v>33567</v>
      </c>
      <c r="C56" s="169" t="str" cm="1">
        <f t="array" ref="C56">_xlfn.IFS(B56&lt;5000, "P1",B56&lt;20000, "P2",B56&lt;70000, "P3",B56&lt;100000, "P4",B56&lt;200000,"M1",B56&lt;500000,"M2",B56&lt;1000000,"G1",B56&gt;1000000,"G2")</f>
        <v>P3</v>
      </c>
      <c r="D56" s="170">
        <f>VLOOKUP(C56,Metodologia!A$2:H$9,8,FALSE)</f>
        <v>32.026801323796981</v>
      </c>
      <c r="E56" s="171">
        <f>VLOOKUP(A56,Educacional!A$2:P$405,16,FALSE)</f>
        <v>67.033321686282463</v>
      </c>
      <c r="F56" s="171">
        <f>VLOOKUP(A56,Demográfico!A$2:L$405,12,FALSE)</f>
        <v>51.05275714064669</v>
      </c>
      <c r="G56" s="172">
        <f>VLOOKUP(A56,Socioeconômico!A$2:M$405,13,FALSE)</f>
        <v>41.948223975004346</v>
      </c>
      <c r="H56" s="173">
        <f>(1*E56+F56+3*G56)/5/100</f>
        <v>0.48786150150388435</v>
      </c>
      <c r="I56" s="170">
        <f>VLOOKUP(A56,Resultados!A$2:B454,2,FALSE)</f>
        <v>0</v>
      </c>
      <c r="J56" s="5">
        <f>IFERROR(VLOOKUP(A56,Demográfico!A$2:E$400,5,FALSE)/(VLOOKUP(C56,Metodologia!A$2:G$9,7,FALSE))*D56,0)</f>
        <v>0.51458308111019302</v>
      </c>
      <c r="K56" s="72">
        <f>(J56*(1+H56)-I56)</f>
        <v>0.76562835570910681</v>
      </c>
      <c r="L56" s="3">
        <v>1</v>
      </c>
      <c r="M56" s="66">
        <f>VLOOKUP(A56,Demográfico!A$2:E$400,5,FALSE)*H56</f>
        <v>2198.3039257765031</v>
      </c>
      <c r="N56" s="68">
        <f>IFERROR(FLOOR(K56,1),0)</f>
        <v>0</v>
      </c>
      <c r="O56" s="68">
        <f>K56-N56</f>
        <v>0.76562835570910681</v>
      </c>
      <c r="P56" s="65">
        <f>IFERROR(RANK(O56,O$2:O$400,0),0)</f>
        <v>24</v>
      </c>
      <c r="Q56" s="3">
        <f>N56+IF(P56&lt;P$1,1,0)</f>
        <v>1</v>
      </c>
      <c r="S56" s="65">
        <f>VLOOKUP(A56,Demográfico!A$2:E$400,5,FALSE)*(H56)</f>
        <v>2198.3039257765031</v>
      </c>
      <c r="T56" s="79">
        <f>IFERROR(D56/D56,0)</f>
        <v>1</v>
      </c>
      <c r="U56" s="65">
        <f t="shared" si="0"/>
        <v>2198.3039257765031</v>
      </c>
    </row>
    <row r="57" spans="1:21" ht="19.5" x14ac:dyDescent="0.25">
      <c r="A57" s="2" t="s">
        <v>61</v>
      </c>
      <c r="B57" s="168">
        <v>32720</v>
      </c>
      <c r="C57" s="169" t="str" cm="1">
        <f t="array" ref="C57">_xlfn.IFS(B57&lt;5000, "P1",B57&lt;20000, "P2",B57&lt;70000, "P3",B57&lt;100000, "P4",B57&lt;200000,"M1",B57&lt;500000,"M2",B57&lt;1000000,"G1",B57&gt;1000000,"G2")</f>
        <v>P3</v>
      </c>
      <c r="D57" s="170">
        <f>VLOOKUP(C57,Metodologia!A$2:H$9,8,FALSE)</f>
        <v>32.026801323796981</v>
      </c>
      <c r="E57" s="171">
        <f>VLOOKUP(A57,Educacional!A$2:P$405,16,FALSE)</f>
        <v>47.29050824101688</v>
      </c>
      <c r="F57" s="171">
        <f>VLOOKUP(A57,Demográfico!A$2:L$405,12,FALSE)</f>
        <v>53.691377884128975</v>
      </c>
      <c r="G57" s="172">
        <f>VLOOKUP(A57,Socioeconômico!A$2:M$405,13,FALSE)</f>
        <v>31.613077262114881</v>
      </c>
      <c r="H57" s="173">
        <f>(1*E57+F57+3*G57)/5/100</f>
        <v>0.39164223582298097</v>
      </c>
      <c r="I57" s="170">
        <f>VLOOKUP(A57,Resultados!A$2:B455,2,FALSE)</f>
        <v>0</v>
      </c>
      <c r="J57" s="5">
        <f>IFERROR(VLOOKUP(A57,Demográfico!A$2:E$400,5,FALSE)/(VLOOKUP(C57,Metodologia!A$2:G$9,7,FALSE))*D57,0)</f>
        <v>0.45028874585385953</v>
      </c>
      <c r="K57" s="72">
        <f>(J57*(1+H57)-I57)</f>
        <v>0.62664083704599116</v>
      </c>
      <c r="L57" s="3">
        <v>1</v>
      </c>
      <c r="M57" s="66">
        <f>VLOOKUP(A57,Demográfico!A$2:E$400,5,FALSE)*H57</f>
        <v>1544.245335850014</v>
      </c>
      <c r="N57" s="68">
        <f>IFERROR(FLOOR(K57,1),0)</f>
        <v>0</v>
      </c>
      <c r="O57" s="68">
        <f>K57-N57</f>
        <v>0.62664083704599116</v>
      </c>
      <c r="P57" s="65">
        <f>IFERROR(RANK(O57,O$2:O$400,0),0)</f>
        <v>42</v>
      </c>
      <c r="Q57" s="3">
        <f>N57+IF(P57&lt;P$1,1,0)</f>
        <v>1</v>
      </c>
      <c r="S57" s="65">
        <f>VLOOKUP(A57,Demográfico!A$2:E$400,5,FALSE)*(H57)</f>
        <v>1544.245335850014</v>
      </c>
      <c r="T57" s="79">
        <f>IFERROR(D57/D57,0)</f>
        <v>1</v>
      </c>
      <c r="U57" s="65">
        <f t="shared" si="0"/>
        <v>1544.245335850014</v>
      </c>
    </row>
    <row r="58" spans="1:21" ht="19.5" x14ac:dyDescent="0.25">
      <c r="A58" s="2" t="s">
        <v>62</v>
      </c>
      <c r="B58" s="168">
        <v>32227</v>
      </c>
      <c r="C58" s="169" t="str" cm="1">
        <f t="array" ref="C58">_xlfn.IFS(B58&lt;5000, "P1",B58&lt;20000, "P2",B58&lt;70000, "P3",B58&lt;100000, "P4",B58&lt;200000,"M1",B58&lt;500000,"M2",B58&lt;1000000,"G1",B58&gt;1000000,"G2")</f>
        <v>P3</v>
      </c>
      <c r="D58" s="170">
        <f>VLOOKUP(C58,Metodologia!A$2:H$9,8,FALSE)</f>
        <v>32.026801323796981</v>
      </c>
      <c r="E58" s="171">
        <f>VLOOKUP(A58,Educacional!A$2:P$405,16,FALSE)</f>
        <v>50.616345288559472</v>
      </c>
      <c r="F58" s="171">
        <f>VLOOKUP(A58,Demográfico!A$2:L$405,12,FALSE)</f>
        <v>62.729188755083918</v>
      </c>
      <c r="G58" s="172">
        <f>VLOOKUP(A58,Socioeconômico!A$2:M$405,13,FALSE)</f>
        <v>32.371837276757162</v>
      </c>
      <c r="H58" s="173">
        <f>(1*E58+F58+3*G58)/5/100</f>
        <v>0.4209220917478298</v>
      </c>
      <c r="I58" s="170">
        <f>VLOOKUP(A58,Resultados!A$2:B456,2,FALSE)</f>
        <v>0</v>
      </c>
      <c r="J58" s="5">
        <f>IFERROR(VLOOKUP(A58,Demográfico!A$2:E$400,5,FALSE)/(VLOOKUP(C58,Metodologia!A$2:G$9,7,FALSE))*D58,0)</f>
        <v>0.50521871966966136</v>
      </c>
      <c r="K58" s="72">
        <f>(J58*(1+H58)-I58)</f>
        <v>0.71787643994317563</v>
      </c>
      <c r="L58" s="3">
        <v>1</v>
      </c>
      <c r="M58" s="66">
        <f>VLOOKUP(A58,Demográfico!A$2:E$400,5,FALSE)*H58</f>
        <v>1862.159333892399</v>
      </c>
      <c r="N58" s="68">
        <f>IFERROR(FLOOR(K58,1),0)</f>
        <v>0</v>
      </c>
      <c r="O58" s="68">
        <f>K58-N58</f>
        <v>0.71787643994317563</v>
      </c>
      <c r="P58" s="65">
        <f>IFERROR(RANK(O58,O$2:O$400,0),0)</f>
        <v>30</v>
      </c>
      <c r="Q58" s="3">
        <f>N58+IF(P58&lt;P$1,1,0)</f>
        <v>1</v>
      </c>
      <c r="S58" s="65">
        <f>VLOOKUP(A58,Demográfico!A$2:E$400,5,FALSE)*(H58)</f>
        <v>1862.159333892399</v>
      </c>
      <c r="T58" s="79">
        <f>IFERROR(D58/D58,0)</f>
        <v>1</v>
      </c>
      <c r="U58" s="65">
        <f t="shared" si="0"/>
        <v>1862.159333892399</v>
      </c>
    </row>
    <row r="59" spans="1:21" ht="19.5" x14ac:dyDescent="0.25">
      <c r="A59" s="2" t="s">
        <v>63</v>
      </c>
      <c r="B59" s="168">
        <v>32097</v>
      </c>
      <c r="C59" s="169" t="str" cm="1">
        <f t="array" ref="C59">_xlfn.IFS(B59&lt;5000, "P1",B59&lt;20000, "P2",B59&lt;70000, "P3",B59&lt;100000, "P4",B59&lt;200000,"M1",B59&lt;500000,"M2",B59&lt;1000000,"G1",B59&gt;1000000,"G2")</f>
        <v>P3</v>
      </c>
      <c r="D59" s="170">
        <f>VLOOKUP(C59,Metodologia!A$2:H$9,8,FALSE)</f>
        <v>32.026801323796981</v>
      </c>
      <c r="E59" s="171">
        <f>VLOOKUP(A59,Educacional!A$2:P$405,16,FALSE)</f>
        <v>60.948926023522965</v>
      </c>
      <c r="F59" s="171">
        <f>VLOOKUP(A59,Demográfico!A$2:L$405,12,FALSE)</f>
        <v>48.794644371626703</v>
      </c>
      <c r="G59" s="172">
        <f>VLOOKUP(A59,Socioeconômico!A$2:M$405,13,FALSE)</f>
        <v>35.308326488521267</v>
      </c>
      <c r="H59" s="173">
        <f>(1*E59+F59+3*G59)/5/100</f>
        <v>0.43133709972142698</v>
      </c>
      <c r="I59" s="170">
        <f>VLOOKUP(A59,Resultados!A$2:B457,2,FALSE)</f>
        <v>0</v>
      </c>
      <c r="J59" s="5">
        <f>IFERROR(VLOOKUP(A59,Demográfico!A$2:E$400,5,FALSE)/(VLOOKUP(C59,Metodologia!A$2:G$9,7,FALSE))*D59,0)</f>
        <v>0.52429004114001243</v>
      </c>
      <c r="K59" s="72">
        <f>(J59*(1+H59)-I59)</f>
        <v>0.75043578689817303</v>
      </c>
      <c r="L59" s="3">
        <v>1</v>
      </c>
      <c r="M59" s="66">
        <f>VLOOKUP(A59,Demográfico!A$2:E$400,5,FALSE)*H59</f>
        <v>1980.2686248210712</v>
      </c>
      <c r="N59" s="68">
        <f>IFERROR(FLOOR(K59,1),0)</f>
        <v>0</v>
      </c>
      <c r="O59" s="68">
        <f>K59-N59</f>
        <v>0.75043578689817303</v>
      </c>
      <c r="P59" s="65">
        <f>IFERROR(RANK(O59,O$2:O$400,0),0)</f>
        <v>27</v>
      </c>
      <c r="Q59" s="3">
        <f>N59+IF(P59&lt;P$1,1,0)</f>
        <v>1</v>
      </c>
      <c r="S59" s="65">
        <f>VLOOKUP(A59,Demográfico!A$2:E$400,5,FALSE)*(H59)</f>
        <v>1980.2686248210712</v>
      </c>
      <c r="T59" s="79">
        <f>IFERROR(D59/D59,0)</f>
        <v>1</v>
      </c>
      <c r="U59" s="65">
        <f t="shared" si="0"/>
        <v>1980.2686248210712</v>
      </c>
    </row>
    <row r="60" spans="1:21" ht="19.5" x14ac:dyDescent="0.25">
      <c r="A60" s="2" t="s">
        <v>64</v>
      </c>
      <c r="B60" s="168">
        <v>31457</v>
      </c>
      <c r="C60" s="169" t="str" cm="1">
        <f t="array" ref="C60">_xlfn.IFS(B60&lt;5000, "P1",B60&lt;20000, "P2",B60&lt;70000, "P3",B60&lt;100000, "P4",B60&lt;200000,"M1",B60&lt;500000,"M2",B60&lt;1000000,"G1",B60&gt;1000000,"G2")</f>
        <v>P3</v>
      </c>
      <c r="D60" s="170">
        <f>VLOOKUP(C60,Metodologia!A$2:H$9,8,FALSE)</f>
        <v>32.026801323796981</v>
      </c>
      <c r="E60" s="171">
        <f>VLOOKUP(A60,Educacional!A$2:P$405,16,FALSE)</f>
        <v>46.669497477851557</v>
      </c>
      <c r="F60" s="171">
        <f>VLOOKUP(A60,Demográfico!A$2:L$405,12,FALSE)</f>
        <v>48.541265005764508</v>
      </c>
      <c r="G60" s="172">
        <f>VLOOKUP(A60,Socioeconômico!A$2:M$405,13,FALSE)</f>
        <v>29.853143839694489</v>
      </c>
      <c r="H60" s="173">
        <f>(1*E60+F60+3*G60)/5/100</f>
        <v>0.36954038800539907</v>
      </c>
      <c r="I60" s="170">
        <f>VLOOKUP(A60,Resultados!A$2:B458,2,FALSE)</f>
        <v>0</v>
      </c>
      <c r="J60" s="5">
        <f>IFERROR(VLOOKUP(A60,Demográfico!A$2:E$400,5,FALSE)/(VLOOKUP(C60,Metodologia!A$2:G$9,7,FALSE))*D60,0)</f>
        <v>0.49037278080052571</v>
      </c>
      <c r="K60" s="72">
        <f>(J60*(1+H60)-I60)</f>
        <v>0.67158532848483854</v>
      </c>
      <c r="L60" s="3">
        <v>1</v>
      </c>
      <c r="M60" s="66">
        <f>VLOOKUP(A60,Demográfico!A$2:E$400,5,FALSE)*H60</f>
        <v>1586.8064260951835</v>
      </c>
      <c r="N60" s="68">
        <f>IFERROR(FLOOR(K60,1),0)</f>
        <v>0</v>
      </c>
      <c r="O60" s="68">
        <f>K60-N60</f>
        <v>0.67158532848483854</v>
      </c>
      <c r="P60" s="65">
        <f>IFERROR(RANK(O60,O$2:O$400,0),0)</f>
        <v>36</v>
      </c>
      <c r="Q60" s="3">
        <f>N60+IF(P60&lt;P$1,1,0)</f>
        <v>1</v>
      </c>
      <c r="S60" s="65">
        <f>VLOOKUP(A60,Demográfico!A$2:E$400,5,FALSE)*(H60)</f>
        <v>1586.8064260951835</v>
      </c>
      <c r="T60" s="79">
        <f>IFERROR(D60/D60,0)</f>
        <v>1</v>
      </c>
      <c r="U60" s="65">
        <f t="shared" si="0"/>
        <v>1586.8064260951835</v>
      </c>
    </row>
    <row r="61" spans="1:21" ht="19.5" x14ac:dyDescent="0.25">
      <c r="A61" s="2" t="s">
        <v>65</v>
      </c>
      <c r="B61" s="168">
        <v>31324</v>
      </c>
      <c r="C61" s="169" t="str" cm="1">
        <f t="array" ref="C61">_xlfn.IFS(B61&lt;5000, "P1",B61&lt;20000, "P2",B61&lt;70000, "P3",B61&lt;100000, "P4",B61&lt;200000,"M1",B61&lt;500000,"M2",B61&lt;1000000,"G1",B61&gt;1000000,"G2")</f>
        <v>P3</v>
      </c>
      <c r="D61" s="170">
        <f>VLOOKUP(C61,Metodologia!A$2:H$9,8,FALSE)</f>
        <v>32.026801323796981</v>
      </c>
      <c r="E61" s="171">
        <f>VLOOKUP(A61,Educacional!A$2:P$405,16,FALSE)</f>
        <v>53.396083688210481</v>
      </c>
      <c r="F61" s="171">
        <f>VLOOKUP(A61,Demográfico!A$2:L$405,12,FALSE)</f>
        <v>35.272024065232507</v>
      </c>
      <c r="G61" s="172">
        <f>VLOOKUP(A61,Socioeconômico!A$2:M$405,13,FALSE)</f>
        <v>28.841578121197468</v>
      </c>
      <c r="H61" s="173">
        <f>(1*E61+F61+3*G61)/5/100</f>
        <v>0.35038568423407085</v>
      </c>
      <c r="I61" s="170">
        <f>VLOOKUP(A61,Resultados!A$2:B459,2,FALSE)</f>
        <v>0</v>
      </c>
      <c r="J61" s="5">
        <f>IFERROR(VLOOKUP(A61,Demográfico!A$2:E$400,5,FALSE)/(VLOOKUP(C61,Metodologia!A$2:G$9,7,FALSE))*D61,0)</f>
        <v>0.46958846638373586</v>
      </c>
      <c r="K61" s="72">
        <f>(J61*(1+H61)-I61)</f>
        <v>0.63412554248602915</v>
      </c>
      <c r="L61" s="3">
        <v>1</v>
      </c>
      <c r="M61" s="66">
        <f>VLOOKUP(A61,Demográfico!A$2:E$400,5,FALSE)*H61</f>
        <v>1440.7859335704993</v>
      </c>
      <c r="N61" s="68">
        <f>IFERROR(FLOOR(K61,1),0)</f>
        <v>0</v>
      </c>
      <c r="O61" s="68">
        <f>K61-N61</f>
        <v>0.63412554248602915</v>
      </c>
      <c r="P61" s="65">
        <f>IFERROR(RANK(O61,O$2:O$400,0),0)</f>
        <v>40</v>
      </c>
      <c r="Q61" s="3">
        <f>N61+IF(P61&lt;P$1,1,0)</f>
        <v>1</v>
      </c>
      <c r="S61" s="65">
        <f>VLOOKUP(A61,Demográfico!A$2:E$400,5,FALSE)*(H61)</f>
        <v>1440.7859335704993</v>
      </c>
      <c r="T61" s="79">
        <f>IFERROR(D61/D61,0)</f>
        <v>1</v>
      </c>
      <c r="U61" s="65">
        <f t="shared" si="0"/>
        <v>1440.7859335704993</v>
      </c>
    </row>
    <row r="62" spans="1:21" ht="19.5" x14ac:dyDescent="0.25">
      <c r="A62" s="2" t="s">
        <v>66</v>
      </c>
      <c r="B62" s="168">
        <v>31273</v>
      </c>
      <c r="C62" s="169" t="str" cm="1">
        <f t="array" ref="C62">_xlfn.IFS(B62&lt;5000, "P1",B62&lt;20000, "P2",B62&lt;70000, "P3",B62&lt;100000, "P4",B62&lt;200000,"M1",B62&lt;500000,"M2",B62&lt;1000000,"G1",B62&gt;1000000,"G2")</f>
        <v>P3</v>
      </c>
      <c r="D62" s="170">
        <f>VLOOKUP(C62,Metodologia!A$2:H$9,8,FALSE)</f>
        <v>32.026801323796981</v>
      </c>
      <c r="E62" s="171">
        <f>VLOOKUP(A62,Educacional!A$2:P$405,16,FALSE)</f>
        <v>49.319422424413183</v>
      </c>
      <c r="F62" s="171">
        <f>VLOOKUP(A62,Demográfico!A$2:L$405,12,FALSE)</f>
        <v>36.980924974346188</v>
      </c>
      <c r="G62" s="172">
        <f>VLOOKUP(A62,Socioeconômico!A$2:M$405,13,FALSE)</f>
        <v>38.530193062835082</v>
      </c>
      <c r="H62" s="173">
        <f>(1*E62+F62+3*G62)/5/100</f>
        <v>0.40378185317452925</v>
      </c>
      <c r="I62" s="170">
        <f>VLOOKUP(A62,Resultados!A$2:B460,2,FALSE)</f>
        <v>0</v>
      </c>
      <c r="J62" s="5">
        <f>IFERROR(VLOOKUP(A62,Demográfico!A$2:E$400,5,FALSE)/(VLOOKUP(C62,Metodologia!A$2:G$9,7,FALSE))*D62,0)</f>
        <v>0.44092438441332787</v>
      </c>
      <c r="K62" s="72">
        <f>(J62*(1+H62)-I62)</f>
        <v>0.61896164946157994</v>
      </c>
      <c r="L62" s="3">
        <v>1</v>
      </c>
      <c r="M62" s="66">
        <f>VLOOKUP(A62,Demográfico!A$2:E$400,5,FALSE)*H62</f>
        <v>1559.0017351068575</v>
      </c>
      <c r="N62" s="68">
        <f>IFERROR(FLOOR(K62,1),0)</f>
        <v>0</v>
      </c>
      <c r="O62" s="68">
        <f>K62-N62</f>
        <v>0.61896164946157994</v>
      </c>
      <c r="P62" s="65">
        <f>IFERROR(RANK(O62,O$2:O$400,0),0)</f>
        <v>46</v>
      </c>
      <c r="Q62" s="3">
        <f>N62+IF(P62&lt;P$1,1,0)</f>
        <v>1</v>
      </c>
      <c r="S62" s="65">
        <f>VLOOKUP(A62,Demográfico!A$2:E$400,5,FALSE)*(H62)</f>
        <v>1559.0017351068575</v>
      </c>
      <c r="T62" s="79">
        <f>IFERROR(D62/D62,0)</f>
        <v>1</v>
      </c>
      <c r="U62" s="65">
        <f t="shared" si="0"/>
        <v>1559.0017351068575</v>
      </c>
    </row>
    <row r="63" spans="1:21" ht="19.5" x14ac:dyDescent="0.25">
      <c r="A63" s="2" t="s">
        <v>67</v>
      </c>
      <c r="B63" s="168">
        <v>31217</v>
      </c>
      <c r="C63" s="169" t="str" cm="1">
        <f t="array" ref="C63">_xlfn.IFS(B63&lt;5000, "P1",B63&lt;20000, "P2",B63&lt;70000, "P3",B63&lt;100000, "P4",B63&lt;200000,"M1",B63&lt;500000,"M2",B63&lt;1000000,"G1",B63&gt;1000000,"G2")</f>
        <v>P3</v>
      </c>
      <c r="D63" s="170">
        <f>VLOOKUP(C63,Metodologia!A$2:H$9,8,FALSE)</f>
        <v>32.026801323796981</v>
      </c>
      <c r="E63" s="171">
        <f>VLOOKUP(A63,Educacional!A$2:P$405,16,FALSE)</f>
        <v>70.046651563035724</v>
      </c>
      <c r="F63" s="171">
        <f>VLOOKUP(A63,Demográfico!A$2:L$405,12,FALSE)</f>
        <v>58.965452549033259</v>
      </c>
      <c r="G63" s="172">
        <f>VLOOKUP(A63,Socioeconômico!A$2:M$405,13,FALSE)</f>
        <v>62.774834101560764</v>
      </c>
      <c r="H63" s="173">
        <f>(1*E63+F63+3*G63)/5/100</f>
        <v>0.63467321283350242</v>
      </c>
      <c r="I63" s="170">
        <f>VLOOKUP(A63,Resultados!A$2:B461,2,FALSE)</f>
        <v>1</v>
      </c>
      <c r="J63" s="5">
        <f>IFERROR(VLOOKUP(A63,Demográfico!A$2:E$400,5,FALSE)/(VLOOKUP(C63,Metodologia!A$2:G$9,7,FALSE))*D63,0)</f>
        <v>0.56414567702715346</v>
      </c>
      <c r="K63" s="72">
        <f>(J63*(1+H63)-I63)</f>
        <v>-7.7806173627891662E-2</v>
      </c>
      <c r="L63" s="3">
        <v>1</v>
      </c>
      <c r="M63" s="66">
        <f>VLOOKUP(A63,Demográfico!A$2:E$400,5,FALSE)*H63</f>
        <v>3135.285671397502</v>
      </c>
      <c r="N63" s="68">
        <f>IFERROR(FLOOR(K63,1),0)</f>
        <v>-1</v>
      </c>
      <c r="O63" s="68">
        <f>K63-N63</f>
        <v>0.92219382637210834</v>
      </c>
      <c r="P63" s="65">
        <f>IFERROR(RANK(O63,O$2:O$400,0),0)</f>
        <v>11</v>
      </c>
      <c r="Q63" s="3">
        <f>N63+IF(P63&lt;P$1,1,0)</f>
        <v>0</v>
      </c>
      <c r="S63" s="65">
        <f>VLOOKUP(A63,Demográfico!A$2:E$400,5,FALSE)*(H63)</f>
        <v>3135.285671397502</v>
      </c>
      <c r="T63" s="79">
        <f>IFERROR(D63/D63,0)</f>
        <v>1</v>
      </c>
      <c r="U63" s="65">
        <f t="shared" si="0"/>
        <v>3135.285671397502</v>
      </c>
    </row>
    <row r="64" spans="1:21" ht="19.5" x14ac:dyDescent="0.25">
      <c r="A64" s="2" t="s">
        <v>68</v>
      </c>
      <c r="B64" s="168">
        <v>30738</v>
      </c>
      <c r="C64" s="169" t="str" cm="1">
        <f t="array" ref="C64">_xlfn.IFS(B64&lt;5000, "P1",B64&lt;20000, "P2",B64&lt;70000, "P3",B64&lt;100000, "P4",B64&lt;200000,"M1",B64&lt;500000,"M2",B64&lt;1000000,"G1",B64&gt;1000000,"G2")</f>
        <v>P3</v>
      </c>
      <c r="D64" s="170">
        <f>VLOOKUP(C64,Metodologia!A$2:H$9,8,FALSE)</f>
        <v>32.026801323796981</v>
      </c>
      <c r="E64" s="171">
        <f>VLOOKUP(A64,Educacional!A$2:P$405,16,FALSE)</f>
        <v>65.52345373946963</v>
      </c>
      <c r="F64" s="171">
        <f>VLOOKUP(A64,Demográfico!A$2:L$405,12,FALSE)</f>
        <v>71.960512684873748</v>
      </c>
      <c r="G64" s="172">
        <f>VLOOKUP(A64,Socioeconômico!A$2:M$405,13,FALSE)</f>
        <v>52.404126509709791</v>
      </c>
      <c r="H64" s="173">
        <f>(1*E64+F64+3*G64)/5/100</f>
        <v>0.58939269190694554</v>
      </c>
      <c r="I64" s="170">
        <f>VLOOKUP(A64,Resultados!A$2:B462,2,FALSE)</f>
        <v>0</v>
      </c>
      <c r="J64" s="5">
        <f>IFERROR(VLOOKUP(A64,Demográfico!A$2:E$400,5,FALSE)/(VLOOKUP(C64,Metodologia!A$2:G$9,7,FALSE))*D64,0)</f>
        <v>0.50316312813393482</v>
      </c>
      <c r="K64" s="72">
        <f>(J64*(1+H64)-I64)</f>
        <v>0.79972379869311405</v>
      </c>
      <c r="L64" s="3">
        <v>1</v>
      </c>
      <c r="M64" s="66">
        <f>VLOOKUP(A64,Demográfico!A$2:E$400,5,FALSE)*H64</f>
        <v>2596.864200542002</v>
      </c>
      <c r="N64" s="68">
        <f>IFERROR(FLOOR(K64,1),0)</f>
        <v>0</v>
      </c>
      <c r="O64" s="68">
        <f>K64-N64</f>
        <v>0.79972379869311405</v>
      </c>
      <c r="P64" s="65">
        <f>IFERROR(RANK(O64,O$2:O$400,0),0)</f>
        <v>23</v>
      </c>
      <c r="Q64" s="3">
        <f>N64+IF(P64&lt;P$1,1,0)</f>
        <v>1</v>
      </c>
      <c r="S64" s="65">
        <f>VLOOKUP(A64,Demográfico!A$2:E$400,5,FALSE)*(H64)</f>
        <v>2596.864200542002</v>
      </c>
      <c r="T64" s="79">
        <f>IFERROR(D64/D64,0)</f>
        <v>1</v>
      </c>
      <c r="U64" s="65">
        <f t="shared" si="0"/>
        <v>2596.864200542002</v>
      </c>
    </row>
    <row r="65" spans="1:21" ht="19.5" x14ac:dyDescent="0.25">
      <c r="A65" s="2" t="s">
        <v>69</v>
      </c>
      <c r="B65" s="168">
        <v>30425</v>
      </c>
      <c r="C65" s="169" t="str" cm="1">
        <f t="array" ref="C65">_xlfn.IFS(B65&lt;5000, "P1",B65&lt;20000, "P2",B65&lt;70000, "P3",B65&lt;100000, "P4",B65&lt;200000,"M1",B65&lt;500000,"M2",B65&lt;1000000,"G1",B65&gt;1000000,"G2")</f>
        <v>P3</v>
      </c>
      <c r="D65" s="170">
        <f>VLOOKUP(C65,Metodologia!A$2:H$9,8,FALSE)</f>
        <v>32.026801323796981</v>
      </c>
      <c r="E65" s="171">
        <f>VLOOKUP(A65,Educacional!A$2:P$405,16,FALSE)</f>
        <v>55.356749736881817</v>
      </c>
      <c r="F65" s="171">
        <f>VLOOKUP(A65,Demográfico!A$2:L$405,12,FALSE)</f>
        <v>31.116615008102272</v>
      </c>
      <c r="G65" s="172">
        <f>VLOOKUP(A65,Socioeconômico!A$2:M$405,13,FALSE)</f>
        <v>43.200403690843167</v>
      </c>
      <c r="H65" s="173">
        <f>(1*E65+F65+3*G65)/5/100</f>
        <v>0.43214915163502715</v>
      </c>
      <c r="I65" s="170">
        <f>VLOOKUP(A65,Resultados!A$2:B463,2,FALSE)</f>
        <v>1</v>
      </c>
      <c r="J65" s="5">
        <f>IFERROR(VLOOKUP(A65,Demográfico!A$2:E$400,5,FALSE)/(VLOOKUP(C65,Metodologia!A$2:G$9,7,FALSE))*D65,0)</f>
        <v>0.44229477877047885</v>
      </c>
      <c r="K65" s="72">
        <f>(J65*(1+H65)-I65)</f>
        <v>-0.3665679078112567</v>
      </c>
      <c r="L65" s="3">
        <v>1</v>
      </c>
      <c r="M65" s="66">
        <f>VLOOKUP(A65,Demográfico!A$2:E$400,5,FALSE)*H65</f>
        <v>1673.7136642824601</v>
      </c>
      <c r="N65" s="68">
        <f>IFERROR(FLOOR(K65,1),0)</f>
        <v>-1</v>
      </c>
      <c r="O65" s="68">
        <f>K65-N65</f>
        <v>0.6334320921887433</v>
      </c>
      <c r="P65" s="65">
        <f>IFERROR(RANK(O65,O$2:O$400,0),0)</f>
        <v>41</v>
      </c>
      <c r="Q65" s="3">
        <f>N65+IF(P65&lt;P$1,1,0)</f>
        <v>0</v>
      </c>
      <c r="S65" s="65">
        <f>VLOOKUP(A65,Demográfico!A$2:E$400,5,FALSE)*(H65)</f>
        <v>1673.7136642824601</v>
      </c>
      <c r="T65" s="79">
        <f>IFERROR(D65/D65,0)</f>
        <v>1</v>
      </c>
      <c r="U65" s="65">
        <f t="shared" si="0"/>
        <v>1673.7136642824601</v>
      </c>
    </row>
    <row r="66" spans="1:21" ht="19.5" x14ac:dyDescent="0.25">
      <c r="A66" s="2" t="s">
        <v>70</v>
      </c>
      <c r="B66" s="168">
        <v>30160</v>
      </c>
      <c r="C66" s="169" t="str" cm="1">
        <f t="array" ref="C66">_xlfn.IFS(B66&lt;5000, "P1",B66&lt;20000, "P2",B66&lt;70000, "P3",B66&lt;100000, "P4",B66&lt;200000,"M1",B66&lt;500000,"M2",B66&lt;1000000,"G1",B66&gt;1000000,"G2")</f>
        <v>P3</v>
      </c>
      <c r="D66" s="170">
        <f>VLOOKUP(C66,Metodologia!A$2:H$9,8,FALSE)</f>
        <v>32.026801323796981</v>
      </c>
      <c r="E66" s="171">
        <f>VLOOKUP(A66,Educacional!A$2:P$405,16,FALSE)</f>
        <v>84.883095493877107</v>
      </c>
      <c r="F66" s="171">
        <f>VLOOKUP(A66,Demográfico!A$2:L$405,12,FALSE)</f>
        <v>40.435130224771527</v>
      </c>
      <c r="G66" s="172">
        <f>VLOOKUP(A66,Socioeconômico!A$2:M$405,13,FALSE)</f>
        <v>42.47584206221314</v>
      </c>
      <c r="H66" s="173">
        <f>(1*E66+F66+3*G66)/5/100</f>
        <v>0.50549150381057606</v>
      </c>
      <c r="I66" s="170">
        <f>VLOOKUP(A66,Resultados!A$2:B464,2,FALSE)</f>
        <v>0</v>
      </c>
      <c r="J66" s="5">
        <f>IFERROR(VLOOKUP(A66,Demográfico!A$2:E$400,5,FALSE)/(VLOOKUP(C66,Metodologia!A$2:G$9,7,FALSE))*D66,0)</f>
        <v>0.48352080901477085</v>
      </c>
      <c r="K66" s="72">
        <f>(J66*(1+H66)-I66)</f>
        <v>0.72793646988735372</v>
      </c>
      <c r="L66" s="3">
        <v>1</v>
      </c>
      <c r="M66" s="66">
        <f>VLOOKUP(A66,Demográfico!A$2:E$400,5,FALSE)*H66</f>
        <v>2140.2510271339788</v>
      </c>
      <c r="N66" s="68">
        <f>IFERROR(FLOOR(K66,1),0)</f>
        <v>0</v>
      </c>
      <c r="O66" s="68">
        <f>K66-N66</f>
        <v>0.72793646988735372</v>
      </c>
      <c r="P66" s="65">
        <f>IFERROR(RANK(O66,O$2:O$400,0),0)</f>
        <v>28</v>
      </c>
      <c r="Q66" s="3">
        <f>N66+IF(P66&lt;P$1,1,0)</f>
        <v>1</v>
      </c>
      <c r="S66" s="65">
        <f>VLOOKUP(A66,Demográfico!A$2:E$400,5,FALSE)*(H66)</f>
        <v>2140.2510271339788</v>
      </c>
      <c r="T66" s="79">
        <f>IFERROR(D66/D66,0)</f>
        <v>1</v>
      </c>
      <c r="U66" s="65">
        <f t="shared" si="0"/>
        <v>2140.2510271339788</v>
      </c>
    </row>
    <row r="67" spans="1:21" ht="19.5" x14ac:dyDescent="0.25">
      <c r="A67" s="2" t="s">
        <v>71</v>
      </c>
      <c r="B67" s="168">
        <v>29924</v>
      </c>
      <c r="C67" s="169" t="str" cm="1">
        <f t="array" ref="C67">_xlfn.IFS(B67&lt;5000, "P1",B67&lt;20000, "P2",B67&lt;70000, "P3",B67&lt;100000, "P4",B67&lt;200000,"M1",B67&lt;500000,"M2",B67&lt;1000000,"G1",B67&gt;1000000,"G2")</f>
        <v>P3</v>
      </c>
      <c r="D67" s="170">
        <f>VLOOKUP(C67,Metodologia!A$2:H$9,8,FALSE)</f>
        <v>32.026801323796981</v>
      </c>
      <c r="E67" s="171">
        <f>VLOOKUP(A67,Educacional!A$2:P$405,16,FALSE)</f>
        <v>67.893160850338916</v>
      </c>
      <c r="F67" s="171">
        <f>VLOOKUP(A67,Demográfico!A$2:L$405,12,FALSE)</f>
        <v>58.501322828357203</v>
      </c>
      <c r="G67" s="172">
        <f>VLOOKUP(A67,Socioeconômico!A$2:M$405,13,FALSE)</f>
        <v>36.525728670647887</v>
      </c>
      <c r="H67" s="173">
        <f>(1*E67+F67+3*G67)/5/100</f>
        <v>0.47194333938127953</v>
      </c>
      <c r="I67" s="170">
        <f>VLOOKUP(A67,Resultados!A$2:B465,2,FALSE)</f>
        <v>0</v>
      </c>
      <c r="J67" s="5">
        <f>IFERROR(VLOOKUP(A67,Demográfico!A$2:E$400,5,FALSE)/(VLOOKUP(C67,Metodologia!A$2:G$9,7,FALSE))*D67,0)</f>
        <v>0.48763199208622376</v>
      </c>
      <c r="K67" s="72">
        <f>(J67*(1+H67)-I67)</f>
        <v>0.71776666282054191</v>
      </c>
      <c r="L67" s="3">
        <v>1</v>
      </c>
      <c r="M67" s="66">
        <f>VLOOKUP(A67,Demográfico!A$2:E$400,5,FALSE)*H67</f>
        <v>2015.1980591580636</v>
      </c>
      <c r="N67" s="68">
        <f>IFERROR(FLOOR(K67,1),0)</f>
        <v>0</v>
      </c>
      <c r="O67" s="68">
        <f>K67-N67</f>
        <v>0.71776666282054191</v>
      </c>
      <c r="P67" s="65">
        <f>IFERROR(RANK(O67,O$2:O$400,0),0)</f>
        <v>31</v>
      </c>
      <c r="Q67" s="3">
        <f>N67+IF(P67&lt;P$1,1,0)</f>
        <v>1</v>
      </c>
      <c r="S67" s="65">
        <f>VLOOKUP(A67,Demográfico!A$2:E$400,5,FALSE)*(H67)</f>
        <v>2015.1980591580636</v>
      </c>
      <c r="T67" s="79">
        <f>IFERROR(D67/D67,0)</f>
        <v>1</v>
      </c>
      <c r="U67" s="65">
        <f t="shared" ref="U67:U130" si="1">S67*T67</f>
        <v>2015.1980591580636</v>
      </c>
    </row>
    <row r="68" spans="1:21" ht="19.5" x14ac:dyDescent="0.25">
      <c r="A68" s="2" t="s">
        <v>72</v>
      </c>
      <c r="B68" s="168">
        <v>29886</v>
      </c>
      <c r="C68" s="169" t="str" cm="1">
        <f t="array" ref="C68">_xlfn.IFS(B68&lt;5000, "P1",B68&lt;20000, "P2",B68&lt;70000, "P3",B68&lt;100000, "P4",B68&lt;200000,"M1",B68&lt;500000,"M2",B68&lt;1000000,"G1",B68&gt;1000000,"G2")</f>
        <v>P3</v>
      </c>
      <c r="D68" s="170">
        <f>VLOOKUP(C68,Metodologia!A$2:H$9,8,FALSE)</f>
        <v>32.026801323796981</v>
      </c>
      <c r="E68" s="171">
        <f>VLOOKUP(A68,Educacional!A$2:P$405,16,FALSE)</f>
        <v>74.689393151808602</v>
      </c>
      <c r="F68" s="171">
        <f>VLOOKUP(A68,Demográfico!A$2:L$405,12,FALSE)</f>
        <v>75.177540753535126</v>
      </c>
      <c r="G68" s="172">
        <f>VLOOKUP(A68,Socioeconômico!A$2:M$405,13,FALSE)</f>
        <v>56.410524737879832</v>
      </c>
      <c r="H68" s="173">
        <f>(1*E68+F68+3*G68)/5/100</f>
        <v>0.63819701623796643</v>
      </c>
      <c r="I68" s="170">
        <f>VLOOKUP(A68,Resultados!A$2:B466,2,FALSE)</f>
        <v>1</v>
      </c>
      <c r="J68" s="5">
        <f>IFERROR(VLOOKUP(A68,Demográfico!A$2:E$400,5,FALSE)/(VLOOKUP(C68,Metodologia!A$2:G$9,7,FALSE))*D68,0)</f>
        <v>0.53159881104481777</v>
      </c>
      <c r="K68" s="72">
        <f>(J68*(1+H68)-I68)</f>
        <v>-0.12913641391072905</v>
      </c>
      <c r="L68" s="3">
        <v>1</v>
      </c>
      <c r="M68" s="66">
        <f>VLOOKUP(A68,Demográfico!A$2:E$400,5,FALSE)*H68</f>
        <v>2970.8071105877339</v>
      </c>
      <c r="N68" s="68">
        <f>IFERROR(FLOOR(K68,1),0)</f>
        <v>-1</v>
      </c>
      <c r="O68" s="68">
        <f>K68-N68</f>
        <v>0.87086358608927095</v>
      </c>
      <c r="P68" s="65">
        <f>IFERROR(RANK(O68,O$2:O$400,0),0)</f>
        <v>14</v>
      </c>
      <c r="Q68" s="3">
        <f>N68+IF(P68&lt;P$1,1,0)</f>
        <v>0</v>
      </c>
      <c r="S68" s="65">
        <f>VLOOKUP(A68,Demográfico!A$2:E$400,5,FALSE)*(H68)</f>
        <v>2970.8071105877339</v>
      </c>
      <c r="T68" s="79">
        <f>IFERROR(D68/D68,0)</f>
        <v>1</v>
      </c>
      <c r="U68" s="65">
        <f t="shared" si="1"/>
        <v>2970.8071105877339</v>
      </c>
    </row>
    <row r="69" spans="1:21" ht="19.5" x14ac:dyDescent="0.25">
      <c r="A69" s="2" t="s">
        <v>73</v>
      </c>
      <c r="B69" s="168">
        <v>29122</v>
      </c>
      <c r="C69" s="169" t="str" cm="1">
        <f t="array" ref="C69">_xlfn.IFS(B69&lt;5000, "P1",B69&lt;20000, "P2",B69&lt;70000, "P3",B69&lt;100000, "P4",B69&lt;200000,"M1",B69&lt;500000,"M2",B69&lt;1000000,"G1",B69&gt;1000000,"G2")</f>
        <v>P3</v>
      </c>
      <c r="D69" s="170">
        <f>VLOOKUP(C69,Metodologia!A$2:H$9,8,FALSE)</f>
        <v>32.026801323796981</v>
      </c>
      <c r="E69" s="171">
        <f>VLOOKUP(A69,Educacional!A$2:P$405,16,FALSE)</f>
        <v>47.671895203474705</v>
      </c>
      <c r="F69" s="171">
        <f>VLOOKUP(A69,Demográfico!A$2:L$405,12,FALSE)</f>
        <v>51.738260626099695</v>
      </c>
      <c r="G69" s="172">
        <f>VLOOKUP(A69,Socioeconômico!A$2:M$405,13,FALSE)</f>
        <v>27.087186185824013</v>
      </c>
      <c r="H69" s="173">
        <f>(1*E69+F69+3*G69)/5/100</f>
        <v>0.36134342877409287</v>
      </c>
      <c r="I69" s="170">
        <f>VLOOKUP(A69,Resultados!A$2:B467,2,FALSE)</f>
        <v>0</v>
      </c>
      <c r="J69" s="5">
        <f>IFERROR(VLOOKUP(A69,Demográfico!A$2:E$400,5,FALSE)/(VLOOKUP(C69,Metodologia!A$2:G$9,7,FALSE))*D69,0)</f>
        <v>0.45405733033602474</v>
      </c>
      <c r="K69" s="72">
        <f>(J69*(1+H69)-I69)</f>
        <v>0.61812796293965488</v>
      </c>
      <c r="L69" s="3">
        <v>1</v>
      </c>
      <c r="M69" s="66">
        <f>VLOOKUP(A69,Demográfico!A$2:E$400,5,FALSE)*H69</f>
        <v>1436.7014728057932</v>
      </c>
      <c r="N69" s="68">
        <f>IFERROR(FLOOR(K69,1),0)</f>
        <v>0</v>
      </c>
      <c r="O69" s="68">
        <f>K69-N69</f>
        <v>0.61812796293965488</v>
      </c>
      <c r="P69" s="65">
        <f>IFERROR(RANK(O69,O$2:O$400,0),0)</f>
        <v>47</v>
      </c>
      <c r="Q69" s="3">
        <f>N69+IF(P69&lt;P$1,1,0)</f>
        <v>1</v>
      </c>
      <c r="S69" s="65">
        <f>VLOOKUP(A69,Demográfico!A$2:E$400,5,FALSE)*(H69)</f>
        <v>1436.7014728057932</v>
      </c>
      <c r="T69" s="79">
        <f>IFERROR(D69/D69,0)</f>
        <v>1</v>
      </c>
      <c r="U69" s="65">
        <f t="shared" si="1"/>
        <v>1436.7014728057932</v>
      </c>
    </row>
    <row r="70" spans="1:21" ht="19.5" x14ac:dyDescent="0.25">
      <c r="A70" s="2" t="s">
        <v>74</v>
      </c>
      <c r="B70" s="168">
        <v>28830</v>
      </c>
      <c r="C70" s="169" t="str" cm="1">
        <f t="array" ref="C70">_xlfn.IFS(B70&lt;5000, "P1",B70&lt;20000, "P2",B70&lt;70000, "P3",B70&lt;100000, "P4",B70&lt;200000,"M1",B70&lt;500000,"M2",B70&lt;1000000,"G1",B70&gt;1000000,"G2")</f>
        <v>P3</v>
      </c>
      <c r="D70" s="170">
        <f>VLOOKUP(C70,Metodologia!A$2:H$9,8,FALSE)</f>
        <v>32.026801323796981</v>
      </c>
      <c r="E70" s="171">
        <f>VLOOKUP(A70,Educacional!A$2:P$405,16,FALSE)</f>
        <v>54.102604911337714</v>
      </c>
      <c r="F70" s="171">
        <f>VLOOKUP(A70,Demográfico!A$2:L$405,12,FALSE)</f>
        <v>44.745304429203436</v>
      </c>
      <c r="G70" s="172">
        <f>VLOOKUP(A70,Socioeconômico!A$2:M$405,13,FALSE)</f>
        <v>37.905939274829933</v>
      </c>
      <c r="H70" s="173">
        <f>(1*E70+F70+3*G70)/5/100</f>
        <v>0.42513145433006189</v>
      </c>
      <c r="I70" s="170">
        <f>VLOOKUP(A70,Resultados!A$2:B468,2,FALSE)</f>
        <v>0</v>
      </c>
      <c r="J70" s="5">
        <f>IFERROR(VLOOKUP(A70,Demográfico!A$2:E$400,5,FALSE)/(VLOOKUP(C70,Metodologia!A$2:G$9,7,FALSE))*D70,0)</f>
        <v>0.42710624131205549</v>
      </c>
      <c r="K70" s="72">
        <f>(J70*(1+H70)-I70)</f>
        <v>0.60868253883449608</v>
      </c>
      <c r="L70" s="3">
        <v>1</v>
      </c>
      <c r="M70" s="66">
        <f>VLOOKUP(A70,Demográfico!A$2:E$400,5,FALSE)*H70</f>
        <v>1589.9916391944314</v>
      </c>
      <c r="N70" s="68">
        <f>IFERROR(FLOOR(K70,1),0)</f>
        <v>0</v>
      </c>
      <c r="O70" s="68">
        <f>K70-N70</f>
        <v>0.60868253883449608</v>
      </c>
      <c r="P70" s="65">
        <f>IFERROR(RANK(O70,O$2:O$400,0),0)</f>
        <v>48</v>
      </c>
      <c r="Q70" s="3">
        <f>N70+IF(P70&lt;P$1,1,0)</f>
        <v>1</v>
      </c>
      <c r="S70" s="65">
        <f>VLOOKUP(A70,Demográfico!A$2:E$400,5,FALSE)*(H70)</f>
        <v>1589.9916391944314</v>
      </c>
      <c r="T70" s="79">
        <f>IFERROR(D70/D70,0)</f>
        <v>1</v>
      </c>
      <c r="U70" s="65">
        <f t="shared" si="1"/>
        <v>1589.9916391944314</v>
      </c>
    </row>
    <row r="71" spans="1:21" ht="19.5" x14ac:dyDescent="0.25">
      <c r="A71" s="2" t="s">
        <v>75</v>
      </c>
      <c r="B71" s="168">
        <v>28437</v>
      </c>
      <c r="C71" s="169" t="str" cm="1">
        <f t="array" ref="C71">_xlfn.IFS(B71&lt;5000, "P1",B71&lt;20000, "P2",B71&lt;70000, "P3",B71&lt;100000, "P4",B71&lt;200000,"M1",B71&lt;500000,"M2",B71&lt;1000000,"G1",B71&gt;1000000,"G2")</f>
        <v>P3</v>
      </c>
      <c r="D71" s="170">
        <f>VLOOKUP(C71,Metodologia!A$2:H$9,8,FALSE)</f>
        <v>32.026801323796981</v>
      </c>
      <c r="E71" s="171">
        <f>VLOOKUP(A71,Educacional!A$2:P$405,16,FALSE)</f>
        <v>42.472187663263604</v>
      </c>
      <c r="F71" s="171">
        <f>VLOOKUP(A71,Demográfico!A$2:L$405,12,FALSE)</f>
        <v>36.172444824008174</v>
      </c>
      <c r="G71" s="172">
        <f>VLOOKUP(A71,Socioeconômico!A$2:M$405,13,FALSE)</f>
        <v>42.825525589271166</v>
      </c>
      <c r="H71" s="173">
        <f>(1*E71+F71+3*G71)/5/100</f>
        <v>0.41424241851017052</v>
      </c>
      <c r="I71" s="170">
        <f>VLOOKUP(A71,Resultados!A$2:B469,2,FALSE)</f>
        <v>0</v>
      </c>
      <c r="J71" s="5">
        <f>IFERROR(VLOOKUP(A71,Demográfico!A$2:E$400,5,FALSE)/(VLOOKUP(C71,Metodologia!A$2:G$9,7,FALSE))*D71,0)</f>
        <v>0.40449473441906431</v>
      </c>
      <c r="K71" s="72">
        <f>(J71*(1+H71)-I71)</f>
        <v>0.57205361147944667</v>
      </c>
      <c r="L71" s="3">
        <v>1</v>
      </c>
      <c r="M71" s="66">
        <f>VLOOKUP(A71,Demográfico!A$2:E$400,5,FALSE)*H71</f>
        <v>1467.246646363024</v>
      </c>
      <c r="N71" s="68">
        <f>IFERROR(FLOOR(K71,1),0)</f>
        <v>0</v>
      </c>
      <c r="O71" s="68">
        <f>K71-N71</f>
        <v>0.57205361147944667</v>
      </c>
      <c r="P71" s="65">
        <f>IFERROR(RANK(O71,O$2:O$400,0),0)</f>
        <v>55</v>
      </c>
      <c r="Q71" s="3">
        <f>N71+IF(P71&lt;P$1,1,0)</f>
        <v>1</v>
      </c>
      <c r="S71" s="65">
        <f>VLOOKUP(A71,Demográfico!A$2:E$400,5,FALSE)*(H71)</f>
        <v>1467.246646363024</v>
      </c>
      <c r="T71" s="79">
        <f>IFERROR(D71/D71,0)</f>
        <v>1</v>
      </c>
      <c r="U71" s="65">
        <f t="shared" si="1"/>
        <v>1467.246646363024</v>
      </c>
    </row>
    <row r="72" spans="1:21" ht="19.5" x14ac:dyDescent="0.25">
      <c r="A72" s="2" t="s">
        <v>76</v>
      </c>
      <c r="B72" s="168">
        <v>27439</v>
      </c>
      <c r="C72" s="169" t="str" cm="1">
        <f t="array" ref="C72">_xlfn.IFS(B72&lt;5000, "P1",B72&lt;20000, "P2",B72&lt;70000, "P3",B72&lt;100000, "P4",B72&lt;200000,"M1",B72&lt;500000,"M2",B72&lt;1000000,"G1",B72&gt;1000000,"G2")</f>
        <v>P3</v>
      </c>
      <c r="D72" s="170">
        <f>VLOOKUP(C72,Metodologia!A$2:H$9,8,FALSE)</f>
        <v>32.026801323796981</v>
      </c>
      <c r="E72" s="171">
        <f>VLOOKUP(A72,Educacional!A$2:P$405,16,FALSE)</f>
        <v>68.406167543555341</v>
      </c>
      <c r="F72" s="171">
        <f>VLOOKUP(A72,Demográfico!A$2:L$405,12,FALSE)</f>
        <v>55.148226883905608</v>
      </c>
      <c r="G72" s="172">
        <f>VLOOKUP(A72,Socioeconômico!A$2:M$405,13,FALSE)</f>
        <v>46.469517904095149</v>
      </c>
      <c r="H72" s="173">
        <f>(1*E72+F72+3*G72)/5/100</f>
        <v>0.52592589627949282</v>
      </c>
      <c r="I72" s="170">
        <f>VLOOKUP(A72,Resultados!A$2:B470,2,FALSE)</f>
        <v>0</v>
      </c>
      <c r="J72" s="5">
        <f>IFERROR(VLOOKUP(A72,Demográfico!A$2:E$400,5,FALSE)/(VLOOKUP(C72,Metodologia!A$2:G$9,7,FALSE))*D72,0)</f>
        <v>0.44937514961575892</v>
      </c>
      <c r="K72" s="72">
        <f>(J72*(1+H72)-I72)</f>
        <v>0.68571317794315811</v>
      </c>
      <c r="L72" s="3">
        <v>1</v>
      </c>
      <c r="M72" s="66">
        <f>VLOOKUP(A72,Demográfico!A$2:E$400,5,FALSE)*H72</f>
        <v>2069.5184018598043</v>
      </c>
      <c r="N72" s="68">
        <f>IFERROR(FLOOR(K72,1),0)</f>
        <v>0</v>
      </c>
      <c r="O72" s="68">
        <f>K72-N72</f>
        <v>0.68571317794315811</v>
      </c>
      <c r="P72" s="65">
        <f>IFERROR(RANK(O72,O$2:O$400,0),0)</f>
        <v>35</v>
      </c>
      <c r="Q72" s="3">
        <f>N72+IF(P72&lt;P$1,1,0)</f>
        <v>1</v>
      </c>
      <c r="S72" s="65">
        <f>VLOOKUP(A72,Demográfico!A$2:E$400,5,FALSE)*(H72)</f>
        <v>2069.5184018598043</v>
      </c>
      <c r="T72" s="79">
        <f>IFERROR(D72/D72,0)</f>
        <v>1</v>
      </c>
      <c r="U72" s="65">
        <f t="shared" si="1"/>
        <v>2069.5184018598043</v>
      </c>
    </row>
    <row r="73" spans="1:21" ht="19.5" x14ac:dyDescent="0.25">
      <c r="A73" s="2" t="s">
        <v>77</v>
      </c>
      <c r="B73" s="168">
        <v>26585</v>
      </c>
      <c r="C73" s="169" t="str" cm="1">
        <f t="array" ref="C73">_xlfn.IFS(B73&lt;5000, "P1",B73&lt;20000, "P2",B73&lt;70000, "P3",B73&lt;100000, "P4",B73&lt;200000,"M1",B73&lt;500000,"M2",B73&lt;1000000,"G1",B73&gt;1000000,"G2")</f>
        <v>P3</v>
      </c>
      <c r="D73" s="170">
        <f>VLOOKUP(C73,Metodologia!A$2:H$9,8,FALSE)</f>
        <v>32.026801323796981</v>
      </c>
      <c r="E73" s="171">
        <f>VLOOKUP(A73,Educacional!A$2:P$405,16,FALSE)</f>
        <v>53.726295679820801</v>
      </c>
      <c r="F73" s="171">
        <f>VLOOKUP(A73,Demográfico!A$2:L$405,12,FALSE)</f>
        <v>35.433149522430277</v>
      </c>
      <c r="G73" s="172">
        <f>VLOOKUP(A73,Socioeconômico!A$2:M$405,13,FALSE)</f>
        <v>39.575075931610534</v>
      </c>
      <c r="H73" s="173">
        <f>(1*E73+F73+3*G73)/5/100</f>
        <v>0.41576934599416532</v>
      </c>
      <c r="I73" s="170">
        <f>VLOOKUP(A73,Resultados!A$2:B471,2,FALSE)</f>
        <v>0</v>
      </c>
      <c r="J73" s="5">
        <f>IFERROR(VLOOKUP(A73,Demográfico!A$2:E$400,5,FALSE)/(VLOOKUP(C73,Metodologia!A$2:G$9,7,FALSE))*D73,0)</f>
        <v>0.36463909853192328</v>
      </c>
      <c r="K73" s="72">
        <f>(J73*(1+H73)-I73)</f>
        <v>0.51624485805244302</v>
      </c>
      <c r="L73" s="3">
        <v>1</v>
      </c>
      <c r="M73" s="66">
        <f>VLOOKUP(A73,Demográfico!A$2:E$400,5,FALSE)*H73</f>
        <v>1327.55152175937</v>
      </c>
      <c r="N73" s="68">
        <f>IFERROR(FLOOR(K73,1),0)</f>
        <v>0</v>
      </c>
      <c r="O73" s="68">
        <f>K73-N73</f>
        <v>0.51624485805244302</v>
      </c>
      <c r="P73" s="65">
        <f>IFERROR(RANK(O73,O$2:O$400,0),0)</f>
        <v>60</v>
      </c>
      <c r="Q73" s="3">
        <f>N73+IF(P73&lt;P$1,1,0)</f>
        <v>1</v>
      </c>
      <c r="S73" s="65">
        <f>VLOOKUP(A73,Demográfico!A$2:E$400,5,FALSE)*(H73)</f>
        <v>1327.55152175937</v>
      </c>
      <c r="T73" s="79">
        <f>IFERROR(D73/D73,0)</f>
        <v>1</v>
      </c>
      <c r="U73" s="65">
        <f t="shared" si="1"/>
        <v>1327.55152175937</v>
      </c>
    </row>
    <row r="74" spans="1:21" ht="19.5" x14ac:dyDescent="0.25">
      <c r="A74" s="2" t="s">
        <v>78</v>
      </c>
      <c r="B74" s="168">
        <v>25777</v>
      </c>
      <c r="C74" s="169" t="str" cm="1">
        <f t="array" ref="C74">_xlfn.IFS(B74&lt;5000, "P1",B74&lt;20000, "P2",B74&lt;70000, "P3",B74&lt;100000, "P4",B74&lt;200000,"M1",B74&lt;500000,"M2",B74&lt;1000000,"G1",B74&gt;1000000,"G2")</f>
        <v>P3</v>
      </c>
      <c r="D74" s="170">
        <f>VLOOKUP(C74,Metodologia!A$2:H$9,8,FALSE)</f>
        <v>32.026801323796981</v>
      </c>
      <c r="E74" s="171">
        <f>VLOOKUP(A74,Educacional!A$2:P$405,16,FALSE)</f>
        <v>62.380901367808605</v>
      </c>
      <c r="F74" s="171">
        <f>VLOOKUP(A74,Demográfico!A$2:L$405,12,FALSE)</f>
        <v>64.689216520569119</v>
      </c>
      <c r="G74" s="172">
        <f>VLOOKUP(A74,Socioeconômico!A$2:M$405,13,FALSE)</f>
        <v>34.076690438540844</v>
      </c>
      <c r="H74" s="173">
        <f>(1*E74+F74+3*G74)/5/100</f>
        <v>0.45860037840800044</v>
      </c>
      <c r="I74" s="170">
        <f>VLOOKUP(A74,Resultados!A$2:B472,2,FALSE)</f>
        <v>0</v>
      </c>
      <c r="J74" s="5">
        <f>IFERROR(VLOOKUP(A74,Demográfico!A$2:E$400,5,FALSE)/(VLOOKUP(C74,Metodologia!A$2:G$9,7,FALSE))*D74,0)</f>
        <v>0.42676364272276773</v>
      </c>
      <c r="K74" s="72">
        <f>(J74*(1+H74)-I74)</f>
        <v>0.62247761076620567</v>
      </c>
      <c r="L74" s="3">
        <v>1</v>
      </c>
      <c r="M74" s="66">
        <f>VLOOKUP(A74,Demográfico!A$2:E$400,5,FALSE)*H74</f>
        <v>1713.7896141106976</v>
      </c>
      <c r="N74" s="68">
        <f>IFERROR(FLOOR(K74,1),0)</f>
        <v>0</v>
      </c>
      <c r="O74" s="68">
        <f>K74-N74</f>
        <v>0.62247761076620567</v>
      </c>
      <c r="P74" s="65">
        <f>IFERROR(RANK(O74,O$2:O$400,0),0)</f>
        <v>44</v>
      </c>
      <c r="Q74" s="3">
        <f>N74+IF(P74&lt;P$1,1,0)</f>
        <v>1</v>
      </c>
      <c r="S74" s="65">
        <f>VLOOKUP(A74,Demográfico!A$2:E$400,5,FALSE)*(H74)</f>
        <v>1713.7896141106976</v>
      </c>
      <c r="T74" s="79">
        <f>IFERROR(D74/D74,0)</f>
        <v>1</v>
      </c>
      <c r="U74" s="65">
        <f t="shared" si="1"/>
        <v>1713.7896141106976</v>
      </c>
    </row>
    <row r="75" spans="1:21" ht="19.5" x14ac:dyDescent="0.25">
      <c r="A75" s="2" t="s">
        <v>79</v>
      </c>
      <c r="B75" s="168">
        <v>25492</v>
      </c>
      <c r="C75" s="169" t="str" cm="1">
        <f t="array" ref="C75">_xlfn.IFS(B75&lt;5000, "P1",B75&lt;20000, "P2",B75&lt;70000, "P3",B75&lt;100000, "P4",B75&lt;200000,"M1",B75&lt;500000,"M2",B75&lt;1000000,"G1",B75&gt;1000000,"G2")</f>
        <v>P3</v>
      </c>
      <c r="D75" s="170">
        <f>VLOOKUP(C75,Metodologia!A$2:H$9,8,FALSE)</f>
        <v>32.026801323796981</v>
      </c>
      <c r="E75" s="171">
        <f>VLOOKUP(A75,Educacional!A$2:P$405,16,FALSE)</f>
        <v>37.366608203228893</v>
      </c>
      <c r="F75" s="171">
        <f>VLOOKUP(A75,Demográfico!A$2:L$405,12,FALSE)</f>
        <v>42.724956336928898</v>
      </c>
      <c r="G75" s="172">
        <f>VLOOKUP(A75,Socioeconômico!A$2:M$405,13,FALSE)</f>
        <v>26.949838578310221</v>
      </c>
      <c r="H75" s="173">
        <f>(1*E75+F75+3*G75)/5/100</f>
        <v>0.32188216055017693</v>
      </c>
      <c r="I75" s="170">
        <f>VLOOKUP(A75,Resultados!A$2:B473,2,FALSE)</f>
        <v>0</v>
      </c>
      <c r="J75" s="5">
        <f>IFERROR(VLOOKUP(A75,Demográfico!A$2:E$400,5,FALSE)/(VLOOKUP(C75,Metodologia!A$2:G$9,7,FALSE))*D75,0)</f>
        <v>0.37720104680580724</v>
      </c>
      <c r="K75" s="72">
        <f>(J75*(1+H75)-I75)</f>
        <v>0.49861533471344888</v>
      </c>
      <c r="L75" s="3">
        <v>1</v>
      </c>
      <c r="M75" s="66">
        <f>VLOOKUP(A75,Demográfico!A$2:E$400,5,FALSE)*H75</f>
        <v>1063.1767762972345</v>
      </c>
      <c r="N75" s="68">
        <f>IFERROR(FLOOR(K75,1),0)</f>
        <v>0</v>
      </c>
      <c r="O75" s="68">
        <f>K75-N75</f>
        <v>0.49861533471344888</v>
      </c>
      <c r="P75" s="65">
        <f>IFERROR(RANK(O75,O$2:O$400,0),0)</f>
        <v>65</v>
      </c>
      <c r="Q75" s="3">
        <f>N75+IF(P75&lt;P$1,1,0)</f>
        <v>1</v>
      </c>
      <c r="S75" s="65">
        <f>VLOOKUP(A75,Demográfico!A$2:E$400,5,FALSE)*(H75)</f>
        <v>1063.1767762972345</v>
      </c>
      <c r="T75" s="79">
        <f>IFERROR(D75/D75,0)</f>
        <v>1</v>
      </c>
      <c r="U75" s="65">
        <f t="shared" si="1"/>
        <v>1063.1767762972345</v>
      </c>
    </row>
    <row r="76" spans="1:21" ht="19.5" x14ac:dyDescent="0.25">
      <c r="A76" s="2" t="s">
        <v>80</v>
      </c>
      <c r="B76" s="168">
        <v>25475</v>
      </c>
      <c r="C76" s="169" t="str" cm="1">
        <f t="array" ref="C76">_xlfn.IFS(B76&lt;5000, "P1",B76&lt;20000, "P2",B76&lt;70000, "P3",B76&lt;100000, "P4",B76&lt;200000,"M1",B76&lt;500000,"M2",B76&lt;1000000,"G1",B76&gt;1000000,"G2")</f>
        <v>P3</v>
      </c>
      <c r="D76" s="170">
        <f>VLOOKUP(C76,Metodologia!A$2:H$9,8,FALSE)</f>
        <v>32.026801323796981</v>
      </c>
      <c r="E76" s="171">
        <f>VLOOKUP(A76,Educacional!A$2:P$405,16,FALSE)</f>
        <v>50.414264785212261</v>
      </c>
      <c r="F76" s="171">
        <f>VLOOKUP(A76,Demográfico!A$2:L$405,12,FALSE)</f>
        <v>56.874393190168412</v>
      </c>
      <c r="G76" s="172">
        <f>VLOOKUP(A76,Socioeconômico!A$2:M$405,13,FALSE)</f>
        <v>33.407136280744631</v>
      </c>
      <c r="H76" s="173">
        <f>(1*E76+F76+3*G76)/5/100</f>
        <v>0.41502013363522922</v>
      </c>
      <c r="I76" s="170">
        <f>VLOOKUP(A76,Resultados!A$2:B474,2,FALSE)</f>
        <v>0</v>
      </c>
      <c r="J76" s="5">
        <f>IFERROR(VLOOKUP(A76,Demográfico!A$2:E$400,5,FALSE)/(VLOOKUP(C76,Metodologia!A$2:G$9,7,FALSE))*D76,0)</f>
        <v>0.36281190605572194</v>
      </c>
      <c r="K76" s="72">
        <f>(J76*(1+H76)-I76)</f>
        <v>0.51338615179141989</v>
      </c>
      <c r="L76" s="3">
        <v>1</v>
      </c>
      <c r="M76" s="66">
        <f>VLOOKUP(A76,Demográfico!A$2:E$400,5,FALSE)*H76</f>
        <v>1318.5189645591231</v>
      </c>
      <c r="N76" s="68">
        <f>IFERROR(FLOOR(K76,1),0)</f>
        <v>0</v>
      </c>
      <c r="O76" s="68">
        <f>K76-N76</f>
        <v>0.51338615179141989</v>
      </c>
      <c r="P76" s="65">
        <f>IFERROR(RANK(O76,O$2:O$400,0),0)</f>
        <v>62</v>
      </c>
      <c r="Q76" s="3">
        <f>N76+IF(P76&lt;P$1,1,0)</f>
        <v>1</v>
      </c>
      <c r="S76" s="65">
        <f>VLOOKUP(A76,Demográfico!A$2:E$400,5,FALSE)*(H76)</f>
        <v>1318.5189645591231</v>
      </c>
      <c r="T76" s="79">
        <f>IFERROR(D76/D76,0)</f>
        <v>1</v>
      </c>
      <c r="U76" s="65">
        <f t="shared" si="1"/>
        <v>1318.5189645591231</v>
      </c>
    </row>
    <row r="77" spans="1:21" ht="19.5" x14ac:dyDescent="0.25">
      <c r="A77" s="2" t="s">
        <v>81</v>
      </c>
      <c r="B77" s="168">
        <v>24749</v>
      </c>
      <c r="C77" s="169" t="str" cm="1">
        <f t="array" ref="C77">_xlfn.IFS(B77&lt;5000, "P1",B77&lt;20000, "P2",B77&lt;70000, "P3",B77&lt;100000, "P4",B77&lt;200000,"M1",B77&lt;500000,"M2",B77&lt;1000000,"G1",B77&gt;1000000,"G2")</f>
        <v>P3</v>
      </c>
      <c r="D77" s="170">
        <f>VLOOKUP(C77,Metodologia!A$2:H$9,8,FALSE)</f>
        <v>32.026801323796981</v>
      </c>
      <c r="E77" s="171">
        <f>VLOOKUP(A77,Educacional!A$2:P$405,16,FALSE)</f>
        <v>47.647051797853621</v>
      </c>
      <c r="F77" s="171">
        <f>VLOOKUP(A77,Demográfico!A$2:L$405,12,FALSE)</f>
        <v>35.952184523021238</v>
      </c>
      <c r="G77" s="172">
        <f>VLOOKUP(A77,Socioeconômico!A$2:M$405,13,FALSE)</f>
        <v>24.776776551922687</v>
      </c>
      <c r="H77" s="173">
        <f>(1*E77+F77+3*G77)/5/100</f>
        <v>0.31585913195328585</v>
      </c>
      <c r="I77" s="170">
        <f>VLOOKUP(A77,Resultados!A$2:B475,2,FALSE)</f>
        <v>0</v>
      </c>
      <c r="J77" s="5">
        <f>IFERROR(VLOOKUP(A77,Demográfico!A$2:E$400,5,FALSE)/(VLOOKUP(C77,Metodologia!A$2:G$9,7,FALSE))*D77,0)</f>
        <v>0.3626977065259594</v>
      </c>
      <c r="K77" s="72">
        <f>(J77*(1+H77)-I77)</f>
        <v>0.47725908927069649</v>
      </c>
      <c r="L77" s="3">
        <v>1</v>
      </c>
      <c r="M77" s="66">
        <f>VLOOKUP(A77,Demográfico!A$2:E$400,5,FALSE)*H77</f>
        <v>1003.1686030836358</v>
      </c>
      <c r="N77" s="68">
        <f>IFERROR(FLOOR(K77,1),0)</f>
        <v>0</v>
      </c>
      <c r="O77" s="68">
        <f>K77-N77</f>
        <v>0.47725908927069649</v>
      </c>
      <c r="P77" s="65">
        <f>IFERROR(RANK(O77,O$2:O$400,0),0)</f>
        <v>69</v>
      </c>
      <c r="Q77" s="3">
        <f>N77+IF(P77&lt;P$1,1,0)</f>
        <v>1</v>
      </c>
      <c r="S77" s="65">
        <f>VLOOKUP(A77,Demográfico!A$2:E$400,5,FALSE)*(H77)</f>
        <v>1003.1686030836358</v>
      </c>
      <c r="T77" s="79">
        <f>IFERROR(D77/D77,0)</f>
        <v>1</v>
      </c>
      <c r="U77" s="65">
        <f t="shared" si="1"/>
        <v>1003.1686030836358</v>
      </c>
    </row>
    <row r="78" spans="1:21" ht="19.5" x14ac:dyDescent="0.25">
      <c r="A78" s="2" t="s">
        <v>82</v>
      </c>
      <c r="B78" s="168">
        <v>24573</v>
      </c>
      <c r="C78" s="169" t="str" cm="1">
        <f t="array" ref="C78">_xlfn.IFS(B78&lt;5000, "P1",B78&lt;20000, "P2",B78&lt;70000, "P3",B78&lt;100000, "P4",B78&lt;200000,"M1",B78&lt;500000,"M2",B78&lt;1000000,"G1",B78&gt;1000000,"G2")</f>
        <v>P3</v>
      </c>
      <c r="D78" s="170">
        <f>VLOOKUP(C78,Metodologia!A$2:H$9,8,FALSE)</f>
        <v>32.026801323796981</v>
      </c>
      <c r="E78" s="171">
        <f>VLOOKUP(A78,Educacional!A$2:P$405,16,FALSE)</f>
        <v>68.942234369026522</v>
      </c>
      <c r="F78" s="171">
        <f>VLOOKUP(A78,Demográfico!A$2:L$405,12,FALSE)</f>
        <v>56.538362193177768</v>
      </c>
      <c r="G78" s="172">
        <f>VLOOKUP(A78,Socioeconômico!A$2:M$405,13,FALSE)</f>
        <v>57.052920067343535</v>
      </c>
      <c r="H78" s="173">
        <f>(1*E78+F78+3*G78)/5/100</f>
        <v>0.59327871352846973</v>
      </c>
      <c r="I78" s="170">
        <f>VLOOKUP(A78,Resultados!A$2:B476,2,FALSE)</f>
        <v>0</v>
      </c>
      <c r="J78" s="5">
        <f>IFERROR(VLOOKUP(A78,Demográfico!A$2:E$400,5,FALSE)/(VLOOKUP(C78,Metodologia!A$2:G$9,7,FALSE))*D78,0)</f>
        <v>0.40026935181784873</v>
      </c>
      <c r="K78" s="72">
        <f>(J78*(1+H78)-I78)</f>
        <v>0.63774063792921654</v>
      </c>
      <c r="L78" s="3">
        <v>1</v>
      </c>
      <c r="M78" s="66">
        <f>VLOOKUP(A78,Demográfico!A$2:E$400,5,FALSE)*H78</f>
        <v>2079.4418909172864</v>
      </c>
      <c r="N78" s="68">
        <f>IFERROR(FLOOR(K78,1),0)</f>
        <v>0</v>
      </c>
      <c r="O78" s="68">
        <f>K78-N78</f>
        <v>0.63774063792921654</v>
      </c>
      <c r="P78" s="65">
        <f>IFERROR(RANK(O78,O$2:O$400,0),0)</f>
        <v>39</v>
      </c>
      <c r="Q78" s="3">
        <f>N78+IF(P78&lt;P$1,1,0)</f>
        <v>1</v>
      </c>
      <c r="S78" s="65">
        <f>VLOOKUP(A78,Demográfico!A$2:E$400,5,FALSE)*(H78)</f>
        <v>2079.4418909172864</v>
      </c>
      <c r="T78" s="79">
        <f>IFERROR(D78/D78,0)</f>
        <v>1</v>
      </c>
      <c r="U78" s="65">
        <f t="shared" si="1"/>
        <v>2079.4418909172864</v>
      </c>
    </row>
    <row r="79" spans="1:21" ht="19.5" x14ac:dyDescent="0.25">
      <c r="A79" s="2" t="s">
        <v>83</v>
      </c>
      <c r="B79" s="168">
        <v>24262</v>
      </c>
      <c r="C79" s="169" t="str" cm="1">
        <f t="array" ref="C79">_xlfn.IFS(B79&lt;5000, "P1",B79&lt;20000, "P2",B79&lt;70000, "P3",B79&lt;100000, "P4",B79&lt;200000,"M1",B79&lt;500000,"M2",B79&lt;1000000,"G1",B79&gt;1000000,"G2")</f>
        <v>P3</v>
      </c>
      <c r="D79" s="170">
        <f>VLOOKUP(C79,Metodologia!A$2:H$9,8,FALSE)</f>
        <v>32.026801323796981</v>
      </c>
      <c r="E79" s="171">
        <f>VLOOKUP(A79,Educacional!A$2:P$405,16,FALSE)</f>
        <v>56.067521207432804</v>
      </c>
      <c r="F79" s="171">
        <f>VLOOKUP(A79,Demográfico!A$2:L$405,12,FALSE)</f>
        <v>60.504093818936155</v>
      </c>
      <c r="G79" s="172">
        <f>VLOOKUP(A79,Socioeconômico!A$2:M$405,13,FALSE)</f>
        <v>36.553586639327804</v>
      </c>
      <c r="H79" s="173">
        <f>(1*E79+F79+3*G79)/5/100</f>
        <v>0.45246474988870472</v>
      </c>
      <c r="I79" s="170">
        <f>VLOOKUP(A79,Resultados!A$2:B477,2,FALSE)</f>
        <v>0</v>
      </c>
      <c r="J79" s="5">
        <f>IFERROR(VLOOKUP(A79,Demográfico!A$2:E$400,5,FALSE)/(VLOOKUP(C79,Metodologia!A$2:G$9,7,FALSE))*D79,0)</f>
        <v>0.3687502816033762</v>
      </c>
      <c r="K79" s="72">
        <f>(J79*(1+H79)-I79)</f>
        <v>0.53559678554043721</v>
      </c>
      <c r="L79" s="3">
        <v>1</v>
      </c>
      <c r="M79" s="66">
        <f>VLOOKUP(A79,Demográfico!A$2:E$400,5,FALSE)*H79</f>
        <v>1461.0086773906276</v>
      </c>
      <c r="N79" s="68">
        <f>IFERROR(FLOOR(K79,1),0)</f>
        <v>0</v>
      </c>
      <c r="O79" s="68">
        <f>K79-N79</f>
        <v>0.53559678554043721</v>
      </c>
      <c r="P79" s="65">
        <f>IFERROR(RANK(O79,O$2:O$400,0),0)</f>
        <v>58</v>
      </c>
      <c r="Q79" s="3">
        <f>N79+IF(P79&lt;P$1,1,0)</f>
        <v>1</v>
      </c>
      <c r="S79" s="65">
        <f>VLOOKUP(A79,Demográfico!A$2:E$400,5,FALSE)*(H79)</f>
        <v>1461.0086773906276</v>
      </c>
      <c r="T79" s="79">
        <f>IFERROR(D79/D79,0)</f>
        <v>1</v>
      </c>
      <c r="U79" s="65">
        <f t="shared" si="1"/>
        <v>1461.0086773906276</v>
      </c>
    </row>
    <row r="80" spans="1:21" ht="19.5" x14ac:dyDescent="0.25">
      <c r="A80" s="2" t="s">
        <v>84</v>
      </c>
      <c r="B80" s="168">
        <v>24192</v>
      </c>
      <c r="C80" s="169" t="str" cm="1">
        <f t="array" ref="C80">_xlfn.IFS(B80&lt;5000, "P1",B80&lt;20000, "P2",B80&lt;70000, "P3",B80&lt;100000, "P4",B80&lt;200000,"M1",B80&lt;500000,"M2",B80&lt;1000000,"G1",B80&gt;1000000,"G2")</f>
        <v>P3</v>
      </c>
      <c r="D80" s="170">
        <f>VLOOKUP(C80,Metodologia!A$2:H$9,8,FALSE)</f>
        <v>32.026801323796981</v>
      </c>
      <c r="E80" s="171">
        <f>VLOOKUP(A80,Educacional!A$2:P$405,16,FALSE)</f>
        <v>73.363662482825802</v>
      </c>
      <c r="F80" s="171">
        <f>VLOOKUP(A80,Demográfico!A$2:L$405,12,FALSE)</f>
        <v>52.839744558566274</v>
      </c>
      <c r="G80" s="172">
        <f>VLOOKUP(A80,Socioeconômico!A$2:M$405,13,FALSE)</f>
        <v>36.192302979862298</v>
      </c>
      <c r="H80" s="173">
        <f>(1*E80+F80+3*G80)/5/100</f>
        <v>0.46956063196195791</v>
      </c>
      <c r="I80" s="170">
        <f>VLOOKUP(A80,Resultados!A$2:B478,2,FALSE)</f>
        <v>1</v>
      </c>
      <c r="J80" s="5">
        <f>IFERROR(VLOOKUP(A80,Demográfico!A$2:E$400,5,FALSE)/(VLOOKUP(C80,Metodologia!A$2:G$9,7,FALSE))*D80,0)</f>
        <v>0.4097479127881431</v>
      </c>
      <c r="K80" s="72">
        <f>(J80*(1+H80)-I80)</f>
        <v>-0.39785059833796321</v>
      </c>
      <c r="L80" s="3">
        <v>1</v>
      </c>
      <c r="M80" s="66">
        <f>VLOOKUP(A80,Demográfico!A$2:E$400,5,FALSE)*H80</f>
        <v>1684.7835474795049</v>
      </c>
      <c r="N80" s="68">
        <f>IFERROR(FLOOR(K80,1),0)</f>
        <v>-1</v>
      </c>
      <c r="O80" s="68">
        <f>K80-N80</f>
        <v>0.60214940166203679</v>
      </c>
      <c r="P80" s="65">
        <f>IFERROR(RANK(O80,O$2:O$400,0),0)</f>
        <v>49</v>
      </c>
      <c r="Q80" s="3">
        <f>N80+IF(P80&lt;P$1,1,0)</f>
        <v>0</v>
      </c>
      <c r="S80" s="65">
        <f>VLOOKUP(A80,Demográfico!A$2:E$400,5,FALSE)*(H80)</f>
        <v>1684.7835474795049</v>
      </c>
      <c r="T80" s="79">
        <f>IFERROR(D80/D80,0)</f>
        <v>1</v>
      </c>
      <c r="U80" s="65">
        <f t="shared" si="1"/>
        <v>1684.7835474795049</v>
      </c>
    </row>
    <row r="81" spans="1:21" ht="19.5" x14ac:dyDescent="0.25">
      <c r="A81" s="2" t="s">
        <v>85</v>
      </c>
      <c r="B81" s="168">
        <v>24191</v>
      </c>
      <c r="C81" s="169" t="str" cm="1">
        <f t="array" ref="C81">_xlfn.IFS(B81&lt;5000, "P1",B81&lt;20000, "P2",B81&lt;70000, "P3",B81&lt;100000, "P4",B81&lt;200000,"M1",B81&lt;500000,"M2",B81&lt;1000000,"G1",B81&gt;1000000,"G2")</f>
        <v>P3</v>
      </c>
      <c r="D81" s="170">
        <f>VLOOKUP(C81,Metodologia!A$2:H$9,8,FALSE)</f>
        <v>32.026801323796981</v>
      </c>
      <c r="E81" s="171">
        <f>VLOOKUP(A81,Educacional!A$2:P$405,16,FALSE)</f>
        <v>61.443611300613036</v>
      </c>
      <c r="F81" s="171">
        <f>VLOOKUP(A81,Demográfico!A$2:L$405,12,FALSE)</f>
        <v>43.490970060359182</v>
      </c>
      <c r="G81" s="172">
        <f>VLOOKUP(A81,Socioeconômico!A$2:M$405,13,FALSE)</f>
        <v>11.276520074213249</v>
      </c>
      <c r="H81" s="173">
        <f>(1*E81+F81+3*G81)/5/100</f>
        <v>0.27752828316722389</v>
      </c>
      <c r="I81" s="170">
        <f>VLOOKUP(A81,Resultados!A$2:B479,2,FALSE)</f>
        <v>0</v>
      </c>
      <c r="J81" s="5">
        <f>IFERROR(VLOOKUP(A81,Demográfico!A$2:E$400,5,FALSE)/(VLOOKUP(C81,Metodologia!A$2:G$9,7,FALSE))*D81,0)</f>
        <v>0.40255334241310042</v>
      </c>
      <c r="K81" s="72">
        <f>(J81*(1+H81)-I81)</f>
        <v>0.51427328041623577</v>
      </c>
      <c r="L81" s="3">
        <v>1</v>
      </c>
      <c r="M81" s="66">
        <f>VLOOKUP(A81,Demográfico!A$2:E$400,5,FALSE)*H81</f>
        <v>978.28719816446426</v>
      </c>
      <c r="N81" s="68">
        <f>IFERROR(FLOOR(K81,1),0)</f>
        <v>0</v>
      </c>
      <c r="O81" s="68">
        <f>K81-N81</f>
        <v>0.51427328041623577</v>
      </c>
      <c r="P81" s="65">
        <f>IFERROR(RANK(O81,O$2:O$400,0),0)</f>
        <v>61</v>
      </c>
      <c r="Q81" s="3">
        <f>N81+IF(P81&lt;P$1,1,0)</f>
        <v>1</v>
      </c>
      <c r="S81" s="65">
        <f>VLOOKUP(A81,Demográfico!A$2:E$400,5,FALSE)*(H81)</f>
        <v>978.28719816446426</v>
      </c>
      <c r="T81" s="79">
        <f>IFERROR(D81/D81,0)</f>
        <v>1</v>
      </c>
      <c r="U81" s="65">
        <f t="shared" si="1"/>
        <v>978.28719816446426</v>
      </c>
    </row>
    <row r="82" spans="1:21" ht="19.5" x14ac:dyDescent="0.25">
      <c r="A82" s="2" t="s">
        <v>86</v>
      </c>
      <c r="B82" s="168">
        <v>23831</v>
      </c>
      <c r="C82" s="169" t="str" cm="1">
        <f t="array" ref="C82">_xlfn.IFS(B82&lt;5000, "P1",B82&lt;20000, "P2",B82&lt;70000, "P3",B82&lt;100000, "P4",B82&lt;200000,"M1",B82&lt;500000,"M2",B82&lt;1000000,"G1",B82&gt;1000000,"G2")</f>
        <v>P3</v>
      </c>
      <c r="D82" s="170">
        <f>VLOOKUP(C82,Metodologia!A$2:H$9,8,FALSE)</f>
        <v>32.026801323796981</v>
      </c>
      <c r="E82" s="171">
        <f>VLOOKUP(A82,Educacional!A$2:P$405,16,FALSE)</f>
        <v>42.286846823647814</v>
      </c>
      <c r="F82" s="171">
        <f>VLOOKUP(A82,Demográfico!A$2:L$405,12,FALSE)</f>
        <v>41.312157944183141</v>
      </c>
      <c r="G82" s="172">
        <f>VLOOKUP(A82,Socioeconômico!A$2:M$405,13,FALSE)</f>
        <v>34.502874158446744</v>
      </c>
      <c r="H82" s="173">
        <f>(1*E82+F82+3*G82)/5/100</f>
        <v>0.37421525448634235</v>
      </c>
      <c r="I82" s="170">
        <f>VLOOKUP(A82,Resultados!A$2:B480,2,FALSE)</f>
        <v>0</v>
      </c>
      <c r="J82" s="5">
        <f>IFERROR(VLOOKUP(A82,Demográfico!A$2:E$400,5,FALSE)/(VLOOKUP(C82,Metodologia!A$2:G$9,7,FALSE))*D82,0)</f>
        <v>0.32878044618647262</v>
      </c>
      <c r="K82" s="72">
        <f>(J82*(1+H82)-I82)</f>
        <v>0.45181510452627666</v>
      </c>
      <c r="L82" s="3">
        <v>1</v>
      </c>
      <c r="M82" s="66">
        <f>VLOOKUP(A82,Demográfico!A$2:E$400,5,FALSE)*H82</f>
        <v>1077.3657176661795</v>
      </c>
      <c r="N82" s="68">
        <f>IFERROR(FLOOR(K82,1),0)</f>
        <v>0</v>
      </c>
      <c r="O82" s="68">
        <f>K82-N82</f>
        <v>0.45181510452627666</v>
      </c>
      <c r="P82" s="65">
        <f>IFERROR(RANK(O82,O$2:O$400,0),0)</f>
        <v>76</v>
      </c>
      <c r="Q82" s="3">
        <f>N82+IF(P82&lt;P$1,1,0)</f>
        <v>1</v>
      </c>
      <c r="S82" s="65">
        <f>VLOOKUP(A82,Demográfico!A$2:E$400,5,FALSE)*(H82)</f>
        <v>1077.3657176661795</v>
      </c>
      <c r="T82" s="79">
        <f>IFERROR(D82/D82,0)</f>
        <v>1</v>
      </c>
      <c r="U82" s="65">
        <f t="shared" si="1"/>
        <v>1077.3657176661795</v>
      </c>
    </row>
    <row r="83" spans="1:21" ht="19.5" x14ac:dyDescent="0.25">
      <c r="A83" s="2" t="s">
        <v>87</v>
      </c>
      <c r="B83" s="168">
        <v>23673</v>
      </c>
      <c r="C83" s="169" t="str" cm="1">
        <f t="array" ref="C83">_xlfn.IFS(B83&lt;5000, "P1",B83&lt;20000, "P2",B83&lt;70000, "P3",B83&lt;100000, "P4",B83&lt;200000,"M1",B83&lt;500000,"M2",B83&lt;1000000,"G1",B83&gt;1000000,"G2")</f>
        <v>P3</v>
      </c>
      <c r="D83" s="170">
        <f>VLOOKUP(C83,Metodologia!A$2:H$9,8,FALSE)</f>
        <v>32.026801323796981</v>
      </c>
      <c r="E83" s="171">
        <f>VLOOKUP(A83,Educacional!A$2:P$405,16,FALSE)</f>
        <v>67.267103888243355</v>
      </c>
      <c r="F83" s="171">
        <f>VLOOKUP(A83,Demográfico!A$2:L$405,12,FALSE)</f>
        <v>37.262727025749008</v>
      </c>
      <c r="G83" s="172">
        <f>VLOOKUP(A83,Socioeconômico!A$2:M$405,13,FALSE)</f>
        <v>34.926424220431265</v>
      </c>
      <c r="H83" s="173">
        <f>(1*E83+F83+3*G83)/5/100</f>
        <v>0.4186182071505723</v>
      </c>
      <c r="I83" s="170">
        <f>VLOOKUP(A83,Resultados!A$2:B481,2,FALSE)</f>
        <v>0</v>
      </c>
      <c r="J83" s="5">
        <f>IFERROR(VLOOKUP(A83,Demográfico!A$2:E$400,5,FALSE)/(VLOOKUP(C83,Metodologia!A$2:G$9,7,FALSE))*D83,0)</f>
        <v>0.36760828630575043</v>
      </c>
      <c r="K83" s="72">
        <f>(J83*(1+H83)-I83)</f>
        <v>0.52149580805275786</v>
      </c>
      <c r="L83" s="3">
        <v>1</v>
      </c>
      <c r="M83" s="66">
        <f>VLOOKUP(A83,Demográfico!A$2:E$400,5,FALSE)*H83</f>
        <v>1347.5320088176923</v>
      </c>
      <c r="N83" s="68">
        <f>IFERROR(FLOOR(K83,1),0)</f>
        <v>0</v>
      </c>
      <c r="O83" s="68">
        <f>K83-N83</f>
        <v>0.52149580805275786</v>
      </c>
      <c r="P83" s="65">
        <f>IFERROR(RANK(O83,O$2:O$400,0),0)</f>
        <v>59</v>
      </c>
      <c r="Q83" s="3">
        <f>N83+IF(P83&lt;P$1,1,0)</f>
        <v>1</v>
      </c>
      <c r="S83" s="65">
        <f>VLOOKUP(A83,Demográfico!A$2:E$400,5,FALSE)*(H83)</f>
        <v>1347.5320088176923</v>
      </c>
      <c r="T83" s="79">
        <f>IFERROR(D83/D83,0)</f>
        <v>1</v>
      </c>
      <c r="U83" s="65">
        <f t="shared" si="1"/>
        <v>1347.5320088176923</v>
      </c>
    </row>
    <row r="84" spans="1:21" ht="19.5" x14ac:dyDescent="0.25">
      <c r="A84" s="2" t="s">
        <v>88</v>
      </c>
      <c r="B84" s="168">
        <v>23651</v>
      </c>
      <c r="C84" s="169" t="str" cm="1">
        <f t="array" ref="C84">_xlfn.IFS(B84&lt;5000, "P1",B84&lt;20000, "P2",B84&lt;70000, "P3",B84&lt;100000, "P4",B84&lt;200000,"M1",B84&lt;500000,"M2",B84&lt;1000000,"G1",B84&gt;1000000,"G2")</f>
        <v>P3</v>
      </c>
      <c r="D84" s="170">
        <f>VLOOKUP(C84,Metodologia!A$2:H$9,8,FALSE)</f>
        <v>32.026801323796981</v>
      </c>
      <c r="E84" s="171">
        <f>VLOOKUP(A84,Educacional!A$2:P$405,16,FALSE)</f>
        <v>73.668386696259219</v>
      </c>
      <c r="F84" s="171">
        <f>VLOOKUP(A84,Demográfico!A$2:L$405,12,FALSE)</f>
        <v>50.03716093700038</v>
      </c>
      <c r="G84" s="172">
        <f>VLOOKUP(A84,Socioeconômico!A$2:M$405,13,FALSE)</f>
        <v>38.534688004719477</v>
      </c>
      <c r="H84" s="173">
        <f>(1*E84+F84+3*G84)/5/100</f>
        <v>0.47861922329483603</v>
      </c>
      <c r="I84" s="170">
        <f>VLOOKUP(A84,Resultados!A$2:B482,2,FALSE)</f>
        <v>0</v>
      </c>
      <c r="J84" s="5">
        <f>IFERROR(VLOOKUP(A84,Demográfico!A$2:E$400,5,FALSE)/(VLOOKUP(C84,Metodologia!A$2:G$9,7,FALSE))*D84,0)</f>
        <v>0.39764276263330944</v>
      </c>
      <c r="K84" s="72">
        <f>(J84*(1+H84)-I84)</f>
        <v>0.58796223283367688</v>
      </c>
      <c r="L84" s="3">
        <v>1</v>
      </c>
      <c r="M84" s="66">
        <f>VLOOKUP(A84,Demográfico!A$2:E$400,5,FALSE)*H84</f>
        <v>1666.5521355126191</v>
      </c>
      <c r="N84" s="68">
        <f>IFERROR(FLOOR(K84,1),0)</f>
        <v>0</v>
      </c>
      <c r="O84" s="68">
        <f>K84-N84</f>
        <v>0.58796223283367688</v>
      </c>
      <c r="P84" s="65">
        <f>IFERROR(RANK(O84,O$2:O$400,0),0)</f>
        <v>52</v>
      </c>
      <c r="Q84" s="3">
        <f>N84+IF(P84&lt;P$1,1,0)</f>
        <v>1</v>
      </c>
      <c r="S84" s="65">
        <f>VLOOKUP(A84,Demográfico!A$2:E$400,5,FALSE)*(H84)</f>
        <v>1666.5521355126191</v>
      </c>
      <c r="T84" s="79">
        <f>IFERROR(D84/D84,0)</f>
        <v>1</v>
      </c>
      <c r="U84" s="65">
        <f t="shared" si="1"/>
        <v>1666.5521355126191</v>
      </c>
    </row>
    <row r="85" spans="1:21" ht="19.5" x14ac:dyDescent="0.25">
      <c r="A85" s="2" t="s">
        <v>89</v>
      </c>
      <c r="B85" s="168">
        <v>23331</v>
      </c>
      <c r="C85" s="169" t="str" cm="1">
        <f t="array" ref="C85">_xlfn.IFS(B85&lt;5000, "P1",B85&lt;20000, "P2",B85&lt;70000, "P3",B85&lt;100000, "P4",B85&lt;200000,"M1",B85&lt;500000,"M2",B85&lt;1000000,"G1",B85&gt;1000000,"G2")</f>
        <v>P3</v>
      </c>
      <c r="D85" s="170">
        <f>VLOOKUP(C85,Metodologia!A$2:H$9,8,FALSE)</f>
        <v>32.026801323796981</v>
      </c>
      <c r="E85" s="171">
        <f>VLOOKUP(A85,Educacional!A$2:P$405,16,FALSE)</f>
        <v>60.61079449095115</v>
      </c>
      <c r="F85" s="171">
        <f>VLOOKUP(A85,Demográfico!A$2:L$405,12,FALSE)</f>
        <v>52.747431585048432</v>
      </c>
      <c r="G85" s="172">
        <f>VLOOKUP(A85,Socioeconômico!A$2:M$405,13,FALSE)</f>
        <v>31.675641295023411</v>
      </c>
      <c r="H85" s="173">
        <f>(1*E85+F85+3*G85)/5/100</f>
        <v>0.41677029992213965</v>
      </c>
      <c r="I85" s="170">
        <f>VLOOKUP(A85,Resultados!A$2:B483,2,FALSE)</f>
        <v>0</v>
      </c>
      <c r="J85" s="5">
        <f>IFERROR(VLOOKUP(A85,Demográfico!A$2:E$400,5,FALSE)/(VLOOKUP(C85,Metodologia!A$2:G$9,7,FALSE))*D85,0)</f>
        <v>0.35230554931756447</v>
      </c>
      <c r="K85" s="72">
        <f>(J85*(1+H85)-I85)</f>
        <v>0.49913603877087998</v>
      </c>
      <c r="L85" s="3">
        <v>1</v>
      </c>
      <c r="M85" s="66">
        <f>VLOOKUP(A85,Demográfico!A$2:E$400,5,FALSE)*H85</f>
        <v>1285.7363752598008</v>
      </c>
      <c r="N85" s="68">
        <f>IFERROR(FLOOR(K85,1),0)</f>
        <v>0</v>
      </c>
      <c r="O85" s="68">
        <f>K85-N85</f>
        <v>0.49913603877087998</v>
      </c>
      <c r="P85" s="65">
        <f>IFERROR(RANK(O85,O$2:O$400,0),0)</f>
        <v>64</v>
      </c>
      <c r="Q85" s="3">
        <f>N85+IF(P85&lt;P$1,1,0)</f>
        <v>1</v>
      </c>
      <c r="S85" s="65">
        <f>VLOOKUP(A85,Demográfico!A$2:E$400,5,FALSE)*(H85)</f>
        <v>1285.7363752598008</v>
      </c>
      <c r="T85" s="79">
        <f>IFERROR(D85/D85,0)</f>
        <v>1</v>
      </c>
      <c r="U85" s="65">
        <f t="shared" si="1"/>
        <v>1285.7363752598008</v>
      </c>
    </row>
    <row r="86" spans="1:21" ht="19.5" x14ac:dyDescent="0.25">
      <c r="A86" s="2" t="s">
        <v>90</v>
      </c>
      <c r="B86" s="168">
        <v>23283</v>
      </c>
      <c r="C86" s="169" t="str" cm="1">
        <f t="array" ref="C86">_xlfn.IFS(B86&lt;5000, "P1",B86&lt;20000, "P2",B86&lt;70000, "P3",B86&lt;100000, "P4",B86&lt;200000,"M1",B86&lt;500000,"M2",B86&lt;1000000,"G1",B86&gt;1000000,"G2")</f>
        <v>P3</v>
      </c>
      <c r="D86" s="170">
        <f>VLOOKUP(C86,Metodologia!A$2:H$9,8,FALSE)</f>
        <v>32.026801323796981</v>
      </c>
      <c r="E86" s="171">
        <f>VLOOKUP(A86,Educacional!A$2:P$405,16,FALSE)</f>
        <v>70.848456194039557</v>
      </c>
      <c r="F86" s="171">
        <f>VLOOKUP(A86,Demográfico!A$2:L$405,12,FALSE)</f>
        <v>63.984020317774416</v>
      </c>
      <c r="G86" s="172">
        <f>VLOOKUP(A86,Socioeconômico!A$2:M$405,13,FALSE)</f>
        <v>18.969668654862012</v>
      </c>
      <c r="H86" s="173">
        <f>(1*E86+F86+3*G86)/5/100</f>
        <v>0.38348296495280004</v>
      </c>
      <c r="I86" s="170">
        <f>VLOOKUP(A86,Resultados!A$2:B484,2,FALSE)</f>
        <v>0</v>
      </c>
      <c r="J86" s="5">
        <f>IFERROR(VLOOKUP(A86,Demográfico!A$2:E$400,5,FALSE)/(VLOOKUP(C86,Metodologia!A$2:G$9,7,FALSE))*D86,0)</f>
        <v>0.43235941968113423</v>
      </c>
      <c r="K86" s="72">
        <f>(J86*(1+H86)-I86)</f>
        <v>0.59816189186572755</v>
      </c>
      <c r="L86" s="3">
        <v>1</v>
      </c>
      <c r="M86" s="66">
        <f>VLOOKUP(A86,Demográfico!A$2:E$400,5,FALSE)*H86</f>
        <v>1451.8665053113009</v>
      </c>
      <c r="N86" s="68">
        <f>IFERROR(FLOOR(K86,1),0)</f>
        <v>0</v>
      </c>
      <c r="O86" s="68">
        <f>K86-N86</f>
        <v>0.59816189186572755</v>
      </c>
      <c r="P86" s="65">
        <f>IFERROR(RANK(O86,O$2:O$400,0),0)</f>
        <v>51</v>
      </c>
      <c r="Q86" s="3">
        <f>N86+IF(P86&lt;P$1,1,0)</f>
        <v>1</v>
      </c>
      <c r="S86" s="65">
        <f>VLOOKUP(A86,Demográfico!A$2:E$400,5,FALSE)*(H86)</f>
        <v>1451.8665053113009</v>
      </c>
      <c r="T86" s="79">
        <f>IFERROR(D86/D86,0)</f>
        <v>1</v>
      </c>
      <c r="U86" s="65">
        <f t="shared" si="1"/>
        <v>1451.8665053113009</v>
      </c>
    </row>
    <row r="87" spans="1:21" ht="19.5" x14ac:dyDescent="0.25">
      <c r="A87" s="2" t="s">
        <v>91</v>
      </c>
      <c r="B87" s="168">
        <v>23225</v>
      </c>
      <c r="C87" s="169" t="str" cm="1">
        <f t="array" ref="C87">_xlfn.IFS(B87&lt;5000, "P1",B87&lt;20000, "P2",B87&lt;70000, "P3",B87&lt;100000, "P4",B87&lt;200000,"M1",B87&lt;500000,"M2",B87&lt;1000000,"G1",B87&gt;1000000,"G2")</f>
        <v>P3</v>
      </c>
      <c r="D87" s="170">
        <f>VLOOKUP(C87,Metodologia!A$2:H$9,8,FALSE)</f>
        <v>32.026801323796981</v>
      </c>
      <c r="E87" s="171">
        <f>VLOOKUP(A87,Educacional!A$2:P$405,16,FALSE)</f>
        <v>34.47354252401901</v>
      </c>
      <c r="F87" s="171">
        <f>VLOOKUP(A87,Demográfico!A$2:L$405,12,FALSE)</f>
        <v>45.659047503575238</v>
      </c>
      <c r="G87" s="172">
        <f>VLOOKUP(A87,Socioeconômico!A$2:M$405,13,FALSE)</f>
        <v>34.437358740635055</v>
      </c>
      <c r="H87" s="173">
        <f>(1*E87+F87+3*G87)/5/100</f>
        <v>0.36688933249899874</v>
      </c>
      <c r="I87" s="170">
        <f>VLOOKUP(A87,Resultados!A$2:B485,2,FALSE)</f>
        <v>0</v>
      </c>
      <c r="J87" s="5">
        <f>IFERROR(VLOOKUP(A87,Demográfico!A$2:E$400,5,FALSE)/(VLOOKUP(C87,Metodologia!A$2:G$9,7,FALSE))*D87,0)</f>
        <v>0.35995691781165745</v>
      </c>
      <c r="K87" s="72">
        <f>(J87*(1+H87)-I87)</f>
        <v>0.49202127111597344</v>
      </c>
      <c r="L87" s="3">
        <v>1</v>
      </c>
      <c r="M87" s="66">
        <f>VLOOKUP(A87,Demográfico!A$2:E$400,5,FALSE)*H87</f>
        <v>1156.435176036844</v>
      </c>
      <c r="N87" s="68">
        <f>IFERROR(FLOOR(K87,1),0)</f>
        <v>0</v>
      </c>
      <c r="O87" s="68">
        <f>K87-N87</f>
        <v>0.49202127111597344</v>
      </c>
      <c r="P87" s="65">
        <f>IFERROR(RANK(O87,O$2:O$400,0),0)</f>
        <v>67</v>
      </c>
      <c r="Q87" s="3">
        <f>N87+IF(P87&lt;P$1,1,0)</f>
        <v>1</v>
      </c>
      <c r="S87" s="65">
        <f>VLOOKUP(A87,Demográfico!A$2:E$400,5,FALSE)*(H87)</f>
        <v>1156.435176036844</v>
      </c>
      <c r="T87" s="79">
        <f>IFERROR(D87/D87,0)</f>
        <v>1</v>
      </c>
      <c r="U87" s="65">
        <f t="shared" si="1"/>
        <v>1156.435176036844</v>
      </c>
    </row>
    <row r="88" spans="1:21" ht="19.5" x14ac:dyDescent="0.25">
      <c r="A88" s="2" t="s">
        <v>92</v>
      </c>
      <c r="B88" s="168">
        <v>23212</v>
      </c>
      <c r="C88" s="169" t="str" cm="1">
        <f t="array" ref="C88">_xlfn.IFS(B88&lt;5000, "P1",B88&lt;20000, "P2",B88&lt;70000, "P3",B88&lt;100000, "P4",B88&lt;200000,"M1",B88&lt;500000,"M2",B88&lt;1000000,"G1",B88&gt;1000000,"G2")</f>
        <v>P3</v>
      </c>
      <c r="D88" s="170">
        <f>VLOOKUP(C88,Metodologia!A$2:H$9,8,FALSE)</f>
        <v>32.026801323796981</v>
      </c>
      <c r="E88" s="171">
        <f>VLOOKUP(A88,Educacional!A$2:P$405,16,FALSE)</f>
        <v>60.281486490099013</v>
      </c>
      <c r="F88" s="171">
        <f>VLOOKUP(A88,Demográfico!A$2:L$405,12,FALSE)</f>
        <v>36.370764890655742</v>
      </c>
      <c r="G88" s="172">
        <f>VLOOKUP(A88,Socioeconômico!A$2:M$405,13,FALSE)</f>
        <v>45.278860384434019</v>
      </c>
      <c r="H88" s="173">
        <f>(1*E88+F88+3*G88)/5/100</f>
        <v>0.46497766506811367</v>
      </c>
      <c r="I88" s="170">
        <f>VLOOKUP(A88,Resultados!A$2:B486,2,FALSE)</f>
        <v>0</v>
      </c>
      <c r="J88" s="5">
        <f>IFERROR(VLOOKUP(A88,Demográfico!A$2:E$400,5,FALSE)/(VLOOKUP(C88,Metodologia!A$2:G$9,7,FALSE))*D88,0)</f>
        <v>0.3246692631150197</v>
      </c>
      <c r="K88" s="72">
        <f>(J88*(1+H88)-I88)</f>
        <v>0.47563321899762662</v>
      </c>
      <c r="L88" s="3">
        <v>1</v>
      </c>
      <c r="M88" s="66">
        <f>VLOOKUP(A88,Demográfico!A$2:E$400,5,FALSE)*H88</f>
        <v>1321.9315017886472</v>
      </c>
      <c r="N88" s="68">
        <f>IFERROR(FLOOR(K88,1),0)</f>
        <v>0</v>
      </c>
      <c r="O88" s="68">
        <f>K88-N88</f>
        <v>0.47563321899762662</v>
      </c>
      <c r="P88" s="65">
        <f>IFERROR(RANK(O88,O$2:O$400,0),0)</f>
        <v>70</v>
      </c>
      <c r="Q88" s="3">
        <f>N88+IF(P88&lt;P$1,1,0)</f>
        <v>1</v>
      </c>
      <c r="S88" s="65">
        <f>VLOOKUP(A88,Demográfico!A$2:E$400,5,FALSE)*(H88)</f>
        <v>1321.9315017886472</v>
      </c>
      <c r="T88" s="79">
        <f>IFERROR(D88/D88,0)</f>
        <v>1</v>
      </c>
      <c r="U88" s="65">
        <f t="shared" si="1"/>
        <v>1321.9315017886472</v>
      </c>
    </row>
    <row r="89" spans="1:21" ht="19.5" x14ac:dyDescent="0.25">
      <c r="A89" s="2" t="s">
        <v>93</v>
      </c>
      <c r="B89" s="168">
        <v>22896</v>
      </c>
      <c r="C89" s="169" t="str" cm="1">
        <f t="array" ref="C89">_xlfn.IFS(B89&lt;5000, "P1",B89&lt;20000, "P2",B89&lt;70000, "P3",B89&lt;100000, "P4",B89&lt;200000,"M1",B89&lt;500000,"M2",B89&lt;1000000,"G1",B89&gt;1000000,"G2")</f>
        <v>P3</v>
      </c>
      <c r="D89" s="170">
        <f>VLOOKUP(C89,Metodologia!A$2:H$9,8,FALSE)</f>
        <v>32.026801323796981</v>
      </c>
      <c r="E89" s="171">
        <f>VLOOKUP(A89,Educacional!A$2:P$405,16,FALSE)</f>
        <v>62.408326704065701</v>
      </c>
      <c r="F89" s="171">
        <f>VLOOKUP(A89,Demográfico!A$2:L$405,12,FALSE)</f>
        <v>42.643010520037095</v>
      </c>
      <c r="G89" s="172">
        <f>VLOOKUP(A89,Socioeconômico!A$2:M$405,13,FALSE)</f>
        <v>24.233120427719314</v>
      </c>
      <c r="H89" s="173">
        <f>(1*E89+F89+3*G89)/5/100</f>
        <v>0.35550139701452144</v>
      </c>
      <c r="I89" s="170">
        <f>VLOOKUP(A89,Resultados!A$2:B487,2,FALSE)</f>
        <v>0</v>
      </c>
      <c r="J89" s="5">
        <f>IFERROR(VLOOKUP(A89,Demográfico!A$2:E$400,5,FALSE)/(VLOOKUP(C89,Metodologia!A$2:G$9,7,FALSE))*D89,0)</f>
        <v>0.29132300042434583</v>
      </c>
      <c r="K89" s="72">
        <f>(J89*(1+H89)-I89)</f>
        <v>0.39488873405766284</v>
      </c>
      <c r="L89" s="3">
        <v>1</v>
      </c>
      <c r="M89" s="66">
        <f>VLOOKUP(A89,Demográfico!A$2:E$400,5,FALSE)*H89</f>
        <v>906.8840637840442</v>
      </c>
      <c r="N89" s="68">
        <f>IFERROR(FLOOR(K89,1),0)</f>
        <v>0</v>
      </c>
      <c r="O89" s="68">
        <f>K89-N89</f>
        <v>0.39488873405766284</v>
      </c>
      <c r="P89" s="65">
        <f>IFERROR(RANK(O89,O$2:O$400,0),0)</f>
        <v>90</v>
      </c>
      <c r="Q89" s="3">
        <f>N89+IF(P89&lt;P$1,1,0)</f>
        <v>1</v>
      </c>
      <c r="S89" s="65">
        <f>VLOOKUP(A89,Demográfico!A$2:E$400,5,FALSE)*(H89)</f>
        <v>906.8840637840442</v>
      </c>
      <c r="T89" s="79">
        <f>IFERROR(D89/D89,0)</f>
        <v>1</v>
      </c>
      <c r="U89" s="65">
        <f t="shared" si="1"/>
        <v>906.8840637840442</v>
      </c>
    </row>
    <row r="90" spans="1:21" ht="19.5" x14ac:dyDescent="0.25">
      <c r="A90" s="2" t="s">
        <v>94</v>
      </c>
      <c r="B90" s="168">
        <v>22811</v>
      </c>
      <c r="C90" s="169" t="str" cm="1">
        <f t="array" ref="C90">_xlfn.IFS(B90&lt;5000, "P1",B90&lt;20000, "P2",B90&lt;70000, "P3",B90&lt;100000, "P4",B90&lt;200000,"M1",B90&lt;500000,"M2",B90&lt;1000000,"G1",B90&gt;1000000,"G2")</f>
        <v>P3</v>
      </c>
      <c r="D90" s="170">
        <f>VLOOKUP(C90,Metodologia!A$2:H$9,8,FALSE)</f>
        <v>32.026801323796981</v>
      </c>
      <c r="E90" s="171">
        <f>VLOOKUP(A90,Educacional!A$2:P$405,16,FALSE)</f>
        <v>54.821996237142436</v>
      </c>
      <c r="F90" s="171">
        <f>VLOOKUP(A90,Demográfico!A$2:L$405,12,FALSE)</f>
        <v>38.673343085004589</v>
      </c>
      <c r="G90" s="172">
        <f>VLOOKUP(A90,Socioeconômico!A$2:M$405,13,FALSE)</f>
        <v>34.92547577981825</v>
      </c>
      <c r="H90" s="173">
        <f>(1*E90+F90+3*G90)/5/100</f>
        <v>0.39654353332320352</v>
      </c>
      <c r="I90" s="170">
        <f>VLOOKUP(A90,Resultados!A$2:B488,2,FALSE)</f>
        <v>0</v>
      </c>
      <c r="J90" s="5">
        <f>IFERROR(VLOOKUP(A90,Demográfico!A$2:E$400,5,FALSE)/(VLOOKUP(C90,Metodologia!A$2:G$9,7,FALSE))*D90,0)</f>
        <v>0.33369102596626365</v>
      </c>
      <c r="K90" s="72">
        <f>(J90*(1+H90)-I90)</f>
        <v>0.46601404444117067</v>
      </c>
      <c r="L90" s="3">
        <v>1</v>
      </c>
      <c r="M90" s="66">
        <f>VLOOKUP(A90,Demográfico!A$2:E$400,5,FALSE)*H90</f>
        <v>1158.7002043704008</v>
      </c>
      <c r="N90" s="68">
        <f>IFERROR(FLOOR(K90,1),0)</f>
        <v>0</v>
      </c>
      <c r="O90" s="68">
        <f>K90-N90</f>
        <v>0.46601404444117067</v>
      </c>
      <c r="P90" s="65">
        <f>IFERROR(RANK(O90,O$2:O$400,0),0)</f>
        <v>72</v>
      </c>
      <c r="Q90" s="3">
        <f>N90+IF(P90&lt;P$1,1,0)</f>
        <v>1</v>
      </c>
      <c r="S90" s="65">
        <f>VLOOKUP(A90,Demográfico!A$2:E$400,5,FALSE)*(H90)</f>
        <v>1158.7002043704008</v>
      </c>
      <c r="T90" s="79">
        <f>IFERROR(D90/D90,0)</f>
        <v>1</v>
      </c>
      <c r="U90" s="65">
        <f t="shared" si="1"/>
        <v>1158.7002043704008</v>
      </c>
    </row>
    <row r="91" spans="1:21" ht="19.5" x14ac:dyDescent="0.25">
      <c r="A91" s="2" t="s">
        <v>95</v>
      </c>
      <c r="B91" s="168">
        <v>21408</v>
      </c>
      <c r="C91" s="169" t="str" cm="1">
        <f t="array" ref="C91">_xlfn.IFS(B91&lt;5000, "P1",B91&lt;20000, "P2",B91&lt;70000, "P3",B91&lt;100000, "P4",B91&lt;200000,"M1",B91&lt;500000,"M2",B91&lt;1000000,"G1",B91&gt;1000000,"G2")</f>
        <v>P3</v>
      </c>
      <c r="D91" s="170">
        <f>VLOOKUP(C91,Metodologia!A$2:H$9,8,FALSE)</f>
        <v>32.026801323796981</v>
      </c>
      <c r="E91" s="171">
        <f>VLOOKUP(A91,Educacional!A$2:P$405,16,FALSE)</f>
        <v>42.648146470068859</v>
      </c>
      <c r="F91" s="171">
        <f>VLOOKUP(A91,Demográfico!A$2:L$405,12,FALSE)</f>
        <v>35.044915773245343</v>
      </c>
      <c r="G91" s="172">
        <f>VLOOKUP(A91,Socioeconômico!A$2:M$405,13,FALSE)</f>
        <v>33.40101961533049</v>
      </c>
      <c r="H91" s="173">
        <f>(1*E91+F91+3*G91)/5/100</f>
        <v>0.35579224217861133</v>
      </c>
      <c r="I91" s="170">
        <f>VLOOKUP(A91,Resultados!A$2:B489,2,FALSE)</f>
        <v>0</v>
      </c>
      <c r="J91" s="5">
        <f>IFERROR(VLOOKUP(A91,Demográfico!A$2:E$400,5,FALSE)/(VLOOKUP(C91,Metodologia!A$2:G$9,7,FALSE))*D91,0)</f>
        <v>0.27567766484687217</v>
      </c>
      <c r="K91" s="72">
        <f>(J91*(1+H91)-I91)</f>
        <v>0.37376163934130457</v>
      </c>
      <c r="L91" s="3">
        <v>1</v>
      </c>
      <c r="M91" s="66">
        <f>VLOOKUP(A91,Demográfico!A$2:E$400,5,FALSE)*H91</f>
        <v>858.88247261916774</v>
      </c>
      <c r="N91" s="68">
        <f>IFERROR(FLOOR(K91,1),0)</f>
        <v>0</v>
      </c>
      <c r="O91" s="68">
        <f>K91-N91</f>
        <v>0.37376163934130457</v>
      </c>
      <c r="P91" s="65">
        <f>IFERROR(RANK(O91,O$2:O$400,0),0)</f>
        <v>103</v>
      </c>
      <c r="Q91" s="3">
        <f>N91+IF(P91&lt;P$1,1,0)</f>
        <v>1</v>
      </c>
      <c r="S91" s="65">
        <f>VLOOKUP(A91,Demográfico!A$2:E$400,5,FALSE)*(H91)</f>
        <v>858.88247261916774</v>
      </c>
      <c r="T91" s="79">
        <f>IFERROR(D91/D91,0)</f>
        <v>1</v>
      </c>
      <c r="U91" s="65">
        <f t="shared" si="1"/>
        <v>858.88247261916774</v>
      </c>
    </row>
    <row r="92" spans="1:21" ht="19.5" x14ac:dyDescent="0.25">
      <c r="A92" s="2" t="s">
        <v>96</v>
      </c>
      <c r="B92" s="168">
        <v>21085</v>
      </c>
      <c r="C92" s="169" t="str" cm="1">
        <f t="array" ref="C92">_xlfn.IFS(B92&lt;5000, "P1",B92&lt;20000, "P2",B92&lt;70000, "P3",B92&lt;100000, "P4",B92&lt;200000,"M1",B92&lt;500000,"M2",B92&lt;1000000,"G1",B92&gt;1000000,"G2")</f>
        <v>P3</v>
      </c>
      <c r="D92" s="170">
        <f>VLOOKUP(C92,Metodologia!A$2:H$9,8,FALSE)</f>
        <v>32.026801323796981</v>
      </c>
      <c r="E92" s="171">
        <f>VLOOKUP(A92,Educacional!A$2:P$405,16,FALSE)</f>
        <v>50.065653180463357</v>
      </c>
      <c r="F92" s="171">
        <f>VLOOKUP(A92,Demográfico!A$2:L$405,12,FALSE)</f>
        <v>49.336794413390258</v>
      </c>
      <c r="G92" s="172">
        <f>VLOOKUP(A92,Socioeconômico!A$2:M$405,13,FALSE)</f>
        <v>35.352893918403048</v>
      </c>
      <c r="H92" s="173">
        <f>(1*E92+F92+3*G92)/5/100</f>
        <v>0.41092225869812554</v>
      </c>
      <c r="I92" s="170">
        <f>VLOOKUP(A92,Resultados!A$2:B490,2,FALSE)</f>
        <v>1</v>
      </c>
      <c r="J92" s="5">
        <f>IFERROR(VLOOKUP(A92,Demográfico!A$2:E$400,5,FALSE)/(VLOOKUP(C92,Metodologia!A$2:G$9,7,FALSE))*D92,0)</f>
        <v>0.31690369509116412</v>
      </c>
      <c r="K92" s="72">
        <f>(J92*(1+H92)-I92)</f>
        <v>-0.55287352273219259</v>
      </c>
      <c r="L92" s="3">
        <v>1</v>
      </c>
      <c r="M92" s="66">
        <f>VLOOKUP(A92,Demográfico!A$2:E$400,5,FALSE)*H92</f>
        <v>1140.3092678872983</v>
      </c>
      <c r="N92" s="68">
        <f>IFERROR(FLOOR(K92,1),0)</f>
        <v>-1</v>
      </c>
      <c r="O92" s="68">
        <f>K92-N92</f>
        <v>0.44712647726780741</v>
      </c>
      <c r="P92" s="65">
        <f>IFERROR(RANK(O92,O$2:O$400,0),0)</f>
        <v>77</v>
      </c>
      <c r="Q92" s="3">
        <f>N92+IF(P92&lt;P$1,1,0)</f>
        <v>0</v>
      </c>
      <c r="S92" s="65">
        <f>VLOOKUP(A92,Demográfico!A$2:E$400,5,FALSE)*(H92)</f>
        <v>1140.3092678872983</v>
      </c>
      <c r="T92" s="79">
        <f>IFERROR(D92/D92,0)</f>
        <v>1</v>
      </c>
      <c r="U92" s="65">
        <f t="shared" si="1"/>
        <v>1140.3092678872983</v>
      </c>
    </row>
    <row r="93" spans="1:21" ht="19.5" x14ac:dyDescent="0.25">
      <c r="A93" s="2" t="s">
        <v>97</v>
      </c>
      <c r="B93" s="168">
        <v>20481</v>
      </c>
      <c r="C93" s="169" t="str" cm="1">
        <f t="array" ref="C93">_xlfn.IFS(B93&lt;5000, "P1",B93&lt;20000, "P2",B93&lt;70000, "P3",B93&lt;100000, "P4",B93&lt;200000,"M1",B93&lt;500000,"M2",B93&lt;1000000,"G1",B93&gt;1000000,"G2")</f>
        <v>P3</v>
      </c>
      <c r="D93" s="170">
        <f>VLOOKUP(C93,Metodologia!A$2:H$9,8,FALSE)</f>
        <v>32.026801323796981</v>
      </c>
      <c r="E93" s="171">
        <f>VLOOKUP(A93,Educacional!A$2:P$405,16,FALSE)</f>
        <v>41.989554866622292</v>
      </c>
      <c r="F93" s="171">
        <f>VLOOKUP(A93,Demográfico!A$2:L$405,12,FALSE)</f>
        <v>43.289168879549464</v>
      </c>
      <c r="G93" s="172">
        <f>VLOOKUP(A93,Socioeconômico!A$2:M$405,13,FALSE)</f>
        <v>23.666388538973422</v>
      </c>
      <c r="H93" s="173">
        <f>(1*E93+F93+3*G93)/5/100</f>
        <v>0.31255577872618401</v>
      </c>
      <c r="I93" s="170">
        <f>VLOOKUP(A93,Resultados!A$2:B491,2,FALSE)</f>
        <v>0</v>
      </c>
      <c r="J93" s="5">
        <f>IFERROR(VLOOKUP(A93,Demográfico!A$2:E$400,5,FALSE)/(VLOOKUP(C93,Metodologia!A$2:G$9,7,FALSE))*D93,0)</f>
        <v>0.28138764133500127</v>
      </c>
      <c r="K93" s="72">
        <f>(J93*(1+H93)-I93)</f>
        <v>0.36933697469638677</v>
      </c>
      <c r="L93" s="3">
        <v>1</v>
      </c>
      <c r="M93" s="66">
        <f>VLOOKUP(A93,Demográfico!A$2:E$400,5,FALSE)*H93</f>
        <v>770.13743878131743</v>
      </c>
      <c r="N93" s="68">
        <f>IFERROR(FLOOR(K93,1),0)</f>
        <v>0</v>
      </c>
      <c r="O93" s="68">
        <f>K93-N93</f>
        <v>0.36933697469638677</v>
      </c>
      <c r="P93" s="65">
        <f>IFERROR(RANK(O93,O$2:O$400,0),0)</f>
        <v>105</v>
      </c>
      <c r="Q93" s="3">
        <f>N93+IF(P93&lt;P$1,1,0)</f>
        <v>1</v>
      </c>
      <c r="S93" s="65">
        <f>VLOOKUP(A93,Demográfico!A$2:E$400,5,FALSE)*(H93)</f>
        <v>770.13743878131743</v>
      </c>
      <c r="T93" s="79">
        <f>IFERROR(D93/D93,0)</f>
        <v>1</v>
      </c>
      <c r="U93" s="65">
        <f t="shared" si="1"/>
        <v>770.13743878131743</v>
      </c>
    </row>
    <row r="94" spans="1:21" ht="19.5" x14ac:dyDescent="0.25">
      <c r="A94" s="2" t="s">
        <v>98</v>
      </c>
      <c r="B94" s="168">
        <v>19961</v>
      </c>
      <c r="C94" s="169" t="str" cm="1">
        <f t="array" ref="C94">_xlfn.IFS(B94&lt;5000, "P1",B94&lt;20000, "P2",B94&lt;70000, "P3",B94&lt;100000, "P4",B94&lt;200000,"M1",B94&lt;500000,"M2",B94&lt;1000000,"G1",B94&gt;1000000,"G2")</f>
        <v>P2</v>
      </c>
      <c r="D94" s="170">
        <f>VLOOKUP(C94,Metodologia!A$2:H$9,8,FALSE)</f>
        <v>32.634342822133917</v>
      </c>
      <c r="E94" s="171">
        <f>VLOOKUP(A94,Educacional!A$2:P$405,16,FALSE)</f>
        <v>68.453183467430179</v>
      </c>
      <c r="F94" s="171">
        <f>VLOOKUP(A94,Demográfico!A$2:L$405,12,FALSE)</f>
        <v>55.537791978160264</v>
      </c>
      <c r="G94" s="172">
        <f>VLOOKUP(A94,Socioeconômico!A$2:M$405,13,FALSE)</f>
        <v>47.707525744351528</v>
      </c>
      <c r="H94" s="173">
        <f>(2*E94+F94+2*G94)/5/100</f>
        <v>0.57571842080344726</v>
      </c>
      <c r="I94" s="170">
        <f>VLOOKUP(A94,Resultados!A$2:B492,2,FALSE)</f>
        <v>0</v>
      </c>
      <c r="J94" s="5">
        <f>IFERROR(VLOOKUP(A94,Demográfico!A$2:E$400,5,FALSE)/(VLOOKUP(C94,Metodologia!A$2:G$9,7,FALSE))*D94,0)</f>
        <v>0.34476838035323409</v>
      </c>
      <c r="K94" s="72">
        <f>(J94*(1+H94)-I94)</f>
        <v>0.54325788783316031</v>
      </c>
      <c r="L94" s="3">
        <v>1</v>
      </c>
      <c r="M94" s="66">
        <f>VLOOKUP(A94,Demográfico!A$2:E$400,5,FALSE)*H94</f>
        <v>1738.0939124056072</v>
      </c>
      <c r="N94" s="68">
        <f>IFERROR(FLOOR(K94,1),0)</f>
        <v>0</v>
      </c>
      <c r="O94" s="68">
        <f>K94-N94</f>
        <v>0.54325788783316031</v>
      </c>
      <c r="P94" s="65">
        <f>IFERROR(RANK(O94,O$2:O$400,0),0)</f>
        <v>57</v>
      </c>
      <c r="Q94" s="3">
        <f>N94+IF(P94&lt;P$1,1,0)</f>
        <v>1</v>
      </c>
      <c r="S94" s="65">
        <f>VLOOKUP(A94,Demográfico!A$2:E$400,5,FALSE)*(H94)</f>
        <v>1738.0939124056072</v>
      </c>
      <c r="T94" s="79">
        <f>IFERROR(D94/D94,0)</f>
        <v>1</v>
      </c>
      <c r="U94" s="65">
        <f t="shared" si="1"/>
        <v>1738.0939124056072</v>
      </c>
    </row>
    <row r="95" spans="1:21" ht="19.5" x14ac:dyDescent="0.25">
      <c r="A95" s="2" t="s">
        <v>99</v>
      </c>
      <c r="B95" s="168">
        <v>19878</v>
      </c>
      <c r="C95" s="169" t="str" cm="1">
        <f t="array" ref="C95">_xlfn.IFS(B95&lt;5000, "P1",B95&lt;20000, "P2",B95&lt;70000, "P3",B95&lt;100000, "P4",B95&lt;200000,"M1",B95&lt;500000,"M2",B95&lt;1000000,"G1",B95&gt;1000000,"G2")</f>
        <v>P2</v>
      </c>
      <c r="D95" s="170">
        <f>VLOOKUP(C95,Metodologia!A$2:H$9,8,FALSE)</f>
        <v>32.634342822133917</v>
      </c>
      <c r="E95" s="171">
        <f>VLOOKUP(A95,Educacional!A$2:P$405,16,FALSE)</f>
        <v>48.312407828864295</v>
      </c>
      <c r="F95" s="171">
        <f>VLOOKUP(A95,Demográfico!A$2:L$405,12,FALSE)</f>
        <v>38.247281482138519</v>
      </c>
      <c r="G95" s="172">
        <f>VLOOKUP(A95,Socioeconômico!A$2:M$405,13,FALSE)</f>
        <v>44.161891430246023</v>
      </c>
      <c r="H95" s="173">
        <f>(2*E95+F95+2*G95)/5/100</f>
        <v>0.44639176000071829</v>
      </c>
      <c r="I95" s="170">
        <f>VLOOKUP(A95,Resultados!A$2:B493,2,FALSE)</f>
        <v>0</v>
      </c>
      <c r="J95" s="5">
        <f>IFERROR(VLOOKUP(A95,Demográfico!A$2:E$400,5,FALSE)/(VLOOKUP(C95,Metodologia!A$2:G$9,7,FALSE))*D95,0)</f>
        <v>0.2712238831861315</v>
      </c>
      <c r="K95" s="72">
        <f>(J95*(1+H95)-I95)</f>
        <v>0.39229598975581798</v>
      </c>
      <c r="L95" s="3">
        <v>1</v>
      </c>
      <c r="M95" s="66">
        <f>VLOOKUP(A95,Demográfico!A$2:E$400,5,FALSE)*H95</f>
        <v>1060.1804300017059</v>
      </c>
      <c r="N95" s="68">
        <f>IFERROR(FLOOR(K95,1),0)</f>
        <v>0</v>
      </c>
      <c r="O95" s="68">
        <f>K95-N95</f>
        <v>0.39229598975581798</v>
      </c>
      <c r="P95" s="65">
        <f>IFERROR(RANK(O95,O$2:O$400,0),0)</f>
        <v>92</v>
      </c>
      <c r="Q95" s="3">
        <f>N95+IF(P95&lt;P$1,1,0)</f>
        <v>1</v>
      </c>
      <c r="S95" s="65">
        <f>VLOOKUP(A95,Demográfico!A$2:E$400,5,FALSE)*(H95)</f>
        <v>1060.1804300017059</v>
      </c>
      <c r="T95" s="79">
        <f>IFERROR(D95/D95,0)</f>
        <v>1</v>
      </c>
      <c r="U95" s="65">
        <f t="shared" si="1"/>
        <v>1060.1804300017059</v>
      </c>
    </row>
    <row r="96" spans="1:21" ht="19.5" x14ac:dyDescent="0.25">
      <c r="A96" s="2" t="s">
        <v>100</v>
      </c>
      <c r="B96" s="168">
        <v>19620</v>
      </c>
      <c r="C96" s="169" t="str" cm="1">
        <f t="array" ref="C96">_xlfn.IFS(B96&lt;5000, "P1",B96&lt;20000, "P2",B96&lt;70000, "P3",B96&lt;100000, "P4",B96&lt;200000,"M1",B96&lt;500000,"M2",B96&lt;1000000,"G1",B96&gt;1000000,"G2")</f>
        <v>P2</v>
      </c>
      <c r="D96" s="170">
        <f>VLOOKUP(C96,Metodologia!A$2:H$9,8,FALSE)</f>
        <v>32.634342822133917</v>
      </c>
      <c r="E96" s="171">
        <f>VLOOKUP(A96,Educacional!A$2:P$405,16,FALSE)</f>
        <v>62.509268507235596</v>
      </c>
      <c r="F96" s="171">
        <f>VLOOKUP(A96,Demográfico!A$2:L$405,12,FALSE)</f>
        <v>43.254936679218744</v>
      </c>
      <c r="G96" s="172">
        <f>VLOOKUP(A96,Socioeconômico!A$2:M$405,13,FALSE)</f>
        <v>23.827713768182885</v>
      </c>
      <c r="H96" s="173">
        <f>(2*E96+F96+2*G96)/5/100</f>
        <v>0.43185780246011141</v>
      </c>
      <c r="I96" s="170">
        <f>VLOOKUP(A96,Resultados!A$2:B494,2,FALSE)</f>
        <v>0</v>
      </c>
      <c r="J96" s="5">
        <f>IFERROR(VLOOKUP(A96,Demográfico!A$2:E$400,5,FALSE)/(VLOOKUP(C96,Metodologia!A$2:G$9,7,FALSE))*D96,0)</f>
        <v>0.29120880089458329</v>
      </c>
      <c r="K96" s="72">
        <f>(J96*(1+H96)-I96)</f>
        <v>0.41696959370596215</v>
      </c>
      <c r="L96" s="3">
        <v>1</v>
      </c>
      <c r="M96" s="66">
        <f>VLOOKUP(A96,Demográfico!A$2:E$400,5,FALSE)*H96</f>
        <v>1101.237396273284</v>
      </c>
      <c r="N96" s="68">
        <f>IFERROR(FLOOR(K96,1),0)</f>
        <v>0</v>
      </c>
      <c r="O96" s="68">
        <f>K96-N96</f>
        <v>0.41696959370596215</v>
      </c>
      <c r="P96" s="65">
        <f>IFERROR(RANK(O96,O$2:O$400,0),0)</f>
        <v>83</v>
      </c>
      <c r="Q96" s="3">
        <f>N96+IF(P96&lt;P$1,1,0)</f>
        <v>1</v>
      </c>
      <c r="S96" s="65">
        <f>VLOOKUP(A96,Demográfico!A$2:E$400,5,FALSE)*(H96)</f>
        <v>1101.237396273284</v>
      </c>
      <c r="T96" s="79">
        <f>IFERROR(D96/D96,0)</f>
        <v>1</v>
      </c>
      <c r="U96" s="65">
        <f t="shared" si="1"/>
        <v>1101.237396273284</v>
      </c>
    </row>
    <row r="97" spans="1:21" ht="19.5" x14ac:dyDescent="0.25">
      <c r="A97" s="2" t="s">
        <v>101</v>
      </c>
      <c r="B97" s="168">
        <v>19247</v>
      </c>
      <c r="C97" s="169" t="str" cm="1">
        <f t="array" ref="C97">_xlfn.IFS(B97&lt;5000, "P1",B97&lt;20000, "P2",B97&lt;70000, "P3",B97&lt;100000, "P4",B97&lt;200000,"M1",B97&lt;500000,"M2",B97&lt;1000000,"G1",B97&gt;1000000,"G2")</f>
        <v>P2</v>
      </c>
      <c r="D97" s="170">
        <f>VLOOKUP(C97,Metodologia!A$2:H$9,8,FALSE)</f>
        <v>32.634342822133917</v>
      </c>
      <c r="E97" s="171">
        <f>VLOOKUP(A97,Educacional!A$2:P$405,16,FALSE)</f>
        <v>42.905757805544482</v>
      </c>
      <c r="F97" s="171">
        <f>VLOOKUP(A97,Demográfico!A$2:L$405,12,FALSE)</f>
        <v>38.613378272333151</v>
      </c>
      <c r="G97" s="172">
        <f>VLOOKUP(A97,Socioeconômico!A$2:M$405,13,FALSE)</f>
        <v>27.481442559309677</v>
      </c>
      <c r="H97" s="173">
        <f>(2*E97+F97+2*G97)/5/100</f>
        <v>0.35877555800408295</v>
      </c>
      <c r="I97" s="170">
        <f>VLOOKUP(A97,Resultados!A$2:B495,2,FALSE)</f>
        <v>0</v>
      </c>
      <c r="J97" s="5">
        <f>IFERROR(VLOOKUP(A97,Demográfico!A$2:E$400,5,FALSE)/(VLOOKUP(C97,Metodologia!A$2:G$9,7,FALSE))*D97,0)</f>
        <v>0.27647706155521024</v>
      </c>
      <c r="K97" s="72">
        <f>(J97*(1+H97)-I97)</f>
        <v>0.37567027359000998</v>
      </c>
      <c r="L97" s="3">
        <v>1</v>
      </c>
      <c r="M97" s="66">
        <f>VLOOKUP(A97,Demográfico!A$2:E$400,5,FALSE)*H97</f>
        <v>868.59562592788484</v>
      </c>
      <c r="N97" s="68">
        <f>IFERROR(FLOOR(K97,1),0)</f>
        <v>0</v>
      </c>
      <c r="O97" s="68">
        <f>K97-N97</f>
        <v>0.37567027359000998</v>
      </c>
      <c r="P97" s="65">
        <f>IFERROR(RANK(O97,O$2:O$400,0),0)</f>
        <v>99</v>
      </c>
      <c r="Q97" s="3">
        <f>N97+IF(P97&lt;P$1,1,0)</f>
        <v>1</v>
      </c>
      <c r="S97" s="65">
        <f>VLOOKUP(A97,Demográfico!A$2:E$400,5,FALSE)*(H97)</f>
        <v>868.59562592788484</v>
      </c>
      <c r="T97" s="79">
        <f>IFERROR(D97/D97,0)</f>
        <v>1</v>
      </c>
      <c r="U97" s="65">
        <f t="shared" si="1"/>
        <v>868.59562592788484</v>
      </c>
    </row>
    <row r="98" spans="1:21" ht="19.5" x14ac:dyDescent="0.25">
      <c r="A98" s="2" t="s">
        <v>102</v>
      </c>
      <c r="B98" s="168">
        <v>19188</v>
      </c>
      <c r="C98" s="169" t="str" cm="1">
        <f t="array" ref="C98">_xlfn.IFS(B98&lt;5000, "P1",B98&lt;20000, "P2",B98&lt;70000, "P3",B98&lt;100000, "P4",B98&lt;200000,"M1",B98&lt;500000,"M2",B98&lt;1000000,"G1",B98&gt;1000000,"G2")</f>
        <v>P2</v>
      </c>
      <c r="D98" s="170">
        <f>VLOOKUP(C98,Metodologia!A$2:H$9,8,FALSE)</f>
        <v>32.634342822133917</v>
      </c>
      <c r="E98" s="171">
        <f>VLOOKUP(A98,Educacional!A$2:P$405,16,FALSE)</f>
        <v>51.795150731251802</v>
      </c>
      <c r="F98" s="171">
        <f>VLOOKUP(A98,Demográfico!A$2:L$405,12,FALSE)</f>
        <v>49.091627016181327</v>
      </c>
      <c r="G98" s="172">
        <f>VLOOKUP(A98,Socioeconômico!A$2:M$405,13,FALSE)</f>
        <v>42.323098752169933</v>
      </c>
      <c r="H98" s="173">
        <f>(2*E98+F98+2*G98)/5/100</f>
        <v>0.4746562519660496</v>
      </c>
      <c r="I98" s="170">
        <f>VLOOKUP(A98,Resultados!A$2:B496,2,FALSE)</f>
        <v>1</v>
      </c>
      <c r="J98" s="5">
        <f>IFERROR(VLOOKUP(A98,Demográfico!A$2:E$400,5,FALSE)/(VLOOKUP(C98,Metodologia!A$2:G$9,7,FALSE))*D98,0)</f>
        <v>0.2949773853767485</v>
      </c>
      <c r="K98" s="72">
        <f>(J98*(1+H98)-I98)</f>
        <v>-0.56500975446557899</v>
      </c>
      <c r="L98" s="3">
        <v>1</v>
      </c>
      <c r="M98" s="66">
        <f>VLOOKUP(A98,Demográfico!A$2:E$400,5,FALSE)*H98</f>
        <v>1226.0370988283062</v>
      </c>
      <c r="N98" s="68">
        <f>IFERROR(FLOOR(K98,1),0)</f>
        <v>-1</v>
      </c>
      <c r="O98" s="68">
        <f>K98-N98</f>
        <v>0.43499024553442101</v>
      </c>
      <c r="P98" s="65">
        <f>IFERROR(RANK(O98,O$2:O$400,0),0)</f>
        <v>81</v>
      </c>
      <c r="Q98" s="3">
        <f>N98+IF(P98&lt;P$1,1,0)</f>
        <v>0</v>
      </c>
      <c r="S98" s="65">
        <f>VLOOKUP(A98,Demográfico!A$2:E$400,5,FALSE)*(H98)</f>
        <v>1226.0370988283062</v>
      </c>
      <c r="T98" s="79">
        <f>IFERROR(D98/D98,0)</f>
        <v>1</v>
      </c>
      <c r="U98" s="65">
        <f t="shared" si="1"/>
        <v>1226.0370988283062</v>
      </c>
    </row>
    <row r="99" spans="1:21" ht="19.5" x14ac:dyDescent="0.25">
      <c r="A99" s="2" t="s">
        <v>103</v>
      </c>
      <c r="B99" s="168">
        <v>19128</v>
      </c>
      <c r="C99" s="169" t="str" cm="1">
        <f t="array" ref="C99">_xlfn.IFS(B99&lt;5000, "P1",B99&lt;20000, "P2",B99&lt;70000, "P3",B99&lt;100000, "P4",B99&lt;200000,"M1",B99&lt;500000,"M2",B99&lt;1000000,"G1",B99&gt;1000000,"G2")</f>
        <v>P2</v>
      </c>
      <c r="D99" s="170">
        <f>VLOOKUP(C99,Metodologia!A$2:H$9,8,FALSE)</f>
        <v>32.634342822133917</v>
      </c>
      <c r="E99" s="171">
        <f>VLOOKUP(A99,Educacional!A$2:P$405,16,FALSE)</f>
        <v>81.430586789952201</v>
      </c>
      <c r="F99" s="171">
        <f>VLOOKUP(A99,Demográfico!A$2:L$405,12,FALSE)</f>
        <v>51.55112068597245</v>
      </c>
      <c r="G99" s="172">
        <f>VLOOKUP(A99,Socioeconômico!A$2:M$405,13,FALSE)</f>
        <v>39.239643019382662</v>
      </c>
      <c r="H99" s="173">
        <f>(2*E99+F99+2*G99)/5/100</f>
        <v>0.58578316060928426</v>
      </c>
      <c r="I99" s="170">
        <f>VLOOKUP(A99,Resultados!A$2:B497,2,FALSE)</f>
        <v>1</v>
      </c>
      <c r="J99" s="5">
        <f>IFERROR(VLOOKUP(A99,Demográfico!A$2:E$400,5,FALSE)/(VLOOKUP(C99,Metodologia!A$2:G$9,7,FALSE))*D99,0)</f>
        <v>0.3129067115494738</v>
      </c>
      <c r="K99" s="72">
        <f>(J99*(1+H99)-I99)</f>
        <v>-0.50379780598321777</v>
      </c>
      <c r="L99" s="3">
        <v>1</v>
      </c>
      <c r="M99" s="66">
        <f>VLOOKUP(A99,Demográfico!A$2:E$400,5,FALSE)*H99</f>
        <v>1605.045860069439</v>
      </c>
      <c r="N99" s="68">
        <f>IFERROR(FLOOR(K99,1),0)</f>
        <v>-1</v>
      </c>
      <c r="O99" s="68">
        <f>K99-N99</f>
        <v>0.49620219401678223</v>
      </c>
      <c r="P99" s="65">
        <f>IFERROR(RANK(O99,O$2:O$400,0),0)</f>
        <v>66</v>
      </c>
      <c r="Q99" s="3">
        <f>N99+IF(P99&lt;P$1,1,0)</f>
        <v>0</v>
      </c>
      <c r="S99" s="65">
        <f>VLOOKUP(A99,Demográfico!A$2:E$400,5,FALSE)*(H99)</f>
        <v>1605.045860069439</v>
      </c>
      <c r="T99" s="79">
        <f>IFERROR(D99/D99,0)</f>
        <v>1</v>
      </c>
      <c r="U99" s="65">
        <f t="shared" si="1"/>
        <v>1605.045860069439</v>
      </c>
    </row>
    <row r="100" spans="1:21" ht="19.5" x14ac:dyDescent="0.25">
      <c r="A100" s="2" t="s">
        <v>104</v>
      </c>
      <c r="B100" s="168">
        <v>18997</v>
      </c>
      <c r="C100" s="169" t="str" cm="1">
        <f t="array" ref="C100">_xlfn.IFS(B100&lt;5000, "P1",B100&lt;20000, "P2",B100&lt;70000, "P3",B100&lt;100000, "P4",B100&lt;200000,"M1",B100&lt;500000,"M2",B100&lt;1000000,"G1",B100&gt;1000000,"G2")</f>
        <v>P2</v>
      </c>
      <c r="D100" s="170">
        <f>VLOOKUP(C100,Metodologia!A$2:H$9,8,FALSE)</f>
        <v>32.634342822133917</v>
      </c>
      <c r="E100" s="171">
        <f>VLOOKUP(A100,Educacional!A$2:P$405,16,FALSE)</f>
        <v>41.625160117243645</v>
      </c>
      <c r="F100" s="171">
        <f>VLOOKUP(A100,Demográfico!A$2:L$405,12,FALSE)</f>
        <v>44.569395683325851</v>
      </c>
      <c r="G100" s="172">
        <f>VLOOKUP(A100,Socioeconômico!A$2:M$405,13,FALSE)</f>
        <v>15.623612479985891</v>
      </c>
      <c r="H100" s="173">
        <f>(2*E100+F100+2*G100)/5/100</f>
        <v>0.31813388175556989</v>
      </c>
      <c r="I100" s="170">
        <f>VLOOKUP(A100,Resultados!A$2:B498,2,FALSE)</f>
        <v>0</v>
      </c>
      <c r="J100" s="5">
        <f>IFERROR(VLOOKUP(A100,Demográfico!A$2:E$400,5,FALSE)/(VLOOKUP(C100,Metodologia!A$2:G$9,7,FALSE))*D100,0)</f>
        <v>0.29337859196007232</v>
      </c>
      <c r="K100" s="72">
        <f>(J100*(1+H100)-I100)</f>
        <v>0.38671226224431354</v>
      </c>
      <c r="L100" s="3">
        <v>1</v>
      </c>
      <c r="M100" s="66">
        <f>VLOOKUP(A100,Demográfico!A$2:E$400,5,FALSE)*H100</f>
        <v>817.28594223005905</v>
      </c>
      <c r="N100" s="68">
        <f>IFERROR(FLOOR(K100,1),0)</f>
        <v>0</v>
      </c>
      <c r="O100" s="68">
        <f>K100-N100</f>
        <v>0.38671226224431354</v>
      </c>
      <c r="P100" s="65">
        <f>IFERROR(RANK(O100,O$2:O$400,0),0)</f>
        <v>95</v>
      </c>
      <c r="Q100" s="3">
        <f>N100+IF(P100&lt;P$1,1,0)</f>
        <v>1</v>
      </c>
      <c r="S100" s="65">
        <f>VLOOKUP(A100,Demográfico!A$2:E$400,5,FALSE)*(H100)</f>
        <v>817.28594223005905</v>
      </c>
      <c r="T100" s="79">
        <f>IFERROR(D100/D100,0)</f>
        <v>1</v>
      </c>
      <c r="U100" s="65">
        <f t="shared" si="1"/>
        <v>817.28594223005905</v>
      </c>
    </row>
    <row r="101" spans="1:21" ht="19.5" x14ac:dyDescent="0.25">
      <c r="A101" s="2" t="s">
        <v>105</v>
      </c>
      <c r="B101" s="168">
        <v>18742</v>
      </c>
      <c r="C101" s="169" t="str" cm="1">
        <f t="array" ref="C101">_xlfn.IFS(B101&lt;5000, "P1",B101&lt;20000, "P2",B101&lt;70000, "P3",B101&lt;100000, "P4",B101&lt;200000,"M1",B101&lt;500000,"M2",B101&lt;1000000,"G1",B101&gt;1000000,"G2")</f>
        <v>P2</v>
      </c>
      <c r="D101" s="170">
        <f>VLOOKUP(C101,Metodologia!A$2:H$9,8,FALSE)</f>
        <v>32.634342822133917</v>
      </c>
      <c r="E101" s="171">
        <f>VLOOKUP(A101,Educacional!A$2:P$405,16,FALSE)</f>
        <v>48.049698205977556</v>
      </c>
      <c r="F101" s="171">
        <f>VLOOKUP(A101,Demográfico!A$2:L$405,12,FALSE)</f>
        <v>36.162379841633829</v>
      </c>
      <c r="G101" s="172">
        <f>VLOOKUP(A101,Socioeconômico!A$2:M$405,13,FALSE)</f>
        <v>39.898829698462251</v>
      </c>
      <c r="H101" s="173">
        <f>(2*E101+F101+2*G101)/5/100</f>
        <v>0.42411887130102693</v>
      </c>
      <c r="I101" s="170">
        <f>VLOOKUP(A101,Resultados!A$2:B499,2,FALSE)</f>
        <v>0</v>
      </c>
      <c r="J101" s="5">
        <f>IFERROR(VLOOKUP(A101,Demográfico!A$2:E$400,5,FALSE)/(VLOOKUP(C101,Metodologia!A$2:G$9,7,FALSE))*D101,0)</f>
        <v>0.25706314149557136</v>
      </c>
      <c r="K101" s="72">
        <f>(J101*(1+H101)-I101)</f>
        <v>0.36608847091976926</v>
      </c>
      <c r="L101" s="3">
        <v>1</v>
      </c>
      <c r="M101" s="66">
        <f>VLOOKUP(A101,Demográfico!A$2:E$400,5,FALSE)*H101</f>
        <v>954.6915792986116</v>
      </c>
      <c r="N101" s="68">
        <f>IFERROR(FLOOR(K101,1),0)</f>
        <v>0</v>
      </c>
      <c r="O101" s="68">
        <f>K101-N101</f>
        <v>0.36608847091976926</v>
      </c>
      <c r="P101" s="65">
        <f>IFERROR(RANK(O101,O$2:O$400,0),0)</f>
        <v>107</v>
      </c>
      <c r="Q101" s="3">
        <f>N101+IF(P101&lt;P$1,1,0)</f>
        <v>1</v>
      </c>
      <c r="S101" s="65">
        <f>VLOOKUP(A101,Demográfico!A$2:E$400,5,FALSE)*(H101)</f>
        <v>954.6915792986116</v>
      </c>
      <c r="T101" s="79">
        <f>IFERROR(D101/D101,0)</f>
        <v>1</v>
      </c>
      <c r="U101" s="65">
        <f t="shared" si="1"/>
        <v>954.6915792986116</v>
      </c>
    </row>
    <row r="102" spans="1:21" ht="19.5" x14ac:dyDescent="0.25">
      <c r="A102" s="2" t="s">
        <v>106</v>
      </c>
      <c r="B102" s="168">
        <v>18450</v>
      </c>
      <c r="C102" s="169" t="str" cm="1">
        <f t="array" ref="C102">_xlfn.IFS(B102&lt;5000, "P1",B102&lt;20000, "P2",B102&lt;70000, "P3",B102&lt;100000, "P4",B102&lt;200000,"M1",B102&lt;500000,"M2",B102&lt;1000000,"G1",B102&gt;1000000,"G2")</f>
        <v>P2</v>
      </c>
      <c r="D102" s="170">
        <f>VLOOKUP(C102,Metodologia!A$2:H$9,8,FALSE)</f>
        <v>32.634342822133917</v>
      </c>
      <c r="E102" s="171">
        <f>VLOOKUP(A102,Educacional!A$2:P$405,16,FALSE)</f>
        <v>41.307614887734857</v>
      </c>
      <c r="F102" s="171">
        <f>VLOOKUP(A102,Demográfico!A$2:L$405,12,FALSE)</f>
        <v>46.318301136249332</v>
      </c>
      <c r="G102" s="172">
        <f>VLOOKUP(A102,Socioeconômico!A$2:M$405,13,FALSE)</f>
        <v>10.769299807102648</v>
      </c>
      <c r="H102" s="173">
        <f>(2*E102+F102+2*G102)/5/100</f>
        <v>0.30094426105184868</v>
      </c>
      <c r="I102" s="170">
        <f>VLOOKUP(A102,Resultados!A$2:B500,2,FALSE)</f>
        <v>0</v>
      </c>
      <c r="J102" s="5">
        <f>IFERROR(VLOOKUP(A102,Demográfico!A$2:E$400,5,FALSE)/(VLOOKUP(C102,Metodologia!A$2:G$9,7,FALSE))*D102,0)</f>
        <v>0.28846801218028134</v>
      </c>
      <c r="K102" s="72">
        <f>(J102*(1+H102)-I102)</f>
        <v>0.37528080494297178</v>
      </c>
      <c r="L102" s="3">
        <v>1</v>
      </c>
      <c r="M102" s="66">
        <f>VLOOKUP(A102,Demográfico!A$2:E$400,5,FALSE)*H102</f>
        <v>760.18520341696978</v>
      </c>
      <c r="N102" s="68">
        <f>IFERROR(FLOOR(K102,1),0)</f>
        <v>0</v>
      </c>
      <c r="O102" s="68">
        <f>K102-N102</f>
        <v>0.37528080494297178</v>
      </c>
      <c r="P102" s="65">
        <f>IFERROR(RANK(O102,O$2:O$400,0),0)</f>
        <v>100</v>
      </c>
      <c r="Q102" s="3">
        <f>N102+IF(P102&lt;P$1,1,0)</f>
        <v>1</v>
      </c>
      <c r="S102" s="65">
        <f>VLOOKUP(A102,Demográfico!A$2:E$400,5,FALSE)*(H102)</f>
        <v>760.18520341696978</v>
      </c>
      <c r="T102" s="79">
        <f>IFERROR(D102/D102,0)</f>
        <v>1</v>
      </c>
      <c r="U102" s="65">
        <f t="shared" si="1"/>
        <v>760.18520341696978</v>
      </c>
    </row>
    <row r="103" spans="1:21" ht="19.5" x14ac:dyDescent="0.25">
      <c r="A103" s="2" t="s">
        <v>107</v>
      </c>
      <c r="B103" s="168">
        <v>18398</v>
      </c>
      <c r="C103" s="169" t="str" cm="1">
        <f t="array" ref="C103">_xlfn.IFS(B103&lt;5000, "P1",B103&lt;20000, "P2",B103&lt;70000, "P3",B103&lt;100000, "P4",B103&lt;200000,"M1",B103&lt;500000,"M2",B103&lt;1000000,"G1",B103&gt;1000000,"G2")</f>
        <v>P2</v>
      </c>
      <c r="D103" s="170">
        <f>VLOOKUP(C103,Metodologia!A$2:H$9,8,FALSE)</f>
        <v>32.634342822133917</v>
      </c>
      <c r="E103" s="171">
        <f>VLOOKUP(A103,Educacional!A$2:P$405,16,FALSE)</f>
        <v>70.431031334375234</v>
      </c>
      <c r="F103" s="171">
        <f>VLOOKUP(A103,Demográfico!A$2:L$405,12,FALSE)</f>
        <v>41.994459154262096</v>
      </c>
      <c r="G103" s="172">
        <f>VLOOKUP(A103,Socioeconômico!A$2:M$405,13,FALSE)</f>
        <v>39.747401473652801</v>
      </c>
      <c r="H103" s="173">
        <f>(2*E103+F103+2*G103)/5/100</f>
        <v>0.52470264954063639</v>
      </c>
      <c r="I103" s="170">
        <f>VLOOKUP(A103,Resultados!A$2:B501,2,FALSE)</f>
        <v>0</v>
      </c>
      <c r="J103" s="5">
        <f>IFERROR(VLOOKUP(A103,Demográfico!A$2:E$400,5,FALSE)/(VLOOKUP(C103,Metodologia!A$2:G$9,7,FALSE))*D103,0)</f>
        <v>0.27259427754328247</v>
      </c>
      <c r="K103" s="72">
        <f>(J103*(1+H103)-I103)</f>
        <v>0.4156252172198584</v>
      </c>
      <c r="L103" s="3">
        <v>1</v>
      </c>
      <c r="M103" s="66">
        <f>VLOOKUP(A103,Demográfico!A$2:E$400,5,FALSE)*H103</f>
        <v>1252.4652244534991</v>
      </c>
      <c r="N103" s="68">
        <f>IFERROR(FLOOR(K103,1),0)</f>
        <v>0</v>
      </c>
      <c r="O103" s="68">
        <f>K103-N103</f>
        <v>0.4156252172198584</v>
      </c>
      <c r="P103" s="65">
        <f>IFERROR(RANK(O103,O$2:O$400,0),0)</f>
        <v>84</v>
      </c>
      <c r="Q103" s="3">
        <f>N103+IF(P103&lt;P$1,1,0)</f>
        <v>1</v>
      </c>
      <c r="S103" s="65">
        <f>VLOOKUP(A103,Demográfico!A$2:E$400,5,FALSE)*(H103)</f>
        <v>1252.4652244534991</v>
      </c>
      <c r="T103" s="79">
        <f>IFERROR(D103/D103,0)</f>
        <v>1</v>
      </c>
      <c r="U103" s="65">
        <f t="shared" si="1"/>
        <v>1252.4652244534991</v>
      </c>
    </row>
    <row r="104" spans="1:21" ht="19.5" x14ac:dyDescent="0.25">
      <c r="A104" s="2" t="s">
        <v>108</v>
      </c>
      <c r="B104" s="168">
        <v>18309</v>
      </c>
      <c r="C104" s="169" t="str" cm="1">
        <f t="array" ref="C104">_xlfn.IFS(B104&lt;5000, "P1",B104&lt;20000, "P2",B104&lt;70000, "P3",B104&lt;100000, "P4",B104&lt;200000,"M1",B104&lt;500000,"M2",B104&lt;1000000,"G1",B104&gt;1000000,"G2")</f>
        <v>P2</v>
      </c>
      <c r="D104" s="170">
        <f>VLOOKUP(C104,Metodologia!A$2:H$9,8,FALSE)</f>
        <v>32.634342822133917</v>
      </c>
      <c r="E104" s="171">
        <f>VLOOKUP(A104,Educacional!A$2:P$405,16,FALSE)</f>
        <v>63.805331951264364</v>
      </c>
      <c r="F104" s="171">
        <f>VLOOKUP(A104,Demográfico!A$2:L$405,12,FALSE)</f>
        <v>37.614250090344704</v>
      </c>
      <c r="G104" s="172">
        <f>VLOOKUP(A104,Socioeconômico!A$2:M$405,13,FALSE)</f>
        <v>52.558011064975865</v>
      </c>
      <c r="H104" s="173">
        <f>(2*E104+F104+2*G104)/5/100</f>
        <v>0.54068187224565034</v>
      </c>
      <c r="I104" s="170">
        <f>VLOOKUP(A104,Resultados!A$2:B502,2,FALSE)</f>
        <v>1</v>
      </c>
      <c r="J104" s="5">
        <f>IFERROR(VLOOKUP(A104,Demográfico!A$2:E$400,5,FALSE)/(VLOOKUP(C104,Metodologia!A$2:G$9,7,FALSE))*D104,0)</f>
        <v>0.28469942769811613</v>
      </c>
      <c r="K104" s="72">
        <f>(J104*(1+H104)-I104)</f>
        <v>-0.56136875270680131</v>
      </c>
      <c r="L104" s="3">
        <v>1</v>
      </c>
      <c r="M104" s="66">
        <f>VLOOKUP(A104,Demográfico!A$2:E$400,5,FALSE)*H104</f>
        <v>1347.9199075084064</v>
      </c>
      <c r="N104" s="68">
        <f>IFERROR(FLOOR(K104,1),0)</f>
        <v>-1</v>
      </c>
      <c r="O104" s="68">
        <f>K104-N104</f>
        <v>0.43863124729319869</v>
      </c>
      <c r="P104" s="65">
        <f>IFERROR(RANK(O104,O$2:O$400,0),0)</f>
        <v>79</v>
      </c>
      <c r="Q104" s="3">
        <f>N104+IF(P104&lt;P$1,1,0)</f>
        <v>0</v>
      </c>
      <c r="S104" s="65">
        <f>VLOOKUP(A104,Demográfico!A$2:E$400,5,FALSE)*(H104)</f>
        <v>1347.9199075084064</v>
      </c>
      <c r="T104" s="79">
        <f>IFERROR(D104/D104,0)</f>
        <v>1</v>
      </c>
      <c r="U104" s="65">
        <f t="shared" si="1"/>
        <v>1347.9199075084064</v>
      </c>
    </row>
    <row r="105" spans="1:21" ht="19.5" x14ac:dyDescent="0.25">
      <c r="A105" s="2" t="s">
        <v>109</v>
      </c>
      <c r="B105" s="168">
        <v>18119</v>
      </c>
      <c r="C105" s="169" t="str" cm="1">
        <f t="array" ref="C105">_xlfn.IFS(B105&lt;5000, "P1",B105&lt;20000, "P2",B105&lt;70000, "P3",B105&lt;100000, "P4",B105&lt;200000,"M1",B105&lt;500000,"M2",B105&lt;1000000,"G1",B105&gt;1000000,"G2")</f>
        <v>P2</v>
      </c>
      <c r="D105" s="170">
        <f>VLOOKUP(C105,Metodologia!A$2:H$9,8,FALSE)</f>
        <v>32.634342822133917</v>
      </c>
      <c r="E105" s="171">
        <f>VLOOKUP(A105,Educacional!A$2:P$405,16,FALSE)</f>
        <v>55.75229260342973</v>
      </c>
      <c r="F105" s="171">
        <f>VLOOKUP(A105,Demográfico!A$2:L$405,12,FALSE)</f>
        <v>40.57103372958764</v>
      </c>
      <c r="G105" s="172">
        <f>VLOOKUP(A105,Socioeconômico!A$2:M$405,13,FALSE)</f>
        <v>33.612980905983463</v>
      </c>
      <c r="H105" s="173">
        <f>(2*E105+F105+2*G105)/5/100</f>
        <v>0.43860316149682804</v>
      </c>
      <c r="I105" s="170">
        <f>VLOOKUP(A105,Resultados!A$2:B503,2,FALSE)</f>
        <v>0</v>
      </c>
      <c r="J105" s="5">
        <f>IFERROR(VLOOKUP(A105,Demográfico!A$2:E$400,5,FALSE)/(VLOOKUP(C105,Metodologia!A$2:G$9,7,FALSE))*D105,0)</f>
        <v>0.27464986907900896</v>
      </c>
      <c r="K105" s="72">
        <f>(J105*(1+H105)-I105)</f>
        <v>0.39511216996175219</v>
      </c>
      <c r="L105" s="3">
        <v>1</v>
      </c>
      <c r="M105" s="66">
        <f>VLOOKUP(A105,Demográfico!A$2:E$400,5,FALSE)*H105</f>
        <v>1054.8406033998715</v>
      </c>
      <c r="N105" s="68">
        <f>IFERROR(FLOOR(K105,1),0)</f>
        <v>0</v>
      </c>
      <c r="O105" s="68">
        <f>K105-N105</f>
        <v>0.39511216996175219</v>
      </c>
      <c r="P105" s="65">
        <f>IFERROR(RANK(O105,O$2:O$400,0),0)</f>
        <v>89</v>
      </c>
      <c r="Q105" s="3">
        <f>N105+IF(P105&lt;P$1,1,0)</f>
        <v>1</v>
      </c>
      <c r="S105" s="65">
        <f>VLOOKUP(A105,Demográfico!A$2:E$400,5,FALSE)*(H105)</f>
        <v>1054.8406033998715</v>
      </c>
      <c r="T105" s="79">
        <f>IFERROR(D105/D105,0)</f>
        <v>1</v>
      </c>
      <c r="U105" s="65">
        <f t="shared" si="1"/>
        <v>1054.8406033998715</v>
      </c>
    </row>
    <row r="106" spans="1:21" ht="19.5" x14ac:dyDescent="0.25">
      <c r="A106" s="2" t="s">
        <v>110</v>
      </c>
      <c r="B106" s="168">
        <v>18091</v>
      </c>
      <c r="C106" s="169" t="str" cm="1">
        <f t="array" ref="C106">_xlfn.IFS(B106&lt;5000, "P1",B106&lt;20000, "P2",B106&lt;70000, "P3",B106&lt;100000, "P4",B106&lt;200000,"M1",B106&lt;500000,"M2",B106&lt;1000000,"G1",B106&gt;1000000,"G2")</f>
        <v>P2</v>
      </c>
      <c r="D106" s="170">
        <f>VLOOKUP(C106,Metodologia!A$2:H$9,8,FALSE)</f>
        <v>32.634342822133917</v>
      </c>
      <c r="E106" s="171">
        <f>VLOOKUP(A106,Educacional!A$2:P$405,16,FALSE)</f>
        <v>71.111363486866509</v>
      </c>
      <c r="F106" s="171">
        <f>VLOOKUP(A106,Demográfico!A$2:L$405,12,FALSE)</f>
        <v>30.306251356132957</v>
      </c>
      <c r="G106" s="172">
        <f>VLOOKUP(A106,Socioeconômico!A$2:M$405,13,FALSE)</f>
        <v>63.788487131028162</v>
      </c>
      <c r="H106" s="173">
        <f>(2*E106+F106+2*G106)/5/100</f>
        <v>0.6002119051838446</v>
      </c>
      <c r="I106" s="170">
        <f>VLOOKUP(A106,Resultados!A$2:B504,2,FALSE)</f>
        <v>0</v>
      </c>
      <c r="J106" s="5">
        <f>IFERROR(VLOOKUP(A106,Demográfico!A$2:E$400,5,FALSE)/(VLOOKUP(C106,Metodologia!A$2:G$9,7,FALSE))*D106,0)</f>
        <v>0.28823961312075619</v>
      </c>
      <c r="K106" s="72">
        <f>(J106*(1+H106)-I106)</f>
        <v>0.46124446046141954</v>
      </c>
      <c r="L106" s="3">
        <v>1</v>
      </c>
      <c r="M106" s="66">
        <f>VLOOKUP(A106,Demográfico!A$2:E$400,5,FALSE)*H106</f>
        <v>1514.9348486840238</v>
      </c>
      <c r="N106" s="68">
        <f>IFERROR(FLOOR(K106,1),0)</f>
        <v>0</v>
      </c>
      <c r="O106" s="68">
        <f>K106-N106</f>
        <v>0.46124446046141954</v>
      </c>
      <c r="P106" s="65">
        <f>IFERROR(RANK(O106,O$2:O$400,0),0)</f>
        <v>74</v>
      </c>
      <c r="Q106" s="3">
        <f>N106+IF(P106&lt;P$1,1,0)</f>
        <v>1</v>
      </c>
      <c r="S106" s="65">
        <f>VLOOKUP(A106,Demográfico!A$2:E$400,5,FALSE)*(H106)</f>
        <v>1514.9348486840238</v>
      </c>
      <c r="T106" s="79">
        <f>IFERROR(D106/D106,0)</f>
        <v>1</v>
      </c>
      <c r="U106" s="65">
        <f t="shared" si="1"/>
        <v>1514.9348486840238</v>
      </c>
    </row>
    <row r="107" spans="1:21" ht="19.5" x14ac:dyDescent="0.25">
      <c r="A107" s="2" t="s">
        <v>111</v>
      </c>
      <c r="B107" s="168">
        <v>17621</v>
      </c>
      <c r="C107" s="169" t="str" cm="1">
        <f t="array" ref="C107">_xlfn.IFS(B107&lt;5000, "P1",B107&lt;20000, "P2",B107&lt;70000, "P3",B107&lt;100000, "P4",B107&lt;200000,"M1",B107&lt;500000,"M2",B107&lt;1000000,"G1",B107&gt;1000000,"G2")</f>
        <v>P2</v>
      </c>
      <c r="D107" s="170">
        <f>VLOOKUP(C107,Metodologia!A$2:H$9,8,FALSE)</f>
        <v>32.634342822133917</v>
      </c>
      <c r="E107" s="171">
        <f>VLOOKUP(A107,Educacional!A$2:P$405,16,FALSE)</f>
        <v>80.118411662822695</v>
      </c>
      <c r="F107" s="171">
        <f>VLOOKUP(A107,Demográfico!A$2:L$405,12,FALSE)</f>
        <v>74.746026182052901</v>
      </c>
      <c r="G107" s="172">
        <f>VLOOKUP(A107,Socioeconômico!A$2:M$405,13,FALSE)</f>
        <v>53.123423278138183</v>
      </c>
      <c r="H107" s="173">
        <f>(2*E107+F107+2*G107)/5/100</f>
        <v>0.68245939212794926</v>
      </c>
      <c r="I107" s="170">
        <f>VLOOKUP(A107,Resultados!A$2:B505,2,FALSE)</f>
        <v>1</v>
      </c>
      <c r="J107" s="5">
        <f>IFERROR(VLOOKUP(A107,Demográfico!A$2:E$400,5,FALSE)/(VLOOKUP(C107,Metodologia!A$2:G$9,7,FALSE))*D107,0)</f>
        <v>0.28732601688265547</v>
      </c>
      <c r="K107" s="72">
        <f>(J107*(1+H107)-I107)</f>
        <v>-0.51658564429306253</v>
      </c>
      <c r="L107" s="3">
        <v>1</v>
      </c>
      <c r="M107" s="66">
        <f>VLOOKUP(A107,Demográfico!A$2:E$400,5,FALSE)*H107</f>
        <v>1717.0678305939202</v>
      </c>
      <c r="N107" s="68">
        <f>IFERROR(FLOOR(K107,1),0)</f>
        <v>-1</v>
      </c>
      <c r="O107" s="68">
        <f>K107-N107</f>
        <v>0.48341435570693747</v>
      </c>
      <c r="P107" s="65">
        <f>IFERROR(RANK(O107,O$2:O$400,0),0)</f>
        <v>68</v>
      </c>
      <c r="Q107" s="3">
        <f>N107+IF(P107&lt;P$1,1,0)</f>
        <v>0</v>
      </c>
      <c r="S107" s="65">
        <f>VLOOKUP(A107,Demográfico!A$2:E$400,5,FALSE)*(H107)</f>
        <v>1717.0678305939202</v>
      </c>
      <c r="T107" s="79">
        <f>IFERROR(D107/D107,0)</f>
        <v>1</v>
      </c>
      <c r="U107" s="65">
        <f t="shared" si="1"/>
        <v>1717.0678305939202</v>
      </c>
    </row>
    <row r="108" spans="1:21" ht="19.5" x14ac:dyDescent="0.25">
      <c r="A108" s="2" t="s">
        <v>112</v>
      </c>
      <c r="B108" s="168">
        <v>17568</v>
      </c>
      <c r="C108" s="169" t="str" cm="1">
        <f t="array" ref="C108">_xlfn.IFS(B108&lt;5000, "P1",B108&lt;20000, "P2",B108&lt;70000, "P3",B108&lt;100000, "P4",B108&lt;200000,"M1",B108&lt;500000,"M2",B108&lt;1000000,"G1",B108&gt;1000000,"G2")</f>
        <v>P2</v>
      </c>
      <c r="D108" s="170">
        <f>VLOOKUP(C108,Metodologia!A$2:H$9,8,FALSE)</f>
        <v>32.634342822133917</v>
      </c>
      <c r="E108" s="171">
        <f>VLOOKUP(A108,Educacional!A$2:P$405,16,FALSE)</f>
        <v>45.167488690523768</v>
      </c>
      <c r="F108" s="171">
        <f>VLOOKUP(A108,Demográfico!A$2:L$405,12,FALSE)</f>
        <v>46.127181633581124</v>
      </c>
      <c r="G108" s="172">
        <f>VLOOKUP(A108,Socioeconômico!A$2:M$405,13,FALSE)</f>
        <v>27.60074520067468</v>
      </c>
      <c r="H108" s="173">
        <f>(2*E108+F108+2*G108)/5/100</f>
        <v>0.38332729883195604</v>
      </c>
      <c r="I108" s="170">
        <f>VLOOKUP(A108,Resultados!A$2:B506,2,FALSE)</f>
        <v>0</v>
      </c>
      <c r="J108" s="5">
        <f>IFERROR(VLOOKUP(A108,Demográfico!A$2:E$400,5,FALSE)/(VLOOKUP(C108,Metodologia!A$2:G$9,7,FALSE))*D108,0)</f>
        <v>0.2564921438467585</v>
      </c>
      <c r="K108" s="72">
        <f>(J108*(1+H108)-I108)</f>
        <v>0.35481258451915393</v>
      </c>
      <c r="L108" s="3">
        <v>1</v>
      </c>
      <c r="M108" s="66">
        <f>VLOOKUP(A108,Demográfico!A$2:E$400,5,FALSE)*H108</f>
        <v>860.95311317657331</v>
      </c>
      <c r="N108" s="68">
        <f>IFERROR(FLOOR(K108,1),0)</f>
        <v>0</v>
      </c>
      <c r="O108" s="68">
        <f>K108-N108</f>
        <v>0.35481258451915393</v>
      </c>
      <c r="P108" s="65">
        <f>IFERROR(RANK(O108,O$2:O$400,0),0)</f>
        <v>109</v>
      </c>
      <c r="Q108" s="3">
        <f>N108+IF(P108&lt;P$1,1,0)</f>
        <v>1</v>
      </c>
      <c r="S108" s="65">
        <f>VLOOKUP(A108,Demográfico!A$2:E$400,5,FALSE)*(H108)</f>
        <v>860.95311317657331</v>
      </c>
      <c r="T108" s="79">
        <f>IFERROR(D108/D108,0)</f>
        <v>1</v>
      </c>
      <c r="U108" s="65">
        <f t="shared" si="1"/>
        <v>860.95311317657331</v>
      </c>
    </row>
    <row r="109" spans="1:21" ht="19.5" x14ac:dyDescent="0.25">
      <c r="A109" s="2" t="s">
        <v>113</v>
      </c>
      <c r="B109" s="168">
        <v>17470</v>
      </c>
      <c r="C109" s="169" t="str" cm="1">
        <f t="array" ref="C109">_xlfn.IFS(B109&lt;5000, "P1",B109&lt;20000, "P2",B109&lt;70000, "P3",B109&lt;100000, "P4",B109&lt;200000,"M1",B109&lt;500000,"M2",B109&lt;1000000,"G1",B109&gt;1000000,"G2")</f>
        <v>P2</v>
      </c>
      <c r="D109" s="170">
        <f>VLOOKUP(C109,Metodologia!A$2:H$9,8,FALSE)</f>
        <v>32.634342822133917</v>
      </c>
      <c r="E109" s="171">
        <f>VLOOKUP(A109,Educacional!A$2:P$405,16,FALSE)</f>
        <v>42.625073926828932</v>
      </c>
      <c r="F109" s="171">
        <f>VLOOKUP(A109,Demográfico!A$2:L$405,12,FALSE)</f>
        <v>48.579858285376659</v>
      </c>
      <c r="G109" s="172">
        <f>VLOOKUP(A109,Socioeconômico!A$2:M$405,13,FALSE)</f>
        <v>35.168847591874439</v>
      </c>
      <c r="H109" s="173">
        <f>(2*E109+F109+2*G109)/5/100</f>
        <v>0.40833540264556684</v>
      </c>
      <c r="I109" s="170">
        <f>VLOOKUP(A109,Resultados!A$2:B507,2,FALSE)</f>
        <v>0</v>
      </c>
      <c r="J109" s="5">
        <f>IFERROR(VLOOKUP(A109,Demográfico!A$2:E$400,5,FALSE)/(VLOOKUP(C109,Metodologia!A$2:G$9,7,FALSE))*D109,0)</f>
        <v>0.26300151704322561</v>
      </c>
      <c r="K109" s="72">
        <f>(J109*(1+H109)-I109)</f>
        <v>0.37039434740146604</v>
      </c>
      <c r="L109" s="3">
        <v>1</v>
      </c>
      <c r="M109" s="66">
        <f>VLOOKUP(A109,Demográfico!A$2:E$400,5,FALSE)*H109</f>
        <v>940.39643229274043</v>
      </c>
      <c r="N109" s="68">
        <f>IFERROR(FLOOR(K109,1),0)</f>
        <v>0</v>
      </c>
      <c r="O109" s="68">
        <f>K109-N109</f>
        <v>0.37039434740146604</v>
      </c>
      <c r="P109" s="65">
        <f>IFERROR(RANK(O109,O$2:O$400,0),0)</f>
        <v>104</v>
      </c>
      <c r="Q109" s="3">
        <f>N109+IF(P109&lt;P$1,1,0)</f>
        <v>1</v>
      </c>
      <c r="S109" s="65">
        <f>VLOOKUP(A109,Demográfico!A$2:E$400,5,FALSE)*(H109)</f>
        <v>940.39643229274043</v>
      </c>
      <c r="T109" s="79">
        <f>IFERROR(D109/D109,0)</f>
        <v>1</v>
      </c>
      <c r="U109" s="65">
        <f t="shared" si="1"/>
        <v>940.39643229274043</v>
      </c>
    </row>
    <row r="110" spans="1:21" ht="19.5" x14ac:dyDescent="0.25">
      <c r="A110" s="2" t="s">
        <v>114</v>
      </c>
      <c r="B110" s="168">
        <v>17270</v>
      </c>
      <c r="C110" s="169" t="str" cm="1">
        <f t="array" ref="C110">_xlfn.IFS(B110&lt;5000, "P1",B110&lt;20000, "P2",B110&lt;70000, "P3",B110&lt;100000, "P4",B110&lt;200000,"M1",B110&lt;500000,"M2",B110&lt;1000000,"G1",B110&gt;1000000,"G2")</f>
        <v>P2</v>
      </c>
      <c r="D110" s="170">
        <f>VLOOKUP(C110,Metodologia!A$2:H$9,8,FALSE)</f>
        <v>32.634342822133917</v>
      </c>
      <c r="E110" s="171">
        <f>VLOOKUP(A110,Educacional!A$2:P$405,16,FALSE)</f>
        <v>60.138236161147219</v>
      </c>
      <c r="F110" s="171">
        <f>VLOOKUP(A110,Demográfico!A$2:L$405,12,FALSE)</f>
        <v>68.853716353580111</v>
      </c>
      <c r="G110" s="172">
        <f>VLOOKUP(A110,Socioeconômico!A$2:M$405,13,FALSE)</f>
        <v>34.702230718247854</v>
      </c>
      <c r="H110" s="173">
        <f>(2*E110+F110+2*G110)/5/100</f>
        <v>0.51706930022474051</v>
      </c>
      <c r="I110" s="170">
        <f>VLOOKUP(A110,Resultados!A$2:B508,2,FALSE)</f>
        <v>0</v>
      </c>
      <c r="J110" s="5">
        <f>IFERROR(VLOOKUP(A110,Demográfico!A$2:E$400,5,FALSE)/(VLOOKUP(C110,Metodologia!A$2:G$9,7,FALSE))*D110,0)</f>
        <v>0.28846801218028134</v>
      </c>
      <c r="K110" s="72">
        <f>(J110*(1+H110)-I110)</f>
        <v>0.43762596537556131</v>
      </c>
      <c r="L110" s="3">
        <v>1</v>
      </c>
      <c r="M110" s="66">
        <f>VLOOKUP(A110,Demográfico!A$2:E$400,5,FALSE)*H110</f>
        <v>1306.1170523676944</v>
      </c>
      <c r="N110" s="68">
        <f>IFERROR(FLOOR(K110,1),0)</f>
        <v>0</v>
      </c>
      <c r="O110" s="68">
        <f>K110-N110</f>
        <v>0.43762596537556131</v>
      </c>
      <c r="P110" s="65">
        <f>IFERROR(RANK(O110,O$2:O$400,0),0)</f>
        <v>80</v>
      </c>
      <c r="Q110" s="3">
        <f>N110+IF(P110&lt;P$1,1,0)</f>
        <v>1</v>
      </c>
      <c r="S110" s="65">
        <f>VLOOKUP(A110,Demográfico!A$2:E$400,5,FALSE)*(H110)</f>
        <v>1306.1170523676944</v>
      </c>
      <c r="T110" s="79">
        <f>IFERROR(D110/D110,0)</f>
        <v>1</v>
      </c>
      <c r="U110" s="65">
        <f t="shared" si="1"/>
        <v>1306.1170523676944</v>
      </c>
    </row>
    <row r="111" spans="1:21" ht="19.5" x14ac:dyDescent="0.25">
      <c r="A111" s="2" t="s">
        <v>115</v>
      </c>
      <c r="B111" s="168">
        <v>16905</v>
      </c>
      <c r="C111" s="169" t="str" cm="1">
        <f t="array" ref="C111">_xlfn.IFS(B111&lt;5000, "P1",B111&lt;20000, "P2",B111&lt;70000, "P3",B111&lt;100000, "P4",B111&lt;200000,"M1",B111&lt;500000,"M2",B111&lt;1000000,"G1",B111&gt;1000000,"G2")</f>
        <v>P2</v>
      </c>
      <c r="D111" s="170">
        <f>VLOOKUP(C111,Metodologia!A$2:H$9,8,FALSE)</f>
        <v>32.634342822133917</v>
      </c>
      <c r="E111" s="171">
        <f>VLOOKUP(A111,Educacional!A$2:P$405,16,FALSE)</f>
        <v>62.850032169669113</v>
      </c>
      <c r="F111" s="171">
        <f>VLOOKUP(A111,Demográfico!A$2:L$405,12,FALSE)</f>
        <v>51.798969400577988</v>
      </c>
      <c r="G111" s="172">
        <f>VLOOKUP(A111,Socioeconômico!A$2:M$405,13,FALSE)</f>
        <v>46.211196050313234</v>
      </c>
      <c r="H111" s="173">
        <f>(2*E111+F111+2*G111)/5/100</f>
        <v>0.53984285168108537</v>
      </c>
      <c r="I111" s="170">
        <f>VLOOKUP(A111,Resultados!A$2:B509,2,FALSE)</f>
        <v>1</v>
      </c>
      <c r="J111" s="5">
        <f>IFERROR(VLOOKUP(A111,Demográfico!A$2:E$400,5,FALSE)/(VLOOKUP(C111,Metodologia!A$2:G$9,7,FALSE))*D111,0)</f>
        <v>0.25295195842411844</v>
      </c>
      <c r="K111" s="72">
        <f>(J111*(1+H111)-I111)</f>
        <v>-0.61049373500189019</v>
      </c>
      <c r="L111" s="3">
        <v>1</v>
      </c>
      <c r="M111" s="66">
        <f>VLOOKUP(A111,Demográfico!A$2:E$400,5,FALSE)*H111</f>
        <v>1195.7519164736041</v>
      </c>
      <c r="N111" s="68">
        <f>IFERROR(FLOOR(K111,1),0)</f>
        <v>-1</v>
      </c>
      <c r="O111" s="68">
        <f>K111-N111</f>
        <v>0.38950626499810981</v>
      </c>
      <c r="P111" s="65">
        <f>IFERROR(RANK(O111,O$2:O$400,0),0)</f>
        <v>94</v>
      </c>
      <c r="Q111" s="3">
        <f>N111+IF(P111&lt;P$1,1,0)</f>
        <v>0</v>
      </c>
      <c r="S111" s="65">
        <f>VLOOKUP(A111,Demográfico!A$2:E$400,5,FALSE)*(H111)</f>
        <v>1195.7519164736041</v>
      </c>
      <c r="T111" s="79">
        <f>IFERROR(D111/D111,0)</f>
        <v>1</v>
      </c>
      <c r="U111" s="65">
        <f t="shared" si="1"/>
        <v>1195.7519164736041</v>
      </c>
    </row>
    <row r="112" spans="1:21" ht="19.5" x14ac:dyDescent="0.25">
      <c r="A112" s="2" t="s">
        <v>116</v>
      </c>
      <c r="B112" s="168">
        <v>16603</v>
      </c>
      <c r="C112" s="169" t="str" cm="1">
        <f t="array" ref="C112">_xlfn.IFS(B112&lt;5000, "P1",B112&lt;20000, "P2",B112&lt;70000, "P3",B112&lt;100000, "P4",B112&lt;200000,"M1",B112&lt;500000,"M2",B112&lt;1000000,"G1",B112&gt;1000000,"G2")</f>
        <v>P2</v>
      </c>
      <c r="D112" s="170">
        <f>VLOOKUP(C112,Metodologia!A$2:H$9,8,FALSE)</f>
        <v>32.634342822133917</v>
      </c>
      <c r="E112" s="171">
        <f>VLOOKUP(A112,Educacional!A$2:P$405,16,FALSE)</f>
        <v>58.276435683969332</v>
      </c>
      <c r="F112" s="171">
        <f>VLOOKUP(A112,Demográfico!A$2:L$405,12,FALSE)</f>
        <v>78.464104025974123</v>
      </c>
      <c r="G112" s="172">
        <f>VLOOKUP(A112,Socioeconômico!A$2:M$405,13,FALSE)</f>
        <v>40.535014233842247</v>
      </c>
      <c r="H112" s="173">
        <f>(2*E112+F112+2*G112)/5/100</f>
        <v>0.55217400772319458</v>
      </c>
      <c r="I112" s="170">
        <f>VLOOKUP(A112,Resultados!A$2:B510,2,FALSE)</f>
        <v>0</v>
      </c>
      <c r="J112" s="5">
        <f>IFERROR(VLOOKUP(A112,Demográfico!A$2:E$400,5,FALSE)/(VLOOKUP(C112,Metodologia!A$2:G$9,7,FALSE))*D112,0)</f>
        <v>0.27864685262069933</v>
      </c>
      <c r="K112" s="72">
        <f>(J112*(1+H112)-I112)</f>
        <v>0.43250840197172519</v>
      </c>
      <c r="L112" s="3">
        <v>1</v>
      </c>
      <c r="M112" s="66">
        <f>VLOOKUP(A112,Demográfico!A$2:E$400,5,FALSE)*H112</f>
        <v>1347.3045788445947</v>
      </c>
      <c r="N112" s="68">
        <f>IFERROR(FLOOR(K112,1),0)</f>
        <v>0</v>
      </c>
      <c r="O112" s="68">
        <f>K112-N112</f>
        <v>0.43250840197172519</v>
      </c>
      <c r="P112" s="65">
        <f>IFERROR(RANK(O112,O$2:O$400,0),0)</f>
        <v>82</v>
      </c>
      <c r="Q112" s="3">
        <f>N112+IF(P112&lt;P$1,1,0)</f>
        <v>1</v>
      </c>
      <c r="S112" s="65">
        <f>VLOOKUP(A112,Demográfico!A$2:E$400,5,FALSE)*(H112)</f>
        <v>1347.3045788445947</v>
      </c>
      <c r="T112" s="79">
        <f>IFERROR(D112/D112,0)</f>
        <v>1</v>
      </c>
      <c r="U112" s="65">
        <f t="shared" si="1"/>
        <v>1347.3045788445947</v>
      </c>
    </row>
    <row r="113" spans="1:21" ht="19.5" x14ac:dyDescent="0.25">
      <c r="A113" s="2" t="s">
        <v>117</v>
      </c>
      <c r="B113" s="168">
        <v>16389</v>
      </c>
      <c r="C113" s="169" t="str" cm="1">
        <f t="array" ref="C113">_xlfn.IFS(B113&lt;5000, "P1",B113&lt;20000, "P2",B113&lt;70000, "P3",B113&lt;100000, "P4",B113&lt;200000,"M1",B113&lt;500000,"M2",B113&lt;1000000,"G1",B113&gt;1000000,"G2")</f>
        <v>P2</v>
      </c>
      <c r="D113" s="170">
        <f>VLOOKUP(C113,Metodologia!A$2:H$9,8,FALSE)</f>
        <v>32.634342822133917</v>
      </c>
      <c r="E113" s="171">
        <f>VLOOKUP(A113,Educacional!A$2:P$405,16,FALSE)</f>
        <v>48.102171758352767</v>
      </c>
      <c r="F113" s="171">
        <f>VLOOKUP(A113,Demográfico!A$2:L$405,12,FALSE)</f>
        <v>57.646281830850256</v>
      </c>
      <c r="G113" s="172">
        <f>VLOOKUP(A113,Socioeconômico!A$2:M$405,13,FALSE)</f>
        <v>57.577580849989396</v>
      </c>
      <c r="H113" s="173">
        <f>(2*E113+F113+2*G113)/5/100</f>
        <v>0.53801157409506917</v>
      </c>
      <c r="I113" s="170">
        <f>VLOOKUP(A113,Resultados!A$2:B511,2,FALSE)</f>
        <v>0</v>
      </c>
      <c r="J113" s="5">
        <f>IFERROR(VLOOKUP(A113,Demográfico!A$2:E$400,5,FALSE)/(VLOOKUP(C113,Metodologia!A$2:G$9,7,FALSE))*D113,0)</f>
        <v>0.26825469541230434</v>
      </c>
      <c r="K113" s="72">
        <f>(J113*(1+H113)-I113)</f>
        <v>0.41257882634947157</v>
      </c>
      <c r="L113" s="3">
        <v>1</v>
      </c>
      <c r="M113" s="66">
        <f>VLOOKUP(A113,Demográfico!A$2:E$400,5,FALSE)*H113</f>
        <v>1263.7891875493174</v>
      </c>
      <c r="N113" s="68">
        <f>IFERROR(FLOOR(K113,1),0)</f>
        <v>0</v>
      </c>
      <c r="O113" s="68">
        <f>K113-N113</f>
        <v>0.41257882634947157</v>
      </c>
      <c r="P113" s="65">
        <f>IFERROR(RANK(O113,O$2:O$400,0),0)</f>
        <v>86</v>
      </c>
      <c r="Q113" s="3">
        <f>N113+IF(P113&lt;P$1,1,0)</f>
        <v>1</v>
      </c>
      <c r="S113" s="65">
        <f>VLOOKUP(A113,Demográfico!A$2:E$400,5,FALSE)*(H113)</f>
        <v>1263.7891875493174</v>
      </c>
      <c r="T113" s="79">
        <f>IFERROR(D113/D113,0)</f>
        <v>1</v>
      </c>
      <c r="U113" s="65">
        <f t="shared" si="1"/>
        <v>1263.7891875493174</v>
      </c>
    </row>
    <row r="114" spans="1:21" ht="19.5" x14ac:dyDescent="0.25">
      <c r="A114" s="2" t="s">
        <v>118</v>
      </c>
      <c r="B114" s="168">
        <v>16134</v>
      </c>
      <c r="C114" s="169" t="str" cm="1">
        <f t="array" ref="C114">_xlfn.IFS(B114&lt;5000, "P1",B114&lt;20000, "P2",B114&lt;70000, "P3",B114&lt;100000, "P4",B114&lt;200000,"M1",B114&lt;500000,"M2",B114&lt;1000000,"G1",B114&gt;1000000,"G2")</f>
        <v>P2</v>
      </c>
      <c r="D114" s="170">
        <f>VLOOKUP(C114,Metodologia!A$2:H$9,8,FALSE)</f>
        <v>32.634342822133917</v>
      </c>
      <c r="E114" s="171">
        <f>VLOOKUP(A114,Educacional!A$2:P$405,16,FALSE)</f>
        <v>91.456049270742497</v>
      </c>
      <c r="F114" s="171">
        <f>VLOOKUP(A114,Demográfico!A$2:L$405,12,FALSE)</f>
        <v>39.621090683117572</v>
      </c>
      <c r="G114" s="172">
        <f>VLOOKUP(A114,Socioeconômico!A$2:M$405,13,FALSE)</f>
        <v>69.739947733570958</v>
      </c>
      <c r="H114" s="173">
        <f>(2*E114+F114+2*G114)/5/100</f>
        <v>0.72402616938348885</v>
      </c>
      <c r="I114" s="170">
        <f>VLOOKUP(A114,Resultados!A$2:B512,2,FALSE)</f>
        <v>1</v>
      </c>
      <c r="J114" s="5">
        <f>IFERROR(VLOOKUP(A114,Demográfico!A$2:E$400,5,FALSE)/(VLOOKUP(C114,Metodologia!A$2:G$9,7,FALSE))*D114,0)</f>
        <v>0.25831933632295978</v>
      </c>
      <c r="K114" s="72">
        <f>(J114*(1+H114)-I114)</f>
        <v>-0.55465070412144257</v>
      </c>
      <c r="L114" s="3">
        <v>1</v>
      </c>
      <c r="M114" s="66">
        <f>VLOOKUP(A114,Demográfico!A$2:E$400,5,FALSE)*H114</f>
        <v>1637.7471951454518</v>
      </c>
      <c r="N114" s="68">
        <f>IFERROR(FLOOR(K114,1),0)</f>
        <v>-1</v>
      </c>
      <c r="O114" s="68">
        <f>K114-N114</f>
        <v>0.44534929587855743</v>
      </c>
      <c r="P114" s="65">
        <f>IFERROR(RANK(O114,O$2:O$400,0),0)</f>
        <v>78</v>
      </c>
      <c r="Q114" s="3">
        <f>N114+IF(P114&lt;P$1,1,0)</f>
        <v>0</v>
      </c>
      <c r="S114" s="65">
        <f>VLOOKUP(A114,Demográfico!A$2:E$400,5,FALSE)*(H114)</f>
        <v>1637.7471951454518</v>
      </c>
      <c r="T114" s="79">
        <f>IFERROR(D114/D114,0)</f>
        <v>1</v>
      </c>
      <c r="U114" s="65">
        <f t="shared" si="1"/>
        <v>1637.7471951454518</v>
      </c>
    </row>
    <row r="115" spans="1:21" ht="19.5" x14ac:dyDescent="0.25">
      <c r="A115" s="2" t="s">
        <v>119</v>
      </c>
      <c r="B115" s="168">
        <v>15978</v>
      </c>
      <c r="C115" s="169" t="str" cm="1">
        <f t="array" ref="C115">_xlfn.IFS(B115&lt;5000, "P1",B115&lt;20000, "P2",B115&lt;70000, "P3",B115&lt;100000, "P4",B115&lt;200000,"M1",B115&lt;500000,"M2",B115&lt;1000000,"G1",B115&gt;1000000,"G2")</f>
        <v>P2</v>
      </c>
      <c r="D115" s="170">
        <f>VLOOKUP(C115,Metodologia!A$2:H$9,8,FALSE)</f>
        <v>32.634342822133917</v>
      </c>
      <c r="E115" s="171">
        <f>VLOOKUP(A115,Educacional!A$2:P$405,16,FALSE)</f>
        <v>74.135148188431188</v>
      </c>
      <c r="F115" s="171">
        <f>VLOOKUP(A115,Demográfico!A$2:L$405,12,FALSE)</f>
        <v>61.742376798912126</v>
      </c>
      <c r="G115" s="172">
        <f>VLOOKUP(A115,Socioeconômico!A$2:M$405,13,FALSE)</f>
        <v>46.059353125025382</v>
      </c>
      <c r="H115" s="173">
        <f>(2*E115+F115+2*G115)/5/100</f>
        <v>0.60426275885165048</v>
      </c>
      <c r="I115" s="170">
        <f>VLOOKUP(A115,Resultados!A$2:B513,2,FALSE)</f>
        <v>0</v>
      </c>
      <c r="J115" s="5">
        <f>IFERROR(VLOOKUP(A115,Demográfico!A$2:E$400,5,FALSE)/(VLOOKUP(C115,Metodologia!A$2:G$9,7,FALSE))*D115,0)</f>
        <v>0.22931265576326401</v>
      </c>
      <c r="K115" s="72">
        <f>(J115*(1+H115)-I115)</f>
        <v>0.36787775377437276</v>
      </c>
      <c r="L115" s="3">
        <v>1</v>
      </c>
      <c r="M115" s="66">
        <f>VLOOKUP(A115,Demográfico!A$2:E$400,5,FALSE)*H115</f>
        <v>1213.3596197741142</v>
      </c>
      <c r="N115" s="68">
        <f>IFERROR(FLOOR(K115,1),0)</f>
        <v>0</v>
      </c>
      <c r="O115" s="68">
        <f>K115-N115</f>
        <v>0.36787775377437276</v>
      </c>
      <c r="P115" s="65">
        <f>IFERROR(RANK(O115,O$2:O$400,0),0)</f>
        <v>106</v>
      </c>
      <c r="Q115" s="3">
        <f>N115+IF(P115&lt;P$1,1,0)</f>
        <v>1</v>
      </c>
      <c r="S115" s="65">
        <f>VLOOKUP(A115,Demográfico!A$2:E$400,5,FALSE)*(H115)</f>
        <v>1213.3596197741142</v>
      </c>
      <c r="T115" s="79">
        <f>IFERROR(D115/D115,0)</f>
        <v>1</v>
      </c>
      <c r="U115" s="65">
        <f t="shared" si="1"/>
        <v>1213.3596197741142</v>
      </c>
    </row>
    <row r="116" spans="1:21" ht="19.5" x14ac:dyDescent="0.25">
      <c r="A116" s="2" t="s">
        <v>120</v>
      </c>
      <c r="B116" s="168">
        <v>15930</v>
      </c>
      <c r="C116" s="169" t="str" cm="1">
        <f t="array" ref="C116">_xlfn.IFS(B116&lt;5000, "P1",B116&lt;20000, "P2",B116&lt;70000, "P3",B116&lt;100000, "P4",B116&lt;200000,"M1",B116&lt;500000,"M2",B116&lt;1000000,"G1",B116&gt;1000000,"G2")</f>
        <v>P2</v>
      </c>
      <c r="D116" s="170">
        <f>VLOOKUP(C116,Metodologia!A$2:H$9,8,FALSE)</f>
        <v>32.634342822133917</v>
      </c>
      <c r="E116" s="171">
        <f>VLOOKUP(A116,Educacional!A$2:P$405,16,FALSE)</f>
        <v>69.417486043349982</v>
      </c>
      <c r="F116" s="171">
        <f>VLOOKUP(A116,Demográfico!A$2:L$405,12,FALSE)</f>
        <v>38.459376395682845</v>
      </c>
      <c r="G116" s="172">
        <f>VLOOKUP(A116,Socioeconômico!A$2:M$405,13,FALSE)</f>
        <v>31.676526411630373</v>
      </c>
      <c r="H116" s="173">
        <f>(2*E116+F116+2*G116)/5/100</f>
        <v>0.4812948026112871</v>
      </c>
      <c r="I116" s="170">
        <f>VLOOKUP(A116,Resultados!A$2:B514,2,FALSE)</f>
        <v>0</v>
      </c>
      <c r="J116" s="5">
        <f>IFERROR(VLOOKUP(A116,Demográfico!A$2:E$400,5,FALSE)/(VLOOKUP(C116,Metodologia!A$2:G$9,7,FALSE))*D116,0)</f>
        <v>0.21834950090605618</v>
      </c>
      <c r="K116" s="72">
        <f>(J116*(1+H116)-I116)</f>
        <v>0.32343998084490955</v>
      </c>
      <c r="L116" s="3">
        <v>1</v>
      </c>
      <c r="M116" s="66">
        <f>VLOOKUP(A116,Demográfico!A$2:E$400,5,FALSE)*H116</f>
        <v>920.23566259278095</v>
      </c>
      <c r="N116" s="68">
        <f>IFERROR(FLOOR(K116,1),0)</f>
        <v>0</v>
      </c>
      <c r="O116" s="68">
        <f>K116-N116</f>
        <v>0.32343998084490955</v>
      </c>
      <c r="P116" s="65">
        <f>IFERROR(RANK(O116,O$2:O$400,0),0)</f>
        <v>130</v>
      </c>
      <c r="Q116" s="3">
        <f>N116+IF(P116&lt;P$1,1,0)</f>
        <v>0</v>
      </c>
      <c r="S116" s="65">
        <f>VLOOKUP(A116,Demográfico!A$2:E$400,5,FALSE)*(H116)</f>
        <v>920.23566259278095</v>
      </c>
      <c r="T116" s="79">
        <f>IFERROR(D116/D116,0)</f>
        <v>1</v>
      </c>
      <c r="U116" s="65">
        <f t="shared" si="1"/>
        <v>920.23566259278095</v>
      </c>
    </row>
    <row r="117" spans="1:21" ht="19.5" x14ac:dyDescent="0.25">
      <c r="A117" s="2" t="s">
        <v>121</v>
      </c>
      <c r="B117" s="168">
        <v>15901</v>
      </c>
      <c r="C117" s="169" t="str" cm="1">
        <f t="array" ref="C117">_xlfn.IFS(B117&lt;5000, "P1",B117&lt;20000, "P2",B117&lt;70000, "P3",B117&lt;100000, "P4",B117&lt;200000,"M1",B117&lt;500000,"M2",B117&lt;1000000,"G1",B117&gt;1000000,"G2")</f>
        <v>P2</v>
      </c>
      <c r="D117" s="170">
        <f>VLOOKUP(C117,Metodologia!A$2:H$9,8,FALSE)</f>
        <v>32.634342822133917</v>
      </c>
      <c r="E117" s="171">
        <f>VLOOKUP(A117,Educacional!A$2:P$405,16,FALSE)</f>
        <v>60.670020022985348</v>
      </c>
      <c r="F117" s="171">
        <f>VLOOKUP(A117,Demográfico!A$2:L$405,12,FALSE)</f>
        <v>43.097502207160012</v>
      </c>
      <c r="G117" s="172">
        <f>VLOOKUP(A117,Socioeconômico!A$2:M$405,13,FALSE)</f>
        <v>37.392878865856638</v>
      </c>
      <c r="H117" s="173">
        <f>(2*E117+F117+2*G117)/5/100</f>
        <v>0.47844659996968802</v>
      </c>
      <c r="I117" s="170">
        <f>VLOOKUP(A117,Resultados!A$2:B515,2,FALSE)</f>
        <v>1</v>
      </c>
      <c r="J117" s="5">
        <f>IFERROR(VLOOKUP(A117,Demográfico!A$2:E$400,5,FALSE)/(VLOOKUP(C117,Metodologia!A$2:G$9,7,FALSE))*D117,0)</f>
        <v>0.23673562519783184</v>
      </c>
      <c r="K117" s="72">
        <f>(J117*(1+H117)-I117)</f>
        <v>-0.64999901983456709</v>
      </c>
      <c r="L117" s="3">
        <v>1</v>
      </c>
      <c r="M117" s="66">
        <f>VLOOKUP(A117,Demográfico!A$2:E$400,5,FALSE)*H117</f>
        <v>991.81980173716329</v>
      </c>
      <c r="N117" s="68">
        <f>IFERROR(FLOOR(K117,1),0)</f>
        <v>-1</v>
      </c>
      <c r="O117" s="68">
        <f>K117-N117</f>
        <v>0.35000098016543291</v>
      </c>
      <c r="P117" s="65">
        <f>IFERROR(RANK(O117,O$2:O$400,0),0)</f>
        <v>114</v>
      </c>
      <c r="Q117" s="3">
        <f>N117+IF(P117&lt;P$1,1,0)</f>
        <v>-1</v>
      </c>
      <c r="S117" s="65">
        <f>VLOOKUP(A117,Demográfico!A$2:E$400,5,FALSE)*(H117)</f>
        <v>991.81980173716329</v>
      </c>
      <c r="T117" s="79">
        <f>IFERROR(D117/D117,0)</f>
        <v>1</v>
      </c>
      <c r="U117" s="65">
        <f t="shared" si="1"/>
        <v>991.81980173716329</v>
      </c>
    </row>
    <row r="118" spans="1:21" ht="19.5" x14ac:dyDescent="0.25">
      <c r="A118" s="2" t="s">
        <v>122</v>
      </c>
      <c r="B118" s="168">
        <v>15869</v>
      </c>
      <c r="C118" s="169" t="str" cm="1">
        <f t="array" ref="C118">_xlfn.IFS(B118&lt;5000, "P1",B118&lt;20000, "P2",B118&lt;70000, "P3",B118&lt;100000, "P4",B118&lt;200000,"M1",B118&lt;500000,"M2",B118&lt;1000000,"G1",B118&gt;1000000,"G2")</f>
        <v>P2</v>
      </c>
      <c r="D118" s="170">
        <f>VLOOKUP(C118,Metodologia!A$2:H$9,8,FALSE)</f>
        <v>32.634342822133917</v>
      </c>
      <c r="E118" s="171">
        <f>VLOOKUP(A118,Educacional!A$2:P$405,16,FALSE)</f>
        <v>46.611060116821243</v>
      </c>
      <c r="F118" s="171">
        <f>VLOOKUP(A118,Demográfico!A$2:L$405,12,FALSE)</f>
        <v>46.908395983746722</v>
      </c>
      <c r="G118" s="172">
        <f>VLOOKUP(A118,Socioeconômico!A$2:M$405,13,FALSE)</f>
        <v>27.83033232040313</v>
      </c>
      <c r="H118" s="173">
        <f>(2*E118+F118+2*G118)/5/100</f>
        <v>0.39158236171639094</v>
      </c>
      <c r="I118" s="170">
        <f>VLOOKUP(A118,Resultados!A$2:B516,2,FALSE)</f>
        <v>0</v>
      </c>
      <c r="J118" s="5">
        <f>IFERROR(VLOOKUP(A118,Demográfico!A$2:E$400,5,FALSE)/(VLOOKUP(C118,Metodologia!A$2:G$9,7,FALSE))*D118,0)</f>
        <v>0.24998277065029131</v>
      </c>
      <c r="K118" s="72">
        <f>(J118*(1+H118)-I118)</f>
        <v>0.3478716143699393</v>
      </c>
      <c r="L118" s="3">
        <v>1</v>
      </c>
      <c r="M118" s="66">
        <f>VLOOKUP(A118,Demográfico!A$2:E$400,5,FALSE)*H118</f>
        <v>857.17378979717978</v>
      </c>
      <c r="N118" s="68">
        <f>IFERROR(FLOOR(K118,1),0)</f>
        <v>0</v>
      </c>
      <c r="O118" s="68">
        <f>K118-N118</f>
        <v>0.3478716143699393</v>
      </c>
      <c r="P118" s="65">
        <f>IFERROR(RANK(O118,O$2:O$400,0),0)</f>
        <v>116</v>
      </c>
      <c r="Q118" s="3">
        <f>N118+IF(P118&lt;P$1,1,0)</f>
        <v>0</v>
      </c>
      <c r="S118" s="65">
        <f>VLOOKUP(A118,Demográfico!A$2:E$400,5,FALSE)*(H118)</f>
        <v>857.17378979717978</v>
      </c>
      <c r="T118" s="79">
        <f>IFERROR(D118/D118,0)</f>
        <v>1</v>
      </c>
      <c r="U118" s="65">
        <f t="shared" si="1"/>
        <v>857.17378979717978</v>
      </c>
    </row>
    <row r="119" spans="1:21" ht="19.5" x14ac:dyDescent="0.25">
      <c r="A119" s="2" t="s">
        <v>123</v>
      </c>
      <c r="B119" s="168">
        <v>15746</v>
      </c>
      <c r="C119" s="169" t="str" cm="1">
        <f t="array" ref="C119">_xlfn.IFS(B119&lt;5000, "P1",B119&lt;20000, "P2",B119&lt;70000, "P3",B119&lt;100000, "P4",B119&lt;200000,"M1",B119&lt;500000,"M2",B119&lt;1000000,"G1",B119&gt;1000000,"G2")</f>
        <v>P2</v>
      </c>
      <c r="D119" s="170">
        <f>VLOOKUP(C119,Metodologia!A$2:H$9,8,FALSE)</f>
        <v>32.634342822133917</v>
      </c>
      <c r="E119" s="171">
        <f>VLOOKUP(A119,Educacional!A$2:P$405,16,FALSE)</f>
        <v>53.261673225120887</v>
      </c>
      <c r="F119" s="171">
        <f>VLOOKUP(A119,Demográfico!A$2:L$405,12,FALSE)</f>
        <v>36.659157879280826</v>
      </c>
      <c r="G119" s="172">
        <f>VLOOKUP(A119,Socioeconômico!A$2:M$405,13,FALSE)</f>
        <v>35.571516917211298</v>
      </c>
      <c r="H119" s="173">
        <f>(2*E119+F119+2*G119)/5/100</f>
        <v>0.4286510763278904</v>
      </c>
      <c r="I119" s="170">
        <f>VLOOKUP(A119,Resultados!A$2:B517,2,FALSE)</f>
        <v>0</v>
      </c>
      <c r="J119" s="5">
        <f>IFERROR(VLOOKUP(A119,Demográfico!A$2:E$400,5,FALSE)/(VLOOKUP(C119,Metodologia!A$2:G$9,7,FALSE))*D119,0)</f>
        <v>0.22360267927513494</v>
      </c>
      <c r="K119" s="72">
        <f>(J119*(1+H119)-I119)</f>
        <v>0.31945020841622157</v>
      </c>
      <c r="L119" s="3">
        <v>1</v>
      </c>
      <c r="M119" s="66">
        <f>VLOOKUP(A119,Demográfico!A$2:E$400,5,FALSE)*H119</f>
        <v>839.29880745000935</v>
      </c>
      <c r="N119" s="68">
        <f>IFERROR(FLOOR(K119,1),0)</f>
        <v>0</v>
      </c>
      <c r="O119" s="68">
        <f>K119-N119</f>
        <v>0.31945020841622157</v>
      </c>
      <c r="P119" s="65">
        <f>IFERROR(RANK(O119,O$2:O$400,0),0)</f>
        <v>134</v>
      </c>
      <c r="Q119" s="3">
        <f>N119+IF(P119&lt;P$1,1,0)</f>
        <v>0</v>
      </c>
      <c r="S119" s="65">
        <f>VLOOKUP(A119,Demográfico!A$2:E$400,5,FALSE)*(H119)</f>
        <v>839.29880745000935</v>
      </c>
      <c r="T119" s="79">
        <f>IFERROR(D119/D119,0)</f>
        <v>1</v>
      </c>
      <c r="U119" s="65">
        <f t="shared" si="1"/>
        <v>839.29880745000935</v>
      </c>
    </row>
    <row r="120" spans="1:21" ht="19.5" x14ac:dyDescent="0.25">
      <c r="A120" s="2" t="s">
        <v>124</v>
      </c>
      <c r="B120" s="168">
        <v>15723</v>
      </c>
      <c r="C120" s="169" t="str" cm="1">
        <f t="array" ref="C120">_xlfn.IFS(B120&lt;5000, "P1",B120&lt;20000, "P2",B120&lt;70000, "P3",B120&lt;100000, "P4",B120&lt;200000,"M1",B120&lt;500000,"M2",B120&lt;1000000,"G1",B120&gt;1000000,"G2")</f>
        <v>P2</v>
      </c>
      <c r="D120" s="170">
        <f>VLOOKUP(C120,Metodologia!A$2:H$9,8,FALSE)</f>
        <v>32.634342822133917</v>
      </c>
      <c r="E120" s="171">
        <f>VLOOKUP(A120,Educacional!A$2:P$405,16,FALSE)</f>
        <v>56.852551599715518</v>
      </c>
      <c r="F120" s="171">
        <f>VLOOKUP(A120,Demográfico!A$2:L$405,12,FALSE)</f>
        <v>61.118401119812425</v>
      </c>
      <c r="G120" s="172">
        <f>VLOOKUP(A120,Socioeconômico!A$2:M$405,13,FALSE)</f>
        <v>54.036075224489423</v>
      </c>
      <c r="H120" s="173">
        <f>(2*E120+F120+2*G120)/5/100</f>
        <v>0.56579130953644463</v>
      </c>
      <c r="I120" s="170">
        <f>VLOOKUP(A120,Resultados!A$2:B518,2,FALSE)</f>
        <v>0</v>
      </c>
      <c r="J120" s="5">
        <f>IFERROR(VLOOKUP(A120,Demográfico!A$2:E$400,5,FALSE)/(VLOOKUP(C120,Metodologia!A$2:G$9,7,FALSE))*D120,0)</f>
        <v>0.24016161109070927</v>
      </c>
      <c r="K120" s="72">
        <f>(J120*(1+H120)-I120)</f>
        <v>0.37604296353010397</v>
      </c>
      <c r="L120" s="3">
        <v>1</v>
      </c>
      <c r="M120" s="66">
        <f>VLOOKUP(A120,Demográfico!A$2:E$400,5,FALSE)*H120</f>
        <v>1189.8591239551431</v>
      </c>
      <c r="N120" s="68">
        <f>IFERROR(FLOOR(K120,1),0)</f>
        <v>0</v>
      </c>
      <c r="O120" s="68">
        <f>K120-N120</f>
        <v>0.37604296353010397</v>
      </c>
      <c r="P120" s="65">
        <f>IFERROR(RANK(O120,O$2:O$400,0),0)</f>
        <v>98</v>
      </c>
      <c r="Q120" s="3">
        <f>N120+IF(P120&lt;P$1,1,0)</f>
        <v>1</v>
      </c>
      <c r="S120" s="65">
        <f>VLOOKUP(A120,Demográfico!A$2:E$400,5,FALSE)*(H120)</f>
        <v>1189.8591239551431</v>
      </c>
      <c r="T120" s="79">
        <f>IFERROR(D120/D120,0)</f>
        <v>1</v>
      </c>
      <c r="U120" s="65">
        <f t="shared" si="1"/>
        <v>1189.8591239551431</v>
      </c>
    </row>
    <row r="121" spans="1:21" ht="19.5" x14ac:dyDescent="0.25">
      <c r="A121" s="2" t="s">
        <v>125</v>
      </c>
      <c r="B121" s="168">
        <v>15533</v>
      </c>
      <c r="C121" s="169" t="str" cm="1">
        <f t="array" ref="C121">_xlfn.IFS(B121&lt;5000, "P1",B121&lt;20000, "P2",B121&lt;70000, "P3",B121&lt;100000, "P4",B121&lt;200000,"M1",B121&lt;500000,"M2",B121&lt;1000000,"G1",B121&gt;1000000,"G2")</f>
        <v>P2</v>
      </c>
      <c r="D121" s="170">
        <f>VLOOKUP(C121,Metodologia!A$2:H$9,8,FALSE)</f>
        <v>32.634342822133917</v>
      </c>
      <c r="E121" s="171">
        <f>VLOOKUP(A121,Educacional!A$2:P$405,16,FALSE)</f>
        <v>66.387215090105215</v>
      </c>
      <c r="F121" s="171">
        <f>VLOOKUP(A121,Demográfico!A$2:L$405,12,FALSE)</f>
        <v>69.794895741835859</v>
      </c>
      <c r="G121" s="172">
        <f>VLOOKUP(A121,Socioeconômico!A$2:M$405,13,FALSE)</f>
        <v>46.776964883093363</v>
      </c>
      <c r="H121" s="173">
        <f>(2*E121+F121+2*G121)/5/100</f>
        <v>0.592246511376466</v>
      </c>
      <c r="I121" s="170">
        <f>VLOOKUP(A121,Resultados!A$2:B519,2,FALSE)</f>
        <v>0</v>
      </c>
      <c r="J121" s="5">
        <f>IFERROR(VLOOKUP(A121,Demográfico!A$2:E$400,5,FALSE)/(VLOOKUP(C121,Metodologia!A$2:G$9,7,FALSE))*D121,0)</f>
        <v>0.25580694666818299</v>
      </c>
      <c r="K121" s="72">
        <f>(J121*(1+H121)-I121)</f>
        <v>0.40730771841828001</v>
      </c>
      <c r="L121" s="3">
        <v>1</v>
      </c>
      <c r="M121" s="66">
        <f>VLOOKUP(A121,Demográfico!A$2:E$400,5,FALSE)*H121</f>
        <v>1326.6321854832838</v>
      </c>
      <c r="N121" s="68">
        <f>IFERROR(FLOOR(K121,1),0)</f>
        <v>0</v>
      </c>
      <c r="O121" s="68">
        <f>K121-N121</f>
        <v>0.40730771841828001</v>
      </c>
      <c r="P121" s="65">
        <f>IFERROR(RANK(O121,O$2:O$400,0),0)</f>
        <v>87</v>
      </c>
      <c r="Q121" s="3">
        <f>N121+IF(P121&lt;P$1,1,0)</f>
        <v>1</v>
      </c>
      <c r="S121" s="65">
        <f>VLOOKUP(A121,Demográfico!A$2:E$400,5,FALSE)*(H121)</f>
        <v>1326.6321854832838</v>
      </c>
      <c r="T121" s="79">
        <f>IFERROR(D121/D121,0)</f>
        <v>1</v>
      </c>
      <c r="U121" s="65">
        <f t="shared" si="1"/>
        <v>1326.6321854832838</v>
      </c>
    </row>
    <row r="122" spans="1:21" ht="19.5" x14ac:dyDescent="0.25">
      <c r="A122" s="2" t="s">
        <v>126</v>
      </c>
      <c r="B122" s="168">
        <v>15244</v>
      </c>
      <c r="C122" s="169" t="str" cm="1">
        <f t="array" ref="C122">_xlfn.IFS(B122&lt;5000, "P1",B122&lt;20000, "P2",B122&lt;70000, "P3",B122&lt;100000, "P4",B122&lt;200000,"M1",B122&lt;500000,"M2",B122&lt;1000000,"G1",B122&gt;1000000,"G2")</f>
        <v>P2</v>
      </c>
      <c r="D122" s="170">
        <f>VLOOKUP(C122,Metodologia!A$2:H$9,8,FALSE)</f>
        <v>32.634342822133917</v>
      </c>
      <c r="E122" s="171">
        <f>VLOOKUP(A122,Educacional!A$2:P$405,16,FALSE)</f>
        <v>72.629348056365032</v>
      </c>
      <c r="F122" s="171">
        <f>VLOOKUP(A122,Demográfico!A$2:L$405,12,FALSE)</f>
        <v>46.426357862558397</v>
      </c>
      <c r="G122" s="172">
        <f>VLOOKUP(A122,Socioeconômico!A$2:M$405,13,FALSE)</f>
        <v>67.165654419854675</v>
      </c>
      <c r="H122" s="173">
        <f>(2*E122+F122+2*G122)/5/100</f>
        <v>0.65203272562999559</v>
      </c>
      <c r="I122" s="170">
        <f>VLOOKUP(A122,Resultados!A$2:B520,2,FALSE)</f>
        <v>0</v>
      </c>
      <c r="J122" s="5">
        <f>IFERROR(VLOOKUP(A122,Demográfico!A$2:E$400,5,FALSE)/(VLOOKUP(C122,Metodologia!A$2:G$9,7,FALSE))*D122,0)</f>
        <v>0.23627882707878151</v>
      </c>
      <c r="K122" s="72">
        <f>(J122*(1+H122)-I122)</f>
        <v>0.3903403547076178</v>
      </c>
      <c r="L122" s="3">
        <v>1</v>
      </c>
      <c r="M122" s="66">
        <f>VLOOKUP(A122,Demográfico!A$2:E$400,5,FALSE)*H122</f>
        <v>1349.0557093284608</v>
      </c>
      <c r="N122" s="68">
        <f>IFERROR(FLOOR(K122,1),0)</f>
        <v>0</v>
      </c>
      <c r="O122" s="68">
        <f>K122-N122</f>
        <v>0.3903403547076178</v>
      </c>
      <c r="P122" s="65">
        <f>IFERROR(RANK(O122,O$2:O$400,0),0)</f>
        <v>93</v>
      </c>
      <c r="Q122" s="3">
        <f>N122+IF(P122&lt;P$1,1,0)</f>
        <v>1</v>
      </c>
      <c r="S122" s="65">
        <f>VLOOKUP(A122,Demográfico!A$2:E$400,5,FALSE)*(H122)</f>
        <v>1349.0557093284608</v>
      </c>
      <c r="T122" s="79">
        <f>IFERROR(D122/D122,0)</f>
        <v>1</v>
      </c>
      <c r="U122" s="65">
        <f t="shared" si="1"/>
        <v>1349.0557093284608</v>
      </c>
    </row>
    <row r="123" spans="1:21" ht="19.5" x14ac:dyDescent="0.25">
      <c r="A123" s="2" t="s">
        <v>127</v>
      </c>
      <c r="B123" s="168">
        <v>15223</v>
      </c>
      <c r="C123" s="169" t="str" cm="1">
        <f t="array" ref="C123">_xlfn.IFS(B123&lt;5000, "P1",B123&lt;20000, "P2",B123&lt;70000, "P3",B123&lt;100000, "P4",B123&lt;200000,"M1",B123&lt;500000,"M2",B123&lt;1000000,"G1",B123&gt;1000000,"G2")</f>
        <v>P2</v>
      </c>
      <c r="D123" s="170">
        <f>VLOOKUP(C123,Metodologia!A$2:H$9,8,FALSE)</f>
        <v>32.634342822133917</v>
      </c>
      <c r="E123" s="171">
        <f>VLOOKUP(A123,Educacional!A$2:P$405,16,FALSE)</f>
        <v>71.062961258043401</v>
      </c>
      <c r="F123" s="171">
        <f>VLOOKUP(A123,Demográfico!A$2:L$405,12,FALSE)</f>
        <v>36.449378919290879</v>
      </c>
      <c r="G123" s="172">
        <f>VLOOKUP(A123,Socioeconômico!A$2:M$405,13,FALSE)</f>
        <v>40.411926392050802</v>
      </c>
      <c r="H123" s="173">
        <f>(2*E123+F123+2*G123)/5/100</f>
        <v>0.51879830843895869</v>
      </c>
      <c r="I123" s="170">
        <f>VLOOKUP(A123,Resultados!A$2:B521,2,FALSE)</f>
        <v>0</v>
      </c>
      <c r="J123" s="5">
        <f>IFERROR(VLOOKUP(A123,Demográfico!A$2:E$400,5,FALSE)/(VLOOKUP(C123,Metodologia!A$2:G$9,7,FALSE))*D123,0)</f>
        <v>0.22554407128109882</v>
      </c>
      <c r="K123" s="72">
        <f>(J123*(1+H123)-I123)</f>
        <v>0.3425559539401688</v>
      </c>
      <c r="L123" s="3">
        <v>1</v>
      </c>
      <c r="M123" s="66">
        <f>VLOOKUP(A123,Demográfico!A$2:E$400,5,FALSE)*H123</f>
        <v>1024.6266591669435</v>
      </c>
      <c r="N123" s="68">
        <f>IFERROR(FLOOR(K123,1),0)</f>
        <v>0</v>
      </c>
      <c r="O123" s="68">
        <f>K123-N123</f>
        <v>0.3425559539401688</v>
      </c>
      <c r="P123" s="65">
        <f>IFERROR(RANK(O123,O$2:O$400,0),0)</f>
        <v>119</v>
      </c>
      <c r="Q123" s="3">
        <f>N123+IF(P123&lt;P$1,1,0)</f>
        <v>0</v>
      </c>
      <c r="S123" s="65">
        <f>VLOOKUP(A123,Demográfico!A$2:E$400,5,FALSE)*(H123)</f>
        <v>1024.6266591669435</v>
      </c>
      <c r="T123" s="79">
        <f>IFERROR(D123/D123,0)</f>
        <v>1</v>
      </c>
      <c r="U123" s="65">
        <f t="shared" si="1"/>
        <v>1024.6266591669435</v>
      </c>
    </row>
    <row r="124" spans="1:21" ht="19.5" x14ac:dyDescent="0.25">
      <c r="A124" s="2" t="s">
        <v>128</v>
      </c>
      <c r="B124" s="168">
        <v>15122</v>
      </c>
      <c r="C124" s="169" t="str" cm="1">
        <f t="array" ref="C124">_xlfn.IFS(B124&lt;5000, "P1",B124&lt;20000, "P2",B124&lt;70000, "P3",B124&lt;100000, "P4",B124&lt;200000,"M1",B124&lt;500000,"M2",B124&lt;1000000,"G1",B124&gt;1000000,"G2")</f>
        <v>P2</v>
      </c>
      <c r="D124" s="170">
        <f>VLOOKUP(C124,Metodologia!A$2:H$9,8,FALSE)</f>
        <v>32.634342822133917</v>
      </c>
      <c r="E124" s="171">
        <f>VLOOKUP(A124,Educacional!A$2:P$405,16,FALSE)</f>
        <v>55.084659556099993</v>
      </c>
      <c r="F124" s="171">
        <f>VLOOKUP(A124,Demográfico!A$2:L$405,12,FALSE)</f>
        <v>55.067762052356137</v>
      </c>
      <c r="G124" s="172">
        <f>VLOOKUP(A124,Socioeconômico!A$2:M$405,13,FALSE)</f>
        <v>14.72719499750853</v>
      </c>
      <c r="H124" s="173">
        <f>(2*E124+F124+2*G124)/5/100</f>
        <v>0.38938294231914639</v>
      </c>
      <c r="I124" s="170">
        <f>VLOOKUP(A124,Resultados!A$2:B522,2,FALSE)</f>
        <v>1</v>
      </c>
      <c r="J124" s="5">
        <f>IFERROR(VLOOKUP(A124,Demográfico!A$2:E$400,5,FALSE)/(VLOOKUP(C124,Metodologia!A$2:G$9,7,FALSE))*D124,0)</f>
        <v>0.23490843272163051</v>
      </c>
      <c r="K124" s="72">
        <f>(J124*(1+H124)-I124)</f>
        <v>-0.67362223056964177</v>
      </c>
      <c r="L124" s="3">
        <v>1</v>
      </c>
      <c r="M124" s="66">
        <f>VLOOKUP(A124,Demográfico!A$2:E$400,5,FALSE)*H124</f>
        <v>800.96071235048407</v>
      </c>
      <c r="N124" s="68">
        <f>IFERROR(FLOOR(K124,1),0)</f>
        <v>-1</v>
      </c>
      <c r="O124" s="68">
        <f>K124-N124</f>
        <v>0.32637776943035823</v>
      </c>
      <c r="P124" s="65">
        <f>IFERROR(RANK(O124,O$2:O$400,0),0)</f>
        <v>126</v>
      </c>
      <c r="Q124" s="3">
        <f>N124+IF(P124&lt;P$1,1,0)</f>
        <v>-1</v>
      </c>
      <c r="S124" s="65">
        <f>VLOOKUP(A124,Demográfico!A$2:E$400,5,FALSE)*(H124)</f>
        <v>800.96071235048407</v>
      </c>
      <c r="T124" s="79">
        <f>IFERROR(D124/D124,0)</f>
        <v>1</v>
      </c>
      <c r="U124" s="65">
        <f t="shared" si="1"/>
        <v>800.96071235048407</v>
      </c>
    </row>
    <row r="125" spans="1:21" ht="19.5" x14ac:dyDescent="0.25">
      <c r="A125" s="2" t="s">
        <v>129</v>
      </c>
      <c r="B125" s="168">
        <v>15070</v>
      </c>
      <c r="C125" s="169" t="str" cm="1">
        <f t="array" ref="C125">_xlfn.IFS(B125&lt;5000, "P1",B125&lt;20000, "P2",B125&lt;70000, "P3",B125&lt;100000, "P4",B125&lt;200000,"M1",B125&lt;500000,"M2",B125&lt;1000000,"G1",B125&gt;1000000,"G2")</f>
        <v>P2</v>
      </c>
      <c r="D125" s="170">
        <f>VLOOKUP(C125,Metodologia!A$2:H$9,8,FALSE)</f>
        <v>32.634342822133917</v>
      </c>
      <c r="E125" s="171">
        <f>VLOOKUP(A125,Educacional!A$2:P$405,16,FALSE)</f>
        <v>57.669275675348011</v>
      </c>
      <c r="F125" s="171">
        <f>VLOOKUP(A125,Demográfico!A$2:L$405,12,FALSE)</f>
        <v>75.861948176203043</v>
      </c>
      <c r="G125" s="172">
        <f>VLOOKUP(A125,Socioeconômico!A$2:M$405,13,FALSE)</f>
        <v>44.525864531590216</v>
      </c>
      <c r="H125" s="173">
        <f>(2*E125+F125+2*G125)/5/100</f>
        <v>0.56050445718015907</v>
      </c>
      <c r="I125" s="170">
        <f>VLOOKUP(A125,Resultados!A$2:B523,2,FALSE)</f>
        <v>0</v>
      </c>
      <c r="J125" s="5">
        <f>IFERROR(VLOOKUP(A125,Demográfico!A$2:E$400,5,FALSE)/(VLOOKUP(C125,Metodologia!A$2:G$9,7,FALSE))*D125,0)</f>
        <v>0.24541478945978804</v>
      </c>
      <c r="K125" s="72">
        <f>(J125*(1+H125)-I125)</f>
        <v>0.38297087280992953</v>
      </c>
      <c r="L125" s="3">
        <v>1</v>
      </c>
      <c r="M125" s="66">
        <f>VLOOKUP(A125,Demográfico!A$2:E$400,5,FALSE)*H125</f>
        <v>1204.5240784801617</v>
      </c>
      <c r="N125" s="68">
        <f>IFERROR(FLOOR(K125,1),0)</f>
        <v>0</v>
      </c>
      <c r="O125" s="68">
        <f>K125-N125</f>
        <v>0.38297087280992953</v>
      </c>
      <c r="P125" s="65">
        <f>IFERROR(RANK(O125,O$2:O$400,0),0)</f>
        <v>96</v>
      </c>
      <c r="Q125" s="3">
        <f>N125+IF(P125&lt;P$1,1,0)</f>
        <v>1</v>
      </c>
      <c r="S125" s="65">
        <f>VLOOKUP(A125,Demográfico!A$2:E$400,5,FALSE)*(H125)</f>
        <v>1204.5240784801617</v>
      </c>
      <c r="T125" s="79">
        <f>IFERROR(D125/D125,0)</f>
        <v>1</v>
      </c>
      <c r="U125" s="65">
        <f t="shared" si="1"/>
        <v>1204.5240784801617</v>
      </c>
    </row>
    <row r="126" spans="1:21" ht="19.5" x14ac:dyDescent="0.25">
      <c r="A126" s="2" t="s">
        <v>130</v>
      </c>
      <c r="B126" s="168">
        <v>14973</v>
      </c>
      <c r="C126" s="169" t="str" cm="1">
        <f t="array" ref="C126">_xlfn.IFS(B126&lt;5000, "P1",B126&lt;20000, "P2",B126&lt;70000, "P3",B126&lt;100000, "P4",B126&lt;200000,"M1",B126&lt;500000,"M2",B126&lt;1000000,"G1",B126&gt;1000000,"G2")</f>
        <v>P2</v>
      </c>
      <c r="D126" s="170">
        <f>VLOOKUP(C126,Metodologia!A$2:H$9,8,FALSE)</f>
        <v>32.634342822133917</v>
      </c>
      <c r="E126" s="171">
        <f>VLOOKUP(A126,Educacional!A$2:P$405,16,FALSE)</f>
        <v>67.133926153868103</v>
      </c>
      <c r="F126" s="171">
        <f>VLOOKUP(A126,Demográfico!A$2:L$405,12,FALSE)</f>
        <v>54.097368067605615</v>
      </c>
      <c r="G126" s="172">
        <f>VLOOKUP(A126,Socioeconômico!A$2:M$405,13,FALSE)</f>
        <v>41.48071404521729</v>
      </c>
      <c r="H126" s="173">
        <f>(2*E126+F126+2*G126)/5/100</f>
        <v>0.54265329693155284</v>
      </c>
      <c r="I126" s="170">
        <f>VLOOKUP(A126,Resultados!A$2:B524,2,FALSE)</f>
        <v>0</v>
      </c>
      <c r="J126" s="5">
        <f>IFERROR(VLOOKUP(A126,Demográfico!A$2:E$400,5,FALSE)/(VLOOKUP(C126,Metodologia!A$2:G$9,7,FALSE))*D126,0)</f>
        <v>0.25592114619794554</v>
      </c>
      <c r="K126" s="72">
        <f>(J126*(1+H126)-I126)</f>
        <v>0.39479759993676261</v>
      </c>
      <c r="L126" s="3">
        <v>1</v>
      </c>
      <c r="M126" s="66">
        <f>VLOOKUP(A126,Demográfico!A$2:E$400,5,FALSE)*H126</f>
        <v>1216.0860384236098</v>
      </c>
      <c r="N126" s="68">
        <f>IFERROR(FLOOR(K126,1),0)</f>
        <v>0</v>
      </c>
      <c r="O126" s="68">
        <f>K126-N126</f>
        <v>0.39479759993676261</v>
      </c>
      <c r="P126" s="65">
        <f>IFERROR(RANK(O126,O$2:O$400,0),0)</f>
        <v>91</v>
      </c>
      <c r="Q126" s="3">
        <f>N126+IF(P126&lt;P$1,1,0)</f>
        <v>1</v>
      </c>
      <c r="S126" s="65">
        <f>VLOOKUP(A126,Demográfico!A$2:E$400,5,FALSE)*(H126)</f>
        <v>1216.0860384236098</v>
      </c>
      <c r="T126" s="79">
        <f>IFERROR(D126/D126,0)</f>
        <v>1</v>
      </c>
      <c r="U126" s="65">
        <f t="shared" si="1"/>
        <v>1216.0860384236098</v>
      </c>
    </row>
    <row r="127" spans="1:21" ht="19.5" x14ac:dyDescent="0.25">
      <c r="A127" s="2" t="s">
        <v>131</v>
      </c>
      <c r="B127" s="168">
        <v>14842</v>
      </c>
      <c r="C127" s="169" t="str" cm="1">
        <f t="array" ref="C127">_xlfn.IFS(B127&lt;5000, "P1",B127&lt;20000, "P2",B127&lt;70000, "P3",B127&lt;100000, "P4",B127&lt;200000,"M1",B127&lt;500000,"M2",B127&lt;1000000,"G1",B127&gt;1000000,"G2")</f>
        <v>P2</v>
      </c>
      <c r="D127" s="170">
        <f>VLOOKUP(C127,Metodologia!A$2:H$9,8,FALSE)</f>
        <v>32.634342822133917</v>
      </c>
      <c r="E127" s="171">
        <f>VLOOKUP(A127,Educacional!A$2:P$405,16,FALSE)</f>
        <v>45.18658035762985</v>
      </c>
      <c r="F127" s="171">
        <f>VLOOKUP(A127,Demográfico!A$2:L$405,12,FALSE)</f>
        <v>37.957031779853402</v>
      </c>
      <c r="G127" s="172">
        <f>VLOOKUP(A127,Socioeconômico!A$2:M$405,13,FALSE)</f>
        <v>44.422657794931638</v>
      </c>
      <c r="H127" s="173">
        <f>(2*E127+F127+2*G127)/5/100</f>
        <v>0.43435101616995275</v>
      </c>
      <c r="I127" s="170">
        <f>VLOOKUP(A127,Resultados!A$2:B525,2,FALSE)</f>
        <v>0</v>
      </c>
      <c r="J127" s="5">
        <f>IFERROR(VLOOKUP(A127,Demográfico!A$2:E$400,5,FALSE)/(VLOOKUP(C127,Metodologia!A$2:G$9,7,FALSE))*D127,0)</f>
        <v>0.23068305012041501</v>
      </c>
      <c r="K127" s="72">
        <f>(J127*(1+H127)-I127)</f>
        <v>0.33088046735340143</v>
      </c>
      <c r="L127" s="3">
        <v>1</v>
      </c>
      <c r="M127" s="66">
        <f>VLOOKUP(A127,Demográfico!A$2:E$400,5,FALSE)*H127</f>
        <v>877.3890526633046</v>
      </c>
      <c r="N127" s="68">
        <f>IFERROR(FLOOR(K127,1),0)</f>
        <v>0</v>
      </c>
      <c r="O127" s="68">
        <f>K127-N127</f>
        <v>0.33088046735340143</v>
      </c>
      <c r="P127" s="65">
        <f>IFERROR(RANK(O127,O$2:O$400,0),0)</f>
        <v>123</v>
      </c>
      <c r="Q127" s="3">
        <f>N127+IF(P127&lt;P$1,1,0)</f>
        <v>0</v>
      </c>
      <c r="S127" s="65">
        <f>VLOOKUP(A127,Demográfico!A$2:E$400,5,FALSE)*(H127)</f>
        <v>877.3890526633046</v>
      </c>
      <c r="T127" s="79">
        <f>IFERROR(D127/D127,0)</f>
        <v>1</v>
      </c>
      <c r="U127" s="65">
        <f t="shared" si="1"/>
        <v>877.3890526633046</v>
      </c>
    </row>
    <row r="128" spans="1:21" ht="19.5" x14ac:dyDescent="0.25">
      <c r="A128" s="2" t="s">
        <v>132</v>
      </c>
      <c r="B128" s="168">
        <v>14833</v>
      </c>
      <c r="C128" s="169" t="str" cm="1">
        <f t="array" ref="C128">_xlfn.IFS(B128&lt;5000, "P1",B128&lt;20000, "P2",B128&lt;70000, "P3",B128&lt;100000, "P4",B128&lt;200000,"M1",B128&lt;500000,"M2",B128&lt;1000000,"G1",B128&gt;1000000,"G2")</f>
        <v>P2</v>
      </c>
      <c r="D128" s="170">
        <f>VLOOKUP(C128,Metodologia!A$2:H$9,8,FALSE)</f>
        <v>32.634342822133917</v>
      </c>
      <c r="E128" s="171">
        <f>VLOOKUP(A128,Educacional!A$2:P$405,16,FALSE)</f>
        <v>62.607825957132398</v>
      </c>
      <c r="F128" s="171">
        <f>VLOOKUP(A128,Demográfico!A$2:L$405,12,FALSE)</f>
        <v>46.732552374869812</v>
      </c>
      <c r="G128" s="172">
        <f>VLOOKUP(A128,Socioeconômico!A$2:M$405,13,FALSE)</f>
        <v>52.13442258931876</v>
      </c>
      <c r="H128" s="173">
        <f>(2*E128+F128+2*G128)/5/100</f>
        <v>0.55243409893554418</v>
      </c>
      <c r="I128" s="170">
        <f>VLOOKUP(A128,Resultados!A$2:B526,2,FALSE)</f>
        <v>0</v>
      </c>
      <c r="J128" s="5">
        <f>IFERROR(VLOOKUP(A128,Demográfico!A$2:E$400,5,FALSE)/(VLOOKUP(C128,Metodologia!A$2:G$9,7,FALSE))*D128,0)</f>
        <v>0.2063585502809851</v>
      </c>
      <c r="K128" s="72">
        <f>(J128*(1+H128)-I128)</f>
        <v>0.32035805006310625</v>
      </c>
      <c r="L128" s="3">
        <v>1</v>
      </c>
      <c r="M128" s="66">
        <f>VLOOKUP(A128,Demográfico!A$2:E$400,5,FALSE)*H128</f>
        <v>998.2484167765283</v>
      </c>
      <c r="N128" s="68">
        <f>IFERROR(FLOOR(K128,1),0)</f>
        <v>0</v>
      </c>
      <c r="O128" s="68">
        <f>K128-N128</f>
        <v>0.32035805006310625</v>
      </c>
      <c r="P128" s="65">
        <f>IFERROR(RANK(O128,O$2:O$400,0),0)</f>
        <v>132</v>
      </c>
      <c r="Q128" s="3">
        <f>N128+IF(P128&lt;P$1,1,0)</f>
        <v>0</v>
      </c>
      <c r="S128" s="65">
        <f>VLOOKUP(A128,Demográfico!A$2:E$400,5,FALSE)*(H128)</f>
        <v>998.2484167765283</v>
      </c>
      <c r="T128" s="79">
        <f>IFERROR(D128/D128,0)</f>
        <v>1</v>
      </c>
      <c r="U128" s="65">
        <f t="shared" si="1"/>
        <v>998.2484167765283</v>
      </c>
    </row>
    <row r="129" spans="1:21" ht="19.5" x14ac:dyDescent="0.25">
      <c r="A129" s="2" t="s">
        <v>133</v>
      </c>
      <c r="B129" s="168">
        <v>14648</v>
      </c>
      <c r="C129" s="169" t="str" cm="1">
        <f t="array" ref="C129">_xlfn.IFS(B129&lt;5000, "P1",B129&lt;20000, "P2",B129&lt;70000, "P3",B129&lt;100000, "P4",B129&lt;200000,"M1",B129&lt;500000,"M2",B129&lt;1000000,"G1",B129&gt;1000000,"G2")</f>
        <v>P2</v>
      </c>
      <c r="D129" s="170">
        <f>VLOOKUP(C129,Metodologia!A$2:H$9,8,FALSE)</f>
        <v>32.634342822133917</v>
      </c>
      <c r="E129" s="171">
        <f>VLOOKUP(A129,Educacional!A$2:P$405,16,FALSE)</f>
        <v>53.912189099391064</v>
      </c>
      <c r="F129" s="171">
        <f>VLOOKUP(A129,Demográfico!A$2:L$405,12,FALSE)</f>
        <v>59.061937297167297</v>
      </c>
      <c r="G129" s="172">
        <f>VLOOKUP(A129,Socioeconômico!A$2:M$405,13,FALSE)</f>
        <v>44.724748254365814</v>
      </c>
      <c r="H129" s="173">
        <f>(2*E129+F129+2*G129)/5/100</f>
        <v>0.51267162400936206</v>
      </c>
      <c r="I129" s="170">
        <f>VLOOKUP(A129,Resultados!A$2:B527,2,FALSE)</f>
        <v>0</v>
      </c>
      <c r="J129" s="5">
        <f>IFERROR(VLOOKUP(A129,Demográfico!A$2:E$400,5,FALSE)/(VLOOKUP(C129,Metodologia!A$2:G$9,7,FALSE))*D129,0)</f>
        <v>0.22097609009059554</v>
      </c>
      <c r="K129" s="72">
        <f>(J129*(1+H129)-I129)</f>
        <v>0.33426426106458024</v>
      </c>
      <c r="L129" s="3">
        <v>1</v>
      </c>
      <c r="M129" s="66">
        <f>VLOOKUP(A129,Demográfico!A$2:E$400,5,FALSE)*H129</f>
        <v>992.01959245811554</v>
      </c>
      <c r="N129" s="68">
        <f>IFERROR(FLOOR(K129,1),0)</f>
        <v>0</v>
      </c>
      <c r="O129" s="68">
        <f>K129-N129</f>
        <v>0.33426426106458024</v>
      </c>
      <c r="P129" s="65">
        <f>IFERROR(RANK(O129,O$2:O$400,0),0)</f>
        <v>122</v>
      </c>
      <c r="Q129" s="3">
        <f>N129+IF(P129&lt;P$1,1,0)</f>
        <v>0</v>
      </c>
      <c r="S129" s="65">
        <f>VLOOKUP(A129,Demográfico!A$2:E$400,5,FALSE)*(H129)</f>
        <v>992.01959245811554</v>
      </c>
      <c r="T129" s="79">
        <f>IFERROR(D129/D129,0)</f>
        <v>1</v>
      </c>
      <c r="U129" s="65">
        <f t="shared" si="1"/>
        <v>992.01959245811554</v>
      </c>
    </row>
    <row r="130" spans="1:21" ht="19.5" x14ac:dyDescent="0.25">
      <c r="A130" s="2" t="s">
        <v>134</v>
      </c>
      <c r="B130" s="168">
        <v>14514</v>
      </c>
      <c r="C130" s="169" t="str" cm="1">
        <f t="array" ref="C130">_xlfn.IFS(B130&lt;5000, "P1",B130&lt;20000, "P2",B130&lt;70000, "P3",B130&lt;100000, "P4",B130&lt;200000,"M1",B130&lt;500000,"M2",B130&lt;1000000,"G1",B130&gt;1000000,"G2")</f>
        <v>P2</v>
      </c>
      <c r="D130" s="170">
        <f>VLOOKUP(C130,Metodologia!A$2:H$9,8,FALSE)</f>
        <v>32.634342822133917</v>
      </c>
      <c r="E130" s="171">
        <f>VLOOKUP(A130,Educacional!A$2:P$405,16,FALSE)</f>
        <v>69.836395690855525</v>
      </c>
      <c r="F130" s="171">
        <f>VLOOKUP(A130,Demográfico!A$2:L$405,12,FALSE)</f>
        <v>39.178180058778047</v>
      </c>
      <c r="G130" s="172">
        <f>VLOOKUP(A130,Socioeconômico!A$2:M$405,13,FALSE)</f>
        <v>54.699697974031544</v>
      </c>
      <c r="H130" s="173">
        <f>(2*E130+F130+2*G130)/5/100</f>
        <v>0.5765007347771044</v>
      </c>
      <c r="I130" s="170">
        <f>VLOOKUP(A130,Resultados!A$2:B528,2,FALSE)</f>
        <v>0</v>
      </c>
      <c r="J130" s="5">
        <f>IFERROR(VLOOKUP(A130,Demográfico!A$2:E$400,5,FALSE)/(VLOOKUP(C130,Metodologia!A$2:G$9,7,FALSE))*D130,0)</f>
        <v>0.22291748209655943</v>
      </c>
      <c r="K130" s="72">
        <f>(J130*(1+H130)-I130)</f>
        <v>0.35142957431988792</v>
      </c>
      <c r="L130" s="3">
        <v>1</v>
      </c>
      <c r="M130" s="66">
        <f>VLOOKUP(A130,Demográfico!A$2:E$400,5,FALSE)*H130</f>
        <v>1125.3294342849078</v>
      </c>
      <c r="N130" s="68">
        <f>IFERROR(FLOOR(K130,1),0)</f>
        <v>0</v>
      </c>
      <c r="O130" s="68">
        <f>K130-N130</f>
        <v>0.35142957431988792</v>
      </c>
      <c r="P130" s="65">
        <f>IFERROR(RANK(O130,O$2:O$400,0),0)</f>
        <v>112</v>
      </c>
      <c r="Q130" s="3">
        <f>N130+IF(P130&lt;P$1,1,0)</f>
        <v>0</v>
      </c>
      <c r="S130" s="65">
        <f>VLOOKUP(A130,Demográfico!A$2:E$400,5,FALSE)*(H130)</f>
        <v>1125.3294342849078</v>
      </c>
      <c r="T130" s="79">
        <f>IFERROR(D130/D130,0)</f>
        <v>1</v>
      </c>
      <c r="U130" s="65">
        <f t="shared" si="1"/>
        <v>1125.3294342849078</v>
      </c>
    </row>
    <row r="131" spans="1:21" ht="19.5" x14ac:dyDescent="0.25">
      <c r="A131" s="2" t="s">
        <v>135</v>
      </c>
      <c r="B131" s="168">
        <v>14485</v>
      </c>
      <c r="C131" s="169" t="str" cm="1">
        <f t="array" ref="C131">_xlfn.IFS(B131&lt;5000, "P1",B131&lt;20000, "P2",B131&lt;70000, "P3",B131&lt;100000, "P4",B131&lt;200000,"M1",B131&lt;500000,"M2",B131&lt;1000000,"G1",B131&gt;1000000,"G2")</f>
        <v>P2</v>
      </c>
      <c r="D131" s="170">
        <f>VLOOKUP(C131,Metodologia!A$2:H$9,8,FALSE)</f>
        <v>32.634342822133917</v>
      </c>
      <c r="E131" s="171">
        <f>VLOOKUP(A131,Educacional!A$2:P$405,16,FALSE)</f>
        <v>69.335597529059172</v>
      </c>
      <c r="F131" s="171">
        <f>VLOOKUP(A131,Demográfico!A$2:L$405,12,FALSE)</f>
        <v>35.702608935150124</v>
      </c>
      <c r="G131" s="172">
        <f>VLOOKUP(A131,Socioeconômico!A$2:M$405,13,FALSE)</f>
        <v>37.293680844142777</v>
      </c>
      <c r="H131" s="173">
        <f>(2*E131+F131+2*G131)/5/100</f>
        <v>0.49792233136310798</v>
      </c>
      <c r="I131" s="170">
        <f>VLOOKUP(A131,Resultados!A$2:B529,2,FALSE)</f>
        <v>0</v>
      </c>
      <c r="J131" s="5">
        <f>IFERROR(VLOOKUP(A131,Demográfico!A$2:E$400,5,FALSE)/(VLOOKUP(C131,Metodologia!A$2:G$9,7,FALSE))*D131,0)</f>
        <v>0.2106981324119632</v>
      </c>
      <c r="K131" s="72">
        <f>(J131*(1+H131)-I131)</f>
        <v>0.31560943771638073</v>
      </c>
      <c r="L131" s="3">
        <v>1</v>
      </c>
      <c r="M131" s="66">
        <f>VLOOKUP(A131,Demográfico!A$2:E$400,5,FALSE)*H131</f>
        <v>918.66670136493428</v>
      </c>
      <c r="N131" s="68">
        <f>IFERROR(FLOOR(K131,1),0)</f>
        <v>0</v>
      </c>
      <c r="O131" s="68">
        <f>K131-N131</f>
        <v>0.31560943771638073</v>
      </c>
      <c r="P131" s="65">
        <f>IFERROR(RANK(O131,O$2:O$400,0),0)</f>
        <v>135</v>
      </c>
      <c r="Q131" s="3">
        <f>N131+IF(P131&lt;P$1,1,0)</f>
        <v>0</v>
      </c>
      <c r="S131" s="65">
        <f>VLOOKUP(A131,Demográfico!A$2:E$400,5,FALSE)*(H131)</f>
        <v>918.66670136493428</v>
      </c>
      <c r="T131" s="79">
        <f>IFERROR(D131/D131,0)</f>
        <v>1</v>
      </c>
      <c r="U131" s="65">
        <f t="shared" ref="U131:U194" si="2">S131*T131</f>
        <v>918.66670136493428</v>
      </c>
    </row>
    <row r="132" spans="1:21" ht="19.5" x14ac:dyDescent="0.25">
      <c r="A132" s="2" t="s">
        <v>136</v>
      </c>
      <c r="B132" s="168">
        <v>14374</v>
      </c>
      <c r="C132" s="169" t="str" cm="1">
        <f t="array" ref="C132">_xlfn.IFS(B132&lt;5000, "P1",B132&lt;20000, "P2",B132&lt;70000, "P3",B132&lt;100000, "P4",B132&lt;200000,"M1",B132&lt;500000,"M2",B132&lt;1000000,"G1",B132&gt;1000000,"G2")</f>
        <v>P2</v>
      </c>
      <c r="D132" s="170">
        <f>VLOOKUP(C132,Metodologia!A$2:H$9,8,FALSE)</f>
        <v>32.634342822133917</v>
      </c>
      <c r="E132" s="171">
        <f>VLOOKUP(A132,Educacional!A$2:P$405,16,FALSE)</f>
        <v>56.586333224003212</v>
      </c>
      <c r="F132" s="171">
        <f>VLOOKUP(A132,Demográfico!A$2:L$405,12,FALSE)</f>
        <v>38.138050965098664</v>
      </c>
      <c r="G132" s="172">
        <f>VLOOKUP(A132,Socioeconômico!A$2:M$405,13,FALSE)</f>
        <v>34.393425945179914</v>
      </c>
      <c r="H132" s="173">
        <f>(2*E132+F132+2*G132)/5/100</f>
        <v>0.44019513860692983</v>
      </c>
      <c r="I132" s="170">
        <f>VLOOKUP(A132,Resultados!A$2:B530,2,FALSE)</f>
        <v>0</v>
      </c>
      <c r="J132" s="5">
        <f>IFERROR(VLOOKUP(A132,Demográfico!A$2:E$400,5,FALSE)/(VLOOKUP(C132,Metodologia!A$2:G$9,7,FALSE))*D132,0)</f>
        <v>0.17929326172725324</v>
      </c>
      <c r="K132" s="72">
        <f>(J132*(1+H132)-I132)</f>
        <v>0.25821728392457005</v>
      </c>
      <c r="L132" s="3">
        <v>1</v>
      </c>
      <c r="M132" s="66">
        <f>VLOOKUP(A132,Demográfico!A$2:E$400,5,FALSE)*H132</f>
        <v>691.10636761287981</v>
      </c>
      <c r="N132" s="68">
        <f>IFERROR(FLOOR(K132,1),0)</f>
        <v>0</v>
      </c>
      <c r="O132" s="68">
        <f>K132-N132</f>
        <v>0.25821728392457005</v>
      </c>
      <c r="P132" s="65">
        <f>IFERROR(RANK(O132,O$2:O$400,0),0)</f>
        <v>160</v>
      </c>
      <c r="Q132" s="3">
        <f>N132+IF(P132&lt;P$1,1,0)</f>
        <v>0</v>
      </c>
      <c r="S132" s="65">
        <f>VLOOKUP(A132,Demográfico!A$2:E$400,5,FALSE)*(H132)</f>
        <v>691.10636761287981</v>
      </c>
      <c r="T132" s="79">
        <f>IFERROR(D132/D132,0)</f>
        <v>1</v>
      </c>
      <c r="U132" s="65">
        <f t="shared" si="2"/>
        <v>691.10636761287981</v>
      </c>
    </row>
    <row r="133" spans="1:21" ht="19.5" x14ac:dyDescent="0.25">
      <c r="A133" s="2" t="s">
        <v>137</v>
      </c>
      <c r="B133" s="168">
        <v>14249</v>
      </c>
      <c r="C133" s="169" t="str" cm="1">
        <f t="array" ref="C133">_xlfn.IFS(B133&lt;5000, "P1",B133&lt;20000, "P2",B133&lt;70000, "P3",B133&lt;100000, "P4",B133&lt;200000,"M1",B133&lt;500000,"M2",B133&lt;1000000,"G1",B133&gt;1000000,"G2")</f>
        <v>P2</v>
      </c>
      <c r="D133" s="170">
        <f>VLOOKUP(C133,Metodologia!A$2:H$9,8,FALSE)</f>
        <v>32.634342822133917</v>
      </c>
      <c r="E133" s="171">
        <f>VLOOKUP(A133,Educacional!A$2:P$405,16,FALSE)</f>
        <v>88.18218666037005</v>
      </c>
      <c r="F133" s="171">
        <f>VLOOKUP(A133,Demográfico!A$2:L$405,12,FALSE)</f>
        <v>51.708103173250244</v>
      </c>
      <c r="G133" s="172">
        <f>VLOOKUP(A133,Socioeconômico!A$2:M$405,13,FALSE)</f>
        <v>45.183710271129932</v>
      </c>
      <c r="H133" s="173">
        <f>(2*E133+F133+2*G133)/5/100</f>
        <v>0.63687979407250039</v>
      </c>
      <c r="I133" s="170">
        <f>VLOOKUP(A133,Resultados!A$2:B531,2,FALSE)</f>
        <v>1</v>
      </c>
      <c r="J133" s="5">
        <f>IFERROR(VLOOKUP(A133,Demográfico!A$2:E$400,5,FALSE)/(VLOOKUP(C133,Metodologia!A$2:G$9,7,FALSE))*D133,0)</f>
        <v>0.24290239980501124</v>
      </c>
      <c r="K133" s="72">
        <f>(J133*(1+H133)-I133)</f>
        <v>-0.60239796982745708</v>
      </c>
      <c r="L133" s="3">
        <v>1</v>
      </c>
      <c r="M133" s="66">
        <f>VLOOKUP(A133,Demográfico!A$2:E$400,5,FALSE)*H133</f>
        <v>1354.6433219922083</v>
      </c>
      <c r="N133" s="68">
        <f>IFERROR(FLOOR(K133,1),0)</f>
        <v>-1</v>
      </c>
      <c r="O133" s="68">
        <f>K133-N133</f>
        <v>0.39760203017254292</v>
      </c>
      <c r="P133" s="65">
        <f>IFERROR(RANK(O133,O$2:O$400,0),0)</f>
        <v>88</v>
      </c>
      <c r="Q133" s="3">
        <f>N133+IF(P133&lt;P$1,1,0)</f>
        <v>0</v>
      </c>
      <c r="S133" s="65">
        <f>VLOOKUP(A133,Demográfico!A$2:E$400,5,FALSE)*(H133)</f>
        <v>1354.6433219922083</v>
      </c>
      <c r="T133" s="79">
        <f>IFERROR(D133/D133,0)</f>
        <v>1</v>
      </c>
      <c r="U133" s="65">
        <f t="shared" si="2"/>
        <v>1354.6433219922083</v>
      </c>
    </row>
    <row r="134" spans="1:21" ht="19.5" x14ac:dyDescent="0.25">
      <c r="A134" s="2" t="s">
        <v>138</v>
      </c>
      <c r="B134" s="168">
        <v>14240</v>
      </c>
      <c r="C134" s="169" t="str" cm="1">
        <f t="array" ref="C134">_xlfn.IFS(B134&lt;5000, "P1",B134&lt;20000, "P2",B134&lt;70000, "P3",B134&lt;100000, "P4",B134&lt;200000,"M1",B134&lt;500000,"M2",B134&lt;1000000,"G1",B134&gt;1000000,"G2")</f>
        <v>P2</v>
      </c>
      <c r="D134" s="170">
        <f>VLOOKUP(C134,Metodologia!A$2:H$9,8,FALSE)</f>
        <v>32.634342822133917</v>
      </c>
      <c r="E134" s="171">
        <f>VLOOKUP(A134,Educacional!A$2:P$405,16,FALSE)</f>
        <v>62.134539478191478</v>
      </c>
      <c r="F134" s="171">
        <f>VLOOKUP(A134,Demográfico!A$2:L$405,12,FALSE)</f>
        <v>52.334237681766062</v>
      </c>
      <c r="G134" s="172">
        <f>VLOOKUP(A134,Socioeconômico!A$2:M$405,13,FALSE)</f>
        <v>45.732663768807882</v>
      </c>
      <c r="H134" s="173">
        <f>(2*E134+F134+2*G134)/5/100</f>
        <v>0.53613728835152963</v>
      </c>
      <c r="I134" s="170">
        <f>VLOOKUP(A134,Resultados!A$2:B532,2,FALSE)</f>
        <v>1</v>
      </c>
      <c r="J134" s="5">
        <f>IFERROR(VLOOKUP(A134,Demográfico!A$2:E$400,5,FALSE)/(VLOOKUP(C134,Metodologia!A$2:G$9,7,FALSE))*D134,0)</f>
        <v>0.24358759698358673</v>
      </c>
      <c r="K134" s="72">
        <f>(J134*(1+H134)-I134)</f>
        <v>-0.62581600929356784</v>
      </c>
      <c r="L134" s="3">
        <v>1</v>
      </c>
      <c r="M134" s="66">
        <f>VLOOKUP(A134,Demográfico!A$2:E$400,5,FALSE)*H134</f>
        <v>1143.5808360538126</v>
      </c>
      <c r="N134" s="68">
        <f>IFERROR(FLOOR(K134,1),0)</f>
        <v>-1</v>
      </c>
      <c r="O134" s="68">
        <f>K134-N134</f>
        <v>0.37418399070643216</v>
      </c>
      <c r="P134" s="65">
        <f>IFERROR(RANK(O134,O$2:O$400,0),0)</f>
        <v>102</v>
      </c>
      <c r="Q134" s="3">
        <f>N134+IF(P134&lt;P$1,1,0)</f>
        <v>0</v>
      </c>
      <c r="S134" s="65">
        <f>VLOOKUP(A134,Demográfico!A$2:E$400,5,FALSE)*(H134)</f>
        <v>1143.5808360538126</v>
      </c>
      <c r="T134" s="79">
        <f>IFERROR(D134/D134,0)</f>
        <v>1</v>
      </c>
      <c r="U134" s="65">
        <f t="shared" si="2"/>
        <v>1143.5808360538126</v>
      </c>
    </row>
    <row r="135" spans="1:21" ht="19.5" x14ac:dyDescent="0.25">
      <c r="A135" s="2" t="s">
        <v>139</v>
      </c>
      <c r="B135" s="168">
        <v>14231</v>
      </c>
      <c r="C135" s="169" t="str" cm="1">
        <f t="array" ref="C135">_xlfn.IFS(B135&lt;5000, "P1",B135&lt;20000, "P2",B135&lt;70000, "P3",B135&lt;100000, "P4",B135&lt;200000,"M1",B135&lt;500000,"M2",B135&lt;1000000,"G1",B135&gt;1000000,"G2")</f>
        <v>P2</v>
      </c>
      <c r="D135" s="170">
        <f>VLOOKUP(C135,Metodologia!A$2:H$9,8,FALSE)</f>
        <v>32.634342822133917</v>
      </c>
      <c r="E135" s="171">
        <f>VLOOKUP(A135,Educacional!A$2:P$405,16,FALSE)</f>
        <v>58.116326187521892</v>
      </c>
      <c r="F135" s="171">
        <f>VLOOKUP(A135,Demográfico!A$2:L$405,12,FALSE)</f>
        <v>47.308324868155808</v>
      </c>
      <c r="G135" s="172">
        <f>VLOOKUP(A135,Socioeconômico!A$2:M$405,13,FALSE)</f>
        <v>39.446498252455036</v>
      </c>
      <c r="H135" s="173">
        <f>(2*E135+F135+2*G135)/5/100</f>
        <v>0.48486794749621936</v>
      </c>
      <c r="I135" s="170">
        <f>VLOOKUP(A135,Resultados!A$2:B533,2,FALSE)</f>
        <v>0</v>
      </c>
      <c r="J135" s="5">
        <f>IFERROR(VLOOKUP(A135,Demográfico!A$2:E$400,5,FALSE)/(VLOOKUP(C135,Metodologia!A$2:G$9,7,FALSE))*D135,0)</f>
        <v>0.23650722613830666</v>
      </c>
      <c r="K135" s="72">
        <f>(J135*(1+H135)-I135)</f>
        <v>0.35118199944401163</v>
      </c>
      <c r="L135" s="3">
        <v>1</v>
      </c>
      <c r="M135" s="66">
        <f>VLOOKUP(A135,Demográfico!A$2:E$400,5,FALSE)*H135</f>
        <v>1004.1615192646703</v>
      </c>
      <c r="N135" s="68">
        <f>IFERROR(FLOOR(K135,1),0)</f>
        <v>0</v>
      </c>
      <c r="O135" s="68">
        <f>K135-N135</f>
        <v>0.35118199944401163</v>
      </c>
      <c r="P135" s="65">
        <f>IFERROR(RANK(O135,O$2:O$400,0),0)</f>
        <v>113</v>
      </c>
      <c r="Q135" s="3">
        <f>N135+IF(P135&lt;P$1,1,0)</f>
        <v>0</v>
      </c>
      <c r="S135" s="65">
        <f>VLOOKUP(A135,Demográfico!A$2:E$400,5,FALSE)*(H135)</f>
        <v>1004.1615192646703</v>
      </c>
      <c r="T135" s="79">
        <f>IFERROR(D135/D135,0)</f>
        <v>1</v>
      </c>
      <c r="U135" s="65">
        <f t="shared" si="2"/>
        <v>1004.1615192646703</v>
      </c>
    </row>
    <row r="136" spans="1:21" ht="19.5" x14ac:dyDescent="0.25">
      <c r="A136" s="2" t="s">
        <v>140</v>
      </c>
      <c r="B136" s="168">
        <v>14142</v>
      </c>
      <c r="C136" s="169" t="str" cm="1">
        <f t="array" ref="C136">_xlfn.IFS(B136&lt;5000, "P1",B136&lt;20000, "P2",B136&lt;70000, "P3",B136&lt;100000, "P4",B136&lt;200000,"M1",B136&lt;500000,"M2",B136&lt;1000000,"G1",B136&gt;1000000,"G2")</f>
        <v>P2</v>
      </c>
      <c r="D136" s="170">
        <f>VLOOKUP(C136,Metodologia!A$2:H$9,8,FALSE)</f>
        <v>32.634342822133917</v>
      </c>
      <c r="E136" s="171">
        <f>VLOOKUP(A136,Educacional!A$2:P$405,16,FALSE)</f>
        <v>73.44265641253574</v>
      </c>
      <c r="F136" s="171">
        <f>VLOOKUP(A136,Demográfico!A$2:L$405,12,FALSE)</f>
        <v>56.062698047165647</v>
      </c>
      <c r="G136" s="172">
        <f>VLOOKUP(A136,Socioeconômico!A$2:M$405,13,FALSE)</f>
        <v>40.994896150046209</v>
      </c>
      <c r="H136" s="173">
        <f>(2*E136+F136+2*G136)/5/100</f>
        <v>0.56987560634465906</v>
      </c>
      <c r="I136" s="170">
        <f>VLOOKUP(A136,Resultados!A$2:B534,2,FALSE)</f>
        <v>0</v>
      </c>
      <c r="J136" s="5">
        <f>IFERROR(VLOOKUP(A136,Demográfico!A$2:E$400,5,FALSE)/(VLOOKUP(C136,Metodologia!A$2:G$9,7,FALSE))*D136,0)</f>
        <v>0.2282848599954008</v>
      </c>
      <c r="K136" s="72">
        <f>(J136*(1+H136)-I136)</f>
        <v>0.35837883300458545</v>
      </c>
      <c r="L136" s="3">
        <v>1</v>
      </c>
      <c r="M136" s="66">
        <f>VLOOKUP(A136,Demográfico!A$2:E$400,5,FALSE)*H136</f>
        <v>1139.1813370829734</v>
      </c>
      <c r="N136" s="68">
        <f>IFERROR(FLOOR(K136,1),0)</f>
        <v>0</v>
      </c>
      <c r="O136" s="68">
        <f>K136-N136</f>
        <v>0.35837883300458545</v>
      </c>
      <c r="P136" s="65">
        <f>IFERROR(RANK(O136,O$2:O$400,0),0)</f>
        <v>108</v>
      </c>
      <c r="Q136" s="3">
        <f>N136+IF(P136&lt;P$1,1,0)</f>
        <v>1</v>
      </c>
      <c r="S136" s="65">
        <f>VLOOKUP(A136,Demográfico!A$2:E$400,5,FALSE)*(H136)</f>
        <v>1139.1813370829734</v>
      </c>
      <c r="T136" s="79">
        <f>IFERROR(D136/D136,0)</f>
        <v>1</v>
      </c>
      <c r="U136" s="65">
        <f t="shared" si="2"/>
        <v>1139.1813370829734</v>
      </c>
    </row>
    <row r="137" spans="1:21" ht="19.5" x14ac:dyDescent="0.25">
      <c r="A137" s="2" t="s">
        <v>141</v>
      </c>
      <c r="B137" s="168">
        <v>14070</v>
      </c>
      <c r="C137" s="169" t="str" cm="1">
        <f t="array" ref="C137">_xlfn.IFS(B137&lt;5000, "P1",B137&lt;20000, "P2",B137&lt;70000, "P3",B137&lt;100000, "P4",B137&lt;200000,"M1",B137&lt;500000,"M2",B137&lt;1000000,"G1",B137&gt;1000000,"G2")</f>
        <v>P2</v>
      </c>
      <c r="D137" s="170">
        <f>VLOOKUP(C137,Metodologia!A$2:H$9,8,FALSE)</f>
        <v>32.634342822133917</v>
      </c>
      <c r="E137" s="171">
        <f>VLOOKUP(A137,Educacional!A$2:P$405,16,FALSE)</f>
        <v>63.901374730021054</v>
      </c>
      <c r="F137" s="171">
        <f>VLOOKUP(A137,Demográfico!A$2:L$405,12,FALSE)</f>
        <v>32.779074538010477</v>
      </c>
      <c r="G137" s="172">
        <f>VLOOKUP(A137,Socioeconômico!A$2:M$405,13,FALSE)</f>
        <v>35.074383737908505</v>
      </c>
      <c r="H137" s="173">
        <f>(2*E137+F137+2*G137)/5/100</f>
        <v>0.46146118294773919</v>
      </c>
      <c r="I137" s="170">
        <f>VLOOKUP(A137,Resultados!A$2:B535,2,FALSE)</f>
        <v>0</v>
      </c>
      <c r="J137" s="5">
        <f>IFERROR(VLOOKUP(A137,Demográfico!A$2:E$400,5,FALSE)/(VLOOKUP(C137,Metodologia!A$2:G$9,7,FALSE))*D137,0)</f>
        <v>0.20521655498335928</v>
      </c>
      <c r="K137" s="72">
        <f>(J137*(1+H137)-I137)</f>
        <v>0.29991602920644</v>
      </c>
      <c r="L137" s="3">
        <v>1</v>
      </c>
      <c r="M137" s="66">
        <f>VLOOKUP(A137,Demográfico!A$2:E$400,5,FALSE)*H137</f>
        <v>829.24574575708732</v>
      </c>
      <c r="N137" s="68">
        <f>IFERROR(FLOOR(K137,1),0)</f>
        <v>0</v>
      </c>
      <c r="O137" s="68">
        <f>K137-N137</f>
        <v>0.29991602920644</v>
      </c>
      <c r="P137" s="65">
        <f>IFERROR(RANK(O137,O$2:O$400,0),0)</f>
        <v>137</v>
      </c>
      <c r="Q137" s="3">
        <f>N137+IF(P137&lt;P$1,1,0)</f>
        <v>0</v>
      </c>
      <c r="S137" s="65">
        <f>VLOOKUP(A137,Demográfico!A$2:E$400,5,FALSE)*(H137)</f>
        <v>829.24574575708732</v>
      </c>
      <c r="T137" s="79">
        <f>IFERROR(D137/D137,0)</f>
        <v>1</v>
      </c>
      <c r="U137" s="65">
        <f t="shared" si="2"/>
        <v>829.24574575708732</v>
      </c>
    </row>
    <row r="138" spans="1:21" ht="19.5" x14ac:dyDescent="0.25">
      <c r="A138" s="2" t="s">
        <v>142</v>
      </c>
      <c r="B138" s="168">
        <v>14025</v>
      </c>
      <c r="C138" s="169" t="str" cm="1">
        <f t="array" ref="C138">_xlfn.IFS(B138&lt;5000, "P1",B138&lt;20000, "P2",B138&lt;70000, "P3",B138&lt;100000, "P4",B138&lt;200000,"M1",B138&lt;500000,"M2",B138&lt;1000000,"G1",B138&gt;1000000,"G2")</f>
        <v>P2</v>
      </c>
      <c r="D138" s="170">
        <f>VLOOKUP(C138,Metodologia!A$2:H$9,8,FALSE)</f>
        <v>32.634342822133917</v>
      </c>
      <c r="E138" s="171">
        <f>VLOOKUP(A138,Educacional!A$2:P$405,16,FALSE)</f>
        <v>89.741420085272651</v>
      </c>
      <c r="F138" s="171">
        <f>VLOOKUP(A138,Demográfico!A$2:L$405,12,FALSE)</f>
        <v>68.027407233179403</v>
      </c>
      <c r="G138" s="172">
        <f>VLOOKUP(A138,Socioeconômico!A$2:M$405,13,FALSE)</f>
        <v>35.804262427099616</v>
      </c>
      <c r="H138" s="173">
        <f>(2*E138+F138+2*G138)/5/100</f>
        <v>0.6382375445158478</v>
      </c>
      <c r="I138" s="170">
        <f>VLOOKUP(A138,Resultados!A$2:B536,2,FALSE)</f>
        <v>0</v>
      </c>
      <c r="J138" s="5">
        <f>IFERROR(VLOOKUP(A138,Demográfico!A$2:E$400,5,FALSE)/(VLOOKUP(C138,Metodologia!A$2:G$9,7,FALSE))*D138,0)</f>
        <v>0.2120685267691142</v>
      </c>
      <c r="K138" s="72">
        <f>(J138*(1+H138)-I138)</f>
        <v>0.34741862256332695</v>
      </c>
      <c r="L138" s="3">
        <v>1</v>
      </c>
      <c r="M138" s="66">
        <f>VLOOKUP(A138,Demográfico!A$2:E$400,5,FALSE)*H138</f>
        <v>1185.2071201659294</v>
      </c>
      <c r="N138" s="68">
        <f>IFERROR(FLOOR(K138,1),0)</f>
        <v>0</v>
      </c>
      <c r="O138" s="68">
        <f>K138-N138</f>
        <v>0.34741862256332695</v>
      </c>
      <c r="P138" s="65">
        <f>IFERROR(RANK(O138,O$2:O$400,0),0)</f>
        <v>117</v>
      </c>
      <c r="Q138" s="3">
        <f>N138+IF(P138&lt;P$1,1,0)</f>
        <v>0</v>
      </c>
      <c r="S138" s="65">
        <f>VLOOKUP(A138,Demográfico!A$2:E$400,5,FALSE)*(H138)</f>
        <v>1185.2071201659294</v>
      </c>
      <c r="T138" s="79">
        <f>IFERROR(D138/D138,0)</f>
        <v>1</v>
      </c>
      <c r="U138" s="65">
        <f t="shared" si="2"/>
        <v>1185.2071201659294</v>
      </c>
    </row>
    <row r="139" spans="1:21" ht="19.5" x14ac:dyDescent="0.25">
      <c r="A139" s="2" t="s">
        <v>143</v>
      </c>
      <c r="B139" s="168">
        <v>13929</v>
      </c>
      <c r="C139" s="169" t="str" cm="1">
        <f t="array" ref="C139">_xlfn.IFS(B139&lt;5000, "P1",B139&lt;20000, "P2",B139&lt;70000, "P3",B139&lt;100000, "P4",B139&lt;200000,"M1",B139&lt;500000,"M2",B139&lt;1000000,"G1",B139&gt;1000000,"G2")</f>
        <v>P2</v>
      </c>
      <c r="D139" s="170">
        <f>VLOOKUP(C139,Metodologia!A$2:H$9,8,FALSE)</f>
        <v>32.634342822133917</v>
      </c>
      <c r="E139" s="171">
        <f>VLOOKUP(A139,Educacional!A$2:P$405,16,FALSE)</f>
        <v>71.730193585753867</v>
      </c>
      <c r="F139" s="171">
        <f>VLOOKUP(A139,Demográfico!A$2:L$405,12,FALSE)</f>
        <v>74.127802051132136</v>
      </c>
      <c r="G139" s="172">
        <f>VLOOKUP(A139,Socioeconômico!A$2:M$405,13,FALSE)</f>
        <v>62.759062882015741</v>
      </c>
      <c r="H139" s="173">
        <f>(2*E139+F139+2*G139)/5/100</f>
        <v>0.68621262997334265</v>
      </c>
      <c r="I139" s="170">
        <f>VLOOKUP(A139,Resultados!A$2:B537,2,FALSE)</f>
        <v>1</v>
      </c>
      <c r="J139" s="5">
        <f>IFERROR(VLOOKUP(A139,Demográfico!A$2:E$400,5,FALSE)/(VLOOKUP(C139,Metodologia!A$2:G$9,7,FALSE))*D139,0)</f>
        <v>0.24541478945978804</v>
      </c>
      <c r="K139" s="72">
        <f>(J139*(1+H139)-I139)</f>
        <v>-0.58617848243065662</v>
      </c>
      <c r="L139" s="3">
        <v>1</v>
      </c>
      <c r="M139" s="66">
        <f>VLOOKUP(A139,Demográfico!A$2:E$400,5,FALSE)*H139</f>
        <v>1474.6709418127134</v>
      </c>
      <c r="N139" s="68">
        <f>IFERROR(FLOOR(K139,1),0)</f>
        <v>-1</v>
      </c>
      <c r="O139" s="68">
        <f>K139-N139</f>
        <v>0.41382151756934338</v>
      </c>
      <c r="P139" s="65">
        <f>IFERROR(RANK(O139,O$2:O$400,0),0)</f>
        <v>85</v>
      </c>
      <c r="Q139" s="3">
        <f>N139+IF(P139&lt;P$1,1,0)</f>
        <v>0</v>
      </c>
      <c r="S139" s="65">
        <f>VLOOKUP(A139,Demográfico!A$2:E$400,5,FALSE)*(H139)</f>
        <v>1474.6709418127134</v>
      </c>
      <c r="T139" s="79">
        <f>IFERROR(D139/D139,0)</f>
        <v>1</v>
      </c>
      <c r="U139" s="65">
        <f t="shared" si="2"/>
        <v>1474.6709418127134</v>
      </c>
    </row>
    <row r="140" spans="1:21" ht="19.5" x14ac:dyDescent="0.25">
      <c r="A140" s="2" t="s">
        <v>144</v>
      </c>
      <c r="B140" s="168">
        <v>13909</v>
      </c>
      <c r="C140" s="169" t="str" cm="1">
        <f t="array" ref="C140">_xlfn.IFS(B140&lt;5000, "P1",B140&lt;20000, "P2",B140&lt;70000, "P3",B140&lt;100000, "P4",B140&lt;200000,"M1",B140&lt;500000,"M2",B140&lt;1000000,"G1",B140&gt;1000000,"G2")</f>
        <v>P2</v>
      </c>
      <c r="D140" s="170">
        <f>VLOOKUP(C140,Metodologia!A$2:H$9,8,FALSE)</f>
        <v>32.634342822133917</v>
      </c>
      <c r="E140" s="171">
        <f>VLOOKUP(A140,Educacional!A$2:P$405,16,FALSE)</f>
        <v>68.148926671499666</v>
      </c>
      <c r="F140" s="171">
        <f>VLOOKUP(A140,Demográfico!A$2:L$405,12,FALSE)</f>
        <v>48.153743455211881</v>
      </c>
      <c r="G140" s="172">
        <f>VLOOKUP(A140,Socioeconômico!A$2:M$405,13,FALSE)</f>
        <v>50.456933370775658</v>
      </c>
      <c r="H140" s="173">
        <f>(2*E140+F140+2*G140)/5/100</f>
        <v>0.570730927079525</v>
      </c>
      <c r="I140" s="170">
        <f>VLOOKUP(A140,Resultados!A$2:B538,2,FALSE)</f>
        <v>0</v>
      </c>
      <c r="J140" s="5">
        <f>IFERROR(VLOOKUP(A140,Demográfico!A$2:E$400,5,FALSE)/(VLOOKUP(C140,Metodologia!A$2:G$9,7,FALSE))*D140,0)</f>
        <v>0.21960569573344457</v>
      </c>
      <c r="K140" s="72">
        <f>(J140*(1+H140)-I140)</f>
        <v>0.34494145805133747</v>
      </c>
      <c r="L140" s="3">
        <v>1</v>
      </c>
      <c r="M140" s="66">
        <f>VLOOKUP(A140,Demográfico!A$2:E$400,5,FALSE)*H140</f>
        <v>1097.5155727739266</v>
      </c>
      <c r="N140" s="68">
        <f>IFERROR(FLOOR(K140,1),0)</f>
        <v>0</v>
      </c>
      <c r="O140" s="68">
        <f>K140-N140</f>
        <v>0.34494145805133747</v>
      </c>
      <c r="P140" s="65">
        <f>IFERROR(RANK(O140,O$2:O$400,0),0)</f>
        <v>118</v>
      </c>
      <c r="Q140" s="3">
        <f>N140+IF(P140&lt;P$1,1,0)</f>
        <v>0</v>
      </c>
      <c r="S140" s="65">
        <f>VLOOKUP(A140,Demográfico!A$2:E$400,5,FALSE)*(H140)</f>
        <v>1097.5155727739266</v>
      </c>
      <c r="T140" s="79">
        <f>IFERROR(D140/D140,0)</f>
        <v>1</v>
      </c>
      <c r="U140" s="65">
        <f t="shared" si="2"/>
        <v>1097.5155727739266</v>
      </c>
    </row>
    <row r="141" spans="1:21" ht="19.5" x14ac:dyDescent="0.25">
      <c r="A141" s="2" t="s">
        <v>145</v>
      </c>
      <c r="B141" s="168">
        <v>13797</v>
      </c>
      <c r="C141" s="169" t="str" cm="1">
        <f t="array" ref="C141">_xlfn.IFS(B141&lt;5000, "P1",B141&lt;20000, "P2",B141&lt;70000, "P3",B141&lt;100000, "P4",B141&lt;200000,"M1",B141&lt;500000,"M2",B141&lt;1000000,"G1",B141&gt;1000000,"G2")</f>
        <v>P2</v>
      </c>
      <c r="D141" s="170">
        <f>VLOOKUP(C141,Metodologia!A$2:H$9,8,FALSE)</f>
        <v>32.634342822133917</v>
      </c>
      <c r="E141" s="171">
        <f>VLOOKUP(A141,Educacional!A$2:P$405,16,FALSE)</f>
        <v>42.565118493670994</v>
      </c>
      <c r="F141" s="171">
        <f>VLOOKUP(A141,Demográfico!A$2:L$405,12,FALSE)</f>
        <v>35.873498245421011</v>
      </c>
      <c r="G141" s="172">
        <f>VLOOKUP(A141,Socioeconômico!A$2:M$405,13,FALSE)</f>
        <v>46.618540163452863</v>
      </c>
      <c r="H141" s="173">
        <f>(2*E141+F141+2*G141)/5/100</f>
        <v>0.42848163111933746</v>
      </c>
      <c r="I141" s="170">
        <f>VLOOKUP(A141,Resultados!A$2:B539,2,FALSE)</f>
        <v>0</v>
      </c>
      <c r="J141" s="5">
        <f>IFERROR(VLOOKUP(A141,Demográfico!A$2:E$400,5,FALSE)/(VLOOKUP(C141,Metodologia!A$2:G$9,7,FALSE))*D141,0)</f>
        <v>0.20042017473333085</v>
      </c>
      <c r="K141" s="72">
        <f>(J141*(1+H141)-I141)</f>
        <v>0.28629653811229105</v>
      </c>
      <c r="L141" s="3">
        <v>1</v>
      </c>
      <c r="M141" s="66">
        <f>VLOOKUP(A141,Demográfico!A$2:E$400,5,FALSE)*H141</f>
        <v>751.98526261443726</v>
      </c>
      <c r="N141" s="68">
        <f>IFERROR(FLOOR(K141,1),0)</f>
        <v>0</v>
      </c>
      <c r="O141" s="68">
        <f>K141-N141</f>
        <v>0.28629653811229105</v>
      </c>
      <c r="P141" s="65">
        <f>IFERROR(RANK(O141,O$2:O$400,0),0)</f>
        <v>145</v>
      </c>
      <c r="Q141" s="3">
        <f>N141+IF(P141&lt;P$1,1,0)</f>
        <v>0</v>
      </c>
      <c r="S141" s="65">
        <f>VLOOKUP(A141,Demográfico!A$2:E$400,5,FALSE)*(H141)</f>
        <v>751.98526261443726</v>
      </c>
      <c r="T141" s="79">
        <f>IFERROR(D141/D141,0)</f>
        <v>1</v>
      </c>
      <c r="U141" s="65">
        <f t="shared" si="2"/>
        <v>751.98526261443726</v>
      </c>
    </row>
    <row r="142" spans="1:21" ht="19.5" x14ac:dyDescent="0.25">
      <c r="A142" s="2" t="s">
        <v>146</v>
      </c>
      <c r="B142" s="168">
        <v>13765</v>
      </c>
      <c r="C142" s="169" t="str" cm="1">
        <f t="array" ref="C142">_xlfn.IFS(B142&lt;5000, "P1",B142&lt;20000, "P2",B142&lt;70000, "P3",B142&lt;100000, "P4",B142&lt;200000,"M1",B142&lt;500000,"M2",B142&lt;1000000,"G1",B142&gt;1000000,"G2")</f>
        <v>P2</v>
      </c>
      <c r="D142" s="170">
        <f>VLOOKUP(C142,Metodologia!A$2:H$9,8,FALSE)</f>
        <v>32.634342822133917</v>
      </c>
      <c r="E142" s="171">
        <f>VLOOKUP(A142,Educacional!A$2:P$405,16,FALSE)</f>
        <v>63.191714664502499</v>
      </c>
      <c r="F142" s="171">
        <f>VLOOKUP(A142,Demográfico!A$2:L$405,12,FALSE)</f>
        <v>47.422900103242441</v>
      </c>
      <c r="G142" s="172">
        <f>VLOOKUP(A142,Socioeconômico!A$2:M$405,13,FALSE)</f>
        <v>27.620552426226585</v>
      </c>
      <c r="H142" s="173">
        <f>(2*E142+F142+2*G142)/5/100</f>
        <v>0.45809486856940118</v>
      </c>
      <c r="I142" s="170">
        <f>VLOOKUP(A142,Resultados!A$2:B540,2,FALSE)</f>
        <v>0</v>
      </c>
      <c r="J142" s="5">
        <f>IFERROR(VLOOKUP(A142,Demográfico!A$2:E$400,5,FALSE)/(VLOOKUP(C142,Metodologia!A$2:G$9,7,FALSE))*D142,0)</f>
        <v>0.21126913006077611</v>
      </c>
      <c r="K142" s="72">
        <f>(J142*(1+H142)-I142)</f>
        <v>0.30805043442873908</v>
      </c>
      <c r="L142" s="3">
        <v>1</v>
      </c>
      <c r="M142" s="66">
        <f>VLOOKUP(A142,Demográfico!A$2:E$400,5,FALSE)*H142</f>
        <v>847.47550685339218</v>
      </c>
      <c r="N142" s="68">
        <f>IFERROR(FLOOR(K142,1),0)</f>
        <v>0</v>
      </c>
      <c r="O142" s="68">
        <f>K142-N142</f>
        <v>0.30805043442873908</v>
      </c>
      <c r="P142" s="65">
        <f>IFERROR(RANK(O142,O$2:O$400,0),0)</f>
        <v>136</v>
      </c>
      <c r="Q142" s="3">
        <f>N142+IF(P142&lt;P$1,1,0)</f>
        <v>0</v>
      </c>
      <c r="S142" s="65">
        <f>VLOOKUP(A142,Demográfico!A$2:E$400,5,FALSE)*(H142)</f>
        <v>847.47550685339218</v>
      </c>
      <c r="T142" s="79">
        <f>IFERROR(D142/D142,0)</f>
        <v>1</v>
      </c>
      <c r="U142" s="65">
        <f t="shared" si="2"/>
        <v>847.47550685339218</v>
      </c>
    </row>
    <row r="143" spans="1:21" ht="19.5" x14ac:dyDescent="0.25">
      <c r="A143" s="2" t="s">
        <v>147</v>
      </c>
      <c r="B143" s="168">
        <v>13735</v>
      </c>
      <c r="C143" s="169" t="str" cm="1">
        <f t="array" ref="C143">_xlfn.IFS(B143&lt;5000, "P1",B143&lt;20000, "P2",B143&lt;70000, "P3",B143&lt;100000, "P4",B143&lt;200000,"M1",B143&lt;500000,"M2",B143&lt;1000000,"G1",B143&gt;1000000,"G2")</f>
        <v>P2</v>
      </c>
      <c r="D143" s="170">
        <f>VLOOKUP(C143,Metodologia!A$2:H$9,8,FALSE)</f>
        <v>32.634342822133917</v>
      </c>
      <c r="E143" s="171">
        <f>VLOOKUP(A143,Educacional!A$2:P$405,16,FALSE)</f>
        <v>67.450575030641247</v>
      </c>
      <c r="F143" s="171">
        <f>VLOOKUP(A143,Demográfico!A$2:L$405,12,FALSE)</f>
        <v>37.441637440709897</v>
      </c>
      <c r="G143" s="172">
        <f>VLOOKUP(A143,Socioeconômico!A$2:M$405,13,FALSE)</f>
        <v>33.06271665731542</v>
      </c>
      <c r="H143" s="173">
        <f>(2*E143+F143+2*G143)/5/100</f>
        <v>0.4769364416332465</v>
      </c>
      <c r="I143" s="170">
        <f>VLOOKUP(A143,Resultados!A$2:B541,2,FALSE)</f>
        <v>0</v>
      </c>
      <c r="J143" s="5">
        <f>IFERROR(VLOOKUP(A143,Demográfico!A$2:E$400,5,FALSE)/(VLOOKUP(C143,Metodologia!A$2:G$9,7,FALSE))*D143,0)</f>
        <v>0.19573799401306499</v>
      </c>
      <c r="K143" s="72">
        <f>(J143*(1+H143)-I143)</f>
        <v>0.2890925763700859</v>
      </c>
      <c r="L143" s="3">
        <v>1</v>
      </c>
      <c r="M143" s="66">
        <f>VLOOKUP(A143,Demográfico!A$2:E$400,5,FALSE)*H143</f>
        <v>817.46906095938448</v>
      </c>
      <c r="N143" s="68">
        <f>IFERROR(FLOOR(K143,1),0)</f>
        <v>0</v>
      </c>
      <c r="O143" s="68">
        <f>K143-N143</f>
        <v>0.2890925763700859</v>
      </c>
      <c r="P143" s="65">
        <f>IFERROR(RANK(O143,O$2:O$400,0),0)</f>
        <v>143</v>
      </c>
      <c r="Q143" s="3">
        <f>N143+IF(P143&lt;P$1,1,0)</f>
        <v>0</v>
      </c>
      <c r="S143" s="65">
        <f>VLOOKUP(A143,Demográfico!A$2:E$400,5,FALSE)*(H143)</f>
        <v>817.46906095938448</v>
      </c>
      <c r="T143" s="79">
        <f>IFERROR(D143/D143,0)</f>
        <v>1</v>
      </c>
      <c r="U143" s="65">
        <f t="shared" si="2"/>
        <v>817.46906095938448</v>
      </c>
    </row>
    <row r="144" spans="1:21" ht="19.5" x14ac:dyDescent="0.25">
      <c r="A144" s="2" t="s">
        <v>148</v>
      </c>
      <c r="B144" s="168">
        <v>13726</v>
      </c>
      <c r="C144" s="169" t="str" cm="1">
        <f t="array" ref="C144">_xlfn.IFS(B144&lt;5000, "P1",B144&lt;20000, "P2",B144&lt;70000, "P3",B144&lt;100000, "P4",B144&lt;200000,"M1",B144&lt;500000,"M2",B144&lt;1000000,"G1",B144&gt;1000000,"G2")</f>
        <v>P2</v>
      </c>
      <c r="D144" s="170">
        <f>VLOOKUP(C144,Metodologia!A$2:H$9,8,FALSE)</f>
        <v>32.634342822133917</v>
      </c>
      <c r="E144" s="171">
        <f>VLOOKUP(A144,Educacional!A$2:P$405,16,FALSE)</f>
        <v>80.456959279638369</v>
      </c>
      <c r="F144" s="171">
        <f>VLOOKUP(A144,Demográfico!A$2:L$405,12,FALSE)</f>
        <v>38.966914098020297</v>
      </c>
      <c r="G144" s="172">
        <f>VLOOKUP(A144,Socioeconômico!A$2:M$405,13,FALSE)</f>
        <v>41.60043301990811</v>
      </c>
      <c r="H144" s="173">
        <f>(2*E144+F144+2*G144)/5/100</f>
        <v>0.56616339739422661</v>
      </c>
      <c r="I144" s="170">
        <f>VLOOKUP(A144,Resultados!A$2:B542,2,FALSE)</f>
        <v>0</v>
      </c>
      <c r="J144" s="5">
        <f>IFERROR(VLOOKUP(A144,Demográfico!A$2:E$400,5,FALSE)/(VLOOKUP(C144,Metodologia!A$2:G$9,7,FALSE))*D144,0)</f>
        <v>0.21526611360246647</v>
      </c>
      <c r="K144" s="72">
        <f>(J144*(1+H144)-I144)</f>
        <v>0.33714190782349041</v>
      </c>
      <c r="L144" s="3">
        <v>1</v>
      </c>
      <c r="M144" s="66">
        <f>VLOOKUP(A144,Demográfico!A$2:E$400,5,FALSE)*H144</f>
        <v>1067.2180040881171</v>
      </c>
      <c r="N144" s="68">
        <f>IFERROR(FLOOR(K144,1),0)</f>
        <v>0</v>
      </c>
      <c r="O144" s="68">
        <f>K144-N144</f>
        <v>0.33714190782349041</v>
      </c>
      <c r="P144" s="65">
        <f>IFERROR(RANK(O144,O$2:O$400,0),0)</f>
        <v>121</v>
      </c>
      <c r="Q144" s="3">
        <f>N144+IF(P144&lt;P$1,1,0)</f>
        <v>0</v>
      </c>
      <c r="S144" s="65">
        <f>VLOOKUP(A144,Demográfico!A$2:E$400,5,FALSE)*(H144)</f>
        <v>1067.2180040881171</v>
      </c>
      <c r="T144" s="79">
        <f>IFERROR(D144/D144,0)</f>
        <v>1</v>
      </c>
      <c r="U144" s="65">
        <f t="shared" si="2"/>
        <v>1067.2180040881171</v>
      </c>
    </row>
    <row r="145" spans="1:21" ht="19.5" x14ac:dyDescent="0.25">
      <c r="A145" s="2" t="s">
        <v>149</v>
      </c>
      <c r="B145" s="168">
        <v>13655</v>
      </c>
      <c r="C145" s="169" t="str" cm="1">
        <f t="array" ref="C145">_xlfn.IFS(B145&lt;5000, "P1",B145&lt;20000, "P2",B145&lt;70000, "P3",B145&lt;100000, "P4",B145&lt;200000,"M1",B145&lt;500000,"M2",B145&lt;1000000,"G1",B145&gt;1000000,"G2")</f>
        <v>P2</v>
      </c>
      <c r="D145" s="170">
        <f>VLOOKUP(C145,Metodologia!A$2:H$9,8,FALSE)</f>
        <v>32.634342822133917</v>
      </c>
      <c r="E145" s="171">
        <f>VLOOKUP(A145,Educacional!A$2:P$405,16,FALSE)</f>
        <v>58.439372725360194</v>
      </c>
      <c r="F145" s="171">
        <f>VLOOKUP(A145,Demográfico!A$2:L$405,12,FALSE)</f>
        <v>46.66301127655796</v>
      </c>
      <c r="G145" s="172">
        <f>VLOOKUP(A145,Socioeconômico!A$2:M$405,13,FALSE)</f>
        <v>23.569170407312548</v>
      </c>
      <c r="H145" s="173">
        <f>(2*E145+F145+2*G145)/5/100</f>
        <v>0.42136019508380684</v>
      </c>
      <c r="I145" s="170">
        <f>VLOOKUP(A145,Resultados!A$2:B543,2,FALSE)</f>
        <v>0</v>
      </c>
      <c r="J145" s="5">
        <f>IFERROR(VLOOKUP(A145,Demográfico!A$2:E$400,5,FALSE)/(VLOOKUP(C145,Metodologia!A$2:G$9,7,FALSE))*D145,0)</f>
        <v>0.22588666987038655</v>
      </c>
      <c r="K145" s="72">
        <f>(J145*(1+H145)-I145)</f>
        <v>0.32106632115380412</v>
      </c>
      <c r="L145" s="3">
        <v>1</v>
      </c>
      <c r="M145" s="66">
        <f>VLOOKUP(A145,Demográfico!A$2:E$400,5,FALSE)*H145</f>
        <v>833.45046587576996</v>
      </c>
      <c r="N145" s="68">
        <f>IFERROR(FLOOR(K145,1),0)</f>
        <v>0</v>
      </c>
      <c r="O145" s="68">
        <f>K145-N145</f>
        <v>0.32106632115380412</v>
      </c>
      <c r="P145" s="65">
        <f>IFERROR(RANK(O145,O$2:O$400,0),0)</f>
        <v>131</v>
      </c>
      <c r="Q145" s="3">
        <f>N145+IF(P145&lt;P$1,1,0)</f>
        <v>0</v>
      </c>
      <c r="S145" s="65">
        <f>VLOOKUP(A145,Demográfico!A$2:E$400,5,FALSE)*(H145)</f>
        <v>833.45046587576996</v>
      </c>
      <c r="T145" s="79">
        <f>IFERROR(D145/D145,0)</f>
        <v>1</v>
      </c>
      <c r="U145" s="65">
        <f t="shared" si="2"/>
        <v>833.45046587576996</v>
      </c>
    </row>
    <row r="146" spans="1:21" ht="19.5" x14ac:dyDescent="0.25">
      <c r="A146" s="2" t="s">
        <v>150</v>
      </c>
      <c r="B146" s="168">
        <v>13647</v>
      </c>
      <c r="C146" s="169" t="str" cm="1">
        <f t="array" ref="C146">_xlfn.IFS(B146&lt;5000, "P1",B146&lt;20000, "P2",B146&lt;70000, "P3",B146&lt;100000, "P4",B146&lt;200000,"M1",B146&lt;500000,"M2",B146&lt;1000000,"G1",B146&gt;1000000,"G2")</f>
        <v>P2</v>
      </c>
      <c r="D146" s="170">
        <f>VLOOKUP(C146,Metodologia!A$2:H$9,8,FALSE)</f>
        <v>32.634342822133917</v>
      </c>
      <c r="E146" s="171">
        <f>VLOOKUP(A146,Educacional!A$2:P$405,16,FALSE)</f>
        <v>70.2780041586458</v>
      </c>
      <c r="F146" s="171">
        <f>VLOOKUP(A146,Demográfico!A$2:L$405,12,FALSE)</f>
        <v>45.052585532615694</v>
      </c>
      <c r="G146" s="172">
        <f>VLOOKUP(A146,Socioeconômico!A$2:M$405,13,FALSE)</f>
        <v>54.241168856070331</v>
      </c>
      <c r="H146" s="173">
        <f>(2*E146+F146+2*G146)/5/100</f>
        <v>0.58818186312409593</v>
      </c>
      <c r="I146" s="170">
        <f>VLOOKUP(A146,Resultados!A$2:B544,2,FALSE)</f>
        <v>0</v>
      </c>
      <c r="J146" s="5">
        <f>IFERROR(VLOOKUP(A146,Demográfico!A$2:E$400,5,FALSE)/(VLOOKUP(C146,Metodologia!A$2:G$9,7,FALSE))*D146,0)</f>
        <v>0.20396036015597088</v>
      </c>
      <c r="K146" s="72">
        <f>(J146*(1+H146)-I146)</f>
        <v>0.32392614479597143</v>
      </c>
      <c r="L146" s="3">
        <v>1</v>
      </c>
      <c r="M146" s="66">
        <f>VLOOKUP(A146,Demográfico!A$2:E$400,5,FALSE)*H146</f>
        <v>1050.4928075396354</v>
      </c>
      <c r="N146" s="68">
        <f>IFERROR(FLOOR(K146,1),0)</f>
        <v>0</v>
      </c>
      <c r="O146" s="68">
        <f>K146-N146</f>
        <v>0.32392614479597143</v>
      </c>
      <c r="P146" s="65">
        <f>IFERROR(RANK(O146,O$2:O$400,0),0)</f>
        <v>129</v>
      </c>
      <c r="Q146" s="3">
        <f>N146+IF(P146&lt;P$1,1,0)</f>
        <v>0</v>
      </c>
      <c r="S146" s="65">
        <f>VLOOKUP(A146,Demográfico!A$2:E$400,5,FALSE)*(H146)</f>
        <v>1050.4928075396354</v>
      </c>
      <c r="T146" s="79">
        <f>IFERROR(D146/D146,0)</f>
        <v>1</v>
      </c>
      <c r="U146" s="65">
        <f t="shared" si="2"/>
        <v>1050.4928075396354</v>
      </c>
    </row>
    <row r="147" spans="1:21" ht="19.5" x14ac:dyDescent="0.25">
      <c r="A147" s="2" t="s">
        <v>151</v>
      </c>
      <c r="B147" s="168">
        <v>13452</v>
      </c>
      <c r="C147" s="169" t="str" cm="1">
        <f t="array" ref="C147">_xlfn.IFS(B147&lt;5000, "P1",B147&lt;20000, "P2",B147&lt;70000, "P3",B147&lt;100000, "P4",B147&lt;200000,"M1",B147&lt;500000,"M2",B147&lt;1000000,"G1",B147&gt;1000000,"G2")</f>
        <v>P2</v>
      </c>
      <c r="D147" s="170">
        <f>VLOOKUP(C147,Metodologia!A$2:H$9,8,FALSE)</f>
        <v>32.634342822133917</v>
      </c>
      <c r="E147" s="171">
        <f>VLOOKUP(A147,Educacional!A$2:P$405,16,FALSE)</f>
        <v>63.702019692956803</v>
      </c>
      <c r="F147" s="171">
        <f>VLOOKUP(A147,Demográfico!A$2:L$405,12,FALSE)</f>
        <v>25.916711091530964</v>
      </c>
      <c r="G147" s="172">
        <f>VLOOKUP(A147,Socioeconômico!A$2:M$405,13,FALSE)</f>
        <v>61.270983038400352</v>
      </c>
      <c r="H147" s="173">
        <f>(2*E147+F147+2*G147)/5/100</f>
        <v>0.55172543310849054</v>
      </c>
      <c r="I147" s="170">
        <f>VLOOKUP(A147,Resultados!A$2:B545,2,FALSE)</f>
        <v>0</v>
      </c>
      <c r="J147" s="5">
        <f>IFERROR(VLOOKUP(A147,Demográfico!A$2:E$400,5,FALSE)/(VLOOKUP(C147,Metodologia!A$2:G$9,7,FALSE))*D147,0)</f>
        <v>0.19276880623923787</v>
      </c>
      <c r="K147" s="72">
        <f>(J147*(1+H147)-I147)</f>
        <v>0.29912425935138809</v>
      </c>
      <c r="L147" s="3">
        <v>1</v>
      </c>
      <c r="M147" s="66">
        <f>VLOOKUP(A147,Demográfico!A$2:E$400,5,FALSE)*H147</f>
        <v>931.31253108713202</v>
      </c>
      <c r="N147" s="68">
        <f>IFERROR(FLOOR(K147,1),0)</f>
        <v>0</v>
      </c>
      <c r="O147" s="68">
        <f>K147-N147</f>
        <v>0.29912425935138809</v>
      </c>
      <c r="P147" s="65">
        <f>IFERROR(RANK(O147,O$2:O$400,0),0)</f>
        <v>138</v>
      </c>
      <c r="Q147" s="3">
        <f>N147+IF(P147&lt;P$1,1,0)</f>
        <v>0</v>
      </c>
      <c r="S147" s="65">
        <f>VLOOKUP(A147,Demográfico!A$2:E$400,5,FALSE)*(H147)</f>
        <v>931.31253108713202</v>
      </c>
      <c r="T147" s="79">
        <f>IFERROR(D147/D147,0)</f>
        <v>1</v>
      </c>
      <c r="U147" s="65">
        <f t="shared" si="2"/>
        <v>931.31253108713202</v>
      </c>
    </row>
    <row r="148" spans="1:21" ht="19.5" x14ac:dyDescent="0.25">
      <c r="A148" s="2" t="s">
        <v>152</v>
      </c>
      <c r="B148" s="168">
        <v>13428</v>
      </c>
      <c r="C148" s="169" t="str" cm="1">
        <f t="array" ref="C148">_xlfn.IFS(B148&lt;5000, "P1",B148&lt;20000, "P2",B148&lt;70000, "P3",B148&lt;100000, "P4",B148&lt;200000,"M1",B148&lt;500000,"M2",B148&lt;1000000,"G1",B148&gt;1000000,"G2")</f>
        <v>P2</v>
      </c>
      <c r="D148" s="170">
        <f>VLOOKUP(C148,Metodologia!A$2:H$9,8,FALSE)</f>
        <v>32.634342822133917</v>
      </c>
      <c r="E148" s="171">
        <f>VLOOKUP(A148,Educacional!A$2:P$405,16,FALSE)</f>
        <v>73.084823488165512</v>
      </c>
      <c r="F148" s="171">
        <f>VLOOKUP(A148,Demográfico!A$2:L$405,12,FALSE)</f>
        <v>29.831447796983834</v>
      </c>
      <c r="G148" s="172">
        <f>VLOOKUP(A148,Socioeconômico!A$2:M$405,13,FALSE)</f>
        <v>26.603421858520012</v>
      </c>
      <c r="H148" s="173">
        <f>(2*E148+F148+2*G148)/5/100</f>
        <v>0.45841587698070974</v>
      </c>
      <c r="I148" s="170">
        <f>VLOOKUP(A148,Resultados!A$2:B546,2,FALSE)</f>
        <v>0</v>
      </c>
      <c r="J148" s="5">
        <f>IFERROR(VLOOKUP(A148,Demográfico!A$2:E$400,5,FALSE)/(VLOOKUP(C148,Metodologia!A$2:G$9,7,FALSE))*D148,0)</f>
        <v>0.18648783210229589</v>
      </c>
      <c r="K148" s="72">
        <f>(J148*(1+H148)-I148)</f>
        <v>0.27197681520170125</v>
      </c>
      <c r="L148" s="3">
        <v>1</v>
      </c>
      <c r="M148" s="66">
        <f>VLOOKUP(A148,Demográfico!A$2:E$400,5,FALSE)*H148</f>
        <v>748.59312710949905</v>
      </c>
      <c r="N148" s="68">
        <f>IFERROR(FLOOR(K148,1),0)</f>
        <v>0</v>
      </c>
      <c r="O148" s="68">
        <f>K148-N148</f>
        <v>0.27197681520170125</v>
      </c>
      <c r="P148" s="65">
        <f>IFERROR(RANK(O148,O$2:O$400,0),0)</f>
        <v>152</v>
      </c>
      <c r="Q148" s="3">
        <f>N148+IF(P148&lt;P$1,1,0)</f>
        <v>0</v>
      </c>
      <c r="S148" s="65">
        <f>VLOOKUP(A148,Demográfico!A$2:E$400,5,FALSE)*(H148)</f>
        <v>748.59312710949905</v>
      </c>
      <c r="T148" s="79">
        <f>IFERROR(D148/D148,0)</f>
        <v>1</v>
      </c>
      <c r="U148" s="65">
        <f t="shared" si="2"/>
        <v>748.59312710949905</v>
      </c>
    </row>
    <row r="149" spans="1:21" ht="19.5" x14ac:dyDescent="0.25">
      <c r="A149" s="2" t="s">
        <v>153</v>
      </c>
      <c r="B149" s="168">
        <v>13395</v>
      </c>
      <c r="C149" s="169" t="str" cm="1">
        <f t="array" ref="C149">_xlfn.IFS(B149&lt;5000, "P1",B149&lt;20000, "P2",B149&lt;70000, "P3",B149&lt;100000, "P4",B149&lt;200000,"M1",B149&lt;500000,"M2",B149&lt;1000000,"G1",B149&gt;1000000,"G2")</f>
        <v>P2</v>
      </c>
      <c r="D149" s="170">
        <f>VLOOKUP(C149,Metodologia!A$2:H$9,8,FALSE)</f>
        <v>32.634342822133917</v>
      </c>
      <c r="E149" s="171">
        <f>VLOOKUP(A149,Educacional!A$2:P$405,16,FALSE)</f>
        <v>63.47781186199726</v>
      </c>
      <c r="F149" s="171">
        <f>VLOOKUP(A149,Demográfico!A$2:L$405,12,FALSE)</f>
        <v>60.632755041572928</v>
      </c>
      <c r="G149" s="172">
        <f>VLOOKUP(A149,Socioeconômico!A$2:M$405,13,FALSE)</f>
        <v>28.900106269272218</v>
      </c>
      <c r="H149" s="173">
        <f>(2*E149+F149+2*G149)/5/100</f>
        <v>0.49077718260822378</v>
      </c>
      <c r="I149" s="170">
        <f>VLOOKUP(A149,Resultados!A$2:B547,2,FALSE)</f>
        <v>0</v>
      </c>
      <c r="J149" s="5">
        <f>IFERROR(VLOOKUP(A149,Demográfico!A$2:E$400,5,FALSE)/(VLOOKUP(C149,Metodologia!A$2:G$9,7,FALSE))*D149,0)</f>
        <v>0.21857789996558136</v>
      </c>
      <c r="K149" s="72">
        <f>(J149*(1+H149)-I149)</f>
        <v>0.32585094589111152</v>
      </c>
      <c r="L149" s="3">
        <v>1</v>
      </c>
      <c r="M149" s="66">
        <f>VLOOKUP(A149,Demográfico!A$2:E$400,5,FALSE)*H149</f>
        <v>939.34752751214035</v>
      </c>
      <c r="N149" s="68">
        <f>IFERROR(FLOOR(K149,1),0)</f>
        <v>0</v>
      </c>
      <c r="O149" s="68">
        <f>K149-N149</f>
        <v>0.32585094589111152</v>
      </c>
      <c r="P149" s="65">
        <f>IFERROR(RANK(O149,O$2:O$400,0),0)</f>
        <v>127</v>
      </c>
      <c r="Q149" s="3">
        <f>N149+IF(P149&lt;P$1,1,0)</f>
        <v>0</v>
      </c>
      <c r="S149" s="65">
        <f>VLOOKUP(A149,Demográfico!A$2:E$400,5,FALSE)*(H149)</f>
        <v>939.34752751214035</v>
      </c>
      <c r="T149" s="79">
        <f>IFERROR(D149/D149,0)</f>
        <v>1</v>
      </c>
      <c r="U149" s="65">
        <f t="shared" si="2"/>
        <v>939.34752751214035</v>
      </c>
    </row>
    <row r="150" spans="1:21" ht="19.5" x14ac:dyDescent="0.25">
      <c r="A150" s="2" t="s">
        <v>154</v>
      </c>
      <c r="B150" s="168">
        <v>13346</v>
      </c>
      <c r="C150" s="169" t="str" cm="1">
        <f t="array" ref="C150">_xlfn.IFS(B150&lt;5000, "P1",B150&lt;20000, "P2",B150&lt;70000, "P3",B150&lt;100000, "P4",B150&lt;200000,"M1",B150&lt;500000,"M2",B150&lt;1000000,"G1",B150&gt;1000000,"G2")</f>
        <v>P2</v>
      </c>
      <c r="D150" s="170">
        <f>VLOOKUP(C150,Metodologia!A$2:H$9,8,FALSE)</f>
        <v>32.634342822133917</v>
      </c>
      <c r="E150" s="171">
        <f>VLOOKUP(A150,Educacional!A$2:P$405,16,FALSE)</f>
        <v>45.055874289862892</v>
      </c>
      <c r="F150" s="171">
        <f>VLOOKUP(A150,Demográfico!A$2:L$405,12,FALSE)</f>
        <v>42.359938765971002</v>
      </c>
      <c r="G150" s="172">
        <f>VLOOKUP(A150,Socioeconômico!A$2:M$405,13,FALSE)</f>
        <v>46.51717959595851</v>
      </c>
      <c r="H150" s="173">
        <f>(2*E150+F150+2*G150)/5/100</f>
        <v>0.4510120930752276</v>
      </c>
      <c r="I150" s="170">
        <f>VLOOKUP(A150,Resultados!A$2:B548,2,FALSE)</f>
        <v>0</v>
      </c>
      <c r="J150" s="5">
        <f>IFERROR(VLOOKUP(A150,Demográfico!A$2:E$400,5,FALSE)/(VLOOKUP(C150,Metodologia!A$2:G$9,7,FALSE))*D150,0)</f>
        <v>0.20613015122145995</v>
      </c>
      <c r="K150" s="72">
        <f>(J150*(1+H150)-I150)</f>
        <v>0.29909734216976375</v>
      </c>
      <c r="L150" s="3">
        <v>1</v>
      </c>
      <c r="M150" s="66">
        <f>VLOOKUP(A150,Demográfico!A$2:E$400,5,FALSE)*H150</f>
        <v>814.07682800078578</v>
      </c>
      <c r="N150" s="68">
        <f>IFERROR(FLOOR(K150,1),0)</f>
        <v>0</v>
      </c>
      <c r="O150" s="68">
        <f>K150-N150</f>
        <v>0.29909734216976375</v>
      </c>
      <c r="P150" s="65">
        <f>IFERROR(RANK(O150,O$2:O$400,0),0)</f>
        <v>139</v>
      </c>
      <c r="Q150" s="3">
        <f>N150+IF(P150&lt;P$1,1,0)</f>
        <v>0</v>
      </c>
      <c r="S150" s="65">
        <f>VLOOKUP(A150,Demográfico!A$2:E$400,5,FALSE)*(H150)</f>
        <v>814.07682800078578</v>
      </c>
      <c r="T150" s="79">
        <f>IFERROR(D150/D150,0)</f>
        <v>1</v>
      </c>
      <c r="U150" s="65">
        <f t="shared" si="2"/>
        <v>814.07682800078578</v>
      </c>
    </row>
    <row r="151" spans="1:21" ht="19.5" x14ac:dyDescent="0.25">
      <c r="A151" s="2" t="s">
        <v>155</v>
      </c>
      <c r="B151" s="168">
        <v>13299</v>
      </c>
      <c r="C151" s="169" t="str" cm="1">
        <f t="array" ref="C151">_xlfn.IFS(B151&lt;5000, "P1",B151&lt;20000, "P2",B151&lt;70000, "P3",B151&lt;100000, "P4",B151&lt;200000,"M1",B151&lt;500000,"M2",B151&lt;1000000,"G1",B151&gt;1000000,"G2")</f>
        <v>P2</v>
      </c>
      <c r="D151" s="170">
        <f>VLOOKUP(C151,Metodologia!A$2:H$9,8,FALSE)</f>
        <v>32.634342822133917</v>
      </c>
      <c r="E151" s="171">
        <f>VLOOKUP(A151,Educacional!A$2:P$405,16,FALSE)</f>
        <v>73.090048142853774</v>
      </c>
      <c r="F151" s="171">
        <f>VLOOKUP(A151,Demográfico!A$2:L$405,12,FALSE)</f>
        <v>60.391566969334889</v>
      </c>
      <c r="G151" s="172">
        <f>VLOOKUP(A151,Socioeconômico!A$2:M$405,13,FALSE)</f>
        <v>54.858067653391188</v>
      </c>
      <c r="H151" s="173">
        <f>(2*E151+F151+2*G151)/5/100</f>
        <v>0.63257559712364964</v>
      </c>
      <c r="I151" s="170">
        <f>VLOOKUP(A151,Resultados!A$2:B549,2,FALSE)</f>
        <v>1</v>
      </c>
      <c r="J151" s="5">
        <f>IFERROR(VLOOKUP(A151,Demográfico!A$2:E$400,5,FALSE)/(VLOOKUP(C151,Metodologia!A$2:G$9,7,FALSE))*D151,0)</f>
        <v>0.22954105482278919</v>
      </c>
      <c r="K151" s="72">
        <f>(J151*(1+H151)-I151)</f>
        <v>-0.62525687535829255</v>
      </c>
      <c r="L151" s="3">
        <v>1</v>
      </c>
      <c r="M151" s="66">
        <f>VLOOKUP(A151,Demográfico!A$2:E$400,5,FALSE)*H151</f>
        <v>1271.4769502185359</v>
      </c>
      <c r="N151" s="68">
        <f>IFERROR(FLOOR(K151,1),0)</f>
        <v>-1</v>
      </c>
      <c r="O151" s="68">
        <f>K151-N151</f>
        <v>0.37474312464170745</v>
      </c>
      <c r="P151" s="65">
        <f>IFERROR(RANK(O151,O$2:O$400,0),0)</f>
        <v>101</v>
      </c>
      <c r="Q151" s="3">
        <f>N151+IF(P151&lt;P$1,1,0)</f>
        <v>0</v>
      </c>
      <c r="S151" s="65">
        <f>VLOOKUP(A151,Demográfico!A$2:E$400,5,FALSE)*(H151)</f>
        <v>1271.4769502185359</v>
      </c>
      <c r="T151" s="79">
        <f>IFERROR(D151/D151,0)</f>
        <v>1</v>
      </c>
      <c r="U151" s="65">
        <f t="shared" si="2"/>
        <v>1271.4769502185359</v>
      </c>
    </row>
    <row r="152" spans="1:21" ht="19.5" x14ac:dyDescent="0.25">
      <c r="A152" s="2" t="s">
        <v>156</v>
      </c>
      <c r="B152" s="168">
        <v>13245</v>
      </c>
      <c r="C152" s="169" t="str" cm="1">
        <f t="array" ref="C152">_xlfn.IFS(B152&lt;5000, "P1",B152&lt;20000, "P2",B152&lt;70000, "P3",B152&lt;100000, "P4",B152&lt;200000,"M1",B152&lt;500000,"M2",B152&lt;1000000,"G1",B152&gt;1000000,"G2")</f>
        <v>P2</v>
      </c>
      <c r="D152" s="170">
        <f>VLOOKUP(C152,Metodologia!A$2:H$9,8,FALSE)</f>
        <v>32.634342822133917</v>
      </c>
      <c r="E152" s="171">
        <f>VLOOKUP(A152,Educacional!A$2:P$405,16,FALSE)</f>
        <v>37.75539371390618</v>
      </c>
      <c r="F152" s="171">
        <f>VLOOKUP(A152,Demográfico!A$2:L$405,12,FALSE)</f>
        <v>73.885195149540976</v>
      </c>
      <c r="G152" s="172">
        <f>VLOOKUP(A152,Socioeconômico!A$2:M$405,13,FALSE)</f>
        <v>18.432510197034404</v>
      </c>
      <c r="H152" s="173">
        <f>(2*E152+F152+2*G152)/5/100</f>
        <v>0.37252200594284424</v>
      </c>
      <c r="I152" s="170">
        <f>VLOOKUP(A152,Resultados!A$2:B550,2,FALSE)</f>
        <v>0</v>
      </c>
      <c r="J152" s="5">
        <f>IFERROR(VLOOKUP(A152,Demográfico!A$2:E$400,5,FALSE)/(VLOOKUP(C152,Metodologia!A$2:G$9,7,FALSE))*D152,0)</f>
        <v>0.20167636956071924</v>
      </c>
      <c r="K152" s="72">
        <f>(J152*(1+H152)-I152)</f>
        <v>0.27680525530074873</v>
      </c>
      <c r="L152" s="3">
        <v>0</v>
      </c>
      <c r="M152" s="66">
        <f>VLOOKUP(A152,Demográfico!A$2:E$400,5,FALSE)*H152</f>
        <v>657.87386249506289</v>
      </c>
      <c r="N152" s="68">
        <f>IFERROR(FLOOR(K152,1),0)</f>
        <v>0</v>
      </c>
      <c r="O152" s="68">
        <f>K152-N152</f>
        <v>0.27680525530074873</v>
      </c>
      <c r="P152" s="65">
        <f>IFERROR(RANK(O152,O$2:O$400,0),0)</f>
        <v>148</v>
      </c>
      <c r="Q152" s="3">
        <f>N152+IF(P152&lt;P$1,1,0)</f>
        <v>0</v>
      </c>
      <c r="S152" s="65">
        <f>VLOOKUP(A152,Demográfico!A$2:E$400,5,FALSE)*(H152)</f>
        <v>657.87386249506289</v>
      </c>
      <c r="T152" s="79">
        <f>IFERROR(D152/D152,0)</f>
        <v>1</v>
      </c>
      <c r="U152" s="65">
        <f t="shared" si="2"/>
        <v>657.87386249506289</v>
      </c>
    </row>
    <row r="153" spans="1:21" ht="19.5" x14ac:dyDescent="0.25">
      <c r="A153" s="2" t="s">
        <v>157</v>
      </c>
      <c r="B153" s="168">
        <v>13229</v>
      </c>
      <c r="C153" s="169" t="str" cm="1">
        <f t="array" ref="C153">_xlfn.IFS(B153&lt;5000, "P1",B153&lt;20000, "P2",B153&lt;70000, "P3",B153&lt;100000, "P4",B153&lt;200000,"M1",B153&lt;500000,"M2",B153&lt;1000000,"G1",B153&gt;1000000,"G2")</f>
        <v>P2</v>
      </c>
      <c r="D153" s="170">
        <f>VLOOKUP(C153,Metodologia!A$2:H$9,8,FALSE)</f>
        <v>32.634342822133917</v>
      </c>
      <c r="E153" s="171">
        <f>VLOOKUP(A153,Educacional!A$2:P$405,16,FALSE)</f>
        <v>70.716086075124323</v>
      </c>
      <c r="F153" s="171">
        <f>VLOOKUP(A153,Demográfico!A$2:L$405,12,FALSE)</f>
        <v>62.164562633636876</v>
      </c>
      <c r="G153" s="172">
        <f>VLOOKUP(A153,Socioeconômico!A$2:M$405,13,FALSE)</f>
        <v>56.377627111310261</v>
      </c>
      <c r="H153" s="173">
        <f>(2*E153+F153+2*G153)/5/100</f>
        <v>0.63270397801301215</v>
      </c>
      <c r="I153" s="170">
        <f>VLOOKUP(A153,Resultados!A$2:B551,2,FALSE)</f>
        <v>0</v>
      </c>
      <c r="J153" s="5">
        <f>IFERROR(VLOOKUP(A153,Demográfico!A$2:E$400,5,FALSE)/(VLOOKUP(C153,Metodologia!A$2:G$9,7,FALSE))*D153,0)</f>
        <v>0.21583711125127938</v>
      </c>
      <c r="K153" s="72">
        <f>(J153*(1+H153)-I153)</f>
        <v>0.35239811014280092</v>
      </c>
      <c r="L153" s="3">
        <v>1</v>
      </c>
      <c r="M153" s="66">
        <f>VLOOKUP(A153,Demográfico!A$2:E$400,5,FALSE)*H153</f>
        <v>1195.8105184445931</v>
      </c>
      <c r="N153" s="68">
        <f>IFERROR(FLOOR(K153,1),0)</f>
        <v>0</v>
      </c>
      <c r="O153" s="68">
        <f>K153-N153</f>
        <v>0.35239811014280092</v>
      </c>
      <c r="P153" s="65">
        <f>IFERROR(RANK(O153,O$2:O$400,0),0)</f>
        <v>111</v>
      </c>
      <c r="Q153" s="3">
        <f>N153+IF(P153&lt;P$1,1,0)</f>
        <v>1</v>
      </c>
      <c r="S153" s="65">
        <f>VLOOKUP(A153,Demográfico!A$2:E$400,5,FALSE)*(H153)</f>
        <v>1195.8105184445931</v>
      </c>
      <c r="T153" s="79">
        <f>IFERROR(D153/D153,0)</f>
        <v>1</v>
      </c>
      <c r="U153" s="65">
        <f t="shared" si="2"/>
        <v>1195.8105184445931</v>
      </c>
    </row>
    <row r="154" spans="1:21" ht="19.5" x14ac:dyDescent="0.25">
      <c r="A154" s="2" t="s">
        <v>158</v>
      </c>
      <c r="B154" s="168">
        <v>13174</v>
      </c>
      <c r="C154" s="169" t="str" cm="1">
        <f t="array" ref="C154">_xlfn.IFS(B154&lt;5000, "P1",B154&lt;20000, "P2",B154&lt;70000, "P3",B154&lt;100000, "P4",B154&lt;200000,"M1",B154&lt;500000,"M2",B154&lt;1000000,"G1",B154&gt;1000000,"G2")</f>
        <v>P2</v>
      </c>
      <c r="D154" s="170">
        <f>VLOOKUP(C154,Metodologia!A$2:H$9,8,FALSE)</f>
        <v>32.634342822133917</v>
      </c>
      <c r="E154" s="171">
        <f>VLOOKUP(A154,Educacional!A$2:P$405,16,FALSE)</f>
        <v>58.906873365094746</v>
      </c>
      <c r="F154" s="171">
        <f>VLOOKUP(A154,Demográfico!A$2:L$405,12,FALSE)</f>
        <v>49.680540502336115</v>
      </c>
      <c r="G154" s="172">
        <f>VLOOKUP(A154,Socioeconômico!A$2:M$405,13,FALSE)</f>
        <v>34.481679457085498</v>
      </c>
      <c r="H154" s="173">
        <f>(2*E154+F154+2*G154)/5/100</f>
        <v>0.47291529229339324</v>
      </c>
      <c r="I154" s="170">
        <f>VLOOKUP(A154,Resultados!A$2:B552,2,FALSE)</f>
        <v>1</v>
      </c>
      <c r="J154" s="5">
        <f>IFERROR(VLOOKUP(A154,Demográfico!A$2:E$400,5,FALSE)/(VLOOKUP(C154,Metodologia!A$2:G$9,7,FALSE))*D154,0)</f>
        <v>0.22211808538822136</v>
      </c>
      <c r="K154" s="72">
        <f>(J154*(1+H154)-I154)</f>
        <v>-0.67283887533675912</v>
      </c>
      <c r="L154" s="3">
        <v>1</v>
      </c>
      <c r="M154" s="66">
        <f>VLOOKUP(A154,Demográfico!A$2:E$400,5,FALSE)*H154</f>
        <v>919.8202435106499</v>
      </c>
      <c r="N154" s="68">
        <f>IFERROR(FLOOR(K154,1),0)</f>
        <v>-1</v>
      </c>
      <c r="O154" s="68">
        <f>K154-N154</f>
        <v>0.32716112466324088</v>
      </c>
      <c r="P154" s="65">
        <f>IFERROR(RANK(O154,O$2:O$400,0),0)</f>
        <v>125</v>
      </c>
      <c r="Q154" s="3">
        <f>N154+IF(P154&lt;P$1,1,0)</f>
        <v>-1</v>
      </c>
      <c r="S154" s="65">
        <f>VLOOKUP(A154,Demográfico!A$2:E$400,5,FALSE)*(H154)</f>
        <v>919.8202435106499</v>
      </c>
      <c r="T154" s="79">
        <f>IFERROR(D154/D154,0)</f>
        <v>1</v>
      </c>
      <c r="U154" s="65">
        <f t="shared" si="2"/>
        <v>919.8202435106499</v>
      </c>
    </row>
    <row r="155" spans="1:21" ht="19.5" x14ac:dyDescent="0.25">
      <c r="A155" s="2" t="s">
        <v>159</v>
      </c>
      <c r="B155" s="168">
        <v>13060</v>
      </c>
      <c r="C155" s="169" t="str" cm="1">
        <f t="array" ref="C155">_xlfn.IFS(B155&lt;5000, "P1",B155&lt;20000, "P2",B155&lt;70000, "P3",B155&lt;100000, "P4",B155&lt;200000,"M1",B155&lt;500000,"M2",B155&lt;1000000,"G1",B155&gt;1000000,"G2")</f>
        <v>P2</v>
      </c>
      <c r="D155" s="170">
        <f>VLOOKUP(C155,Metodologia!A$2:H$9,8,FALSE)</f>
        <v>32.634342822133917</v>
      </c>
      <c r="E155" s="171">
        <f>VLOOKUP(A155,Educacional!A$2:P$405,16,FALSE)</f>
        <v>63.701244381639619</v>
      </c>
      <c r="F155" s="171">
        <f>VLOOKUP(A155,Demográfico!A$2:L$405,12,FALSE)</f>
        <v>64.530593179506297</v>
      </c>
      <c r="G155" s="172">
        <f>VLOOKUP(A155,Socioeconômico!A$2:M$405,13,FALSE)</f>
        <v>68.442849541453157</v>
      </c>
      <c r="H155" s="173">
        <f>(2*E155+F155+2*G155)/5/100</f>
        <v>0.65763756205138368</v>
      </c>
      <c r="I155" s="170">
        <f>VLOOKUP(A155,Resultados!A$2:B553,2,FALSE)</f>
        <v>0</v>
      </c>
      <c r="J155" s="5">
        <f>IFERROR(VLOOKUP(A155,Demográfico!A$2:E$400,5,FALSE)/(VLOOKUP(C155,Metodologia!A$2:G$9,7,FALSE))*D155,0)</f>
        <v>0.19802198460831663</v>
      </c>
      <c r="K155" s="72">
        <f>(J155*(1+H155)-I155)</f>
        <v>0.32824867979870659</v>
      </c>
      <c r="L155" s="3">
        <v>1</v>
      </c>
      <c r="M155" s="66">
        <f>VLOOKUP(A155,Demográfico!A$2:E$400,5,FALSE)*H155</f>
        <v>1140.3435325970993</v>
      </c>
      <c r="N155" s="68">
        <f>IFERROR(FLOOR(K155,1),0)</f>
        <v>0</v>
      </c>
      <c r="O155" s="68">
        <f>K155-N155</f>
        <v>0.32824867979870659</v>
      </c>
      <c r="P155" s="65">
        <f>IFERROR(RANK(O155,O$2:O$400,0),0)</f>
        <v>124</v>
      </c>
      <c r="Q155" s="3">
        <f>N155+IF(P155&lt;P$1,1,0)</f>
        <v>0</v>
      </c>
      <c r="S155" s="65">
        <f>VLOOKUP(A155,Demográfico!A$2:E$400,5,FALSE)*(H155)</f>
        <v>1140.3435325970993</v>
      </c>
      <c r="T155" s="79">
        <f>IFERROR(D155/D155,0)</f>
        <v>1</v>
      </c>
      <c r="U155" s="65">
        <f t="shared" si="2"/>
        <v>1140.3435325970993</v>
      </c>
    </row>
    <row r="156" spans="1:21" ht="19.5" x14ac:dyDescent="0.25">
      <c r="A156" s="2" t="s">
        <v>160</v>
      </c>
      <c r="B156" s="168">
        <v>13033</v>
      </c>
      <c r="C156" s="169" t="str" cm="1">
        <f t="array" ref="C156">_xlfn.IFS(B156&lt;5000, "P1",B156&lt;20000, "P2",B156&lt;70000, "P3",B156&lt;100000, "P4",B156&lt;200000,"M1",B156&lt;500000,"M2",B156&lt;1000000,"G1",B156&gt;1000000,"G2")</f>
        <v>P2</v>
      </c>
      <c r="D156" s="170">
        <f>VLOOKUP(C156,Metodologia!A$2:H$9,8,FALSE)</f>
        <v>32.634342822133917</v>
      </c>
      <c r="E156" s="171">
        <f>VLOOKUP(A156,Educacional!A$2:P$405,16,FALSE)</f>
        <v>65.363890049467727</v>
      </c>
      <c r="F156" s="171">
        <f>VLOOKUP(A156,Demográfico!A$2:L$405,12,FALSE)</f>
        <v>49.481260285291114</v>
      </c>
      <c r="G156" s="172">
        <f>VLOOKUP(A156,Socioeconômico!A$2:M$405,13,FALSE)</f>
        <v>61.862136944077363</v>
      </c>
      <c r="H156" s="173">
        <f>(2*E156+F156+2*G156)/5/100</f>
        <v>0.60786662854476259</v>
      </c>
      <c r="I156" s="170">
        <f>VLOOKUP(A156,Resultados!A$2:B554,2,FALSE)</f>
        <v>0</v>
      </c>
      <c r="J156" s="5">
        <f>IFERROR(VLOOKUP(A156,Demográfico!A$2:E$400,5,FALSE)/(VLOOKUP(C156,Metodologia!A$2:G$9,7,FALSE))*D156,0)</f>
        <v>0.21024133429291289</v>
      </c>
      <c r="K156" s="72">
        <f>(J156*(1+H156)-I156)</f>
        <v>0.3380400253502982</v>
      </c>
      <c r="L156" s="3">
        <v>1</v>
      </c>
      <c r="M156" s="66">
        <f>VLOOKUP(A156,Demográfico!A$2:E$400,5,FALSE)*H156</f>
        <v>1119.0824631509079</v>
      </c>
      <c r="N156" s="68">
        <f>IFERROR(FLOOR(K156,1),0)</f>
        <v>0</v>
      </c>
      <c r="O156" s="68">
        <f>K156-N156</f>
        <v>0.3380400253502982</v>
      </c>
      <c r="P156" s="65">
        <f>IFERROR(RANK(O156,O$2:O$400,0),0)</f>
        <v>120</v>
      </c>
      <c r="Q156" s="3">
        <f>N156+IF(P156&lt;P$1,1,0)</f>
        <v>0</v>
      </c>
      <c r="S156" s="65">
        <f>VLOOKUP(A156,Demográfico!A$2:E$400,5,FALSE)*(H156)</f>
        <v>1119.0824631509079</v>
      </c>
      <c r="T156" s="79">
        <f>IFERROR(D156/D156,0)</f>
        <v>1</v>
      </c>
      <c r="U156" s="65">
        <f t="shared" si="2"/>
        <v>1119.0824631509079</v>
      </c>
    </row>
    <row r="157" spans="1:21" ht="19.5" x14ac:dyDescent="0.25">
      <c r="A157" s="2" t="s">
        <v>161</v>
      </c>
      <c r="B157" s="168">
        <v>12923</v>
      </c>
      <c r="C157" s="169" t="str" cm="1">
        <f t="array" ref="C157">_xlfn.IFS(B157&lt;5000, "P1",B157&lt;20000, "P2",B157&lt;70000, "P3",B157&lt;100000, "P4",B157&lt;200000,"M1",B157&lt;500000,"M2",B157&lt;1000000,"G1",B157&gt;1000000,"G2")</f>
        <v>P2</v>
      </c>
      <c r="D157" s="170">
        <f>VLOOKUP(C157,Metodologia!A$2:H$9,8,FALSE)</f>
        <v>32.634342822133917</v>
      </c>
      <c r="E157" s="171">
        <f>VLOOKUP(A157,Educacional!A$2:P$405,16,FALSE)</f>
        <v>37.268913781665816</v>
      </c>
      <c r="F157" s="171">
        <f>VLOOKUP(A157,Demográfico!A$2:L$405,12,FALSE)</f>
        <v>40.049449939501173</v>
      </c>
      <c r="G157" s="172">
        <f>VLOOKUP(A157,Socioeconômico!A$2:M$405,13,FALSE)</f>
        <v>34.477850567523937</v>
      </c>
      <c r="H157" s="173">
        <f>(2*E157+F157+2*G157)/5/100</f>
        <v>0.36708595727576138</v>
      </c>
      <c r="I157" s="170">
        <f>VLOOKUP(A157,Resultados!A$2:B555,2,FALSE)</f>
        <v>0</v>
      </c>
      <c r="J157" s="5">
        <f>IFERROR(VLOOKUP(A157,Demográfico!A$2:E$400,5,FALSE)/(VLOOKUP(C157,Metodologia!A$2:G$9,7,FALSE))*D157,0)</f>
        <v>0.19368240247733853</v>
      </c>
      <c r="K157" s="72">
        <f>(J157*(1+H157)-I157)</f>
        <v>0.26478049259820163</v>
      </c>
      <c r="L157" s="3">
        <v>0</v>
      </c>
      <c r="M157" s="66">
        <f>VLOOKUP(A157,Demográfico!A$2:E$400,5,FALSE)*H157</f>
        <v>622.57778353969127</v>
      </c>
      <c r="N157" s="68">
        <f>IFERROR(FLOOR(K157,1),0)</f>
        <v>0</v>
      </c>
      <c r="O157" s="68">
        <f>K157-N157</f>
        <v>0.26478049259820163</v>
      </c>
      <c r="P157" s="65">
        <f>IFERROR(RANK(O157,O$2:O$400,0),0)</f>
        <v>156</v>
      </c>
      <c r="Q157" s="3">
        <f>N157+IF(P157&lt;P$1,1,0)</f>
        <v>0</v>
      </c>
      <c r="S157" s="65">
        <f>VLOOKUP(A157,Demográfico!A$2:E$400,5,FALSE)*(H157)</f>
        <v>622.57778353969127</v>
      </c>
      <c r="T157" s="79">
        <f>IFERROR(D157/D157,0)</f>
        <v>1</v>
      </c>
      <c r="U157" s="65">
        <f t="shared" si="2"/>
        <v>622.57778353969127</v>
      </c>
    </row>
    <row r="158" spans="1:21" ht="19.5" x14ac:dyDescent="0.25">
      <c r="A158" s="2" t="s">
        <v>162</v>
      </c>
      <c r="B158" s="168">
        <v>12699</v>
      </c>
      <c r="C158" s="169" t="str" cm="1">
        <f t="array" ref="C158">_xlfn.IFS(B158&lt;5000, "P1",B158&lt;20000, "P2",B158&lt;70000, "P3",B158&lt;100000, "P4",B158&lt;200000,"M1",B158&lt;500000,"M2",B158&lt;1000000,"G1",B158&gt;1000000,"G2")</f>
        <v>P2</v>
      </c>
      <c r="D158" s="170">
        <f>VLOOKUP(C158,Metodologia!A$2:H$9,8,FALSE)</f>
        <v>32.634342822133917</v>
      </c>
      <c r="E158" s="171">
        <f>VLOOKUP(A158,Educacional!A$2:P$405,16,FALSE)</f>
        <v>76.506517769181116</v>
      </c>
      <c r="F158" s="171">
        <f>VLOOKUP(A158,Demográfico!A$2:L$405,12,FALSE)</f>
        <v>36.191089140501234</v>
      </c>
      <c r="G158" s="172">
        <f>VLOOKUP(A158,Socioeconômico!A$2:M$405,13,FALSE)</f>
        <v>32.387636918637583</v>
      </c>
      <c r="H158" s="173">
        <f>(2*E158+F158+2*G158)/5/100</f>
        <v>0.50795879703227731</v>
      </c>
      <c r="I158" s="170">
        <f>VLOOKUP(A158,Resultados!A$2:B556,2,FALSE)</f>
        <v>0</v>
      </c>
      <c r="J158" s="5">
        <f>IFERROR(VLOOKUP(A158,Demográfico!A$2:E$400,5,FALSE)/(VLOOKUP(C158,Metodologia!A$2:G$9,7,FALSE))*D158,0)</f>
        <v>0.19288300576900047</v>
      </c>
      <c r="K158" s="72">
        <f>(J158*(1+H158)-I158)</f>
        <v>0.29085962534739179</v>
      </c>
      <c r="L158" s="3">
        <v>1</v>
      </c>
      <c r="M158" s="66">
        <f>VLOOKUP(A158,Demográfico!A$2:E$400,5,FALSE)*H158</f>
        <v>857.94240818751632</v>
      </c>
      <c r="N158" s="68">
        <f>IFERROR(FLOOR(K158,1),0)</f>
        <v>0</v>
      </c>
      <c r="O158" s="68">
        <f>K158-N158</f>
        <v>0.29085962534739179</v>
      </c>
      <c r="P158" s="65">
        <f>IFERROR(RANK(O158,O$2:O$400,0),0)</f>
        <v>142</v>
      </c>
      <c r="Q158" s="3">
        <f>N158+IF(P158&lt;P$1,1,0)</f>
        <v>0</v>
      </c>
      <c r="S158" s="65">
        <f>VLOOKUP(A158,Demográfico!A$2:E$400,5,FALSE)*(H158)</f>
        <v>857.94240818751632</v>
      </c>
      <c r="T158" s="79">
        <f>IFERROR(D158/D158,0)</f>
        <v>1</v>
      </c>
      <c r="U158" s="65">
        <f t="shared" si="2"/>
        <v>857.94240818751632</v>
      </c>
    </row>
    <row r="159" spans="1:21" ht="19.5" x14ac:dyDescent="0.25">
      <c r="A159" s="2" t="s">
        <v>163</v>
      </c>
      <c r="B159" s="168">
        <v>12454</v>
      </c>
      <c r="C159" s="169" t="str" cm="1">
        <f t="array" ref="C159">_xlfn.IFS(B159&lt;5000, "P1",B159&lt;20000, "P2",B159&lt;70000, "P3",B159&lt;100000, "P4",B159&lt;200000,"M1",B159&lt;500000,"M2",B159&lt;1000000,"G1",B159&gt;1000000,"G2")</f>
        <v>P2</v>
      </c>
      <c r="D159" s="170">
        <f>VLOOKUP(C159,Metodologia!A$2:H$9,8,FALSE)</f>
        <v>32.634342822133917</v>
      </c>
      <c r="E159" s="171">
        <f>VLOOKUP(A159,Educacional!A$2:P$405,16,FALSE)</f>
        <v>32.321370393944953</v>
      </c>
      <c r="F159" s="171">
        <f>VLOOKUP(A159,Demográfico!A$2:L$405,12,FALSE)</f>
        <v>28.084924417844842</v>
      </c>
      <c r="G159" s="172">
        <f>VLOOKUP(A159,Socioeconômico!A$2:M$405,13,FALSE)</f>
        <v>48.461848192354338</v>
      </c>
      <c r="H159" s="173">
        <f>(2*E159+F159+2*G159)/5/100</f>
        <v>0.37930272318088681</v>
      </c>
      <c r="I159" s="170">
        <f>VLOOKUP(A159,Resultados!A$2:B557,2,FALSE)</f>
        <v>0</v>
      </c>
      <c r="J159" s="5">
        <f>IFERROR(VLOOKUP(A159,Demográfico!A$2:E$400,5,FALSE)/(VLOOKUP(C159,Metodologia!A$2:G$9,7,FALSE))*D159,0)</f>
        <v>0.1651325200366931</v>
      </c>
      <c r="K159" s="72">
        <f>(J159*(1+H159)-I159)</f>
        <v>0.22776773457233312</v>
      </c>
      <c r="L159" s="3">
        <v>0</v>
      </c>
      <c r="M159" s="66">
        <f>VLOOKUP(A159,Demográfico!A$2:E$400,5,FALSE)*H159</f>
        <v>548.47173771956238</v>
      </c>
      <c r="N159" s="68">
        <f>IFERROR(FLOOR(K159,1),0)</f>
        <v>0</v>
      </c>
      <c r="O159" s="68">
        <f>K159-N159</f>
        <v>0.22776773457233312</v>
      </c>
      <c r="P159" s="65">
        <f>IFERROR(RANK(O159,O$2:O$400,0),0)</f>
        <v>179</v>
      </c>
      <c r="Q159" s="3">
        <f>N159+IF(P159&lt;P$1,1,0)</f>
        <v>0</v>
      </c>
      <c r="S159" s="65">
        <f>VLOOKUP(A159,Demográfico!A$2:E$400,5,FALSE)*(H159)</f>
        <v>548.47173771956238</v>
      </c>
      <c r="T159" s="79">
        <f>IFERROR(D159/D159,0)</f>
        <v>1</v>
      </c>
      <c r="U159" s="65">
        <f t="shared" si="2"/>
        <v>548.47173771956238</v>
      </c>
    </row>
    <row r="160" spans="1:21" ht="19.5" x14ac:dyDescent="0.25">
      <c r="A160" s="2" t="s">
        <v>164</v>
      </c>
      <c r="B160" s="168">
        <v>12364</v>
      </c>
      <c r="C160" s="169" t="str" cm="1">
        <f t="array" ref="C160">_xlfn.IFS(B160&lt;5000, "P1",B160&lt;20000, "P2",B160&lt;70000, "P3",B160&lt;100000, "P4",B160&lt;200000,"M1",B160&lt;500000,"M2",B160&lt;1000000,"G1",B160&gt;1000000,"G2")</f>
        <v>P2</v>
      </c>
      <c r="D160" s="170">
        <f>VLOOKUP(C160,Metodologia!A$2:H$9,8,FALSE)</f>
        <v>32.634342822133917</v>
      </c>
      <c r="E160" s="171">
        <f>VLOOKUP(A160,Educacional!A$2:P$405,16,FALSE)</f>
        <v>54.997121111186296</v>
      </c>
      <c r="F160" s="171">
        <f>VLOOKUP(A160,Demográfico!A$2:L$405,12,FALSE)</f>
        <v>38.346452141548774</v>
      </c>
      <c r="G160" s="172">
        <f>VLOOKUP(A160,Socioeconômico!A$2:M$405,13,FALSE)</f>
        <v>41.549414255443843</v>
      </c>
      <c r="H160" s="173">
        <f>(2*E160+F160+2*G160)/5/100</f>
        <v>0.46287904574961808</v>
      </c>
      <c r="I160" s="170">
        <f>VLOOKUP(A160,Resultados!A$2:B558,2,FALSE)</f>
        <v>1</v>
      </c>
      <c r="J160" s="5">
        <f>IFERROR(VLOOKUP(A160,Demográfico!A$2:E$400,5,FALSE)/(VLOOKUP(C160,Metodologia!A$2:G$9,7,FALSE))*D160,0)</f>
        <v>0.17232709041173574</v>
      </c>
      <c r="K160" s="72">
        <f>(J160*(1+H160)-I160)</f>
        <v>-0.74790631042167188</v>
      </c>
      <c r="L160" s="3">
        <v>1</v>
      </c>
      <c r="M160" s="66">
        <f>VLOOKUP(A160,Demográfico!A$2:E$400,5,FALSE)*H160</f>
        <v>698.48448003617364</v>
      </c>
      <c r="N160" s="68">
        <f>IFERROR(FLOOR(K160,1),0)</f>
        <v>-1</v>
      </c>
      <c r="O160" s="68">
        <f>K160-N160</f>
        <v>0.25209368957832812</v>
      </c>
      <c r="P160" s="65">
        <f>IFERROR(RANK(O160,O$2:O$400,0),0)</f>
        <v>164</v>
      </c>
      <c r="Q160" s="3">
        <f>N160+IF(P160&lt;P$1,1,0)</f>
        <v>-1</v>
      </c>
      <c r="S160" s="65">
        <f>VLOOKUP(A160,Demográfico!A$2:E$400,5,FALSE)*(H160)</f>
        <v>698.48448003617364</v>
      </c>
      <c r="T160" s="79">
        <f>IFERROR(D160/D160,0)</f>
        <v>1</v>
      </c>
      <c r="U160" s="65">
        <f t="shared" si="2"/>
        <v>698.48448003617364</v>
      </c>
    </row>
    <row r="161" spans="1:21" ht="19.5" x14ac:dyDescent="0.25">
      <c r="A161" s="2" t="s">
        <v>165</v>
      </c>
      <c r="B161" s="168">
        <v>12344</v>
      </c>
      <c r="C161" s="169" t="str" cm="1">
        <f t="array" ref="C161">_xlfn.IFS(B161&lt;5000, "P1",B161&lt;20000, "P2",B161&lt;70000, "P3",B161&lt;100000, "P4",B161&lt;200000,"M1",B161&lt;500000,"M2",B161&lt;1000000,"G1",B161&gt;1000000,"G2")</f>
        <v>P2</v>
      </c>
      <c r="D161" s="170">
        <f>VLOOKUP(C161,Metodologia!A$2:H$9,8,FALSE)</f>
        <v>32.634342822133917</v>
      </c>
      <c r="E161" s="171">
        <f>VLOOKUP(A161,Educacional!A$2:P$405,16,FALSE)</f>
        <v>54.040104505808237</v>
      </c>
      <c r="F161" s="171">
        <f>VLOOKUP(A161,Demográfico!A$2:L$405,12,FALSE)</f>
        <v>52.838621528550867</v>
      </c>
      <c r="G161" s="172">
        <f>VLOOKUP(A161,Socioeconômico!A$2:M$405,13,FALSE)</f>
        <v>34.454248531662678</v>
      </c>
      <c r="H161" s="173">
        <f>(2*E161+F161+2*G161)/5/100</f>
        <v>0.45965465520698534</v>
      </c>
      <c r="I161" s="170">
        <f>VLOOKUP(A161,Resultados!A$2:B559,2,FALSE)</f>
        <v>0</v>
      </c>
      <c r="J161" s="5">
        <f>IFERROR(VLOOKUP(A161,Demográfico!A$2:E$400,5,FALSE)/(VLOOKUP(C161,Metodologia!A$2:G$9,7,FALSE))*D161,0)</f>
        <v>0.18169145185226745</v>
      </c>
      <c r="K161" s="72">
        <f>(J161*(1+H161)-I161)</f>
        <v>0.26520677350747801</v>
      </c>
      <c r="L161" s="3">
        <v>1</v>
      </c>
      <c r="M161" s="66">
        <f>VLOOKUP(A161,Demográfico!A$2:E$400,5,FALSE)*H161</f>
        <v>731.31055643431364</v>
      </c>
      <c r="N161" s="68">
        <f>IFERROR(FLOOR(K161,1),0)</f>
        <v>0</v>
      </c>
      <c r="O161" s="68">
        <f>K161-N161</f>
        <v>0.26520677350747801</v>
      </c>
      <c r="P161" s="65">
        <f>IFERROR(RANK(O161,O$2:O$400,0),0)</f>
        <v>155</v>
      </c>
      <c r="Q161" s="3">
        <f>N161+IF(P161&lt;P$1,1,0)</f>
        <v>0</v>
      </c>
      <c r="S161" s="65">
        <f>VLOOKUP(A161,Demográfico!A$2:E$400,5,FALSE)*(H161)</f>
        <v>731.31055643431364</v>
      </c>
      <c r="T161" s="79">
        <f>IFERROR(D161/D161,0)</f>
        <v>1</v>
      </c>
      <c r="U161" s="65">
        <f t="shared" si="2"/>
        <v>731.31055643431364</v>
      </c>
    </row>
    <row r="162" spans="1:21" ht="19.5" x14ac:dyDescent="0.25">
      <c r="A162" s="2" t="s">
        <v>166</v>
      </c>
      <c r="B162" s="168">
        <v>12074</v>
      </c>
      <c r="C162" s="169" t="str" cm="1">
        <f t="array" ref="C162">_xlfn.IFS(B162&lt;5000, "P1",B162&lt;20000, "P2",B162&lt;70000, "P3",B162&lt;100000, "P4",B162&lt;200000,"M1",B162&lt;500000,"M2",B162&lt;1000000,"G1",B162&gt;1000000,"G2")</f>
        <v>P2</v>
      </c>
      <c r="D162" s="170">
        <f>VLOOKUP(C162,Metodologia!A$2:H$9,8,FALSE)</f>
        <v>32.634342822133917</v>
      </c>
      <c r="E162" s="171">
        <f>VLOOKUP(A162,Educacional!A$2:P$405,16,FALSE)</f>
        <v>80.505035345230624</v>
      </c>
      <c r="F162" s="171">
        <f>VLOOKUP(A162,Demográfico!A$2:L$405,12,FALSE)</f>
        <v>76.906000405486537</v>
      </c>
      <c r="G162" s="172">
        <f>VLOOKUP(A162,Socioeconômico!A$2:M$405,13,FALSE)</f>
        <v>59.116762969253799</v>
      </c>
      <c r="H162" s="173">
        <f>(2*E162+F162+2*G162)/5/100</f>
        <v>0.71229919406891073</v>
      </c>
      <c r="I162" s="170">
        <f>VLOOKUP(A162,Resultados!A$2:B560,2,FALSE)</f>
        <v>1</v>
      </c>
      <c r="J162" s="5">
        <f>IFERROR(VLOOKUP(A162,Demográfico!A$2:E$400,5,FALSE)/(VLOOKUP(C162,Metodologia!A$2:G$9,7,FALSE))*D162,0)</f>
        <v>0.22143288820964588</v>
      </c>
      <c r="K162" s="72">
        <f>(J162*(1+H162)-I162)</f>
        <v>-0.6208406439782721</v>
      </c>
      <c r="L162" s="3">
        <v>1</v>
      </c>
      <c r="M162" s="66">
        <f>VLOOKUP(A162,Demográfico!A$2:E$400,5,FALSE)*H162</f>
        <v>1381.1481372996179</v>
      </c>
      <c r="N162" s="68">
        <f>IFERROR(FLOOR(K162,1),0)</f>
        <v>-1</v>
      </c>
      <c r="O162" s="68">
        <f>K162-N162</f>
        <v>0.3791593560217279</v>
      </c>
      <c r="P162" s="65">
        <f>IFERROR(RANK(O162,O$2:O$400,0),0)</f>
        <v>97</v>
      </c>
      <c r="Q162" s="3">
        <f>N162+IF(P162&lt;P$1,1,0)</f>
        <v>0</v>
      </c>
      <c r="S162" s="65">
        <f>VLOOKUP(A162,Demográfico!A$2:E$400,5,FALSE)*(H162)</f>
        <v>1381.1481372996179</v>
      </c>
      <c r="T162" s="79">
        <f>IFERROR(D162/D162,0)</f>
        <v>1</v>
      </c>
      <c r="U162" s="65">
        <f t="shared" si="2"/>
        <v>1381.1481372996179</v>
      </c>
    </row>
    <row r="163" spans="1:21" ht="19.5" x14ac:dyDescent="0.25">
      <c r="A163" s="2" t="s">
        <v>167</v>
      </c>
      <c r="B163" s="168">
        <v>12004</v>
      </c>
      <c r="C163" s="169" t="str" cm="1">
        <f t="array" ref="C163">_xlfn.IFS(B163&lt;5000, "P1",B163&lt;20000, "P2",B163&lt;70000, "P3",B163&lt;100000, "P4",B163&lt;200000,"M1",B163&lt;500000,"M2",B163&lt;1000000,"G1",B163&gt;1000000,"G2")</f>
        <v>P2</v>
      </c>
      <c r="D163" s="170">
        <f>VLOOKUP(C163,Metodologia!A$2:H$9,8,FALSE)</f>
        <v>32.634342822133917</v>
      </c>
      <c r="E163" s="171">
        <f>VLOOKUP(A163,Educacional!A$2:P$405,16,FALSE)</f>
        <v>58.524907946429309</v>
      </c>
      <c r="F163" s="171">
        <f>VLOOKUP(A163,Demográfico!A$2:L$405,12,FALSE)</f>
        <v>37.987122492118594</v>
      </c>
      <c r="G163" s="172">
        <f>VLOOKUP(A163,Socioeconômico!A$2:M$405,13,FALSE)</f>
        <v>49.235815480094544</v>
      </c>
      <c r="H163" s="173">
        <f>(2*E163+F163+2*G163)/5/100</f>
        <v>0.5070171386903326</v>
      </c>
      <c r="I163" s="170">
        <f>VLOOKUP(A163,Resultados!A$2:B561,2,FALSE)</f>
        <v>0</v>
      </c>
      <c r="J163" s="5">
        <f>IFERROR(VLOOKUP(A163,Demográfico!A$2:E$400,5,FALSE)/(VLOOKUP(C163,Metodologia!A$2:G$9,7,FALSE))*D163,0)</f>
        <v>0.1682159073402828</v>
      </c>
      <c r="K163" s="72">
        <f>(J163*(1+H163)-I163)</f>
        <v>0.2535042553621511</v>
      </c>
      <c r="L163" s="3">
        <v>1</v>
      </c>
      <c r="M163" s="66">
        <f>VLOOKUP(A163,Demográfico!A$2:E$400,5,FALSE)*H163</f>
        <v>746.83624529085989</v>
      </c>
      <c r="N163" s="68">
        <f>IFERROR(FLOOR(K163,1),0)</f>
        <v>0</v>
      </c>
      <c r="O163" s="68">
        <f>K163-N163</f>
        <v>0.2535042553621511</v>
      </c>
      <c r="P163" s="65">
        <f>IFERROR(RANK(O163,O$2:O$400,0),0)</f>
        <v>163</v>
      </c>
      <c r="Q163" s="3">
        <f>N163+IF(P163&lt;P$1,1,0)</f>
        <v>0</v>
      </c>
      <c r="S163" s="65">
        <f>VLOOKUP(A163,Demográfico!A$2:E$400,5,FALSE)*(H163)</f>
        <v>746.83624529085989</v>
      </c>
      <c r="T163" s="79">
        <f>IFERROR(D163/D163,0)</f>
        <v>1</v>
      </c>
      <c r="U163" s="65">
        <f t="shared" si="2"/>
        <v>746.83624529085989</v>
      </c>
    </row>
    <row r="164" spans="1:21" ht="19.5" x14ac:dyDescent="0.25">
      <c r="A164" s="2" t="s">
        <v>168</v>
      </c>
      <c r="B164" s="168">
        <v>11945</v>
      </c>
      <c r="C164" s="169" t="str" cm="1">
        <f t="array" ref="C164">_xlfn.IFS(B164&lt;5000, "P1",B164&lt;20000, "P2",B164&lt;70000, "P3",B164&lt;100000, "P4",B164&lt;200000,"M1",B164&lt;500000,"M2",B164&lt;1000000,"G1",B164&gt;1000000,"G2")</f>
        <v>P2</v>
      </c>
      <c r="D164" s="170">
        <f>VLOOKUP(C164,Metodologia!A$2:H$9,8,FALSE)</f>
        <v>32.634342822133917</v>
      </c>
      <c r="E164" s="171">
        <f>VLOOKUP(A164,Educacional!A$2:P$405,16,FALSE)</f>
        <v>40.474299605319906</v>
      </c>
      <c r="F164" s="171">
        <f>VLOOKUP(A164,Demográfico!A$2:L$405,12,FALSE)</f>
        <v>64.144509267279886</v>
      </c>
      <c r="G164" s="172">
        <f>VLOOKUP(A164,Socioeconômico!A$2:M$405,13,FALSE)</f>
        <v>20.634758149414196</v>
      </c>
      <c r="H164" s="173">
        <f>(2*E164+F164+2*G164)/5/100</f>
        <v>0.37272524955349623</v>
      </c>
      <c r="I164" s="170">
        <f>VLOOKUP(A164,Resultados!A$2:B562,2,FALSE)</f>
        <v>0</v>
      </c>
      <c r="J164" s="5">
        <f>IFERROR(VLOOKUP(A164,Demográfico!A$2:E$400,5,FALSE)/(VLOOKUP(C164,Metodologia!A$2:G$9,7,FALSE))*D164,0)</f>
        <v>0.18260504809036812</v>
      </c>
      <c r="K164" s="72">
        <f>(J164*(1+H164)-I164)</f>
        <v>0.25066656020957878</v>
      </c>
      <c r="L164" s="3">
        <v>0</v>
      </c>
      <c r="M164" s="66">
        <f>VLOOKUP(A164,Demográfico!A$2:E$400,5,FALSE)*H164</f>
        <v>595.98767403604052</v>
      </c>
      <c r="N164" s="68">
        <f>IFERROR(FLOOR(K164,1),0)</f>
        <v>0</v>
      </c>
      <c r="O164" s="68">
        <f>K164-N164</f>
        <v>0.25066656020957878</v>
      </c>
      <c r="P164" s="65">
        <f>IFERROR(RANK(O164,O$2:O$400,0),0)</f>
        <v>165</v>
      </c>
      <c r="Q164" s="3">
        <f>N164+IF(P164&lt;P$1,1,0)</f>
        <v>0</v>
      </c>
      <c r="S164" s="65">
        <f>VLOOKUP(A164,Demográfico!A$2:E$400,5,FALSE)*(H164)</f>
        <v>595.98767403604052</v>
      </c>
      <c r="T164" s="79">
        <f>IFERROR(D164/D164,0)</f>
        <v>1</v>
      </c>
      <c r="U164" s="65">
        <f t="shared" si="2"/>
        <v>595.98767403604052</v>
      </c>
    </row>
    <row r="165" spans="1:21" ht="19.5" x14ac:dyDescent="0.25">
      <c r="A165" s="2" t="s">
        <v>169</v>
      </c>
      <c r="B165" s="168">
        <v>11886</v>
      </c>
      <c r="C165" s="169" t="str" cm="1">
        <f t="array" ref="C165">_xlfn.IFS(B165&lt;5000, "P1",B165&lt;20000, "P2",B165&lt;70000, "P3",B165&lt;100000, "P4",B165&lt;200000,"M1",B165&lt;500000,"M2",B165&lt;1000000,"G1",B165&gt;1000000,"G2")</f>
        <v>P2</v>
      </c>
      <c r="D165" s="170">
        <f>VLOOKUP(C165,Metodologia!A$2:H$9,8,FALSE)</f>
        <v>32.634342822133917</v>
      </c>
      <c r="E165" s="171">
        <f>VLOOKUP(A165,Educacional!A$2:P$405,16,FALSE)</f>
        <v>52.153779237800691</v>
      </c>
      <c r="F165" s="171">
        <f>VLOOKUP(A165,Demográfico!A$2:L$405,12,FALSE)</f>
        <v>37.329843515497252</v>
      </c>
      <c r="G165" s="172">
        <f>VLOOKUP(A165,Socioeconômico!A$2:M$405,13,FALSE)</f>
        <v>25.39042380375087</v>
      </c>
      <c r="H165" s="173">
        <f>(2*E165+F165+2*G165)/5/100</f>
        <v>0.3848364991972007</v>
      </c>
      <c r="I165" s="170">
        <f>VLOOKUP(A165,Resultados!A$2:B563,2,FALSE)</f>
        <v>0</v>
      </c>
      <c r="J165" s="5">
        <f>IFERROR(VLOOKUP(A165,Demográfico!A$2:E$400,5,FALSE)/(VLOOKUP(C165,Metodologia!A$2:G$9,7,FALSE))*D165,0)</f>
        <v>0.16547511862598085</v>
      </c>
      <c r="K165" s="72">
        <f>(J165*(1+H165)-I165)</f>
        <v>0.22915598398224482</v>
      </c>
      <c r="L165" s="3">
        <v>0</v>
      </c>
      <c r="M165" s="66">
        <f>VLOOKUP(A165,Demográfico!A$2:E$400,5,FALSE)*H165</f>
        <v>557.62808733674376</v>
      </c>
      <c r="N165" s="68">
        <f>IFERROR(FLOOR(K165,1),0)</f>
        <v>0</v>
      </c>
      <c r="O165" s="68">
        <f>K165-N165</f>
        <v>0.22915598398224482</v>
      </c>
      <c r="P165" s="65">
        <f>IFERROR(RANK(O165,O$2:O$400,0),0)</f>
        <v>177</v>
      </c>
      <c r="Q165" s="3">
        <f>N165+IF(P165&lt;P$1,1,0)</f>
        <v>0</v>
      </c>
      <c r="S165" s="65">
        <f>VLOOKUP(A165,Demográfico!A$2:E$400,5,FALSE)*(H165)</f>
        <v>557.62808733674376</v>
      </c>
      <c r="T165" s="79">
        <f>IFERROR(D165/D165,0)</f>
        <v>1</v>
      </c>
      <c r="U165" s="65">
        <f t="shared" si="2"/>
        <v>557.62808733674376</v>
      </c>
    </row>
    <row r="166" spans="1:21" ht="19.5" x14ac:dyDescent="0.25">
      <c r="A166" s="2" t="s">
        <v>170</v>
      </c>
      <c r="B166" s="168">
        <v>11878</v>
      </c>
      <c r="C166" s="169" t="str" cm="1">
        <f t="array" ref="C166">_xlfn.IFS(B166&lt;5000, "P1",B166&lt;20000, "P2",B166&lt;70000, "P3",B166&lt;100000, "P4",B166&lt;200000,"M1",B166&lt;500000,"M2",B166&lt;1000000,"G1",B166&gt;1000000,"G2")</f>
        <v>P2</v>
      </c>
      <c r="D166" s="170">
        <f>VLOOKUP(C166,Metodologia!A$2:H$9,8,FALSE)</f>
        <v>32.634342822133917</v>
      </c>
      <c r="E166" s="171">
        <f>VLOOKUP(A166,Educacional!A$2:P$405,16,FALSE)</f>
        <v>48.387299497823115</v>
      </c>
      <c r="F166" s="171">
        <f>VLOOKUP(A166,Demográfico!A$2:L$405,12,FALSE)</f>
        <v>34.4664216025635</v>
      </c>
      <c r="G166" s="172">
        <f>VLOOKUP(A166,Socioeconômico!A$2:M$405,13,FALSE)</f>
        <v>33.599485593282594</v>
      </c>
      <c r="H166" s="173">
        <f>(2*E166+F166+2*G166)/5/100</f>
        <v>0.39687998356954984</v>
      </c>
      <c r="I166" s="170">
        <f>VLOOKUP(A166,Resultados!A$2:B564,2,FALSE)</f>
        <v>0</v>
      </c>
      <c r="J166" s="5">
        <f>IFERROR(VLOOKUP(A166,Demográfico!A$2:E$400,5,FALSE)/(VLOOKUP(C166,Metodologia!A$2:G$9,7,FALSE))*D166,0)</f>
        <v>0.16707391204265698</v>
      </c>
      <c r="K166" s="72">
        <f>(J166*(1+H166)-I166)</f>
        <v>0.23338220350904709</v>
      </c>
      <c r="L166" s="3">
        <v>0</v>
      </c>
      <c r="M166" s="66">
        <f>VLOOKUP(A166,Demográfico!A$2:E$400,5,FALSE)*H166</f>
        <v>580.63541596225139</v>
      </c>
      <c r="N166" s="68">
        <f>IFERROR(FLOOR(K166,1),0)</f>
        <v>0</v>
      </c>
      <c r="O166" s="68">
        <f>K166-N166</f>
        <v>0.23338220350904709</v>
      </c>
      <c r="P166" s="65">
        <f>IFERROR(RANK(O166,O$2:O$400,0),0)</f>
        <v>173</v>
      </c>
      <c r="Q166" s="3">
        <f>N166+IF(P166&lt;P$1,1,0)</f>
        <v>0</v>
      </c>
      <c r="S166" s="65">
        <f>VLOOKUP(A166,Demográfico!A$2:E$400,5,FALSE)*(H166)</f>
        <v>580.63541596225139</v>
      </c>
      <c r="T166" s="79">
        <f>IFERROR(D166/D166,0)</f>
        <v>1</v>
      </c>
      <c r="U166" s="65">
        <f t="shared" si="2"/>
        <v>580.63541596225139</v>
      </c>
    </row>
    <row r="167" spans="1:21" ht="19.5" x14ac:dyDescent="0.25">
      <c r="A167" s="2" t="s">
        <v>171</v>
      </c>
      <c r="B167" s="168">
        <v>11813</v>
      </c>
      <c r="C167" s="169" t="str" cm="1">
        <f t="array" ref="C167">_xlfn.IFS(B167&lt;5000, "P1",B167&lt;20000, "P2",B167&lt;70000, "P3",B167&lt;100000, "P4",B167&lt;200000,"M1",B167&lt;500000,"M2",B167&lt;1000000,"G1",B167&gt;1000000,"G2")</f>
        <v>P2</v>
      </c>
      <c r="D167" s="170">
        <f>VLOOKUP(C167,Metodologia!A$2:H$9,8,FALSE)</f>
        <v>32.634342822133917</v>
      </c>
      <c r="E167" s="171">
        <f>VLOOKUP(A167,Educacional!A$2:P$405,16,FALSE)</f>
        <v>56.243668408767114</v>
      </c>
      <c r="F167" s="171">
        <f>VLOOKUP(A167,Demográfico!A$2:L$405,12,FALSE)</f>
        <v>58.455340459410223</v>
      </c>
      <c r="G167" s="172">
        <f>VLOOKUP(A167,Socioeconômico!A$2:M$405,13,FALSE)</f>
        <v>46.919197163674284</v>
      </c>
      <c r="H167" s="173">
        <f>(2*E167+F167+2*G167)/5/100</f>
        <v>0.52956214320858597</v>
      </c>
      <c r="I167" s="170">
        <f>VLOOKUP(A167,Resultados!A$2:B565,2,FALSE)</f>
        <v>0</v>
      </c>
      <c r="J167" s="5">
        <f>IFERROR(VLOOKUP(A167,Demográfico!A$2:E$400,5,FALSE)/(VLOOKUP(C167,Metodologia!A$2:G$9,7,FALSE))*D167,0)</f>
        <v>0.17883646360820293</v>
      </c>
      <c r="K167" s="72">
        <f>(J167*(1+H167)-I167)</f>
        <v>0.27354148456040717</v>
      </c>
      <c r="L167" s="3">
        <v>1</v>
      </c>
      <c r="M167" s="66">
        <f>VLOOKUP(A167,Demográfico!A$2:E$400,5,FALSE)*H167</f>
        <v>829.29431626464566</v>
      </c>
      <c r="N167" s="68">
        <f>IFERROR(FLOOR(K167,1),0)</f>
        <v>0</v>
      </c>
      <c r="O167" s="68">
        <f>K167-N167</f>
        <v>0.27354148456040717</v>
      </c>
      <c r="P167" s="65">
        <f>IFERROR(RANK(O167,O$2:O$400,0),0)</f>
        <v>151</v>
      </c>
      <c r="Q167" s="3">
        <f>N167+IF(P167&lt;P$1,1,0)</f>
        <v>0</v>
      </c>
      <c r="S167" s="65">
        <f>VLOOKUP(A167,Demográfico!A$2:E$400,5,FALSE)*(H167)</f>
        <v>829.29431626464566</v>
      </c>
      <c r="T167" s="79">
        <f>IFERROR(D167/D167,0)</f>
        <v>1</v>
      </c>
      <c r="U167" s="65">
        <f t="shared" si="2"/>
        <v>829.29431626464566</v>
      </c>
    </row>
    <row r="168" spans="1:21" ht="19.5" x14ac:dyDescent="0.25">
      <c r="A168" s="2" t="s">
        <v>172</v>
      </c>
      <c r="B168" s="168">
        <v>11624</v>
      </c>
      <c r="C168" s="169" t="str" cm="1">
        <f t="array" ref="C168">_xlfn.IFS(B168&lt;5000, "P1",B168&lt;20000, "P2",B168&lt;70000, "P3",B168&lt;100000, "P4",B168&lt;200000,"M1",B168&lt;500000,"M2",B168&lt;1000000,"G1",B168&gt;1000000,"G2")</f>
        <v>P2</v>
      </c>
      <c r="D168" s="170">
        <f>VLOOKUP(C168,Metodologia!A$2:H$9,8,FALSE)</f>
        <v>32.634342822133917</v>
      </c>
      <c r="E168" s="171">
        <f>VLOOKUP(A168,Educacional!A$2:P$405,16,FALSE)</f>
        <v>47.83663565596423</v>
      </c>
      <c r="F168" s="171">
        <f>VLOOKUP(A168,Demográfico!A$2:L$405,12,FALSE)</f>
        <v>27.953215920218849</v>
      </c>
      <c r="G168" s="172">
        <f>VLOOKUP(A168,Socioeconômico!A$2:M$405,13,FALSE)</f>
        <v>52.642063391101516</v>
      </c>
      <c r="H168" s="173">
        <f>(2*E168+F168+2*G168)/5/100</f>
        <v>0.45782122802870068</v>
      </c>
      <c r="I168" s="170">
        <f>VLOOKUP(A168,Resultados!A$2:B566,2,FALSE)</f>
        <v>0</v>
      </c>
      <c r="J168" s="5">
        <f>IFERROR(VLOOKUP(A168,Demográfico!A$2:E$400,5,FALSE)/(VLOOKUP(C168,Metodologia!A$2:G$9,7,FALSE))*D168,0)</f>
        <v>0.14982978304850716</v>
      </c>
      <c r="K168" s="72">
        <f>(J168*(1+H168)-I168)</f>
        <v>0.2184250383190485</v>
      </c>
      <c r="L168" s="3">
        <v>0</v>
      </c>
      <c r="M168" s="66">
        <f>VLOOKUP(A168,Demográfico!A$2:E$400,5,FALSE)*H168</f>
        <v>600.66145117365534</v>
      </c>
      <c r="N168" s="68">
        <f>IFERROR(FLOOR(K168,1),0)</f>
        <v>0</v>
      </c>
      <c r="O168" s="68">
        <f>K168-N168</f>
        <v>0.2184250383190485</v>
      </c>
      <c r="P168" s="65">
        <f>IFERROR(RANK(O168,O$2:O$400,0),0)</f>
        <v>185</v>
      </c>
      <c r="Q168" s="3">
        <f>N168+IF(P168&lt;P$1,1,0)</f>
        <v>0</v>
      </c>
      <c r="S168" s="65">
        <f>VLOOKUP(A168,Demográfico!A$2:E$400,5,FALSE)*(H168)</f>
        <v>600.66145117365534</v>
      </c>
      <c r="T168" s="79">
        <f>IFERROR(D168/D168,0)</f>
        <v>1</v>
      </c>
      <c r="U168" s="65">
        <f t="shared" si="2"/>
        <v>600.66145117365534</v>
      </c>
    </row>
    <row r="169" spans="1:21" ht="19.5" x14ac:dyDescent="0.25">
      <c r="A169" s="2" t="s">
        <v>173</v>
      </c>
      <c r="B169" s="168">
        <v>11485</v>
      </c>
      <c r="C169" s="169" t="str" cm="1">
        <f t="array" ref="C169">_xlfn.IFS(B169&lt;5000, "P1",B169&lt;20000, "P2",B169&lt;70000, "P3",B169&lt;100000, "P4",B169&lt;200000,"M1",B169&lt;500000,"M2",B169&lt;1000000,"G1",B169&gt;1000000,"G2")</f>
        <v>P2</v>
      </c>
      <c r="D169" s="170">
        <f>VLOOKUP(C169,Metodologia!A$2:H$9,8,FALSE)</f>
        <v>32.634342822133917</v>
      </c>
      <c r="E169" s="171">
        <f>VLOOKUP(A169,Educacional!A$2:P$405,16,FALSE)</f>
        <v>35.137114607743264</v>
      </c>
      <c r="F169" s="171">
        <f>VLOOKUP(A169,Demográfico!A$2:L$405,12,FALSE)</f>
        <v>58.862433609244633</v>
      </c>
      <c r="G169" s="172">
        <f>VLOOKUP(A169,Socioeconômico!A$2:M$405,13,FALSE)</f>
        <v>17.154508918167384</v>
      </c>
      <c r="H169" s="173">
        <f>(2*E169+F169+2*G169)/5/100</f>
        <v>0.32689136132213187</v>
      </c>
      <c r="I169" s="170">
        <f>VLOOKUP(A169,Resultados!A$2:B567,2,FALSE)</f>
        <v>0</v>
      </c>
      <c r="J169" s="5">
        <f>IFERROR(VLOOKUP(A169,Demográfico!A$2:E$400,5,FALSE)/(VLOOKUP(C169,Metodologia!A$2:G$9,7,FALSE))*D169,0)</f>
        <v>0.18865762316778495</v>
      </c>
      <c r="K169" s="72">
        <f>(J169*(1+H169)-I169)</f>
        <v>0.25032817042889993</v>
      </c>
      <c r="L169" s="3">
        <v>0</v>
      </c>
      <c r="M169" s="66">
        <f>VLOOKUP(A169,Demográfico!A$2:E$400,5,FALSE)*H169</f>
        <v>540.0245289041618</v>
      </c>
      <c r="N169" s="68">
        <f>IFERROR(FLOOR(K169,1),0)</f>
        <v>0</v>
      </c>
      <c r="O169" s="68">
        <f>K169-N169</f>
        <v>0.25032817042889993</v>
      </c>
      <c r="P169" s="65">
        <f>IFERROR(RANK(O169,O$2:O$400,0),0)</f>
        <v>166</v>
      </c>
      <c r="Q169" s="3">
        <f>N169+IF(P169&lt;P$1,1,0)</f>
        <v>0</v>
      </c>
      <c r="S169" s="65">
        <f>VLOOKUP(A169,Demográfico!A$2:E$400,5,FALSE)*(H169)</f>
        <v>540.0245289041618</v>
      </c>
      <c r="T169" s="79">
        <f>IFERROR(D169/D169,0)</f>
        <v>1</v>
      </c>
      <c r="U169" s="65">
        <f t="shared" si="2"/>
        <v>540.0245289041618</v>
      </c>
    </row>
    <row r="170" spans="1:21" ht="19.5" x14ac:dyDescent="0.25">
      <c r="A170" s="2" t="s">
        <v>174</v>
      </c>
      <c r="B170" s="168">
        <v>11467</v>
      </c>
      <c r="C170" s="169" t="str" cm="1">
        <f t="array" ref="C170">_xlfn.IFS(B170&lt;5000, "P1",B170&lt;20000, "P2",B170&lt;70000, "P3",B170&lt;100000, "P4",B170&lt;200000,"M1",B170&lt;500000,"M2",B170&lt;1000000,"G1",B170&gt;1000000,"G2")</f>
        <v>P2</v>
      </c>
      <c r="D170" s="170">
        <f>VLOOKUP(C170,Metodologia!A$2:H$9,8,FALSE)</f>
        <v>32.634342822133917</v>
      </c>
      <c r="E170" s="171">
        <f>VLOOKUP(A170,Educacional!A$2:P$405,16,FALSE)</f>
        <v>42.297664016494764</v>
      </c>
      <c r="F170" s="171">
        <f>VLOOKUP(A170,Demográfico!A$2:L$405,12,FALSE)</f>
        <v>53.187900285024071</v>
      </c>
      <c r="G170" s="172">
        <f>VLOOKUP(A170,Socioeconômico!A$2:M$405,13,FALSE)</f>
        <v>29.728442357685264</v>
      </c>
      <c r="H170" s="173">
        <f>(2*E170+F170+2*G170)/5/100</f>
        <v>0.39448022606676825</v>
      </c>
      <c r="I170" s="170">
        <f>VLOOKUP(A170,Resultados!A$2:B568,2,FALSE)</f>
        <v>0</v>
      </c>
      <c r="J170" s="5">
        <f>IFERROR(VLOOKUP(A170,Demográfico!A$2:E$400,5,FALSE)/(VLOOKUP(C170,Metodologia!A$2:G$9,7,FALSE))*D170,0)</f>
        <v>0.17632407395342611</v>
      </c>
      <c r="K170" s="72">
        <f>(J170*(1+H170)-I170)</f>
        <v>0.2458804345075872</v>
      </c>
      <c r="L170" s="3">
        <v>0</v>
      </c>
      <c r="M170" s="66">
        <f>VLOOKUP(A170,Demográfico!A$2:E$400,5,FALSE)*H170</f>
        <v>609.07746904709018</v>
      </c>
      <c r="N170" s="68">
        <f>IFERROR(FLOOR(K170,1),0)</f>
        <v>0</v>
      </c>
      <c r="O170" s="68">
        <f>K170-N170</f>
        <v>0.2458804345075872</v>
      </c>
      <c r="P170" s="65">
        <f>IFERROR(RANK(O170,O$2:O$400,0),0)</f>
        <v>168</v>
      </c>
      <c r="Q170" s="3">
        <f>N170+IF(P170&lt;P$1,1,0)</f>
        <v>0</v>
      </c>
      <c r="S170" s="65">
        <f>VLOOKUP(A170,Demográfico!A$2:E$400,5,FALSE)*(H170)</f>
        <v>609.07746904709018</v>
      </c>
      <c r="T170" s="79">
        <f>IFERROR(D170/D170,0)</f>
        <v>1</v>
      </c>
      <c r="U170" s="65">
        <f t="shared" si="2"/>
        <v>609.07746904709018</v>
      </c>
    </row>
    <row r="171" spans="1:21" ht="19.5" x14ac:dyDescent="0.25">
      <c r="A171" s="2" t="s">
        <v>175</v>
      </c>
      <c r="B171" s="168">
        <v>11446</v>
      </c>
      <c r="C171" s="169" t="str" cm="1">
        <f t="array" ref="C171">_xlfn.IFS(B171&lt;5000, "P1",B171&lt;20000, "P2",B171&lt;70000, "P3",B171&lt;100000, "P4",B171&lt;200000,"M1",B171&lt;500000,"M2",B171&lt;1000000,"G1",B171&gt;1000000,"G2")</f>
        <v>P2</v>
      </c>
      <c r="D171" s="170">
        <f>VLOOKUP(C171,Metodologia!A$2:H$9,8,FALSE)</f>
        <v>32.634342822133917</v>
      </c>
      <c r="E171" s="171">
        <f>VLOOKUP(A171,Educacional!A$2:P$405,16,FALSE)</f>
        <v>54.806494965027454</v>
      </c>
      <c r="F171" s="171">
        <f>VLOOKUP(A171,Demográfico!A$2:L$405,12,FALSE)</f>
        <v>35.115017417613572</v>
      </c>
      <c r="G171" s="172">
        <f>VLOOKUP(A171,Socioeconômico!A$2:M$405,13,FALSE)</f>
        <v>56.013656485943827</v>
      </c>
      <c r="H171" s="173">
        <f>(2*E171+F171+2*G171)/5/100</f>
        <v>0.51351064063911234</v>
      </c>
      <c r="I171" s="170">
        <f>VLOOKUP(A171,Resultados!A$2:B569,2,FALSE)</f>
        <v>0</v>
      </c>
      <c r="J171" s="5">
        <f>IFERROR(VLOOKUP(A171,Demográfico!A$2:E$400,5,FALSE)/(VLOOKUP(C171,Metodologia!A$2:G$9,7,FALSE))*D171,0)</f>
        <v>0.16798750828075765</v>
      </c>
      <c r="K171" s="72">
        <f>(J171*(1+H171)-I171)</f>
        <v>0.25425088127737772</v>
      </c>
      <c r="L171" s="3">
        <v>1</v>
      </c>
      <c r="M171" s="66">
        <f>VLOOKUP(A171,Demográfico!A$2:E$400,5,FALSE)*H171</f>
        <v>755.37415238013421</v>
      </c>
      <c r="N171" s="68">
        <f>IFERROR(FLOOR(K171,1),0)</f>
        <v>0</v>
      </c>
      <c r="O171" s="68">
        <f>K171-N171</f>
        <v>0.25425088127737772</v>
      </c>
      <c r="P171" s="65">
        <f>IFERROR(RANK(O171,O$2:O$400,0),0)</f>
        <v>162</v>
      </c>
      <c r="Q171" s="3">
        <f>N171+IF(P171&lt;P$1,1,0)</f>
        <v>0</v>
      </c>
      <c r="S171" s="65">
        <f>VLOOKUP(A171,Demográfico!A$2:E$400,5,FALSE)*(H171)</f>
        <v>755.37415238013421</v>
      </c>
      <c r="T171" s="79">
        <f>IFERROR(D171/D171,0)</f>
        <v>1</v>
      </c>
      <c r="U171" s="65">
        <f t="shared" si="2"/>
        <v>755.37415238013421</v>
      </c>
    </row>
    <row r="172" spans="1:21" ht="19.5" x14ac:dyDescent="0.25">
      <c r="A172" s="2" t="s">
        <v>176</v>
      </c>
      <c r="B172" s="168">
        <v>11378</v>
      </c>
      <c r="C172" s="169" t="str" cm="1">
        <f t="array" ref="C172">_xlfn.IFS(B172&lt;5000, "P1",B172&lt;20000, "P2",B172&lt;70000, "P3",B172&lt;100000, "P4",B172&lt;200000,"M1",B172&lt;500000,"M2",B172&lt;1000000,"G1",B172&gt;1000000,"G2")</f>
        <v>P2</v>
      </c>
      <c r="D172" s="170">
        <f>VLOOKUP(C172,Metodologia!A$2:H$9,8,FALSE)</f>
        <v>32.634342822133917</v>
      </c>
      <c r="E172" s="171">
        <f>VLOOKUP(A172,Educacional!A$2:P$405,16,FALSE)</f>
        <v>25.241835112003802</v>
      </c>
      <c r="F172" s="171">
        <f>VLOOKUP(A172,Demográfico!A$2:L$405,12,FALSE)</f>
        <v>39.516684484949735</v>
      </c>
      <c r="G172" s="172">
        <f>VLOOKUP(A172,Socioeconômico!A$2:M$405,13,FALSE)</f>
        <v>31.520378602639127</v>
      </c>
      <c r="H172" s="173">
        <f>(2*E172+F172+2*G172)/5/100</f>
        <v>0.30608222382847117</v>
      </c>
      <c r="I172" s="170">
        <f>VLOOKUP(A172,Resultados!A$2:B570,2,FALSE)</f>
        <v>0</v>
      </c>
      <c r="J172" s="5">
        <f>IFERROR(VLOOKUP(A172,Demográfico!A$2:E$400,5,FALSE)/(VLOOKUP(C172,Metodologia!A$2:G$9,7,FALSE))*D172,0)</f>
        <v>0.15691015389378721</v>
      </c>
      <c r="K172" s="72">
        <f>(J172*(1+H172)-I172)</f>
        <v>0.20493756273886526</v>
      </c>
      <c r="L172" s="3">
        <v>0</v>
      </c>
      <c r="M172" s="66">
        <f>VLOOKUP(A172,Demográfico!A$2:E$400,5,FALSE)*H172</f>
        <v>420.5569755403194</v>
      </c>
      <c r="N172" s="68">
        <f>IFERROR(FLOOR(K172,1),0)</f>
        <v>0</v>
      </c>
      <c r="O172" s="68">
        <f>K172-N172</f>
        <v>0.20493756273886526</v>
      </c>
      <c r="P172" s="65">
        <f>IFERROR(RANK(O172,O$2:O$400,0),0)</f>
        <v>194</v>
      </c>
      <c r="Q172" s="3">
        <f>N172+IF(P172&lt;P$1,1,0)</f>
        <v>0</v>
      </c>
      <c r="S172" s="65">
        <f>VLOOKUP(A172,Demográfico!A$2:E$400,5,FALSE)*(H172)</f>
        <v>420.5569755403194</v>
      </c>
      <c r="T172" s="79">
        <f>IFERROR(D172/D172,0)</f>
        <v>1</v>
      </c>
      <c r="U172" s="65">
        <f t="shared" si="2"/>
        <v>420.5569755403194</v>
      </c>
    </row>
    <row r="173" spans="1:21" ht="19.5" x14ac:dyDescent="0.25">
      <c r="A173" s="2" t="s">
        <v>177</v>
      </c>
      <c r="B173" s="168">
        <v>11251</v>
      </c>
      <c r="C173" s="169" t="str" cm="1">
        <f t="array" ref="C173">_xlfn.IFS(B173&lt;5000, "P1",B173&lt;20000, "P2",B173&lt;70000, "P3",B173&lt;100000, "P4",B173&lt;200000,"M1",B173&lt;500000,"M2",B173&lt;1000000,"G1",B173&gt;1000000,"G2")</f>
        <v>P2</v>
      </c>
      <c r="D173" s="170">
        <f>VLOOKUP(C173,Metodologia!A$2:H$9,8,FALSE)</f>
        <v>32.634342822133917</v>
      </c>
      <c r="E173" s="171">
        <f>VLOOKUP(A173,Educacional!A$2:P$405,16,FALSE)</f>
        <v>63.137807971349368</v>
      </c>
      <c r="F173" s="171">
        <f>VLOOKUP(A173,Demográfico!A$2:L$405,12,FALSE)</f>
        <v>45.864739173678295</v>
      </c>
      <c r="G173" s="172">
        <f>VLOOKUP(A173,Socioeconômico!A$2:M$405,13,FALSE)</f>
        <v>42.779209117392078</v>
      </c>
      <c r="H173" s="173">
        <f>(2*E173+F173+2*G173)/5/100</f>
        <v>0.51539754670232241</v>
      </c>
      <c r="I173" s="170">
        <f>VLOOKUP(A173,Resultados!A$2:B571,2,FALSE)</f>
        <v>0</v>
      </c>
      <c r="J173" s="5">
        <f>IFERROR(VLOOKUP(A173,Demográfico!A$2:E$400,5,FALSE)/(VLOOKUP(C173,Metodologia!A$2:G$9,7,FALSE))*D173,0)</f>
        <v>0.16273432991167891</v>
      </c>
      <c r="K173" s="72">
        <f>(J173*(1+H173)-I173)</f>
        <v>0.24660720431240457</v>
      </c>
      <c r="L173" s="3">
        <v>1</v>
      </c>
      <c r="M173" s="66">
        <f>VLOOKUP(A173,Demográfico!A$2:E$400,5,FALSE)*H173</f>
        <v>734.44150405080939</v>
      </c>
      <c r="N173" s="68">
        <f>IFERROR(FLOOR(K173,1),0)</f>
        <v>0</v>
      </c>
      <c r="O173" s="68">
        <f>K173-N173</f>
        <v>0.24660720431240457</v>
      </c>
      <c r="P173" s="65">
        <f>IFERROR(RANK(O173,O$2:O$400,0),0)</f>
        <v>167</v>
      </c>
      <c r="Q173" s="3">
        <f>N173+IF(P173&lt;P$1,1,0)</f>
        <v>0</v>
      </c>
      <c r="S173" s="65">
        <f>VLOOKUP(A173,Demográfico!A$2:E$400,5,FALSE)*(H173)</f>
        <v>734.44150405080939</v>
      </c>
      <c r="T173" s="79">
        <f>IFERROR(D173/D173,0)</f>
        <v>1</v>
      </c>
      <c r="U173" s="65">
        <f t="shared" si="2"/>
        <v>734.44150405080939</v>
      </c>
    </row>
    <row r="174" spans="1:21" ht="19.5" x14ac:dyDescent="0.25">
      <c r="A174" s="2" t="s">
        <v>178</v>
      </c>
      <c r="B174" s="168">
        <v>11175</v>
      </c>
      <c r="C174" s="169" t="str" cm="1">
        <f t="array" ref="C174">_xlfn.IFS(B174&lt;5000, "P1",B174&lt;20000, "P2",B174&lt;70000, "P3",B174&lt;100000, "P4",B174&lt;200000,"M1",B174&lt;500000,"M2",B174&lt;1000000,"G1",B174&gt;1000000,"G2")</f>
        <v>P2</v>
      </c>
      <c r="D174" s="170">
        <f>VLOOKUP(C174,Metodologia!A$2:H$9,8,FALSE)</f>
        <v>32.634342822133917</v>
      </c>
      <c r="E174" s="171">
        <f>VLOOKUP(A174,Educacional!A$2:P$405,16,FALSE)</f>
        <v>59.533621066101283</v>
      </c>
      <c r="F174" s="171">
        <f>VLOOKUP(A174,Demográfico!A$2:L$405,12,FALSE)</f>
        <v>42.570102297556367</v>
      </c>
      <c r="G174" s="172">
        <f>VLOOKUP(A174,Socioeconômico!A$2:M$405,13,FALSE)</f>
        <v>52.065497302454702</v>
      </c>
      <c r="H174" s="173">
        <f>(2*E174+F174+2*G174)/5/100</f>
        <v>0.53153667806933658</v>
      </c>
      <c r="I174" s="170">
        <f>VLOOKUP(A174,Resultados!A$2:B572,2,FALSE)</f>
        <v>0</v>
      </c>
      <c r="J174" s="5">
        <f>IFERROR(VLOOKUP(A174,Demográfico!A$2:E$400,5,FALSE)/(VLOOKUP(C174,Metodologia!A$2:G$9,7,FALSE))*D174,0)</f>
        <v>0.15120017740565814</v>
      </c>
      <c r="K174" s="72">
        <f>(J174*(1+H174)-I174)</f>
        <v>0.23156861742735604</v>
      </c>
      <c r="L174" s="3">
        <v>1</v>
      </c>
      <c r="M174" s="66">
        <f>VLOOKUP(A174,Demográfico!A$2:E$400,5,FALSE)*H174</f>
        <v>703.75456176380158</v>
      </c>
      <c r="N174" s="68">
        <f>IFERROR(FLOOR(K174,1),0)</f>
        <v>0</v>
      </c>
      <c r="O174" s="68">
        <f>K174-N174</f>
        <v>0.23156861742735604</v>
      </c>
      <c r="P174" s="65">
        <f>IFERROR(RANK(O174,O$2:O$400,0),0)</f>
        <v>174</v>
      </c>
      <c r="Q174" s="3">
        <f>N174+IF(P174&lt;P$1,1,0)</f>
        <v>0</v>
      </c>
      <c r="S174" s="65">
        <f>VLOOKUP(A174,Demográfico!A$2:E$400,5,FALSE)*(H174)</f>
        <v>703.75456176380158</v>
      </c>
      <c r="T174" s="79">
        <f>IFERROR(D174/D174,0)</f>
        <v>1</v>
      </c>
      <c r="U174" s="65">
        <f t="shared" si="2"/>
        <v>703.75456176380158</v>
      </c>
    </row>
    <row r="175" spans="1:21" ht="19.5" x14ac:dyDescent="0.25">
      <c r="A175" s="2" t="s">
        <v>179</v>
      </c>
      <c r="B175" s="168">
        <v>11135</v>
      </c>
      <c r="C175" s="169" t="str" cm="1">
        <f t="array" ref="C175">_xlfn.IFS(B175&lt;5000, "P1",B175&lt;20000, "P2",B175&lt;70000, "P3",B175&lt;100000, "P4",B175&lt;200000,"M1",B175&lt;500000,"M2",B175&lt;1000000,"G1",B175&gt;1000000,"G2")</f>
        <v>P2</v>
      </c>
      <c r="D175" s="170">
        <f>VLOOKUP(C175,Metodologia!A$2:H$9,8,FALSE)</f>
        <v>32.634342822133917</v>
      </c>
      <c r="E175" s="171">
        <f>VLOOKUP(A175,Educacional!A$2:P$405,16,FALSE)</f>
        <v>54.968121452854604</v>
      </c>
      <c r="F175" s="171">
        <f>VLOOKUP(A175,Demográfico!A$2:L$405,12,FALSE)</f>
        <v>56.641571360945541</v>
      </c>
      <c r="G175" s="172">
        <f>VLOOKUP(A175,Socioeconômico!A$2:M$405,13,FALSE)</f>
        <v>52.010339167790946</v>
      </c>
      <c r="H175" s="173">
        <f>(2*E175+F175+2*G175)/5/100</f>
        <v>0.54119698520447335</v>
      </c>
      <c r="I175" s="170">
        <f>VLOOKUP(A175,Resultados!A$2:B573,2,FALSE)</f>
        <v>0</v>
      </c>
      <c r="J175" s="5">
        <f>IFERROR(VLOOKUP(A175,Demográfico!A$2:E$400,5,FALSE)/(VLOOKUP(C175,Metodologia!A$2:G$9,7,FALSE))*D175,0)</f>
        <v>0.17392588382841193</v>
      </c>
      <c r="K175" s="72">
        <f>(J175*(1+H175)-I175)</f>
        <v>0.2680540478053719</v>
      </c>
      <c r="L175" s="3">
        <v>1</v>
      </c>
      <c r="M175" s="66">
        <f>VLOOKUP(A175,Demográfico!A$2:E$400,5,FALSE)*H175</f>
        <v>824.2430084664129</v>
      </c>
      <c r="N175" s="68">
        <f>IFERROR(FLOOR(K175,1),0)</f>
        <v>0</v>
      </c>
      <c r="O175" s="68">
        <f>K175-N175</f>
        <v>0.2680540478053719</v>
      </c>
      <c r="P175" s="65">
        <f>IFERROR(RANK(O175,O$2:O$400,0),0)</f>
        <v>153</v>
      </c>
      <c r="Q175" s="3">
        <f>N175+IF(P175&lt;P$1,1,0)</f>
        <v>0</v>
      </c>
      <c r="S175" s="65">
        <f>VLOOKUP(A175,Demográfico!A$2:E$400,5,FALSE)*(H175)</f>
        <v>824.2430084664129</v>
      </c>
      <c r="T175" s="79">
        <f>IFERROR(D175/D175,0)</f>
        <v>1</v>
      </c>
      <c r="U175" s="65">
        <f t="shared" si="2"/>
        <v>824.2430084664129</v>
      </c>
    </row>
    <row r="176" spans="1:21" ht="19.5" x14ac:dyDescent="0.25">
      <c r="A176" s="2" t="s">
        <v>180</v>
      </c>
      <c r="B176" s="168">
        <v>11087</v>
      </c>
      <c r="C176" s="169" t="str" cm="1">
        <f t="array" ref="C176">_xlfn.IFS(B176&lt;5000, "P1",B176&lt;20000, "P2",B176&lt;70000, "P3",B176&lt;100000, "P4",B176&lt;200000,"M1",B176&lt;500000,"M2",B176&lt;1000000,"G1",B176&gt;1000000,"G2")</f>
        <v>P2</v>
      </c>
      <c r="D176" s="170">
        <f>VLOOKUP(C176,Metodologia!A$2:H$9,8,FALSE)</f>
        <v>32.634342822133917</v>
      </c>
      <c r="E176" s="171">
        <f>VLOOKUP(A176,Educacional!A$2:P$405,16,FALSE)</f>
        <v>52.345677970173391</v>
      </c>
      <c r="F176" s="171">
        <f>VLOOKUP(A176,Demográfico!A$2:L$405,12,FALSE)</f>
        <v>30.802526559737458</v>
      </c>
      <c r="G176" s="172">
        <f>VLOOKUP(A176,Socioeconômico!A$2:M$405,13,FALSE)</f>
        <v>23.797600338713057</v>
      </c>
      <c r="H176" s="173">
        <f>(2*E176+F176+2*G176)/5/100</f>
        <v>0.36617816635502065</v>
      </c>
      <c r="I176" s="170">
        <f>VLOOKUP(A176,Resultados!A$2:B574,2,FALSE)</f>
        <v>0</v>
      </c>
      <c r="J176" s="5">
        <f>IFERROR(VLOOKUP(A176,Demográfico!A$2:E$400,5,FALSE)/(VLOOKUP(C176,Metodologia!A$2:G$9,7,FALSE))*D176,0)</f>
        <v>0.1521137736437588</v>
      </c>
      <c r="K176" s="72">
        <f>(J176*(1+H176)-I176)</f>
        <v>0.20781451635397305</v>
      </c>
      <c r="L176" s="3">
        <v>0</v>
      </c>
      <c r="M176" s="66">
        <f>VLOOKUP(A176,Demográfico!A$2:E$400,5,FALSE)*H176</f>
        <v>487.74931758488754</v>
      </c>
      <c r="N176" s="68">
        <f>IFERROR(FLOOR(K176,1),0)</f>
        <v>0</v>
      </c>
      <c r="O176" s="68">
        <f>K176-N176</f>
        <v>0.20781451635397305</v>
      </c>
      <c r="P176" s="65">
        <f>IFERROR(RANK(O176,O$2:O$400,0),0)</f>
        <v>193</v>
      </c>
      <c r="Q176" s="3">
        <f>N176+IF(P176&lt;P$1,1,0)</f>
        <v>0</v>
      </c>
      <c r="S176" s="65">
        <f>VLOOKUP(A176,Demográfico!A$2:E$400,5,FALSE)*(H176)</f>
        <v>487.74931758488754</v>
      </c>
      <c r="T176" s="79">
        <f>IFERROR(D176/D176,0)</f>
        <v>1</v>
      </c>
      <c r="U176" s="65">
        <f t="shared" si="2"/>
        <v>487.74931758488754</v>
      </c>
    </row>
    <row r="177" spans="1:21" ht="19.5" x14ac:dyDescent="0.25">
      <c r="A177" s="2" t="s">
        <v>181</v>
      </c>
      <c r="B177" s="168">
        <v>11066</v>
      </c>
      <c r="C177" s="169" t="str" cm="1">
        <f t="array" ref="C177">_xlfn.IFS(B177&lt;5000, "P1",B177&lt;20000, "P2",B177&lt;70000, "P3",B177&lt;100000, "P4",B177&lt;200000,"M1",B177&lt;500000,"M2",B177&lt;1000000,"G1",B177&gt;1000000,"G2")</f>
        <v>P2</v>
      </c>
      <c r="D177" s="170">
        <f>VLOOKUP(C177,Metodologia!A$2:H$9,8,FALSE)</f>
        <v>32.634342822133917</v>
      </c>
      <c r="E177" s="171">
        <f>VLOOKUP(A177,Educacional!A$2:P$405,16,FALSE)</f>
        <v>48.864531246807047</v>
      </c>
      <c r="F177" s="171">
        <f>VLOOKUP(A177,Demográfico!A$2:L$405,12,FALSE)</f>
        <v>55.64640408043303</v>
      </c>
      <c r="G177" s="172">
        <f>VLOOKUP(A177,Socioeconômico!A$2:M$405,13,FALSE)</f>
        <v>55.632793070335509</v>
      </c>
      <c r="H177" s="173">
        <f>(2*E177+F177+2*G177)/5/100</f>
        <v>0.52928210542943632</v>
      </c>
      <c r="I177" s="170">
        <f>VLOOKUP(A177,Resultados!A$2:B575,2,FALSE)</f>
        <v>0</v>
      </c>
      <c r="J177" s="5">
        <f>IFERROR(VLOOKUP(A177,Demográfico!A$2:E$400,5,FALSE)/(VLOOKUP(C177,Metodologia!A$2:G$9,7,FALSE))*D177,0)</f>
        <v>0.14651799668539231</v>
      </c>
      <c r="K177" s="72">
        <f>(J177*(1+H177)-I177)</f>
        <v>0.22406735045433993</v>
      </c>
      <c r="L177" s="3">
        <v>1</v>
      </c>
      <c r="M177" s="66">
        <f>VLOOKUP(A177,Demográfico!A$2:E$400,5,FALSE)*H177</f>
        <v>679.06894126596683</v>
      </c>
      <c r="N177" s="68">
        <f>IFERROR(FLOOR(K177,1),0)</f>
        <v>0</v>
      </c>
      <c r="O177" s="68">
        <f>K177-N177</f>
        <v>0.22406735045433993</v>
      </c>
      <c r="P177" s="65">
        <f>IFERROR(RANK(O177,O$2:O$400,0),0)</f>
        <v>181</v>
      </c>
      <c r="Q177" s="3">
        <f>N177+IF(P177&lt;P$1,1,0)</f>
        <v>0</v>
      </c>
      <c r="S177" s="65">
        <f>VLOOKUP(A177,Demográfico!A$2:E$400,5,FALSE)*(H177)</f>
        <v>679.06894126596683</v>
      </c>
      <c r="T177" s="79">
        <f>IFERROR(D177/D177,0)</f>
        <v>1</v>
      </c>
      <c r="U177" s="65">
        <f t="shared" si="2"/>
        <v>679.06894126596683</v>
      </c>
    </row>
    <row r="178" spans="1:21" ht="19.5" x14ac:dyDescent="0.25">
      <c r="A178" s="2" t="s">
        <v>182</v>
      </c>
      <c r="B178" s="168">
        <v>11064</v>
      </c>
      <c r="C178" s="169" t="str" cm="1">
        <f t="array" ref="C178">_xlfn.IFS(B178&lt;5000, "P1",B178&lt;20000, "P2",B178&lt;70000, "P3",B178&lt;100000, "P4",B178&lt;200000,"M1",B178&lt;500000,"M2",B178&lt;1000000,"G1",B178&gt;1000000,"G2")</f>
        <v>P2</v>
      </c>
      <c r="D178" s="170">
        <f>VLOOKUP(C178,Metodologia!A$2:H$9,8,FALSE)</f>
        <v>32.634342822133917</v>
      </c>
      <c r="E178" s="171">
        <f>VLOOKUP(A178,Educacional!A$2:P$405,16,FALSE)</f>
        <v>51.249337293796749</v>
      </c>
      <c r="F178" s="171">
        <f>VLOOKUP(A178,Demográfico!A$2:L$405,12,FALSE)</f>
        <v>35.915950858881999</v>
      </c>
      <c r="G178" s="172">
        <f>VLOOKUP(A178,Socioeconômico!A$2:M$405,13,FALSE)</f>
        <v>38.537258143412814</v>
      </c>
      <c r="H178" s="173">
        <f>(2*E178+F178+2*G178)/5/100</f>
        <v>0.43097828346660222</v>
      </c>
      <c r="I178" s="170">
        <f>VLOOKUP(A178,Resultados!A$2:B576,2,FALSE)</f>
        <v>0</v>
      </c>
      <c r="J178" s="5">
        <f>IFERROR(VLOOKUP(A178,Demográfico!A$2:E$400,5,FALSE)/(VLOOKUP(C178,Metodologia!A$2:G$9,7,FALSE))*D178,0)</f>
        <v>0.15474036282829817</v>
      </c>
      <c r="K178" s="72">
        <f>(J178*(1+H178)-I178)</f>
        <v>0.22143009878303735</v>
      </c>
      <c r="L178" s="3">
        <v>1</v>
      </c>
      <c r="M178" s="66">
        <f>VLOOKUP(A178,Demográfico!A$2:E$400,5,FALSE)*H178</f>
        <v>583.97557409724595</v>
      </c>
      <c r="N178" s="68">
        <f>IFERROR(FLOOR(K178,1),0)</f>
        <v>0</v>
      </c>
      <c r="O178" s="68">
        <f>K178-N178</f>
        <v>0.22143009878303735</v>
      </c>
      <c r="P178" s="65">
        <f>IFERROR(RANK(O178,O$2:O$400,0),0)</f>
        <v>183</v>
      </c>
      <c r="Q178" s="3">
        <f>N178+IF(P178&lt;P$1,1,0)</f>
        <v>0</v>
      </c>
      <c r="S178" s="65">
        <f>VLOOKUP(A178,Demográfico!A$2:E$400,5,FALSE)*(H178)</f>
        <v>583.97557409724595</v>
      </c>
      <c r="T178" s="79">
        <f>IFERROR(D178/D178,0)</f>
        <v>1</v>
      </c>
      <c r="U178" s="65">
        <f t="shared" si="2"/>
        <v>583.97557409724595</v>
      </c>
    </row>
    <row r="179" spans="1:21" ht="19.5" x14ac:dyDescent="0.25">
      <c r="A179" s="2" t="s">
        <v>183</v>
      </c>
      <c r="B179" s="168">
        <v>11062</v>
      </c>
      <c r="C179" s="169" t="str" cm="1">
        <f t="array" ref="C179">_xlfn.IFS(B179&lt;5000, "P1",B179&lt;20000, "P2",B179&lt;70000, "P3",B179&lt;100000, "P4",B179&lt;200000,"M1",B179&lt;500000,"M2",B179&lt;1000000,"G1",B179&gt;1000000,"G2")</f>
        <v>P2</v>
      </c>
      <c r="D179" s="170">
        <f>VLOOKUP(C179,Metodologia!A$2:H$9,8,FALSE)</f>
        <v>32.634342822133917</v>
      </c>
      <c r="E179" s="171">
        <f>VLOOKUP(A179,Educacional!A$2:P$405,16,FALSE)</f>
        <v>87.413275421155262</v>
      </c>
      <c r="F179" s="171">
        <f>VLOOKUP(A179,Demográfico!A$2:L$405,12,FALSE)</f>
        <v>56.086844526614179</v>
      </c>
      <c r="G179" s="172">
        <f>VLOOKUP(A179,Socioeconômico!A$2:M$405,13,FALSE)</f>
        <v>63.789404723478548</v>
      </c>
      <c r="H179" s="173">
        <f>(2*E179+F179+2*G179)/5/100</f>
        <v>0.71698440963176358</v>
      </c>
      <c r="I179" s="170">
        <f>VLOOKUP(A179,Resultados!A$2:B577,2,FALSE)</f>
        <v>0</v>
      </c>
      <c r="J179" s="5">
        <f>IFERROR(VLOOKUP(A179,Demográfico!A$2:E$400,5,FALSE)/(VLOOKUP(C179,Metodologia!A$2:G$9,7,FALSE))*D179,0)</f>
        <v>0.18614523351300813</v>
      </c>
      <c r="K179" s="72">
        <f>(J179*(1+H179)-I179)</f>
        <v>0.31960846386909908</v>
      </c>
      <c r="L179" s="3">
        <v>1</v>
      </c>
      <c r="M179" s="66">
        <f>VLOOKUP(A179,Demográfico!A$2:E$400,5,FALSE)*H179</f>
        <v>1168.6845876997747</v>
      </c>
      <c r="N179" s="68">
        <f>IFERROR(FLOOR(K179,1),0)</f>
        <v>0</v>
      </c>
      <c r="O179" s="68">
        <f>K179-N179</f>
        <v>0.31960846386909908</v>
      </c>
      <c r="P179" s="65">
        <f>IFERROR(RANK(O179,O$2:O$400,0),0)</f>
        <v>133</v>
      </c>
      <c r="Q179" s="3">
        <f>N179+IF(P179&lt;P$1,1,0)</f>
        <v>0</v>
      </c>
      <c r="S179" s="65">
        <f>VLOOKUP(A179,Demográfico!A$2:E$400,5,FALSE)*(H179)</f>
        <v>1168.6845876997747</v>
      </c>
      <c r="T179" s="79">
        <f>IFERROR(D179/D179,0)</f>
        <v>1</v>
      </c>
      <c r="U179" s="65">
        <f t="shared" si="2"/>
        <v>1168.6845876997747</v>
      </c>
    </row>
    <row r="180" spans="1:21" ht="19.5" x14ac:dyDescent="0.25">
      <c r="A180" s="2" t="s">
        <v>184</v>
      </c>
      <c r="B180" s="168">
        <v>10933</v>
      </c>
      <c r="C180" s="169" t="str" cm="1">
        <f t="array" ref="C180">_xlfn.IFS(B180&lt;5000, "P1",B180&lt;20000, "P2",B180&lt;70000, "P3",B180&lt;100000, "P4",B180&lt;200000,"M1",B180&lt;500000,"M2",B180&lt;1000000,"G1",B180&gt;1000000,"G2")</f>
        <v>P2</v>
      </c>
      <c r="D180" s="170">
        <f>VLOOKUP(C180,Metodologia!A$2:H$9,8,FALSE)</f>
        <v>32.634342822133917</v>
      </c>
      <c r="E180" s="171">
        <f>VLOOKUP(A180,Educacional!A$2:P$405,16,FALSE)</f>
        <v>54.028833162106395</v>
      </c>
      <c r="F180" s="171">
        <f>VLOOKUP(A180,Demográfico!A$2:L$405,12,FALSE)</f>
        <v>68.34551811956608</v>
      </c>
      <c r="G180" s="172">
        <f>VLOOKUP(A180,Socioeconômico!A$2:M$405,13,FALSE)</f>
        <v>57.348124385500384</v>
      </c>
      <c r="H180" s="173">
        <f>(2*E180+F180+2*G180)/5/100</f>
        <v>0.58219886642955931</v>
      </c>
      <c r="I180" s="170">
        <f>VLOOKUP(A180,Resultados!A$2:B578,2,FALSE)</f>
        <v>0</v>
      </c>
      <c r="J180" s="5">
        <f>IFERROR(VLOOKUP(A180,Demográfico!A$2:E$400,5,FALSE)/(VLOOKUP(C180,Metodologia!A$2:G$9,7,FALSE))*D180,0)</f>
        <v>0.18397544244751909</v>
      </c>
      <c r="K180" s="72">
        <f>(J180*(1+H180)-I180)</f>
        <v>0.29108573649134134</v>
      </c>
      <c r="L180" s="3">
        <v>1</v>
      </c>
      <c r="M180" s="66">
        <f>VLOOKUP(A180,Demográfico!A$2:E$400,5,FALSE)*H180</f>
        <v>937.92237381802011</v>
      </c>
      <c r="N180" s="68">
        <f>IFERROR(FLOOR(K180,1),0)</f>
        <v>0</v>
      </c>
      <c r="O180" s="68">
        <f>K180-N180</f>
        <v>0.29108573649134134</v>
      </c>
      <c r="P180" s="65">
        <f>IFERROR(RANK(O180,O$2:O$400,0),0)</f>
        <v>141</v>
      </c>
      <c r="Q180" s="3">
        <f>N180+IF(P180&lt;P$1,1,0)</f>
        <v>0</v>
      </c>
      <c r="S180" s="65">
        <f>VLOOKUP(A180,Demográfico!A$2:E$400,5,FALSE)*(H180)</f>
        <v>937.92237381802011</v>
      </c>
      <c r="T180" s="79">
        <f>IFERROR(D180/D180,0)</f>
        <v>1</v>
      </c>
      <c r="U180" s="65">
        <f t="shared" si="2"/>
        <v>937.92237381802011</v>
      </c>
    </row>
    <row r="181" spans="1:21" ht="19.5" x14ac:dyDescent="0.25">
      <c r="A181" s="2" t="s">
        <v>185</v>
      </c>
      <c r="B181" s="168">
        <v>10832</v>
      </c>
      <c r="C181" s="169" t="str" cm="1">
        <f t="array" ref="C181">_xlfn.IFS(B181&lt;5000, "P1",B181&lt;20000, "P2",B181&lt;70000, "P3",B181&lt;100000, "P4",B181&lt;200000,"M1",B181&lt;500000,"M2",B181&lt;1000000,"G1",B181&gt;1000000,"G2")</f>
        <v>P2</v>
      </c>
      <c r="D181" s="170">
        <f>VLOOKUP(C181,Metodologia!A$2:H$9,8,FALSE)</f>
        <v>32.634342822133917</v>
      </c>
      <c r="E181" s="171">
        <f>VLOOKUP(A181,Educacional!A$2:P$405,16,FALSE)</f>
        <v>65.367335327397114</v>
      </c>
      <c r="F181" s="171">
        <f>VLOOKUP(A181,Demográfico!A$2:L$405,12,FALSE)</f>
        <v>23.097705205503686</v>
      </c>
      <c r="G181" s="172">
        <f>VLOOKUP(A181,Socioeconômico!A$2:M$405,13,FALSE)</f>
        <v>34.921371439544039</v>
      </c>
      <c r="H181" s="173">
        <f>(2*E181+F181+2*G181)/5/100</f>
        <v>0.44735023747877201</v>
      </c>
      <c r="I181" s="170">
        <f>VLOOKUP(A181,Resultados!A$2:B579,2,FALSE)</f>
        <v>0</v>
      </c>
      <c r="J181" s="5">
        <f>IFERROR(VLOOKUP(A181,Demográfico!A$2:E$400,5,FALSE)/(VLOOKUP(C181,Metodologia!A$2:G$9,7,FALSE))*D181,0)</f>
        <v>0.15291317035209687</v>
      </c>
      <c r="K181" s="72">
        <f>(J181*(1+H181)-I181)</f>
        <v>0.22131891342273929</v>
      </c>
      <c r="L181" s="3">
        <v>1</v>
      </c>
      <c r="M181" s="66">
        <f>VLOOKUP(A181,Demográfico!A$2:E$400,5,FALSE)*H181</f>
        <v>599.00196798407569</v>
      </c>
      <c r="N181" s="68">
        <f>IFERROR(FLOOR(K181,1),0)</f>
        <v>0</v>
      </c>
      <c r="O181" s="68">
        <f>K181-N181</f>
        <v>0.22131891342273929</v>
      </c>
      <c r="P181" s="65">
        <f>IFERROR(RANK(O181,O$2:O$400,0),0)</f>
        <v>184</v>
      </c>
      <c r="Q181" s="3">
        <f>N181+IF(P181&lt;P$1,1,0)</f>
        <v>0</v>
      </c>
      <c r="S181" s="65">
        <f>VLOOKUP(A181,Demográfico!A$2:E$400,5,FALSE)*(H181)</f>
        <v>599.00196798407569</v>
      </c>
      <c r="T181" s="79">
        <f>IFERROR(D181/D181,0)</f>
        <v>1</v>
      </c>
      <c r="U181" s="65">
        <f t="shared" si="2"/>
        <v>599.00196798407569</v>
      </c>
    </row>
    <row r="182" spans="1:21" ht="19.5" x14ac:dyDescent="0.25">
      <c r="A182" s="2" t="s">
        <v>186</v>
      </c>
      <c r="B182" s="168">
        <v>10830</v>
      </c>
      <c r="C182" s="169" t="str" cm="1">
        <f t="array" ref="C182">_xlfn.IFS(B182&lt;5000, "P1",B182&lt;20000, "P2",B182&lt;70000, "P3",B182&lt;100000, "P4",B182&lt;200000,"M1",B182&lt;500000,"M2",B182&lt;1000000,"G1",B182&gt;1000000,"G2")</f>
        <v>P2</v>
      </c>
      <c r="D182" s="170">
        <f>VLOOKUP(C182,Metodologia!A$2:H$9,8,FALSE)</f>
        <v>32.634342822133917</v>
      </c>
      <c r="E182" s="171">
        <f>VLOOKUP(A182,Educacional!A$2:P$405,16,FALSE)</f>
        <v>78.986863365527299</v>
      </c>
      <c r="F182" s="171">
        <f>VLOOKUP(A182,Demográfico!A$2:L$405,12,FALSE)</f>
        <v>36.0288436545667</v>
      </c>
      <c r="G182" s="172">
        <f>VLOOKUP(A182,Socioeconômico!A$2:M$405,13,FALSE)</f>
        <v>56.824636278811369</v>
      </c>
      <c r="H182" s="173">
        <f>(2*E182+F182+2*G182)/5/100</f>
        <v>0.61530368588648809</v>
      </c>
      <c r="I182" s="170">
        <f>VLOOKUP(A182,Resultados!A$2:B580,2,FALSE)</f>
        <v>0</v>
      </c>
      <c r="J182" s="5">
        <f>IFERROR(VLOOKUP(A182,Demográfico!A$2:E$400,5,FALSE)/(VLOOKUP(C182,Metodologia!A$2:G$9,7,FALSE))*D182,0)</f>
        <v>0.17369748476888675</v>
      </c>
      <c r="K182" s="72">
        <f>(J182*(1+H182)-I182)</f>
        <v>0.28057418737639489</v>
      </c>
      <c r="L182" s="3">
        <v>1</v>
      </c>
      <c r="M182" s="66">
        <f>VLOOKUP(A182,Demográfico!A$2:E$400,5,FALSE)*H182</f>
        <v>935.87690623334834</v>
      </c>
      <c r="N182" s="68">
        <f>IFERROR(FLOOR(K182,1),0)</f>
        <v>0</v>
      </c>
      <c r="O182" s="68">
        <f>K182-N182</f>
        <v>0.28057418737639489</v>
      </c>
      <c r="P182" s="65">
        <f>IFERROR(RANK(O182,O$2:O$400,0),0)</f>
        <v>147</v>
      </c>
      <c r="Q182" s="3">
        <f>N182+IF(P182&lt;P$1,1,0)</f>
        <v>0</v>
      </c>
      <c r="S182" s="65">
        <f>VLOOKUP(A182,Demográfico!A$2:E$400,5,FALSE)*(H182)</f>
        <v>935.87690623334834</v>
      </c>
      <c r="T182" s="79">
        <f>IFERROR(D182/D182,0)</f>
        <v>1</v>
      </c>
      <c r="U182" s="65">
        <f t="shared" si="2"/>
        <v>935.87690623334834</v>
      </c>
    </row>
    <row r="183" spans="1:21" ht="19.5" x14ac:dyDescent="0.25">
      <c r="A183" s="2" t="s">
        <v>187</v>
      </c>
      <c r="B183" s="168">
        <v>10795</v>
      </c>
      <c r="C183" s="169" t="str" cm="1">
        <f t="array" ref="C183">_xlfn.IFS(B183&lt;5000, "P1",B183&lt;20000, "P2",B183&lt;70000, "P3",B183&lt;100000, "P4",B183&lt;200000,"M1",B183&lt;500000,"M2",B183&lt;1000000,"G1",B183&gt;1000000,"G2")</f>
        <v>P2</v>
      </c>
      <c r="D183" s="170">
        <f>VLOOKUP(C183,Metodologia!A$2:H$9,8,FALSE)</f>
        <v>32.634342822133917</v>
      </c>
      <c r="E183" s="171">
        <f>VLOOKUP(A183,Educacional!A$2:P$405,16,FALSE)</f>
        <v>66.086576106787604</v>
      </c>
      <c r="F183" s="171">
        <f>VLOOKUP(A183,Demográfico!A$2:L$405,12,FALSE)</f>
        <v>23.977314707231155</v>
      </c>
      <c r="G183" s="172">
        <f>VLOOKUP(A183,Socioeconômico!A$2:M$405,13,FALSE)</f>
        <v>56.23180541933597</v>
      </c>
      <c r="H183" s="173">
        <f>(2*E183+F183+2*G183)/5/100</f>
        <v>0.53722815551895653</v>
      </c>
      <c r="I183" s="170">
        <f>VLOOKUP(A183,Resultados!A$2:B581,2,FALSE)</f>
        <v>0</v>
      </c>
      <c r="J183" s="5">
        <f>IFERROR(VLOOKUP(A183,Demográfico!A$2:E$400,5,FALSE)/(VLOOKUP(C183,Metodologia!A$2:G$9,7,FALSE))*D183,0)</f>
        <v>0.14549020091752907</v>
      </c>
      <c r="K183" s="72">
        <f>(J183*(1+H183)-I183)</f>
        <v>0.22365163320253562</v>
      </c>
      <c r="L183" s="3">
        <v>1</v>
      </c>
      <c r="M183" s="66">
        <f>VLOOKUP(A183,Demográfico!A$2:E$400,5,FALSE)*H183</f>
        <v>684.42867013115062</v>
      </c>
      <c r="N183" s="68">
        <f>IFERROR(FLOOR(K183,1),0)</f>
        <v>0</v>
      </c>
      <c r="O183" s="68">
        <f>K183-N183</f>
        <v>0.22365163320253562</v>
      </c>
      <c r="P183" s="65">
        <f>IFERROR(RANK(O183,O$2:O$400,0),0)</f>
        <v>182</v>
      </c>
      <c r="Q183" s="3">
        <f>N183+IF(P183&lt;P$1,1,0)</f>
        <v>0</v>
      </c>
      <c r="S183" s="65">
        <f>VLOOKUP(A183,Demográfico!A$2:E$400,5,FALSE)*(H183)</f>
        <v>684.42867013115062</v>
      </c>
      <c r="T183" s="79">
        <f>IFERROR(D183/D183,0)</f>
        <v>1</v>
      </c>
      <c r="U183" s="65">
        <f t="shared" si="2"/>
        <v>684.42867013115062</v>
      </c>
    </row>
    <row r="184" spans="1:21" ht="19.5" x14ac:dyDescent="0.25">
      <c r="A184" s="2" t="s">
        <v>188</v>
      </c>
      <c r="B184" s="168">
        <v>10707</v>
      </c>
      <c r="C184" s="169" t="str" cm="1">
        <f t="array" ref="C184">_xlfn.IFS(B184&lt;5000, "P1",B184&lt;20000, "P2",B184&lt;70000, "P3",B184&lt;100000, "P4",B184&lt;200000,"M1",B184&lt;500000,"M2",B184&lt;1000000,"G1",B184&gt;1000000,"G2")</f>
        <v>P2</v>
      </c>
      <c r="D184" s="170">
        <f>VLOOKUP(C184,Metodologia!A$2:H$9,8,FALSE)</f>
        <v>32.634342822133917</v>
      </c>
      <c r="E184" s="171">
        <f>VLOOKUP(A184,Educacional!A$2:P$405,16,FALSE)</f>
        <v>73.255775886876833</v>
      </c>
      <c r="F184" s="171">
        <f>VLOOKUP(A184,Demográfico!A$2:L$405,12,FALSE)</f>
        <v>52.853438122230209</v>
      </c>
      <c r="G184" s="172">
        <f>VLOOKUP(A184,Socioeconômico!A$2:M$405,13,FALSE)</f>
        <v>44.999611210777125</v>
      </c>
      <c r="H184" s="173">
        <f>(2*E184+F184+2*G184)/5/100</f>
        <v>0.57872842463507634</v>
      </c>
      <c r="I184" s="170">
        <f>VLOOKUP(A184,Resultados!A$2:B582,2,FALSE)</f>
        <v>0</v>
      </c>
      <c r="J184" s="5">
        <f>IFERROR(VLOOKUP(A184,Demográfico!A$2:E$400,5,FALSE)/(VLOOKUP(C184,Metodologia!A$2:G$9,7,FALSE))*D184,0)</f>
        <v>0.18591683445348298</v>
      </c>
      <c r="K184" s="72">
        <f>(J184*(1+H184)-I184)</f>
        <v>0.29351219116988747</v>
      </c>
      <c r="L184" s="3">
        <v>1</v>
      </c>
      <c r="M184" s="66">
        <f>VLOOKUP(A184,Demográfico!A$2:E$400,5,FALSE)*H184</f>
        <v>942.16987530590427</v>
      </c>
      <c r="N184" s="68">
        <f>IFERROR(FLOOR(K184,1),0)</f>
        <v>0</v>
      </c>
      <c r="O184" s="68">
        <f>K184-N184</f>
        <v>0.29351219116988747</v>
      </c>
      <c r="P184" s="65">
        <f>IFERROR(RANK(O184,O$2:O$400,0),0)</f>
        <v>140</v>
      </c>
      <c r="Q184" s="3">
        <f>N184+IF(P184&lt;P$1,1,0)</f>
        <v>0</v>
      </c>
      <c r="S184" s="65">
        <f>VLOOKUP(A184,Demográfico!A$2:E$400,5,FALSE)*(H184)</f>
        <v>942.16987530590427</v>
      </c>
      <c r="T184" s="79">
        <f>IFERROR(D184/D184,0)</f>
        <v>1</v>
      </c>
      <c r="U184" s="65">
        <f t="shared" si="2"/>
        <v>942.16987530590427</v>
      </c>
    </row>
    <row r="185" spans="1:21" ht="19.5" x14ac:dyDescent="0.25">
      <c r="A185" s="2" t="s">
        <v>189</v>
      </c>
      <c r="B185" s="168">
        <v>10685</v>
      </c>
      <c r="C185" s="169" t="str" cm="1">
        <f t="array" ref="C185">_xlfn.IFS(B185&lt;5000, "P1",B185&lt;20000, "P2",B185&lt;70000, "P3",B185&lt;100000, "P4",B185&lt;200000,"M1",B185&lt;500000,"M2",B185&lt;1000000,"G1",B185&gt;1000000,"G2")</f>
        <v>P2</v>
      </c>
      <c r="D185" s="170">
        <f>VLOOKUP(C185,Metodologia!A$2:H$9,8,FALSE)</f>
        <v>32.634342822133917</v>
      </c>
      <c r="E185" s="171">
        <f>VLOOKUP(A185,Educacional!A$2:P$405,16,FALSE)</f>
        <v>51.858459188765018</v>
      </c>
      <c r="F185" s="171">
        <f>VLOOKUP(A185,Demográfico!A$2:L$405,12,FALSE)</f>
        <v>45.173904748323473</v>
      </c>
      <c r="G185" s="172">
        <f>VLOOKUP(A185,Socioeconômico!A$2:M$405,13,FALSE)</f>
        <v>50.976914889021096</v>
      </c>
      <c r="H185" s="173">
        <f>(2*E185+F185+2*G185)/5/100</f>
        <v>0.50168930580779136</v>
      </c>
      <c r="I185" s="170">
        <f>VLOOKUP(A185,Resultados!A$2:B583,2,FALSE)</f>
        <v>0</v>
      </c>
      <c r="J185" s="5">
        <f>IFERROR(VLOOKUP(A185,Demográfico!A$2:E$400,5,FALSE)/(VLOOKUP(C185,Metodologia!A$2:G$9,7,FALSE))*D185,0)</f>
        <v>0.17609567489390093</v>
      </c>
      <c r="K185" s="72">
        <f>(J185*(1+H185)-I185)</f>
        <v>0.26444099178717662</v>
      </c>
      <c r="L185" s="3">
        <v>1</v>
      </c>
      <c r="M185" s="66">
        <f>VLOOKUP(A185,Demográfico!A$2:E$400,5,FALSE)*H185</f>
        <v>773.60490955561431</v>
      </c>
      <c r="N185" s="68">
        <f>IFERROR(FLOOR(K185,1),0)</f>
        <v>0</v>
      </c>
      <c r="O185" s="68">
        <f>K185-N185</f>
        <v>0.26444099178717662</v>
      </c>
      <c r="P185" s="65">
        <f>IFERROR(RANK(O185,O$2:O$400,0),0)</f>
        <v>157</v>
      </c>
      <c r="Q185" s="3">
        <f>N185+IF(P185&lt;P$1,1,0)</f>
        <v>0</v>
      </c>
      <c r="S185" s="65">
        <f>VLOOKUP(A185,Demográfico!A$2:E$400,5,FALSE)*(H185)</f>
        <v>773.60490955561431</v>
      </c>
      <c r="T185" s="79">
        <f>IFERROR(D185/D185,0)</f>
        <v>1</v>
      </c>
      <c r="U185" s="65">
        <f t="shared" si="2"/>
        <v>773.60490955561431</v>
      </c>
    </row>
    <row r="186" spans="1:21" ht="19.5" x14ac:dyDescent="0.25">
      <c r="A186" s="2" t="s">
        <v>190</v>
      </c>
      <c r="B186" s="168">
        <v>10684</v>
      </c>
      <c r="C186" s="169" t="str" cm="1">
        <f t="array" ref="C186">_xlfn.IFS(B186&lt;5000, "P1",B186&lt;20000, "P2",B186&lt;70000, "P3",B186&lt;100000, "P4",B186&lt;200000,"M1",B186&lt;500000,"M2",B186&lt;1000000,"G1",B186&gt;1000000,"G2")</f>
        <v>P2</v>
      </c>
      <c r="D186" s="170">
        <f>VLOOKUP(C186,Metodologia!A$2:H$9,8,FALSE)</f>
        <v>32.634342822133917</v>
      </c>
      <c r="E186" s="171">
        <f>VLOOKUP(A186,Educacional!A$2:P$405,16,FALSE)</f>
        <v>54.204872177291996</v>
      </c>
      <c r="F186" s="171">
        <f>VLOOKUP(A186,Demográfico!A$2:L$405,12,FALSE)</f>
        <v>57.574200510339033</v>
      </c>
      <c r="G186" s="172">
        <f>VLOOKUP(A186,Socioeconômico!A$2:M$405,13,FALSE)</f>
        <v>47.592938107011115</v>
      </c>
      <c r="H186" s="173">
        <f>(2*E186+F186+2*G186)/5/100</f>
        <v>0.52233964215789042</v>
      </c>
      <c r="I186" s="170">
        <f>VLOOKUP(A186,Resultados!A$2:B584,2,FALSE)</f>
        <v>0</v>
      </c>
      <c r="J186" s="5">
        <f>IFERROR(VLOOKUP(A186,Demográfico!A$2:E$400,5,FALSE)/(VLOOKUP(C186,Metodologia!A$2:G$9,7,FALSE))*D186,0)</f>
        <v>0.15839474778070078</v>
      </c>
      <c r="K186" s="72">
        <f>(J186*(1+H186)-I186)</f>
        <v>0.24113060365616135</v>
      </c>
      <c r="L186" s="3">
        <v>1</v>
      </c>
      <c r="M186" s="66">
        <f>VLOOKUP(A186,Demográfico!A$2:E$400,5,FALSE)*H186</f>
        <v>724.48508367299405</v>
      </c>
      <c r="N186" s="68">
        <f>IFERROR(FLOOR(K186,1),0)</f>
        <v>0</v>
      </c>
      <c r="O186" s="68">
        <f>K186-N186</f>
        <v>0.24113060365616135</v>
      </c>
      <c r="P186" s="65">
        <f>IFERROR(RANK(O186,O$2:O$400,0),0)</f>
        <v>170</v>
      </c>
      <c r="Q186" s="3">
        <f>N186+IF(P186&lt;P$1,1,0)</f>
        <v>0</v>
      </c>
      <c r="S186" s="65">
        <f>VLOOKUP(A186,Demográfico!A$2:E$400,5,FALSE)*(H186)</f>
        <v>724.48508367299405</v>
      </c>
      <c r="T186" s="79">
        <f>IFERROR(D186/D186,0)</f>
        <v>1</v>
      </c>
      <c r="U186" s="65">
        <f t="shared" si="2"/>
        <v>724.48508367299405</v>
      </c>
    </row>
    <row r="187" spans="1:21" ht="19.5" x14ac:dyDescent="0.25">
      <c r="A187" s="2" t="s">
        <v>191</v>
      </c>
      <c r="B187" s="168">
        <v>10667</v>
      </c>
      <c r="C187" s="169" t="str" cm="1">
        <f t="array" ref="C187">_xlfn.IFS(B187&lt;5000, "P1",B187&lt;20000, "P2",B187&lt;70000, "P3",B187&lt;100000, "P4",B187&lt;200000,"M1",B187&lt;500000,"M2",B187&lt;1000000,"G1",B187&gt;1000000,"G2")</f>
        <v>P2</v>
      </c>
      <c r="D187" s="170">
        <f>VLOOKUP(C187,Metodologia!A$2:H$9,8,FALSE)</f>
        <v>32.634342822133917</v>
      </c>
      <c r="E187" s="171">
        <f>VLOOKUP(A187,Educacional!A$2:P$405,16,FALSE)</f>
        <v>36.250389941524297</v>
      </c>
      <c r="F187" s="171">
        <f>VLOOKUP(A187,Demográfico!A$2:L$405,12,FALSE)</f>
        <v>44.433365513436982</v>
      </c>
      <c r="G187" s="172">
        <f>VLOOKUP(A187,Socioeconômico!A$2:M$405,13,FALSE)</f>
        <v>47.744059978293549</v>
      </c>
      <c r="H187" s="173">
        <f>(2*E187+F187+2*G187)/5/100</f>
        <v>0.42484453070614536</v>
      </c>
      <c r="I187" s="170">
        <f>VLOOKUP(A187,Resultados!A$2:B585,2,FALSE)</f>
        <v>0</v>
      </c>
      <c r="J187" s="5">
        <f>IFERROR(VLOOKUP(A187,Demográfico!A$2:E$400,5,FALSE)/(VLOOKUP(C187,Metodologia!A$2:G$9,7,FALSE))*D187,0)</f>
        <v>0.13852402960201157</v>
      </c>
      <c r="K187" s="72">
        <f>(J187*(1+H187)-I187)</f>
        <v>0.19737520594980237</v>
      </c>
      <c r="L187" s="3">
        <v>0</v>
      </c>
      <c r="M187" s="66">
        <f>VLOOKUP(A187,Demográfico!A$2:E$400,5,FALSE)*H187</f>
        <v>515.33641574655428</v>
      </c>
      <c r="N187" s="68">
        <f>IFERROR(FLOOR(K187,1),0)</f>
        <v>0</v>
      </c>
      <c r="O187" s="68">
        <f>K187-N187</f>
        <v>0.19737520594980237</v>
      </c>
      <c r="P187" s="65">
        <f>IFERROR(RANK(O187,O$2:O$400,0),0)</f>
        <v>198</v>
      </c>
      <c r="Q187" s="3">
        <f>N187+IF(P187&lt;P$1,1,0)</f>
        <v>0</v>
      </c>
      <c r="S187" s="65">
        <f>VLOOKUP(A187,Demográfico!A$2:E$400,5,FALSE)*(H187)</f>
        <v>515.33641574655428</v>
      </c>
      <c r="T187" s="79">
        <f>IFERROR(D187/D187,0)</f>
        <v>1</v>
      </c>
      <c r="U187" s="65">
        <f t="shared" si="2"/>
        <v>515.33641574655428</v>
      </c>
    </row>
    <row r="188" spans="1:21" ht="19.5" x14ac:dyDescent="0.25">
      <c r="A188" s="2" t="s">
        <v>192</v>
      </c>
      <c r="B188" s="168">
        <v>10506</v>
      </c>
      <c r="C188" s="169" t="str" cm="1">
        <f t="array" ref="C188">_xlfn.IFS(B188&lt;5000, "P1",B188&lt;20000, "P2",B188&lt;70000, "P3",B188&lt;100000, "P4",B188&lt;200000,"M1",B188&lt;500000,"M2",B188&lt;1000000,"G1",B188&gt;1000000,"G2")</f>
        <v>P2</v>
      </c>
      <c r="D188" s="170">
        <f>VLOOKUP(C188,Metodologia!A$2:H$9,8,FALSE)</f>
        <v>32.634342822133917</v>
      </c>
      <c r="E188" s="171">
        <f>VLOOKUP(A188,Educacional!A$2:P$405,16,FALSE)</f>
        <v>52.53026957564736</v>
      </c>
      <c r="F188" s="171">
        <f>VLOOKUP(A188,Demográfico!A$2:L$405,12,FALSE)</f>
        <v>34.347097022214527</v>
      </c>
      <c r="G188" s="172">
        <f>VLOOKUP(A188,Socioeconômico!A$2:M$405,13,FALSE)</f>
        <v>44.684341898726025</v>
      </c>
      <c r="H188" s="173">
        <f>(2*E188+F188+2*G188)/5/100</f>
        <v>0.45755263994192263</v>
      </c>
      <c r="I188" s="170">
        <f>VLOOKUP(A188,Resultados!A$2:B586,2,FALSE)</f>
        <v>0</v>
      </c>
      <c r="J188" s="5">
        <f>IFERROR(VLOOKUP(A188,Demográfico!A$2:E$400,5,FALSE)/(VLOOKUP(C188,Metodologia!A$2:G$9,7,FALSE))*D188,0)</f>
        <v>0.15485456235806075</v>
      </c>
      <c r="K188" s="72">
        <f>(J188*(1+H188)-I188)</f>
        <v>0.22570867617204254</v>
      </c>
      <c r="L188" s="3">
        <v>1</v>
      </c>
      <c r="M188" s="66">
        <f>VLOOKUP(A188,Demográfico!A$2:E$400,5,FALSE)*H188</f>
        <v>620.44137976124705</v>
      </c>
      <c r="N188" s="68">
        <f>IFERROR(FLOOR(K188,1),0)</f>
        <v>0</v>
      </c>
      <c r="O188" s="68">
        <f>K188-N188</f>
        <v>0.22570867617204254</v>
      </c>
      <c r="P188" s="65">
        <f>IFERROR(RANK(O188,O$2:O$400,0),0)</f>
        <v>180</v>
      </c>
      <c r="Q188" s="3">
        <f>N188+IF(P188&lt;P$1,1,0)</f>
        <v>0</v>
      </c>
      <c r="S188" s="65">
        <f>VLOOKUP(A188,Demográfico!A$2:E$400,5,FALSE)*(H188)</f>
        <v>620.44137976124705</v>
      </c>
      <c r="T188" s="79">
        <f>IFERROR(D188/D188,0)</f>
        <v>1</v>
      </c>
      <c r="U188" s="65">
        <f t="shared" si="2"/>
        <v>620.44137976124705</v>
      </c>
    </row>
    <row r="189" spans="1:21" ht="19.5" x14ac:dyDescent="0.25">
      <c r="A189" s="2" t="s">
        <v>193</v>
      </c>
      <c r="B189" s="168">
        <v>10458</v>
      </c>
      <c r="C189" s="169" t="str" cm="1">
        <f t="array" ref="C189">_xlfn.IFS(B189&lt;5000, "P1",B189&lt;20000, "P2",B189&lt;70000, "P3",B189&lt;100000, "P4",B189&lt;200000,"M1",B189&lt;500000,"M2",B189&lt;1000000,"G1",B189&gt;1000000,"G2")</f>
        <v>P2</v>
      </c>
      <c r="D189" s="170">
        <f>VLOOKUP(C189,Metodologia!A$2:H$9,8,FALSE)</f>
        <v>32.634342822133917</v>
      </c>
      <c r="E189" s="171">
        <f>VLOOKUP(A189,Educacional!A$2:P$405,16,FALSE)</f>
        <v>36.26230123109481</v>
      </c>
      <c r="F189" s="171">
        <f>VLOOKUP(A189,Demográfico!A$2:L$405,12,FALSE)</f>
        <v>44.237867877881612</v>
      </c>
      <c r="G189" s="172">
        <f>VLOOKUP(A189,Socioeconômico!A$2:M$405,13,FALSE)</f>
        <v>31.709155921106603</v>
      </c>
      <c r="H189" s="173">
        <f>(2*E189+F189+2*G189)/5/100</f>
        <v>0.3603615643645689</v>
      </c>
      <c r="I189" s="170">
        <f>VLOOKUP(A189,Resultados!A$2:B587,2,FALSE)</f>
        <v>0</v>
      </c>
      <c r="J189" s="5">
        <f>IFERROR(VLOOKUP(A189,Demográfico!A$2:E$400,5,FALSE)/(VLOOKUP(C189,Metodologia!A$2:G$9,7,FALSE))*D189,0)</f>
        <v>0.16810170781052022</v>
      </c>
      <c r="K189" s="72">
        <f>(J189*(1+H189)-I189)</f>
        <v>0.22867910220947499</v>
      </c>
      <c r="L189" s="3">
        <v>0</v>
      </c>
      <c r="M189" s="66">
        <f>VLOOKUP(A189,Demográfico!A$2:E$400,5,FALSE)*H189</f>
        <v>530.45222274464538</v>
      </c>
      <c r="N189" s="68">
        <f>IFERROR(FLOOR(K189,1),0)</f>
        <v>0</v>
      </c>
      <c r="O189" s="68">
        <f>K189-N189</f>
        <v>0.22867910220947499</v>
      </c>
      <c r="P189" s="65">
        <f>IFERROR(RANK(O189,O$2:O$400,0),0)</f>
        <v>178</v>
      </c>
      <c r="Q189" s="3">
        <f>N189+IF(P189&lt;P$1,1,0)</f>
        <v>0</v>
      </c>
      <c r="S189" s="65">
        <f>VLOOKUP(A189,Demográfico!A$2:E$400,5,FALSE)*(H189)</f>
        <v>530.45222274464538</v>
      </c>
      <c r="T189" s="79">
        <f>IFERROR(D189/D189,0)</f>
        <v>1</v>
      </c>
      <c r="U189" s="65">
        <f t="shared" si="2"/>
        <v>530.45222274464538</v>
      </c>
    </row>
    <row r="190" spans="1:21" ht="19.5" x14ac:dyDescent="0.25">
      <c r="A190" s="2" t="s">
        <v>194</v>
      </c>
      <c r="B190" s="168">
        <v>10446</v>
      </c>
      <c r="C190" s="169" t="str" cm="1">
        <f t="array" ref="C190">_xlfn.IFS(B190&lt;5000, "P1",B190&lt;20000, "P2",B190&lt;70000, "P3",B190&lt;100000, "P4",B190&lt;200000,"M1",B190&lt;500000,"M2",B190&lt;1000000,"G1",B190&gt;1000000,"G2")</f>
        <v>P2</v>
      </c>
      <c r="D190" s="170">
        <f>VLOOKUP(C190,Metodologia!A$2:H$9,8,FALSE)</f>
        <v>32.634342822133917</v>
      </c>
      <c r="E190" s="171">
        <f>VLOOKUP(A190,Educacional!A$2:P$405,16,FALSE)</f>
        <v>66.124392018656664</v>
      </c>
      <c r="F190" s="171">
        <f>VLOOKUP(A190,Demográfico!A$2:L$405,12,FALSE)</f>
        <v>30.792447053379867</v>
      </c>
      <c r="G190" s="172">
        <f>VLOOKUP(A190,Socioeconômico!A$2:M$405,13,FALSE)</f>
        <v>42.614211164953133</v>
      </c>
      <c r="H190" s="173">
        <f>(2*E190+F190+2*G190)/5/100</f>
        <v>0.4965393068411989</v>
      </c>
      <c r="I190" s="170">
        <f>VLOOKUP(A190,Resultados!A$2:B588,2,FALSE)</f>
        <v>0</v>
      </c>
      <c r="J190" s="5">
        <f>IFERROR(VLOOKUP(A190,Demográfico!A$2:E$400,5,FALSE)/(VLOOKUP(C190,Metodologia!A$2:G$9,7,FALSE))*D190,0)</f>
        <v>0.15725275248307496</v>
      </c>
      <c r="K190" s="72">
        <f>(J190*(1+H190)-I190)</f>
        <v>0.23533492519989163</v>
      </c>
      <c r="L190" s="3">
        <v>1</v>
      </c>
      <c r="M190" s="66">
        <f>VLOOKUP(A190,Demográfico!A$2:E$400,5,FALSE)*H190</f>
        <v>683.73462552033084</v>
      </c>
      <c r="N190" s="68">
        <f>IFERROR(FLOOR(K190,1),0)</f>
        <v>0</v>
      </c>
      <c r="O190" s="68">
        <f>K190-N190</f>
        <v>0.23533492519989163</v>
      </c>
      <c r="P190" s="65">
        <f>IFERROR(RANK(O190,O$2:O$400,0),0)</f>
        <v>172</v>
      </c>
      <c r="Q190" s="3">
        <f>N190+IF(P190&lt;P$1,1,0)</f>
        <v>0</v>
      </c>
      <c r="S190" s="65">
        <f>VLOOKUP(A190,Demográfico!A$2:E$400,5,FALSE)*(H190)</f>
        <v>683.73462552033084</v>
      </c>
      <c r="T190" s="79">
        <f>IFERROR(D190/D190,0)</f>
        <v>1</v>
      </c>
      <c r="U190" s="65">
        <f t="shared" si="2"/>
        <v>683.73462552033084</v>
      </c>
    </row>
    <row r="191" spans="1:21" ht="19.5" x14ac:dyDescent="0.25">
      <c r="A191" s="2" t="s">
        <v>195</v>
      </c>
      <c r="B191" s="168">
        <v>10406</v>
      </c>
      <c r="C191" s="169" t="str" cm="1">
        <f t="array" ref="C191">_xlfn.IFS(B191&lt;5000, "P1",B191&lt;20000, "P2",B191&lt;70000, "P3",B191&lt;100000, "P4",B191&lt;200000,"M1",B191&lt;500000,"M2",B191&lt;1000000,"G1",B191&gt;1000000,"G2")</f>
        <v>P2</v>
      </c>
      <c r="D191" s="170">
        <f>VLOOKUP(C191,Metodologia!A$2:H$9,8,FALSE)</f>
        <v>32.634342822133917</v>
      </c>
      <c r="E191" s="171">
        <f>VLOOKUP(A191,Educacional!A$2:P$405,16,FALSE)</f>
        <v>59.179762681286007</v>
      </c>
      <c r="F191" s="171">
        <f>VLOOKUP(A191,Demográfico!A$2:L$405,12,FALSE)</f>
        <v>16.390390717389636</v>
      </c>
      <c r="G191" s="172">
        <f>VLOOKUP(A191,Socioeconômico!A$2:M$405,13,FALSE)</f>
        <v>50.75557376306574</v>
      </c>
      <c r="H191" s="173">
        <f>(2*E191+F191+2*G191)/5/100</f>
        <v>0.47252212721218628</v>
      </c>
      <c r="I191" s="170">
        <f>VLOOKUP(A191,Resultados!A$2:B589,2,FALSE)</f>
        <v>0</v>
      </c>
      <c r="J191" s="5">
        <f>IFERROR(VLOOKUP(A191,Demográfico!A$2:E$400,5,FALSE)/(VLOOKUP(C191,Metodologia!A$2:G$9,7,FALSE))*D191,0)</f>
        <v>0.13840983007224902</v>
      </c>
      <c r="K191" s="72">
        <f>(J191*(1+H191)-I191)</f>
        <v>0.20381153740506536</v>
      </c>
      <c r="L191" s="3">
        <v>1</v>
      </c>
      <c r="M191" s="66">
        <f>VLOOKUP(A191,Demográfico!A$2:E$400,5,FALSE)*H191</f>
        <v>572.69681818116976</v>
      </c>
      <c r="N191" s="68">
        <f>IFERROR(FLOOR(K191,1),0)</f>
        <v>0</v>
      </c>
      <c r="O191" s="68">
        <f>K191-N191</f>
        <v>0.20381153740506536</v>
      </c>
      <c r="P191" s="65">
        <f>IFERROR(RANK(O191,O$2:O$400,0),0)</f>
        <v>196</v>
      </c>
      <c r="Q191" s="3">
        <f>N191+IF(P191&lt;P$1,1,0)</f>
        <v>0</v>
      </c>
      <c r="S191" s="65">
        <f>VLOOKUP(A191,Demográfico!A$2:E$400,5,FALSE)*(H191)</f>
        <v>572.69681818116976</v>
      </c>
      <c r="T191" s="79">
        <f>IFERROR(D191/D191,0)</f>
        <v>1</v>
      </c>
      <c r="U191" s="65">
        <f t="shared" si="2"/>
        <v>572.69681818116976</v>
      </c>
    </row>
    <row r="192" spans="1:21" ht="19.5" x14ac:dyDescent="0.25">
      <c r="A192" s="2" t="s">
        <v>196</v>
      </c>
      <c r="B192" s="168">
        <v>10326</v>
      </c>
      <c r="C192" s="169" t="str" cm="1">
        <f t="array" ref="C192">_xlfn.IFS(B192&lt;5000, "P1",B192&lt;20000, "P2",B192&lt;70000, "P3",B192&lt;100000, "P4",B192&lt;200000,"M1",B192&lt;500000,"M2",B192&lt;1000000,"G1",B192&gt;1000000,"G2")</f>
        <v>P2</v>
      </c>
      <c r="D192" s="170">
        <f>VLOOKUP(C192,Metodologia!A$2:H$9,8,FALSE)</f>
        <v>32.634342822133917</v>
      </c>
      <c r="E192" s="171">
        <f>VLOOKUP(A192,Educacional!A$2:P$405,16,FALSE)</f>
        <v>51.482171646483557</v>
      </c>
      <c r="F192" s="171">
        <f>VLOOKUP(A192,Demográfico!A$2:L$405,12,FALSE)</f>
        <v>16.536652153926344</v>
      </c>
      <c r="G192" s="172">
        <f>VLOOKUP(A192,Socioeconômico!A$2:M$405,13,FALSE)</f>
        <v>46.991404984092597</v>
      </c>
      <c r="H192" s="173">
        <f>(2*E192+F192+2*G192)/5/100</f>
        <v>0.42696761083015727</v>
      </c>
      <c r="I192" s="170">
        <f>VLOOKUP(A192,Resultados!A$2:B590,2,FALSE)</f>
        <v>0</v>
      </c>
      <c r="J192" s="5">
        <f>IFERROR(VLOOKUP(A192,Demográfico!A$2:E$400,5,FALSE)/(VLOOKUP(C192,Metodologia!A$2:G$9,7,FALSE))*D192,0)</f>
        <v>0.13292825264364508</v>
      </c>
      <c r="K192" s="72">
        <f>(J192*(1+H192)-I192)</f>
        <v>0.18968431108672976</v>
      </c>
      <c r="L192" s="3">
        <v>0</v>
      </c>
      <c r="M192" s="66">
        <f>VLOOKUP(A192,Demográfico!A$2:E$400,5,FALSE)*H192</f>
        <v>496.99029900630308</v>
      </c>
      <c r="N192" s="68">
        <f>IFERROR(FLOOR(K192,1),0)</f>
        <v>0</v>
      </c>
      <c r="O192" s="68">
        <f>K192-N192</f>
        <v>0.18968431108672976</v>
      </c>
      <c r="P192" s="65">
        <f>IFERROR(RANK(O192,O$2:O$400,0),0)</f>
        <v>203</v>
      </c>
      <c r="Q192" s="3">
        <f>N192+IF(P192&lt;P$1,1,0)</f>
        <v>0</v>
      </c>
      <c r="S192" s="65">
        <f>VLOOKUP(A192,Demográfico!A$2:E$400,5,FALSE)*(H192)</f>
        <v>496.99029900630308</v>
      </c>
      <c r="T192" s="79">
        <f>IFERROR(D192/D192,0)</f>
        <v>1</v>
      </c>
      <c r="U192" s="65">
        <f t="shared" si="2"/>
        <v>496.99029900630308</v>
      </c>
    </row>
    <row r="193" spans="1:21" ht="19.5" x14ac:dyDescent="0.25">
      <c r="A193" s="2" t="s">
        <v>197</v>
      </c>
      <c r="B193" s="168">
        <v>10233</v>
      </c>
      <c r="C193" s="169" t="str" cm="1">
        <f t="array" ref="C193">_xlfn.IFS(B193&lt;5000, "P1",B193&lt;20000, "P2",B193&lt;70000, "P3",B193&lt;100000, "P4",B193&lt;200000,"M1",B193&lt;500000,"M2",B193&lt;1000000,"G1",B193&gt;1000000,"G2")</f>
        <v>P2</v>
      </c>
      <c r="D193" s="170">
        <f>VLOOKUP(C193,Metodologia!A$2:H$9,8,FALSE)</f>
        <v>32.634342822133917</v>
      </c>
      <c r="E193" s="171">
        <f>VLOOKUP(A193,Educacional!A$2:P$405,16,FALSE)</f>
        <v>70.948615764438827</v>
      </c>
      <c r="F193" s="171">
        <f>VLOOKUP(A193,Demográfico!A$2:L$405,12,FALSE)</f>
        <v>48.391929315177094</v>
      </c>
      <c r="G193" s="172">
        <f>VLOOKUP(A193,Socioeconômico!A$2:M$405,13,FALSE)</f>
        <v>59.783831977009314</v>
      </c>
      <c r="H193" s="173">
        <f>(2*E193+F193+2*G193)/5/100</f>
        <v>0.61971364959614672</v>
      </c>
      <c r="I193" s="170">
        <f>VLOOKUP(A193,Resultados!A$2:B591,2,FALSE)</f>
        <v>1</v>
      </c>
      <c r="J193" s="5">
        <f>IFERROR(VLOOKUP(A193,Demográfico!A$2:E$400,5,FALSE)/(VLOOKUP(C193,Metodologia!A$2:G$9,7,FALSE))*D193,0)</f>
        <v>0.16924370310814604</v>
      </c>
      <c r="K193" s="72">
        <f>(J193*(1+H193)-I193)</f>
        <v>-0.72587366396753805</v>
      </c>
      <c r="L193" s="3">
        <v>1</v>
      </c>
      <c r="M193" s="66">
        <f>VLOOKUP(A193,Demográfico!A$2:E$400,5,FALSE)*H193</f>
        <v>918.41562870148948</v>
      </c>
      <c r="N193" s="68">
        <f>IFERROR(FLOOR(K193,1),0)</f>
        <v>-1</v>
      </c>
      <c r="O193" s="68">
        <f>K193-N193</f>
        <v>0.27412633603246195</v>
      </c>
      <c r="P193" s="65">
        <f>IFERROR(RANK(O193,O$2:O$400,0),0)</f>
        <v>150</v>
      </c>
      <c r="Q193" s="3">
        <f>N193+IF(P193&lt;P$1,1,0)</f>
        <v>-1</v>
      </c>
      <c r="S193" s="65">
        <f>VLOOKUP(A193,Demográfico!A$2:E$400,5,FALSE)*(H193)</f>
        <v>918.41562870148948</v>
      </c>
      <c r="T193" s="79">
        <f>IFERROR(D193/D193,0)</f>
        <v>1</v>
      </c>
      <c r="U193" s="65">
        <f t="shared" si="2"/>
        <v>918.41562870148948</v>
      </c>
    </row>
    <row r="194" spans="1:21" ht="19.5" x14ac:dyDescent="0.25">
      <c r="A194" s="2" t="s">
        <v>198</v>
      </c>
      <c r="B194" s="168">
        <v>10082</v>
      </c>
      <c r="C194" s="169" t="str" cm="1">
        <f t="array" ref="C194">_xlfn.IFS(B194&lt;5000, "P1",B194&lt;20000, "P2",B194&lt;70000, "P3",B194&lt;100000, "P4",B194&lt;200000,"M1",B194&lt;500000,"M2",B194&lt;1000000,"G1",B194&gt;1000000,"G2")</f>
        <v>P2</v>
      </c>
      <c r="D194" s="170">
        <f>VLOOKUP(C194,Metodologia!A$2:H$9,8,FALSE)</f>
        <v>32.634342822133917</v>
      </c>
      <c r="E194" s="171">
        <f>VLOOKUP(A194,Educacional!A$2:P$405,16,FALSE)</f>
        <v>46.478869335745664</v>
      </c>
      <c r="F194" s="171">
        <f>VLOOKUP(A194,Demográfico!A$2:L$405,12,FALSE)</f>
        <v>18.206403140954613</v>
      </c>
      <c r="G194" s="172">
        <f>VLOOKUP(A194,Socioeconômico!A$2:M$405,13,FALSE)</f>
        <v>45.878755301777808</v>
      </c>
      <c r="H194" s="173">
        <f>(2*E194+F194+2*G194)/5/100</f>
        <v>0.40584330483200309</v>
      </c>
      <c r="I194" s="170">
        <f>VLOOKUP(A194,Resultados!A$2:B592,2,FALSE)</f>
        <v>0</v>
      </c>
      <c r="J194" s="5">
        <f>IFERROR(VLOOKUP(A194,Demográfico!A$2:E$400,5,FALSE)/(VLOOKUP(C194,Metodologia!A$2:G$9,7,FALSE))*D194,0)</f>
        <v>0.12436328791145146</v>
      </c>
      <c r="K194" s="72">
        <f>(J194*(1+H194)-I194)</f>
        <v>0.17483529567720882</v>
      </c>
      <c r="L194" s="3">
        <v>0</v>
      </c>
      <c r="M194" s="66">
        <f>VLOOKUP(A194,Demográfico!A$2:E$400,5,FALSE)*H194</f>
        <v>441.96335896205136</v>
      </c>
      <c r="N194" s="68">
        <f>IFERROR(FLOOR(K194,1),0)</f>
        <v>0</v>
      </c>
      <c r="O194" s="68">
        <f>K194-N194</f>
        <v>0.17483529567720882</v>
      </c>
      <c r="P194" s="65">
        <f>IFERROR(RANK(O194,O$2:O$400,0),0)</f>
        <v>219</v>
      </c>
      <c r="Q194" s="3">
        <f>N194+IF(P194&lt;P$1,1,0)</f>
        <v>0</v>
      </c>
      <c r="S194" s="65">
        <f>VLOOKUP(A194,Demográfico!A$2:E$400,5,FALSE)*(H194)</f>
        <v>441.96335896205136</v>
      </c>
      <c r="T194" s="79">
        <f>IFERROR(D194/D194,0)</f>
        <v>1</v>
      </c>
      <c r="U194" s="65">
        <f t="shared" si="2"/>
        <v>441.96335896205136</v>
      </c>
    </row>
    <row r="195" spans="1:21" ht="19.5" x14ac:dyDescent="0.25">
      <c r="A195" s="2" t="s">
        <v>199</v>
      </c>
      <c r="B195" s="168">
        <v>9934</v>
      </c>
      <c r="C195" s="169" t="str" cm="1">
        <f t="array" ref="C195">_xlfn.IFS(B195&lt;5000, "P1",B195&lt;20000, "P2",B195&lt;70000, "P3",B195&lt;100000, "P4",B195&lt;200000,"M1",B195&lt;500000,"M2",B195&lt;1000000,"G1",B195&gt;1000000,"G2")</f>
        <v>P2</v>
      </c>
      <c r="D195" s="170">
        <f>VLOOKUP(C195,Metodologia!A$2:H$9,8,FALSE)</f>
        <v>32.634342822133917</v>
      </c>
      <c r="E195" s="171">
        <f>VLOOKUP(A195,Educacional!A$2:P$405,16,FALSE)</f>
        <v>65.30601306766134</v>
      </c>
      <c r="F195" s="171">
        <f>VLOOKUP(A195,Demográfico!A$2:L$405,12,FALSE)</f>
        <v>54.356782728545774</v>
      </c>
      <c r="G195" s="172">
        <f>VLOOKUP(A195,Socioeconômico!A$2:M$405,13,FALSE)</f>
        <v>64.012374065474049</v>
      </c>
      <c r="H195" s="173">
        <f>(2*E195+F195+2*G195)/5/100</f>
        <v>0.62598711398963314</v>
      </c>
      <c r="I195" s="170">
        <f>VLOOKUP(A195,Resultados!A$2:B593,2,FALSE)</f>
        <v>0</v>
      </c>
      <c r="J195" s="5">
        <f>IFERROR(VLOOKUP(A195,Demográfico!A$2:E$400,5,FALSE)/(VLOOKUP(C195,Metodologia!A$2:G$9,7,FALSE))*D195,0)</f>
        <v>0.16090713743547758</v>
      </c>
      <c r="K195" s="72">
        <f>(J195*(1+H195)-I195)</f>
        <v>0.26163293201904542</v>
      </c>
      <c r="L195" s="3">
        <v>1</v>
      </c>
      <c r="M195" s="66">
        <f>VLOOKUP(A195,Demográfico!A$2:E$400,5,FALSE)*H195</f>
        <v>882.01584361139305</v>
      </c>
      <c r="N195" s="68">
        <f>IFERROR(FLOOR(K195,1),0)</f>
        <v>0</v>
      </c>
      <c r="O195" s="68">
        <f>K195-N195</f>
        <v>0.26163293201904542</v>
      </c>
      <c r="P195" s="65">
        <f>IFERROR(RANK(O195,O$2:O$400,0),0)</f>
        <v>158</v>
      </c>
      <c r="Q195" s="3">
        <f>N195+IF(P195&lt;P$1,1,0)</f>
        <v>0</v>
      </c>
      <c r="S195" s="65">
        <f>VLOOKUP(A195,Demográfico!A$2:E$400,5,FALSE)*(H195)</f>
        <v>882.01584361139305</v>
      </c>
      <c r="T195" s="79">
        <f>IFERROR(D195/D195,0)</f>
        <v>1</v>
      </c>
      <c r="U195" s="65">
        <f t="shared" ref="U195:U258" si="3">S195*T195</f>
        <v>882.01584361139305</v>
      </c>
    </row>
    <row r="196" spans="1:21" ht="19.5" x14ac:dyDescent="0.25">
      <c r="A196" s="2" t="s">
        <v>200</v>
      </c>
      <c r="B196" s="168">
        <v>9847</v>
      </c>
      <c r="C196" s="169" t="str" cm="1">
        <f t="array" ref="C196">_xlfn.IFS(B196&lt;5000, "P1",B196&lt;20000, "P2",B196&lt;70000, "P3",B196&lt;100000, "P4",B196&lt;200000,"M1",B196&lt;500000,"M2",B196&lt;1000000,"G1",B196&gt;1000000,"G2")</f>
        <v>P2</v>
      </c>
      <c r="D196" s="170">
        <f>VLOOKUP(C196,Metodologia!A$2:H$9,8,FALSE)</f>
        <v>32.634342822133917</v>
      </c>
      <c r="E196" s="171">
        <f>VLOOKUP(A196,Educacional!A$2:P$405,16,FALSE)</f>
        <v>82.128265830853536</v>
      </c>
      <c r="F196" s="171">
        <f>VLOOKUP(A196,Demográfico!A$2:L$405,12,FALSE)</f>
        <v>51.033498303037398</v>
      </c>
      <c r="G196" s="172">
        <f>VLOOKUP(A196,Socioeconômico!A$2:M$405,13,FALSE)</f>
        <v>53.993247689174119</v>
      </c>
      <c r="H196" s="173">
        <f>(2*E196+F196+2*G196)/5/100</f>
        <v>0.6465530506861854</v>
      </c>
      <c r="I196" s="170">
        <f>VLOOKUP(A196,Resultados!A$2:B594,2,FALSE)</f>
        <v>0</v>
      </c>
      <c r="J196" s="5">
        <f>IFERROR(VLOOKUP(A196,Demográfico!A$2:E$400,5,FALSE)/(VLOOKUP(C196,Metodologia!A$2:G$9,7,FALSE))*D196,0)</f>
        <v>0.15828054825093821</v>
      </c>
      <c r="K196" s="72">
        <f>(J196*(1+H196)-I196)</f>
        <v>0.26061731958686429</v>
      </c>
      <c r="L196" s="3">
        <v>1</v>
      </c>
      <c r="M196" s="66">
        <f>VLOOKUP(A196,Demográfico!A$2:E$400,5,FALSE)*H196</f>
        <v>896.12252825105293</v>
      </c>
      <c r="N196" s="68">
        <f>IFERROR(FLOOR(K196,1),0)</f>
        <v>0</v>
      </c>
      <c r="O196" s="68">
        <f>K196-N196</f>
        <v>0.26061731958686429</v>
      </c>
      <c r="P196" s="65">
        <f>IFERROR(RANK(O196,O$2:O$400,0),0)</f>
        <v>159</v>
      </c>
      <c r="Q196" s="3">
        <f>N196+IF(P196&lt;P$1,1,0)</f>
        <v>0</v>
      </c>
      <c r="S196" s="65">
        <f>VLOOKUP(A196,Demográfico!A$2:E$400,5,FALSE)*(H196)</f>
        <v>896.12252825105293</v>
      </c>
      <c r="T196" s="79">
        <f>IFERROR(D196/D196,0)</f>
        <v>1</v>
      </c>
      <c r="U196" s="65">
        <f t="shared" si="3"/>
        <v>896.12252825105293</v>
      </c>
    </row>
    <row r="197" spans="1:21" ht="19.5" x14ac:dyDescent="0.25">
      <c r="A197" s="2" t="s">
        <v>201</v>
      </c>
      <c r="B197" s="168">
        <v>9759</v>
      </c>
      <c r="C197" s="169" t="str" cm="1">
        <f t="array" ref="C197">_xlfn.IFS(B197&lt;5000, "P1",B197&lt;20000, "P2",B197&lt;70000, "P3",B197&lt;100000, "P4",B197&lt;200000,"M1",B197&lt;500000,"M2",B197&lt;1000000,"G1",B197&gt;1000000,"G2")</f>
        <v>P2</v>
      </c>
      <c r="D197" s="170">
        <f>VLOOKUP(C197,Metodologia!A$2:H$9,8,FALSE)</f>
        <v>32.634342822133917</v>
      </c>
      <c r="E197" s="171">
        <f>VLOOKUP(A197,Educacional!A$2:P$405,16,FALSE)</f>
        <v>53.235335855801893</v>
      </c>
      <c r="F197" s="171">
        <f>VLOOKUP(A197,Demográfico!A$2:L$405,12,FALSE)</f>
        <v>41.140671579632297</v>
      </c>
      <c r="G197" s="172">
        <f>VLOOKUP(A197,Socioeconômico!A$2:M$405,13,FALSE)</f>
        <v>46.343786601409953</v>
      </c>
      <c r="H197" s="173">
        <f>(2*E197+F197+2*G197)/5/100</f>
        <v>0.48059783298811204</v>
      </c>
      <c r="I197" s="170">
        <f>VLOOKUP(A197,Resultados!A$2:B595,2,FALSE)</f>
        <v>1</v>
      </c>
      <c r="J197" s="5">
        <f>IFERROR(VLOOKUP(A197,Demográfico!A$2:E$400,5,FALSE)/(VLOOKUP(C197,Metodologia!A$2:G$9,7,FALSE))*D197,0)</f>
        <v>0.15485456235806075</v>
      </c>
      <c r="K197" s="72">
        <f>(J197*(1+H197)-I197)</f>
        <v>-0.77072267054433286</v>
      </c>
      <c r="L197" s="3">
        <v>1</v>
      </c>
      <c r="M197" s="66">
        <f>VLOOKUP(A197,Demográfico!A$2:E$400,5,FALSE)*H197</f>
        <v>651.69066153187987</v>
      </c>
      <c r="N197" s="68">
        <f>IFERROR(FLOOR(K197,1),0)</f>
        <v>-1</v>
      </c>
      <c r="O197" s="68">
        <f>K197-N197</f>
        <v>0.22927732945566714</v>
      </c>
      <c r="P197" s="65">
        <f>IFERROR(RANK(O197,O$2:O$400,0),0)</f>
        <v>176</v>
      </c>
      <c r="Q197" s="3">
        <f>N197+IF(P197&lt;P$1,1,0)</f>
        <v>-1</v>
      </c>
      <c r="S197" s="65">
        <f>VLOOKUP(A197,Demográfico!A$2:E$400,5,FALSE)*(H197)</f>
        <v>651.69066153187987</v>
      </c>
      <c r="T197" s="79">
        <f>IFERROR(D197/D197,0)</f>
        <v>1</v>
      </c>
      <c r="U197" s="65">
        <f t="shared" si="3"/>
        <v>651.69066153187987</v>
      </c>
    </row>
    <row r="198" spans="1:21" ht="19.5" x14ac:dyDescent="0.25">
      <c r="A198" s="2" t="s">
        <v>202</v>
      </c>
      <c r="B198" s="168">
        <v>9727</v>
      </c>
      <c r="C198" s="169" t="str" cm="1">
        <f t="array" ref="C198">_xlfn.IFS(B198&lt;5000, "P1",B198&lt;20000, "P2",B198&lt;70000, "P3",B198&lt;100000, "P4",B198&lt;200000,"M1",B198&lt;500000,"M2",B198&lt;1000000,"G1",B198&gt;1000000,"G2")</f>
        <v>P2</v>
      </c>
      <c r="D198" s="170">
        <f>VLOOKUP(C198,Metodologia!A$2:H$9,8,FALSE)</f>
        <v>32.634342822133917</v>
      </c>
      <c r="E198" s="171">
        <f>VLOOKUP(A198,Educacional!A$2:P$405,16,FALSE)</f>
        <v>56.80448049133792</v>
      </c>
      <c r="F198" s="171">
        <f>VLOOKUP(A198,Demográfico!A$2:L$405,12,FALSE)</f>
        <v>43.114277390566365</v>
      </c>
      <c r="G198" s="172">
        <f>VLOOKUP(A198,Socioeconômico!A$2:M$405,13,FALSE)</f>
        <v>46.047778903034001</v>
      </c>
      <c r="H198" s="173">
        <f>(2*E198+F198+2*G198)/5/100</f>
        <v>0.49763759235862037</v>
      </c>
      <c r="I198" s="170">
        <f>VLOOKUP(A198,Resultados!A$2:B596,2,FALSE)</f>
        <v>0</v>
      </c>
      <c r="J198" s="5">
        <f>IFERROR(VLOOKUP(A198,Demográfico!A$2:E$400,5,FALSE)/(VLOOKUP(C198,Metodologia!A$2:G$9,7,FALSE))*D198,0)</f>
        <v>0.14537600138776649</v>
      </c>
      <c r="K198" s="72">
        <f>(J198*(1+H198)-I198)</f>
        <v>0.21772056470509807</v>
      </c>
      <c r="L198" s="3">
        <v>1</v>
      </c>
      <c r="M198" s="66">
        <f>VLOOKUP(A198,Demográfico!A$2:E$400,5,FALSE)*H198</f>
        <v>633.49265507252369</v>
      </c>
      <c r="N198" s="68">
        <f>IFERROR(FLOOR(K198,1),0)</f>
        <v>0</v>
      </c>
      <c r="O198" s="68">
        <f>K198-N198</f>
        <v>0.21772056470509807</v>
      </c>
      <c r="P198" s="65">
        <f>IFERROR(RANK(O198,O$2:O$400,0),0)</f>
        <v>187</v>
      </c>
      <c r="Q198" s="3">
        <f>N198+IF(P198&lt;P$1,1,0)</f>
        <v>0</v>
      </c>
      <c r="S198" s="65">
        <f>VLOOKUP(A198,Demográfico!A$2:E$400,5,FALSE)*(H198)</f>
        <v>633.49265507252369</v>
      </c>
      <c r="T198" s="79">
        <f>IFERROR(D198/D198,0)</f>
        <v>1</v>
      </c>
      <c r="U198" s="65">
        <f t="shared" si="3"/>
        <v>633.49265507252369</v>
      </c>
    </row>
    <row r="199" spans="1:21" ht="19.5" x14ac:dyDescent="0.25">
      <c r="A199" s="2" t="s">
        <v>203</v>
      </c>
      <c r="B199" s="168">
        <v>9706</v>
      </c>
      <c r="C199" s="169" t="str" cm="1">
        <f t="array" ref="C199">_xlfn.IFS(B199&lt;5000, "P1",B199&lt;20000, "P2",B199&lt;70000, "P3",B199&lt;100000, "P4",B199&lt;200000,"M1",B199&lt;500000,"M2",B199&lt;1000000,"G1",B199&gt;1000000,"G2")</f>
        <v>P2</v>
      </c>
      <c r="D199" s="170">
        <f>VLOOKUP(C199,Metodologia!A$2:H$9,8,FALSE)</f>
        <v>32.634342822133917</v>
      </c>
      <c r="E199" s="171">
        <f>VLOOKUP(A199,Educacional!A$2:P$405,16,FALSE)</f>
        <v>77.332740048140707</v>
      </c>
      <c r="F199" s="171">
        <f>VLOOKUP(A199,Demográfico!A$2:L$405,12,FALSE)</f>
        <v>46.747803888215358</v>
      </c>
      <c r="G199" s="172">
        <f>VLOOKUP(A199,Socioeconômico!A$2:M$405,13,FALSE)</f>
        <v>29.392056254016651</v>
      </c>
      <c r="H199" s="173">
        <f>(2*E199+F199+2*G199)/5/100</f>
        <v>0.52039479298506008</v>
      </c>
      <c r="I199" s="170">
        <f>VLOOKUP(A199,Resultados!A$2:B597,2,FALSE)</f>
        <v>1</v>
      </c>
      <c r="J199" s="5">
        <f>IFERROR(VLOOKUP(A199,Demográfico!A$2:E$400,5,FALSE)/(VLOOKUP(C199,Metodologia!A$2:G$9,7,FALSE))*D199,0)</f>
        <v>0.17563887677485063</v>
      </c>
      <c r="K199" s="72">
        <f>(J199*(1+H199)-I199)</f>
        <v>-0.73295956630577253</v>
      </c>
      <c r="L199" s="3">
        <v>1</v>
      </c>
      <c r="M199" s="66">
        <f>VLOOKUP(A199,Demográfico!A$2:E$400,5,FALSE)*H199</f>
        <v>800.36719161102246</v>
      </c>
      <c r="N199" s="68">
        <f>IFERROR(FLOOR(K199,1),0)</f>
        <v>-1</v>
      </c>
      <c r="O199" s="68">
        <f>K199-N199</f>
        <v>0.26704043369422747</v>
      </c>
      <c r="P199" s="65">
        <f>IFERROR(RANK(O199,O$2:O$400,0),0)</f>
        <v>154</v>
      </c>
      <c r="Q199" s="3">
        <f>N199+IF(P199&lt;P$1,1,0)</f>
        <v>-1</v>
      </c>
      <c r="S199" s="65">
        <f>VLOOKUP(A199,Demográfico!A$2:E$400,5,FALSE)*(H199)</f>
        <v>800.36719161102246</v>
      </c>
      <c r="T199" s="79">
        <f>IFERROR(D199/D199,0)</f>
        <v>1</v>
      </c>
      <c r="U199" s="65">
        <f t="shared" si="3"/>
        <v>800.36719161102246</v>
      </c>
    </row>
    <row r="200" spans="1:21" ht="19.5" x14ac:dyDescent="0.25">
      <c r="A200" s="2" t="s">
        <v>204</v>
      </c>
      <c r="B200" s="168">
        <v>9681</v>
      </c>
      <c r="C200" s="169" t="str" cm="1">
        <f t="array" ref="C200">_xlfn.IFS(B200&lt;5000, "P1",B200&lt;20000, "P2",B200&lt;70000, "P3",B200&lt;100000, "P4",B200&lt;200000,"M1",B200&lt;500000,"M2",B200&lt;1000000,"G1",B200&gt;1000000,"G2")</f>
        <v>P2</v>
      </c>
      <c r="D200" s="170">
        <f>VLOOKUP(C200,Metodologia!A$2:H$9,8,FALSE)</f>
        <v>32.634342822133917</v>
      </c>
      <c r="E200" s="171">
        <f>VLOOKUP(A200,Educacional!A$2:P$405,16,FALSE)</f>
        <v>65.531439870216531</v>
      </c>
      <c r="F200" s="171">
        <f>VLOOKUP(A200,Demográfico!A$2:L$405,12,FALSE)</f>
        <v>70.933436181007139</v>
      </c>
      <c r="G200" s="172">
        <f>VLOOKUP(A200,Socioeconômico!A$2:M$405,13,FALSE)</f>
        <v>37.767109496647144</v>
      </c>
      <c r="H200" s="173">
        <f>(2*E200+F200+2*G200)/5/100</f>
        <v>0.55506106982946901</v>
      </c>
      <c r="I200" s="170">
        <f>VLOOKUP(A200,Resultados!A$2:B598,2,FALSE)</f>
        <v>0</v>
      </c>
      <c r="J200" s="5">
        <f>IFERROR(VLOOKUP(A200,Demográfico!A$2:E$400,5,FALSE)/(VLOOKUP(C200,Metodologia!A$2:G$9,7,FALSE))*D200,0)</f>
        <v>0.15553975953663626</v>
      </c>
      <c r="K200" s="72">
        <f>(J200*(1+H200)-I200)</f>
        <v>0.24187382486605996</v>
      </c>
      <c r="L200" s="3">
        <v>1</v>
      </c>
      <c r="M200" s="66">
        <f>VLOOKUP(A200,Demográfico!A$2:E$400,5,FALSE)*H200</f>
        <v>755.99317710773676</v>
      </c>
      <c r="N200" s="68">
        <f>IFERROR(FLOOR(K200,1),0)</f>
        <v>0</v>
      </c>
      <c r="O200" s="68">
        <f>K200-N200</f>
        <v>0.24187382486605996</v>
      </c>
      <c r="P200" s="65">
        <f>IFERROR(RANK(O200,O$2:O$400,0),0)</f>
        <v>169</v>
      </c>
      <c r="Q200" s="3">
        <f>N200+IF(P200&lt;P$1,1,0)</f>
        <v>0</v>
      </c>
      <c r="S200" s="65">
        <f>VLOOKUP(A200,Demográfico!A$2:E$400,5,FALSE)*(H200)</f>
        <v>755.99317710773676</v>
      </c>
      <c r="T200" s="79">
        <f>IFERROR(D200/D200,0)</f>
        <v>1</v>
      </c>
      <c r="U200" s="65">
        <f t="shared" si="3"/>
        <v>755.99317710773676</v>
      </c>
    </row>
    <row r="201" spans="1:21" ht="19.5" x14ac:dyDescent="0.25">
      <c r="A201" s="2" t="s">
        <v>205</v>
      </c>
      <c r="B201" s="168">
        <v>9670</v>
      </c>
      <c r="C201" s="169" t="str" cm="1">
        <f t="array" ref="C201">_xlfn.IFS(B201&lt;5000, "P1",B201&lt;20000, "P2",B201&lt;70000, "P3",B201&lt;100000, "P4",B201&lt;200000,"M1",B201&lt;500000,"M2",B201&lt;1000000,"G1",B201&gt;1000000,"G2")</f>
        <v>P2</v>
      </c>
      <c r="D201" s="170">
        <f>VLOOKUP(C201,Metodologia!A$2:H$9,8,FALSE)</f>
        <v>32.634342822133917</v>
      </c>
      <c r="E201" s="171">
        <f>VLOOKUP(A201,Educacional!A$2:P$405,16,FALSE)</f>
        <v>77.692521009393161</v>
      </c>
      <c r="F201" s="171">
        <f>VLOOKUP(A201,Demográfico!A$2:L$405,12,FALSE)</f>
        <v>58.564596434806404</v>
      </c>
      <c r="G201" s="172">
        <f>VLOOKUP(A201,Socioeconômico!A$2:M$405,13,FALSE)</f>
        <v>63.615724597295767</v>
      </c>
      <c r="H201" s="173">
        <f>(2*E201+F201+2*G201)/5/100</f>
        <v>0.68236217529636856</v>
      </c>
      <c r="I201" s="170">
        <f>VLOOKUP(A201,Resultados!A$2:B599,2,FALSE)</f>
        <v>0</v>
      </c>
      <c r="J201" s="5">
        <f>IFERROR(VLOOKUP(A201,Demográfico!A$2:E$400,5,FALSE)/(VLOOKUP(C201,Metodologia!A$2:G$9,7,FALSE))*D201,0)</f>
        <v>0.16810170781052022</v>
      </c>
      <c r="K201" s="72">
        <f>(J201*(1+H201)-I201)</f>
        <v>0.28280795482314131</v>
      </c>
      <c r="L201" s="3">
        <v>1</v>
      </c>
      <c r="M201" s="66">
        <f>VLOOKUP(A201,Demográfico!A$2:E$400,5,FALSE)*H201</f>
        <v>1004.4371220362546</v>
      </c>
      <c r="N201" s="68">
        <f>IFERROR(FLOOR(K201,1),0)</f>
        <v>0</v>
      </c>
      <c r="O201" s="68">
        <f>K201-N201</f>
        <v>0.28280795482314131</v>
      </c>
      <c r="P201" s="65">
        <f>IFERROR(RANK(O201,O$2:O$400,0),0)</f>
        <v>146</v>
      </c>
      <c r="Q201" s="3">
        <f>N201+IF(P201&lt;P$1,1,0)</f>
        <v>0</v>
      </c>
      <c r="S201" s="65">
        <f>VLOOKUP(A201,Demográfico!A$2:E$400,5,FALSE)*(H201)</f>
        <v>1004.4371220362546</v>
      </c>
      <c r="T201" s="79">
        <f>IFERROR(D201/D201,0)</f>
        <v>1</v>
      </c>
      <c r="U201" s="65">
        <f t="shared" si="3"/>
        <v>1004.4371220362546</v>
      </c>
    </row>
    <row r="202" spans="1:21" ht="19.5" x14ac:dyDescent="0.25">
      <c r="A202" s="2" t="s">
        <v>206</v>
      </c>
      <c r="B202" s="168">
        <v>9557</v>
      </c>
      <c r="C202" s="169" t="str" cm="1">
        <f t="array" ref="C202">_xlfn.IFS(B202&lt;5000, "P1",B202&lt;20000, "P2",B202&lt;70000, "P3",B202&lt;100000, "P4",B202&lt;200000,"M1",B202&lt;500000,"M2",B202&lt;1000000,"G1",B202&gt;1000000,"G2")</f>
        <v>P2</v>
      </c>
      <c r="D202" s="170">
        <f>VLOOKUP(C202,Metodologia!A$2:H$9,8,FALSE)</f>
        <v>32.634342822133917</v>
      </c>
      <c r="E202" s="171">
        <f>VLOOKUP(A202,Educacional!A$2:P$405,16,FALSE)</f>
        <v>45.587479699198923</v>
      </c>
      <c r="F202" s="171">
        <f>VLOOKUP(A202,Demográfico!A$2:L$405,12,FALSE)</f>
        <v>58.189872800625196</v>
      </c>
      <c r="G202" s="172">
        <f>VLOOKUP(A202,Socioeconômico!A$2:M$405,13,FALSE)</f>
        <v>36.091155046539207</v>
      </c>
      <c r="H202" s="173">
        <f>(2*E202+F202+2*G202)/5/100</f>
        <v>0.44309428458420291</v>
      </c>
      <c r="I202" s="170">
        <f>VLOOKUP(A202,Resultados!A$2:B600,2,FALSE)</f>
        <v>0</v>
      </c>
      <c r="J202" s="5">
        <f>IFERROR(VLOOKUP(A202,Demográfico!A$2:E$400,5,FALSE)/(VLOOKUP(C202,Metodologia!A$2:G$9,7,FALSE))*D202,0)</f>
        <v>0.15017238163779492</v>
      </c>
      <c r="K202" s="72">
        <f>(J202*(1+H202)-I202)</f>
        <v>0.21671290564389956</v>
      </c>
      <c r="L202" s="3">
        <v>0</v>
      </c>
      <c r="M202" s="66">
        <f>VLOOKUP(A202,Demográfico!A$2:E$400,5,FALSE)*H202</f>
        <v>582.6689842282268</v>
      </c>
      <c r="N202" s="68">
        <f>IFERROR(FLOOR(K202,1),0)</f>
        <v>0</v>
      </c>
      <c r="O202" s="68">
        <f>K202-N202</f>
        <v>0.21671290564389956</v>
      </c>
      <c r="P202" s="65">
        <f>IFERROR(RANK(O202,O$2:O$400,0),0)</f>
        <v>188</v>
      </c>
      <c r="Q202" s="3">
        <f>N202+IF(P202&lt;P$1,1,0)</f>
        <v>0</v>
      </c>
      <c r="S202" s="65">
        <f>VLOOKUP(A202,Demográfico!A$2:E$400,5,FALSE)*(H202)</f>
        <v>582.6689842282268</v>
      </c>
      <c r="T202" s="79">
        <f>IFERROR(D202/D202,0)</f>
        <v>1</v>
      </c>
      <c r="U202" s="65">
        <f t="shared" si="3"/>
        <v>582.6689842282268</v>
      </c>
    </row>
    <row r="203" spans="1:21" ht="19.5" x14ac:dyDescent="0.25">
      <c r="A203" s="2" t="s">
        <v>207</v>
      </c>
      <c r="B203" s="168">
        <v>9547</v>
      </c>
      <c r="C203" s="169" t="str" cm="1">
        <f t="array" ref="C203">_xlfn.IFS(B203&lt;5000, "P1",B203&lt;20000, "P2",B203&lt;70000, "P3",B203&lt;100000, "P4",B203&lt;200000,"M1",B203&lt;500000,"M2",B203&lt;1000000,"G1",B203&gt;1000000,"G2")</f>
        <v>P2</v>
      </c>
      <c r="D203" s="170">
        <f>VLOOKUP(C203,Metodologia!A$2:H$9,8,FALSE)</f>
        <v>32.634342822133917</v>
      </c>
      <c r="E203" s="171">
        <f>VLOOKUP(A203,Educacional!A$2:P$405,16,FALSE)</f>
        <v>74.270402190174678</v>
      </c>
      <c r="F203" s="171">
        <f>VLOOKUP(A203,Demográfico!A$2:L$405,12,FALSE)</f>
        <v>52.897022733084142</v>
      </c>
      <c r="G203" s="172">
        <f>VLOOKUP(A203,Socioeconômico!A$2:M$405,13,FALSE)</f>
        <v>54.963639580418914</v>
      </c>
      <c r="H203" s="173">
        <f>(2*E203+F203+2*G203)/5/100</f>
        <v>0.62273021254854266</v>
      </c>
      <c r="I203" s="170">
        <f>VLOOKUP(A203,Resultados!A$2:B601,2,FALSE)</f>
        <v>0</v>
      </c>
      <c r="J203" s="5">
        <f>IFERROR(VLOOKUP(A203,Demográfico!A$2:E$400,5,FALSE)/(VLOOKUP(C203,Metodologia!A$2:G$9,7,FALSE))*D203,0)</f>
        <v>0.14834518916159362</v>
      </c>
      <c r="K203" s="72">
        <f>(J203*(1+H203)-I203)</f>
        <v>0.24072422033874655</v>
      </c>
      <c r="L203" s="3">
        <v>1</v>
      </c>
      <c r="M203" s="66">
        <f>VLOOKUP(A203,Demográfico!A$2:E$400,5,FALSE)*H203</f>
        <v>808.92654610055695</v>
      </c>
      <c r="N203" s="68">
        <f>IFERROR(FLOOR(K203,1),0)</f>
        <v>0</v>
      </c>
      <c r="O203" s="68">
        <f>K203-N203</f>
        <v>0.24072422033874655</v>
      </c>
      <c r="P203" s="65">
        <f>IFERROR(RANK(O203,O$2:O$400,0),0)</f>
        <v>171</v>
      </c>
      <c r="Q203" s="3">
        <f>N203+IF(P203&lt;P$1,1,0)</f>
        <v>0</v>
      </c>
      <c r="S203" s="65">
        <f>VLOOKUP(A203,Demográfico!A$2:E$400,5,FALSE)*(H203)</f>
        <v>808.92654610055695</v>
      </c>
      <c r="T203" s="79">
        <f>IFERROR(D203/D203,0)</f>
        <v>1</v>
      </c>
      <c r="U203" s="65">
        <f t="shared" si="3"/>
        <v>808.92654610055695</v>
      </c>
    </row>
    <row r="204" spans="1:21" ht="19.5" x14ac:dyDescent="0.25">
      <c r="A204" s="2" t="s">
        <v>208</v>
      </c>
      <c r="B204" s="168">
        <v>9460</v>
      </c>
      <c r="C204" s="169" t="str" cm="1">
        <f t="array" ref="C204">_xlfn.IFS(B204&lt;5000, "P1",B204&lt;20000, "P2",B204&lt;70000, "P3",B204&lt;100000, "P4",B204&lt;200000,"M1",B204&lt;500000,"M2",B204&lt;1000000,"G1",B204&gt;1000000,"G2")</f>
        <v>P2</v>
      </c>
      <c r="D204" s="170">
        <f>VLOOKUP(C204,Metodologia!A$2:H$9,8,FALSE)</f>
        <v>32.634342822133917</v>
      </c>
      <c r="E204" s="171">
        <f>VLOOKUP(A204,Educacional!A$2:P$405,16,FALSE)</f>
        <v>53.429573298964414</v>
      </c>
      <c r="F204" s="171">
        <f>VLOOKUP(A204,Demográfico!A$2:L$405,12,FALSE)</f>
        <v>31.797562234926136</v>
      </c>
      <c r="G204" s="172">
        <f>VLOOKUP(A204,Socioeconômico!A$2:M$405,13,FALSE)</f>
        <v>33.465382233448132</v>
      </c>
      <c r="H204" s="173">
        <f>(2*E204+F204+2*G204)/5/100</f>
        <v>0.41117494659950254</v>
      </c>
      <c r="I204" s="170">
        <f>VLOOKUP(A204,Resultados!A$2:B602,2,FALSE)</f>
        <v>0</v>
      </c>
      <c r="J204" s="5">
        <f>IFERROR(VLOOKUP(A204,Demográfico!A$2:E$400,5,FALSE)/(VLOOKUP(C204,Metodologia!A$2:G$9,7,FALSE))*D204,0)</f>
        <v>0.14012282301868773</v>
      </c>
      <c r="K204" s="72">
        <f>(J204*(1+H204)-I204)</f>
        <v>0.1977378172907682</v>
      </c>
      <c r="L204" s="3">
        <v>0</v>
      </c>
      <c r="M204" s="66">
        <f>VLOOKUP(A204,Demográfico!A$2:E$400,5,FALSE)*H204</f>
        <v>504.5116594775896</v>
      </c>
      <c r="N204" s="68">
        <f>IFERROR(FLOOR(K204,1),0)</f>
        <v>0</v>
      </c>
      <c r="O204" s="68">
        <f>K204-N204</f>
        <v>0.1977378172907682</v>
      </c>
      <c r="P204" s="65">
        <f>IFERROR(RANK(O204,O$2:O$400,0),0)</f>
        <v>197</v>
      </c>
      <c r="Q204" s="3">
        <f>N204+IF(P204&lt;P$1,1,0)</f>
        <v>0</v>
      </c>
      <c r="S204" s="65">
        <f>VLOOKUP(A204,Demográfico!A$2:E$400,5,FALSE)*(H204)</f>
        <v>504.5116594775896</v>
      </c>
      <c r="T204" s="79">
        <f>IFERROR(D204/D204,0)</f>
        <v>1</v>
      </c>
      <c r="U204" s="65">
        <f t="shared" si="3"/>
        <v>504.5116594775896</v>
      </c>
    </row>
    <row r="205" spans="1:21" ht="19.5" x14ac:dyDescent="0.25">
      <c r="A205" s="2" t="s">
        <v>209</v>
      </c>
      <c r="B205" s="168">
        <v>9383</v>
      </c>
      <c r="C205" s="169" t="str" cm="1">
        <f t="array" ref="C205">_xlfn.IFS(B205&lt;5000, "P1",B205&lt;20000, "P2",B205&lt;70000, "P3",B205&lt;100000, "P4",B205&lt;200000,"M1",B205&lt;500000,"M2",B205&lt;1000000,"G1",B205&gt;1000000,"G2")</f>
        <v>P2</v>
      </c>
      <c r="D205" s="170">
        <f>VLOOKUP(C205,Metodologia!A$2:H$9,8,FALSE)</f>
        <v>32.634342822133917</v>
      </c>
      <c r="E205" s="171">
        <f>VLOOKUP(A205,Educacional!A$2:P$405,16,FALSE)</f>
        <v>53.983278307296658</v>
      </c>
      <c r="F205" s="171">
        <f>VLOOKUP(A205,Demográfico!A$2:L$405,12,FALSE)</f>
        <v>48.531081461072759</v>
      </c>
      <c r="G205" s="172">
        <f>VLOOKUP(A205,Socioeconômico!A$2:M$405,13,FALSE)</f>
        <v>49.441012591261376</v>
      </c>
      <c r="H205" s="173">
        <f>(2*E205+F205+2*G205)/5/100</f>
        <v>0.51075932651637768</v>
      </c>
      <c r="I205" s="170">
        <f>VLOOKUP(A205,Resultados!A$2:B603,2,FALSE)</f>
        <v>0</v>
      </c>
      <c r="J205" s="5">
        <f>IFERROR(VLOOKUP(A205,Demográfico!A$2:E$400,5,FALSE)/(VLOOKUP(C205,Metodologia!A$2:G$9,7,FALSE))*D205,0)</f>
        <v>0.17061409746529704</v>
      </c>
      <c r="K205" s="72">
        <f>(J205*(1+H205)-I205)</f>
        <v>0.25775683898087176</v>
      </c>
      <c r="L205" s="3">
        <v>1</v>
      </c>
      <c r="M205" s="66">
        <f>VLOOKUP(A205,Demográfico!A$2:E$400,5,FALSE)*H205</f>
        <v>763.0744338154683</v>
      </c>
      <c r="N205" s="68">
        <f>IFERROR(FLOOR(K205,1),0)</f>
        <v>0</v>
      </c>
      <c r="O205" s="68">
        <f>K205-N205</f>
        <v>0.25775683898087176</v>
      </c>
      <c r="P205" s="65">
        <f>IFERROR(RANK(O205,O$2:O$400,0),0)</f>
        <v>161</v>
      </c>
      <c r="Q205" s="3">
        <f>N205+IF(P205&lt;P$1,1,0)</f>
        <v>0</v>
      </c>
      <c r="S205" s="65">
        <f>VLOOKUP(A205,Demográfico!A$2:E$400,5,FALSE)*(H205)</f>
        <v>763.0744338154683</v>
      </c>
      <c r="T205" s="79">
        <f>IFERROR(D205/D205,0)</f>
        <v>1</v>
      </c>
      <c r="U205" s="65">
        <f t="shared" si="3"/>
        <v>763.0744338154683</v>
      </c>
    </row>
    <row r="206" spans="1:21" ht="19.5" x14ac:dyDescent="0.25">
      <c r="A206" s="2" t="s">
        <v>210</v>
      </c>
      <c r="B206" s="168">
        <v>9378</v>
      </c>
      <c r="C206" s="169" t="str" cm="1">
        <f t="array" ref="C206">_xlfn.IFS(B206&lt;5000, "P1",B206&lt;20000, "P2",B206&lt;70000, "P3",B206&lt;100000, "P4",B206&lt;200000,"M1",B206&lt;500000,"M2",B206&lt;1000000,"G1",B206&gt;1000000,"G2")</f>
        <v>P2</v>
      </c>
      <c r="D206" s="170">
        <f>VLOOKUP(C206,Metodologia!A$2:H$9,8,FALSE)</f>
        <v>32.634342822133917</v>
      </c>
      <c r="E206" s="171">
        <f>VLOOKUP(A206,Educacional!A$2:P$405,16,FALSE)</f>
        <v>43.393518444900167</v>
      </c>
      <c r="F206" s="171">
        <f>VLOOKUP(A206,Demográfico!A$2:L$405,12,FALSE)</f>
        <v>37.890030560047123</v>
      </c>
      <c r="G206" s="172">
        <f>VLOOKUP(A206,Socioeconômico!A$2:M$405,13,FALSE)</f>
        <v>29.432163408539026</v>
      </c>
      <c r="H206" s="173">
        <f>(2*E206+F206+2*G206)/5/100</f>
        <v>0.36708278853385101</v>
      </c>
      <c r="I206" s="170">
        <f>VLOOKUP(A206,Resultados!A$2:B604,2,FALSE)</f>
        <v>0</v>
      </c>
      <c r="J206" s="5">
        <f>IFERROR(VLOOKUP(A206,Demográfico!A$2:E$400,5,FALSE)/(VLOOKUP(C206,Metodologia!A$2:G$9,7,FALSE))*D206,0)</f>
        <v>0.13486964464960896</v>
      </c>
      <c r="K206" s="72">
        <f>(J206*(1+H206)-I206)</f>
        <v>0.18437796989615698</v>
      </c>
      <c r="L206" s="3">
        <v>0</v>
      </c>
      <c r="M206" s="66">
        <f>VLOOKUP(A206,Demográfico!A$2:E$400,5,FALSE)*H206</f>
        <v>433.52477325847804</v>
      </c>
      <c r="N206" s="68">
        <f>IFERROR(FLOOR(K206,1),0)</f>
        <v>0</v>
      </c>
      <c r="O206" s="68">
        <f>K206-N206</f>
        <v>0.18437796989615698</v>
      </c>
      <c r="P206" s="65">
        <f>IFERROR(RANK(O206,O$2:O$400,0),0)</f>
        <v>207</v>
      </c>
      <c r="Q206" s="3">
        <f>N206+IF(P206&lt;P$1,1,0)</f>
        <v>0</v>
      </c>
      <c r="S206" s="65">
        <f>VLOOKUP(A206,Demográfico!A$2:E$400,5,FALSE)*(H206)</f>
        <v>433.52477325847804</v>
      </c>
      <c r="T206" s="79">
        <f>IFERROR(D206/D206,0)</f>
        <v>1</v>
      </c>
      <c r="U206" s="65">
        <f t="shared" si="3"/>
        <v>433.52477325847804</v>
      </c>
    </row>
    <row r="207" spans="1:21" ht="19.5" x14ac:dyDescent="0.25">
      <c r="A207" s="2" t="s">
        <v>211</v>
      </c>
      <c r="B207" s="168">
        <v>9161</v>
      </c>
      <c r="C207" s="169" t="str" cm="1">
        <f t="array" ref="C207">_xlfn.IFS(B207&lt;5000, "P1",B207&lt;20000, "P2",B207&lt;70000, "P3",B207&lt;100000, "P4",B207&lt;200000,"M1",B207&lt;500000,"M2",B207&lt;1000000,"G1",B207&gt;1000000,"G2")</f>
        <v>P2</v>
      </c>
      <c r="D207" s="170">
        <f>VLOOKUP(C207,Metodologia!A$2:H$9,8,FALSE)</f>
        <v>32.634342822133917</v>
      </c>
      <c r="E207" s="171">
        <f>VLOOKUP(A207,Educacional!A$2:P$405,16,FALSE)</f>
        <v>41.480863288666136</v>
      </c>
      <c r="F207" s="171">
        <f>VLOOKUP(A207,Demográfico!A$2:L$405,12,FALSE)</f>
        <v>30.205668510062171</v>
      </c>
      <c r="G207" s="172">
        <f>VLOOKUP(A207,Socioeconômico!A$2:M$405,13,FALSE)</f>
        <v>22.427845618265319</v>
      </c>
      <c r="H207" s="173">
        <f>(2*E207+F207+2*G207)/5/100</f>
        <v>0.31604617264785012</v>
      </c>
      <c r="I207" s="170">
        <f>VLOOKUP(A207,Resultados!A$2:B605,2,FALSE)</f>
        <v>0</v>
      </c>
      <c r="J207" s="5">
        <f>IFERROR(VLOOKUP(A207,Demográfico!A$2:E$400,5,FALSE)/(VLOOKUP(C207,Metodologia!A$2:G$9,7,FALSE))*D207,0)</f>
        <v>0.13795303195319866</v>
      </c>
      <c r="K207" s="72">
        <f>(J207*(1+H207)-I207)</f>
        <v>0.18155255970717366</v>
      </c>
      <c r="L207" s="3">
        <v>0</v>
      </c>
      <c r="M207" s="66">
        <f>VLOOKUP(A207,Demográfico!A$2:E$400,5,FALSE)*H207</f>
        <v>381.78377655860294</v>
      </c>
      <c r="N207" s="68">
        <f>IFERROR(FLOOR(K207,1),0)</f>
        <v>0</v>
      </c>
      <c r="O207" s="68">
        <f>K207-N207</f>
        <v>0.18155255970717366</v>
      </c>
      <c r="P207" s="65">
        <f>IFERROR(RANK(O207,O$2:O$400,0),0)</f>
        <v>211</v>
      </c>
      <c r="Q207" s="3">
        <f>N207+IF(P207&lt;P$1,1,0)</f>
        <v>0</v>
      </c>
      <c r="S207" s="65">
        <f>VLOOKUP(A207,Demográfico!A$2:E$400,5,FALSE)*(H207)</f>
        <v>381.78377655860294</v>
      </c>
      <c r="T207" s="79">
        <f>IFERROR(D207/D207,0)</f>
        <v>1</v>
      </c>
      <c r="U207" s="65">
        <f t="shared" si="3"/>
        <v>381.78377655860294</v>
      </c>
    </row>
    <row r="208" spans="1:21" ht="19.5" x14ac:dyDescent="0.25">
      <c r="A208" s="2" t="s">
        <v>212</v>
      </c>
      <c r="B208" s="168">
        <v>9144</v>
      </c>
      <c r="C208" s="169" t="str" cm="1">
        <f t="array" ref="C208">_xlfn.IFS(B208&lt;5000, "P1",B208&lt;20000, "P2",B208&lt;70000, "P3",B208&lt;100000, "P4",B208&lt;200000,"M1",B208&lt;500000,"M2",B208&lt;1000000,"G1",B208&gt;1000000,"G2")</f>
        <v>P2</v>
      </c>
      <c r="D208" s="170">
        <f>VLOOKUP(C208,Metodologia!A$2:H$9,8,FALSE)</f>
        <v>32.634342822133917</v>
      </c>
      <c r="E208" s="171">
        <f>VLOOKUP(A208,Educacional!A$2:P$405,16,FALSE)</f>
        <v>55.494261924356067</v>
      </c>
      <c r="F208" s="171">
        <f>VLOOKUP(A208,Demográfico!A$2:L$405,12,FALSE)</f>
        <v>40.908058617877607</v>
      </c>
      <c r="G208" s="172">
        <f>VLOOKUP(A208,Socioeconômico!A$2:M$405,13,FALSE)</f>
        <v>39.319095405145234</v>
      </c>
      <c r="H208" s="173">
        <f>(2*E208+F208+2*G208)/5/100</f>
        <v>0.46106954655376042</v>
      </c>
      <c r="I208" s="170">
        <f>VLOOKUP(A208,Resultados!A$2:B606,2,FALSE)</f>
        <v>0</v>
      </c>
      <c r="J208" s="5">
        <f>IFERROR(VLOOKUP(A208,Demográfico!A$2:E$400,5,FALSE)/(VLOOKUP(C208,Metodologia!A$2:G$9,7,FALSE))*D208,0)</f>
        <v>0.1159125227090204</v>
      </c>
      <c r="K208" s="72">
        <f>(J208*(1+H208)-I208)</f>
        <v>0.1693562569943709</v>
      </c>
      <c r="L208" s="3">
        <v>1</v>
      </c>
      <c r="M208" s="66">
        <f>VLOOKUP(A208,Demográfico!A$2:E$400,5,FALSE)*H208</f>
        <v>467.98558975206686</v>
      </c>
      <c r="N208" s="68">
        <f>IFERROR(FLOOR(K208,1),0)</f>
        <v>0</v>
      </c>
      <c r="O208" s="68">
        <f>K208-N208</f>
        <v>0.1693562569943709</v>
      </c>
      <c r="P208" s="65">
        <f>IFERROR(RANK(O208,O$2:O$400,0),0)</f>
        <v>222</v>
      </c>
      <c r="Q208" s="3">
        <f>N208+IF(P208&lt;P$1,1,0)</f>
        <v>0</v>
      </c>
      <c r="S208" s="65">
        <f>VLOOKUP(A208,Demográfico!A$2:E$400,5,FALSE)*(H208)</f>
        <v>467.98558975206686</v>
      </c>
      <c r="T208" s="79">
        <f>IFERROR(D208/D208,0)</f>
        <v>1</v>
      </c>
      <c r="U208" s="65">
        <f t="shared" si="3"/>
        <v>467.98558975206686</v>
      </c>
    </row>
    <row r="209" spans="1:21" ht="19.5" x14ac:dyDescent="0.25">
      <c r="A209" s="2" t="s">
        <v>213</v>
      </c>
      <c r="B209" s="168">
        <v>9097</v>
      </c>
      <c r="C209" s="169" t="str" cm="1">
        <f t="array" ref="C209">_xlfn.IFS(B209&lt;5000, "P1",B209&lt;20000, "P2",B209&lt;70000, "P3",B209&lt;100000, "P4",B209&lt;200000,"M1",B209&lt;500000,"M2",B209&lt;1000000,"G1",B209&gt;1000000,"G2")</f>
        <v>P2</v>
      </c>
      <c r="D209" s="170">
        <f>VLOOKUP(C209,Metodologia!A$2:H$9,8,FALSE)</f>
        <v>32.634342822133917</v>
      </c>
      <c r="E209" s="171">
        <f>VLOOKUP(A209,Educacional!A$2:P$405,16,FALSE)</f>
        <v>41.05527688415296</v>
      </c>
      <c r="F209" s="171">
        <f>VLOOKUP(A209,Demográfico!A$2:L$405,12,FALSE)</f>
        <v>51.003504979803679</v>
      </c>
      <c r="G209" s="172">
        <f>VLOOKUP(A209,Socioeconômico!A$2:M$405,13,FALSE)</f>
        <v>33.32067438084961</v>
      </c>
      <c r="H209" s="173">
        <f>(2*E209+F209+2*G209)/5/100</f>
        <v>0.3995108150196176</v>
      </c>
      <c r="I209" s="170">
        <f>VLOOKUP(A209,Resultados!A$2:B607,2,FALSE)</f>
        <v>0</v>
      </c>
      <c r="J209" s="5">
        <f>IFERROR(VLOOKUP(A209,Demográfico!A$2:E$400,5,FALSE)/(VLOOKUP(C209,Metodologia!A$2:G$9,7,FALSE))*D209,0)</f>
        <v>0.13521224323889672</v>
      </c>
      <c r="K209" s="72">
        <f>(J209*(1+H209)-I209)</f>
        <v>0.18923099673589913</v>
      </c>
      <c r="L209" s="3">
        <v>0</v>
      </c>
      <c r="M209" s="66">
        <f>VLOOKUP(A209,Demográfico!A$2:E$400,5,FALSE)*H209</f>
        <v>473.02080498322726</v>
      </c>
      <c r="N209" s="68">
        <f>IFERROR(FLOOR(K209,1),0)</f>
        <v>0</v>
      </c>
      <c r="O209" s="68">
        <f>K209-N209</f>
        <v>0.18923099673589913</v>
      </c>
      <c r="P209" s="65">
        <f>IFERROR(RANK(O209,O$2:O$400,0),0)</f>
        <v>205</v>
      </c>
      <c r="Q209" s="3">
        <f>N209+IF(P209&lt;P$1,1,0)</f>
        <v>0</v>
      </c>
      <c r="S209" s="65">
        <f>VLOOKUP(A209,Demográfico!A$2:E$400,5,FALSE)*(H209)</f>
        <v>473.02080498322726</v>
      </c>
      <c r="T209" s="79">
        <f>IFERROR(D209/D209,0)</f>
        <v>1</v>
      </c>
      <c r="U209" s="65">
        <f t="shared" si="3"/>
        <v>473.02080498322726</v>
      </c>
    </row>
    <row r="210" spans="1:21" ht="19.5" x14ac:dyDescent="0.25">
      <c r="A210" s="2" t="s">
        <v>214</v>
      </c>
      <c r="B210" s="168">
        <v>8991</v>
      </c>
      <c r="C210" s="169" t="str" cm="1">
        <f t="array" ref="C210">_xlfn.IFS(B210&lt;5000, "P1",B210&lt;20000, "P2",B210&lt;70000, "P3",B210&lt;100000, "P4",B210&lt;200000,"M1",B210&lt;500000,"M2",B210&lt;1000000,"G1",B210&gt;1000000,"G2")</f>
        <v>P2</v>
      </c>
      <c r="D210" s="170">
        <f>VLOOKUP(C210,Metodologia!A$2:H$9,8,FALSE)</f>
        <v>32.634342822133917</v>
      </c>
      <c r="E210" s="171">
        <f>VLOOKUP(A210,Educacional!A$2:P$405,16,FALSE)</f>
        <v>57.226352678877646</v>
      </c>
      <c r="F210" s="171">
        <f>VLOOKUP(A210,Demográfico!A$2:L$405,12,FALSE)</f>
        <v>68.492797687399715</v>
      </c>
      <c r="G210" s="172">
        <f>VLOOKUP(A210,Socioeconômico!A$2:M$405,13,FALSE)</f>
        <v>53.164948582935843</v>
      </c>
      <c r="H210" s="173">
        <f>(2*E210+F210+2*G210)/5/100</f>
        <v>0.57855080042205342</v>
      </c>
      <c r="I210" s="170">
        <f>VLOOKUP(A210,Resultados!A$2:B608,2,FALSE)</f>
        <v>1</v>
      </c>
      <c r="J210" s="5">
        <f>IFERROR(VLOOKUP(A210,Demográfico!A$2:E$400,5,FALSE)/(VLOOKUP(C210,Metodologia!A$2:G$9,7,FALSE))*D210,0)</f>
        <v>0.12002370578047335</v>
      </c>
      <c r="K210" s="72">
        <f>(J210*(1+H210)-I210)</f>
        <v>-0.81053648317061278</v>
      </c>
      <c r="L210" s="3">
        <v>1</v>
      </c>
      <c r="M210" s="66">
        <f>VLOOKUP(A210,Demográfico!A$2:E$400,5,FALSE)*H210</f>
        <v>608.05689124357809</v>
      </c>
      <c r="N210" s="68">
        <f>IFERROR(FLOOR(K210,1),0)</f>
        <v>-1</v>
      </c>
      <c r="O210" s="68">
        <f>K210-N210</f>
        <v>0.18946351682938722</v>
      </c>
      <c r="P210" s="65">
        <f>IFERROR(RANK(O210,O$2:O$400,0),0)</f>
        <v>204</v>
      </c>
      <c r="Q210" s="3">
        <f>N210+IF(P210&lt;P$1,1,0)</f>
        <v>-1</v>
      </c>
      <c r="S210" s="65">
        <f>VLOOKUP(A210,Demográfico!A$2:E$400,5,FALSE)*(H210)</f>
        <v>608.05689124357809</v>
      </c>
      <c r="T210" s="79">
        <f>IFERROR(D210/D210,0)</f>
        <v>1</v>
      </c>
      <c r="U210" s="65">
        <f t="shared" si="3"/>
        <v>608.05689124357809</v>
      </c>
    </row>
    <row r="211" spans="1:21" ht="19.5" x14ac:dyDescent="0.25">
      <c r="A211" s="2" t="s">
        <v>215</v>
      </c>
      <c r="B211" s="168">
        <v>8912</v>
      </c>
      <c r="C211" s="169" t="str" cm="1">
        <f t="array" ref="C211">_xlfn.IFS(B211&lt;5000, "P1",B211&lt;20000, "P2",B211&lt;70000, "P3",B211&lt;100000, "P4",B211&lt;200000,"M1",B211&lt;500000,"M2",B211&lt;1000000,"G1",B211&gt;1000000,"G2")</f>
        <v>P2</v>
      </c>
      <c r="D211" s="170">
        <f>VLOOKUP(C211,Metodologia!A$2:H$9,8,FALSE)</f>
        <v>32.634342822133917</v>
      </c>
      <c r="E211" s="171">
        <f>VLOOKUP(A211,Educacional!A$2:P$405,16,FALSE)</f>
        <v>44.996822745396479</v>
      </c>
      <c r="F211" s="171">
        <f>VLOOKUP(A211,Demográfico!A$2:L$405,12,FALSE)</f>
        <v>69.91508056393829</v>
      </c>
      <c r="G211" s="172">
        <f>VLOOKUP(A211,Socioeconômico!A$2:M$405,13,FALSE)</f>
        <v>36.367251451268579</v>
      </c>
      <c r="H211" s="173">
        <f>(2*E211+F211+2*G211)/5/100</f>
        <v>0.46528645791453677</v>
      </c>
      <c r="I211" s="170">
        <f>VLOOKUP(A211,Resultados!A$2:B609,2,FALSE)</f>
        <v>0</v>
      </c>
      <c r="J211" s="5">
        <f>IFERROR(VLOOKUP(A211,Demográfico!A$2:E$400,5,FALSE)/(VLOOKUP(C211,Metodologia!A$2:G$9,7,FALSE))*D211,0)</f>
        <v>0.12424908838168887</v>
      </c>
      <c r="K211" s="72">
        <f>(J211*(1+H211)-I211)</f>
        <v>0.18206050661391512</v>
      </c>
      <c r="L211" s="3">
        <v>0</v>
      </c>
      <c r="M211" s="66">
        <f>VLOOKUP(A211,Demográfico!A$2:E$400,5,FALSE)*H211</f>
        <v>506.23166621101598</v>
      </c>
      <c r="N211" s="68">
        <f>IFERROR(FLOOR(K211,1),0)</f>
        <v>0</v>
      </c>
      <c r="O211" s="68">
        <f>K211-N211</f>
        <v>0.18206050661391512</v>
      </c>
      <c r="P211" s="65">
        <f>IFERROR(RANK(O211,O$2:O$400,0),0)</f>
        <v>210</v>
      </c>
      <c r="Q211" s="3">
        <f>N211+IF(P211&lt;P$1,1,0)</f>
        <v>0</v>
      </c>
      <c r="S211" s="65">
        <f>VLOOKUP(A211,Demográfico!A$2:E$400,5,FALSE)*(H211)</f>
        <v>506.23166621101598</v>
      </c>
      <c r="T211" s="79">
        <f>IFERROR(D211/D211,0)</f>
        <v>1</v>
      </c>
      <c r="U211" s="65">
        <f t="shared" si="3"/>
        <v>506.23166621101598</v>
      </c>
    </row>
    <row r="212" spans="1:21" ht="19.5" x14ac:dyDescent="0.25">
      <c r="A212" s="2" t="s">
        <v>216</v>
      </c>
      <c r="B212" s="168">
        <v>8822</v>
      </c>
      <c r="C212" s="169" t="str" cm="1">
        <f t="array" ref="C212">_xlfn.IFS(B212&lt;5000, "P1",B212&lt;20000, "P2",B212&lt;70000, "P3",B212&lt;100000, "P4",B212&lt;200000,"M1",B212&lt;500000,"M2",B212&lt;1000000,"G1",B212&gt;1000000,"G2")</f>
        <v>P2</v>
      </c>
      <c r="D212" s="170">
        <f>VLOOKUP(C212,Metodologia!A$2:H$9,8,FALSE)</f>
        <v>32.634342822133917</v>
      </c>
      <c r="E212" s="171">
        <f>VLOOKUP(A212,Educacional!A$2:P$405,16,FALSE)</f>
        <v>36.951930290174232</v>
      </c>
      <c r="F212" s="171">
        <f>VLOOKUP(A212,Demográfico!A$2:L$405,12,FALSE)</f>
        <v>37.876096667331154</v>
      </c>
      <c r="G212" s="172">
        <f>VLOOKUP(A212,Socioeconômico!A$2:M$405,13,FALSE)</f>
        <v>20.904353979802632</v>
      </c>
      <c r="H212" s="173">
        <f>(2*E212+F212+2*G212)/5/100</f>
        <v>0.30717733041456979</v>
      </c>
      <c r="I212" s="170">
        <f>VLOOKUP(A212,Resultados!A$2:B610,2,FALSE)</f>
        <v>0</v>
      </c>
      <c r="J212" s="5">
        <f>IFERROR(VLOOKUP(A212,Demográfico!A$2:E$400,5,FALSE)/(VLOOKUP(C212,Metodologia!A$2:G$9,7,FALSE))*D212,0)</f>
        <v>0.13761043336391091</v>
      </c>
      <c r="K212" s="72">
        <f>(J212*(1+H212)-I212)</f>
        <v>0.17988123892182908</v>
      </c>
      <c r="L212" s="3">
        <v>0</v>
      </c>
      <c r="M212" s="66">
        <f>VLOOKUP(A212,Demográfico!A$2:E$400,5,FALSE)*H212</f>
        <v>370.14868314955658</v>
      </c>
      <c r="N212" s="68">
        <f>IFERROR(FLOOR(K212,1),0)</f>
        <v>0</v>
      </c>
      <c r="O212" s="68">
        <f>K212-N212</f>
        <v>0.17988123892182908</v>
      </c>
      <c r="P212" s="65">
        <f>IFERROR(RANK(O212,O$2:O$400,0),0)</f>
        <v>214</v>
      </c>
      <c r="Q212" s="3">
        <f>N212+IF(P212&lt;P$1,1,0)</f>
        <v>0</v>
      </c>
      <c r="S212" s="65">
        <f>VLOOKUP(A212,Demográfico!A$2:E$400,5,FALSE)*(H212)</f>
        <v>370.14868314955658</v>
      </c>
      <c r="T212" s="79">
        <f>IFERROR(D212/D212,0)</f>
        <v>1</v>
      </c>
      <c r="U212" s="65">
        <f t="shared" si="3"/>
        <v>370.14868314955658</v>
      </c>
    </row>
    <row r="213" spans="1:21" ht="19.5" x14ac:dyDescent="0.25">
      <c r="A213" s="2" t="s">
        <v>217</v>
      </c>
      <c r="B213" s="168">
        <v>8710</v>
      </c>
      <c r="C213" s="169" t="str" cm="1">
        <f t="array" ref="C213">_xlfn.IFS(B213&lt;5000, "P1",B213&lt;20000, "P2",B213&lt;70000, "P3",B213&lt;100000, "P4",B213&lt;200000,"M1",B213&lt;500000,"M2",B213&lt;1000000,"G1",B213&gt;1000000,"G2")</f>
        <v>P2</v>
      </c>
      <c r="D213" s="170">
        <f>VLOOKUP(C213,Metodologia!A$2:H$9,8,FALSE)</f>
        <v>32.634342822133917</v>
      </c>
      <c r="E213" s="171">
        <f>VLOOKUP(A213,Educacional!A$2:P$405,16,FALSE)</f>
        <v>38.983673121097404</v>
      </c>
      <c r="F213" s="171">
        <f>VLOOKUP(A213,Demográfico!A$2:L$405,12,FALSE)</f>
        <v>60.683836732827025</v>
      </c>
      <c r="G213" s="172">
        <f>VLOOKUP(A213,Socioeconômico!A$2:M$405,13,FALSE)</f>
        <v>46.886568304697008</v>
      </c>
      <c r="H213" s="173">
        <f>(2*E213+F213+2*G213)/5/100</f>
        <v>0.46484863916883173</v>
      </c>
      <c r="I213" s="170">
        <f>VLOOKUP(A213,Resultados!A$2:B611,2,FALSE)</f>
        <v>0</v>
      </c>
      <c r="J213" s="5">
        <f>IFERROR(VLOOKUP(A213,Demográfico!A$2:E$400,5,FALSE)/(VLOOKUP(C213,Metodologia!A$2:G$9,7,FALSE))*D213,0)</f>
        <v>0.13338505076269538</v>
      </c>
      <c r="K213" s="72">
        <f>(J213*(1+H213)-I213)</f>
        <v>0.19538891009519987</v>
      </c>
      <c r="L213" s="3">
        <v>0</v>
      </c>
      <c r="M213" s="66">
        <f>VLOOKUP(A213,Demográfico!A$2:E$400,5,FALSE)*H213</f>
        <v>542.94321054919544</v>
      </c>
      <c r="N213" s="68">
        <f>IFERROR(FLOOR(K213,1),0)</f>
        <v>0</v>
      </c>
      <c r="O213" s="68">
        <f>K213-N213</f>
        <v>0.19538891009519987</v>
      </c>
      <c r="P213" s="65">
        <f>IFERROR(RANK(O213,O$2:O$400,0),0)</f>
        <v>201</v>
      </c>
      <c r="Q213" s="3">
        <f>N213+IF(P213&lt;P$1,1,0)</f>
        <v>0</v>
      </c>
      <c r="S213" s="65">
        <f>VLOOKUP(A213,Demográfico!A$2:E$400,5,FALSE)*(H213)</f>
        <v>542.94321054919544</v>
      </c>
      <c r="T213" s="79">
        <f>IFERROR(D213/D213,0)</f>
        <v>1</v>
      </c>
      <c r="U213" s="65">
        <f t="shared" si="3"/>
        <v>542.94321054919544</v>
      </c>
    </row>
    <row r="214" spans="1:21" ht="19.5" x14ac:dyDescent="0.25">
      <c r="A214" s="2" t="s">
        <v>218</v>
      </c>
      <c r="B214" s="168">
        <v>8690</v>
      </c>
      <c r="C214" s="169" t="str" cm="1">
        <f t="array" ref="C214">_xlfn.IFS(B214&lt;5000, "P1",B214&lt;20000, "P2",B214&lt;70000, "P3",B214&lt;100000, "P4",B214&lt;200000,"M1",B214&lt;500000,"M2",B214&lt;1000000,"G1",B214&gt;1000000,"G2")</f>
        <v>P2</v>
      </c>
      <c r="D214" s="170">
        <f>VLOOKUP(C214,Metodologia!A$2:H$9,8,FALSE)</f>
        <v>32.634342822133917</v>
      </c>
      <c r="E214" s="171">
        <f>VLOOKUP(A214,Educacional!A$2:P$405,16,FALSE)</f>
        <v>39.591351996113595</v>
      </c>
      <c r="F214" s="171">
        <f>VLOOKUP(A214,Demográfico!A$2:L$405,12,FALSE)</f>
        <v>80.828757370586402</v>
      </c>
      <c r="G214" s="172">
        <f>VLOOKUP(A214,Socioeconômico!A$2:M$405,13,FALSE)</f>
        <v>44.96056893841309</v>
      </c>
      <c r="H214" s="173">
        <f>(2*E214+F214+2*G214)/5/100</f>
        <v>0.49986519847927952</v>
      </c>
      <c r="I214" s="170">
        <f>VLOOKUP(A214,Resultados!A$2:B612,2,FALSE)</f>
        <v>0</v>
      </c>
      <c r="J214" s="5">
        <f>IFERROR(VLOOKUP(A214,Demográfico!A$2:E$400,5,FALSE)/(VLOOKUP(C214,Metodologia!A$2:G$9,7,FALSE))*D214,0)</f>
        <v>0.12379229026263855</v>
      </c>
      <c r="K214" s="72">
        <f>(J214*(1+H214)-I214)</f>
        <v>0.18567174800497693</v>
      </c>
      <c r="L214" s="3">
        <v>1</v>
      </c>
      <c r="M214" s="66">
        <f>VLOOKUP(A214,Demográfico!A$2:E$400,5,FALSE)*H214</f>
        <v>541.853875151539</v>
      </c>
      <c r="N214" s="68">
        <f>IFERROR(FLOOR(K214,1),0)</f>
        <v>0</v>
      </c>
      <c r="O214" s="68">
        <f>K214-N214</f>
        <v>0.18567174800497693</v>
      </c>
      <c r="P214" s="65">
        <f>IFERROR(RANK(O214,O$2:O$400,0),0)</f>
        <v>206</v>
      </c>
      <c r="Q214" s="3">
        <f>N214+IF(P214&lt;P$1,1,0)</f>
        <v>0</v>
      </c>
      <c r="S214" s="65">
        <f>VLOOKUP(A214,Demográfico!A$2:E$400,5,FALSE)*(H214)</f>
        <v>541.853875151539</v>
      </c>
      <c r="T214" s="79">
        <f>IFERROR(D214/D214,0)</f>
        <v>1</v>
      </c>
      <c r="U214" s="65">
        <f t="shared" si="3"/>
        <v>541.853875151539</v>
      </c>
    </row>
    <row r="215" spans="1:21" ht="19.5" x14ac:dyDescent="0.25">
      <c r="A215" s="2" t="s">
        <v>219</v>
      </c>
      <c r="B215" s="168">
        <v>8677</v>
      </c>
      <c r="C215" s="169" t="str" cm="1">
        <f t="array" ref="C215">_xlfn.IFS(B215&lt;5000, "P1",B215&lt;20000, "P2",B215&lt;70000, "P3",B215&lt;100000, "P4",B215&lt;200000,"M1",B215&lt;500000,"M2",B215&lt;1000000,"G1",B215&gt;1000000,"G2")</f>
        <v>P2</v>
      </c>
      <c r="D215" s="170">
        <f>VLOOKUP(C215,Metodologia!A$2:H$9,8,FALSE)</f>
        <v>32.634342822133917</v>
      </c>
      <c r="E215" s="171">
        <f>VLOOKUP(A215,Educacional!A$2:P$405,16,FALSE)</f>
        <v>70.586385440077962</v>
      </c>
      <c r="F215" s="171">
        <f>VLOOKUP(A215,Demográfico!A$2:L$405,12,FALSE)</f>
        <v>42.834042446564084</v>
      </c>
      <c r="G215" s="172">
        <f>VLOOKUP(A215,Socioeconômico!A$2:M$405,13,FALSE)</f>
        <v>50.873644696157619</v>
      </c>
      <c r="H215" s="173">
        <f>(2*E215+F215+2*G215)/5/100</f>
        <v>0.57150820543807046</v>
      </c>
      <c r="I215" s="170">
        <f>VLOOKUP(A215,Resultados!A$2:B613,2,FALSE)</f>
        <v>1</v>
      </c>
      <c r="J215" s="5">
        <f>IFERROR(VLOOKUP(A215,Demográfico!A$2:E$400,5,FALSE)/(VLOOKUP(C215,Metodologia!A$2:G$9,7,FALSE))*D215,0)</f>
        <v>0.13292825264364508</v>
      </c>
      <c r="K215" s="72">
        <f>(J215*(1+H215)-I215)</f>
        <v>-0.79110216023596691</v>
      </c>
      <c r="L215" s="3">
        <v>1</v>
      </c>
      <c r="M215" s="66">
        <f>VLOOKUP(A215,Demográfico!A$2:E$400,5,FALSE)*H215</f>
        <v>665.23555112991403</v>
      </c>
      <c r="N215" s="68">
        <f>IFERROR(FLOOR(K215,1),0)</f>
        <v>-1</v>
      </c>
      <c r="O215" s="68">
        <f>K215-N215</f>
        <v>0.20889783976403309</v>
      </c>
      <c r="P215" s="65">
        <f>IFERROR(RANK(O215,O$2:O$400,0),0)</f>
        <v>192</v>
      </c>
      <c r="Q215" s="3">
        <f>N215+IF(P215&lt;P$1,1,0)</f>
        <v>-1</v>
      </c>
      <c r="S215" s="65">
        <f>VLOOKUP(A215,Demográfico!A$2:E$400,5,FALSE)*(H215)</f>
        <v>665.23555112991403</v>
      </c>
      <c r="T215" s="79">
        <f>IFERROR(D215/D215,0)</f>
        <v>1</v>
      </c>
      <c r="U215" s="65">
        <f t="shared" si="3"/>
        <v>665.23555112991403</v>
      </c>
    </row>
    <row r="216" spans="1:21" ht="19.5" x14ac:dyDescent="0.25">
      <c r="A216" s="2" t="s">
        <v>220</v>
      </c>
      <c r="B216" s="168">
        <v>8613</v>
      </c>
      <c r="C216" s="169" t="str" cm="1">
        <f t="array" ref="C216">_xlfn.IFS(B216&lt;5000, "P1",B216&lt;20000, "P2",B216&lt;70000, "P3",B216&lt;100000, "P4",B216&lt;200000,"M1",B216&lt;500000,"M2",B216&lt;1000000,"G1",B216&gt;1000000,"G2")</f>
        <v>P2</v>
      </c>
      <c r="D216" s="170">
        <f>VLOOKUP(C216,Metodologia!A$2:H$9,8,FALSE)</f>
        <v>32.634342822133917</v>
      </c>
      <c r="E216" s="171">
        <f>VLOOKUP(A216,Educacional!A$2:P$405,16,FALSE)</f>
        <v>32.484939831080766</v>
      </c>
      <c r="F216" s="171">
        <f>VLOOKUP(A216,Demográfico!A$2:L$405,12,FALSE)</f>
        <v>42.736703219623379</v>
      </c>
      <c r="G216" s="172">
        <f>VLOOKUP(A216,Socioeconômico!A$2:M$405,13,FALSE)</f>
        <v>52.652362903647628</v>
      </c>
      <c r="H216" s="173">
        <f>(2*E216+F216+2*G216)/5/100</f>
        <v>0.42602261737816038</v>
      </c>
      <c r="I216" s="170">
        <f>VLOOKUP(A216,Resultados!A$2:B614,2,FALSE)</f>
        <v>0</v>
      </c>
      <c r="J216" s="5">
        <f>IFERROR(VLOOKUP(A216,Demográfico!A$2:E$400,5,FALSE)/(VLOOKUP(C216,Metodologia!A$2:G$9,7,FALSE))*D216,0)</f>
        <v>0.12676147803646567</v>
      </c>
      <c r="K216" s="72">
        <f>(J216*(1+H216)-I216)</f>
        <v>0.18076473469228496</v>
      </c>
      <c r="L216" s="3">
        <v>0</v>
      </c>
      <c r="M216" s="66">
        <f>VLOOKUP(A216,Demográfico!A$2:E$400,5,FALSE)*H216</f>
        <v>472.88510528975803</v>
      </c>
      <c r="N216" s="68">
        <f>IFERROR(FLOOR(K216,1),0)</f>
        <v>0</v>
      </c>
      <c r="O216" s="68">
        <f>K216-N216</f>
        <v>0.18076473469228496</v>
      </c>
      <c r="P216" s="65">
        <f>IFERROR(RANK(O216,O$2:O$400,0),0)</f>
        <v>213</v>
      </c>
      <c r="Q216" s="3">
        <f>N216+IF(P216&lt;P$1,1,0)</f>
        <v>0</v>
      </c>
      <c r="S216" s="65">
        <f>VLOOKUP(A216,Demográfico!A$2:E$400,5,FALSE)*(H216)</f>
        <v>472.88510528975803</v>
      </c>
      <c r="T216" s="79">
        <f>IFERROR(D216/D216,0)</f>
        <v>1</v>
      </c>
      <c r="U216" s="65">
        <f t="shared" si="3"/>
        <v>472.88510528975803</v>
      </c>
    </row>
    <row r="217" spans="1:21" ht="19.5" x14ac:dyDescent="0.25">
      <c r="A217" s="2" t="s">
        <v>221</v>
      </c>
      <c r="B217" s="168">
        <v>8426</v>
      </c>
      <c r="C217" s="169" t="str" cm="1">
        <f t="array" ref="C217">_xlfn.IFS(B217&lt;5000, "P1",B217&lt;20000, "P2",B217&lt;70000, "P3",B217&lt;100000, "P4",B217&lt;200000,"M1",B217&lt;500000,"M2",B217&lt;1000000,"G1",B217&gt;1000000,"G2")</f>
        <v>P2</v>
      </c>
      <c r="D217" s="170">
        <f>VLOOKUP(C217,Metodologia!A$2:H$9,8,FALSE)</f>
        <v>32.634342822133917</v>
      </c>
      <c r="E217" s="171">
        <f>VLOOKUP(A217,Educacional!A$2:P$405,16,FALSE)</f>
        <v>55.239878559798747</v>
      </c>
      <c r="F217" s="171">
        <f>VLOOKUP(A217,Demográfico!A$2:L$405,12,FALSE)</f>
        <v>48.391284726509426</v>
      </c>
      <c r="G217" s="172">
        <f>VLOOKUP(A217,Socioeconômico!A$2:M$405,13,FALSE)</f>
        <v>48.784981474123192</v>
      </c>
      <c r="H217" s="173">
        <f>(2*E217+F217+2*G217)/5/100</f>
        <v>0.51288200958870656</v>
      </c>
      <c r="I217" s="170">
        <f>VLOOKUP(A217,Resultados!A$2:B615,2,FALSE)</f>
        <v>0</v>
      </c>
      <c r="J217" s="5">
        <f>IFERROR(VLOOKUP(A217,Demográfico!A$2:E$400,5,FALSE)/(VLOOKUP(C217,Metodologia!A$2:G$9,7,FALSE))*D217,0)</f>
        <v>0.11545572458997007</v>
      </c>
      <c r="K217" s="72">
        <f>(J217*(1+H217)-I217)</f>
        <v>0.17467088863619415</v>
      </c>
      <c r="L217" s="3">
        <v>1</v>
      </c>
      <c r="M217" s="66">
        <f>VLOOKUP(A217,Demográfico!A$2:E$400,5,FALSE)*H217</f>
        <v>518.52371169418234</v>
      </c>
      <c r="N217" s="68">
        <f>IFERROR(FLOOR(K217,1),0)</f>
        <v>0</v>
      </c>
      <c r="O217" s="68">
        <f>K217-N217</f>
        <v>0.17467088863619415</v>
      </c>
      <c r="P217" s="65">
        <f>IFERROR(RANK(O217,O$2:O$400,0),0)</f>
        <v>220</v>
      </c>
      <c r="Q217" s="3">
        <f>N217+IF(P217&lt;P$1,1,0)</f>
        <v>0</v>
      </c>
      <c r="S217" s="65">
        <f>VLOOKUP(A217,Demográfico!A$2:E$400,5,FALSE)*(H217)</f>
        <v>518.52371169418234</v>
      </c>
      <c r="T217" s="79">
        <f>IFERROR(D217/D217,0)</f>
        <v>1</v>
      </c>
      <c r="U217" s="65">
        <f t="shared" si="3"/>
        <v>518.52371169418234</v>
      </c>
    </row>
    <row r="218" spans="1:21" ht="19.5" x14ac:dyDescent="0.25">
      <c r="A218" s="2" t="s">
        <v>222</v>
      </c>
      <c r="B218" s="168">
        <v>8322</v>
      </c>
      <c r="C218" s="169" t="str" cm="1">
        <f t="array" ref="C218">_xlfn.IFS(B218&lt;5000, "P1",B218&lt;20000, "P2",B218&lt;70000, "P3",B218&lt;100000, "P4",B218&lt;200000,"M1",B218&lt;500000,"M2",B218&lt;1000000,"G1",B218&gt;1000000,"G2")</f>
        <v>P2</v>
      </c>
      <c r="D218" s="170">
        <f>VLOOKUP(C218,Metodologia!A$2:H$9,8,FALSE)</f>
        <v>32.634342822133917</v>
      </c>
      <c r="E218" s="171">
        <f>VLOOKUP(A218,Educacional!A$2:P$405,16,FALSE)</f>
        <v>33.436561374844445</v>
      </c>
      <c r="F218" s="171">
        <f>VLOOKUP(A218,Demográfico!A$2:L$405,12,FALSE)</f>
        <v>31.052204343630514</v>
      </c>
      <c r="G218" s="172">
        <f>VLOOKUP(A218,Socioeconômico!A$2:M$405,13,FALSE)</f>
        <v>28.843729261527123</v>
      </c>
      <c r="H218" s="173">
        <f>(2*E218+F218+2*G218)/5/100</f>
        <v>0.31122557123274724</v>
      </c>
      <c r="I218" s="170">
        <f>VLOOKUP(A218,Resultados!A$2:B616,2,FALSE)</f>
        <v>0</v>
      </c>
      <c r="J218" s="5">
        <f>IFERROR(VLOOKUP(A218,Demográfico!A$2:E$400,5,FALSE)/(VLOOKUP(C218,Metodologia!A$2:G$9,7,FALSE))*D218,0)</f>
        <v>0.12105150154833658</v>
      </c>
      <c r="K218" s="72">
        <f>(J218*(1+H218)-I218)</f>
        <v>0.15872582426629941</v>
      </c>
      <c r="L218" s="3">
        <v>0</v>
      </c>
      <c r="M218" s="66">
        <f>VLOOKUP(A218,Demográfico!A$2:E$400,5,FALSE)*H218</f>
        <v>329.89910550671209</v>
      </c>
      <c r="N218" s="68">
        <f>IFERROR(FLOOR(K218,1),0)</f>
        <v>0</v>
      </c>
      <c r="O218" s="68">
        <f>K218-N218</f>
        <v>0.15872582426629941</v>
      </c>
      <c r="P218" s="65">
        <f>IFERROR(RANK(O218,O$2:O$400,0),0)</f>
        <v>234</v>
      </c>
      <c r="Q218" s="3">
        <f>N218+IF(P218&lt;P$1,1,0)</f>
        <v>0</v>
      </c>
      <c r="S218" s="65">
        <f>VLOOKUP(A218,Demográfico!A$2:E$400,5,FALSE)*(H218)</f>
        <v>329.89910550671209</v>
      </c>
      <c r="T218" s="79">
        <f>IFERROR(D218/D218,0)</f>
        <v>1</v>
      </c>
      <c r="U218" s="65">
        <f t="shared" si="3"/>
        <v>329.89910550671209</v>
      </c>
    </row>
    <row r="219" spans="1:21" ht="19.5" x14ac:dyDescent="0.25">
      <c r="A219" s="2" t="s">
        <v>223</v>
      </c>
      <c r="B219" s="168">
        <v>8320</v>
      </c>
      <c r="C219" s="169" t="str" cm="1">
        <f t="array" ref="C219">_xlfn.IFS(B219&lt;5000, "P1",B219&lt;20000, "P2",B219&lt;70000, "P3",B219&lt;100000, "P4",B219&lt;200000,"M1",B219&lt;500000,"M2",B219&lt;1000000,"G1",B219&gt;1000000,"G2")</f>
        <v>P2</v>
      </c>
      <c r="D219" s="170">
        <f>VLOOKUP(C219,Metodologia!A$2:H$9,8,FALSE)</f>
        <v>32.634342822133917</v>
      </c>
      <c r="E219" s="171">
        <f>VLOOKUP(A219,Educacional!A$2:P$405,16,FALSE)</f>
        <v>67.651864884693268</v>
      </c>
      <c r="F219" s="171">
        <f>VLOOKUP(A219,Demográfico!A$2:L$405,12,FALSE)</f>
        <v>43.087185187278571</v>
      </c>
      <c r="G219" s="172">
        <f>VLOOKUP(A219,Socioeconômico!A$2:M$405,13,FALSE)</f>
        <v>58.413450059523001</v>
      </c>
      <c r="H219" s="173">
        <f>(2*E219+F219+2*G219)/5/100</f>
        <v>0.5904356301514222</v>
      </c>
      <c r="I219" s="170">
        <f>VLOOKUP(A219,Resultados!A$2:B617,2,FALSE)</f>
        <v>0</v>
      </c>
      <c r="J219" s="5">
        <f>IFERROR(VLOOKUP(A219,Demográfico!A$2:E$400,5,FALSE)/(VLOOKUP(C219,Metodologia!A$2:G$9,7,FALSE))*D219,0)</f>
        <v>0.13361344982222056</v>
      </c>
      <c r="K219" s="72">
        <f>(J219*(1+H219)-I219)</f>
        <v>0.2125035912647088</v>
      </c>
      <c r="L219" s="3">
        <v>1</v>
      </c>
      <c r="M219" s="66">
        <f>VLOOKUP(A219,Demográfico!A$2:E$400,5,FALSE)*H219</f>
        <v>690.80968727716402</v>
      </c>
      <c r="N219" s="68">
        <f>IFERROR(FLOOR(K219,1),0)</f>
        <v>0</v>
      </c>
      <c r="O219" s="68">
        <f>K219-N219</f>
        <v>0.2125035912647088</v>
      </c>
      <c r="P219" s="65">
        <f>IFERROR(RANK(O219,O$2:O$400,0),0)</f>
        <v>191</v>
      </c>
      <c r="Q219" s="3">
        <f>N219+IF(P219&lt;P$1,1,0)</f>
        <v>0</v>
      </c>
      <c r="S219" s="65">
        <f>VLOOKUP(A219,Demográfico!A$2:E$400,5,FALSE)*(H219)</f>
        <v>690.80968727716402</v>
      </c>
      <c r="T219" s="79">
        <f>IFERROR(D219/D219,0)</f>
        <v>1</v>
      </c>
      <c r="U219" s="65">
        <f t="shared" si="3"/>
        <v>690.80968727716402</v>
      </c>
    </row>
    <row r="220" spans="1:21" ht="19.5" x14ac:dyDescent="0.25">
      <c r="A220" s="2" t="s">
        <v>224</v>
      </c>
      <c r="B220" s="168">
        <v>8215</v>
      </c>
      <c r="C220" s="169" t="str" cm="1">
        <f t="array" ref="C220">_xlfn.IFS(B220&lt;5000, "P1",B220&lt;20000, "P2",B220&lt;70000, "P3",B220&lt;100000, "P4",B220&lt;200000,"M1",B220&lt;500000,"M2",B220&lt;1000000,"G1",B220&gt;1000000,"G2")</f>
        <v>P2</v>
      </c>
      <c r="D220" s="170">
        <f>VLOOKUP(C220,Metodologia!A$2:H$9,8,FALSE)</f>
        <v>32.634342822133917</v>
      </c>
      <c r="E220" s="171">
        <f>VLOOKUP(A220,Educacional!A$2:P$405,16,FALSE)</f>
        <v>72.826823838742513</v>
      </c>
      <c r="F220" s="171">
        <f>VLOOKUP(A220,Demográfico!A$2:L$405,12,FALSE)</f>
        <v>29.593067380115269</v>
      </c>
      <c r="G220" s="172">
        <f>VLOOKUP(A220,Socioeconômico!A$2:M$405,13,FALSE)</f>
        <v>42.331178097355256</v>
      </c>
      <c r="H220" s="173">
        <f>(2*E220+F220+2*G220)/5/100</f>
        <v>0.51981814250462166</v>
      </c>
      <c r="I220" s="170">
        <f>VLOOKUP(A220,Resultados!A$2:B618,2,FALSE)</f>
        <v>0</v>
      </c>
      <c r="J220" s="5">
        <f>IFERROR(VLOOKUP(A220,Demográfico!A$2:E$400,5,FALSE)/(VLOOKUP(C220,Metodologia!A$2:G$9,7,FALSE))*D220,0)</f>
        <v>0.11762551565545913</v>
      </c>
      <c r="K220" s="72">
        <f>(J220*(1+H220)-I220)</f>
        <v>0.17876939271462822</v>
      </c>
      <c r="L220" s="3">
        <v>1</v>
      </c>
      <c r="M220" s="66">
        <f>VLOOKUP(A220,Demográfico!A$2:E$400,5,FALSE)*H220</f>
        <v>535.41268677976029</v>
      </c>
      <c r="N220" s="68">
        <f>IFERROR(FLOOR(K220,1),0)</f>
        <v>0</v>
      </c>
      <c r="O220" s="68">
        <f>K220-N220</f>
        <v>0.17876939271462822</v>
      </c>
      <c r="P220" s="65">
        <f>IFERROR(RANK(O220,O$2:O$400,0),0)</f>
        <v>215</v>
      </c>
      <c r="Q220" s="3">
        <f>N220+IF(P220&lt;P$1,1,0)</f>
        <v>0</v>
      </c>
      <c r="S220" s="65">
        <f>VLOOKUP(A220,Demográfico!A$2:E$400,5,FALSE)*(H220)</f>
        <v>535.41268677976029</v>
      </c>
      <c r="T220" s="79">
        <f>IFERROR(D220/D220,0)</f>
        <v>1</v>
      </c>
      <c r="U220" s="65">
        <f t="shared" si="3"/>
        <v>535.41268677976029</v>
      </c>
    </row>
    <row r="221" spans="1:21" ht="19.5" x14ac:dyDescent="0.25">
      <c r="A221" s="2" t="s">
        <v>225</v>
      </c>
      <c r="B221" s="168">
        <v>8116</v>
      </c>
      <c r="C221" s="169" t="str" cm="1">
        <f t="array" ref="C221">_xlfn.IFS(B221&lt;5000, "P1",B221&lt;20000, "P2",B221&lt;70000, "P3",B221&lt;100000, "P4",B221&lt;200000,"M1",B221&lt;500000,"M2",B221&lt;1000000,"G1",B221&gt;1000000,"G2")</f>
        <v>P2</v>
      </c>
      <c r="D221" s="170">
        <f>VLOOKUP(C221,Metodologia!A$2:H$9,8,FALSE)</f>
        <v>32.634342822133917</v>
      </c>
      <c r="E221" s="171">
        <f>VLOOKUP(A221,Educacional!A$2:P$405,16,FALSE)</f>
        <v>83.979998499116945</v>
      </c>
      <c r="F221" s="171">
        <f>VLOOKUP(A221,Demográfico!A$2:L$405,12,FALSE)</f>
        <v>74.591283275749944</v>
      </c>
      <c r="G221" s="172">
        <f>VLOOKUP(A221,Socioeconômico!A$2:M$405,13,FALSE)</f>
        <v>47.121138475671373</v>
      </c>
      <c r="H221" s="173">
        <f>(2*E221+F221+2*G221)/5/100</f>
        <v>0.67358711445065322</v>
      </c>
      <c r="I221" s="170">
        <f>VLOOKUP(A221,Resultados!A$2:B619,2,FALSE)</f>
        <v>1</v>
      </c>
      <c r="J221" s="5">
        <f>IFERROR(VLOOKUP(A221,Demográfico!A$2:E$400,5,FALSE)/(VLOOKUP(C221,Metodologia!A$2:G$9,7,FALSE))*D221,0)</f>
        <v>0.12790347333409149</v>
      </c>
      <c r="K221" s="72">
        <f>(J221*(1+H221)-I221)</f>
        <v>-0.78594239513458175</v>
      </c>
      <c r="L221" s="3">
        <v>1</v>
      </c>
      <c r="M221" s="66">
        <f>VLOOKUP(A221,Demográfico!A$2:E$400,5,FALSE)*H221</f>
        <v>754.41756818473164</v>
      </c>
      <c r="N221" s="68">
        <f>IFERROR(FLOOR(K221,1),0)</f>
        <v>-1</v>
      </c>
      <c r="O221" s="68">
        <f>K221-N221</f>
        <v>0.21405760486541825</v>
      </c>
      <c r="P221" s="65">
        <f>IFERROR(RANK(O221,O$2:O$400,0),0)</f>
        <v>189</v>
      </c>
      <c r="Q221" s="3">
        <f>N221+IF(P221&lt;P$1,1,0)</f>
        <v>-1</v>
      </c>
      <c r="S221" s="65">
        <f>VLOOKUP(A221,Demográfico!A$2:E$400,5,FALSE)*(H221)</f>
        <v>754.41756818473164</v>
      </c>
      <c r="T221" s="79">
        <f>IFERROR(D221/D221,0)</f>
        <v>1</v>
      </c>
      <c r="U221" s="65">
        <f t="shared" si="3"/>
        <v>754.41756818473164</v>
      </c>
    </row>
    <row r="222" spans="1:21" ht="19.5" x14ac:dyDescent="0.25">
      <c r="A222" s="2" t="s">
        <v>226</v>
      </c>
      <c r="B222" s="168">
        <v>8099</v>
      </c>
      <c r="C222" s="169" t="str" cm="1">
        <f t="array" ref="C222">_xlfn.IFS(B222&lt;5000, "P1",B222&lt;20000, "P2",B222&lt;70000, "P3",B222&lt;100000, "P4",B222&lt;200000,"M1",B222&lt;500000,"M2",B222&lt;1000000,"G1",B222&gt;1000000,"G2")</f>
        <v>P2</v>
      </c>
      <c r="D222" s="170">
        <f>VLOOKUP(C222,Metodologia!A$2:H$9,8,FALSE)</f>
        <v>32.634342822133917</v>
      </c>
      <c r="E222" s="171">
        <f>VLOOKUP(A222,Educacional!A$2:P$405,16,FALSE)</f>
        <v>40.428148887149689</v>
      </c>
      <c r="F222" s="171">
        <f>VLOOKUP(A222,Demográfico!A$2:L$405,12,FALSE)</f>
        <v>34.999859712288846</v>
      </c>
      <c r="G222" s="172">
        <f>VLOOKUP(A222,Socioeconômico!A$2:M$405,13,FALSE)</f>
        <v>43.767317562671138</v>
      </c>
      <c r="H222" s="173">
        <f>(2*E222+F222+2*G222)/5/100</f>
        <v>0.40678158522386099</v>
      </c>
      <c r="I222" s="170">
        <f>VLOOKUP(A222,Resultados!A$2:B620,2,FALSE)</f>
        <v>0</v>
      </c>
      <c r="J222" s="5">
        <f>IFERROR(VLOOKUP(A222,Demográfico!A$2:E$400,5,FALSE)/(VLOOKUP(C222,Metodologia!A$2:G$9,7,FALSE))*D222,0)</f>
        <v>0.11362853211376878</v>
      </c>
      <c r="K222" s="72">
        <f>(J222*(1+H222)-I222)</f>
        <v>0.15985052653366805</v>
      </c>
      <c r="L222" s="3">
        <v>0</v>
      </c>
      <c r="M222" s="66">
        <f>VLOOKUP(A222,Demográfico!A$2:E$400,5,FALSE)*H222</f>
        <v>404.74767729774169</v>
      </c>
      <c r="N222" s="68">
        <f>IFERROR(FLOOR(K222,1),0)</f>
        <v>0</v>
      </c>
      <c r="O222" s="68">
        <f>K222-N222</f>
        <v>0.15985052653366805</v>
      </c>
      <c r="P222" s="65">
        <f>IFERROR(RANK(O222,O$2:O$400,0),0)</f>
        <v>231</v>
      </c>
      <c r="Q222" s="3">
        <f>N222+IF(P222&lt;P$1,1,0)</f>
        <v>0</v>
      </c>
      <c r="S222" s="65">
        <f>VLOOKUP(A222,Demográfico!A$2:E$400,5,FALSE)*(H222)</f>
        <v>404.74767729774169</v>
      </c>
      <c r="T222" s="79">
        <f>IFERROR(D222/D222,0)</f>
        <v>1</v>
      </c>
      <c r="U222" s="65">
        <f t="shared" si="3"/>
        <v>404.74767729774169</v>
      </c>
    </row>
    <row r="223" spans="1:21" ht="19.5" x14ac:dyDescent="0.25">
      <c r="A223" s="2" t="s">
        <v>227</v>
      </c>
      <c r="B223" s="168">
        <v>8077</v>
      </c>
      <c r="C223" s="169" t="str" cm="1">
        <f t="array" ref="C223">_xlfn.IFS(B223&lt;5000, "P1",B223&lt;20000, "P2",B223&lt;70000, "P3",B223&lt;100000, "P4",B223&lt;200000,"M1",B223&lt;500000,"M2",B223&lt;1000000,"G1",B223&gt;1000000,"G2")</f>
        <v>P2</v>
      </c>
      <c r="D223" s="170">
        <f>VLOOKUP(C223,Metodologia!A$2:H$9,8,FALSE)</f>
        <v>32.634342822133917</v>
      </c>
      <c r="E223" s="171">
        <f>VLOOKUP(A223,Educacional!A$2:P$405,16,FALSE)</f>
        <v>49.064563812412018</v>
      </c>
      <c r="F223" s="171">
        <f>VLOOKUP(A223,Demográfico!A$2:L$405,12,FALSE)</f>
        <v>22.598192255482303</v>
      </c>
      <c r="G223" s="172">
        <f>VLOOKUP(A223,Socioeconômico!A$2:M$405,13,FALSE)</f>
        <v>27.585002481672198</v>
      </c>
      <c r="H223" s="173">
        <f>(2*E223+F223+2*G223)/5/100</f>
        <v>0.35179464968730145</v>
      </c>
      <c r="I223" s="170">
        <f>VLOOKUP(A223,Resultados!A$2:B621,2,FALSE)</f>
        <v>0</v>
      </c>
      <c r="J223" s="5">
        <f>IFERROR(VLOOKUP(A223,Demográfico!A$2:E$400,5,FALSE)/(VLOOKUP(C223,Metodologia!A$2:G$9,7,FALSE))*D223,0)</f>
        <v>0.10985994763160357</v>
      </c>
      <c r="K223" s="72">
        <f>(J223*(1+H223)-I223)</f>
        <v>0.14850808942332883</v>
      </c>
      <c r="L223" s="3">
        <v>0</v>
      </c>
      <c r="M223" s="66">
        <f>VLOOKUP(A223,Demográfico!A$2:E$400,5,FALSE)*H223</f>
        <v>338.42645299918399</v>
      </c>
      <c r="N223" s="68">
        <f>IFERROR(FLOOR(K223,1),0)</f>
        <v>0</v>
      </c>
      <c r="O223" s="68">
        <f>K223-N223</f>
        <v>0.14850808942332883</v>
      </c>
      <c r="P223" s="65">
        <f>IFERROR(RANK(O223,O$2:O$400,0),0)</f>
        <v>250</v>
      </c>
      <c r="Q223" s="3">
        <f>N223+IF(P223&lt;P$1,1,0)</f>
        <v>0</v>
      </c>
      <c r="S223" s="65">
        <f>VLOOKUP(A223,Demográfico!A$2:E$400,5,FALSE)*(H223)</f>
        <v>338.42645299918399</v>
      </c>
      <c r="T223" s="79">
        <f>IFERROR(D223/D223,0)</f>
        <v>1</v>
      </c>
      <c r="U223" s="65">
        <f t="shared" si="3"/>
        <v>338.42645299918399</v>
      </c>
    </row>
    <row r="224" spans="1:21" ht="19.5" x14ac:dyDescent="0.25">
      <c r="A224" s="2" t="s">
        <v>228</v>
      </c>
      <c r="B224" s="168">
        <v>8067</v>
      </c>
      <c r="C224" s="169" t="str" cm="1">
        <f t="array" ref="C224">_xlfn.IFS(B224&lt;5000, "P1",B224&lt;20000, "P2",B224&lt;70000, "P3",B224&lt;100000, "P4",B224&lt;200000,"M1",B224&lt;500000,"M2",B224&lt;1000000,"G1",B224&gt;1000000,"G2")</f>
        <v>P2</v>
      </c>
      <c r="D224" s="170">
        <f>VLOOKUP(C224,Metodologia!A$2:H$9,8,FALSE)</f>
        <v>32.634342822133917</v>
      </c>
      <c r="E224" s="171">
        <f>VLOOKUP(A224,Educacional!A$2:P$405,16,FALSE)</f>
        <v>54.857286707194838</v>
      </c>
      <c r="F224" s="171">
        <f>VLOOKUP(A224,Demográfico!A$2:L$405,12,FALSE)</f>
        <v>42.394289914954605</v>
      </c>
      <c r="G224" s="172">
        <f>VLOOKUP(A224,Socioeconômico!A$2:M$405,13,FALSE)</f>
        <v>46.426707559476114</v>
      </c>
      <c r="H224" s="173">
        <f>(2*E224+F224+2*G224)/5/100</f>
        <v>0.48992455689659303</v>
      </c>
      <c r="I224" s="170">
        <f>VLOOKUP(A224,Resultados!A$2:B622,2,FALSE)</f>
        <v>0</v>
      </c>
      <c r="J224" s="5">
        <f>IFERROR(VLOOKUP(A224,Demográfico!A$2:E$400,5,FALSE)/(VLOOKUP(C224,Metodologia!A$2:G$9,7,FALSE))*D224,0)</f>
        <v>0.11979530672094818</v>
      </c>
      <c r="K224" s="72">
        <f>(J224*(1+H224)-I224)</f>
        <v>0.17848596928450017</v>
      </c>
      <c r="L224" s="3">
        <v>1</v>
      </c>
      <c r="M224" s="66">
        <f>VLOOKUP(A224,Demográfico!A$2:E$400,5,FALSE)*H224</f>
        <v>513.93086018452607</v>
      </c>
      <c r="N224" s="68">
        <f>IFERROR(FLOOR(K224,1),0)</f>
        <v>0</v>
      </c>
      <c r="O224" s="68">
        <f>K224-N224</f>
        <v>0.17848596928450017</v>
      </c>
      <c r="P224" s="65">
        <f>IFERROR(RANK(O224,O$2:O$400,0),0)</f>
        <v>216</v>
      </c>
      <c r="Q224" s="3">
        <f>N224+IF(P224&lt;P$1,1,0)</f>
        <v>0</v>
      </c>
      <c r="S224" s="65">
        <f>VLOOKUP(A224,Demográfico!A$2:E$400,5,FALSE)*(H224)</f>
        <v>513.93086018452607</v>
      </c>
      <c r="T224" s="79">
        <f>IFERROR(D224/D224,0)</f>
        <v>1</v>
      </c>
      <c r="U224" s="65">
        <f t="shared" si="3"/>
        <v>513.93086018452607</v>
      </c>
    </row>
    <row r="225" spans="1:21" ht="19.5" x14ac:dyDescent="0.25">
      <c r="A225" s="2" t="s">
        <v>229</v>
      </c>
      <c r="B225" s="168">
        <v>8063</v>
      </c>
      <c r="C225" s="169" t="str" cm="1">
        <f t="array" ref="C225">_xlfn.IFS(B225&lt;5000, "P1",B225&lt;20000, "P2",B225&lt;70000, "P3",B225&lt;100000, "P4",B225&lt;200000,"M1",B225&lt;500000,"M2",B225&lt;1000000,"G1",B225&gt;1000000,"G2")</f>
        <v>P2</v>
      </c>
      <c r="D225" s="170">
        <f>VLOOKUP(C225,Metodologia!A$2:H$9,8,FALSE)</f>
        <v>32.634342822133917</v>
      </c>
      <c r="E225" s="171">
        <f>VLOOKUP(A225,Educacional!A$2:P$405,16,FALSE)</f>
        <v>50.003421997328509</v>
      </c>
      <c r="F225" s="171">
        <f>VLOOKUP(A225,Demográfico!A$2:L$405,12,FALSE)</f>
        <v>30.773978858747359</v>
      </c>
      <c r="G225" s="172">
        <f>VLOOKUP(A225,Socioeconômico!A$2:M$405,13,FALSE)</f>
        <v>62.304035314504659</v>
      </c>
      <c r="H225" s="173">
        <f>(2*E225+F225+2*G225)/5/100</f>
        <v>0.51077778696482734</v>
      </c>
      <c r="I225" s="170">
        <f>VLOOKUP(A225,Resultados!A$2:B623,2,FALSE)</f>
        <v>0</v>
      </c>
      <c r="J225" s="5">
        <f>IFERROR(VLOOKUP(A225,Demográfico!A$2:E$400,5,FALSE)/(VLOOKUP(C225,Metodologia!A$2:G$9,7,FALSE))*D225,0)</f>
        <v>0.12082310248881142</v>
      </c>
      <c r="K225" s="72">
        <f>(J225*(1+H225)-I225)</f>
        <v>0.18253685939227104</v>
      </c>
      <c r="L225" s="3">
        <v>1</v>
      </c>
      <c r="M225" s="66">
        <f>VLOOKUP(A225,Demográfico!A$2:E$400,5,FALSE)*H225</f>
        <v>540.40289860878738</v>
      </c>
      <c r="N225" s="68">
        <f>IFERROR(FLOOR(K225,1),0)</f>
        <v>0</v>
      </c>
      <c r="O225" s="68">
        <f>K225-N225</f>
        <v>0.18253685939227104</v>
      </c>
      <c r="P225" s="65">
        <f>IFERROR(RANK(O225,O$2:O$400,0),0)</f>
        <v>209</v>
      </c>
      <c r="Q225" s="3">
        <f>N225+IF(P225&lt;P$1,1,0)</f>
        <v>0</v>
      </c>
      <c r="S225" s="65">
        <f>VLOOKUP(A225,Demográfico!A$2:E$400,5,FALSE)*(H225)</f>
        <v>540.40289860878738</v>
      </c>
      <c r="T225" s="79">
        <f>IFERROR(D225/D225,0)</f>
        <v>1</v>
      </c>
      <c r="U225" s="65">
        <f t="shared" si="3"/>
        <v>540.40289860878738</v>
      </c>
    </row>
    <row r="226" spans="1:21" ht="19.5" x14ac:dyDescent="0.25">
      <c r="A226" s="2" t="s">
        <v>230</v>
      </c>
      <c r="B226" s="168">
        <v>8062</v>
      </c>
      <c r="C226" s="169" t="str" cm="1">
        <f t="array" ref="C226">_xlfn.IFS(B226&lt;5000, "P1",B226&lt;20000, "P2",B226&lt;70000, "P3",B226&lt;100000, "P4",B226&lt;200000,"M1",B226&lt;500000,"M2",B226&lt;1000000,"G1",B226&gt;1000000,"G2")</f>
        <v>P2</v>
      </c>
      <c r="D226" s="170">
        <f>VLOOKUP(C226,Metodologia!A$2:H$9,8,FALSE)</f>
        <v>32.634342822133917</v>
      </c>
      <c r="E226" s="171">
        <f>VLOOKUP(A226,Educacional!A$2:P$405,16,FALSE)</f>
        <v>73.926992433356972</v>
      </c>
      <c r="F226" s="171">
        <f>VLOOKUP(A226,Demográfico!A$2:L$405,12,FALSE)</f>
        <v>24.887138304125671</v>
      </c>
      <c r="G226" s="172">
        <f>VLOOKUP(A226,Socioeconômico!A$2:M$405,13,FALSE)</f>
        <v>53.600062287898773</v>
      </c>
      <c r="H226" s="173">
        <f>(2*E226+F226+2*G226)/5/100</f>
        <v>0.55988249549327429</v>
      </c>
      <c r="I226" s="170">
        <f>VLOOKUP(A226,Resultados!A$2:B624,2,FALSE)</f>
        <v>0</v>
      </c>
      <c r="J226" s="5">
        <f>IFERROR(VLOOKUP(A226,Demográfico!A$2:E$400,5,FALSE)/(VLOOKUP(C226,Metodologia!A$2:G$9,7,FALSE))*D226,0)</f>
        <v>0.11317173399471844</v>
      </c>
      <c r="K226" s="72">
        <f>(J226*(1+H226)-I226)</f>
        <v>0.17653460684298244</v>
      </c>
      <c r="L226" s="3">
        <v>1</v>
      </c>
      <c r="M226" s="66">
        <f>VLOOKUP(A226,Demográfico!A$2:E$400,5,FALSE)*H226</f>
        <v>554.84355303383484</v>
      </c>
      <c r="N226" s="68">
        <f>IFERROR(FLOOR(K226,1),0)</f>
        <v>0</v>
      </c>
      <c r="O226" s="68">
        <f>K226-N226</f>
        <v>0.17653460684298244</v>
      </c>
      <c r="P226" s="65">
        <f>IFERROR(RANK(O226,O$2:O$400,0),0)</f>
        <v>217</v>
      </c>
      <c r="Q226" s="3">
        <f>N226+IF(P226&lt;P$1,1,0)</f>
        <v>0</v>
      </c>
      <c r="S226" s="65">
        <f>VLOOKUP(A226,Demográfico!A$2:E$400,5,FALSE)*(H226)</f>
        <v>554.84355303383484</v>
      </c>
      <c r="T226" s="79">
        <f>IFERROR(D226/D226,0)</f>
        <v>1</v>
      </c>
      <c r="U226" s="65">
        <f t="shared" si="3"/>
        <v>554.84355303383484</v>
      </c>
    </row>
    <row r="227" spans="1:21" ht="19.5" x14ac:dyDescent="0.25">
      <c r="A227" s="2" t="s">
        <v>231</v>
      </c>
      <c r="B227" s="168">
        <v>7932</v>
      </c>
      <c r="C227" s="169" t="str" cm="1">
        <f t="array" ref="C227">_xlfn.IFS(B227&lt;5000, "P1",B227&lt;20000, "P2",B227&lt;70000, "P3",B227&lt;100000, "P4",B227&lt;200000,"M1",B227&lt;500000,"M2",B227&lt;1000000,"G1",B227&gt;1000000,"G2")</f>
        <v>P2</v>
      </c>
      <c r="D227" s="170">
        <f>VLOOKUP(C227,Metodologia!A$2:H$9,8,FALSE)</f>
        <v>32.634342822133917</v>
      </c>
      <c r="E227" s="171">
        <f>VLOOKUP(A227,Educacional!A$2:P$405,16,FALSE)</f>
        <v>51.487802354748212</v>
      </c>
      <c r="F227" s="171">
        <f>VLOOKUP(A227,Demográfico!A$2:L$405,12,FALSE)</f>
        <v>46.064003136875392</v>
      </c>
      <c r="G227" s="172">
        <f>VLOOKUP(A227,Socioeconômico!A$2:M$405,13,FALSE)</f>
        <v>30.273730199676706</v>
      </c>
      <c r="H227" s="173">
        <f>(2*E227+F227+2*G227)/5/100</f>
        <v>0.41917413649145047</v>
      </c>
      <c r="I227" s="170">
        <f>VLOOKUP(A227,Resultados!A$2:B625,2,FALSE)</f>
        <v>0</v>
      </c>
      <c r="J227" s="5">
        <f>IFERROR(VLOOKUP(A227,Demográfico!A$2:E$400,5,FALSE)/(VLOOKUP(C227,Metodologia!A$2:G$9,7,FALSE))*D227,0)</f>
        <v>0.11168714010780489</v>
      </c>
      <c r="K227" s="72">
        <f>(J227*(1+H227)-I227)</f>
        <v>0.15850350061969365</v>
      </c>
      <c r="L227" s="3">
        <v>0</v>
      </c>
      <c r="M227" s="66">
        <f>VLOOKUP(A227,Demográfico!A$2:E$400,5,FALSE)*H227</f>
        <v>409.95230548863856</v>
      </c>
      <c r="N227" s="68">
        <f>IFERROR(FLOOR(K227,1),0)</f>
        <v>0</v>
      </c>
      <c r="O227" s="68">
        <f>K227-N227</f>
        <v>0.15850350061969365</v>
      </c>
      <c r="P227" s="65">
        <f>IFERROR(RANK(O227,O$2:O$400,0),0)</f>
        <v>235</v>
      </c>
      <c r="Q227" s="3">
        <f>N227+IF(P227&lt;P$1,1,0)</f>
        <v>0</v>
      </c>
      <c r="S227" s="65">
        <f>VLOOKUP(A227,Demográfico!A$2:E$400,5,FALSE)*(H227)</f>
        <v>409.95230548863856</v>
      </c>
      <c r="T227" s="79">
        <f>IFERROR(D227/D227,0)</f>
        <v>1</v>
      </c>
      <c r="U227" s="65">
        <f t="shared" si="3"/>
        <v>409.95230548863856</v>
      </c>
    </row>
    <row r="228" spans="1:21" ht="19.5" x14ac:dyDescent="0.25">
      <c r="A228" s="2" t="s">
        <v>232</v>
      </c>
      <c r="B228" s="168">
        <v>7924</v>
      </c>
      <c r="C228" s="169" t="str" cm="1">
        <f t="array" ref="C228">_xlfn.IFS(B228&lt;5000, "P1",B228&lt;20000, "P2",B228&lt;70000, "P3",B228&lt;100000, "P4",B228&lt;200000,"M1",B228&lt;500000,"M2",B228&lt;1000000,"G1",B228&gt;1000000,"G2")</f>
        <v>P2</v>
      </c>
      <c r="D228" s="170">
        <f>VLOOKUP(C228,Metodologia!A$2:H$9,8,FALSE)</f>
        <v>32.634342822133917</v>
      </c>
      <c r="E228" s="171">
        <f>VLOOKUP(A228,Educacional!A$2:P$405,16,FALSE)</f>
        <v>52.683878246267426</v>
      </c>
      <c r="F228" s="171">
        <f>VLOOKUP(A228,Demográfico!A$2:L$405,12,FALSE)</f>
        <v>41.82975172507102</v>
      </c>
      <c r="G228" s="172">
        <f>VLOOKUP(A228,Socioeconômico!A$2:M$405,13,FALSE)</f>
        <v>60.681904537971739</v>
      </c>
      <c r="H228" s="173">
        <f>(2*E228+F228+2*G228)/5/100</f>
        <v>0.53712263458709875</v>
      </c>
      <c r="I228" s="170">
        <f>VLOOKUP(A228,Resultados!A$2:B626,2,FALSE)</f>
        <v>0</v>
      </c>
      <c r="J228" s="5">
        <f>IFERROR(VLOOKUP(A228,Demográfico!A$2:E$400,5,FALSE)/(VLOOKUP(C228,Metodologia!A$2:G$9,7,FALSE))*D228,0)</f>
        <v>0.12778927380432889</v>
      </c>
      <c r="K228" s="72">
        <f>(J228*(1+H228)-I228)</f>
        <v>0.19642778522208215</v>
      </c>
      <c r="L228" s="3">
        <v>1</v>
      </c>
      <c r="M228" s="66">
        <f>VLOOKUP(A228,Demográfico!A$2:E$400,5,FALSE)*H228</f>
        <v>601.04022810296351</v>
      </c>
      <c r="N228" s="68">
        <f>IFERROR(FLOOR(K228,1),0)</f>
        <v>0</v>
      </c>
      <c r="O228" s="68">
        <f>K228-N228</f>
        <v>0.19642778522208215</v>
      </c>
      <c r="P228" s="65">
        <f>IFERROR(RANK(O228,O$2:O$400,0),0)</f>
        <v>200</v>
      </c>
      <c r="Q228" s="3">
        <f>N228+IF(P228&lt;P$1,1,0)</f>
        <v>0</v>
      </c>
      <c r="S228" s="65">
        <f>VLOOKUP(A228,Demográfico!A$2:E$400,5,FALSE)*(H228)</f>
        <v>601.04022810296351</v>
      </c>
      <c r="T228" s="79">
        <f>IFERROR(D228/D228,0)</f>
        <v>1</v>
      </c>
      <c r="U228" s="65">
        <f t="shared" si="3"/>
        <v>601.04022810296351</v>
      </c>
    </row>
    <row r="229" spans="1:21" ht="19.5" x14ac:dyDescent="0.25">
      <c r="A229" s="2" t="s">
        <v>233</v>
      </c>
      <c r="B229" s="168">
        <v>7856</v>
      </c>
      <c r="C229" s="169" t="str" cm="1">
        <f t="array" ref="C229">_xlfn.IFS(B229&lt;5000, "P1",B229&lt;20000, "P2",B229&lt;70000, "P3",B229&lt;100000, "P4",B229&lt;200000,"M1",B229&lt;500000,"M2",B229&lt;1000000,"G1",B229&gt;1000000,"G2")</f>
        <v>P2</v>
      </c>
      <c r="D229" s="170">
        <f>VLOOKUP(C229,Metodologia!A$2:H$9,8,FALSE)</f>
        <v>32.634342822133917</v>
      </c>
      <c r="E229" s="171">
        <f>VLOOKUP(A229,Educacional!A$2:P$405,16,FALSE)</f>
        <v>89.485079612599378</v>
      </c>
      <c r="F229" s="171">
        <f>VLOOKUP(A229,Demográfico!A$2:L$405,12,FALSE)</f>
        <v>71.525717605685472</v>
      </c>
      <c r="G229" s="172">
        <f>VLOOKUP(A229,Socioeconômico!A$2:M$405,13,FALSE)</f>
        <v>49.572973429762172</v>
      </c>
      <c r="H229" s="173">
        <f>(2*E229+F229+2*G229)/5/100</f>
        <v>0.69928364738081727</v>
      </c>
      <c r="I229" s="170">
        <f>VLOOKUP(A229,Resultados!A$2:B627,2,FALSE)</f>
        <v>0</v>
      </c>
      <c r="J229" s="5">
        <f>IFERROR(VLOOKUP(A229,Demográfico!A$2:E$400,5,FALSE)/(VLOOKUP(C229,Metodologia!A$2:G$9,7,FALSE))*D229,0)</f>
        <v>0.12516268461978952</v>
      </c>
      <c r="K229" s="72">
        <f>(J229*(1+H229)-I229)</f>
        <v>0.21268690323669087</v>
      </c>
      <c r="L229" s="3">
        <v>1</v>
      </c>
      <c r="M229" s="66">
        <f>VLOOKUP(A229,Demográfico!A$2:E$400,5,FALSE)*H229</f>
        <v>766.41487752937576</v>
      </c>
      <c r="N229" s="68">
        <f>IFERROR(FLOOR(K229,1),0)</f>
        <v>0</v>
      </c>
      <c r="O229" s="68">
        <f>K229-N229</f>
        <v>0.21268690323669087</v>
      </c>
      <c r="P229" s="65">
        <f>IFERROR(RANK(O229,O$2:O$400,0),0)</f>
        <v>190</v>
      </c>
      <c r="Q229" s="3">
        <f>N229+IF(P229&lt;P$1,1,0)</f>
        <v>0</v>
      </c>
      <c r="S229" s="65">
        <f>VLOOKUP(A229,Demográfico!A$2:E$400,5,FALSE)*(H229)</f>
        <v>766.41487752937576</v>
      </c>
      <c r="T229" s="79">
        <f>IFERROR(D229/D229,0)</f>
        <v>1</v>
      </c>
      <c r="U229" s="65">
        <f t="shared" si="3"/>
        <v>766.41487752937576</v>
      </c>
    </row>
    <row r="230" spans="1:21" ht="19.5" x14ac:dyDescent="0.25">
      <c r="A230" s="2" t="s">
        <v>234</v>
      </c>
      <c r="B230" s="168">
        <v>7771</v>
      </c>
      <c r="C230" s="169" t="str" cm="1">
        <f t="array" ref="C230">_xlfn.IFS(B230&lt;5000, "P1",B230&lt;20000, "P2",B230&lt;70000, "P3",B230&lt;100000, "P4",B230&lt;200000,"M1",B230&lt;500000,"M2",B230&lt;1000000,"G1",B230&gt;1000000,"G2")</f>
        <v>P2</v>
      </c>
      <c r="D230" s="170">
        <f>VLOOKUP(C230,Metodologia!A$2:H$9,8,FALSE)</f>
        <v>32.634342822133917</v>
      </c>
      <c r="E230" s="171">
        <f>VLOOKUP(A230,Educacional!A$2:P$405,16,FALSE)</f>
        <v>63.764534360402934</v>
      </c>
      <c r="F230" s="171">
        <f>VLOOKUP(A230,Demográfico!A$2:L$405,12,FALSE)</f>
        <v>28.583821262443731</v>
      </c>
      <c r="G230" s="172">
        <f>VLOOKUP(A230,Socioeconômico!A$2:M$405,13,FALSE)</f>
        <v>46.090424321128552</v>
      </c>
      <c r="H230" s="173">
        <f>(2*E230+F230+2*G230)/5/100</f>
        <v>0.49658747725101343</v>
      </c>
      <c r="I230" s="170">
        <f>VLOOKUP(A230,Resultados!A$2:B628,2,FALSE)</f>
        <v>1</v>
      </c>
      <c r="J230" s="5">
        <f>IFERROR(VLOOKUP(A230,Demográfico!A$2:E$400,5,FALSE)/(VLOOKUP(C230,Metodologia!A$2:G$9,7,FALSE))*D230,0)</f>
        <v>0.10871795233397777</v>
      </c>
      <c r="K230" s="72">
        <f>(J230*(1+H230)-I230)</f>
        <v>-0.83729407398459621</v>
      </c>
      <c r="L230" s="3">
        <v>1</v>
      </c>
      <c r="M230" s="66">
        <f>VLOOKUP(A230,Demográfico!A$2:E$400,5,FALSE)*H230</f>
        <v>472.75127834296478</v>
      </c>
      <c r="N230" s="68">
        <f>IFERROR(FLOOR(K230,1),0)</f>
        <v>-1</v>
      </c>
      <c r="O230" s="68">
        <f>K230-N230</f>
        <v>0.16270592601540379</v>
      </c>
      <c r="P230" s="65">
        <f>IFERROR(RANK(O230,O$2:O$400,0),0)</f>
        <v>227</v>
      </c>
      <c r="Q230" s="3">
        <f>N230+IF(P230&lt;P$1,1,0)</f>
        <v>-1</v>
      </c>
      <c r="S230" s="65">
        <f>VLOOKUP(A230,Demográfico!A$2:E$400,5,FALSE)*(H230)</f>
        <v>472.75127834296478</v>
      </c>
      <c r="T230" s="79">
        <f>IFERROR(D230/D230,0)</f>
        <v>1</v>
      </c>
      <c r="U230" s="65">
        <f t="shared" si="3"/>
        <v>472.75127834296478</v>
      </c>
    </row>
    <row r="231" spans="1:21" ht="19.5" x14ac:dyDescent="0.25">
      <c r="A231" s="2" t="s">
        <v>235</v>
      </c>
      <c r="B231" s="168">
        <v>7735</v>
      </c>
      <c r="C231" s="169" t="str" cm="1">
        <f t="array" ref="C231">_xlfn.IFS(B231&lt;5000, "P1",B231&lt;20000, "P2",B231&lt;70000, "P3",B231&lt;100000, "P4",B231&lt;200000,"M1",B231&lt;500000,"M2",B231&lt;1000000,"G1",B231&gt;1000000,"G2")</f>
        <v>P2</v>
      </c>
      <c r="D231" s="170">
        <f>VLOOKUP(C231,Metodologia!A$2:H$9,8,FALSE)</f>
        <v>32.634342822133917</v>
      </c>
      <c r="E231" s="171">
        <f>VLOOKUP(A231,Educacional!A$2:P$405,16,FALSE)</f>
        <v>52.405818747968034</v>
      </c>
      <c r="F231" s="171">
        <f>VLOOKUP(A231,Demográfico!A$2:L$405,12,FALSE)</f>
        <v>39.587880056663522</v>
      </c>
      <c r="G231" s="172">
        <f>VLOOKUP(A231,Socioeconômico!A$2:M$405,13,FALSE)</f>
        <v>51.153935605860227</v>
      </c>
      <c r="H231" s="173">
        <f>(2*E231+F231+2*G231)/5/100</f>
        <v>0.4934147775286401</v>
      </c>
      <c r="I231" s="170">
        <f>VLOOKUP(A231,Resultados!A$2:B629,2,FALSE)</f>
        <v>0</v>
      </c>
      <c r="J231" s="5">
        <f>IFERROR(VLOOKUP(A231,Demográfico!A$2:E$400,5,FALSE)/(VLOOKUP(C231,Metodologia!A$2:G$9,7,FALSE))*D231,0)</f>
        <v>0.10517776691133773</v>
      </c>
      <c r="K231" s="72">
        <f>(J231*(1+H231)-I231)</f>
        <v>0.15707403137285461</v>
      </c>
      <c r="L231" s="3">
        <v>1</v>
      </c>
      <c r="M231" s="66">
        <f>VLOOKUP(A231,Demográfico!A$2:E$400,5,FALSE)*H231</f>
        <v>454.43501010387752</v>
      </c>
      <c r="N231" s="68">
        <f>IFERROR(FLOOR(K231,1),0)</f>
        <v>0</v>
      </c>
      <c r="O231" s="68">
        <f>K231-N231</f>
        <v>0.15707403137285461</v>
      </c>
      <c r="P231" s="65">
        <f>IFERROR(RANK(O231,O$2:O$400,0),0)</f>
        <v>236</v>
      </c>
      <c r="Q231" s="3">
        <f>N231+IF(P231&lt;P$1,1,0)</f>
        <v>0</v>
      </c>
      <c r="S231" s="65">
        <f>VLOOKUP(A231,Demográfico!A$2:E$400,5,FALSE)*(H231)</f>
        <v>454.43501010387752</v>
      </c>
      <c r="T231" s="79">
        <f>IFERROR(D231/D231,0)</f>
        <v>1</v>
      </c>
      <c r="U231" s="65">
        <f t="shared" si="3"/>
        <v>454.43501010387752</v>
      </c>
    </row>
    <row r="232" spans="1:21" ht="19.5" x14ac:dyDescent="0.25">
      <c r="A232" s="2" t="s">
        <v>236</v>
      </c>
      <c r="B232" s="168">
        <v>7635</v>
      </c>
      <c r="C232" s="169" t="str" cm="1">
        <f t="array" ref="C232">_xlfn.IFS(B232&lt;5000, "P1",B232&lt;20000, "P2",B232&lt;70000, "P3",B232&lt;100000, "P4",B232&lt;200000,"M1",B232&lt;500000,"M2",B232&lt;1000000,"G1",B232&gt;1000000,"G2")</f>
        <v>P2</v>
      </c>
      <c r="D232" s="170">
        <f>VLOOKUP(C232,Metodologia!A$2:H$9,8,FALSE)</f>
        <v>32.634342822133917</v>
      </c>
      <c r="E232" s="171">
        <f>VLOOKUP(A232,Educacional!A$2:P$405,16,FALSE)</f>
        <v>35.480124049664148</v>
      </c>
      <c r="F232" s="171">
        <f>VLOOKUP(A232,Demográfico!A$2:L$405,12,FALSE)</f>
        <v>20.094737336421375</v>
      </c>
      <c r="G232" s="172">
        <f>VLOOKUP(A232,Socioeconômico!A$2:M$405,13,FALSE)</f>
        <v>52.012479550048226</v>
      </c>
      <c r="H232" s="173">
        <f>(2*E232+F232+2*G232)/5/100</f>
        <v>0.39015988907169225</v>
      </c>
      <c r="I232" s="170">
        <f>VLOOKUP(A232,Resultados!A$2:B630,2,FALSE)</f>
        <v>0</v>
      </c>
      <c r="J232" s="5">
        <f>IFERROR(VLOOKUP(A232,Demográfico!A$2:E$400,5,FALSE)/(VLOOKUP(C232,Metodologia!A$2:G$9,7,FALSE))*D232,0)</f>
        <v>9.4214612054129884E-2</v>
      </c>
      <c r="K232" s="72">
        <f>(J232*(1+H232)-I232)</f>
        <v>0.13097337464210171</v>
      </c>
      <c r="L232" s="3">
        <v>0</v>
      </c>
      <c r="M232" s="66">
        <f>VLOOKUP(A232,Demográfico!A$2:E$400,5,FALSE)*H232</f>
        <v>321.88190848414609</v>
      </c>
      <c r="N232" s="68">
        <f>IFERROR(FLOOR(K232,1),0)</f>
        <v>0</v>
      </c>
      <c r="O232" s="68">
        <f>K232-N232</f>
        <v>0.13097337464210171</v>
      </c>
      <c r="P232" s="65">
        <f>IFERROR(RANK(O232,O$2:O$400,0),0)</f>
        <v>260</v>
      </c>
      <c r="Q232" s="3">
        <f>N232+IF(P232&lt;P$1,1,0)</f>
        <v>0</v>
      </c>
      <c r="S232" s="65">
        <f>VLOOKUP(A232,Demográfico!A$2:E$400,5,FALSE)*(H232)</f>
        <v>321.88190848414609</v>
      </c>
      <c r="T232" s="79">
        <f>IFERROR(D232/D232,0)</f>
        <v>1</v>
      </c>
      <c r="U232" s="65">
        <f t="shared" si="3"/>
        <v>321.88190848414609</v>
      </c>
    </row>
    <row r="233" spans="1:21" ht="19.5" x14ac:dyDescent="0.25">
      <c r="A233" s="2" t="s">
        <v>237</v>
      </c>
      <c r="B233" s="168">
        <v>7508</v>
      </c>
      <c r="C233" s="169" t="str" cm="1">
        <f t="array" ref="C233">_xlfn.IFS(B233&lt;5000, "P1",B233&lt;20000, "P2",B233&lt;70000, "P3",B233&lt;100000, "P4",B233&lt;200000,"M1",B233&lt;500000,"M2",B233&lt;1000000,"G1",B233&gt;1000000,"G2")</f>
        <v>P2</v>
      </c>
      <c r="D233" s="170">
        <f>VLOOKUP(C233,Metodologia!A$2:H$9,8,FALSE)</f>
        <v>32.634342822133917</v>
      </c>
      <c r="E233" s="171">
        <f>VLOOKUP(A233,Educacional!A$2:P$405,16,FALSE)</f>
        <v>70.622218480306117</v>
      </c>
      <c r="F233" s="171">
        <f>VLOOKUP(A233,Demográfico!A$2:L$405,12,FALSE)</f>
        <v>76.481896029463584</v>
      </c>
      <c r="G233" s="172">
        <f>VLOOKUP(A233,Socioeconômico!A$2:M$405,13,FALSE)</f>
        <v>55.069895368486613</v>
      </c>
      <c r="H233" s="173">
        <f>(2*E233+F233+2*G233)/5/100</f>
        <v>0.65573224745409819</v>
      </c>
      <c r="I233" s="170">
        <f>VLOOKUP(A233,Resultados!A$2:B631,2,FALSE)</f>
        <v>1</v>
      </c>
      <c r="J233" s="5">
        <f>IFERROR(VLOOKUP(A233,Demográfico!A$2:E$400,5,FALSE)/(VLOOKUP(C233,Metodologia!A$2:G$9,7,FALSE))*D233,0)</f>
        <v>0.13875242866153673</v>
      </c>
      <c r="K233" s="72">
        <f>(J233*(1+H233)-I233)</f>
        <v>-0.7702631294525194</v>
      </c>
      <c r="L233" s="3">
        <v>1</v>
      </c>
      <c r="M233" s="66">
        <f>VLOOKUP(A233,Demográfico!A$2:E$400,5,FALSE)*H233</f>
        <v>796.71468065672934</v>
      </c>
      <c r="N233" s="68">
        <f>IFERROR(FLOOR(K233,1),0)</f>
        <v>-1</v>
      </c>
      <c r="O233" s="68">
        <f>K233-N233</f>
        <v>0.2297368705474806</v>
      </c>
      <c r="P233" s="65">
        <f>IFERROR(RANK(O233,O$2:O$400,0),0)</f>
        <v>175</v>
      </c>
      <c r="Q233" s="3">
        <f>N233+IF(P233&lt;P$1,1,0)</f>
        <v>-1</v>
      </c>
      <c r="S233" s="65">
        <f>VLOOKUP(A233,Demográfico!A$2:E$400,5,FALSE)*(H233)</f>
        <v>796.71468065672934</v>
      </c>
      <c r="T233" s="79">
        <f>IFERROR(D233/D233,0)</f>
        <v>1</v>
      </c>
      <c r="U233" s="65">
        <f t="shared" si="3"/>
        <v>796.71468065672934</v>
      </c>
    </row>
    <row r="234" spans="1:21" ht="19.5" x14ac:dyDescent="0.25">
      <c r="A234" s="2" t="s">
        <v>238</v>
      </c>
      <c r="B234" s="168">
        <v>7430</v>
      </c>
      <c r="C234" s="169" t="str" cm="1">
        <f t="array" ref="C234">_xlfn.IFS(B234&lt;5000, "P1",B234&lt;20000, "P2",B234&lt;70000, "P3",B234&lt;100000, "P4",B234&lt;200000,"M1",B234&lt;500000,"M2",B234&lt;1000000,"G1",B234&gt;1000000,"G2")</f>
        <v>P2</v>
      </c>
      <c r="D234" s="170">
        <f>VLOOKUP(C234,Metodologia!A$2:H$9,8,FALSE)</f>
        <v>32.634342822133917</v>
      </c>
      <c r="E234" s="171">
        <f>VLOOKUP(A234,Educacional!A$2:P$405,16,FALSE)</f>
        <v>88.058725907013397</v>
      </c>
      <c r="F234" s="171">
        <f>VLOOKUP(A234,Demográfico!A$2:L$405,12,FALSE)</f>
        <v>42.45213896761598</v>
      </c>
      <c r="G234" s="172">
        <f>VLOOKUP(A234,Socioeconômico!A$2:M$405,13,FALSE)</f>
        <v>84.564180502517331</v>
      </c>
      <c r="H234" s="173">
        <f>(2*E234+F234+2*G234)/5/100</f>
        <v>0.77539590357335486</v>
      </c>
      <c r="I234" s="170">
        <f>VLOOKUP(A234,Resultados!A$2:B632,2,FALSE)</f>
        <v>1</v>
      </c>
      <c r="J234" s="5">
        <f>IFERROR(VLOOKUP(A234,Demográfico!A$2:E$400,5,FALSE)/(VLOOKUP(C234,Metodologia!A$2:G$9,7,FALSE))*D234,0)</f>
        <v>0.12276449449477531</v>
      </c>
      <c r="K234" s="72">
        <f>(J234*(1+H234)-I234)</f>
        <v>-0.78204441936972224</v>
      </c>
      <c r="L234" s="3">
        <v>1</v>
      </c>
      <c r="M234" s="66">
        <f>VLOOKUP(A234,Demográfico!A$2:E$400,5,FALSE)*H234</f>
        <v>833.55059634135648</v>
      </c>
      <c r="N234" s="68">
        <f>IFERROR(FLOOR(K234,1),0)</f>
        <v>-1</v>
      </c>
      <c r="O234" s="68">
        <f>K234-N234</f>
        <v>0.21795558063027776</v>
      </c>
      <c r="P234" s="65">
        <f>IFERROR(RANK(O234,O$2:O$400,0),0)</f>
        <v>186</v>
      </c>
      <c r="Q234" s="3">
        <f>N234+IF(P234&lt;P$1,1,0)</f>
        <v>-1</v>
      </c>
      <c r="S234" s="65">
        <f>VLOOKUP(A234,Demográfico!A$2:E$400,5,FALSE)*(H234)</f>
        <v>833.55059634135648</v>
      </c>
      <c r="T234" s="79">
        <f>IFERROR(D234/D234,0)</f>
        <v>1</v>
      </c>
      <c r="U234" s="65">
        <f t="shared" si="3"/>
        <v>833.55059634135648</v>
      </c>
    </row>
    <row r="235" spans="1:21" ht="19.5" x14ac:dyDescent="0.25">
      <c r="A235" s="2" t="s">
        <v>239</v>
      </c>
      <c r="B235" s="168">
        <v>7253</v>
      </c>
      <c r="C235" s="169" t="str" cm="1">
        <f t="array" ref="C235">_xlfn.IFS(B235&lt;5000, "P1",B235&lt;20000, "P2",B235&lt;70000, "P3",B235&lt;100000, "P4",B235&lt;200000,"M1",B235&lt;500000,"M2",B235&lt;1000000,"G1",B235&gt;1000000,"G2")</f>
        <v>P2</v>
      </c>
      <c r="D235" s="170">
        <f>VLOOKUP(C235,Metodologia!A$2:H$9,8,FALSE)</f>
        <v>32.634342822133917</v>
      </c>
      <c r="E235" s="171">
        <f>VLOOKUP(A235,Educacional!A$2:P$405,16,FALSE)</f>
        <v>52.756474837661635</v>
      </c>
      <c r="F235" s="171">
        <f>VLOOKUP(A235,Demográfico!A$2:L$405,12,FALSE)</f>
        <v>50.528863817385428</v>
      </c>
      <c r="G235" s="172">
        <f>VLOOKUP(A235,Socioeconômico!A$2:M$405,13,FALSE)</f>
        <v>43.775191765930877</v>
      </c>
      <c r="H235" s="173">
        <f>(2*E235+F235+2*G235)/5/100</f>
        <v>0.48718439404914093</v>
      </c>
      <c r="I235" s="170">
        <f>VLOOKUP(A235,Resultados!A$2:B633,2,FALSE)</f>
        <v>0</v>
      </c>
      <c r="J235" s="5">
        <f>IFERROR(VLOOKUP(A235,Demográfico!A$2:E$400,5,FALSE)/(VLOOKUP(C235,Metodologia!A$2:G$9,7,FALSE))*D235,0)</f>
        <v>0.10928894998279068</v>
      </c>
      <c r="K235" s="72">
        <f>(J235*(1+H235)-I235)</f>
        <v>0.16253282085642343</v>
      </c>
      <c r="L235" s="3">
        <v>1</v>
      </c>
      <c r="M235" s="66">
        <f>VLOOKUP(A235,Demográfico!A$2:E$400,5,FALSE)*H235</f>
        <v>466.23546510502786</v>
      </c>
      <c r="N235" s="68">
        <f>IFERROR(FLOOR(K235,1),0)</f>
        <v>0</v>
      </c>
      <c r="O235" s="68">
        <f>K235-N235</f>
        <v>0.16253282085642343</v>
      </c>
      <c r="P235" s="65">
        <f>IFERROR(RANK(O235,O$2:O$400,0),0)</f>
        <v>228</v>
      </c>
      <c r="Q235" s="3">
        <f>N235+IF(P235&lt;P$1,1,0)</f>
        <v>0</v>
      </c>
      <c r="S235" s="65">
        <f>VLOOKUP(A235,Demográfico!A$2:E$400,5,FALSE)*(H235)</f>
        <v>466.23546510502786</v>
      </c>
      <c r="T235" s="79">
        <f>IFERROR(D235/D235,0)</f>
        <v>1</v>
      </c>
      <c r="U235" s="65">
        <f t="shared" si="3"/>
        <v>466.23546510502786</v>
      </c>
    </row>
    <row r="236" spans="1:21" ht="19.5" x14ac:dyDescent="0.25">
      <c r="A236" s="2" t="s">
        <v>240</v>
      </c>
      <c r="B236" s="168">
        <v>7241</v>
      </c>
      <c r="C236" s="169" t="str" cm="1">
        <f t="array" ref="C236">_xlfn.IFS(B236&lt;5000, "P1",B236&lt;20000, "P2",B236&lt;70000, "P3",B236&lt;100000, "P4",B236&lt;200000,"M1",B236&lt;500000,"M2",B236&lt;1000000,"G1",B236&gt;1000000,"G2")</f>
        <v>P2</v>
      </c>
      <c r="D236" s="170">
        <f>VLOOKUP(C236,Metodologia!A$2:H$9,8,FALSE)</f>
        <v>32.634342822133917</v>
      </c>
      <c r="E236" s="171">
        <f>VLOOKUP(A236,Educacional!A$2:P$405,16,FALSE)</f>
        <v>49.260677818510061</v>
      </c>
      <c r="F236" s="171">
        <f>VLOOKUP(A236,Demográfico!A$2:L$405,12,FALSE)</f>
        <v>29.063360060673695</v>
      </c>
      <c r="G236" s="172">
        <f>VLOOKUP(A236,Socioeconômico!A$2:M$405,13,FALSE)</f>
        <v>51.819369135802077</v>
      </c>
      <c r="H236" s="173">
        <f>(2*E236+F236+2*G236)/5/100</f>
        <v>0.46244690793859589</v>
      </c>
      <c r="I236" s="170">
        <f>VLOOKUP(A236,Resultados!A$2:B634,2,FALSE)</f>
        <v>0</v>
      </c>
      <c r="J236" s="5">
        <f>IFERROR(VLOOKUP(A236,Demográfico!A$2:E$400,5,FALSE)/(VLOOKUP(C236,Metodologia!A$2:G$9,7,FALSE))*D236,0)</f>
        <v>0.10437837020299966</v>
      </c>
      <c r="K236" s="72">
        <f>(J236*(1+H236)-I236)</f>
        <v>0.1526478247590469</v>
      </c>
      <c r="L236" s="3">
        <v>0</v>
      </c>
      <c r="M236" s="66">
        <f>VLOOKUP(A236,Demográfico!A$2:E$400,5,FALSE)*H236</f>
        <v>422.67647385587662</v>
      </c>
      <c r="N236" s="68">
        <f>IFERROR(FLOOR(K236,1),0)</f>
        <v>0</v>
      </c>
      <c r="O236" s="68">
        <f>K236-N236</f>
        <v>0.1526478247590469</v>
      </c>
      <c r="P236" s="65">
        <f>IFERROR(RANK(O236,O$2:O$400,0),0)</f>
        <v>243</v>
      </c>
      <c r="Q236" s="3">
        <f>N236+IF(P236&lt;P$1,1,0)</f>
        <v>0</v>
      </c>
      <c r="S236" s="65">
        <f>VLOOKUP(A236,Demográfico!A$2:E$400,5,FALSE)*(H236)</f>
        <v>422.67647385587662</v>
      </c>
      <c r="T236" s="79">
        <f>IFERROR(D236/D236,0)</f>
        <v>1</v>
      </c>
      <c r="U236" s="65">
        <f t="shared" si="3"/>
        <v>422.67647385587662</v>
      </c>
    </row>
    <row r="237" spans="1:21" ht="19.5" x14ac:dyDescent="0.25">
      <c r="A237" s="2" t="s">
        <v>241</v>
      </c>
      <c r="B237" s="168">
        <v>7225</v>
      </c>
      <c r="C237" s="169" t="str" cm="1">
        <f t="array" ref="C237">_xlfn.IFS(B237&lt;5000, "P1",B237&lt;20000, "P2",B237&lt;70000, "P3",B237&lt;100000, "P4",B237&lt;200000,"M1",B237&lt;500000,"M2",B237&lt;1000000,"G1",B237&gt;1000000,"G2")</f>
        <v>P2</v>
      </c>
      <c r="D237" s="170">
        <f>VLOOKUP(C237,Metodologia!A$2:H$9,8,FALSE)</f>
        <v>32.634342822133917</v>
      </c>
      <c r="E237" s="171">
        <f>VLOOKUP(A237,Educacional!A$2:P$405,16,FALSE)</f>
        <v>28.476542566959463</v>
      </c>
      <c r="F237" s="171">
        <f>VLOOKUP(A237,Demográfico!A$2:L$405,12,FALSE)</f>
        <v>43.143885253589161</v>
      </c>
      <c r="G237" s="172">
        <f>VLOOKUP(A237,Socioeconômico!A$2:M$405,13,FALSE)</f>
        <v>52.351952459587537</v>
      </c>
      <c r="H237" s="173">
        <f>(2*E237+F237+2*G237)/5/100</f>
        <v>0.40960175061336634</v>
      </c>
      <c r="I237" s="170">
        <f>VLOOKUP(A237,Resultados!A$2:B635,2,FALSE)</f>
        <v>0</v>
      </c>
      <c r="J237" s="5">
        <f>IFERROR(VLOOKUP(A237,Demográfico!A$2:E$400,5,FALSE)/(VLOOKUP(C237,Metodologia!A$2:G$9,7,FALSE))*D237,0)</f>
        <v>0.10574876456015063</v>
      </c>
      <c r="K237" s="72">
        <f>(J237*(1+H237)-I237)</f>
        <v>0.14906364364918906</v>
      </c>
      <c r="L237" s="3">
        <v>0</v>
      </c>
      <c r="M237" s="66">
        <f>VLOOKUP(A237,Demográfico!A$2:E$400,5,FALSE)*H237</f>
        <v>379.29122106797723</v>
      </c>
      <c r="N237" s="68">
        <f>IFERROR(FLOOR(K237,1),0)</f>
        <v>0</v>
      </c>
      <c r="O237" s="68">
        <f>K237-N237</f>
        <v>0.14906364364918906</v>
      </c>
      <c r="P237" s="65">
        <f>IFERROR(RANK(O237,O$2:O$400,0),0)</f>
        <v>248</v>
      </c>
      <c r="Q237" s="3">
        <f>N237+IF(P237&lt;P$1,1,0)</f>
        <v>0</v>
      </c>
      <c r="S237" s="65">
        <f>VLOOKUP(A237,Demográfico!A$2:E$400,5,FALSE)*(H237)</f>
        <v>379.29122106797723</v>
      </c>
      <c r="T237" s="79">
        <f>IFERROR(D237/D237,0)</f>
        <v>1</v>
      </c>
      <c r="U237" s="65">
        <f t="shared" si="3"/>
        <v>379.29122106797723</v>
      </c>
    </row>
    <row r="238" spans="1:21" ht="19.5" x14ac:dyDescent="0.25">
      <c r="A238" s="2" t="s">
        <v>242</v>
      </c>
      <c r="B238" s="168">
        <v>7189</v>
      </c>
      <c r="C238" s="169" t="str" cm="1">
        <f t="array" ref="C238">_xlfn.IFS(B238&lt;5000, "P1",B238&lt;20000, "P2",B238&lt;70000, "P3",B238&lt;100000, "P4",B238&lt;200000,"M1",B238&lt;500000,"M2",B238&lt;1000000,"G1",B238&gt;1000000,"G2")</f>
        <v>P2</v>
      </c>
      <c r="D238" s="170">
        <f>VLOOKUP(C238,Metodologia!A$2:H$9,8,FALSE)</f>
        <v>32.634342822133917</v>
      </c>
      <c r="E238" s="171">
        <f>VLOOKUP(A238,Educacional!A$2:P$405,16,FALSE)</f>
        <v>64.675824618463395</v>
      </c>
      <c r="F238" s="171">
        <f>VLOOKUP(A238,Demográfico!A$2:L$405,12,FALSE)</f>
        <v>38.40796894814055</v>
      </c>
      <c r="G238" s="172">
        <f>VLOOKUP(A238,Socioeconômico!A$2:M$405,13,FALSE)</f>
        <v>38.857537553154103</v>
      </c>
      <c r="H238" s="173">
        <f>(2*E238+F238+2*G238)/5/100</f>
        <v>0.49094938658275106</v>
      </c>
      <c r="I238" s="170">
        <f>VLOOKUP(A238,Resultados!A$2:B636,2,FALSE)</f>
        <v>0</v>
      </c>
      <c r="J238" s="5">
        <f>IFERROR(VLOOKUP(A238,Demográfico!A$2:E$400,5,FALSE)/(VLOOKUP(C238,Metodologia!A$2:G$9,7,FALSE))*D238,0)</f>
        <v>0.10312217537561126</v>
      </c>
      <c r="K238" s="72">
        <f>(J238*(1+H238)-I238)</f>
        <v>0.15374994411934648</v>
      </c>
      <c r="L238" s="3">
        <v>1</v>
      </c>
      <c r="M238" s="66">
        <f>VLOOKUP(A238,Demográfico!A$2:E$400,5,FALSE)*H238</f>
        <v>443.3272960842242</v>
      </c>
      <c r="N238" s="68">
        <f>IFERROR(FLOOR(K238,1),0)</f>
        <v>0</v>
      </c>
      <c r="O238" s="68">
        <f>K238-N238</f>
        <v>0.15374994411934648</v>
      </c>
      <c r="P238" s="65">
        <f>IFERROR(RANK(O238,O$2:O$400,0),0)</f>
        <v>241</v>
      </c>
      <c r="Q238" s="3">
        <f>N238+IF(P238&lt;P$1,1,0)</f>
        <v>0</v>
      </c>
      <c r="S238" s="65">
        <f>VLOOKUP(A238,Demográfico!A$2:E$400,5,FALSE)*(H238)</f>
        <v>443.3272960842242</v>
      </c>
      <c r="T238" s="79">
        <f>IFERROR(D238/D238,0)</f>
        <v>1</v>
      </c>
      <c r="U238" s="65">
        <f t="shared" si="3"/>
        <v>443.3272960842242</v>
      </c>
    </row>
    <row r="239" spans="1:21" ht="19.5" x14ac:dyDescent="0.25">
      <c r="A239" s="2" t="s">
        <v>243</v>
      </c>
      <c r="B239" s="168">
        <v>7018</v>
      </c>
      <c r="C239" s="169" t="str" cm="1">
        <f t="array" ref="C239">_xlfn.IFS(B239&lt;5000, "P1",B239&lt;20000, "P2",B239&lt;70000, "P3",B239&lt;100000, "P4",B239&lt;200000,"M1",B239&lt;500000,"M2",B239&lt;1000000,"G1",B239&gt;1000000,"G2")</f>
        <v>P2</v>
      </c>
      <c r="D239" s="170">
        <f>VLOOKUP(C239,Metodologia!A$2:H$9,8,FALSE)</f>
        <v>32.634342822133917</v>
      </c>
      <c r="E239" s="171">
        <f>VLOOKUP(A239,Educacional!A$2:P$405,16,FALSE)</f>
        <v>92.697701884372336</v>
      </c>
      <c r="F239" s="171">
        <f>VLOOKUP(A239,Demográfico!A$2:L$405,12,FALSE)</f>
        <v>31.715958003190469</v>
      </c>
      <c r="G239" s="172">
        <f>VLOOKUP(A239,Socioeconômico!A$2:M$405,13,FALSE)</f>
        <v>65.675789741776541</v>
      </c>
      <c r="H239" s="173">
        <f>(2*E239+F239+2*G239)/5/100</f>
        <v>0.69692588251097642</v>
      </c>
      <c r="I239" s="170">
        <f>VLOOKUP(A239,Resultados!A$2:B637,2,FALSE)</f>
        <v>1</v>
      </c>
      <c r="J239" s="5">
        <f>IFERROR(VLOOKUP(A239,Demográfico!A$2:E$400,5,FALSE)/(VLOOKUP(C239,Metodologia!A$2:G$9,7,FALSE))*D239,0)</f>
        <v>0.10083818478035962</v>
      </c>
      <c r="K239" s="72">
        <f>(J239*(1+H239)-I239)</f>
        <v>-0.82888507430078329</v>
      </c>
      <c r="L239" s="3">
        <v>1</v>
      </c>
      <c r="M239" s="66">
        <f>VLOOKUP(A239,Demográfico!A$2:E$400,5,FALSE)*H239</f>
        <v>615.38555425719221</v>
      </c>
      <c r="N239" s="68">
        <f>IFERROR(FLOOR(K239,1),0)</f>
        <v>-1</v>
      </c>
      <c r="O239" s="68">
        <f>K239-N239</f>
        <v>0.17111492569921671</v>
      </c>
      <c r="P239" s="65">
        <f>IFERROR(RANK(O239,O$2:O$400,0),0)</f>
        <v>221</v>
      </c>
      <c r="Q239" s="3">
        <f>N239+IF(P239&lt;P$1,1,0)</f>
        <v>-1</v>
      </c>
      <c r="S239" s="65">
        <f>VLOOKUP(A239,Demográfico!A$2:E$400,5,FALSE)*(H239)</f>
        <v>615.38555425719221</v>
      </c>
      <c r="T239" s="79">
        <f>IFERROR(D239/D239,0)</f>
        <v>1</v>
      </c>
      <c r="U239" s="65">
        <f t="shared" si="3"/>
        <v>615.38555425719221</v>
      </c>
    </row>
    <row r="240" spans="1:21" ht="19.5" x14ac:dyDescent="0.25">
      <c r="A240" s="2" t="s">
        <v>244</v>
      </c>
      <c r="B240" s="168">
        <v>6848</v>
      </c>
      <c r="C240" s="169" t="str" cm="1">
        <f t="array" ref="C240">_xlfn.IFS(B240&lt;5000, "P1",B240&lt;20000, "P2",B240&lt;70000, "P3",B240&lt;100000, "P4",B240&lt;200000,"M1",B240&lt;500000,"M2",B240&lt;1000000,"G1",B240&gt;1000000,"G2")</f>
        <v>P2</v>
      </c>
      <c r="D240" s="170">
        <f>VLOOKUP(C240,Metodologia!A$2:H$9,8,FALSE)</f>
        <v>32.634342822133917</v>
      </c>
      <c r="E240" s="171">
        <f>VLOOKUP(A240,Educacional!A$2:P$405,16,FALSE)</f>
        <v>46.593768927171389</v>
      </c>
      <c r="F240" s="171">
        <f>VLOOKUP(A240,Demográfico!A$2:L$405,12,FALSE)</f>
        <v>49.543727076001318</v>
      </c>
      <c r="G240" s="172">
        <f>VLOOKUP(A240,Socioeconômico!A$2:M$405,13,FALSE)</f>
        <v>53.431146755153179</v>
      </c>
      <c r="H240" s="173">
        <f>(2*E240+F240+2*G240)/5/100</f>
        <v>0.49918711688130091</v>
      </c>
      <c r="I240" s="170">
        <f>VLOOKUP(A240,Resultados!A$2:B638,2,FALSE)</f>
        <v>0</v>
      </c>
      <c r="J240" s="5">
        <f>IFERROR(VLOOKUP(A240,Demográfico!A$2:E$400,5,FALSE)/(VLOOKUP(C240,Metodologia!A$2:G$9,7,FALSE))*D240,0)</f>
        <v>0.1016375814886977</v>
      </c>
      <c r="K240" s="72">
        <f>(J240*(1+H240)-I240)</f>
        <v>0.15237375275882897</v>
      </c>
      <c r="L240" s="3">
        <v>0</v>
      </c>
      <c r="M240" s="66">
        <f>VLOOKUP(A240,Demográfico!A$2:E$400,5,FALSE)*H240</f>
        <v>444.27653402435783</v>
      </c>
      <c r="N240" s="68">
        <f>IFERROR(FLOOR(K240,1),0)</f>
        <v>0</v>
      </c>
      <c r="O240" s="68">
        <f>K240-N240</f>
        <v>0.15237375275882897</v>
      </c>
      <c r="P240" s="65">
        <f>IFERROR(RANK(O240,O$2:O$400,0),0)</f>
        <v>245</v>
      </c>
      <c r="Q240" s="3">
        <f>N240+IF(P240&lt;P$1,1,0)</f>
        <v>0</v>
      </c>
      <c r="S240" s="65">
        <f>VLOOKUP(A240,Demográfico!A$2:E$400,5,FALSE)*(H240)</f>
        <v>444.27653402435783</v>
      </c>
      <c r="T240" s="79">
        <f>IFERROR(D240/D240,0)</f>
        <v>1</v>
      </c>
      <c r="U240" s="65">
        <f t="shared" si="3"/>
        <v>444.27653402435783</v>
      </c>
    </row>
    <row r="241" spans="1:21" ht="19.5" x14ac:dyDescent="0.25">
      <c r="A241" s="2" t="s">
        <v>245</v>
      </c>
      <c r="B241" s="168">
        <v>6845</v>
      </c>
      <c r="C241" s="169" t="str" cm="1">
        <f t="array" ref="C241">_xlfn.IFS(B241&lt;5000, "P1",B241&lt;20000, "P2",B241&lt;70000, "P3",B241&lt;100000, "P4",B241&lt;200000,"M1",B241&lt;500000,"M2",B241&lt;1000000,"G1",B241&gt;1000000,"G2")</f>
        <v>P2</v>
      </c>
      <c r="D241" s="170">
        <f>VLOOKUP(C241,Metodologia!A$2:H$9,8,FALSE)</f>
        <v>32.634342822133917</v>
      </c>
      <c r="E241" s="171">
        <f>VLOOKUP(A241,Educacional!A$2:P$405,16,FALSE)</f>
        <v>74.401981646781067</v>
      </c>
      <c r="F241" s="171">
        <f>VLOOKUP(A241,Demográfico!A$2:L$405,12,FALSE)</f>
        <v>36.21532203246678</v>
      </c>
      <c r="G241" s="172">
        <f>VLOOKUP(A241,Socioeconômico!A$2:M$405,13,FALSE)</f>
        <v>24.764943667378517</v>
      </c>
      <c r="H241" s="173">
        <f>(2*E241+F241+2*G241)/5/100</f>
        <v>0.46909834532157191</v>
      </c>
      <c r="I241" s="170">
        <f>VLOOKUP(A241,Resultados!A$2:B639,2,FALSE)</f>
        <v>0</v>
      </c>
      <c r="J241" s="5">
        <f>IFERROR(VLOOKUP(A241,Demográfico!A$2:E$400,5,FALSE)/(VLOOKUP(C241,Metodologia!A$2:G$9,7,FALSE))*D241,0)</f>
        <v>0.10312217537561126</v>
      </c>
      <c r="K241" s="72">
        <f>(J241*(1+H241)-I241)</f>
        <v>0.15149661721027147</v>
      </c>
      <c r="L241" s="3">
        <v>1</v>
      </c>
      <c r="M241" s="66">
        <f>VLOOKUP(A241,Demográfico!A$2:E$400,5,FALSE)*H241</f>
        <v>423.59580582537944</v>
      </c>
      <c r="N241" s="68">
        <f>IFERROR(FLOOR(K241,1),0)</f>
        <v>0</v>
      </c>
      <c r="O241" s="68">
        <f>K241-N241</f>
        <v>0.15149661721027147</v>
      </c>
      <c r="P241" s="65">
        <f>IFERROR(RANK(O241,O$2:O$400,0),0)</f>
        <v>246</v>
      </c>
      <c r="Q241" s="3">
        <f>N241+IF(P241&lt;P$1,1,0)</f>
        <v>0</v>
      </c>
      <c r="S241" s="65">
        <f>VLOOKUP(A241,Demográfico!A$2:E$400,5,FALSE)*(H241)</f>
        <v>423.59580582537944</v>
      </c>
      <c r="T241" s="79">
        <f>IFERROR(D241/D241,0)</f>
        <v>1</v>
      </c>
      <c r="U241" s="65">
        <f t="shared" si="3"/>
        <v>423.59580582537944</v>
      </c>
    </row>
    <row r="242" spans="1:21" ht="19.5" x14ac:dyDescent="0.25">
      <c r="A242" s="2" t="s">
        <v>246</v>
      </c>
      <c r="B242" s="168">
        <v>6831</v>
      </c>
      <c r="C242" s="169" t="str" cm="1">
        <f t="array" ref="C242">_xlfn.IFS(B242&lt;5000, "P1",B242&lt;20000, "P2",B242&lt;70000, "P3",B242&lt;100000, "P4",B242&lt;200000,"M1",B242&lt;500000,"M2",B242&lt;1000000,"G1",B242&gt;1000000,"G2")</f>
        <v>P2</v>
      </c>
      <c r="D242" s="170">
        <f>VLOOKUP(C242,Metodologia!A$2:H$9,8,FALSE)</f>
        <v>32.634342822133917</v>
      </c>
      <c r="E242" s="171">
        <f>VLOOKUP(A242,Educacional!A$2:P$405,16,FALSE)</f>
        <v>47.883312956307108</v>
      </c>
      <c r="F242" s="171">
        <f>VLOOKUP(A242,Demográfico!A$2:L$405,12,FALSE)</f>
        <v>53.46419925620345</v>
      </c>
      <c r="G242" s="172">
        <f>VLOOKUP(A242,Socioeconômico!A$2:M$405,13,FALSE)</f>
        <v>41.187729436042289</v>
      </c>
      <c r="H242" s="173">
        <f>(2*E242+F242+2*G242)/5/100</f>
        <v>0.4632125680818045</v>
      </c>
      <c r="I242" s="170">
        <f>VLOOKUP(A242,Resultados!A$2:B640,2,FALSE)</f>
        <v>0</v>
      </c>
      <c r="J242" s="5">
        <f>IFERROR(VLOOKUP(A242,Demográfico!A$2:E$400,5,FALSE)/(VLOOKUP(C242,Metodologia!A$2:G$9,7,FALSE))*D242,0)</f>
        <v>0.1027795767863235</v>
      </c>
      <c r="K242" s="72">
        <f>(J242*(1+H242)-I242)</f>
        <v>0.15038836849587742</v>
      </c>
      <c r="L242" s="3">
        <v>0</v>
      </c>
      <c r="M242" s="66">
        <f>VLOOKUP(A242,Demográfico!A$2:E$400,5,FALSE)*H242</f>
        <v>416.89131127362407</v>
      </c>
      <c r="N242" s="68">
        <f>IFERROR(FLOOR(K242,1),0)</f>
        <v>0</v>
      </c>
      <c r="O242" s="68">
        <f>K242-N242</f>
        <v>0.15038836849587742</v>
      </c>
      <c r="P242" s="65">
        <f>IFERROR(RANK(O242,O$2:O$400,0),0)</f>
        <v>247</v>
      </c>
      <c r="Q242" s="3">
        <f>N242+IF(P242&lt;P$1,1,0)</f>
        <v>0</v>
      </c>
      <c r="S242" s="65">
        <f>VLOOKUP(A242,Demográfico!A$2:E$400,5,FALSE)*(H242)</f>
        <v>416.89131127362407</v>
      </c>
      <c r="T242" s="79">
        <f>IFERROR(D242/D242,0)</f>
        <v>1</v>
      </c>
      <c r="U242" s="65">
        <f t="shared" si="3"/>
        <v>416.89131127362407</v>
      </c>
    </row>
    <row r="243" spans="1:21" ht="19.5" x14ac:dyDescent="0.25">
      <c r="A243" s="2" t="s">
        <v>247</v>
      </c>
      <c r="B243" s="168">
        <v>6790</v>
      </c>
      <c r="C243" s="169" t="str" cm="1">
        <f t="array" ref="C243">_xlfn.IFS(B243&lt;5000, "P1",B243&lt;20000, "P2",B243&lt;70000, "P3",B243&lt;100000, "P4",B243&lt;200000,"M1",B243&lt;500000,"M2",B243&lt;1000000,"G1",B243&gt;1000000,"G2")</f>
        <v>P2</v>
      </c>
      <c r="D243" s="170">
        <f>VLOOKUP(C243,Metodologia!A$2:H$9,8,FALSE)</f>
        <v>32.634342822133917</v>
      </c>
      <c r="E243" s="171">
        <f>VLOOKUP(A243,Educacional!A$2:P$405,16,FALSE)</f>
        <v>49.137195192222208</v>
      </c>
      <c r="F243" s="171">
        <f>VLOOKUP(A243,Demográfico!A$2:L$405,12,FALSE)</f>
        <v>54.157865610148967</v>
      </c>
      <c r="G243" s="172">
        <f>VLOOKUP(A243,Socioeconômico!A$2:M$405,13,FALSE)</f>
        <v>55.895465081882264</v>
      </c>
      <c r="H243" s="173">
        <f>(2*E243+F243+2*G243)/5/100</f>
        <v>0.52844637231671587</v>
      </c>
      <c r="I243" s="170">
        <f>VLOOKUP(A243,Resultados!A$2:B641,2,FALSE)</f>
        <v>0</v>
      </c>
      <c r="J243" s="5">
        <f>IFERROR(VLOOKUP(A243,Demográfico!A$2:E$400,5,FALSE)/(VLOOKUP(C243,Metodologia!A$2:G$9,7,FALSE))*D243,0)</f>
        <v>0.1003813866613093</v>
      </c>
      <c r="K243" s="72">
        <f>(J243*(1+H243)-I243)</f>
        <v>0.15342756629059978</v>
      </c>
      <c r="L243" s="3">
        <v>1</v>
      </c>
      <c r="M243" s="66">
        <f>VLOOKUP(A243,Demográfico!A$2:E$400,5,FALSE)*H243</f>
        <v>464.50436126639323</v>
      </c>
      <c r="N243" s="68">
        <f>IFERROR(FLOOR(K243,1),0)</f>
        <v>0</v>
      </c>
      <c r="O243" s="68">
        <f>K243-N243</f>
        <v>0.15342756629059978</v>
      </c>
      <c r="P243" s="65">
        <f>IFERROR(RANK(O243,O$2:O$400,0),0)</f>
        <v>242</v>
      </c>
      <c r="Q243" s="3">
        <f>N243+IF(P243&lt;P$1,1,0)</f>
        <v>0</v>
      </c>
      <c r="S243" s="65">
        <f>VLOOKUP(A243,Demográfico!A$2:E$400,5,FALSE)*(H243)</f>
        <v>464.50436126639323</v>
      </c>
      <c r="T243" s="79">
        <f>IFERROR(D243/D243,0)</f>
        <v>1</v>
      </c>
      <c r="U243" s="65">
        <f t="shared" si="3"/>
        <v>464.50436126639323</v>
      </c>
    </row>
    <row r="244" spans="1:21" ht="19.5" x14ac:dyDescent="0.25">
      <c r="A244" s="2" t="s">
        <v>248</v>
      </c>
      <c r="B244" s="168">
        <v>6785</v>
      </c>
      <c r="C244" s="169" t="str" cm="1">
        <f t="array" ref="C244">_xlfn.IFS(B244&lt;5000, "P1",B244&lt;20000, "P2",B244&lt;70000, "P3",B244&lt;100000, "P4",B244&lt;200000,"M1",B244&lt;500000,"M2",B244&lt;1000000,"G1",B244&gt;1000000,"G2")</f>
        <v>P2</v>
      </c>
      <c r="D244" s="170">
        <f>VLOOKUP(C244,Metodologia!A$2:H$9,8,FALSE)</f>
        <v>32.634342822133917</v>
      </c>
      <c r="E244" s="171">
        <f>VLOOKUP(A244,Educacional!A$2:P$405,16,FALSE)</f>
        <v>54.401486989414096</v>
      </c>
      <c r="F244" s="171">
        <f>VLOOKUP(A244,Demográfico!A$2:L$405,12,FALSE)</f>
        <v>68.28782369218473</v>
      </c>
      <c r="G244" s="172">
        <f>VLOOKUP(A244,Socioeconômico!A$2:M$405,13,FALSE)</f>
        <v>28.982507823947586</v>
      </c>
      <c r="H244" s="173">
        <f>(2*E244+F244+2*G244)/5/100</f>
        <v>0.47011162663781619</v>
      </c>
      <c r="I244" s="170">
        <f>VLOOKUP(A244,Resultados!A$2:B642,2,FALSE)</f>
        <v>0</v>
      </c>
      <c r="J244" s="5">
        <f>IFERROR(VLOOKUP(A244,Demográfico!A$2:E$400,5,FALSE)/(VLOOKUP(C244,Metodologia!A$2:G$9,7,FALSE))*D244,0)</f>
        <v>0.10506356738157514</v>
      </c>
      <c r="K244" s="72">
        <f>(J244*(1+H244)-I244)</f>
        <v>0.15445517194369926</v>
      </c>
      <c r="L244" s="3">
        <v>1</v>
      </c>
      <c r="M244" s="66">
        <f>VLOOKUP(A244,Demográfico!A$2:E$400,5,FALSE)*H244</f>
        <v>432.50269650679093</v>
      </c>
      <c r="N244" s="68">
        <f>IFERROR(FLOOR(K244,1),0)</f>
        <v>0</v>
      </c>
      <c r="O244" s="68">
        <f>K244-N244</f>
        <v>0.15445517194369926</v>
      </c>
      <c r="P244" s="65">
        <f>IFERROR(RANK(O244,O$2:O$400,0),0)</f>
        <v>238</v>
      </c>
      <c r="Q244" s="3">
        <f>N244+IF(P244&lt;P$1,1,0)</f>
        <v>0</v>
      </c>
      <c r="S244" s="65">
        <f>VLOOKUP(A244,Demográfico!A$2:E$400,5,FALSE)*(H244)</f>
        <v>432.50269650679093</v>
      </c>
      <c r="T244" s="79">
        <f>IFERROR(D244/D244,0)</f>
        <v>1</v>
      </c>
      <c r="U244" s="65">
        <f t="shared" si="3"/>
        <v>432.50269650679093</v>
      </c>
    </row>
    <row r="245" spans="1:21" ht="19.5" x14ac:dyDescent="0.25">
      <c r="A245" s="2" t="s">
        <v>249</v>
      </c>
      <c r="B245" s="168">
        <v>6695</v>
      </c>
      <c r="C245" s="169" t="str" cm="1">
        <f t="array" ref="C245">_xlfn.IFS(B245&lt;5000, "P1",B245&lt;20000, "P2",B245&lt;70000, "P3",B245&lt;100000, "P4",B245&lt;200000,"M1",B245&lt;500000,"M2",B245&lt;1000000,"G1",B245&gt;1000000,"G2")</f>
        <v>P2</v>
      </c>
      <c r="D245" s="170">
        <f>VLOOKUP(C245,Metodologia!A$2:H$9,8,FALSE)</f>
        <v>32.634342822133917</v>
      </c>
      <c r="E245" s="171">
        <f>VLOOKUP(A245,Educacional!A$2:P$405,16,FALSE)</f>
        <v>50.495597406862316</v>
      </c>
      <c r="F245" s="171">
        <f>VLOOKUP(A245,Demográfico!A$2:L$405,12,FALSE)</f>
        <v>35.542846388892578</v>
      </c>
      <c r="G245" s="172">
        <f>VLOOKUP(A245,Socioeconômico!A$2:M$405,13,FALSE)</f>
        <v>58.50817178321568</v>
      </c>
      <c r="H245" s="173">
        <f>(2*E245+F245+2*G245)/5/100</f>
        <v>0.50710076953809713</v>
      </c>
      <c r="I245" s="170">
        <f>VLOOKUP(A245,Resultados!A$2:B643,2,FALSE)</f>
        <v>0</v>
      </c>
      <c r="J245" s="5">
        <f>IFERROR(VLOOKUP(A245,Demográfico!A$2:E$400,5,FALSE)/(VLOOKUP(C245,Metodologia!A$2:G$9,7,FALSE))*D245,0)</f>
        <v>9.5356607351755704E-2</v>
      </c>
      <c r="K245" s="72">
        <f>(J245*(1+H245)-I245)</f>
        <v>0.1437120163203732</v>
      </c>
      <c r="L245" s="3">
        <v>0</v>
      </c>
      <c r="M245" s="66">
        <f>VLOOKUP(A245,Demográfico!A$2:E$400,5,FALSE)*H245</f>
        <v>423.42914256431112</v>
      </c>
      <c r="N245" s="68">
        <f>IFERROR(FLOOR(K245,1),0)</f>
        <v>0</v>
      </c>
      <c r="O245" s="68">
        <f>K245-N245</f>
        <v>0.1437120163203732</v>
      </c>
      <c r="P245" s="65">
        <f>IFERROR(RANK(O245,O$2:O$400,0),0)</f>
        <v>252</v>
      </c>
      <c r="Q245" s="3">
        <f>N245+IF(P245&lt;P$1,1,0)</f>
        <v>0</v>
      </c>
      <c r="S245" s="65">
        <f>VLOOKUP(A245,Demográfico!A$2:E$400,5,FALSE)*(H245)</f>
        <v>423.42914256431112</v>
      </c>
      <c r="T245" s="79">
        <f>IFERROR(D245/D245,0)</f>
        <v>1</v>
      </c>
      <c r="U245" s="65">
        <f t="shared" si="3"/>
        <v>423.42914256431112</v>
      </c>
    </row>
    <row r="246" spans="1:21" ht="19.5" x14ac:dyDescent="0.25">
      <c r="A246" s="2" t="s">
        <v>251</v>
      </c>
      <c r="B246" s="168">
        <v>6690</v>
      </c>
      <c r="C246" s="169" t="str" cm="1">
        <f t="array" ref="C246">_xlfn.IFS(B246&lt;5000, "P1",B246&lt;20000, "P2",B246&lt;70000, "P3",B246&lt;100000, "P4",B246&lt;200000,"M1",B246&lt;500000,"M2",B246&lt;1000000,"G1",B246&gt;1000000,"G2")</f>
        <v>P2</v>
      </c>
      <c r="D246" s="170">
        <f>VLOOKUP(C246,Metodologia!A$2:H$9,8,FALSE)</f>
        <v>32.634342822133917</v>
      </c>
      <c r="E246" s="171">
        <f>VLOOKUP(A246,Educacional!A$2:P$405,16,FALSE)</f>
        <v>83.601323163637346</v>
      </c>
      <c r="F246" s="171">
        <f>VLOOKUP(A246,Demográfico!A$2:L$405,12,FALSE)</f>
        <v>39.045672774867185</v>
      </c>
      <c r="G246" s="172">
        <f>VLOOKUP(A246,Socioeconômico!A$2:M$405,13,FALSE)</f>
        <v>50.565084412068309</v>
      </c>
      <c r="H246" s="173">
        <f>(2*E246+F246+2*G246)/5/100</f>
        <v>0.61475697585255695</v>
      </c>
      <c r="I246" s="170">
        <f>VLOOKUP(A246,Resultados!A$2:B644,2,FALSE)</f>
        <v>0</v>
      </c>
      <c r="J246" s="5">
        <f>IFERROR(VLOOKUP(A246,Demográfico!A$2:E$400,5,FALSE)/(VLOOKUP(C246,Metodologia!A$2:G$9,7,FALSE))*D246,0)</f>
        <v>0.11202973869709262</v>
      </c>
      <c r="K246" s="72">
        <f>(J246*(1+H246)-I246)</f>
        <v>0.18090080206406944</v>
      </c>
      <c r="L246" s="3">
        <v>1</v>
      </c>
      <c r="M246" s="66">
        <f>VLOOKUP(A246,Demográfico!A$2:E$400,5,FALSE)*H246</f>
        <v>603.07659331135835</v>
      </c>
      <c r="N246" s="68">
        <f>IFERROR(FLOOR(K246,1),0)</f>
        <v>0</v>
      </c>
      <c r="O246" s="68">
        <f>K246-N246</f>
        <v>0.18090080206406944</v>
      </c>
      <c r="P246" s="65">
        <f>IFERROR(RANK(O246,O$2:O$400,0),0)</f>
        <v>212</v>
      </c>
      <c r="Q246" s="3">
        <f>N246+IF(P246&lt;P$1,1,0)</f>
        <v>0</v>
      </c>
      <c r="S246" s="65">
        <f>VLOOKUP(A246,Demográfico!A$2:E$400,5,FALSE)*(H246)</f>
        <v>603.07659331135835</v>
      </c>
      <c r="T246" s="79">
        <f>IFERROR(D246/D246,0)</f>
        <v>1</v>
      </c>
      <c r="U246" s="65">
        <f t="shared" si="3"/>
        <v>603.07659331135835</v>
      </c>
    </row>
    <row r="247" spans="1:21" ht="19.5" x14ac:dyDescent="0.25">
      <c r="A247" s="2" t="s">
        <v>250</v>
      </c>
      <c r="B247" s="168">
        <v>6690</v>
      </c>
      <c r="C247" s="169" t="str" cm="1">
        <f t="array" ref="C247">_xlfn.IFS(B247&lt;5000, "P1",B247&lt;20000, "P2",B247&lt;70000, "P3",B247&lt;100000, "P4",B247&lt;200000,"M1",B247&lt;500000,"M2",B247&lt;1000000,"G1",B247&gt;1000000,"G2")</f>
        <v>P2</v>
      </c>
      <c r="D247" s="170">
        <f>VLOOKUP(C247,Metodologia!A$2:H$9,8,FALSE)</f>
        <v>32.634342822133917</v>
      </c>
      <c r="E247" s="171">
        <f>VLOOKUP(A247,Educacional!A$2:P$405,16,FALSE)</f>
        <v>42.282543568688062</v>
      </c>
      <c r="F247" s="171">
        <f>VLOOKUP(A247,Demográfico!A$2:L$405,12,FALSE)</f>
        <v>25.300408249132428</v>
      </c>
      <c r="G247" s="172">
        <f>VLOOKUP(A247,Socioeconômico!A$2:M$405,13,FALSE)</f>
        <v>19.966899884926423</v>
      </c>
      <c r="H247" s="173">
        <f>(2*E247+F247+2*G247)/5/100</f>
        <v>0.29959859031272279</v>
      </c>
      <c r="I247" s="170">
        <f>VLOOKUP(A247,Resultados!A$2:B645,2,FALSE)</f>
        <v>0</v>
      </c>
      <c r="J247" s="5">
        <f>IFERROR(VLOOKUP(A247,Demográfico!A$2:E$400,5,FALSE)/(VLOOKUP(C247,Metodologia!A$2:G$9,7,FALSE))*D247,0)</f>
        <v>9.9924588542258969E-2</v>
      </c>
      <c r="K247" s="72">
        <f>(J247*(1+H247)-I247)</f>
        <v>0.1298618544070986</v>
      </c>
      <c r="L247" s="3">
        <v>0</v>
      </c>
      <c r="M247" s="66">
        <f>VLOOKUP(A247,Demográfico!A$2:E$400,5,FALSE)*H247</f>
        <v>262.14876652363245</v>
      </c>
      <c r="N247" s="68">
        <f>IFERROR(FLOOR(K247,1),0)</f>
        <v>0</v>
      </c>
      <c r="O247" s="68">
        <f>K247-N247</f>
        <v>0.1298618544070986</v>
      </c>
      <c r="P247" s="65">
        <f>IFERROR(RANK(O247,O$2:O$400,0),0)</f>
        <v>261</v>
      </c>
      <c r="Q247" s="3">
        <f>N247+IF(P247&lt;P$1,1,0)</f>
        <v>0</v>
      </c>
      <c r="S247" s="65">
        <f>VLOOKUP(A247,Demográfico!A$2:E$400,5,FALSE)*(H247)</f>
        <v>262.14876652363245</v>
      </c>
      <c r="T247" s="79">
        <f>IFERROR(D247/D247,0)</f>
        <v>1</v>
      </c>
      <c r="U247" s="65">
        <f t="shared" si="3"/>
        <v>262.14876652363245</v>
      </c>
    </row>
    <row r="248" spans="1:21" ht="19.5" x14ac:dyDescent="0.25">
      <c r="A248" s="2" t="s">
        <v>253</v>
      </c>
      <c r="B248" s="168">
        <v>6587</v>
      </c>
      <c r="C248" s="169" t="str" cm="1">
        <f t="array" ref="C248">_xlfn.IFS(B248&lt;5000, "P1",B248&lt;20000, "P2",B248&lt;70000, "P3",B248&lt;100000, "P4",B248&lt;200000,"M1",B248&lt;500000,"M2",B248&lt;1000000,"G1",B248&gt;1000000,"G2")</f>
        <v>P2</v>
      </c>
      <c r="D248" s="170">
        <f>VLOOKUP(C248,Metodologia!A$2:H$9,8,FALSE)</f>
        <v>32.634342822133917</v>
      </c>
      <c r="E248" s="171">
        <f>VLOOKUP(A248,Educacional!A$2:P$405,16,FALSE)</f>
        <v>46.018937966077686</v>
      </c>
      <c r="F248" s="171">
        <f>VLOOKUP(A248,Demográfico!A$2:L$405,12,FALSE)</f>
        <v>30.935228989568923</v>
      </c>
      <c r="G248" s="172">
        <f>VLOOKUP(A248,Socioeconômico!A$2:M$405,13,FALSE)</f>
        <v>41.116231155668785</v>
      </c>
      <c r="H248" s="173">
        <f>(2*E248+F248+2*G248)/5/100</f>
        <v>0.41041113446612371</v>
      </c>
      <c r="I248" s="170">
        <f>VLOOKUP(A248,Resultados!A$2:B646,2,FALSE)</f>
        <v>0</v>
      </c>
      <c r="J248" s="5">
        <f>IFERROR(VLOOKUP(A248,Demográfico!A$2:E$400,5,FALSE)/(VLOOKUP(C248,Metodologia!A$2:G$9,7,FALSE))*D248,0)</f>
        <v>9.8554194185107996E-2</v>
      </c>
      <c r="K248" s="72">
        <f>(J248*(1+H248)-I248)</f>
        <v>0.13900193282701281</v>
      </c>
      <c r="L248" s="3">
        <v>0</v>
      </c>
      <c r="M248" s="66">
        <f>VLOOKUP(A248,Demográfico!A$2:E$400,5,FALSE)*H248</f>
        <v>354.18480904426474</v>
      </c>
      <c r="N248" s="68">
        <f>IFERROR(FLOOR(K248,1),0)</f>
        <v>0</v>
      </c>
      <c r="O248" s="68">
        <f>K248-N248</f>
        <v>0.13900193282701281</v>
      </c>
      <c r="P248" s="65">
        <f>IFERROR(RANK(O248,O$2:O$400,0),0)</f>
        <v>255</v>
      </c>
      <c r="Q248" s="3">
        <f>N248+IF(P248&lt;P$1,1,0)</f>
        <v>0</v>
      </c>
      <c r="S248" s="65">
        <f>VLOOKUP(A248,Demográfico!A$2:E$400,5,FALSE)*(H248)</f>
        <v>354.18480904426474</v>
      </c>
      <c r="T248" s="79">
        <f>IFERROR(D248/D248,0)</f>
        <v>1</v>
      </c>
      <c r="U248" s="65">
        <f t="shared" si="3"/>
        <v>354.18480904426474</v>
      </c>
    </row>
    <row r="249" spans="1:21" ht="19.5" x14ac:dyDescent="0.25">
      <c r="A249" s="2" t="s">
        <v>252</v>
      </c>
      <c r="B249" s="168">
        <v>6587</v>
      </c>
      <c r="C249" s="169" t="str" cm="1">
        <f t="array" ref="C249">_xlfn.IFS(B249&lt;5000, "P1",B249&lt;20000, "P2",B249&lt;70000, "P3",B249&lt;100000, "P4",B249&lt;200000,"M1",B249&lt;500000,"M2",B249&lt;1000000,"G1",B249&gt;1000000,"G2")</f>
        <v>P2</v>
      </c>
      <c r="D249" s="170">
        <f>VLOOKUP(C249,Metodologia!A$2:H$9,8,FALSE)</f>
        <v>32.634342822133917</v>
      </c>
      <c r="E249" s="171">
        <f>VLOOKUP(A249,Educacional!A$2:P$405,16,FALSE)</f>
        <v>54.302258472869305</v>
      </c>
      <c r="F249" s="171">
        <f>VLOOKUP(A249,Demográfico!A$2:L$405,12,FALSE)</f>
        <v>88.241082087650497</v>
      </c>
      <c r="G249" s="172">
        <f>VLOOKUP(A249,Socioeconômico!A$2:M$405,13,FALSE)</f>
        <v>43.621842947739353</v>
      </c>
      <c r="H249" s="173">
        <f>(2*E249+F249+2*G249)/5/100</f>
        <v>0.56817856985773563</v>
      </c>
      <c r="I249" s="170">
        <f>VLOOKUP(A249,Resultados!A$2:B647,2,FALSE)</f>
        <v>1</v>
      </c>
      <c r="J249" s="5">
        <f>IFERROR(VLOOKUP(A249,Demográfico!A$2:E$400,5,FALSE)/(VLOOKUP(C249,Metodologia!A$2:G$9,7,FALSE))*D249,0)</f>
        <v>0.10140918242917253</v>
      </c>
      <c r="K249" s="72">
        <f>(J249*(1+H249)-I249)</f>
        <v>-0.84097229332777801</v>
      </c>
      <c r="L249" s="3">
        <v>1</v>
      </c>
      <c r="M249" s="66">
        <f>VLOOKUP(A249,Demográfico!A$2:E$400,5,FALSE)*H249</f>
        <v>504.54257003366922</v>
      </c>
      <c r="N249" s="68">
        <f>IFERROR(FLOOR(K249,1),0)</f>
        <v>-1</v>
      </c>
      <c r="O249" s="68">
        <f>K249-N249</f>
        <v>0.15902770667222199</v>
      </c>
      <c r="P249" s="65">
        <f>IFERROR(RANK(O249,O$2:O$400,0),0)</f>
        <v>233</v>
      </c>
      <c r="Q249" s="3">
        <f>N249+IF(P249&lt;P$1,1,0)</f>
        <v>-1</v>
      </c>
      <c r="S249" s="65">
        <f>VLOOKUP(A249,Demográfico!A$2:E$400,5,FALSE)*(H249)</f>
        <v>504.54257003366922</v>
      </c>
      <c r="T249" s="79">
        <f>IFERROR(D249/D249,0)</f>
        <v>1</v>
      </c>
      <c r="U249" s="65">
        <f t="shared" si="3"/>
        <v>504.54257003366922</v>
      </c>
    </row>
    <row r="250" spans="1:21" ht="19.5" x14ac:dyDescent="0.25">
      <c r="A250" s="2" t="s">
        <v>254</v>
      </c>
      <c r="B250" s="168">
        <v>6581</v>
      </c>
      <c r="C250" s="169" t="str" cm="1">
        <f t="array" ref="C250">_xlfn.IFS(B250&lt;5000, "P1",B250&lt;20000, "P2",B250&lt;70000, "P3",B250&lt;100000, "P4",B250&lt;200000,"M1",B250&lt;500000,"M2",B250&lt;1000000,"G1",B250&gt;1000000,"G2")</f>
        <v>P2</v>
      </c>
      <c r="D250" s="170">
        <f>VLOOKUP(C250,Metodologia!A$2:H$9,8,FALSE)</f>
        <v>32.634342822133917</v>
      </c>
      <c r="E250" s="171">
        <f>VLOOKUP(A250,Educacional!A$2:P$405,16,FALSE)</f>
        <v>44.131520147672177</v>
      </c>
      <c r="F250" s="171">
        <f>VLOOKUP(A250,Demográfico!A$2:L$405,12,FALSE)</f>
        <v>32.157834445977834</v>
      </c>
      <c r="G250" s="172">
        <f>VLOOKUP(A250,Socioeconômico!A$2:M$405,13,FALSE)</f>
        <v>49.437362784719291</v>
      </c>
      <c r="H250" s="173">
        <f>(2*E250+F250+2*G250)/5/100</f>
        <v>0.43859120062152157</v>
      </c>
      <c r="I250" s="170">
        <f>VLOOKUP(A250,Resultados!A$2:B648,2,FALSE)</f>
        <v>0</v>
      </c>
      <c r="J250" s="5">
        <f>IFERROR(VLOOKUP(A250,Demográfico!A$2:E$400,5,FALSE)/(VLOOKUP(C250,Metodologia!A$2:G$9,7,FALSE))*D250,0)</f>
        <v>0.10723335844706421</v>
      </c>
      <c r="K250" s="72">
        <f>(J250*(1+H250)-I250)</f>
        <v>0.15426496587504007</v>
      </c>
      <c r="L250" s="3">
        <v>0</v>
      </c>
      <c r="M250" s="66">
        <f>VLOOKUP(A250,Demográfico!A$2:E$400,5,FALSE)*H250</f>
        <v>411.83713738360876</v>
      </c>
      <c r="N250" s="68">
        <f>IFERROR(FLOOR(K250,1),0)</f>
        <v>0</v>
      </c>
      <c r="O250" s="68">
        <f>K250-N250</f>
        <v>0.15426496587504007</v>
      </c>
      <c r="P250" s="65">
        <f>IFERROR(RANK(O250,O$2:O$400,0),0)</f>
        <v>239</v>
      </c>
      <c r="Q250" s="3">
        <f>N250+IF(P250&lt;P$1,1,0)</f>
        <v>0</v>
      </c>
      <c r="S250" s="65">
        <f>VLOOKUP(A250,Demográfico!A$2:E$400,5,FALSE)*(H250)</f>
        <v>411.83713738360876</v>
      </c>
      <c r="T250" s="79">
        <f>IFERROR(D250/D250,0)</f>
        <v>1</v>
      </c>
      <c r="U250" s="65">
        <f t="shared" si="3"/>
        <v>411.83713738360876</v>
      </c>
    </row>
    <row r="251" spans="1:21" ht="19.5" x14ac:dyDescent="0.25">
      <c r="A251" s="2" t="s">
        <v>255</v>
      </c>
      <c r="B251" s="168">
        <v>6566</v>
      </c>
      <c r="C251" s="169" t="str" cm="1">
        <f t="array" ref="C251">_xlfn.IFS(B251&lt;5000, "P1",B251&lt;20000, "P2",B251&lt;70000, "P3",B251&lt;100000, "P4",B251&lt;200000,"M1",B251&lt;500000,"M2",B251&lt;1000000,"G1",B251&gt;1000000,"G2")</f>
        <v>P2</v>
      </c>
      <c r="D251" s="170">
        <f>VLOOKUP(C251,Metodologia!A$2:H$9,8,FALSE)</f>
        <v>32.634342822133917</v>
      </c>
      <c r="E251" s="171">
        <f>VLOOKUP(A251,Educacional!A$2:P$405,16,FALSE)</f>
        <v>60.642526573084673</v>
      </c>
      <c r="F251" s="171">
        <f>VLOOKUP(A251,Demográfico!A$2:L$405,12,FALSE)</f>
        <v>70.317491580126784</v>
      </c>
      <c r="G251" s="172">
        <f>VLOOKUP(A251,Socioeconômico!A$2:M$405,13,FALSE)</f>
        <v>66.502751718446575</v>
      </c>
      <c r="H251" s="173">
        <f>(2*E251+F251+2*G251)/5/100</f>
        <v>0.64921609632637856</v>
      </c>
      <c r="I251" s="170">
        <f>VLOOKUP(A251,Resultados!A$2:B649,2,FALSE)</f>
        <v>0</v>
      </c>
      <c r="J251" s="5">
        <f>IFERROR(VLOOKUP(A251,Demográfico!A$2:E$400,5,FALSE)/(VLOOKUP(C251,Metodologia!A$2:G$9,7,FALSE))*D251,0)</f>
        <v>0.10689075985777645</v>
      </c>
      <c r="K251" s="72">
        <f>(J251*(1+H251)-I251)</f>
        <v>0.17628596170600244</v>
      </c>
      <c r="L251" s="3">
        <v>1</v>
      </c>
      <c r="M251" s="66">
        <f>VLOOKUP(A251,Demográfico!A$2:E$400,5,FALSE)*H251</f>
        <v>607.66626616149028</v>
      </c>
      <c r="N251" s="68">
        <f>IFERROR(FLOOR(K251,1),0)</f>
        <v>0</v>
      </c>
      <c r="O251" s="68">
        <f>K251-N251</f>
        <v>0.17628596170600244</v>
      </c>
      <c r="P251" s="65">
        <f>IFERROR(RANK(O251,O$2:O$400,0),0)</f>
        <v>218</v>
      </c>
      <c r="Q251" s="3">
        <f>N251+IF(P251&lt;P$1,1,0)</f>
        <v>0</v>
      </c>
      <c r="S251" s="65">
        <f>VLOOKUP(A251,Demográfico!A$2:E$400,5,FALSE)*(H251)</f>
        <v>607.66626616149028</v>
      </c>
      <c r="T251" s="79">
        <f>IFERROR(D251/D251,0)</f>
        <v>1</v>
      </c>
      <c r="U251" s="65">
        <f t="shared" si="3"/>
        <v>607.66626616149028</v>
      </c>
    </row>
    <row r="252" spans="1:21" ht="19.5" x14ac:dyDescent="0.25">
      <c r="A252" s="2" t="s">
        <v>256</v>
      </c>
      <c r="B252" s="168">
        <v>6566</v>
      </c>
      <c r="C252" s="169" t="str" cm="1">
        <f t="array" ref="C252">_xlfn.IFS(B252&lt;5000, "P1",B252&lt;20000, "P2",B252&lt;70000, "P3",B252&lt;100000, "P4",B252&lt;200000,"M1",B252&lt;500000,"M2",B252&lt;1000000,"G1",B252&gt;1000000,"G2")</f>
        <v>P2</v>
      </c>
      <c r="D252" s="170">
        <f>VLOOKUP(C252,Metodologia!A$2:H$9,8,FALSE)</f>
        <v>32.634342822133917</v>
      </c>
      <c r="E252" s="171">
        <f>VLOOKUP(A252,Educacional!A$2:P$405,16,FALSE)</f>
        <v>55.504385239553002</v>
      </c>
      <c r="F252" s="171">
        <f>VLOOKUP(A252,Demográfico!A$2:L$405,12,FALSE)</f>
        <v>27.361103123243257</v>
      </c>
      <c r="G252" s="172">
        <f>VLOOKUP(A252,Socioeconômico!A$2:M$405,13,FALSE)</f>
        <v>57.942162308825175</v>
      </c>
      <c r="H252" s="173">
        <f>(2*E252+F252+2*G252)/5/100</f>
        <v>0.50850839643999923</v>
      </c>
      <c r="I252" s="170">
        <f>VLOOKUP(A252,Resultados!A$2:B650,2,FALSE)</f>
        <v>0</v>
      </c>
      <c r="J252" s="5">
        <f>IFERROR(VLOOKUP(A252,Demográfico!A$2:E$400,5,FALSE)/(VLOOKUP(C252,Metodologia!A$2:G$9,7,FALSE))*D252,0)</f>
        <v>9.3757813935079565E-2</v>
      </c>
      <c r="K252" s="72">
        <f>(J252*(1+H252)-I252)</f>
        <v>0.14143444955292669</v>
      </c>
      <c r="L252" s="3">
        <v>1</v>
      </c>
      <c r="M252" s="66">
        <f>VLOOKUP(A252,Demográfico!A$2:E$400,5,FALSE)*H252</f>
        <v>417.48539347723937</v>
      </c>
      <c r="N252" s="68">
        <f>IFERROR(FLOOR(K252,1),0)</f>
        <v>0</v>
      </c>
      <c r="O252" s="68">
        <f>K252-N252</f>
        <v>0.14143444955292669</v>
      </c>
      <c r="P252" s="65">
        <f>IFERROR(RANK(O252,O$2:O$400,0),0)</f>
        <v>254</v>
      </c>
      <c r="Q252" s="3">
        <f>N252+IF(P252&lt;P$1,1,0)</f>
        <v>0</v>
      </c>
      <c r="S252" s="65">
        <f>VLOOKUP(A252,Demográfico!A$2:E$400,5,FALSE)*(H252)</f>
        <v>417.48539347723937</v>
      </c>
      <c r="T252" s="79">
        <f>IFERROR(D252/D252,0)</f>
        <v>1</v>
      </c>
      <c r="U252" s="65">
        <f t="shared" si="3"/>
        <v>417.48539347723937</v>
      </c>
    </row>
    <row r="253" spans="1:21" ht="19.5" x14ac:dyDescent="0.25">
      <c r="A253" s="2" t="s">
        <v>257</v>
      </c>
      <c r="B253" s="168">
        <v>6555</v>
      </c>
      <c r="C253" s="169" t="str" cm="1">
        <f t="array" ref="C253">_xlfn.IFS(B253&lt;5000, "P1",B253&lt;20000, "P2",B253&lt;70000, "P3",B253&lt;100000, "P4",B253&lt;200000,"M1",B253&lt;500000,"M2",B253&lt;1000000,"G1",B253&gt;1000000,"G2")</f>
        <v>P2</v>
      </c>
      <c r="D253" s="170">
        <f>VLOOKUP(C253,Metodologia!A$2:H$9,8,FALSE)</f>
        <v>32.634342822133917</v>
      </c>
      <c r="E253" s="171">
        <f>VLOOKUP(A253,Educacional!A$2:P$405,16,FALSE)</f>
        <v>45.226519327916954</v>
      </c>
      <c r="F253" s="171">
        <f>VLOOKUP(A253,Demográfico!A$2:L$405,12,FALSE)</f>
        <v>51.410219818831592</v>
      </c>
      <c r="G253" s="172">
        <f>VLOOKUP(A253,Socioeconômico!A$2:M$405,13,FALSE)</f>
        <v>24.314904132351362</v>
      </c>
      <c r="H253" s="173">
        <f>(2*E253+F253+2*G253)/5/100</f>
        <v>0.38098613347873639</v>
      </c>
      <c r="I253" s="170">
        <f>VLOOKUP(A253,Resultados!A$2:B651,2,FALSE)</f>
        <v>0</v>
      </c>
      <c r="J253" s="5">
        <f>IFERROR(VLOOKUP(A253,Demográfico!A$2:E$400,5,FALSE)/(VLOOKUP(C253,Metodologia!A$2:G$9,7,FALSE))*D253,0)</f>
        <v>0.11043094528041648</v>
      </c>
      <c r="K253" s="72">
        <f>(J253*(1+H253)-I253)</f>
        <v>0.15250360413920427</v>
      </c>
      <c r="L253" s="3">
        <v>0</v>
      </c>
      <c r="M253" s="66">
        <f>VLOOKUP(A253,Demográfico!A$2:E$400,5,FALSE)*H253</f>
        <v>368.41359107393811</v>
      </c>
      <c r="N253" s="68">
        <f>IFERROR(FLOOR(K253,1),0)</f>
        <v>0</v>
      </c>
      <c r="O253" s="68">
        <f>K253-N253</f>
        <v>0.15250360413920427</v>
      </c>
      <c r="P253" s="65">
        <f>IFERROR(RANK(O253,O$2:O$400,0),0)</f>
        <v>244</v>
      </c>
      <c r="Q253" s="3">
        <f>N253+IF(P253&lt;P$1,1,0)</f>
        <v>0</v>
      </c>
      <c r="S253" s="65">
        <f>VLOOKUP(A253,Demográfico!A$2:E$400,5,FALSE)*(H253)</f>
        <v>368.41359107393811</v>
      </c>
      <c r="T253" s="79">
        <f>IFERROR(D253/D253,0)</f>
        <v>1</v>
      </c>
      <c r="U253" s="65">
        <f t="shared" si="3"/>
        <v>368.41359107393811</v>
      </c>
    </row>
    <row r="254" spans="1:21" ht="19.5" x14ac:dyDescent="0.25">
      <c r="A254" s="2" t="s">
        <v>258</v>
      </c>
      <c r="B254" s="168">
        <v>6553</v>
      </c>
      <c r="C254" s="169" t="str" cm="1">
        <f t="array" ref="C254">_xlfn.IFS(B254&lt;5000, "P1",B254&lt;20000, "P2",B254&lt;70000, "P3",B254&lt;100000, "P4",B254&lt;200000,"M1",B254&lt;500000,"M2",B254&lt;1000000,"G1",B254&gt;1000000,"G2")</f>
        <v>P2</v>
      </c>
      <c r="D254" s="170">
        <f>VLOOKUP(C254,Metodologia!A$2:H$9,8,FALSE)</f>
        <v>32.634342822133917</v>
      </c>
      <c r="E254" s="171">
        <f>VLOOKUP(A254,Educacional!A$2:P$405,16,FALSE)</f>
        <v>65.712208634832464</v>
      </c>
      <c r="F254" s="171">
        <f>VLOOKUP(A254,Demográfico!A$2:L$405,12,FALSE)</f>
        <v>64.724887643424694</v>
      </c>
      <c r="G254" s="172">
        <f>VLOOKUP(A254,Socioeconômico!A$2:M$405,13,FALSE)</f>
        <v>50.972516948825486</v>
      </c>
      <c r="H254" s="173">
        <f>(2*E254+F254+2*G254)/5/100</f>
        <v>0.59618867762148131</v>
      </c>
      <c r="I254" s="170">
        <f>VLOOKUP(A254,Resultados!A$2:B652,2,FALSE)</f>
        <v>0</v>
      </c>
      <c r="J254" s="5">
        <f>IFERROR(VLOOKUP(A254,Demográfico!A$2:E$400,5,FALSE)/(VLOOKUP(C254,Metodologia!A$2:G$9,7,FALSE))*D254,0)</f>
        <v>0.12356389120311337</v>
      </c>
      <c r="K254" s="72">
        <f>(J254*(1+H254)-I254)</f>
        <v>0.19723128410126212</v>
      </c>
      <c r="L254" s="3">
        <v>1</v>
      </c>
      <c r="M254" s="66">
        <f>VLOOKUP(A254,Demográfico!A$2:E$400,5,FALSE)*H254</f>
        <v>645.07614918644276</v>
      </c>
      <c r="N254" s="68">
        <f>IFERROR(FLOOR(K254,1),0)</f>
        <v>0</v>
      </c>
      <c r="O254" s="68">
        <f>K254-N254</f>
        <v>0.19723128410126212</v>
      </c>
      <c r="P254" s="65">
        <f>IFERROR(RANK(O254,O$2:O$400,0),0)</f>
        <v>199</v>
      </c>
      <c r="Q254" s="3">
        <f>N254+IF(P254&lt;P$1,1,0)</f>
        <v>0</v>
      </c>
      <c r="S254" s="65">
        <f>VLOOKUP(A254,Demográfico!A$2:E$400,5,FALSE)*(H254)</f>
        <v>645.07614918644276</v>
      </c>
      <c r="T254" s="79">
        <f>IFERROR(D254/D254,0)</f>
        <v>1</v>
      </c>
      <c r="U254" s="65">
        <f t="shared" si="3"/>
        <v>645.07614918644276</v>
      </c>
    </row>
    <row r="255" spans="1:21" ht="19.5" x14ac:dyDescent="0.25">
      <c r="A255" s="2" t="s">
        <v>259</v>
      </c>
      <c r="B255" s="168">
        <v>6504</v>
      </c>
      <c r="C255" s="169" t="str" cm="1">
        <f t="array" ref="C255">_xlfn.IFS(B255&lt;5000, "P1",B255&lt;20000, "P2",B255&lt;70000, "P3",B255&lt;100000, "P4",B255&lt;200000,"M1",B255&lt;500000,"M2",B255&lt;1000000,"G1",B255&gt;1000000,"G2")</f>
        <v>P2</v>
      </c>
      <c r="D255" s="170">
        <f>VLOOKUP(C255,Metodologia!A$2:H$9,8,FALSE)</f>
        <v>32.634342822133917</v>
      </c>
      <c r="E255" s="171">
        <f>VLOOKUP(A255,Educacional!A$2:P$405,16,FALSE)</f>
        <v>59.327406246981326</v>
      </c>
      <c r="F255" s="171">
        <f>VLOOKUP(A255,Demográfico!A$2:L$405,12,FALSE)</f>
        <v>33.942491624961811</v>
      </c>
      <c r="G255" s="172">
        <f>VLOOKUP(A255,Socioeconômico!A$2:M$405,13,FALSE)</f>
        <v>47.208536214403082</v>
      </c>
      <c r="H255" s="173">
        <f>(2*E255+F255+2*G255)/5/100</f>
        <v>0.49402875309546124</v>
      </c>
      <c r="I255" s="170">
        <f>VLOOKUP(A255,Resultados!A$2:B653,2,FALSE)</f>
        <v>0</v>
      </c>
      <c r="J255" s="5">
        <f>IFERROR(VLOOKUP(A255,Demográfico!A$2:E$400,5,FALSE)/(VLOOKUP(C255,Metodologia!A$2:G$9,7,FALSE))*D255,0)</f>
        <v>8.3708255315972369E-2</v>
      </c>
      <c r="K255" s="72">
        <f>(J255*(1+H255)-I255)</f>
        <v>0.12506254031351871</v>
      </c>
      <c r="L255" s="3">
        <v>1</v>
      </c>
      <c r="M255" s="66">
        <f>VLOOKUP(A255,Demográfico!A$2:E$400,5,FALSE)*H255</f>
        <v>362.12307601897311</v>
      </c>
      <c r="N255" s="68">
        <f>IFERROR(FLOOR(K255,1),0)</f>
        <v>0</v>
      </c>
      <c r="O255" s="68">
        <f>K255-N255</f>
        <v>0.12506254031351871</v>
      </c>
      <c r="P255" s="65">
        <f>IFERROR(RANK(O255,O$2:O$400,0),0)</f>
        <v>269</v>
      </c>
      <c r="Q255" s="3">
        <f>N255+IF(P255&lt;P$1,1,0)</f>
        <v>0</v>
      </c>
      <c r="S255" s="65">
        <f>VLOOKUP(A255,Demográfico!A$2:E$400,5,FALSE)*(H255)</f>
        <v>362.12307601897311</v>
      </c>
      <c r="T255" s="79">
        <f>IFERROR(D255/D255,0)</f>
        <v>1</v>
      </c>
      <c r="U255" s="65">
        <f t="shared" si="3"/>
        <v>362.12307601897311</v>
      </c>
    </row>
    <row r="256" spans="1:21" ht="19.5" x14ac:dyDescent="0.25">
      <c r="A256" s="2" t="s">
        <v>260</v>
      </c>
      <c r="B256" s="168">
        <v>6378</v>
      </c>
      <c r="C256" s="169" t="str" cm="1">
        <f t="array" ref="C256">_xlfn.IFS(B256&lt;5000, "P1",B256&lt;20000, "P2",B256&lt;70000, "P3",B256&lt;100000, "P4",B256&lt;200000,"M1",B256&lt;500000,"M2",B256&lt;1000000,"G1",B256&gt;1000000,"G2")</f>
        <v>P2</v>
      </c>
      <c r="D256" s="170">
        <f>VLOOKUP(C256,Metodologia!A$2:H$9,8,FALSE)</f>
        <v>32.634342822133917</v>
      </c>
      <c r="E256" s="171">
        <f>VLOOKUP(A256,Educacional!A$2:P$405,16,FALSE)</f>
        <v>77.703470953546386</v>
      </c>
      <c r="F256" s="171">
        <f>VLOOKUP(A256,Demográfico!A$2:L$405,12,FALSE)</f>
        <v>57.5753049631791</v>
      </c>
      <c r="G256" s="172">
        <f>VLOOKUP(A256,Socioeconômico!A$2:M$405,13,FALSE)</f>
        <v>51.927915281585825</v>
      </c>
      <c r="H256" s="173">
        <f>(2*E256+F256+2*G256)/5/100</f>
        <v>0.63367615486688711</v>
      </c>
      <c r="I256" s="170">
        <f>VLOOKUP(A256,Resultados!A$2:B654,2,FALSE)</f>
        <v>0</v>
      </c>
      <c r="J256" s="5">
        <f>IFERROR(VLOOKUP(A256,Demográfico!A$2:E$400,5,FALSE)/(VLOOKUP(C256,Metodologia!A$2:G$9,7,FALSE))*D256,0)</f>
        <v>0.10026718713154671</v>
      </c>
      <c r="K256" s="72">
        <f>(J256*(1+H256)-I256)</f>
        <v>0.16380411273238388</v>
      </c>
      <c r="L256" s="3">
        <v>1</v>
      </c>
      <c r="M256" s="66">
        <f>VLOOKUP(A256,Demográfico!A$2:E$400,5,FALSE)*H256</f>
        <v>556.36766397312692</v>
      </c>
      <c r="N256" s="68">
        <f>IFERROR(FLOOR(K256,1),0)</f>
        <v>0</v>
      </c>
      <c r="O256" s="68">
        <f>K256-N256</f>
        <v>0.16380411273238388</v>
      </c>
      <c r="P256" s="65">
        <f>IFERROR(RANK(O256,O$2:O$400,0),0)</f>
        <v>226</v>
      </c>
      <c r="Q256" s="3">
        <f>N256+IF(P256&lt;P$1,1,0)</f>
        <v>0</v>
      </c>
      <c r="S256" s="65">
        <f>VLOOKUP(A256,Demográfico!A$2:E$400,5,FALSE)*(H256)</f>
        <v>556.36766397312692</v>
      </c>
      <c r="T256" s="79">
        <f>IFERROR(D256/D256,0)</f>
        <v>1</v>
      </c>
      <c r="U256" s="65">
        <f t="shared" si="3"/>
        <v>556.36766397312692</v>
      </c>
    </row>
    <row r="257" spans="1:21" ht="19.5" x14ac:dyDescent="0.25">
      <c r="A257" s="2" t="s">
        <v>261</v>
      </c>
      <c r="B257" s="168">
        <v>6371</v>
      </c>
      <c r="C257" s="169" t="str" cm="1">
        <f t="array" ref="C257">_xlfn.IFS(B257&lt;5000, "P1",B257&lt;20000, "P2",B257&lt;70000, "P3",B257&lt;100000, "P4",B257&lt;200000,"M1",B257&lt;500000,"M2",B257&lt;1000000,"G1",B257&gt;1000000,"G2")</f>
        <v>P2</v>
      </c>
      <c r="D257" s="170">
        <f>VLOOKUP(C257,Metodologia!A$2:H$9,8,FALSE)</f>
        <v>32.634342822133917</v>
      </c>
      <c r="E257" s="171">
        <f>VLOOKUP(A257,Educacional!A$2:P$405,16,FALSE)</f>
        <v>34.611648998076397</v>
      </c>
      <c r="F257" s="171">
        <f>VLOOKUP(A257,Demográfico!A$2:L$405,12,FALSE)</f>
        <v>54.721397878647515</v>
      </c>
      <c r="G257" s="172">
        <f>VLOOKUP(A257,Socioeconômico!A$2:M$405,13,FALSE)</f>
        <v>41.272916725410568</v>
      </c>
      <c r="H257" s="173">
        <f>(2*E257+F257+2*G257)/5/100</f>
        <v>0.4129810586512429</v>
      </c>
      <c r="I257" s="170">
        <f>VLOOKUP(A257,Resultados!A$2:B655,2,FALSE)</f>
        <v>0</v>
      </c>
      <c r="J257" s="5">
        <f>IFERROR(VLOOKUP(A257,Demográfico!A$2:E$400,5,FALSE)/(VLOOKUP(C257,Metodologia!A$2:G$9,7,FALSE))*D257,0)</f>
        <v>9.4671410173180204E-2</v>
      </c>
      <c r="K257" s="72">
        <f>(J257*(1+H257)-I257)</f>
        <v>0.1337689093705062</v>
      </c>
      <c r="L257" s="3">
        <v>0</v>
      </c>
      <c r="M257" s="66">
        <f>VLOOKUP(A257,Demográfico!A$2:E$400,5,FALSE)*H257</f>
        <v>342.3612976218804</v>
      </c>
      <c r="N257" s="68">
        <f>IFERROR(FLOOR(K257,1),0)</f>
        <v>0</v>
      </c>
      <c r="O257" s="68">
        <f>K257-N257</f>
        <v>0.1337689093705062</v>
      </c>
      <c r="P257" s="65">
        <f>IFERROR(RANK(O257,O$2:O$400,0),0)</f>
        <v>256</v>
      </c>
      <c r="Q257" s="3">
        <f>N257+IF(P257&lt;P$1,1,0)</f>
        <v>0</v>
      </c>
      <c r="S257" s="65">
        <f>VLOOKUP(A257,Demográfico!A$2:E$400,5,FALSE)*(H257)</f>
        <v>342.3612976218804</v>
      </c>
      <c r="T257" s="79">
        <f>IFERROR(D257/D257,0)</f>
        <v>1</v>
      </c>
      <c r="U257" s="65">
        <f t="shared" si="3"/>
        <v>342.3612976218804</v>
      </c>
    </row>
    <row r="258" spans="1:21" ht="19.5" x14ac:dyDescent="0.25">
      <c r="A258" s="2" t="s">
        <v>262</v>
      </c>
      <c r="B258" s="168">
        <v>6343</v>
      </c>
      <c r="C258" s="169" t="str" cm="1">
        <f t="array" ref="C258">_xlfn.IFS(B258&lt;5000, "P1",B258&lt;20000, "P2",B258&lt;70000, "P3",B258&lt;100000, "P4",B258&lt;200000,"M1",B258&lt;500000,"M2",B258&lt;1000000,"G1",B258&gt;1000000,"G2")</f>
        <v>P2</v>
      </c>
      <c r="D258" s="170">
        <f>VLOOKUP(C258,Metodologia!A$2:H$9,8,FALSE)</f>
        <v>32.634342822133917</v>
      </c>
      <c r="E258" s="171">
        <f>VLOOKUP(A258,Educacional!A$2:P$405,16,FALSE)</f>
        <v>49.966510449230242</v>
      </c>
      <c r="F258" s="171">
        <f>VLOOKUP(A258,Demográfico!A$2:L$405,12,FALSE)</f>
        <v>49.87609780575675</v>
      </c>
      <c r="G258" s="172">
        <f>VLOOKUP(A258,Socioeconômico!A$2:M$405,13,FALSE)</f>
        <v>39.372612509254438</v>
      </c>
      <c r="H258" s="173">
        <f>(2*E258+F258+2*G258)/5/100</f>
        <v>0.45710868744545224</v>
      </c>
      <c r="I258" s="170">
        <f>VLOOKUP(A258,Resultados!A$2:B656,2,FALSE)</f>
        <v>0</v>
      </c>
      <c r="J258" s="5">
        <f>IFERROR(VLOOKUP(A258,Demográfico!A$2:E$400,5,FALSE)/(VLOOKUP(C258,Metodologia!A$2:G$9,7,FALSE))*D258,0)</f>
        <v>8.5307048732648522E-2</v>
      </c>
      <c r="K258" s="72">
        <f>(J258*(1+H258)-I258)</f>
        <v>0.12430164180867471</v>
      </c>
      <c r="L258" s="3">
        <v>0</v>
      </c>
      <c r="M258" s="66">
        <f>VLOOKUP(A258,Demográfico!A$2:E$400,5,FALSE)*H258</f>
        <v>341.46018952175285</v>
      </c>
      <c r="N258" s="68">
        <f>IFERROR(FLOOR(K258,1),0)</f>
        <v>0</v>
      </c>
      <c r="O258" s="68">
        <f>K258-N258</f>
        <v>0.12430164180867471</v>
      </c>
      <c r="P258" s="65">
        <f>IFERROR(RANK(O258,O$2:O$400,0),0)</f>
        <v>271</v>
      </c>
      <c r="Q258" s="3">
        <f>N258+IF(P258&lt;P$1,1,0)</f>
        <v>0</v>
      </c>
      <c r="S258" s="65">
        <f>VLOOKUP(A258,Demográfico!A$2:E$400,5,FALSE)*(H258)</f>
        <v>341.46018952175285</v>
      </c>
      <c r="T258" s="79">
        <f>IFERROR(D258/D258,0)</f>
        <v>1</v>
      </c>
      <c r="U258" s="65">
        <f t="shared" si="3"/>
        <v>341.46018952175285</v>
      </c>
    </row>
    <row r="259" spans="1:21" ht="19.5" x14ac:dyDescent="0.25">
      <c r="A259" s="2" t="s">
        <v>263</v>
      </c>
      <c r="B259" s="168">
        <v>6327</v>
      </c>
      <c r="C259" s="169" t="str" cm="1">
        <f t="array" ref="C259">_xlfn.IFS(B259&lt;5000, "P1",B259&lt;20000, "P2",B259&lt;70000, "P3",B259&lt;100000, "P4",B259&lt;200000,"M1",B259&lt;500000,"M2",B259&lt;1000000,"G1",B259&gt;1000000,"G2")</f>
        <v>P2</v>
      </c>
      <c r="D259" s="170">
        <f>VLOOKUP(C259,Metodologia!A$2:H$9,8,FALSE)</f>
        <v>32.634342822133917</v>
      </c>
      <c r="E259" s="171">
        <f>VLOOKUP(A259,Educacional!A$2:P$405,16,FALSE)</f>
        <v>49.805144223950606</v>
      </c>
      <c r="F259" s="171">
        <f>VLOOKUP(A259,Demográfico!A$2:L$405,12,FALSE)</f>
        <v>53.468971633337681</v>
      </c>
      <c r="G259" s="172">
        <f>VLOOKUP(A259,Socioeconômico!A$2:M$405,13,FALSE)</f>
        <v>43.215111768794394</v>
      </c>
      <c r="H259" s="173">
        <f>(2*E259+F259+2*G259)/5/100</f>
        <v>0.47901896723765541</v>
      </c>
      <c r="I259" s="170">
        <f>VLOOKUP(A259,Resultados!A$2:B657,2,FALSE)</f>
        <v>0</v>
      </c>
      <c r="J259" s="5">
        <f>IFERROR(VLOOKUP(A259,Demográfico!A$2:E$400,5,FALSE)/(VLOOKUP(C259,Metodologia!A$2:G$9,7,FALSE))*D259,0)</f>
        <v>7.8683476006418784E-2</v>
      </c>
      <c r="K259" s="72">
        <f>(J259*(1+H259)-I259)</f>
        <v>0.11637435342168236</v>
      </c>
      <c r="L259" s="3">
        <v>0</v>
      </c>
      <c r="M259" s="66">
        <f>VLOOKUP(A259,Demográfico!A$2:E$400,5,FALSE)*H259</f>
        <v>330.04406842674456</v>
      </c>
      <c r="N259" s="68">
        <f>IFERROR(FLOOR(K259,1),0)</f>
        <v>0</v>
      </c>
      <c r="O259" s="68">
        <f>K259-N259</f>
        <v>0.11637435342168236</v>
      </c>
      <c r="P259" s="65">
        <f>IFERROR(RANK(O259,O$2:O$400,0),0)</f>
        <v>281</v>
      </c>
      <c r="Q259" s="3">
        <f>N259+IF(P259&lt;P$1,1,0)</f>
        <v>0</v>
      </c>
      <c r="S259" s="65">
        <f>VLOOKUP(A259,Demográfico!A$2:E$400,5,FALSE)*(H259)</f>
        <v>330.04406842674456</v>
      </c>
      <c r="T259" s="79">
        <f>IFERROR(D259/D259,0)</f>
        <v>1</v>
      </c>
      <c r="U259" s="65">
        <f t="shared" ref="U259:U322" si="4">S259*T259</f>
        <v>330.04406842674456</v>
      </c>
    </row>
    <row r="260" spans="1:21" ht="19.5" x14ac:dyDescent="0.25">
      <c r="A260" s="2" t="s">
        <v>264</v>
      </c>
      <c r="B260" s="168">
        <v>6256</v>
      </c>
      <c r="C260" s="169" t="str" cm="1">
        <f t="array" ref="C260">_xlfn.IFS(B260&lt;5000, "P1",B260&lt;20000, "P2",B260&lt;70000, "P3",B260&lt;100000, "P4",B260&lt;200000,"M1",B260&lt;500000,"M2",B260&lt;1000000,"G1",B260&gt;1000000,"G2")</f>
        <v>P2</v>
      </c>
      <c r="D260" s="170">
        <f>VLOOKUP(C260,Metodologia!A$2:H$9,8,FALSE)</f>
        <v>32.634342822133917</v>
      </c>
      <c r="E260" s="171">
        <f>VLOOKUP(A260,Educacional!A$2:P$405,16,FALSE)</f>
        <v>74.281066746031073</v>
      </c>
      <c r="F260" s="171">
        <f>VLOOKUP(A260,Demográfico!A$2:L$405,12,FALSE)</f>
        <v>36.216672083134576</v>
      </c>
      <c r="G260" s="172">
        <f>VLOOKUP(A260,Socioeconômico!A$2:M$405,13,FALSE)</f>
        <v>39.674505313203149</v>
      </c>
      <c r="H260" s="173">
        <f>(2*E260+F260+2*G260)/5/100</f>
        <v>0.52825563240320605</v>
      </c>
      <c r="I260" s="170">
        <f>VLOOKUP(A260,Resultados!A$2:B658,2,FALSE)</f>
        <v>0</v>
      </c>
      <c r="J260" s="5">
        <f>IFERROR(VLOOKUP(A260,Demográfico!A$2:E$400,5,FALSE)/(VLOOKUP(C260,Metodologia!A$2:G$9,7,FALSE))*D260,0)</f>
        <v>0.10426417067323707</v>
      </c>
      <c r="K260" s="72">
        <f>(J260*(1+H260)-I260)</f>
        <v>0.1593423060892237</v>
      </c>
      <c r="L260" s="3">
        <v>1</v>
      </c>
      <c r="M260" s="66">
        <f>VLOOKUP(A260,Demográfico!A$2:E$400,5,FALSE)*H260</f>
        <v>482.29739238412714</v>
      </c>
      <c r="N260" s="68">
        <f>IFERROR(FLOOR(K260,1),0)</f>
        <v>0</v>
      </c>
      <c r="O260" s="68">
        <f>K260-N260</f>
        <v>0.1593423060892237</v>
      </c>
      <c r="P260" s="65">
        <f>IFERROR(RANK(O260,O$2:O$400,0),0)</f>
        <v>232</v>
      </c>
      <c r="Q260" s="3">
        <f>N260+IF(P260&lt;P$1,1,0)</f>
        <v>0</v>
      </c>
      <c r="S260" s="65">
        <f>VLOOKUP(A260,Demográfico!A$2:E$400,5,FALSE)*(H260)</f>
        <v>482.29739238412714</v>
      </c>
      <c r="T260" s="79">
        <f>IFERROR(D260/D260,0)</f>
        <v>1</v>
      </c>
      <c r="U260" s="65">
        <f t="shared" si="4"/>
        <v>482.29739238412714</v>
      </c>
    </row>
    <row r="261" spans="1:21" ht="19.5" x14ac:dyDescent="0.25">
      <c r="A261" s="2" t="s">
        <v>265</v>
      </c>
      <c r="B261" s="168">
        <v>6255</v>
      </c>
      <c r="C261" s="169" t="str" cm="1">
        <f t="array" ref="C261">_xlfn.IFS(B261&lt;5000, "P1",B261&lt;20000, "P2",B261&lt;70000, "P3",B261&lt;100000, "P4",B261&lt;200000,"M1",B261&lt;500000,"M2",B261&lt;1000000,"G1",B261&gt;1000000,"G2")</f>
        <v>P2</v>
      </c>
      <c r="D261" s="170">
        <f>VLOOKUP(C261,Metodologia!A$2:H$9,8,FALSE)</f>
        <v>32.634342822133917</v>
      </c>
      <c r="E261" s="171">
        <f>VLOOKUP(A261,Educacional!A$2:P$405,16,FALSE)</f>
        <v>63.112700776299846</v>
      </c>
      <c r="F261" s="171">
        <f>VLOOKUP(A261,Demográfico!A$2:L$405,12,FALSE)</f>
        <v>33.508982456567495</v>
      </c>
      <c r="G261" s="172">
        <f>VLOOKUP(A261,Socioeconômico!A$2:M$405,13,FALSE)</f>
        <v>62.737781286813785</v>
      </c>
      <c r="H261" s="173">
        <f>(2*E261+F261+2*G261)/5/100</f>
        <v>0.57041989316558939</v>
      </c>
      <c r="I261" s="170">
        <f>VLOOKUP(A261,Resultados!A$2:B659,2,FALSE)</f>
        <v>0</v>
      </c>
      <c r="J261" s="5">
        <f>IFERROR(VLOOKUP(A261,Demográfico!A$2:E$400,5,FALSE)/(VLOOKUP(C261,Metodologia!A$2:G$9,7,FALSE))*D261,0)</f>
        <v>0.10734755797682678</v>
      </c>
      <c r="K261" s="72">
        <f>(J261*(1+H261)-I261)</f>
        <v>0.16858074052955521</v>
      </c>
      <c r="L261" s="3">
        <v>1</v>
      </c>
      <c r="M261" s="66">
        <f>VLOOKUP(A261,Demográfico!A$2:E$400,5,FALSE)*H261</f>
        <v>536.194699575654</v>
      </c>
      <c r="N261" s="68">
        <f>IFERROR(FLOOR(K261,1),0)</f>
        <v>0</v>
      </c>
      <c r="O261" s="68">
        <f>K261-N261</f>
        <v>0.16858074052955521</v>
      </c>
      <c r="P261" s="65">
        <f>IFERROR(RANK(O261,O$2:O$400,0),0)</f>
        <v>224</v>
      </c>
      <c r="Q261" s="3">
        <f>N261+IF(P261&lt;P$1,1,0)</f>
        <v>0</v>
      </c>
      <c r="S261" s="65">
        <f>VLOOKUP(A261,Demográfico!A$2:E$400,5,FALSE)*(H261)</f>
        <v>536.194699575654</v>
      </c>
      <c r="T261" s="79">
        <f>IFERROR(D261/D261,0)</f>
        <v>1</v>
      </c>
      <c r="U261" s="65">
        <f t="shared" si="4"/>
        <v>536.194699575654</v>
      </c>
    </row>
    <row r="262" spans="1:21" ht="19.5" x14ac:dyDescent="0.25">
      <c r="A262" s="2" t="s">
        <v>266</v>
      </c>
      <c r="B262" s="168">
        <v>6221</v>
      </c>
      <c r="C262" s="169" t="str" cm="1">
        <f t="array" ref="C262">_xlfn.IFS(B262&lt;5000, "P1",B262&lt;20000, "P2",B262&lt;70000, "P3",B262&lt;100000, "P4",B262&lt;200000,"M1",B262&lt;500000,"M2",B262&lt;1000000,"G1",B262&gt;1000000,"G2")</f>
        <v>P2</v>
      </c>
      <c r="D262" s="170">
        <f>VLOOKUP(C262,Metodologia!A$2:H$9,8,FALSE)</f>
        <v>32.634342822133917</v>
      </c>
      <c r="E262" s="171">
        <f>VLOOKUP(A262,Educacional!A$2:P$405,16,FALSE)</f>
        <v>49.46358091124862</v>
      </c>
      <c r="F262" s="171">
        <f>VLOOKUP(A262,Demográfico!A$2:L$405,12,FALSE)</f>
        <v>32.02551034408507</v>
      </c>
      <c r="G262" s="172">
        <f>VLOOKUP(A262,Socioeconômico!A$2:M$405,13,FALSE)</f>
        <v>45.77430727375144</v>
      </c>
      <c r="H262" s="173">
        <f>(2*E262+F262+2*G262)/5/100</f>
        <v>0.44500257342817046</v>
      </c>
      <c r="I262" s="170">
        <f>VLOOKUP(A262,Resultados!A$2:B660,2,FALSE)</f>
        <v>0</v>
      </c>
      <c r="J262" s="5">
        <f>IFERROR(VLOOKUP(A262,Demográfico!A$2:E$400,5,FALSE)/(VLOOKUP(C262,Metodologia!A$2:G$9,7,FALSE))*D262,0)</f>
        <v>7.7198882119505222E-2</v>
      </c>
      <c r="K262" s="72">
        <f>(J262*(1+H262)-I262)</f>
        <v>0.11155258332846302</v>
      </c>
      <c r="L262" s="3">
        <v>0</v>
      </c>
      <c r="M262" s="66">
        <f>VLOOKUP(A262,Demográfico!A$2:E$400,5,FALSE)*H262</f>
        <v>300.82173963744322</v>
      </c>
      <c r="N262" s="68">
        <f>IFERROR(FLOOR(K262,1),0)</f>
        <v>0</v>
      </c>
      <c r="O262" s="68">
        <f>K262-N262</f>
        <v>0.11155258332846302</v>
      </c>
      <c r="P262" s="65">
        <f>IFERROR(RANK(O262,O$2:O$400,0),0)</f>
        <v>288</v>
      </c>
      <c r="Q262" s="3">
        <f>N262+IF(P262&lt;P$1,1,0)</f>
        <v>0</v>
      </c>
      <c r="S262" s="65">
        <f>VLOOKUP(A262,Demográfico!A$2:E$400,5,FALSE)*(H262)</f>
        <v>300.82173963744322</v>
      </c>
      <c r="T262" s="79">
        <f>IFERROR(D262/D262,0)</f>
        <v>1</v>
      </c>
      <c r="U262" s="65">
        <f t="shared" si="4"/>
        <v>300.82173963744322</v>
      </c>
    </row>
    <row r="263" spans="1:21" ht="19.5" x14ac:dyDescent="0.25">
      <c r="A263" s="2" t="s">
        <v>267</v>
      </c>
      <c r="B263" s="168">
        <v>6219</v>
      </c>
      <c r="C263" s="169" t="str" cm="1">
        <f t="array" ref="C263">_xlfn.IFS(B263&lt;5000, "P1",B263&lt;20000, "P2",B263&lt;70000, "P3",B263&lt;100000, "P4",B263&lt;200000,"M1",B263&lt;500000,"M2",B263&lt;1000000,"G1",B263&gt;1000000,"G2")</f>
        <v>P2</v>
      </c>
      <c r="D263" s="170">
        <f>VLOOKUP(C263,Metodologia!A$2:H$9,8,FALSE)</f>
        <v>32.634342822133917</v>
      </c>
      <c r="E263" s="171">
        <f>VLOOKUP(A263,Educacional!A$2:P$405,16,FALSE)</f>
        <v>71.935389699530674</v>
      </c>
      <c r="F263" s="171">
        <f>VLOOKUP(A263,Demográfico!A$2:L$405,12,FALSE)</f>
        <v>73.265162857458392</v>
      </c>
      <c r="G263" s="172">
        <f>VLOOKUP(A263,Socioeconômico!A$2:M$405,13,FALSE)</f>
        <v>59.712155161464139</v>
      </c>
      <c r="H263" s="173">
        <f>(2*E263+F263+2*G263)/5/100</f>
        <v>0.6731205051588961</v>
      </c>
      <c r="I263" s="170">
        <f>VLOOKUP(A263,Resultados!A$2:B661,2,FALSE)</f>
        <v>0</v>
      </c>
      <c r="J263" s="5">
        <f>IFERROR(VLOOKUP(A263,Demográfico!A$2:E$400,5,FALSE)/(VLOOKUP(C263,Metodologia!A$2:G$9,7,FALSE))*D263,0)</f>
        <v>0.1221934968459624</v>
      </c>
      <c r="K263" s="72">
        <f>(J263*(1+H263)-I263)</f>
        <v>0.20444444517004856</v>
      </c>
      <c r="L263" s="3">
        <v>1</v>
      </c>
      <c r="M263" s="66">
        <f>VLOOKUP(A263,Demográfico!A$2:E$400,5,FALSE)*H263</f>
        <v>720.23894052001879</v>
      </c>
      <c r="N263" s="68">
        <f>IFERROR(FLOOR(K263,1),0)</f>
        <v>0</v>
      </c>
      <c r="O263" s="68">
        <f>K263-N263</f>
        <v>0.20444444517004856</v>
      </c>
      <c r="P263" s="65">
        <f>IFERROR(RANK(O263,O$2:O$400,0),0)</f>
        <v>195</v>
      </c>
      <c r="Q263" s="3">
        <f>N263+IF(P263&lt;P$1,1,0)</f>
        <v>0</v>
      </c>
      <c r="S263" s="65">
        <f>VLOOKUP(A263,Demográfico!A$2:E$400,5,FALSE)*(H263)</f>
        <v>720.23894052001879</v>
      </c>
      <c r="T263" s="79">
        <f>IFERROR(D263/D263,0)</f>
        <v>1</v>
      </c>
      <c r="U263" s="65">
        <f t="shared" si="4"/>
        <v>720.23894052001879</v>
      </c>
    </row>
    <row r="264" spans="1:21" ht="19.5" x14ac:dyDescent="0.25">
      <c r="A264" s="2" t="s">
        <v>268</v>
      </c>
      <c r="B264" s="168">
        <v>6218</v>
      </c>
      <c r="C264" s="169" t="str" cm="1">
        <f t="array" ref="C264">_xlfn.IFS(B264&lt;5000, "P1",B264&lt;20000, "P2",B264&lt;70000, "P3",B264&lt;100000, "P4",B264&lt;200000,"M1",B264&lt;500000,"M2",B264&lt;1000000,"G1",B264&gt;1000000,"G2")</f>
        <v>P2</v>
      </c>
      <c r="D264" s="170">
        <f>VLOOKUP(C264,Metodologia!A$2:H$9,8,FALSE)</f>
        <v>32.634342822133917</v>
      </c>
      <c r="E264" s="171">
        <f>VLOOKUP(A264,Educacional!A$2:P$405,16,FALSE)</f>
        <v>43.501749107011413</v>
      </c>
      <c r="F264" s="171">
        <f>VLOOKUP(A264,Demográfico!A$2:L$405,12,FALSE)</f>
        <v>41.782803326099952</v>
      </c>
      <c r="G264" s="172">
        <f>VLOOKUP(A264,Socioeconômico!A$2:M$405,13,FALSE)</f>
        <v>55.768103689380943</v>
      </c>
      <c r="H264" s="173">
        <f>(2*E264+F264+2*G264)/5/100</f>
        <v>0.48064501783776942</v>
      </c>
      <c r="I264" s="170">
        <f>VLOOKUP(A264,Resultados!A$2:B662,2,FALSE)</f>
        <v>0</v>
      </c>
      <c r="J264" s="5">
        <f>IFERROR(VLOOKUP(A264,Demográfico!A$2:E$400,5,FALSE)/(VLOOKUP(C264,Metodologia!A$2:G$9,7,FALSE))*D264,0)</f>
        <v>0.1003813866613093</v>
      </c>
      <c r="K264" s="72">
        <f>(J264*(1+H264)-I264)</f>
        <v>0.14862920004371435</v>
      </c>
      <c r="L264" s="3">
        <v>0</v>
      </c>
      <c r="M264" s="66">
        <f>VLOOKUP(A264,Demográfico!A$2:E$400,5,FALSE)*H264</f>
        <v>422.48697067939929</v>
      </c>
      <c r="N264" s="68">
        <f>IFERROR(FLOOR(K264,1),0)</f>
        <v>0</v>
      </c>
      <c r="O264" s="68">
        <f>K264-N264</f>
        <v>0.14862920004371435</v>
      </c>
      <c r="P264" s="65">
        <f>IFERROR(RANK(O264,O$2:O$400,0),0)</f>
        <v>249</v>
      </c>
      <c r="Q264" s="3">
        <f>N264+IF(P264&lt;P$1,1,0)</f>
        <v>0</v>
      </c>
      <c r="S264" s="65">
        <f>VLOOKUP(A264,Demográfico!A$2:E$400,5,FALSE)*(H264)</f>
        <v>422.48697067939929</v>
      </c>
      <c r="T264" s="79">
        <f>IFERROR(D264/D264,0)</f>
        <v>1</v>
      </c>
      <c r="U264" s="65">
        <f t="shared" si="4"/>
        <v>422.48697067939929</v>
      </c>
    </row>
    <row r="265" spans="1:21" ht="19.5" x14ac:dyDescent="0.25">
      <c r="A265" s="2" t="s">
        <v>269</v>
      </c>
      <c r="B265" s="168">
        <v>6181</v>
      </c>
      <c r="C265" s="169" t="str" cm="1">
        <f t="array" ref="C265">_xlfn.IFS(B265&lt;5000, "P1",B265&lt;20000, "P2",B265&lt;70000, "P3",B265&lt;100000, "P4",B265&lt;200000,"M1",B265&lt;500000,"M2",B265&lt;1000000,"G1",B265&gt;1000000,"G2")</f>
        <v>P2</v>
      </c>
      <c r="D265" s="170">
        <f>VLOOKUP(C265,Metodologia!A$2:H$9,8,FALSE)</f>
        <v>32.634342822133917</v>
      </c>
      <c r="E265" s="171">
        <f>VLOOKUP(A265,Educacional!A$2:P$405,16,FALSE)</f>
        <v>37.219209581143453</v>
      </c>
      <c r="F265" s="171">
        <f>VLOOKUP(A265,Demográfico!A$2:L$405,12,FALSE)</f>
        <v>57.161103390172045</v>
      </c>
      <c r="G265" s="172">
        <f>VLOOKUP(A265,Socioeconômico!A$2:M$405,13,FALSE)</f>
        <v>6.0563420380573554</v>
      </c>
      <c r="H265" s="173">
        <f>(2*E265+F265+2*G265)/5/100</f>
        <v>0.28742441325714729</v>
      </c>
      <c r="I265" s="170">
        <f>VLOOKUP(A265,Resultados!A$2:B663,2,FALSE)</f>
        <v>0</v>
      </c>
      <c r="J265" s="5">
        <f>IFERROR(VLOOKUP(A265,Demográfico!A$2:E$400,5,FALSE)/(VLOOKUP(C265,Metodologia!A$2:G$9,7,FALSE))*D265,0)</f>
        <v>9.6498602649381524E-2</v>
      </c>
      <c r="K265" s="72">
        <f>(J265*(1+H265)-I265)</f>
        <v>0.12423465689601461</v>
      </c>
      <c r="L265" s="3">
        <v>0</v>
      </c>
      <c r="M265" s="66">
        <f>VLOOKUP(A265,Demográfico!A$2:E$400,5,FALSE)*H265</f>
        <v>242.87362920228946</v>
      </c>
      <c r="N265" s="68">
        <f>IFERROR(FLOOR(K265,1),0)</f>
        <v>0</v>
      </c>
      <c r="O265" s="68">
        <f>K265-N265</f>
        <v>0.12423465689601461</v>
      </c>
      <c r="P265" s="65">
        <f>IFERROR(RANK(O265,O$2:O$400,0),0)</f>
        <v>272</v>
      </c>
      <c r="Q265" s="3">
        <f>N265+IF(P265&lt;P$1,1,0)</f>
        <v>0</v>
      </c>
      <c r="S265" s="65">
        <f>VLOOKUP(A265,Demográfico!A$2:E$400,5,FALSE)*(H265)</f>
        <v>242.87362920228946</v>
      </c>
      <c r="T265" s="79">
        <f>IFERROR(D265/D265,0)</f>
        <v>1</v>
      </c>
      <c r="U265" s="65">
        <f t="shared" si="4"/>
        <v>242.87362920228946</v>
      </c>
    </row>
    <row r="266" spans="1:21" ht="19.5" x14ac:dyDescent="0.25">
      <c r="A266" s="2" t="s">
        <v>270</v>
      </c>
      <c r="B266" s="168">
        <v>6111</v>
      </c>
      <c r="C266" s="169" t="str" cm="1">
        <f t="array" ref="C266">_xlfn.IFS(B266&lt;5000, "P1",B266&lt;20000, "P2",B266&lt;70000, "P3",B266&lt;100000, "P4",B266&lt;200000,"M1",B266&lt;500000,"M2",B266&lt;1000000,"G1",B266&gt;1000000,"G2")</f>
        <v>P2</v>
      </c>
      <c r="D266" s="170">
        <f>VLOOKUP(C266,Metodologia!A$2:H$9,8,FALSE)</f>
        <v>32.634342822133917</v>
      </c>
      <c r="E266" s="171">
        <f>VLOOKUP(A266,Educacional!A$2:P$405,16,FALSE)</f>
        <v>37.689468253757937</v>
      </c>
      <c r="F266" s="171">
        <f>VLOOKUP(A266,Demográfico!A$2:L$405,12,FALSE)</f>
        <v>34.186449229651082</v>
      </c>
      <c r="G266" s="172">
        <f>VLOOKUP(A266,Socioeconômico!A$2:M$405,13,FALSE)</f>
        <v>27.052322694208147</v>
      </c>
      <c r="H266" s="173">
        <f>(2*E266+F266+2*G266)/5/100</f>
        <v>0.32734006225116652</v>
      </c>
      <c r="I266" s="170">
        <f>VLOOKUP(A266,Resultados!A$2:B664,2,FALSE)</f>
        <v>0</v>
      </c>
      <c r="J266" s="5">
        <f>IFERROR(VLOOKUP(A266,Demográfico!A$2:E$400,5,FALSE)/(VLOOKUP(C266,Metodologia!A$2:G$9,7,FALSE))*D266,0)</f>
        <v>7.9482872714756847E-2</v>
      </c>
      <c r="K266" s="72">
        <f>(J266*(1+H266)-I266)</f>
        <v>0.10550080121710689</v>
      </c>
      <c r="L266" s="3">
        <v>0</v>
      </c>
      <c r="M266" s="66">
        <f>VLOOKUP(A266,Demográfico!A$2:E$400,5,FALSE)*H266</f>
        <v>227.8286833268119</v>
      </c>
      <c r="N266" s="68">
        <f>IFERROR(FLOOR(K266,1),0)</f>
        <v>0</v>
      </c>
      <c r="O266" s="68">
        <f>K266-N266</f>
        <v>0.10550080121710689</v>
      </c>
      <c r="P266" s="65">
        <f>IFERROR(RANK(O266,O$2:O$400,0),0)</f>
        <v>297</v>
      </c>
      <c r="Q266" s="3">
        <f>N266+IF(P266&lt;P$1,1,0)</f>
        <v>0</v>
      </c>
      <c r="S266" s="65">
        <f>VLOOKUP(A266,Demográfico!A$2:E$400,5,FALSE)*(H266)</f>
        <v>227.8286833268119</v>
      </c>
      <c r="T266" s="79">
        <f>IFERROR(D266/D266,0)</f>
        <v>1</v>
      </c>
      <c r="U266" s="65">
        <f t="shared" si="4"/>
        <v>227.8286833268119</v>
      </c>
    </row>
    <row r="267" spans="1:21" ht="19.5" x14ac:dyDescent="0.25">
      <c r="A267" s="2" t="s">
        <v>271</v>
      </c>
      <c r="B267" s="168">
        <v>6108</v>
      </c>
      <c r="C267" s="169" t="str" cm="1">
        <f t="array" ref="C267">_xlfn.IFS(B267&lt;5000, "P1",B267&lt;20000, "P2",B267&lt;70000, "P3",B267&lt;100000, "P4",B267&lt;200000,"M1",B267&lt;500000,"M2",B267&lt;1000000,"G1",B267&gt;1000000,"G2")</f>
        <v>P2</v>
      </c>
      <c r="D267" s="170">
        <f>VLOOKUP(C267,Metodologia!A$2:H$9,8,FALSE)</f>
        <v>32.634342822133917</v>
      </c>
      <c r="E267" s="171">
        <f>VLOOKUP(A267,Educacional!A$2:P$405,16,FALSE)</f>
        <v>53.757204706573205</v>
      </c>
      <c r="F267" s="171">
        <f>VLOOKUP(A267,Demográfico!A$2:L$405,12,FALSE)</f>
        <v>81.454535621642293</v>
      </c>
      <c r="G267" s="172">
        <f>VLOOKUP(A267,Socioeconômico!A$2:M$405,13,FALSE)</f>
        <v>25.52773284268935</v>
      </c>
      <c r="H267" s="173">
        <f>(2*E267+F267+2*G267)/5/100</f>
        <v>0.48004882144033478</v>
      </c>
      <c r="I267" s="170">
        <f>VLOOKUP(A267,Resultados!A$2:B665,2,FALSE)</f>
        <v>0</v>
      </c>
      <c r="J267" s="5">
        <f>IFERROR(VLOOKUP(A267,Demográfico!A$2:E$400,5,FALSE)/(VLOOKUP(C267,Metodologia!A$2:G$9,7,FALSE))*D267,0)</f>
        <v>0.10928894998279068</v>
      </c>
      <c r="K267" s="72">
        <f>(J267*(1+H267)-I267)</f>
        <v>0.16175298161848106</v>
      </c>
      <c r="L267" s="3">
        <v>1</v>
      </c>
      <c r="M267" s="66">
        <f>VLOOKUP(A267,Demográfico!A$2:E$400,5,FALSE)*H267</f>
        <v>459.40672211840041</v>
      </c>
      <c r="N267" s="68">
        <f>IFERROR(FLOOR(K267,1),0)</f>
        <v>0</v>
      </c>
      <c r="O267" s="68">
        <f>K267-N267</f>
        <v>0.16175298161848106</v>
      </c>
      <c r="P267" s="65">
        <f>IFERROR(RANK(O267,O$2:O$400,0),0)</f>
        <v>229</v>
      </c>
      <c r="Q267" s="3">
        <f>N267+IF(P267&lt;P$1,1,0)</f>
        <v>0</v>
      </c>
      <c r="S267" s="65">
        <f>VLOOKUP(A267,Demográfico!A$2:E$400,5,FALSE)*(H267)</f>
        <v>459.40672211840041</v>
      </c>
      <c r="T267" s="79">
        <f>IFERROR(D267/D267,0)</f>
        <v>1</v>
      </c>
      <c r="U267" s="65">
        <f t="shared" si="4"/>
        <v>459.40672211840041</v>
      </c>
    </row>
    <row r="268" spans="1:21" ht="19.5" x14ac:dyDescent="0.25">
      <c r="A268" s="2" t="s">
        <v>272</v>
      </c>
      <c r="B268" s="168">
        <v>6040</v>
      </c>
      <c r="C268" s="169" t="str" cm="1">
        <f t="array" ref="C268">_xlfn.IFS(B268&lt;5000, "P1",B268&lt;20000, "P2",B268&lt;70000, "P3",B268&lt;100000, "P4",B268&lt;200000,"M1",B268&lt;500000,"M2",B268&lt;1000000,"G1",B268&gt;1000000,"G2")</f>
        <v>P2</v>
      </c>
      <c r="D268" s="170">
        <f>VLOOKUP(C268,Metodologia!A$2:H$9,8,FALSE)</f>
        <v>32.634342822133917</v>
      </c>
      <c r="E268" s="171">
        <f>VLOOKUP(A268,Educacional!A$2:P$405,16,FALSE)</f>
        <v>81.325711292522911</v>
      </c>
      <c r="F268" s="171">
        <f>VLOOKUP(A268,Demográfico!A$2:L$405,12,FALSE)</f>
        <v>61.962796248648388</v>
      </c>
      <c r="G268" s="172">
        <f>VLOOKUP(A268,Socioeconômico!A$2:M$405,13,FALSE)</f>
        <v>55.152012386950119</v>
      </c>
      <c r="H268" s="173">
        <f>(2*E268+F268+2*G268)/5/100</f>
        <v>0.66983648721518907</v>
      </c>
      <c r="I268" s="170">
        <f>VLOOKUP(A268,Resultados!A$2:B666,2,FALSE)</f>
        <v>0</v>
      </c>
      <c r="J268" s="5">
        <f>IFERROR(VLOOKUP(A268,Demográfico!A$2:E$400,5,FALSE)/(VLOOKUP(C268,Metodologia!A$2:G$9,7,FALSE))*D268,0)</f>
        <v>8.5535447792173674E-2</v>
      </c>
      <c r="K268" s="72">
        <f>(J268*(1+H268)-I268)</f>
        <v>0.1428302116736615</v>
      </c>
      <c r="L268" s="3">
        <v>1</v>
      </c>
      <c r="M268" s="66">
        <f>VLOOKUP(A268,Demográfico!A$2:E$400,5,FALSE)*H268</f>
        <v>501.70752892417659</v>
      </c>
      <c r="N268" s="68">
        <f>IFERROR(FLOOR(K268,1),0)</f>
        <v>0</v>
      </c>
      <c r="O268" s="68">
        <f>K268-N268</f>
        <v>0.1428302116736615</v>
      </c>
      <c r="P268" s="65">
        <f>IFERROR(RANK(O268,O$2:O$400,0),0)</f>
        <v>253</v>
      </c>
      <c r="Q268" s="3">
        <f>N268+IF(P268&lt;P$1,1,0)</f>
        <v>0</v>
      </c>
      <c r="S268" s="65">
        <f>VLOOKUP(A268,Demográfico!A$2:E$400,5,FALSE)*(H268)</f>
        <v>501.70752892417659</v>
      </c>
      <c r="T268" s="79">
        <f>IFERROR(D268/D268,0)</f>
        <v>1</v>
      </c>
      <c r="U268" s="65">
        <f t="shared" si="4"/>
        <v>501.70752892417659</v>
      </c>
    </row>
    <row r="269" spans="1:21" ht="19.5" x14ac:dyDescent="0.25">
      <c r="A269" s="2" t="s">
        <v>273</v>
      </c>
      <c r="B269" s="168">
        <v>5999</v>
      </c>
      <c r="C269" s="169" t="str" cm="1">
        <f t="array" ref="C269">_xlfn.IFS(B269&lt;5000, "P1",B269&lt;20000, "P2",B269&lt;70000, "P3",B269&lt;100000, "P4",B269&lt;200000,"M1",B269&lt;500000,"M2",B269&lt;1000000,"G1",B269&gt;1000000,"G2")</f>
        <v>P2</v>
      </c>
      <c r="D269" s="170">
        <f>VLOOKUP(C269,Metodologia!A$2:H$9,8,FALSE)</f>
        <v>32.634342822133917</v>
      </c>
      <c r="E269" s="171">
        <f>VLOOKUP(A269,Educacional!A$2:P$405,16,FALSE)</f>
        <v>60.57920408962373</v>
      </c>
      <c r="F269" s="171">
        <f>VLOOKUP(A269,Demográfico!A$2:L$405,12,FALSE)</f>
        <v>42.204527809363448</v>
      </c>
      <c r="G269" s="172">
        <f>VLOOKUP(A269,Socioeconômico!A$2:M$405,13,FALSE)</f>
        <v>39.674516004979857</v>
      </c>
      <c r="H269" s="173">
        <f>(2*E269+F269+2*G269)/5/100</f>
        <v>0.48542393599714123</v>
      </c>
      <c r="I269" s="170">
        <f>VLOOKUP(A269,Resultados!A$2:B667,2,FALSE)</f>
        <v>0</v>
      </c>
      <c r="J269" s="5">
        <f>IFERROR(VLOOKUP(A269,Demográfico!A$2:E$400,5,FALSE)/(VLOOKUP(C269,Metodologia!A$2:G$9,7,FALSE))*D269,0)</f>
        <v>8.9304032274338876E-2</v>
      </c>
      <c r="K269" s="72">
        <f>(J269*(1+H269)-I269)</f>
        <v>0.1326543471213642</v>
      </c>
      <c r="L269" s="3">
        <v>1</v>
      </c>
      <c r="M269" s="66">
        <f>VLOOKUP(A269,Demográfico!A$2:E$400,5,FALSE)*H269</f>
        <v>379.60151794976446</v>
      </c>
      <c r="N269" s="68">
        <f>IFERROR(FLOOR(K269,1),0)</f>
        <v>0</v>
      </c>
      <c r="O269" s="68">
        <f>K269-N269</f>
        <v>0.1326543471213642</v>
      </c>
      <c r="P269" s="65">
        <f>IFERROR(RANK(O269,O$2:O$400,0),0)</f>
        <v>258</v>
      </c>
      <c r="Q269" s="3">
        <f>N269+IF(P269&lt;P$1,1,0)</f>
        <v>0</v>
      </c>
      <c r="S269" s="65">
        <f>VLOOKUP(A269,Demográfico!A$2:E$400,5,FALSE)*(H269)</f>
        <v>379.60151794976446</v>
      </c>
      <c r="T269" s="79">
        <f>IFERROR(D269/D269,0)</f>
        <v>1</v>
      </c>
      <c r="U269" s="65">
        <f t="shared" si="4"/>
        <v>379.60151794976446</v>
      </c>
    </row>
    <row r="270" spans="1:21" ht="19.5" x14ac:dyDescent="0.25">
      <c r="A270" s="2" t="s">
        <v>274</v>
      </c>
      <c r="B270" s="168">
        <v>5931</v>
      </c>
      <c r="C270" s="169" t="str" cm="1">
        <f t="array" ref="C270">_xlfn.IFS(B270&lt;5000, "P1",B270&lt;20000, "P2",B270&lt;70000, "P3",B270&lt;100000, "P4",B270&lt;200000,"M1",B270&lt;500000,"M2",B270&lt;1000000,"G1",B270&gt;1000000,"G2")</f>
        <v>P2</v>
      </c>
      <c r="D270" s="170">
        <f>VLOOKUP(C270,Metodologia!A$2:H$9,8,FALSE)</f>
        <v>32.634342822133917</v>
      </c>
      <c r="E270" s="171">
        <f>VLOOKUP(A270,Educacional!A$2:P$405,16,FALSE)</f>
        <v>50.684323836072565</v>
      </c>
      <c r="F270" s="171">
        <f>VLOOKUP(A270,Demográfico!A$2:L$405,12,FALSE)</f>
        <v>29.096668800960384</v>
      </c>
      <c r="G270" s="172">
        <f>VLOOKUP(A270,Socioeconômico!A$2:M$405,13,FALSE)</f>
        <v>22.184977435886104</v>
      </c>
      <c r="H270" s="173">
        <f>(2*E270+F270+2*G270)/5/100</f>
        <v>0.34967054268975539</v>
      </c>
      <c r="I270" s="170">
        <f>VLOOKUP(A270,Resultados!A$2:B668,2,FALSE)</f>
        <v>0</v>
      </c>
      <c r="J270" s="5">
        <f>IFERROR(VLOOKUP(A270,Demográfico!A$2:E$400,5,FALSE)/(VLOOKUP(C270,Metodologia!A$2:G$9,7,FALSE))*D270,0)</f>
        <v>9.3301015816029231E-2</v>
      </c>
      <c r="K270" s="72">
        <f>(J270*(1+H270)-I270)</f>
        <v>0.12592563264992562</v>
      </c>
      <c r="L270" s="3">
        <v>0</v>
      </c>
      <c r="M270" s="66">
        <f>VLOOKUP(A270,Demográfico!A$2:E$400,5,FALSE)*H270</f>
        <v>285.68083337753018</v>
      </c>
      <c r="N270" s="68">
        <f>IFERROR(FLOOR(K270,1),0)</f>
        <v>0</v>
      </c>
      <c r="O270" s="68">
        <f>K270-N270</f>
        <v>0.12592563264992562</v>
      </c>
      <c r="P270" s="65">
        <f>IFERROR(RANK(O270,O$2:O$400,0),0)</f>
        <v>268</v>
      </c>
      <c r="Q270" s="3">
        <f>N270+IF(P270&lt;P$1,1,0)</f>
        <v>0</v>
      </c>
      <c r="S270" s="65">
        <f>VLOOKUP(A270,Demográfico!A$2:E$400,5,FALSE)*(H270)</f>
        <v>285.68083337753018</v>
      </c>
      <c r="T270" s="79">
        <f>IFERROR(D270/D270,0)</f>
        <v>1</v>
      </c>
      <c r="U270" s="65">
        <f t="shared" si="4"/>
        <v>285.68083337753018</v>
      </c>
    </row>
    <row r="271" spans="1:21" ht="19.5" x14ac:dyDescent="0.25">
      <c r="A271" s="2" t="s">
        <v>275</v>
      </c>
      <c r="B271" s="168">
        <v>5908</v>
      </c>
      <c r="C271" s="169" t="str" cm="1">
        <f t="array" ref="C271">_xlfn.IFS(B271&lt;5000, "P1",B271&lt;20000, "P2",B271&lt;70000, "P3",B271&lt;100000, "P4",B271&lt;200000,"M1",B271&lt;500000,"M2",B271&lt;1000000,"G1",B271&gt;1000000,"G2")</f>
        <v>P2</v>
      </c>
      <c r="D271" s="170">
        <f>VLOOKUP(C271,Metodologia!A$2:H$9,8,FALSE)</f>
        <v>32.634342822133917</v>
      </c>
      <c r="E271" s="171">
        <f>VLOOKUP(A271,Educacional!A$2:P$405,16,FALSE)</f>
        <v>55.244760107418891</v>
      </c>
      <c r="F271" s="171">
        <f>VLOOKUP(A271,Demográfico!A$2:L$405,12,FALSE)</f>
        <v>21.609146739074895</v>
      </c>
      <c r="G271" s="172">
        <f>VLOOKUP(A271,Socioeconômico!A$2:M$405,13,FALSE)</f>
        <v>54.479995775849446</v>
      </c>
      <c r="H271" s="173">
        <f>(2*E271+F271+2*G271)/5/100</f>
        <v>0.48211731701122312</v>
      </c>
      <c r="I271" s="170">
        <f>VLOOKUP(A271,Resultados!A$2:B669,2,FALSE)</f>
        <v>0</v>
      </c>
      <c r="J271" s="5">
        <f>IFERROR(VLOOKUP(A271,Demográfico!A$2:E$400,5,FALSE)/(VLOOKUP(C271,Metodologia!A$2:G$9,7,FALSE))*D271,0)</f>
        <v>7.9825471304044604E-2</v>
      </c>
      <c r="K271" s="72">
        <f>(J271*(1+H271)-I271)</f>
        <v>0.11831071335830698</v>
      </c>
      <c r="L271" s="3">
        <v>0</v>
      </c>
      <c r="M271" s="66">
        <f>VLOOKUP(A271,Demográfico!A$2:E$400,5,FALSE)*H271</f>
        <v>337.00000459084498</v>
      </c>
      <c r="N271" s="68">
        <f>IFERROR(FLOOR(K271,1),0)</f>
        <v>0</v>
      </c>
      <c r="O271" s="68">
        <f>K271-N271</f>
        <v>0.11831071335830698</v>
      </c>
      <c r="P271" s="65">
        <f>IFERROR(RANK(O271,O$2:O$400,0),0)</f>
        <v>278</v>
      </c>
      <c r="Q271" s="3">
        <f>N271+IF(P271&lt;P$1,1,0)</f>
        <v>0</v>
      </c>
      <c r="S271" s="65">
        <f>VLOOKUP(A271,Demográfico!A$2:E$400,5,FALSE)*(H271)</f>
        <v>337.00000459084498</v>
      </c>
      <c r="T271" s="79">
        <f>IFERROR(D271/D271,0)</f>
        <v>1</v>
      </c>
      <c r="U271" s="65">
        <f t="shared" si="4"/>
        <v>337.00000459084498</v>
      </c>
    </row>
    <row r="272" spans="1:21" ht="19.5" x14ac:dyDescent="0.25">
      <c r="A272" s="2" t="s">
        <v>276</v>
      </c>
      <c r="B272" s="168">
        <v>5870</v>
      </c>
      <c r="C272" s="169" t="str" cm="1">
        <f t="array" ref="C272">_xlfn.IFS(B272&lt;5000, "P1",B272&lt;20000, "P2",B272&lt;70000, "P3",B272&lt;100000, "P4",B272&lt;200000,"M1",B272&lt;500000,"M2",B272&lt;1000000,"G1",B272&gt;1000000,"G2")</f>
        <v>P2</v>
      </c>
      <c r="D272" s="170">
        <f>VLOOKUP(C272,Metodologia!A$2:H$9,8,FALSE)</f>
        <v>32.634342822133917</v>
      </c>
      <c r="E272" s="171">
        <f>VLOOKUP(A272,Educacional!A$2:P$405,16,FALSE)</f>
        <v>57.90837303770148</v>
      </c>
      <c r="F272" s="171">
        <f>VLOOKUP(A272,Demográfico!A$2:L$405,12,FALSE)</f>
        <v>24.091047532621594</v>
      </c>
      <c r="G272" s="172">
        <f>VLOOKUP(A272,Socioeconômico!A$2:M$405,13,FALSE)</f>
        <v>42.887732986353491</v>
      </c>
      <c r="H272" s="173">
        <f>(2*E272+F272+2*G272)/5/100</f>
        <v>0.45136651916146309</v>
      </c>
      <c r="I272" s="170">
        <f>VLOOKUP(A272,Resultados!A$2:B670,2,FALSE)</f>
        <v>0</v>
      </c>
      <c r="J272" s="5">
        <f>IFERROR(VLOOKUP(A272,Demográfico!A$2:E$400,5,FALSE)/(VLOOKUP(C272,Metodologia!A$2:G$9,7,FALSE))*D272,0)</f>
        <v>7.6171086351641978E-2</v>
      </c>
      <c r="K272" s="72">
        <f>(J272*(1+H272)-I272)</f>
        <v>0.11055216445892985</v>
      </c>
      <c r="L272" s="3">
        <v>0</v>
      </c>
      <c r="M272" s="66">
        <f>VLOOKUP(A272,Demográfico!A$2:E$400,5,FALSE)*H272</f>
        <v>301.06146828069586</v>
      </c>
      <c r="N272" s="68">
        <f>IFERROR(FLOOR(K272,1),0)</f>
        <v>0</v>
      </c>
      <c r="O272" s="68">
        <f>K272-N272</f>
        <v>0.11055216445892985</v>
      </c>
      <c r="P272" s="65">
        <f>IFERROR(RANK(O272,O$2:O$400,0),0)</f>
        <v>290</v>
      </c>
      <c r="Q272" s="3">
        <f>N272+IF(P272&lt;P$1,1,0)</f>
        <v>0</v>
      </c>
      <c r="S272" s="65">
        <f>VLOOKUP(A272,Demográfico!A$2:E$400,5,FALSE)*(H272)</f>
        <v>301.06146828069586</v>
      </c>
      <c r="T272" s="79">
        <f>IFERROR(D272/D272,0)</f>
        <v>1</v>
      </c>
      <c r="U272" s="65">
        <f t="shared" si="4"/>
        <v>301.06146828069586</v>
      </c>
    </row>
    <row r="273" spans="1:21" ht="19.5" x14ac:dyDescent="0.25">
      <c r="A273" s="2" t="s">
        <v>277</v>
      </c>
      <c r="B273" s="168">
        <v>5865</v>
      </c>
      <c r="C273" s="169" t="str" cm="1">
        <f t="array" ref="C273">_xlfn.IFS(B273&lt;5000, "P1",B273&lt;20000, "P2",B273&lt;70000, "P3",B273&lt;100000, "P4",B273&lt;200000,"M1",B273&lt;500000,"M2",B273&lt;1000000,"G1",B273&gt;1000000,"G2")</f>
        <v>P2</v>
      </c>
      <c r="D273" s="170">
        <f>VLOOKUP(C273,Metodologia!A$2:H$9,8,FALSE)</f>
        <v>32.634342822133917</v>
      </c>
      <c r="E273" s="171">
        <f>VLOOKUP(A273,Educacional!A$2:P$405,16,FALSE)</f>
        <v>55.284353518801112</v>
      </c>
      <c r="F273" s="171">
        <f>VLOOKUP(A273,Demográfico!A$2:L$405,12,FALSE)</f>
        <v>24.506945137817766</v>
      </c>
      <c r="G273" s="172">
        <f>VLOOKUP(A273,Socioeconômico!A$2:M$405,13,FALSE)</f>
        <v>47.137475147179103</v>
      </c>
      <c r="H273" s="173">
        <f>(2*E273+F273+2*G273)/5/100</f>
        <v>0.45870120493955641</v>
      </c>
      <c r="I273" s="170">
        <f>VLOOKUP(A273,Resultados!A$2:B671,2,FALSE)</f>
        <v>1</v>
      </c>
      <c r="J273" s="5">
        <f>IFERROR(VLOOKUP(A273,Demográfico!A$2:E$400,5,FALSE)/(VLOOKUP(C273,Metodologia!A$2:G$9,7,FALSE))*D273,0)</f>
        <v>7.8911875065943937E-2</v>
      </c>
      <c r="K273" s="72">
        <f>(J273*(1+H273)-I273)</f>
        <v>-0.88489115275726782</v>
      </c>
      <c r="L273" s="3">
        <v>0</v>
      </c>
      <c r="M273" s="66">
        <f>VLOOKUP(A273,Demográfico!A$2:E$400,5,FALSE)*H273</f>
        <v>316.96253261323346</v>
      </c>
      <c r="N273" s="68">
        <f>IFERROR(FLOOR(K273,1),0)</f>
        <v>-1</v>
      </c>
      <c r="O273" s="68">
        <f>K273-N273</f>
        <v>0.11510884724273218</v>
      </c>
      <c r="P273" s="65">
        <f>IFERROR(RANK(O273,O$2:O$400,0),0)</f>
        <v>284</v>
      </c>
      <c r="Q273" s="3">
        <f>N273+IF(P273&lt;P$1,1,0)</f>
        <v>-1</v>
      </c>
      <c r="S273" s="65">
        <f>VLOOKUP(A273,Demográfico!A$2:E$400,5,FALSE)*(H273)</f>
        <v>316.96253261323346</v>
      </c>
      <c r="T273" s="79">
        <f>IFERROR(D273/D273,0)</f>
        <v>1</v>
      </c>
      <c r="U273" s="65">
        <f t="shared" si="4"/>
        <v>316.96253261323346</v>
      </c>
    </row>
    <row r="274" spans="1:21" ht="19.5" x14ac:dyDescent="0.25">
      <c r="A274" s="2" t="s">
        <v>278</v>
      </c>
      <c r="B274" s="168">
        <v>5833</v>
      </c>
      <c r="C274" s="169" t="str" cm="1">
        <f t="array" ref="C274">_xlfn.IFS(B274&lt;5000, "P1",B274&lt;20000, "P2",B274&lt;70000, "P3",B274&lt;100000, "P4",B274&lt;200000,"M1",B274&lt;500000,"M2",B274&lt;1000000,"G1",B274&gt;1000000,"G2")</f>
        <v>P2</v>
      </c>
      <c r="D274" s="170">
        <f>VLOOKUP(C274,Metodologia!A$2:H$9,8,FALSE)</f>
        <v>32.634342822133917</v>
      </c>
      <c r="E274" s="171">
        <f>VLOOKUP(A274,Educacional!A$2:P$405,16,FALSE)</f>
        <v>32.49760914165936</v>
      </c>
      <c r="F274" s="171">
        <f>VLOOKUP(A274,Demográfico!A$2:L$405,12,FALSE)</f>
        <v>43.006727799516639</v>
      </c>
      <c r="G274" s="172">
        <f>VLOOKUP(A274,Socioeconômico!A$2:M$405,13,FALSE)</f>
        <v>41.466777715229014</v>
      </c>
      <c r="H274" s="173">
        <f>(2*E274+F274+2*G274)/5/100</f>
        <v>0.38187100302658677</v>
      </c>
      <c r="I274" s="170">
        <f>VLOOKUP(A274,Resultados!A$2:B672,2,FALSE)</f>
        <v>0</v>
      </c>
      <c r="J274" s="5">
        <f>IFERROR(VLOOKUP(A274,Demográfico!A$2:E$400,5,FALSE)/(VLOOKUP(C274,Metodologia!A$2:G$9,7,FALSE))*D274,0)</f>
        <v>8.3365656726684639E-2</v>
      </c>
      <c r="K274" s="72">
        <f>(J274*(1+H274)-I274)</f>
        <v>0.11520058367887383</v>
      </c>
      <c r="L274" s="3">
        <v>0</v>
      </c>
      <c r="M274" s="66">
        <f>VLOOKUP(A274,Demográfico!A$2:E$400,5,FALSE)*H274</f>
        <v>278.76583220940836</v>
      </c>
      <c r="N274" s="68">
        <f>IFERROR(FLOOR(K274,1),0)</f>
        <v>0</v>
      </c>
      <c r="O274" s="68">
        <f>K274-N274</f>
        <v>0.11520058367887383</v>
      </c>
      <c r="P274" s="65">
        <f>IFERROR(RANK(O274,O$2:O$400,0),0)</f>
        <v>283</v>
      </c>
      <c r="Q274" s="3">
        <f>N274+IF(P274&lt;P$1,1,0)</f>
        <v>0</v>
      </c>
      <c r="S274" s="65">
        <f>VLOOKUP(A274,Demográfico!A$2:E$400,5,FALSE)*(H274)</f>
        <v>278.76583220940836</v>
      </c>
      <c r="T274" s="79">
        <f>IFERROR(D274/D274,0)</f>
        <v>1</v>
      </c>
      <c r="U274" s="65">
        <f t="shared" si="4"/>
        <v>278.76583220940836</v>
      </c>
    </row>
    <row r="275" spans="1:21" ht="19.5" x14ac:dyDescent="0.25">
      <c r="A275" s="2" t="s">
        <v>279</v>
      </c>
      <c r="B275" s="168">
        <v>5798</v>
      </c>
      <c r="C275" s="169" t="str" cm="1">
        <f t="array" ref="C275">_xlfn.IFS(B275&lt;5000, "P1",B275&lt;20000, "P2",B275&lt;70000, "P3",B275&lt;100000, "P4",B275&lt;200000,"M1",B275&lt;500000,"M2",B275&lt;1000000,"G1",B275&gt;1000000,"G2")</f>
        <v>P2</v>
      </c>
      <c r="D275" s="170">
        <f>VLOOKUP(C275,Metodologia!A$2:H$9,8,FALSE)</f>
        <v>32.634342822133917</v>
      </c>
      <c r="E275" s="171">
        <f>VLOOKUP(A275,Educacional!A$2:P$405,16,FALSE)</f>
        <v>54.274886280915879</v>
      </c>
      <c r="F275" s="171">
        <f>VLOOKUP(A275,Demográfico!A$2:L$405,12,FALSE)</f>
        <v>30.947094936757708</v>
      </c>
      <c r="G275" s="172">
        <f>VLOOKUP(A275,Socioeconômico!A$2:M$405,13,FALSE)</f>
        <v>51.197872247847307</v>
      </c>
      <c r="H275" s="173">
        <f>(2*E275+F275+2*G275)/5/100</f>
        <v>0.48378522398856816</v>
      </c>
      <c r="I275" s="170">
        <f>VLOOKUP(A275,Resultados!A$2:B673,2,FALSE)</f>
        <v>0</v>
      </c>
      <c r="J275" s="5">
        <f>IFERROR(VLOOKUP(A275,Demográfico!A$2:E$400,5,FALSE)/(VLOOKUP(C275,Metodologia!A$2:G$9,7,FALSE))*D275,0)</f>
        <v>8.2680459548109139E-2</v>
      </c>
      <c r="K275" s="72">
        <f>(J275*(1+H275)-I275)</f>
        <v>0.12268004419006888</v>
      </c>
      <c r="L275" s="3">
        <v>0</v>
      </c>
      <c r="M275" s="66">
        <f>VLOOKUP(A275,Demográfico!A$2:E$400,5,FALSE)*H275</f>
        <v>350.26050216772336</v>
      </c>
      <c r="N275" s="68">
        <f>IFERROR(FLOOR(K275,1),0)</f>
        <v>0</v>
      </c>
      <c r="O275" s="68">
        <f>K275-N275</f>
        <v>0.12268004419006888</v>
      </c>
      <c r="P275" s="65">
        <f>IFERROR(RANK(O275,O$2:O$400,0),0)</f>
        <v>275</v>
      </c>
      <c r="Q275" s="3">
        <f>N275+IF(P275&lt;P$1,1,0)</f>
        <v>0</v>
      </c>
      <c r="S275" s="65">
        <f>VLOOKUP(A275,Demográfico!A$2:E$400,5,FALSE)*(H275)</f>
        <v>350.26050216772336</v>
      </c>
      <c r="T275" s="79">
        <f>IFERROR(D275/D275,0)</f>
        <v>1</v>
      </c>
      <c r="U275" s="65">
        <f t="shared" si="4"/>
        <v>350.26050216772336</v>
      </c>
    </row>
    <row r="276" spans="1:21" ht="19.5" x14ac:dyDescent="0.25">
      <c r="A276" s="2" t="s">
        <v>280</v>
      </c>
      <c r="B276" s="168">
        <v>5784</v>
      </c>
      <c r="C276" s="169" t="str" cm="1">
        <f t="array" ref="C276">_xlfn.IFS(B276&lt;5000, "P1",B276&lt;20000, "P2",B276&lt;70000, "P3",B276&lt;100000, "P4",B276&lt;200000,"M1",B276&lt;500000,"M2",B276&lt;1000000,"G1",B276&gt;1000000,"G2")</f>
        <v>P2</v>
      </c>
      <c r="D276" s="170">
        <f>VLOOKUP(C276,Metodologia!A$2:H$9,8,FALSE)</f>
        <v>32.634342822133917</v>
      </c>
      <c r="E276" s="171">
        <f>VLOOKUP(A276,Educacional!A$2:P$405,16,FALSE)</f>
        <v>40.29820433168873</v>
      </c>
      <c r="F276" s="171">
        <f>VLOOKUP(A276,Demográfico!A$2:L$405,12,FALSE)</f>
        <v>55.752368942994259</v>
      </c>
      <c r="G276" s="172">
        <f>VLOOKUP(A276,Socioeconômico!A$2:M$405,13,FALSE)</f>
        <v>53.346959654948101</v>
      </c>
      <c r="H276" s="173">
        <f>(2*E276+F276+2*G276)/5/100</f>
        <v>0.48608539383253585</v>
      </c>
      <c r="I276" s="170">
        <f>VLOOKUP(A276,Resultados!A$2:B674,2,FALSE)</f>
        <v>0</v>
      </c>
      <c r="J276" s="5">
        <f>IFERROR(VLOOKUP(A276,Demográfico!A$2:E$400,5,FALSE)/(VLOOKUP(C276,Metodologia!A$2:G$9,7,FALSE))*D276,0)</f>
        <v>8.1995262369533639E-2</v>
      </c>
      <c r="K276" s="72">
        <f>(J276*(1+H276)-I276)</f>
        <v>0.12185196177083051</v>
      </c>
      <c r="L276" s="3">
        <v>0</v>
      </c>
      <c r="M276" s="66">
        <f>VLOOKUP(A276,Demográfico!A$2:E$400,5,FALSE)*H276</f>
        <v>349.00931277176073</v>
      </c>
      <c r="N276" s="68">
        <f>IFERROR(FLOOR(K276,1),0)</f>
        <v>0</v>
      </c>
      <c r="O276" s="68">
        <f>K276-N276</f>
        <v>0.12185196177083051</v>
      </c>
      <c r="P276" s="65">
        <f>IFERROR(RANK(O276,O$2:O$400,0),0)</f>
        <v>276</v>
      </c>
      <c r="Q276" s="3">
        <f>N276+IF(P276&lt;P$1,1,0)</f>
        <v>0</v>
      </c>
      <c r="S276" s="65">
        <f>VLOOKUP(A276,Demográfico!A$2:E$400,5,FALSE)*(H276)</f>
        <v>349.00931277176073</v>
      </c>
      <c r="T276" s="79">
        <f>IFERROR(D276/D276,0)</f>
        <v>1</v>
      </c>
      <c r="U276" s="65">
        <f t="shared" si="4"/>
        <v>349.00931277176073</v>
      </c>
    </row>
    <row r="277" spans="1:21" ht="19.5" x14ac:dyDescent="0.25">
      <c r="A277" s="2" t="s">
        <v>281</v>
      </c>
      <c r="B277" s="168">
        <v>5745</v>
      </c>
      <c r="C277" s="169" t="str" cm="1">
        <f t="array" ref="C277">_xlfn.IFS(B277&lt;5000, "P1",B277&lt;20000, "P2",B277&lt;70000, "P3",B277&lt;100000, "P4",B277&lt;200000,"M1",B277&lt;500000,"M2",B277&lt;1000000,"G1",B277&gt;1000000,"G2")</f>
        <v>P2</v>
      </c>
      <c r="D277" s="170">
        <f>VLOOKUP(C277,Metodologia!A$2:H$9,8,FALSE)</f>
        <v>32.634342822133917</v>
      </c>
      <c r="E277" s="171">
        <f>VLOOKUP(A277,Educacional!A$2:P$405,16,FALSE)</f>
        <v>66.520109500949943</v>
      </c>
      <c r="F277" s="171">
        <f>VLOOKUP(A277,Demográfico!A$2:L$405,12,FALSE)</f>
        <v>27.243751262712134</v>
      </c>
      <c r="G277" s="172">
        <f>VLOOKUP(A277,Socioeconômico!A$2:M$405,13,FALSE)</f>
        <v>43.97851221557363</v>
      </c>
      <c r="H277" s="173">
        <f>(2*E277+F277+2*G277)/5/100</f>
        <v>0.49648198939151855</v>
      </c>
      <c r="I277" s="170">
        <f>VLOOKUP(A277,Resultados!A$2:B675,2,FALSE)</f>
        <v>0</v>
      </c>
      <c r="J277" s="5">
        <f>IFERROR(VLOOKUP(A277,Demográfico!A$2:E$400,5,FALSE)/(VLOOKUP(C277,Metodologia!A$2:G$9,7,FALSE))*D277,0)</f>
        <v>7.8797675536181361E-2</v>
      </c>
      <c r="K277" s="72">
        <f>(J277*(1+H277)-I277)</f>
        <v>0.11791930224581208</v>
      </c>
      <c r="L277" s="3">
        <v>1</v>
      </c>
      <c r="M277" s="66">
        <f>VLOOKUP(A277,Demográfico!A$2:E$400,5,FALSE)*H277</f>
        <v>342.5725726801478</v>
      </c>
      <c r="N277" s="68">
        <f>IFERROR(FLOOR(K277,1),0)</f>
        <v>0</v>
      </c>
      <c r="O277" s="68">
        <f>K277-N277</f>
        <v>0.11791930224581208</v>
      </c>
      <c r="P277" s="65">
        <f>IFERROR(RANK(O277,O$2:O$400,0),0)</f>
        <v>280</v>
      </c>
      <c r="Q277" s="3">
        <f>N277+IF(P277&lt;P$1,1,0)</f>
        <v>0</v>
      </c>
      <c r="S277" s="65">
        <f>VLOOKUP(A277,Demográfico!A$2:E$400,5,FALSE)*(H277)</f>
        <v>342.5725726801478</v>
      </c>
      <c r="T277" s="79">
        <f>IFERROR(D277/D277,0)</f>
        <v>1</v>
      </c>
      <c r="U277" s="65">
        <f t="shared" si="4"/>
        <v>342.5725726801478</v>
      </c>
    </row>
    <row r="278" spans="1:21" ht="19.5" x14ac:dyDescent="0.25">
      <c r="A278" s="2" t="s">
        <v>282</v>
      </c>
      <c r="B278" s="168">
        <v>5737</v>
      </c>
      <c r="C278" s="169" t="str" cm="1">
        <f t="array" ref="C278">_xlfn.IFS(B278&lt;5000, "P1",B278&lt;20000, "P2",B278&lt;70000, "P3",B278&lt;100000, "P4",B278&lt;200000,"M1",B278&lt;500000,"M2",B278&lt;1000000,"G1",B278&gt;1000000,"G2")</f>
        <v>P2</v>
      </c>
      <c r="D278" s="170">
        <f>VLOOKUP(C278,Metodologia!A$2:H$9,8,FALSE)</f>
        <v>32.634342822133917</v>
      </c>
      <c r="E278" s="171">
        <f>VLOOKUP(A278,Educacional!A$2:P$405,16,FALSE)</f>
        <v>45.753553197500764</v>
      </c>
      <c r="F278" s="171">
        <f>VLOOKUP(A278,Demográfico!A$2:L$405,12,FALSE)</f>
        <v>47.432284305686082</v>
      </c>
      <c r="G278" s="172">
        <f>VLOOKUP(A278,Socioeconômico!A$2:M$405,13,FALSE)</f>
        <v>32.833871700321495</v>
      </c>
      <c r="H278" s="173">
        <f>(2*E278+F278+2*G278)/5/100</f>
        <v>0.40921426820266121</v>
      </c>
      <c r="I278" s="170">
        <f>VLOOKUP(A278,Resultados!A$2:B676,2,FALSE)</f>
        <v>0</v>
      </c>
      <c r="J278" s="5">
        <f>IFERROR(VLOOKUP(A278,Demográfico!A$2:E$400,5,FALSE)/(VLOOKUP(C278,Metodologia!A$2:G$9,7,FALSE))*D278,0)</f>
        <v>8.0053870363569757E-2</v>
      </c>
      <c r="K278" s="72">
        <f>(J278*(1+H278)-I278)</f>
        <v>0.11281305634118866</v>
      </c>
      <c r="L278" s="3">
        <v>0</v>
      </c>
      <c r="M278" s="66">
        <f>VLOOKUP(A278,Demográfico!A$2:E$400,5,FALSE)*H278</f>
        <v>286.85920201006553</v>
      </c>
      <c r="N278" s="68">
        <f>IFERROR(FLOOR(K278,1),0)</f>
        <v>0</v>
      </c>
      <c r="O278" s="68">
        <f>K278-N278</f>
        <v>0.11281305634118866</v>
      </c>
      <c r="P278" s="65">
        <f>IFERROR(RANK(O278,O$2:O$400,0),0)</f>
        <v>286</v>
      </c>
      <c r="Q278" s="3">
        <f>N278+IF(P278&lt;P$1,1,0)</f>
        <v>0</v>
      </c>
      <c r="S278" s="65">
        <f>VLOOKUP(A278,Demográfico!A$2:E$400,5,FALSE)*(H278)</f>
        <v>286.85920201006553</v>
      </c>
      <c r="T278" s="79">
        <f>IFERROR(D278/D278,0)</f>
        <v>1</v>
      </c>
      <c r="U278" s="65">
        <f t="shared" si="4"/>
        <v>286.85920201006553</v>
      </c>
    </row>
    <row r="279" spans="1:21" ht="19.5" x14ac:dyDescent="0.25">
      <c r="A279" s="2" t="s">
        <v>283</v>
      </c>
      <c r="B279" s="168">
        <v>5733</v>
      </c>
      <c r="C279" s="169" t="str" cm="1">
        <f t="array" ref="C279">_xlfn.IFS(B279&lt;5000, "P1",B279&lt;20000, "P2",B279&lt;70000, "P3",B279&lt;100000, "P4",B279&lt;200000,"M1",B279&lt;500000,"M2",B279&lt;1000000,"G1",B279&gt;1000000,"G2")</f>
        <v>P2</v>
      </c>
      <c r="D279" s="170">
        <f>VLOOKUP(C279,Metodologia!A$2:H$9,8,FALSE)</f>
        <v>32.634342822133917</v>
      </c>
      <c r="E279" s="171">
        <f>VLOOKUP(A279,Educacional!A$2:P$405,16,FALSE)</f>
        <v>27.839106387660696</v>
      </c>
      <c r="F279" s="171">
        <f>VLOOKUP(A279,Demográfico!A$2:L$405,12,FALSE)</f>
        <v>27.562626540744201</v>
      </c>
      <c r="G279" s="172">
        <f>VLOOKUP(A279,Socioeconômico!A$2:M$405,13,FALSE)</f>
        <v>27.234656115816918</v>
      </c>
      <c r="H279" s="173">
        <f>(2*E279+F279+2*G279)/5/100</f>
        <v>0.27542030309539883</v>
      </c>
      <c r="I279" s="170">
        <f>VLOOKUP(A279,Resultados!A$2:B677,2,FALSE)</f>
        <v>0</v>
      </c>
      <c r="J279" s="5">
        <f>IFERROR(VLOOKUP(A279,Demográfico!A$2:E$400,5,FALSE)/(VLOOKUP(C279,Metodologia!A$2:G$9,7,FALSE))*D279,0)</f>
        <v>8.4279252964785278E-2</v>
      </c>
      <c r="K279" s="72">
        <f>(J279*(1+H279)-I279)</f>
        <v>0.10749147036100022</v>
      </c>
      <c r="L279" s="3">
        <v>0</v>
      </c>
      <c r="M279" s="66">
        <f>VLOOKUP(A279,Demográfico!A$2:E$400,5,FALSE)*H279</f>
        <v>203.26018368440432</v>
      </c>
      <c r="N279" s="68">
        <f>IFERROR(FLOOR(K279,1),0)</f>
        <v>0</v>
      </c>
      <c r="O279" s="68">
        <f>K279-N279</f>
        <v>0.10749147036100022</v>
      </c>
      <c r="P279" s="65">
        <f>IFERROR(RANK(O279,O$2:O$400,0),0)</f>
        <v>294</v>
      </c>
      <c r="Q279" s="3">
        <f>N279+IF(P279&lt;P$1,1,0)</f>
        <v>0</v>
      </c>
      <c r="S279" s="65">
        <f>VLOOKUP(A279,Demográfico!A$2:E$400,5,FALSE)*(H279)</f>
        <v>203.26018368440432</v>
      </c>
      <c r="T279" s="79">
        <f>IFERROR(D279/D279,0)</f>
        <v>1</v>
      </c>
      <c r="U279" s="65">
        <f t="shared" si="4"/>
        <v>203.26018368440432</v>
      </c>
    </row>
    <row r="280" spans="1:21" ht="19.5" x14ac:dyDescent="0.25">
      <c r="A280" s="2" t="s">
        <v>284</v>
      </c>
      <c r="B280" s="168">
        <v>5697</v>
      </c>
      <c r="C280" s="169" t="str" cm="1">
        <f t="array" ref="C280">_xlfn.IFS(B280&lt;5000, "P1",B280&lt;20000, "P2",B280&lt;70000, "P3",B280&lt;100000, "P4",B280&lt;200000,"M1",B280&lt;500000,"M2",B280&lt;1000000,"G1",B280&gt;1000000,"G2")</f>
        <v>P2</v>
      </c>
      <c r="D280" s="170">
        <f>VLOOKUP(C280,Metodologia!A$2:H$9,8,FALSE)</f>
        <v>32.634342822133917</v>
      </c>
      <c r="E280" s="171">
        <f>VLOOKUP(A280,Educacional!A$2:P$405,16,FALSE)</f>
        <v>94.708637141918743</v>
      </c>
      <c r="F280" s="171">
        <f>VLOOKUP(A280,Demográfico!A$2:L$405,12,FALSE)</f>
        <v>36.876650600203533</v>
      </c>
      <c r="G280" s="172">
        <f>VLOOKUP(A280,Socioeconômico!A$2:M$405,13,FALSE)</f>
        <v>73.512540927122075</v>
      </c>
      <c r="H280" s="173">
        <f>(2*E280+F280+2*G280)/5/100</f>
        <v>0.74663801347657033</v>
      </c>
      <c r="I280" s="170">
        <f>VLOOKUP(A280,Resultados!A$2:B678,2,FALSE)</f>
        <v>1</v>
      </c>
      <c r="J280" s="5">
        <f>IFERROR(VLOOKUP(A280,Demográfico!A$2:E$400,5,FALSE)/(VLOOKUP(C280,Metodologia!A$2:G$9,7,FALSE))*D280,0)</f>
        <v>8.9532431333864029E-2</v>
      </c>
      <c r="K280" s="72">
        <f>(J280*(1+H280)-I280)</f>
        <v>-0.84361925199329224</v>
      </c>
      <c r="L280" s="3">
        <v>1</v>
      </c>
      <c r="M280" s="66">
        <f>VLOOKUP(A280,Demográfico!A$2:E$400,5,FALSE)*H280</f>
        <v>585.3642025656311</v>
      </c>
      <c r="N280" s="68">
        <f>IFERROR(FLOOR(K280,1),0)</f>
        <v>-1</v>
      </c>
      <c r="O280" s="68">
        <f>K280-N280</f>
        <v>0.15638074800670776</v>
      </c>
      <c r="P280" s="65">
        <f>IFERROR(RANK(O280,O$2:O$400,0),0)</f>
        <v>237</v>
      </c>
      <c r="Q280" s="3">
        <f>N280+IF(P280&lt;P$1,1,0)</f>
        <v>-1</v>
      </c>
      <c r="S280" s="65">
        <f>VLOOKUP(A280,Demográfico!A$2:E$400,5,FALSE)*(H280)</f>
        <v>585.3642025656311</v>
      </c>
      <c r="T280" s="79">
        <f>IFERROR(D280/D280,0)</f>
        <v>1</v>
      </c>
      <c r="U280" s="65">
        <f t="shared" si="4"/>
        <v>585.3642025656311</v>
      </c>
    </row>
    <row r="281" spans="1:21" ht="19.5" x14ac:dyDescent="0.25">
      <c r="A281" s="2" t="s">
        <v>285</v>
      </c>
      <c r="B281" s="168">
        <v>5666</v>
      </c>
      <c r="C281" s="169" t="str" cm="1">
        <f t="array" ref="C281">_xlfn.IFS(B281&lt;5000, "P1",B281&lt;20000, "P2",B281&lt;70000, "P3",B281&lt;100000, "P4",B281&lt;200000,"M1",B281&lt;500000,"M2",B281&lt;1000000,"G1",B281&gt;1000000,"G2")</f>
        <v>P2</v>
      </c>
      <c r="D281" s="170">
        <f>VLOOKUP(C281,Metodologia!A$2:H$9,8,FALSE)</f>
        <v>32.634342822133917</v>
      </c>
      <c r="E281" s="171">
        <f>VLOOKUP(A281,Educacional!A$2:P$405,16,FALSE)</f>
        <v>63.320597978512382</v>
      </c>
      <c r="F281" s="171">
        <f>VLOOKUP(A281,Demográfico!A$2:L$405,12,FALSE)</f>
        <v>70.568903508676058</v>
      </c>
      <c r="G281" s="172">
        <f>VLOOKUP(A281,Socioeconômico!A$2:M$405,13,FALSE)</f>
        <v>38.459012219245494</v>
      </c>
      <c r="H281" s="173">
        <f>(2*E281+F281+2*G281)/5/100</f>
        <v>0.54825624780838356</v>
      </c>
      <c r="I281" s="170">
        <f>VLOOKUP(A281,Resultados!A$2:B679,2,FALSE)</f>
        <v>0</v>
      </c>
      <c r="J281" s="5">
        <f>IFERROR(VLOOKUP(A281,Demográfico!A$2:E$400,5,FALSE)/(VLOOKUP(C281,Metodologia!A$2:G$9,7,FALSE))*D281,0)</f>
        <v>8.3251457196922049E-2</v>
      </c>
      <c r="K281" s="72">
        <f>(J281*(1+H281)-I281)</f>
        <v>0.12889458874428678</v>
      </c>
      <c r="L281" s="3">
        <v>1</v>
      </c>
      <c r="M281" s="66">
        <f>VLOOKUP(A281,Demográfico!A$2:E$400,5,FALSE)*H281</f>
        <v>399.67880465231161</v>
      </c>
      <c r="N281" s="68">
        <f>IFERROR(FLOOR(K281,1),0)</f>
        <v>0</v>
      </c>
      <c r="O281" s="68">
        <f>K281-N281</f>
        <v>0.12889458874428678</v>
      </c>
      <c r="P281" s="65">
        <f>IFERROR(RANK(O281,O$2:O$400,0),0)</f>
        <v>265</v>
      </c>
      <c r="Q281" s="3">
        <f>N281+IF(P281&lt;P$1,1,0)</f>
        <v>0</v>
      </c>
      <c r="S281" s="65">
        <f>VLOOKUP(A281,Demográfico!A$2:E$400,5,FALSE)*(H281)</f>
        <v>399.67880465231161</v>
      </c>
      <c r="T281" s="79">
        <f>IFERROR(D281/D281,0)</f>
        <v>1</v>
      </c>
      <c r="U281" s="65">
        <f t="shared" si="4"/>
        <v>399.67880465231161</v>
      </c>
    </row>
    <row r="282" spans="1:21" ht="19.5" x14ac:dyDescent="0.25">
      <c r="A282" s="2" t="s">
        <v>286</v>
      </c>
      <c r="B282" s="168">
        <v>5649</v>
      </c>
      <c r="C282" s="169" t="str" cm="1">
        <f t="array" ref="C282">_xlfn.IFS(B282&lt;5000, "P1",B282&lt;20000, "P2",B282&lt;70000, "P3",B282&lt;100000, "P4",B282&lt;200000,"M1",B282&lt;500000,"M2",B282&lt;1000000,"G1",B282&gt;1000000,"G2")</f>
        <v>P2</v>
      </c>
      <c r="D282" s="170">
        <f>VLOOKUP(C282,Metodologia!A$2:H$9,8,FALSE)</f>
        <v>32.634342822133917</v>
      </c>
      <c r="E282" s="171">
        <f>VLOOKUP(A282,Educacional!A$2:P$405,16,FALSE)</f>
        <v>66.789128993536352</v>
      </c>
      <c r="F282" s="171">
        <f>VLOOKUP(A282,Demográfico!A$2:L$405,12,FALSE)</f>
        <v>89.253860319323138</v>
      </c>
      <c r="G282" s="172">
        <f>VLOOKUP(A282,Socioeconômico!A$2:M$405,13,FALSE)</f>
        <v>61.410281718433211</v>
      </c>
      <c r="H282" s="173">
        <f>(2*E282+F282+2*G282)/5/100</f>
        <v>0.6913053634865246</v>
      </c>
      <c r="I282" s="170">
        <f>VLOOKUP(A282,Resultados!A$2:B680,2,FALSE)</f>
        <v>0</v>
      </c>
      <c r="J282" s="5">
        <f>IFERROR(VLOOKUP(A282,Demográfico!A$2:E$400,5,FALSE)/(VLOOKUP(C282,Metodologia!A$2:G$9,7,FALSE))*D282,0)</f>
        <v>9.9924588542258969E-2</v>
      </c>
      <c r="K282" s="72">
        <f>(J282*(1+H282)-I282)</f>
        <v>0.16900299254570672</v>
      </c>
      <c r="L282" s="3">
        <v>1</v>
      </c>
      <c r="M282" s="66">
        <f>VLOOKUP(A282,Demográfico!A$2:E$400,5,FALSE)*H282</f>
        <v>604.89219305070901</v>
      </c>
      <c r="N282" s="68">
        <f>IFERROR(FLOOR(K282,1),0)</f>
        <v>0</v>
      </c>
      <c r="O282" s="68">
        <f>K282-N282</f>
        <v>0.16900299254570672</v>
      </c>
      <c r="P282" s="65">
        <f>IFERROR(RANK(O282,O$2:O$400,0),0)</f>
        <v>223</v>
      </c>
      <c r="Q282" s="3">
        <f>N282+IF(P282&lt;P$1,1,0)</f>
        <v>0</v>
      </c>
      <c r="S282" s="65">
        <f>VLOOKUP(A282,Demográfico!A$2:E$400,5,FALSE)*(H282)</f>
        <v>604.89219305070901</v>
      </c>
      <c r="T282" s="79">
        <f>IFERROR(D282/D282,0)</f>
        <v>1</v>
      </c>
      <c r="U282" s="65">
        <f t="shared" si="4"/>
        <v>604.89219305070901</v>
      </c>
    </row>
    <row r="283" spans="1:21" ht="19.5" x14ac:dyDescent="0.25">
      <c r="A283" s="2" t="s">
        <v>287</v>
      </c>
      <c r="B283" s="168">
        <v>5641</v>
      </c>
      <c r="C283" s="169" t="str" cm="1">
        <f t="array" ref="C283">_xlfn.IFS(B283&lt;5000, "P1",B283&lt;20000, "P2",B283&lt;70000, "P3",B283&lt;100000, "P4",B283&lt;200000,"M1",B283&lt;500000,"M2",B283&lt;1000000,"G1",B283&gt;1000000,"G2")</f>
        <v>P2</v>
      </c>
      <c r="D283" s="170">
        <f>VLOOKUP(C283,Metodologia!A$2:H$9,8,FALSE)</f>
        <v>32.634342822133917</v>
      </c>
      <c r="E283" s="171">
        <f>VLOOKUP(A283,Educacional!A$2:P$405,16,FALSE)</f>
        <v>55.351338177929222</v>
      </c>
      <c r="F283" s="171">
        <f>VLOOKUP(A283,Demográfico!A$2:L$405,12,FALSE)</f>
        <v>62.166514739172527</v>
      </c>
      <c r="G283" s="172">
        <f>VLOOKUP(A283,Socioeconômico!A$2:M$405,13,FALSE)</f>
        <v>68.705844287839284</v>
      </c>
      <c r="H283" s="173">
        <f>(2*E283+F283+2*G283)/5/100</f>
        <v>0.62056175934141899</v>
      </c>
      <c r="I283" s="170">
        <f>VLOOKUP(A283,Resultados!A$2:B681,2,FALSE)</f>
        <v>0</v>
      </c>
      <c r="J283" s="5">
        <f>IFERROR(VLOOKUP(A283,Demográfico!A$2:E$400,5,FALSE)/(VLOOKUP(C283,Metodologia!A$2:G$9,7,FALSE))*D283,0)</f>
        <v>8.0053870363569757E-2</v>
      </c>
      <c r="K283" s="72">
        <f>(J283*(1+H283)-I283)</f>
        <v>0.12973224099847649</v>
      </c>
      <c r="L283" s="3">
        <v>1</v>
      </c>
      <c r="M283" s="66">
        <f>VLOOKUP(A283,Demográfico!A$2:E$400,5,FALSE)*H283</f>
        <v>435.01379329833469</v>
      </c>
      <c r="N283" s="68">
        <f>IFERROR(FLOOR(K283,1),0)</f>
        <v>0</v>
      </c>
      <c r="O283" s="68">
        <f>K283-N283</f>
        <v>0.12973224099847649</v>
      </c>
      <c r="P283" s="65">
        <f>IFERROR(RANK(O283,O$2:O$400,0),0)</f>
        <v>262</v>
      </c>
      <c r="Q283" s="3">
        <f>N283+IF(P283&lt;P$1,1,0)</f>
        <v>0</v>
      </c>
      <c r="S283" s="65">
        <f>VLOOKUP(A283,Demográfico!A$2:E$400,5,FALSE)*(H283)</f>
        <v>435.01379329833469</v>
      </c>
      <c r="T283" s="79">
        <f>IFERROR(D283/D283,0)</f>
        <v>1</v>
      </c>
      <c r="U283" s="65">
        <f t="shared" si="4"/>
        <v>435.01379329833469</v>
      </c>
    </row>
    <row r="284" spans="1:21" ht="19.5" x14ac:dyDescent="0.25">
      <c r="A284" s="2" t="s">
        <v>288</v>
      </c>
      <c r="B284" s="168">
        <v>5616</v>
      </c>
      <c r="C284" s="169" t="str" cm="1">
        <f t="array" ref="C284">_xlfn.IFS(B284&lt;5000, "P1",B284&lt;20000, "P2",B284&lt;70000, "P3",B284&lt;100000, "P4",B284&lt;200000,"M1",B284&lt;500000,"M2",B284&lt;1000000,"G1",B284&gt;1000000,"G2")</f>
        <v>P2</v>
      </c>
      <c r="D284" s="170">
        <f>VLOOKUP(C284,Metodologia!A$2:H$9,8,FALSE)</f>
        <v>32.634342822133917</v>
      </c>
      <c r="E284" s="171">
        <f>VLOOKUP(A284,Educacional!A$2:P$405,16,FALSE)</f>
        <v>37.557916753125284</v>
      </c>
      <c r="F284" s="171">
        <f>VLOOKUP(A284,Demográfico!A$2:L$405,12,FALSE)</f>
        <v>19.318708958737421</v>
      </c>
      <c r="G284" s="172">
        <f>VLOOKUP(A284,Socioeconômico!A$2:M$405,13,FALSE)</f>
        <v>33.515559081135713</v>
      </c>
      <c r="H284" s="173">
        <f>(2*E284+F284+2*G284)/5/100</f>
        <v>0.32293132125451884</v>
      </c>
      <c r="I284" s="170">
        <f>VLOOKUP(A284,Resultados!A$2:B682,2,FALSE)</f>
        <v>0</v>
      </c>
      <c r="J284" s="5">
        <f>IFERROR(VLOOKUP(A284,Demográfico!A$2:E$400,5,FALSE)/(VLOOKUP(C284,Metodologia!A$2:G$9,7,FALSE))*D284,0)</f>
        <v>7.5143290583778749E-2</v>
      </c>
      <c r="K284" s="72">
        <f>(J284*(1+H284)-I284)</f>
        <v>9.9409412695410662E-2</v>
      </c>
      <c r="L284" s="3">
        <v>0</v>
      </c>
      <c r="M284" s="66">
        <f>VLOOKUP(A284,Demográfico!A$2:E$400,5,FALSE)*H284</f>
        <v>212.48880938547339</v>
      </c>
      <c r="N284" s="68">
        <f>IFERROR(FLOOR(K284,1),0)</f>
        <v>0</v>
      </c>
      <c r="O284" s="68">
        <f>K284-N284</f>
        <v>9.9409412695410662E-2</v>
      </c>
      <c r="P284" s="65">
        <f>IFERROR(RANK(O284,O$2:O$400,0),0)</f>
        <v>307</v>
      </c>
      <c r="Q284" s="3">
        <f>N284+IF(P284&lt;P$1,1,0)</f>
        <v>0</v>
      </c>
      <c r="S284" s="65">
        <f>VLOOKUP(A284,Demográfico!A$2:E$400,5,FALSE)*(H284)</f>
        <v>212.48880938547339</v>
      </c>
      <c r="T284" s="79">
        <f>IFERROR(D284/D284,0)</f>
        <v>1</v>
      </c>
      <c r="U284" s="65">
        <f t="shared" si="4"/>
        <v>212.48880938547339</v>
      </c>
    </row>
    <row r="285" spans="1:21" ht="19.5" x14ac:dyDescent="0.25">
      <c r="A285" s="2" t="s">
        <v>289</v>
      </c>
      <c r="B285" s="168">
        <v>5600</v>
      </c>
      <c r="C285" s="169" t="str" cm="1">
        <f t="array" ref="C285">_xlfn.IFS(B285&lt;5000, "P1",B285&lt;20000, "P2",B285&lt;70000, "P3",B285&lt;100000, "P4",B285&lt;200000,"M1",B285&lt;500000,"M2",B285&lt;1000000,"G1",B285&gt;1000000,"G2")</f>
        <v>P2</v>
      </c>
      <c r="D285" s="170">
        <f>VLOOKUP(C285,Metodologia!A$2:H$9,8,FALSE)</f>
        <v>32.634342822133917</v>
      </c>
      <c r="E285" s="171">
        <f>VLOOKUP(A285,Educacional!A$2:P$405,16,FALSE)</f>
        <v>70.344122756447092</v>
      </c>
      <c r="F285" s="171">
        <f>VLOOKUP(A285,Demográfico!A$2:L$405,12,FALSE)</f>
        <v>65.414918899155793</v>
      </c>
      <c r="G285" s="172">
        <f>VLOOKUP(A285,Socioeconômico!A$2:M$405,13,FALSE)</f>
        <v>75.956688249983415</v>
      </c>
      <c r="H285" s="173">
        <f>(2*E285+F285+2*G285)/5/100</f>
        <v>0.71603308182403369</v>
      </c>
      <c r="I285" s="170">
        <f>VLOOKUP(A285,Resultados!A$2:B683,2,FALSE)</f>
        <v>1</v>
      </c>
      <c r="J285" s="5">
        <f>IFERROR(VLOOKUP(A285,Demográfico!A$2:E$400,5,FALSE)/(VLOOKUP(C285,Metodologia!A$2:G$9,7,FALSE))*D285,0)</f>
        <v>9.6612802179144114E-2</v>
      </c>
      <c r="K285" s="72">
        <f>(J285*(1+H285)-I285)</f>
        <v>-0.83420923533286762</v>
      </c>
      <c r="L285" s="3">
        <v>1</v>
      </c>
      <c r="M285" s="66">
        <f>VLOOKUP(A285,Demográfico!A$2:E$400,5,FALSE)*H285</f>
        <v>605.76398722313252</v>
      </c>
      <c r="N285" s="68">
        <f>IFERROR(FLOOR(K285,1),0)</f>
        <v>-1</v>
      </c>
      <c r="O285" s="68">
        <f>K285-N285</f>
        <v>0.16579076466713238</v>
      </c>
      <c r="P285" s="65">
        <f>IFERROR(RANK(O285,O$2:O$400,0),0)</f>
        <v>225</v>
      </c>
      <c r="Q285" s="3">
        <f>N285+IF(P285&lt;P$1,1,0)</f>
        <v>-1</v>
      </c>
      <c r="S285" s="65">
        <f>VLOOKUP(A285,Demográfico!A$2:E$400,5,FALSE)*(H285)</f>
        <v>605.76398722313252</v>
      </c>
      <c r="T285" s="79">
        <f>IFERROR(D285/D285,0)</f>
        <v>1</v>
      </c>
      <c r="U285" s="65">
        <f t="shared" si="4"/>
        <v>605.76398722313252</v>
      </c>
    </row>
    <row r="286" spans="1:21" ht="19.5" x14ac:dyDescent="0.25">
      <c r="A286" s="2" t="s">
        <v>290</v>
      </c>
      <c r="B286" s="168">
        <v>5597</v>
      </c>
      <c r="C286" s="169" t="str" cm="1">
        <f t="array" ref="C286">_xlfn.IFS(B286&lt;5000, "P1",B286&lt;20000, "P2",B286&lt;70000, "P3",B286&lt;100000, "P4",B286&lt;200000,"M1",B286&lt;500000,"M2",B286&lt;1000000,"G1",B286&gt;1000000,"G2")</f>
        <v>P2</v>
      </c>
      <c r="D286" s="170">
        <f>VLOOKUP(C286,Metodologia!A$2:H$9,8,FALSE)</f>
        <v>32.634342822133917</v>
      </c>
      <c r="E286" s="171">
        <f>VLOOKUP(A286,Educacional!A$2:P$405,16,FALSE)</f>
        <v>61.234622164565657</v>
      </c>
      <c r="F286" s="171">
        <f>VLOOKUP(A286,Demográfico!A$2:L$405,12,FALSE)</f>
        <v>72.887256422665303</v>
      </c>
      <c r="G286" s="172">
        <f>VLOOKUP(A286,Socioeconômico!A$2:M$405,13,FALSE)</f>
        <v>38.286567239402871</v>
      </c>
      <c r="H286" s="173">
        <f>(2*E286+F286+2*G286)/5/100</f>
        <v>0.54385927046120475</v>
      </c>
      <c r="I286" s="170">
        <f>VLOOKUP(A286,Resultados!A$2:B684,2,FALSE)</f>
        <v>0</v>
      </c>
      <c r="J286" s="5">
        <f>IFERROR(VLOOKUP(A286,Demográfico!A$2:E$400,5,FALSE)/(VLOOKUP(C286,Metodologia!A$2:G$9,7,FALSE))*D286,0)</f>
        <v>8.6106445440986584E-2</v>
      </c>
      <c r="K286" s="72">
        <f>(J286*(1+H286)-I286)</f>
        <v>0.13293623404052909</v>
      </c>
      <c r="L286" s="3">
        <v>1</v>
      </c>
      <c r="M286" s="66">
        <f>VLOOKUP(A286,Demográfico!A$2:E$400,5,FALSE)*H286</f>
        <v>410.06988992774836</v>
      </c>
      <c r="N286" s="68">
        <f>IFERROR(FLOOR(K286,1),0)</f>
        <v>0</v>
      </c>
      <c r="O286" s="68">
        <f>K286-N286</f>
        <v>0.13293623404052909</v>
      </c>
      <c r="P286" s="65">
        <f>IFERROR(RANK(O286,O$2:O$400,0),0)</f>
        <v>257</v>
      </c>
      <c r="Q286" s="3">
        <f>N286+IF(P286&lt;P$1,1,0)</f>
        <v>0</v>
      </c>
      <c r="S286" s="65">
        <f>VLOOKUP(A286,Demográfico!A$2:E$400,5,FALSE)*(H286)</f>
        <v>410.06988992774836</v>
      </c>
      <c r="T286" s="79">
        <f>IFERROR(D286/D286,0)</f>
        <v>1</v>
      </c>
      <c r="U286" s="65">
        <f t="shared" si="4"/>
        <v>410.06988992774836</v>
      </c>
    </row>
    <row r="287" spans="1:21" ht="19.5" x14ac:dyDescent="0.25">
      <c r="A287" s="2" t="s">
        <v>291</v>
      </c>
      <c r="B287" s="168">
        <v>5586</v>
      </c>
      <c r="C287" s="169" t="str" cm="1">
        <f t="array" ref="C287">_xlfn.IFS(B287&lt;5000, "P1",B287&lt;20000, "P2",B287&lt;70000, "P3",B287&lt;100000, "P4",B287&lt;200000,"M1",B287&lt;500000,"M2",B287&lt;1000000,"G1",B287&gt;1000000,"G2")</f>
        <v>P2</v>
      </c>
      <c r="D287" s="170">
        <f>VLOOKUP(C287,Metodologia!A$2:H$9,8,FALSE)</f>
        <v>32.634342822133917</v>
      </c>
      <c r="E287" s="171">
        <f>VLOOKUP(A287,Educacional!A$2:P$405,16,FALSE)</f>
        <v>50.424840293089865</v>
      </c>
      <c r="F287" s="171">
        <f>VLOOKUP(A287,Demográfico!A$2:L$405,12,FALSE)</f>
        <v>41.639120599464071</v>
      </c>
      <c r="G287" s="172">
        <f>VLOOKUP(A287,Socioeconômico!A$2:M$405,13,FALSE)</f>
        <v>60.553345232519739</v>
      </c>
      <c r="H287" s="173">
        <f>(2*E287+F287+2*G287)/5/100</f>
        <v>0.5271909833013666</v>
      </c>
      <c r="I287" s="170">
        <f>VLOOKUP(A287,Resultados!A$2:B685,2,FALSE)</f>
        <v>0</v>
      </c>
      <c r="J287" s="5">
        <f>IFERROR(VLOOKUP(A287,Demográfico!A$2:E$400,5,FALSE)/(VLOOKUP(C287,Metodologia!A$2:G$9,7,FALSE))*D287,0)</f>
        <v>8.4507652024310445E-2</v>
      </c>
      <c r="K287" s="72">
        <f>(J287*(1+H287)-I287)</f>
        <v>0.12905932419149641</v>
      </c>
      <c r="L287" s="3">
        <v>0</v>
      </c>
      <c r="M287" s="66">
        <f>VLOOKUP(A287,Demográfico!A$2:E$400,5,FALSE)*H287</f>
        <v>390.12132764301128</v>
      </c>
      <c r="N287" s="68">
        <f>IFERROR(FLOOR(K287,1),0)</f>
        <v>0</v>
      </c>
      <c r="O287" s="68">
        <f>K287-N287</f>
        <v>0.12905932419149641</v>
      </c>
      <c r="P287" s="65">
        <f>IFERROR(RANK(O287,O$2:O$400,0),0)</f>
        <v>264</v>
      </c>
      <c r="Q287" s="3">
        <f>N287+IF(P287&lt;P$1,1,0)</f>
        <v>0</v>
      </c>
      <c r="S287" s="65">
        <f>VLOOKUP(A287,Demográfico!A$2:E$400,5,FALSE)*(H287)</f>
        <v>390.12132764301128</v>
      </c>
      <c r="T287" s="79">
        <f>IFERROR(D287/D287,0)</f>
        <v>1</v>
      </c>
      <c r="U287" s="65">
        <f t="shared" si="4"/>
        <v>390.12132764301128</v>
      </c>
    </row>
    <row r="288" spans="1:21" ht="19.5" x14ac:dyDescent="0.25">
      <c r="A288" s="2" t="s">
        <v>292</v>
      </c>
      <c r="B288" s="168">
        <v>5514</v>
      </c>
      <c r="C288" s="169" t="str" cm="1">
        <f t="array" ref="C288">_xlfn.IFS(B288&lt;5000, "P1",B288&lt;20000, "P2",B288&lt;70000, "P3",B288&lt;100000, "P4",B288&lt;200000,"M1",B288&lt;500000,"M2",B288&lt;1000000,"G1",B288&gt;1000000,"G2")</f>
        <v>P2</v>
      </c>
      <c r="D288" s="170">
        <f>VLOOKUP(C288,Metodologia!A$2:H$9,8,FALSE)</f>
        <v>32.634342822133917</v>
      </c>
      <c r="E288" s="171">
        <f>VLOOKUP(A288,Educacional!A$2:P$405,16,FALSE)</f>
        <v>43.08268701541985</v>
      </c>
      <c r="F288" s="171">
        <f>VLOOKUP(A288,Demográfico!A$2:L$405,12,FALSE)</f>
        <v>19.406107893803863</v>
      </c>
      <c r="G288" s="172">
        <f>VLOOKUP(A288,Socioeconômico!A$2:M$405,13,FALSE)</f>
        <v>48.755756426197507</v>
      </c>
      <c r="H288" s="173">
        <f>(2*E288+F288+2*G288)/5/100</f>
        <v>0.40616598955407718</v>
      </c>
      <c r="I288" s="170">
        <f>VLOOKUP(A288,Resultados!A$2:B686,2,FALSE)</f>
        <v>0</v>
      </c>
      <c r="J288" s="5">
        <f>IFERROR(VLOOKUP(A288,Demográfico!A$2:E$400,5,FALSE)/(VLOOKUP(C288,Metodologia!A$2:G$9,7,FALSE))*D288,0)</f>
        <v>7.8226677887368451E-2</v>
      </c>
      <c r="K288" s="72">
        <f>(J288*(1+H288)-I288)</f>
        <v>0.10999969392101951</v>
      </c>
      <c r="L288" s="3">
        <v>0</v>
      </c>
      <c r="M288" s="66">
        <f>VLOOKUP(A288,Demográfico!A$2:E$400,5,FALSE)*H288</f>
        <v>278.22370284454286</v>
      </c>
      <c r="N288" s="68">
        <f>IFERROR(FLOOR(K288,1),0)</f>
        <v>0</v>
      </c>
      <c r="O288" s="68">
        <f>K288-N288</f>
        <v>0.10999969392101951</v>
      </c>
      <c r="P288" s="65">
        <f>IFERROR(RANK(O288,O$2:O$400,0),0)</f>
        <v>292</v>
      </c>
      <c r="Q288" s="3">
        <f>N288+IF(P288&lt;P$1,1,0)</f>
        <v>0</v>
      </c>
      <c r="S288" s="65">
        <f>VLOOKUP(A288,Demográfico!A$2:E$400,5,FALSE)*(H288)</f>
        <v>278.22370284454286</v>
      </c>
      <c r="T288" s="79">
        <f>IFERROR(D288/D288,0)</f>
        <v>1</v>
      </c>
      <c r="U288" s="65">
        <f t="shared" si="4"/>
        <v>278.22370284454286</v>
      </c>
    </row>
    <row r="289" spans="1:21" ht="19.5" x14ac:dyDescent="0.25">
      <c r="A289" s="2" t="s">
        <v>293</v>
      </c>
      <c r="B289" s="168">
        <v>5435</v>
      </c>
      <c r="C289" s="169" t="str" cm="1">
        <f t="array" ref="C289">_xlfn.IFS(B289&lt;5000, "P1",B289&lt;20000, "P2",B289&lt;70000, "P3",B289&lt;100000, "P4",B289&lt;200000,"M1",B289&lt;500000,"M2",B289&lt;1000000,"G1",B289&gt;1000000,"G2")</f>
        <v>P2</v>
      </c>
      <c r="D289" s="170">
        <f>VLOOKUP(C289,Metodologia!A$2:H$9,8,FALSE)</f>
        <v>32.634342822133917</v>
      </c>
      <c r="E289" s="171">
        <f>VLOOKUP(A289,Educacional!A$2:P$405,16,FALSE)</f>
        <v>54.957195497610286</v>
      </c>
      <c r="F289" s="171">
        <f>VLOOKUP(A289,Demográfico!A$2:L$405,12,FALSE)</f>
        <v>28.189097592144197</v>
      </c>
      <c r="G289" s="172">
        <f>VLOOKUP(A289,Socioeconômico!A$2:M$405,13,FALSE)</f>
        <v>60.352005104524572</v>
      </c>
      <c r="H289" s="173">
        <f>(2*E289+F289+2*G289)/5/100</f>
        <v>0.51761499759282781</v>
      </c>
      <c r="I289" s="170">
        <f>VLOOKUP(A289,Resultados!A$2:B687,2,FALSE)</f>
        <v>0</v>
      </c>
      <c r="J289" s="5">
        <f>IFERROR(VLOOKUP(A289,Demográfico!A$2:E$400,5,FALSE)/(VLOOKUP(C289,Metodologia!A$2:G$9,7,FALSE))*D289,0)</f>
        <v>7.9825471304044604E-2</v>
      </c>
      <c r="K289" s="72">
        <f>(J289*(1+H289)-I289)</f>
        <v>0.121144332440934</v>
      </c>
      <c r="L289" s="3">
        <v>0</v>
      </c>
      <c r="M289" s="66">
        <f>VLOOKUP(A289,Demográfico!A$2:E$400,5,FALSE)*H289</f>
        <v>361.81288331738665</v>
      </c>
      <c r="N289" s="68">
        <f>IFERROR(FLOOR(K289,1),0)</f>
        <v>0</v>
      </c>
      <c r="O289" s="68">
        <f>K289-N289</f>
        <v>0.121144332440934</v>
      </c>
      <c r="P289" s="65">
        <f>IFERROR(RANK(O289,O$2:O$400,0),0)</f>
        <v>277</v>
      </c>
      <c r="Q289" s="3">
        <f>N289+IF(P289&lt;P$1,1,0)</f>
        <v>0</v>
      </c>
      <c r="S289" s="65">
        <f>VLOOKUP(A289,Demográfico!A$2:E$400,5,FALSE)*(H289)</f>
        <v>361.81288331738665</v>
      </c>
      <c r="T289" s="79">
        <f>IFERROR(D289/D289,0)</f>
        <v>1</v>
      </c>
      <c r="U289" s="65">
        <f t="shared" si="4"/>
        <v>361.81288331738665</v>
      </c>
    </row>
    <row r="290" spans="1:21" ht="19.5" x14ac:dyDescent="0.25">
      <c r="A290" s="2" t="s">
        <v>294</v>
      </c>
      <c r="B290" s="168">
        <v>5427</v>
      </c>
      <c r="C290" s="169" t="str" cm="1">
        <f t="array" ref="C290">_xlfn.IFS(B290&lt;5000, "P1",B290&lt;20000, "P2",B290&lt;70000, "P3",B290&lt;100000, "P4",B290&lt;200000,"M1",B290&lt;500000,"M2",B290&lt;1000000,"G1",B290&gt;1000000,"G2")</f>
        <v>P2</v>
      </c>
      <c r="D290" s="170">
        <f>VLOOKUP(C290,Metodologia!A$2:H$9,8,FALSE)</f>
        <v>32.634342822133917</v>
      </c>
      <c r="E290" s="171">
        <f>VLOOKUP(A290,Educacional!A$2:P$405,16,FALSE)</f>
        <v>51.194372795165741</v>
      </c>
      <c r="F290" s="171">
        <f>VLOOKUP(A290,Demográfico!A$2:L$405,12,FALSE)</f>
        <v>41.003502163891874</v>
      </c>
      <c r="G290" s="172">
        <f>VLOOKUP(A290,Socioeconômico!A$2:M$405,13,FALSE)</f>
        <v>51.901807918901078</v>
      </c>
      <c r="H290" s="173">
        <f>(2*E290+F290+2*G290)/5/100</f>
        <v>0.49439172718405094</v>
      </c>
      <c r="I290" s="170">
        <f>VLOOKUP(A290,Resultados!A$2:B688,2,FALSE)</f>
        <v>0</v>
      </c>
      <c r="J290" s="5">
        <f>IFERROR(VLOOKUP(A290,Demográfico!A$2:E$400,5,FALSE)/(VLOOKUP(C290,Metodologia!A$2:G$9,7,FALSE))*D290,0)</f>
        <v>8.2566260018346549E-2</v>
      </c>
      <c r="K290" s="72">
        <f>(J290*(1+H290)-I290)</f>
        <v>0.12338633591594435</v>
      </c>
      <c r="L290" s="3">
        <v>0</v>
      </c>
      <c r="M290" s="66">
        <f>VLOOKUP(A290,Demográfico!A$2:E$400,5,FALSE)*H290</f>
        <v>357.44521875406883</v>
      </c>
      <c r="N290" s="68">
        <f>IFERROR(FLOOR(K290,1),0)</f>
        <v>0</v>
      </c>
      <c r="O290" s="68">
        <f>K290-N290</f>
        <v>0.12338633591594435</v>
      </c>
      <c r="P290" s="65">
        <f>IFERROR(RANK(O290,O$2:O$400,0),0)</f>
        <v>274</v>
      </c>
      <c r="Q290" s="3">
        <f>N290+IF(P290&lt;P$1,1,0)</f>
        <v>0</v>
      </c>
      <c r="S290" s="65">
        <f>VLOOKUP(A290,Demográfico!A$2:E$400,5,FALSE)*(H290)</f>
        <v>357.44521875406883</v>
      </c>
      <c r="T290" s="79">
        <f>IFERROR(D290/D290,0)</f>
        <v>1</v>
      </c>
      <c r="U290" s="65">
        <f t="shared" si="4"/>
        <v>357.44521875406883</v>
      </c>
    </row>
    <row r="291" spans="1:21" ht="19.5" x14ac:dyDescent="0.25">
      <c r="A291" s="2" t="s">
        <v>295</v>
      </c>
      <c r="B291" s="168">
        <v>5338</v>
      </c>
      <c r="C291" s="169" t="str" cm="1">
        <f t="array" ref="C291">_xlfn.IFS(B291&lt;5000, "P1",B291&lt;20000, "P2",B291&lt;70000, "P3",B291&lt;100000, "P4",B291&lt;200000,"M1",B291&lt;500000,"M2",B291&lt;1000000,"G1",B291&gt;1000000,"G2")</f>
        <v>P2</v>
      </c>
      <c r="D291" s="170">
        <f>VLOOKUP(C291,Metodologia!A$2:H$9,8,FALSE)</f>
        <v>32.634342822133917</v>
      </c>
      <c r="E291" s="171">
        <f>VLOOKUP(A291,Educacional!A$2:P$405,16,FALSE)</f>
        <v>40.476722117784107</v>
      </c>
      <c r="F291" s="171">
        <f>VLOOKUP(A291,Demográfico!A$2:L$405,12,FALSE)</f>
        <v>22.208287816309259</v>
      </c>
      <c r="G291" s="172">
        <f>VLOOKUP(A291,Socioeconômico!A$2:M$405,13,FALSE)</f>
        <v>26.600368254945135</v>
      </c>
      <c r="H291" s="173">
        <f>(2*E291+F291+2*G291)/5/100</f>
        <v>0.3127249371235355</v>
      </c>
      <c r="I291" s="170">
        <f>VLOOKUP(A291,Resultados!A$2:B689,2,FALSE)</f>
        <v>0</v>
      </c>
      <c r="J291" s="5">
        <f>IFERROR(VLOOKUP(A291,Demográfico!A$2:E$400,5,FALSE)/(VLOOKUP(C291,Metodologia!A$2:G$9,7,FALSE))*D291,0)</f>
        <v>8.3023058137396882E-2</v>
      </c>
      <c r="K291" s="72">
        <f>(J291*(1+H291)-I291)</f>
        <v>0.10898643877321795</v>
      </c>
      <c r="L291" s="3">
        <v>0</v>
      </c>
      <c r="M291" s="66">
        <f>VLOOKUP(A291,Demográfico!A$2:E$400,5,FALSE)*H291</f>
        <v>227.35102928881031</v>
      </c>
      <c r="N291" s="68">
        <f>IFERROR(FLOOR(K291,1),0)</f>
        <v>0</v>
      </c>
      <c r="O291" s="68">
        <f>K291-N291</f>
        <v>0.10898643877321795</v>
      </c>
      <c r="P291" s="65">
        <f>IFERROR(RANK(O291,O$2:O$400,0),0)</f>
        <v>293</v>
      </c>
      <c r="Q291" s="3">
        <f>N291+IF(P291&lt;P$1,1,0)</f>
        <v>0</v>
      </c>
      <c r="S291" s="65">
        <f>VLOOKUP(A291,Demográfico!A$2:E$400,5,FALSE)*(H291)</f>
        <v>227.35102928881031</v>
      </c>
      <c r="T291" s="79">
        <f>IFERROR(D291/D291,0)</f>
        <v>1</v>
      </c>
      <c r="U291" s="65">
        <f t="shared" si="4"/>
        <v>227.35102928881031</v>
      </c>
    </row>
    <row r="292" spans="1:21" ht="19.5" x14ac:dyDescent="0.25">
      <c r="A292" s="2" t="s">
        <v>296</v>
      </c>
      <c r="B292" s="168">
        <v>5232</v>
      </c>
      <c r="C292" s="169" t="str" cm="1">
        <f t="array" ref="C292">_xlfn.IFS(B292&lt;5000, "P1",B292&lt;20000, "P2",B292&lt;70000, "P3",B292&lt;100000, "P4",B292&lt;200000,"M1",B292&lt;500000,"M2",B292&lt;1000000,"G1",B292&gt;1000000,"G2")</f>
        <v>P2</v>
      </c>
      <c r="D292" s="170">
        <f>VLOOKUP(C292,Metodologia!A$2:H$9,8,FALSE)</f>
        <v>32.634342822133917</v>
      </c>
      <c r="E292" s="171">
        <f>VLOOKUP(A292,Educacional!A$2:P$405,16,FALSE)</f>
        <v>42.2673347292939</v>
      </c>
      <c r="F292" s="171">
        <f>VLOOKUP(A292,Demográfico!A$2:L$405,12,FALSE)</f>
        <v>29.048327450236776</v>
      </c>
      <c r="G292" s="172">
        <f>VLOOKUP(A292,Socioeconômico!A$2:M$405,13,FALSE)</f>
        <v>42.181442985244551</v>
      </c>
      <c r="H292" s="173">
        <f>(2*E292+F292+2*G292)/5/100</f>
        <v>0.39589176575862739</v>
      </c>
      <c r="I292" s="170">
        <f>VLOOKUP(A292,Resultados!A$2:B690,2,FALSE)</f>
        <v>0</v>
      </c>
      <c r="J292" s="5">
        <f>IFERROR(VLOOKUP(A292,Demográfico!A$2:E$400,5,FALSE)/(VLOOKUP(C292,Metodologia!A$2:G$9,7,FALSE))*D292,0)</f>
        <v>7.9140274125469104E-2</v>
      </c>
      <c r="K292" s="72">
        <f>(J292*(1+H292)-I292)</f>
        <v>0.11047125699162288</v>
      </c>
      <c r="L292" s="3">
        <v>0</v>
      </c>
      <c r="M292" s="66">
        <f>VLOOKUP(A292,Demográfico!A$2:E$400,5,FALSE)*H292</f>
        <v>274.35299367072878</v>
      </c>
      <c r="N292" s="68">
        <f>IFERROR(FLOOR(K292,1),0)</f>
        <v>0</v>
      </c>
      <c r="O292" s="68">
        <f>K292-N292</f>
        <v>0.11047125699162288</v>
      </c>
      <c r="P292" s="65">
        <f>IFERROR(RANK(O292,O$2:O$400,0),0)</f>
        <v>291</v>
      </c>
      <c r="Q292" s="3">
        <f>N292+IF(P292&lt;P$1,1,0)</f>
        <v>0</v>
      </c>
      <c r="S292" s="65">
        <f>VLOOKUP(A292,Demográfico!A$2:E$400,5,FALSE)*(H292)</f>
        <v>274.35299367072878</v>
      </c>
      <c r="T292" s="79">
        <f>IFERROR(D292/D292,0)</f>
        <v>1</v>
      </c>
      <c r="U292" s="65">
        <f t="shared" si="4"/>
        <v>274.35299367072878</v>
      </c>
    </row>
    <row r="293" spans="1:21" ht="19.5" x14ac:dyDescent="0.25">
      <c r="A293" s="2" t="s">
        <v>297</v>
      </c>
      <c r="B293" s="168">
        <v>5192</v>
      </c>
      <c r="C293" s="169" t="str" cm="1">
        <f t="array" ref="C293">_xlfn.IFS(B293&lt;5000, "P1",B293&lt;20000, "P2",B293&lt;70000, "P3",B293&lt;100000, "P4",B293&lt;200000,"M1",B293&lt;500000,"M2",B293&lt;1000000,"G1",B293&gt;1000000,"G2")</f>
        <v>P2</v>
      </c>
      <c r="D293" s="170">
        <f>VLOOKUP(C293,Metodologia!A$2:H$9,8,FALSE)</f>
        <v>32.634342822133917</v>
      </c>
      <c r="E293" s="171">
        <f>VLOOKUP(A293,Educacional!A$2:P$405,16,FALSE)</f>
        <v>51.616777158561725</v>
      </c>
      <c r="F293" s="171">
        <f>VLOOKUP(A293,Demográfico!A$2:L$405,12,FALSE)</f>
        <v>21.645583746985714</v>
      </c>
      <c r="G293" s="172">
        <f>VLOOKUP(A293,Socioeconômico!A$2:M$405,13,FALSE)</f>
        <v>54.758445054796233</v>
      </c>
      <c r="H293" s="173">
        <f>(2*E293+F293+2*G293)/5/100</f>
        <v>0.46879205634740323</v>
      </c>
      <c r="I293" s="170">
        <f>VLOOKUP(A293,Resultados!A$2:B691,2,FALSE)</f>
        <v>0</v>
      </c>
      <c r="J293" s="5">
        <f>IFERROR(VLOOKUP(A293,Demográfico!A$2:E$400,5,FALSE)/(VLOOKUP(C293,Metodologia!A$2:G$9,7,FALSE))*D293,0)</f>
        <v>7.22883023397142E-2</v>
      </c>
      <c r="K293" s="72">
        <f>(J293*(1+H293)-I293)</f>
        <v>0.10617648424341163</v>
      </c>
      <c r="L293" s="3">
        <v>0</v>
      </c>
      <c r="M293" s="66">
        <f>VLOOKUP(A293,Demográfico!A$2:E$400,5,FALSE)*H293</f>
        <v>296.74537166790623</v>
      </c>
      <c r="N293" s="68">
        <f>IFERROR(FLOOR(K293,1),0)</f>
        <v>0</v>
      </c>
      <c r="O293" s="68">
        <f>K293-N293</f>
        <v>0.10617648424341163</v>
      </c>
      <c r="P293" s="65">
        <f>IFERROR(RANK(O293,O$2:O$400,0),0)</f>
        <v>295</v>
      </c>
      <c r="Q293" s="3">
        <f>N293+IF(P293&lt;P$1,1,0)</f>
        <v>0</v>
      </c>
      <c r="S293" s="65">
        <f>VLOOKUP(A293,Demográfico!A$2:E$400,5,FALSE)*(H293)</f>
        <v>296.74537166790623</v>
      </c>
      <c r="T293" s="79">
        <f>IFERROR(D293/D293,0)</f>
        <v>1</v>
      </c>
      <c r="U293" s="65">
        <f t="shared" si="4"/>
        <v>296.74537166790623</v>
      </c>
    </row>
    <row r="294" spans="1:21" ht="19.5" x14ac:dyDescent="0.25">
      <c r="A294" s="2" t="s">
        <v>298</v>
      </c>
      <c r="B294" s="168">
        <v>5175</v>
      </c>
      <c r="C294" s="169" t="str" cm="1">
        <f t="array" ref="C294">_xlfn.IFS(B294&lt;5000, "P1",B294&lt;20000, "P2",B294&lt;70000, "P3",B294&lt;100000, "P4",B294&lt;200000,"M1",B294&lt;500000,"M2",B294&lt;1000000,"G1",B294&gt;1000000,"G2")</f>
        <v>P2</v>
      </c>
      <c r="D294" s="170">
        <f>VLOOKUP(C294,Metodologia!A$2:H$9,8,FALSE)</f>
        <v>32.634342822133917</v>
      </c>
      <c r="E294" s="171">
        <f>VLOOKUP(A294,Educacional!A$2:P$405,16,FALSE)</f>
        <v>42.944890863655246</v>
      </c>
      <c r="F294" s="171">
        <f>VLOOKUP(A294,Demográfico!A$2:L$405,12,FALSE)</f>
        <v>85.624172975950188</v>
      </c>
      <c r="G294" s="172">
        <f>VLOOKUP(A294,Socioeconômico!A$2:M$405,13,FALSE)</f>
        <v>53.666655321364111</v>
      </c>
      <c r="H294" s="173">
        <f>(2*E294+F294+2*G294)/5/100</f>
        <v>0.55769453069197783</v>
      </c>
      <c r="I294" s="170">
        <f>VLOOKUP(A294,Resultados!A$2:B692,2,FALSE)</f>
        <v>0</v>
      </c>
      <c r="J294" s="5">
        <f>IFERROR(VLOOKUP(A294,Demográfico!A$2:E$400,5,FALSE)/(VLOOKUP(C294,Metodologia!A$2:G$9,7,FALSE))*D294,0)</f>
        <v>7.9939670833807167E-2</v>
      </c>
      <c r="K294" s="72">
        <f>(J294*(1+H294)-I294)</f>
        <v>0.12452158804313844</v>
      </c>
      <c r="L294" s="3">
        <v>1</v>
      </c>
      <c r="M294" s="66">
        <f>VLOOKUP(A294,Demográfico!A$2:E$400,5,FALSE)*H294</f>
        <v>390.38617148438448</v>
      </c>
      <c r="N294" s="68">
        <f>IFERROR(FLOOR(K294,1),0)</f>
        <v>0</v>
      </c>
      <c r="O294" s="68">
        <f>K294-N294</f>
        <v>0.12452158804313844</v>
      </c>
      <c r="P294" s="65">
        <f>IFERROR(RANK(O294,O$2:O$400,0),0)</f>
        <v>270</v>
      </c>
      <c r="Q294" s="3">
        <f>N294+IF(P294&lt;P$1,1,0)</f>
        <v>0</v>
      </c>
      <c r="S294" s="65">
        <f>VLOOKUP(A294,Demográfico!A$2:E$400,5,FALSE)*(H294)</f>
        <v>390.38617148438448</v>
      </c>
      <c r="T294" s="79">
        <f>IFERROR(D294/D294,0)</f>
        <v>1</v>
      </c>
      <c r="U294" s="65">
        <f t="shared" si="4"/>
        <v>390.38617148438448</v>
      </c>
    </row>
    <row r="295" spans="1:21" ht="19.5" x14ac:dyDescent="0.25">
      <c r="A295" s="2" t="s">
        <v>299</v>
      </c>
      <c r="B295" s="168">
        <v>5168</v>
      </c>
      <c r="C295" s="169" t="str" cm="1">
        <f t="array" ref="C295">_xlfn.IFS(B295&lt;5000, "P1",B295&lt;20000, "P2",B295&lt;70000, "P3",B295&lt;100000, "P4",B295&lt;200000,"M1",B295&lt;500000,"M2",B295&lt;1000000,"G1",B295&gt;1000000,"G2")</f>
        <v>P2</v>
      </c>
      <c r="D295" s="170">
        <f>VLOOKUP(C295,Metodologia!A$2:H$9,8,FALSE)</f>
        <v>32.634342822133917</v>
      </c>
      <c r="E295" s="171">
        <f>VLOOKUP(A295,Educacional!A$2:P$405,16,FALSE)</f>
        <v>52.096460438098603</v>
      </c>
      <c r="F295" s="171">
        <f>VLOOKUP(A295,Demográfico!A$2:L$405,12,FALSE)</f>
        <v>13.747061182162144</v>
      </c>
      <c r="G295" s="172">
        <f>VLOOKUP(A295,Socioeconômico!A$2:M$405,13,FALSE)</f>
        <v>36.94998324894496</v>
      </c>
      <c r="H295" s="173">
        <f>(2*E295+F295+2*G295)/5/100</f>
        <v>0.38367989711249856</v>
      </c>
      <c r="I295" s="170">
        <f>VLOOKUP(A295,Resultados!A$2:B693,2,FALSE)</f>
        <v>0</v>
      </c>
      <c r="J295" s="5">
        <f>IFERROR(VLOOKUP(A295,Demográfico!A$2:E$400,5,FALSE)/(VLOOKUP(C295,Metodologia!A$2:G$9,7,FALSE))*D295,0)</f>
        <v>6.6235727262297373E-2</v>
      </c>
      <c r="K295" s="72">
        <f>(J295*(1+H295)-I295)</f>
        <v>9.1649044283467151E-2</v>
      </c>
      <c r="L295" s="3">
        <v>0</v>
      </c>
      <c r="M295" s="66">
        <f>VLOOKUP(A295,Demográfico!A$2:E$400,5,FALSE)*H295</f>
        <v>222.53434032524916</v>
      </c>
      <c r="N295" s="68">
        <f>IFERROR(FLOOR(K295,1),0)</f>
        <v>0</v>
      </c>
      <c r="O295" s="68">
        <f>K295-N295</f>
        <v>9.1649044283467151E-2</v>
      </c>
      <c r="P295" s="65">
        <f>IFERROR(RANK(O295,O$2:O$400,0),0)</f>
        <v>317</v>
      </c>
      <c r="Q295" s="3">
        <f>N295+IF(P295&lt;P$1,1,0)</f>
        <v>0</v>
      </c>
      <c r="S295" s="65">
        <f>VLOOKUP(A295,Demográfico!A$2:E$400,5,FALSE)*(H295)</f>
        <v>222.53434032524916</v>
      </c>
      <c r="T295" s="79">
        <f>IFERROR(D295/D295,0)</f>
        <v>1</v>
      </c>
      <c r="U295" s="65">
        <f t="shared" si="4"/>
        <v>222.53434032524916</v>
      </c>
    </row>
    <row r="296" spans="1:21" ht="19.5" x14ac:dyDescent="0.25">
      <c r="A296" s="2" t="s">
        <v>300</v>
      </c>
      <c r="B296" s="168">
        <v>5142</v>
      </c>
      <c r="C296" s="169" t="str" cm="1">
        <f t="array" ref="C296">_xlfn.IFS(B296&lt;5000, "P1",B296&lt;20000, "P2",B296&lt;70000, "P3",B296&lt;100000, "P4",B296&lt;200000,"M1",B296&lt;500000,"M2",B296&lt;1000000,"G1",B296&gt;1000000,"G2")</f>
        <v>P2</v>
      </c>
      <c r="D296" s="170">
        <f>VLOOKUP(C296,Metodologia!A$2:H$9,8,FALSE)</f>
        <v>32.634342822133917</v>
      </c>
      <c r="E296" s="171">
        <f>VLOOKUP(A296,Educacional!A$2:P$405,16,FALSE)</f>
        <v>29.88875744386263</v>
      </c>
      <c r="F296" s="171">
        <f>VLOOKUP(A296,Demográfico!A$2:L$405,12,FALSE)</f>
        <v>14.863020255470765</v>
      </c>
      <c r="G296" s="172">
        <f>VLOOKUP(A296,Socioeconômico!A$2:M$405,13,FALSE)</f>
        <v>47.859242974550256</v>
      </c>
      <c r="H296" s="173">
        <f>(2*E296+F296+2*G296)/5/100</f>
        <v>0.34071804218459306</v>
      </c>
      <c r="I296" s="170">
        <f>VLOOKUP(A296,Resultados!A$2:B694,2,FALSE)</f>
        <v>0</v>
      </c>
      <c r="J296" s="5">
        <f>IFERROR(VLOOKUP(A296,Demográfico!A$2:E$400,5,FALSE)/(VLOOKUP(C296,Metodologia!A$2:G$9,7,FALSE))*D296,0)</f>
        <v>6.7491922089685769E-2</v>
      </c>
      <c r="K296" s="72">
        <f>(J296*(1+H296)-I296)</f>
        <v>9.0487637647358593E-2</v>
      </c>
      <c r="L296" s="3">
        <v>0</v>
      </c>
      <c r="M296" s="66">
        <f>VLOOKUP(A296,Demográfico!A$2:E$400,5,FALSE)*H296</f>
        <v>201.36436293109449</v>
      </c>
      <c r="N296" s="68">
        <f>IFERROR(FLOOR(K296,1),0)</f>
        <v>0</v>
      </c>
      <c r="O296" s="68">
        <f>K296-N296</f>
        <v>9.0487637647358593E-2</v>
      </c>
      <c r="P296" s="65">
        <f>IFERROR(RANK(O296,O$2:O$400,0),0)</f>
        <v>320</v>
      </c>
      <c r="Q296" s="3">
        <f>N296+IF(P296&lt;P$1,1,0)</f>
        <v>0</v>
      </c>
      <c r="S296" s="65">
        <f>VLOOKUP(A296,Demográfico!A$2:E$400,5,FALSE)*(H296)</f>
        <v>201.36436293109449</v>
      </c>
      <c r="T296" s="79">
        <f>IFERROR(D296/D296,0)</f>
        <v>1</v>
      </c>
      <c r="U296" s="65">
        <f t="shared" si="4"/>
        <v>201.36436293109449</v>
      </c>
    </row>
    <row r="297" spans="1:21" ht="19.5" x14ac:dyDescent="0.25">
      <c r="A297" s="2" t="s">
        <v>301</v>
      </c>
      <c r="B297" s="168">
        <v>5007</v>
      </c>
      <c r="C297" s="169" t="str" cm="1">
        <f t="array" ref="C297">_xlfn.IFS(B297&lt;5000, "P1",B297&lt;20000, "P2",B297&lt;70000, "P3",B297&lt;100000, "P4",B297&lt;200000,"M1",B297&lt;500000,"M2",B297&lt;1000000,"G1",B297&gt;1000000,"G2")</f>
        <v>P2</v>
      </c>
      <c r="D297" s="170">
        <f>VLOOKUP(C297,Metodologia!A$2:H$9,8,FALSE)</f>
        <v>32.634342822133917</v>
      </c>
      <c r="E297" s="171">
        <f>VLOOKUP(A297,Educacional!A$2:P$405,16,FALSE)</f>
        <v>60.714378924852753</v>
      </c>
      <c r="F297" s="171">
        <f>VLOOKUP(A297,Demográfico!A$2:L$405,12,FALSE)</f>
        <v>59.005717107345376</v>
      </c>
      <c r="G297" s="172">
        <f>VLOOKUP(A297,Socioeconômico!A$2:M$405,13,FALSE)</f>
        <v>30.391227501708201</v>
      </c>
      <c r="H297" s="173">
        <f>(2*E297+F297+2*G297)/5/100</f>
        <v>0.48243385992093457</v>
      </c>
      <c r="I297" s="170">
        <f>VLOOKUP(A297,Resultados!A$2:B695,2,FALSE)</f>
        <v>0</v>
      </c>
      <c r="J297" s="5">
        <f>IFERROR(VLOOKUP(A297,Demográfico!A$2:E$400,5,FALSE)/(VLOOKUP(C297,Metodologia!A$2:G$9,7,FALSE))*D297,0)</f>
        <v>6.9319114565887074E-2</v>
      </c>
      <c r="K297" s="72">
        <f>(J297*(1+H297)-I297)</f>
        <v>0.10276100257220945</v>
      </c>
      <c r="L297" s="3">
        <v>1</v>
      </c>
      <c r="M297" s="66">
        <f>VLOOKUP(A297,Demográfico!A$2:E$400,5,FALSE)*H297</f>
        <v>292.8373529720073</v>
      </c>
      <c r="N297" s="68">
        <f>IFERROR(FLOOR(K297,1),0)</f>
        <v>0</v>
      </c>
      <c r="O297" s="68">
        <f>K297-N297</f>
        <v>0.10276100257220945</v>
      </c>
      <c r="P297" s="65">
        <f>IFERROR(RANK(O297,O$2:O$400,0),0)</f>
        <v>298</v>
      </c>
      <c r="Q297" s="3">
        <f>N297+IF(P297&lt;P$1,1,0)</f>
        <v>0</v>
      </c>
      <c r="S297" s="65">
        <f>VLOOKUP(A297,Demográfico!A$2:E$400,5,FALSE)*(H297)</f>
        <v>292.8373529720073</v>
      </c>
      <c r="T297" s="79">
        <f>IFERROR(D297/D297,0)</f>
        <v>1</v>
      </c>
      <c r="U297" s="65">
        <f t="shared" si="4"/>
        <v>292.8373529720073</v>
      </c>
    </row>
    <row r="298" spans="1:21" ht="19.5" x14ac:dyDescent="0.25">
      <c r="A298" s="2" t="s">
        <v>302</v>
      </c>
      <c r="B298" s="168">
        <v>5001</v>
      </c>
      <c r="C298" s="169" t="str" cm="1">
        <f t="array" ref="C298">_xlfn.IFS(B298&lt;5000, "P1",B298&lt;20000, "P2",B298&lt;70000, "P3",B298&lt;100000, "P4",B298&lt;200000,"M1",B298&lt;500000,"M2",B298&lt;1000000,"G1",B298&gt;1000000,"G2")</f>
        <v>P2</v>
      </c>
      <c r="D298" s="170">
        <f>VLOOKUP(C298,Metodologia!A$2:H$9,8,FALSE)</f>
        <v>32.634342822133917</v>
      </c>
      <c r="E298" s="171">
        <f>VLOOKUP(A298,Educacional!A$2:P$405,16,FALSE)</f>
        <v>62.480805379783369</v>
      </c>
      <c r="F298" s="171">
        <f>VLOOKUP(A298,Demográfico!A$2:L$405,12,FALSE)</f>
        <v>48.77091076448113</v>
      </c>
      <c r="G298" s="172">
        <f>VLOOKUP(A298,Socioeconômico!A$2:M$405,13,FALSE)</f>
        <v>44.119367988660422</v>
      </c>
      <c r="H298" s="173">
        <f>(2*E298+F298+2*G298)/5/100</f>
        <v>0.52394251500273736</v>
      </c>
      <c r="I298" s="170">
        <f>VLOOKUP(A298,Resultados!A$2:B696,2,FALSE)</f>
        <v>0</v>
      </c>
      <c r="J298" s="5">
        <f>IFERROR(VLOOKUP(A298,Demográfico!A$2:E$400,5,FALSE)/(VLOOKUP(C298,Metodologia!A$2:G$9,7,FALSE))*D298,0)</f>
        <v>7.3087699048052276E-2</v>
      </c>
      <c r="K298" s="72">
        <f>(J298*(1+H298)-I298)</f>
        <v>0.11138145190305195</v>
      </c>
      <c r="L298" s="3">
        <v>1</v>
      </c>
      <c r="M298" s="66">
        <f>VLOOKUP(A298,Demográfico!A$2:E$400,5,FALSE)*H298</f>
        <v>335.3232096017519</v>
      </c>
      <c r="N298" s="68">
        <f>IFERROR(FLOOR(K298,1),0)</f>
        <v>0</v>
      </c>
      <c r="O298" s="68">
        <f>K298-N298</f>
        <v>0.11138145190305195</v>
      </c>
      <c r="P298" s="65">
        <f>IFERROR(RANK(O298,O$2:O$400,0),0)</f>
        <v>289</v>
      </c>
      <c r="Q298" s="3">
        <f>N298+IF(P298&lt;P$1,1,0)</f>
        <v>0</v>
      </c>
      <c r="S298" s="65">
        <f>VLOOKUP(A298,Demográfico!A$2:E$400,5,FALSE)*(H298)</f>
        <v>335.3232096017519</v>
      </c>
      <c r="T298" s="79">
        <f>IFERROR(D298/D298,0)</f>
        <v>1</v>
      </c>
      <c r="U298" s="65">
        <f t="shared" si="4"/>
        <v>335.3232096017519</v>
      </c>
    </row>
    <row r="299" spans="1:21" ht="19.5" x14ac:dyDescent="0.25">
      <c r="A299" s="2" t="s">
        <v>303</v>
      </c>
      <c r="B299" s="168">
        <v>4972</v>
      </c>
      <c r="C299" s="169" t="str" cm="1">
        <f t="array" ref="C299">_xlfn.IFS(B299&lt;5000, "P1",B299&lt;20000, "P2",B299&lt;70000, "P3",B299&lt;100000, "P4",B299&lt;200000,"M1",B299&lt;500000,"M2",B299&lt;1000000,"G1",B299&gt;1000000,"G2")</f>
        <v>P1</v>
      </c>
      <c r="D299" s="170">
        <f>VLOOKUP(C299,Metodologia!A$2:H$9,8,FALSE)</f>
        <v>5.2963457913290126</v>
      </c>
      <c r="E299" s="171">
        <f>VLOOKUP(A299,Educacional!A$2:P$405,16,FALSE)</f>
        <v>76.827705354019017</v>
      </c>
      <c r="F299" s="171">
        <f>VLOOKUP(A299,Demográfico!A$2:L$405,12,FALSE)</f>
        <v>66.620818772546428</v>
      </c>
      <c r="G299" s="172">
        <f>VLOOKUP(A299,Socioeconômico!A$2:M$405,13,FALSE)</f>
        <v>53.626861295814365</v>
      </c>
      <c r="H299" s="173">
        <f>(2*E299+F299+2*G299)/5/100</f>
        <v>0.65505990414442639</v>
      </c>
      <c r="I299" s="170">
        <f>VLOOKUP(A299,Resultados!A$2:B697,2,FALSE)</f>
        <v>0</v>
      </c>
      <c r="J299" s="5">
        <f>IFERROR(VLOOKUP(A299,Demográfico!A$2:E$400,5,FALSE)/(VLOOKUP(C299,Metodologia!A$2:G$9,7,FALSE))*D299,0)</f>
        <v>7.4572292934965825E-2</v>
      </c>
      <c r="K299" s="72">
        <f>(J299*(1+H299)-I299)</f>
        <v>0.12342161199677464</v>
      </c>
      <c r="L299" s="3">
        <v>1</v>
      </c>
      <c r="M299" s="166">
        <f>VLOOKUP(A299,Demográfico!A$2:E$400,5,FALSE)*H299</f>
        <v>427.75411740631046</v>
      </c>
      <c r="N299" s="68">
        <f>IFERROR(FLOOR(K299,1),0)</f>
        <v>0</v>
      </c>
      <c r="O299" s="68">
        <f>K299-N299</f>
        <v>0.12342161199677464</v>
      </c>
      <c r="P299" s="65">
        <f>IFERROR(RANK(O299,O$2:O$400,0),0)</f>
        <v>273</v>
      </c>
      <c r="Q299" s="3">
        <f>N299+IF(P299&lt;P$1,1,0)</f>
        <v>0</v>
      </c>
      <c r="S299" s="65">
        <f>VLOOKUP(A299,Demográfico!A$2:E$400,5,FALSE)*(H299)</f>
        <v>427.75411740631046</v>
      </c>
      <c r="T299" s="79">
        <f>IFERROR(D299/D299,0)</f>
        <v>1</v>
      </c>
      <c r="U299" s="65">
        <f t="shared" si="4"/>
        <v>427.75411740631046</v>
      </c>
    </row>
    <row r="300" spans="1:21" ht="19.5" x14ac:dyDescent="0.25">
      <c r="A300" s="2" t="s">
        <v>304</v>
      </c>
      <c r="B300" s="168">
        <v>4941</v>
      </c>
      <c r="C300" s="169" t="str" cm="1">
        <f t="array" ref="C300">_xlfn.IFS(B300&lt;5000, "P1",B300&lt;20000, "P2",B300&lt;70000, "P3",B300&lt;100000, "P4",B300&lt;200000,"M1",B300&lt;500000,"M2",B300&lt;1000000,"G1",B300&gt;1000000,"G2")</f>
        <v>P1</v>
      </c>
      <c r="D300" s="170">
        <f>VLOOKUP(C300,Metodologia!A$2:H$9,8,FALSE)</f>
        <v>5.2963457913290126</v>
      </c>
      <c r="E300" s="171">
        <f>VLOOKUP(A300,Educacional!A$2:P$405,16,FALSE)</f>
        <v>80.237186746122859</v>
      </c>
      <c r="F300" s="171">
        <f>VLOOKUP(A300,Demográfico!A$2:L$405,12,FALSE)</f>
        <v>54.69356845646486</v>
      </c>
      <c r="G300" s="172">
        <f>VLOOKUP(A300,Socioeconômico!A$2:M$405,13,FALSE)</f>
        <v>47.428300378246711</v>
      </c>
      <c r="H300" s="173">
        <f>(2*E300+F300+2*G300)/5/100</f>
        <v>0.62004908541040793</v>
      </c>
      <c r="I300" s="170">
        <f>VLOOKUP(A300,Resultados!A$2:B698,2,FALSE)</f>
        <v>0</v>
      </c>
      <c r="J300" s="5">
        <f>IFERROR(VLOOKUP(A300,Demográfico!A$2:E$400,5,FALSE)/(VLOOKUP(C300,Metodologia!A$2:G$9,7,FALSE))*D300,0)</f>
        <v>7.9026074595706514E-2</v>
      </c>
      <c r="K300" s="72">
        <f>(J300*(1+H300)-I300)</f>
        <v>0.12802611987234902</v>
      </c>
      <c r="L300" s="3">
        <v>1</v>
      </c>
      <c r="M300" s="66">
        <f>VLOOKUP(A300,Demográfico!A$2:E$400,5,FALSE)*H300</f>
        <v>429.07396710400229</v>
      </c>
      <c r="N300" s="68">
        <f>IFERROR(FLOOR(K300,1),0)</f>
        <v>0</v>
      </c>
      <c r="O300" s="68">
        <f>K300-N300</f>
        <v>0.12802611987234902</v>
      </c>
      <c r="P300" s="65">
        <f>IFERROR(RANK(O300,O$2:O$400,0),0)</f>
        <v>267</v>
      </c>
      <c r="Q300" s="3">
        <f>N300+IF(P300&lt;P$1,1,0)</f>
        <v>0</v>
      </c>
      <c r="S300" s="65">
        <f>VLOOKUP(A300,Demográfico!A$2:E$400,5,FALSE)*(H300)</f>
        <v>429.07396710400229</v>
      </c>
      <c r="T300" s="79">
        <f>IFERROR(D300/D300,0)</f>
        <v>1</v>
      </c>
      <c r="U300" s="65">
        <f t="shared" si="4"/>
        <v>429.07396710400229</v>
      </c>
    </row>
    <row r="301" spans="1:21" ht="19.5" x14ac:dyDescent="0.25">
      <c r="A301" s="2" t="s">
        <v>305</v>
      </c>
      <c r="B301" s="168">
        <v>4926</v>
      </c>
      <c r="C301" s="169" t="str" cm="1">
        <f t="array" ref="C301">_xlfn.IFS(B301&lt;5000, "P1",B301&lt;20000, "P2",B301&lt;70000, "P3",B301&lt;100000, "P4",B301&lt;200000,"M1",B301&lt;500000,"M2",B301&lt;1000000,"G1",B301&gt;1000000,"G2")</f>
        <v>P1</v>
      </c>
      <c r="D301" s="170">
        <f>VLOOKUP(C301,Metodologia!A$2:H$9,8,FALSE)</f>
        <v>5.2963457913290126</v>
      </c>
      <c r="E301" s="171">
        <f>VLOOKUP(A301,Educacional!A$2:P$405,16,FALSE)</f>
        <v>61.967747227292669</v>
      </c>
      <c r="F301" s="171">
        <f>VLOOKUP(A301,Demográfico!A$2:L$405,12,FALSE)</f>
        <v>50.25603538912209</v>
      </c>
      <c r="G301" s="172">
        <f>VLOOKUP(A301,Socioeconômico!A$2:M$405,13,FALSE)</f>
        <v>53.639662793968377</v>
      </c>
      <c r="H301" s="173">
        <f>(2*E301+F301+2*G301)/5/100</f>
        <v>0.56294171086328826</v>
      </c>
      <c r="I301" s="170">
        <f>VLOOKUP(A301,Resultados!A$2:B699,2,FALSE)</f>
        <v>0</v>
      </c>
      <c r="J301" s="5">
        <f>IFERROR(VLOOKUP(A301,Demográfico!A$2:E$400,5,FALSE)/(VLOOKUP(C301,Metodologia!A$2:G$9,7,FALSE))*D301,0)</f>
        <v>8.2908858607634292E-2</v>
      </c>
      <c r="K301" s="72">
        <f>(J301*(1+H301)-I301)</f>
        <v>0.12958171331793839</v>
      </c>
      <c r="L301" s="3">
        <v>1</v>
      </c>
      <c r="M301" s="66">
        <f>VLOOKUP(A301,Demográfico!A$2:E$400,5,FALSE)*H301</f>
        <v>408.6956820867473</v>
      </c>
      <c r="N301" s="68">
        <f>IFERROR(FLOOR(K301,1),0)</f>
        <v>0</v>
      </c>
      <c r="O301" s="68">
        <f>K301-N301</f>
        <v>0.12958171331793839</v>
      </c>
      <c r="P301" s="65">
        <f>IFERROR(RANK(O301,O$2:O$400,0),0)</f>
        <v>263</v>
      </c>
      <c r="Q301" s="3">
        <f>N301+IF(P301&lt;P$1,1,0)</f>
        <v>0</v>
      </c>
      <c r="S301" s="65">
        <f>VLOOKUP(A301,Demográfico!A$2:E$400,5,FALSE)*(H301)</f>
        <v>408.6956820867473</v>
      </c>
      <c r="T301" s="79">
        <f>IFERROR(D301/D301,0)</f>
        <v>1</v>
      </c>
      <c r="U301" s="65">
        <f t="shared" si="4"/>
        <v>408.6956820867473</v>
      </c>
    </row>
    <row r="302" spans="1:21" ht="19.5" x14ac:dyDescent="0.25">
      <c r="A302" s="2" t="s">
        <v>306</v>
      </c>
      <c r="B302" s="168">
        <v>4880</v>
      </c>
      <c r="C302" s="169" t="str" cm="1">
        <f t="array" ref="C302">_xlfn.IFS(B302&lt;5000, "P1",B302&lt;20000, "P2",B302&lt;70000, "P3",B302&lt;100000, "P4",B302&lt;200000,"M1",B302&lt;500000,"M2",B302&lt;1000000,"G1",B302&gt;1000000,"G2")</f>
        <v>P1</v>
      </c>
      <c r="D302" s="170">
        <f>VLOOKUP(C302,Metodologia!A$2:H$9,8,FALSE)</f>
        <v>5.2963457913290126</v>
      </c>
      <c r="E302" s="171">
        <f>VLOOKUP(A302,Educacional!A$2:P$405,16,FALSE)</f>
        <v>51.382656289787143</v>
      </c>
      <c r="F302" s="171">
        <f>VLOOKUP(A302,Demográfico!A$2:L$405,12,FALSE)</f>
        <v>28.588925690937344</v>
      </c>
      <c r="G302" s="172">
        <f>VLOOKUP(A302,Socioeconômico!A$2:M$405,13,FALSE)</f>
        <v>40.53827965586553</v>
      </c>
      <c r="H302" s="173">
        <f>(2*E302+F302+2*G302)/5/100</f>
        <v>0.42486159516448541</v>
      </c>
      <c r="I302" s="170">
        <f>VLOOKUP(A302,Resultados!A$2:B700,2,FALSE)</f>
        <v>0</v>
      </c>
      <c r="J302" s="5">
        <f>IFERROR(VLOOKUP(A302,Demográfico!A$2:E$400,5,FALSE)/(VLOOKUP(C302,Metodologia!A$2:G$9,7,FALSE))*D302,0)</f>
        <v>7.0232710803987727E-2</v>
      </c>
      <c r="K302" s="72">
        <f>(J302*(1+H302)-I302)</f>
        <v>0.10007189234889594</v>
      </c>
      <c r="L302" s="3">
        <v>0</v>
      </c>
      <c r="M302" s="66">
        <f>VLOOKUP(A302,Demográfico!A$2:E$400,5,FALSE)*H302</f>
        <v>261.28988102615853</v>
      </c>
      <c r="N302" s="68">
        <f>IFERROR(FLOOR(K302,1),0)</f>
        <v>0</v>
      </c>
      <c r="O302" s="68">
        <f>K302-N302</f>
        <v>0.10007189234889594</v>
      </c>
      <c r="P302" s="65">
        <f>IFERROR(RANK(O302,O$2:O$400,0),0)</f>
        <v>305</v>
      </c>
      <c r="Q302" s="3">
        <f>N302+IF(P302&lt;P$1,1,0)</f>
        <v>0</v>
      </c>
      <c r="S302" s="65">
        <f>VLOOKUP(A302,Demográfico!A$2:E$400,5,FALSE)*(H302)</f>
        <v>261.28988102615853</v>
      </c>
      <c r="T302" s="79">
        <f>IFERROR(D302/D302,0)</f>
        <v>1</v>
      </c>
      <c r="U302" s="65">
        <f t="shared" si="4"/>
        <v>261.28988102615853</v>
      </c>
    </row>
    <row r="303" spans="1:21" ht="19.5" x14ac:dyDescent="0.25">
      <c r="A303" s="2" t="s">
        <v>307</v>
      </c>
      <c r="B303" s="168">
        <v>4872</v>
      </c>
      <c r="C303" s="169" t="str" cm="1">
        <f t="array" ref="C303">_xlfn.IFS(B303&lt;5000, "P1",B303&lt;20000, "P2",B303&lt;70000, "P3",B303&lt;100000, "P4",B303&lt;200000,"M1",B303&lt;500000,"M2",B303&lt;1000000,"G1",B303&gt;1000000,"G2")</f>
        <v>P1</v>
      </c>
      <c r="D303" s="170">
        <f>VLOOKUP(C303,Metodologia!A$2:H$9,8,FALSE)</f>
        <v>5.2963457913290126</v>
      </c>
      <c r="E303" s="171">
        <f>VLOOKUP(A303,Educacional!A$2:P$405,16,FALSE)</f>
        <v>58.65364006723253</v>
      </c>
      <c r="F303" s="171">
        <f>VLOOKUP(A303,Demográfico!A$2:L$405,12,FALSE)</f>
        <v>18.710896830788791</v>
      </c>
      <c r="G303" s="172">
        <f>VLOOKUP(A303,Socioeconômico!A$2:M$405,13,FALSE)</f>
        <v>56.982565677547889</v>
      </c>
      <c r="H303" s="173">
        <f>(2*E303+F303+2*G303)/5/100</f>
        <v>0.49996661664069925</v>
      </c>
      <c r="I303" s="170">
        <f>VLOOKUP(A303,Resultados!A$2:B701,2,FALSE)</f>
        <v>0</v>
      </c>
      <c r="J303" s="5">
        <f>IFERROR(VLOOKUP(A303,Demográfico!A$2:E$400,5,FALSE)/(VLOOKUP(C303,Metodologia!A$2:G$9,7,FALSE))*D303,0)</f>
        <v>6.5436330553959296E-2</v>
      </c>
      <c r="K303" s="72">
        <f>(J303*(1+H303)-I303)</f>
        <v>9.8152311346404744E-2</v>
      </c>
      <c r="L303" s="3">
        <v>0</v>
      </c>
      <c r="M303" s="66">
        <f>VLOOKUP(A303,Demográfico!A$2:E$400,5,FALSE)*H303</f>
        <v>286.4808713351207</v>
      </c>
      <c r="N303" s="68">
        <f>IFERROR(FLOOR(K303,1),0)</f>
        <v>0</v>
      </c>
      <c r="O303" s="68">
        <f>K303-N303</f>
        <v>9.8152311346404744E-2</v>
      </c>
      <c r="P303" s="65">
        <f>IFERROR(RANK(O303,O$2:O$400,0),0)</f>
        <v>309</v>
      </c>
      <c r="Q303" s="3">
        <f>N303+IF(P303&lt;P$1,1,0)</f>
        <v>0</v>
      </c>
      <c r="S303" s="65">
        <f>VLOOKUP(A303,Demográfico!A$2:E$400,5,FALSE)*(H303)</f>
        <v>286.4808713351207</v>
      </c>
      <c r="T303" s="79">
        <f>IFERROR(D303/D303,0)</f>
        <v>1</v>
      </c>
      <c r="U303" s="65">
        <f t="shared" si="4"/>
        <v>286.4808713351207</v>
      </c>
    </row>
    <row r="304" spans="1:21" ht="19.5" x14ac:dyDescent="0.25">
      <c r="A304" s="2" t="s">
        <v>308</v>
      </c>
      <c r="B304" s="168">
        <v>4854</v>
      </c>
      <c r="C304" s="169" t="str" cm="1">
        <f t="array" ref="C304">_xlfn.IFS(B304&lt;5000, "P1",B304&lt;20000, "P2",B304&lt;70000, "P3",B304&lt;100000, "P4",B304&lt;200000,"M1",B304&lt;500000,"M2",B304&lt;1000000,"G1",B304&gt;1000000,"G2")</f>
        <v>P1</v>
      </c>
      <c r="D304" s="170">
        <f>VLOOKUP(C304,Metodologia!A$2:H$9,8,FALSE)</f>
        <v>5.2963457913290126</v>
      </c>
      <c r="E304" s="171">
        <f>VLOOKUP(A304,Educacional!A$2:P$405,16,FALSE)</f>
        <v>41.120123920801646</v>
      </c>
      <c r="F304" s="171">
        <f>VLOOKUP(A304,Demográfico!A$2:L$405,12,FALSE)</f>
        <v>28.459092464889473</v>
      </c>
      <c r="G304" s="172">
        <f>VLOOKUP(A304,Socioeconômico!A$2:M$405,13,FALSE)</f>
        <v>47.53679863422807</v>
      </c>
      <c r="H304" s="173">
        <f>(2*E304+F304+2*G304)/5/100</f>
        <v>0.41154587514989788</v>
      </c>
      <c r="I304" s="170">
        <f>VLOOKUP(A304,Resultados!A$2:B702,2,FALSE)</f>
        <v>0</v>
      </c>
      <c r="J304" s="5">
        <f>IFERROR(VLOOKUP(A304,Demográfico!A$2:E$400,5,FALSE)/(VLOOKUP(C304,Metodologia!A$2:G$9,7,FALSE))*D304,0)</f>
        <v>6.6235727262297359E-2</v>
      </c>
      <c r="K304" s="72">
        <f>(J304*(1+H304)-I304)</f>
        <v>9.3494767604649476E-2</v>
      </c>
      <c r="L304" s="3">
        <v>0</v>
      </c>
      <c r="M304" s="66">
        <f>VLOOKUP(A304,Demográfico!A$2:E$400,5,FALSE)*H304</f>
        <v>238.69660758694076</v>
      </c>
      <c r="N304" s="68">
        <f>IFERROR(FLOOR(K304,1),0)</f>
        <v>0</v>
      </c>
      <c r="O304" s="68">
        <f>K304-N304</f>
        <v>9.3494767604649476E-2</v>
      </c>
      <c r="P304" s="65">
        <f>IFERROR(RANK(O304,O$2:O$400,0),0)</f>
        <v>313</v>
      </c>
      <c r="Q304" s="3">
        <f>N304+IF(P304&lt;P$1,1,0)</f>
        <v>0</v>
      </c>
      <c r="S304" s="65">
        <f>VLOOKUP(A304,Demográfico!A$2:E$400,5,FALSE)*(H304)</f>
        <v>238.69660758694076</v>
      </c>
      <c r="T304" s="79">
        <f>IFERROR(D304/D304,0)</f>
        <v>1</v>
      </c>
      <c r="U304" s="65">
        <f t="shared" si="4"/>
        <v>238.69660758694076</v>
      </c>
    </row>
    <row r="305" spans="1:21" ht="19.5" x14ac:dyDescent="0.25">
      <c r="A305" s="2" t="s">
        <v>309</v>
      </c>
      <c r="B305" s="168">
        <v>4813</v>
      </c>
      <c r="C305" s="169" t="str" cm="1">
        <f t="array" ref="C305">_xlfn.IFS(B305&lt;5000, "P1",B305&lt;20000, "P2",B305&lt;70000, "P3",B305&lt;100000, "P4",B305&lt;200000,"M1",B305&lt;500000,"M2",B305&lt;1000000,"G1",B305&gt;1000000,"G2")</f>
        <v>P1</v>
      </c>
      <c r="D305" s="170">
        <f>VLOOKUP(C305,Metodologia!A$2:H$9,8,FALSE)</f>
        <v>5.2963457913290126</v>
      </c>
      <c r="E305" s="171">
        <f>VLOOKUP(A305,Educacional!A$2:P$405,16,FALSE)</f>
        <v>30.6900002022766</v>
      </c>
      <c r="F305" s="171">
        <f>VLOOKUP(A305,Demográfico!A$2:L$405,12,FALSE)</f>
        <v>75.428648555537208</v>
      </c>
      <c r="G305" s="172">
        <f>VLOOKUP(A305,Socioeconômico!A$2:M$405,13,FALSE)</f>
        <v>51.273573736919801</v>
      </c>
      <c r="H305" s="173">
        <f>(2*E305+F305+2*G305)/5/100</f>
        <v>0.47871159286786003</v>
      </c>
      <c r="I305" s="170">
        <f>VLOOKUP(A305,Resultados!A$2:B703,2,FALSE)</f>
        <v>0</v>
      </c>
      <c r="J305" s="5">
        <f>IFERROR(VLOOKUP(A305,Demográfico!A$2:E$400,5,FALSE)/(VLOOKUP(C305,Metodologia!A$2:G$9,7,FALSE))*D305,0)</f>
        <v>6.9090715506361908E-2</v>
      </c>
      <c r="K305" s="72">
        <f>(J305*(1+H305)-I305)</f>
        <v>0.10216524197879258</v>
      </c>
      <c r="L305" s="3">
        <v>0</v>
      </c>
      <c r="M305" s="66">
        <f>VLOOKUP(A305,Demográfico!A$2:E$400,5,FALSE)*H305</f>
        <v>289.6205136850553</v>
      </c>
      <c r="N305" s="68">
        <f>IFERROR(FLOOR(K305,1),0)</f>
        <v>0</v>
      </c>
      <c r="O305" s="68">
        <f>K305-N305</f>
        <v>0.10216524197879258</v>
      </c>
      <c r="P305" s="65">
        <f>IFERROR(RANK(O305,O$2:O$400,0),0)</f>
        <v>299</v>
      </c>
      <c r="Q305" s="3">
        <f>N305+IF(P305&lt;P$1,1,0)</f>
        <v>0</v>
      </c>
      <c r="S305" s="65">
        <f>VLOOKUP(A305,Demográfico!A$2:E$400,5,FALSE)*(H305)</f>
        <v>289.6205136850553</v>
      </c>
      <c r="T305" s="79">
        <f>IFERROR(D305/D305,0)</f>
        <v>1</v>
      </c>
      <c r="U305" s="65">
        <f t="shared" si="4"/>
        <v>289.6205136850553</v>
      </c>
    </row>
    <row r="306" spans="1:21" ht="19.5" x14ac:dyDescent="0.25">
      <c r="A306" s="2" t="s">
        <v>310</v>
      </c>
      <c r="B306" s="168">
        <v>4797</v>
      </c>
      <c r="C306" s="169" t="str" cm="1">
        <f t="array" ref="C306">_xlfn.IFS(B306&lt;5000, "P1",B306&lt;20000, "P2",B306&lt;70000, "P3",B306&lt;100000, "P4",B306&lt;200000,"M1",B306&lt;500000,"M2",B306&lt;1000000,"G1",B306&gt;1000000,"G2")</f>
        <v>P1</v>
      </c>
      <c r="D306" s="170">
        <f>VLOOKUP(C306,Metodologia!A$2:H$9,8,FALSE)</f>
        <v>5.2963457913290126</v>
      </c>
      <c r="E306" s="171">
        <f>VLOOKUP(A306,Educacional!A$2:P$405,16,FALSE)</f>
        <v>89.480500208265696</v>
      </c>
      <c r="F306" s="171">
        <f>VLOOKUP(A306,Demográfico!A$2:L$405,12,FALSE)</f>
        <v>41.091382428203296</v>
      </c>
      <c r="G306" s="172">
        <f>VLOOKUP(A306,Socioeconômico!A$2:M$405,13,FALSE)</f>
        <v>68.840285088524396</v>
      </c>
      <c r="H306" s="173">
        <f>(2*E306+F306+2*G306)/5/100</f>
        <v>0.71546590604356697</v>
      </c>
      <c r="I306" s="170">
        <f>VLOOKUP(A306,Resultados!A$2:B704,2,FALSE)</f>
        <v>1</v>
      </c>
      <c r="J306" s="5">
        <f>IFERROR(VLOOKUP(A306,Demográfico!A$2:E$400,5,FALSE)/(VLOOKUP(C306,Metodologia!A$2:G$9,7,FALSE))*D306,0)</f>
        <v>8.3822454845734945E-2</v>
      </c>
      <c r="K306" s="72">
        <f>(J306*(1+H306)-I306)</f>
        <v>-0.85620543655126535</v>
      </c>
      <c r="L306" s="3">
        <v>1</v>
      </c>
      <c r="M306" s="66">
        <f>VLOOKUP(A306,Demográfico!A$2:E$400,5,FALSE)*H306</f>
        <v>525.15197503597813</v>
      </c>
      <c r="N306" s="68">
        <f>IFERROR(FLOOR(K306,1),0)</f>
        <v>-1</v>
      </c>
      <c r="O306" s="68">
        <f>K306-N306</f>
        <v>0.14379456344873465</v>
      </c>
      <c r="P306" s="65">
        <f>IFERROR(RANK(O306,O$2:O$400,0),0)</f>
        <v>251</v>
      </c>
      <c r="Q306" s="3">
        <f>N306+IF(P306&lt;P$1,1,0)</f>
        <v>-1</v>
      </c>
      <c r="S306" s="65">
        <f>VLOOKUP(A306,Demográfico!A$2:E$400,5,FALSE)*(H306)</f>
        <v>525.15197503597813</v>
      </c>
      <c r="T306" s="79">
        <f>IFERROR(D306/D306,0)</f>
        <v>1</v>
      </c>
      <c r="U306" s="65">
        <f t="shared" si="4"/>
        <v>525.15197503597813</v>
      </c>
    </row>
    <row r="307" spans="1:21" ht="19.5" x14ac:dyDescent="0.25">
      <c r="A307" s="2" t="s">
        <v>311</v>
      </c>
      <c r="B307" s="168">
        <v>4792</v>
      </c>
      <c r="C307" s="169" t="str" cm="1">
        <f t="array" ref="C307">_xlfn.IFS(B307&lt;5000, "P1",B307&lt;20000, "P2",B307&lt;70000, "P3",B307&lt;100000, "P4",B307&lt;200000,"M1",B307&lt;500000,"M2",B307&lt;1000000,"G1",B307&gt;1000000,"G2")</f>
        <v>P1</v>
      </c>
      <c r="D307" s="170">
        <f>VLOOKUP(C307,Metodologia!A$2:H$9,8,FALSE)</f>
        <v>5.2963457913290126</v>
      </c>
      <c r="E307" s="171">
        <f>VLOOKUP(A307,Educacional!A$2:P$405,16,FALSE)</f>
        <v>26.47448080195764</v>
      </c>
      <c r="F307" s="171">
        <f>VLOOKUP(A307,Demográfico!A$2:L$405,12,FALSE)</f>
        <v>17.371806812704328</v>
      </c>
      <c r="G307" s="172">
        <f>VLOOKUP(A307,Socioeconômico!A$2:M$405,13,FALSE)</f>
        <v>38.298819682185858</v>
      </c>
      <c r="H307" s="173">
        <f>(2*E307+F307+2*G307)/5/100</f>
        <v>0.29383681556198271</v>
      </c>
      <c r="I307" s="170">
        <f>VLOOKUP(A307,Resultados!A$2:B705,2,FALSE)</f>
        <v>0</v>
      </c>
      <c r="J307" s="5">
        <f>IFERROR(VLOOKUP(A307,Demográfico!A$2:E$400,5,FALSE)/(VLOOKUP(C307,Metodologia!A$2:G$9,7,FALSE))*D307,0)</f>
        <v>6.0525750774168288E-2</v>
      </c>
      <c r="K307" s="72">
        <f>(J307*(1+H307)-I307)</f>
        <v>7.83104446411481E-2</v>
      </c>
      <c r="L307" s="3">
        <v>0</v>
      </c>
      <c r="M307" s="66">
        <f>VLOOKUP(A307,Demográfico!A$2:E$400,5,FALSE)*H307</f>
        <v>155.73351224785083</v>
      </c>
      <c r="N307" s="68">
        <f>IFERROR(FLOOR(K307,1),0)</f>
        <v>0</v>
      </c>
      <c r="O307" s="68">
        <f>K307-N307</f>
        <v>7.83104446411481E-2</v>
      </c>
      <c r="P307" s="65">
        <f>IFERROR(RANK(O307,O$2:O$400,0),0)</f>
        <v>344</v>
      </c>
      <c r="Q307" s="3">
        <f>N307+IF(P307&lt;P$1,1,0)</f>
        <v>0</v>
      </c>
      <c r="S307" s="65">
        <f>VLOOKUP(A307,Demográfico!A$2:E$400,5,FALSE)*(H307)</f>
        <v>155.73351224785083</v>
      </c>
      <c r="T307" s="79">
        <f>IFERROR(D307/D307,0)</f>
        <v>1</v>
      </c>
      <c r="U307" s="65">
        <f t="shared" si="4"/>
        <v>155.73351224785083</v>
      </c>
    </row>
    <row r="308" spans="1:21" ht="19.5" x14ac:dyDescent="0.25">
      <c r="A308" s="2" t="s">
        <v>312</v>
      </c>
      <c r="B308" s="168">
        <v>4762</v>
      </c>
      <c r="C308" s="169" t="str" cm="1">
        <f t="array" ref="C308">_xlfn.IFS(B308&lt;5000, "P1",B308&lt;20000, "P2",B308&lt;70000, "P3",B308&lt;100000, "P4",B308&lt;200000,"M1",B308&lt;500000,"M2",B308&lt;1000000,"G1",B308&gt;1000000,"G2")</f>
        <v>P1</v>
      </c>
      <c r="D308" s="170">
        <f>VLOOKUP(C308,Metodologia!A$2:H$9,8,FALSE)</f>
        <v>5.2963457913290126</v>
      </c>
      <c r="E308" s="171">
        <f>VLOOKUP(A308,Educacional!A$2:P$405,16,FALSE)</f>
        <v>61.66856636474126</v>
      </c>
      <c r="F308" s="171">
        <f>VLOOKUP(A308,Demográfico!A$2:L$405,12,FALSE)</f>
        <v>33.90183565764621</v>
      </c>
      <c r="G308" s="172">
        <f>VLOOKUP(A308,Socioeconômico!A$2:M$405,13,FALSE)</f>
        <v>64.338898280094654</v>
      </c>
      <c r="H308" s="173">
        <f>(2*E308+F308+2*G308)/5/100</f>
        <v>0.57183352989463609</v>
      </c>
      <c r="I308" s="170">
        <f>VLOOKUP(A308,Resultados!A$2:B706,2,FALSE)</f>
        <v>0</v>
      </c>
      <c r="J308" s="5">
        <f>IFERROR(VLOOKUP(A308,Demográfico!A$2:E$400,5,FALSE)/(VLOOKUP(C308,Metodologia!A$2:G$9,7,FALSE))*D308,0)</f>
        <v>7.5143290583778735E-2</v>
      </c>
      <c r="K308" s="72">
        <f>(J308*(1+H308)-I308)</f>
        <v>0.1181127436861993</v>
      </c>
      <c r="L308" s="3">
        <v>1</v>
      </c>
      <c r="M308" s="66">
        <f>VLOOKUP(A308,Demográfico!A$2:E$400,5,FALSE)*H308</f>
        <v>376.26646267067053</v>
      </c>
      <c r="N308" s="68">
        <f>IFERROR(FLOOR(K308,1),0)</f>
        <v>0</v>
      </c>
      <c r="O308" s="68">
        <f>K308-N308</f>
        <v>0.1181127436861993</v>
      </c>
      <c r="P308" s="65">
        <f>IFERROR(RANK(O308,O$2:O$400,0),0)</f>
        <v>279</v>
      </c>
      <c r="Q308" s="3">
        <f>N308+IF(P308&lt;P$1,1,0)</f>
        <v>0</v>
      </c>
      <c r="S308" s="65">
        <f>VLOOKUP(A308,Demográfico!A$2:E$400,5,FALSE)*(H308)</f>
        <v>376.26646267067053</v>
      </c>
      <c r="T308" s="79">
        <f>IFERROR(D308/D308,0)</f>
        <v>1</v>
      </c>
      <c r="U308" s="65">
        <f t="shared" si="4"/>
        <v>376.26646267067053</v>
      </c>
    </row>
    <row r="309" spans="1:21" ht="19.5" x14ac:dyDescent="0.25">
      <c r="A309" s="2" t="s">
        <v>313</v>
      </c>
      <c r="B309" s="168">
        <v>4748</v>
      </c>
      <c r="C309" s="169" t="str" cm="1">
        <f t="array" ref="C309">_xlfn.IFS(B309&lt;5000, "P1",B309&lt;20000, "P2",B309&lt;70000, "P3",B309&lt;100000, "P4",B309&lt;200000,"M1",B309&lt;500000,"M2",B309&lt;1000000,"G1",B309&gt;1000000,"G2")</f>
        <v>P1</v>
      </c>
      <c r="D309" s="170">
        <f>VLOOKUP(C309,Metodologia!A$2:H$9,8,FALSE)</f>
        <v>5.2963457913290126</v>
      </c>
      <c r="E309" s="171">
        <f>VLOOKUP(A309,Educacional!A$2:P$405,16,FALSE)</f>
        <v>61.275802161339222</v>
      </c>
      <c r="F309" s="171">
        <f>VLOOKUP(A309,Demográfico!A$2:L$405,12,FALSE)</f>
        <v>27.974675425800825</v>
      </c>
      <c r="G309" s="172">
        <f>VLOOKUP(A309,Socioeconômico!A$2:M$405,13,FALSE)</f>
        <v>51.440111267469611</v>
      </c>
      <c r="H309" s="173">
        <f>(2*E309+F309+2*G309)/5/100</f>
        <v>0.50681300456683698</v>
      </c>
      <c r="I309" s="170">
        <f>VLOOKUP(A309,Resultados!A$2:B707,2,FALSE)</f>
        <v>0</v>
      </c>
      <c r="J309" s="5">
        <f>IFERROR(VLOOKUP(A309,Demográfico!A$2:E$400,5,FALSE)/(VLOOKUP(C309,Metodologia!A$2:G$9,7,FALSE))*D309,0)</f>
        <v>6.4865332905146386E-2</v>
      </c>
      <c r="K309" s="72">
        <f>(J309*(1+H309)-I309)</f>
        <v>9.773992716703174E-2</v>
      </c>
      <c r="L309" s="3">
        <v>1</v>
      </c>
      <c r="M309" s="66">
        <f>VLOOKUP(A309,Demográfico!A$2:E$400,5,FALSE)*H309</f>
        <v>287.8697865939634</v>
      </c>
      <c r="N309" s="68">
        <f>IFERROR(FLOOR(K309,1),0)</f>
        <v>0</v>
      </c>
      <c r="O309" s="68">
        <f>K309-N309</f>
        <v>9.773992716703174E-2</v>
      </c>
      <c r="P309" s="65">
        <f>IFERROR(RANK(O309,O$2:O$400,0),0)</f>
        <v>310</v>
      </c>
      <c r="Q309" s="3">
        <f>N309+IF(P309&lt;P$1,1,0)</f>
        <v>0</v>
      </c>
      <c r="S309" s="65">
        <f>VLOOKUP(A309,Demográfico!A$2:E$400,5,FALSE)*(H309)</f>
        <v>287.8697865939634</v>
      </c>
      <c r="T309" s="79">
        <f>IFERROR(D309/D309,0)</f>
        <v>1</v>
      </c>
      <c r="U309" s="65">
        <f t="shared" si="4"/>
        <v>287.8697865939634</v>
      </c>
    </row>
    <row r="310" spans="1:21" ht="19.5" x14ac:dyDescent="0.25">
      <c r="A310" s="2" t="s">
        <v>314</v>
      </c>
      <c r="B310" s="168">
        <v>4699</v>
      </c>
      <c r="C310" s="169" t="str" cm="1">
        <f t="array" ref="C310">_xlfn.IFS(B310&lt;5000, "P1",B310&lt;20000, "P2",B310&lt;70000, "P3",B310&lt;100000, "P4",B310&lt;200000,"M1",B310&lt;500000,"M2",B310&lt;1000000,"G1",B310&gt;1000000,"G2")</f>
        <v>P1</v>
      </c>
      <c r="D310" s="170">
        <f>VLOOKUP(C310,Metodologia!A$2:H$9,8,FALSE)</f>
        <v>5.2963457913290126</v>
      </c>
      <c r="E310" s="171">
        <f>VLOOKUP(A310,Educacional!A$2:P$405,16,FALSE)</f>
        <v>49.178700019466618</v>
      </c>
      <c r="F310" s="171">
        <f>VLOOKUP(A310,Demográfico!A$2:L$405,12,FALSE)</f>
        <v>60.70028323687626</v>
      </c>
      <c r="G310" s="172">
        <f>VLOOKUP(A310,Socioeconômico!A$2:M$405,13,FALSE)</f>
        <v>42.126060036281373</v>
      </c>
      <c r="H310" s="173">
        <f>(2*E310+F310+2*G310)/5/100</f>
        <v>0.48661960669674448</v>
      </c>
      <c r="I310" s="170">
        <f>VLOOKUP(A310,Resultados!A$2:B708,2,FALSE)</f>
        <v>0</v>
      </c>
      <c r="J310" s="5">
        <f>IFERROR(VLOOKUP(A310,Demográfico!A$2:E$400,5,FALSE)/(VLOOKUP(C310,Metodologia!A$2:G$9,7,FALSE))*D310,0)</f>
        <v>6.8177119268261255E-2</v>
      </c>
      <c r="K310" s="72">
        <f>(J310*(1+H310)-I310)</f>
        <v>0.10135344223229958</v>
      </c>
      <c r="L310" s="3">
        <v>0</v>
      </c>
      <c r="M310" s="66">
        <f>VLOOKUP(A310,Demográfico!A$2:E$400,5,FALSE)*H310</f>
        <v>290.51190519795648</v>
      </c>
      <c r="N310" s="68">
        <f>IFERROR(FLOOR(K310,1),0)</f>
        <v>0</v>
      </c>
      <c r="O310" s="68">
        <f>K310-N310</f>
        <v>0.10135344223229958</v>
      </c>
      <c r="P310" s="65">
        <f>IFERROR(RANK(O310,O$2:O$400,0),0)</f>
        <v>302</v>
      </c>
      <c r="Q310" s="3">
        <f>N310+IF(P310&lt;P$1,1,0)</f>
        <v>0</v>
      </c>
      <c r="S310" s="65">
        <f>VLOOKUP(A310,Demográfico!A$2:E$400,5,FALSE)*(H310)</f>
        <v>290.51190519795648</v>
      </c>
      <c r="T310" s="79">
        <f>IFERROR(D310/D310,0)</f>
        <v>1</v>
      </c>
      <c r="U310" s="65">
        <f t="shared" si="4"/>
        <v>290.51190519795648</v>
      </c>
    </row>
    <row r="311" spans="1:21" ht="19.5" x14ac:dyDescent="0.25">
      <c r="A311" s="2" t="s">
        <v>315</v>
      </c>
      <c r="B311" s="168">
        <v>4626</v>
      </c>
      <c r="C311" s="169" t="str" cm="1">
        <f t="array" ref="C311">_xlfn.IFS(B311&lt;5000, "P1",B311&lt;20000, "P2",B311&lt;70000, "P3",B311&lt;100000, "P4",B311&lt;200000,"M1",B311&lt;500000,"M2",B311&lt;1000000,"G1",B311&gt;1000000,"G2")</f>
        <v>P1</v>
      </c>
      <c r="D311" s="170">
        <f>VLOOKUP(C311,Metodologia!A$2:H$9,8,FALSE)</f>
        <v>5.2963457913290126</v>
      </c>
      <c r="E311" s="171">
        <f>VLOOKUP(A311,Educacional!A$2:P$405,16,FALSE)</f>
        <v>57.353301338927665</v>
      </c>
      <c r="F311" s="171">
        <f>VLOOKUP(A311,Demográfico!A$2:L$405,12,FALSE)</f>
        <v>50.595889438036934</v>
      </c>
      <c r="G311" s="172">
        <f>VLOOKUP(A311,Socioeconômico!A$2:M$405,13,FALSE)</f>
        <v>39.524493278226863</v>
      </c>
      <c r="H311" s="173">
        <f>(2*E311+F311+2*G311)/5/100</f>
        <v>0.48870295734469194</v>
      </c>
      <c r="I311" s="170">
        <f>VLOOKUP(A311,Resultados!A$2:B709,2,FALSE)</f>
        <v>0</v>
      </c>
      <c r="J311" s="5">
        <f>IFERROR(VLOOKUP(A311,Demográfico!A$2:E$400,5,FALSE)/(VLOOKUP(C311,Metodologia!A$2:G$9,7,FALSE))*D311,0)</f>
        <v>7.7769879768318118E-2</v>
      </c>
      <c r="K311" s="72">
        <f>(J311*(1+H311)-I311)</f>
        <v>0.1157762500034363</v>
      </c>
      <c r="L311" s="3">
        <v>1</v>
      </c>
      <c r="M311" s="66">
        <f>VLOOKUP(A311,Demográfico!A$2:E$400,5,FALSE)*H311</f>
        <v>332.80671395173522</v>
      </c>
      <c r="N311" s="68">
        <f>IFERROR(FLOOR(K311,1),0)</f>
        <v>0</v>
      </c>
      <c r="O311" s="68">
        <f>K311-N311</f>
        <v>0.1157762500034363</v>
      </c>
      <c r="P311" s="65">
        <f>IFERROR(RANK(O311,O$2:O$400,0),0)</f>
        <v>282</v>
      </c>
      <c r="Q311" s="3">
        <f>N311+IF(P311&lt;P$1,1,0)</f>
        <v>0</v>
      </c>
      <c r="S311" s="65">
        <f>VLOOKUP(A311,Demográfico!A$2:E$400,5,FALSE)*(H311)</f>
        <v>332.80671395173522</v>
      </c>
      <c r="T311" s="79">
        <f>IFERROR(D311/D311,0)</f>
        <v>1</v>
      </c>
      <c r="U311" s="65">
        <f t="shared" si="4"/>
        <v>332.80671395173522</v>
      </c>
    </row>
    <row r="312" spans="1:21" ht="19.5" x14ac:dyDescent="0.25">
      <c r="A312" s="2" t="s">
        <v>316</v>
      </c>
      <c r="B312" s="168">
        <v>4601</v>
      </c>
      <c r="C312" s="169" t="str" cm="1">
        <f t="array" ref="C312">_xlfn.IFS(B312&lt;5000, "P1",B312&lt;20000, "P2",B312&lt;70000, "P3",B312&lt;100000, "P4",B312&lt;200000,"M1",B312&lt;500000,"M2",B312&lt;1000000,"G1",B312&gt;1000000,"G2")</f>
        <v>P1</v>
      </c>
      <c r="D312" s="170">
        <f>VLOOKUP(C312,Metodologia!A$2:H$9,8,FALSE)</f>
        <v>5.2963457913290126</v>
      </c>
      <c r="E312" s="171">
        <f>VLOOKUP(A312,Educacional!A$2:P$405,16,FALSE)</f>
        <v>41.690698762725994</v>
      </c>
      <c r="F312" s="171">
        <f>VLOOKUP(A312,Demográfico!A$2:L$405,12,FALSE)</f>
        <v>42.001210153766436</v>
      </c>
      <c r="G312" s="172">
        <f>VLOOKUP(A312,Socioeconômico!A$2:M$405,13,FALSE)</f>
        <v>40.764641094051612</v>
      </c>
      <c r="H312" s="173">
        <f>(2*E312+F312+2*G312)/5/100</f>
        <v>0.41382377973464329</v>
      </c>
      <c r="I312" s="170">
        <f>VLOOKUP(A312,Resultados!A$2:B710,2,FALSE)</f>
        <v>0</v>
      </c>
      <c r="J312" s="5">
        <f>IFERROR(VLOOKUP(A312,Demográfico!A$2:E$400,5,FALSE)/(VLOOKUP(C312,Metodologia!A$2:G$9,7,FALSE))*D312,0)</f>
        <v>6.4294335256333476E-2</v>
      </c>
      <c r="K312" s="72">
        <f>(J312*(1+H312)-I312)</f>
        <v>9.0900860087635732E-2</v>
      </c>
      <c r="L312" s="3">
        <v>0</v>
      </c>
      <c r="M312" s="66">
        <f>VLOOKUP(A312,Demográfico!A$2:E$400,5,FALSE)*H312</f>
        <v>232.98278799060418</v>
      </c>
      <c r="N312" s="68">
        <f>IFERROR(FLOOR(K312,1),0)</f>
        <v>0</v>
      </c>
      <c r="O312" s="68">
        <f>K312-N312</f>
        <v>9.0900860087635732E-2</v>
      </c>
      <c r="P312" s="65">
        <f>IFERROR(RANK(O312,O$2:O$400,0),0)</f>
        <v>319</v>
      </c>
      <c r="Q312" s="3">
        <f>N312+IF(P312&lt;P$1,1,0)</f>
        <v>0</v>
      </c>
      <c r="S312" s="65">
        <f>VLOOKUP(A312,Demográfico!A$2:E$400,5,FALSE)*(H312)</f>
        <v>232.98278799060418</v>
      </c>
      <c r="T312" s="79">
        <f>IFERROR(D312/D312,0)</f>
        <v>1</v>
      </c>
      <c r="U312" s="65">
        <f t="shared" si="4"/>
        <v>232.98278799060418</v>
      </c>
    </row>
    <row r="313" spans="1:21" ht="19.5" x14ac:dyDescent="0.25">
      <c r="A313" s="2" t="s">
        <v>317</v>
      </c>
      <c r="B313" s="168">
        <v>4582</v>
      </c>
      <c r="C313" s="169" t="str" cm="1">
        <f t="array" ref="C313">_xlfn.IFS(B313&lt;5000, "P1",B313&lt;20000, "P2",B313&lt;70000, "P3",B313&lt;100000, "P4",B313&lt;200000,"M1",B313&lt;500000,"M2",B313&lt;1000000,"G1",B313&gt;1000000,"G2")</f>
        <v>P1</v>
      </c>
      <c r="D313" s="170">
        <f>VLOOKUP(C313,Metodologia!A$2:H$9,8,FALSE)</f>
        <v>5.2963457913290126</v>
      </c>
      <c r="E313" s="171">
        <f>VLOOKUP(A313,Educacional!A$2:P$405,16,FALSE)</f>
        <v>26.592915921080646</v>
      </c>
      <c r="F313" s="171">
        <f>VLOOKUP(A313,Demográfico!A$2:L$405,12,FALSE)</f>
        <v>41.198676398489994</v>
      </c>
      <c r="G313" s="172">
        <f>VLOOKUP(A313,Socioeconômico!A$2:M$405,13,FALSE)</f>
        <v>53.567514934200574</v>
      </c>
      <c r="H313" s="173">
        <f>(2*E313+F313+2*G313)/5/100</f>
        <v>0.40303907621810486</v>
      </c>
      <c r="I313" s="170">
        <f>VLOOKUP(A313,Resultados!A$2:B711,2,FALSE)</f>
        <v>0</v>
      </c>
      <c r="J313" s="5">
        <f>IFERROR(VLOOKUP(A313,Demográfico!A$2:E$400,5,FALSE)/(VLOOKUP(C313,Metodologia!A$2:G$9,7,FALSE))*D313,0)</f>
        <v>5.8812757827729559E-2</v>
      </c>
      <c r="K313" s="72">
        <f>(J313*(1+H313)-I313)</f>
        <v>8.2516597412456802E-2</v>
      </c>
      <c r="L313" s="3">
        <v>0</v>
      </c>
      <c r="M313" s="66">
        <f>VLOOKUP(A313,Demográfico!A$2:E$400,5,FALSE)*H313</f>
        <v>207.56512425232401</v>
      </c>
      <c r="N313" s="68">
        <f>IFERROR(FLOOR(K313,1),0)</f>
        <v>0</v>
      </c>
      <c r="O313" s="68">
        <f>K313-N313</f>
        <v>8.2516597412456802E-2</v>
      </c>
      <c r="P313" s="65">
        <f>IFERROR(RANK(O313,O$2:O$400,0),0)</f>
        <v>335</v>
      </c>
      <c r="Q313" s="3">
        <f>N313+IF(P313&lt;P$1,1,0)</f>
        <v>0</v>
      </c>
      <c r="S313" s="65">
        <f>VLOOKUP(A313,Demográfico!A$2:E$400,5,FALSE)*(H313)</f>
        <v>207.56512425232401</v>
      </c>
      <c r="T313" s="79">
        <f>IFERROR(D313/D313,0)</f>
        <v>1</v>
      </c>
      <c r="U313" s="65">
        <f t="shared" si="4"/>
        <v>207.56512425232401</v>
      </c>
    </row>
    <row r="314" spans="1:21" ht="19.5" x14ac:dyDescent="0.25">
      <c r="A314" s="2" t="s">
        <v>318</v>
      </c>
      <c r="B314" s="168">
        <v>4575</v>
      </c>
      <c r="C314" s="169" t="str" cm="1">
        <f t="array" ref="C314">_xlfn.IFS(B314&lt;5000, "P1",B314&lt;20000, "P2",B314&lt;70000, "P3",B314&lt;100000, "P4",B314&lt;200000,"M1",B314&lt;500000,"M2",B314&lt;1000000,"G1",B314&gt;1000000,"G2")</f>
        <v>P1</v>
      </c>
      <c r="D314" s="170">
        <f>VLOOKUP(C314,Metodologia!A$2:H$9,8,FALSE)</f>
        <v>5.2963457913290126</v>
      </c>
      <c r="E314" s="171">
        <f>VLOOKUP(A314,Educacional!A$2:P$405,16,FALSE)</f>
        <v>38.543497923030998</v>
      </c>
      <c r="F314" s="171">
        <f>VLOOKUP(A314,Demográfico!A$2:L$405,12,FALSE)</f>
        <v>45.607058975984579</v>
      </c>
      <c r="G314" s="172">
        <f>VLOOKUP(A314,Socioeconômico!A$2:M$405,13,FALSE)</f>
        <v>21.955168720797065</v>
      </c>
      <c r="H314" s="173">
        <f>(2*E314+F314+2*G314)/5/100</f>
        <v>0.33320878452728137</v>
      </c>
      <c r="I314" s="170">
        <f>VLOOKUP(A314,Resultados!A$2:B712,2,FALSE)</f>
        <v>0</v>
      </c>
      <c r="J314" s="5">
        <f>IFERROR(VLOOKUP(A314,Demográfico!A$2:E$400,5,FALSE)/(VLOOKUP(C314,Metodologia!A$2:G$9,7,FALSE))*D314,0)</f>
        <v>6.5778929143247039E-2</v>
      </c>
      <c r="K314" s="72">
        <f>(J314*(1+H314)-I314)</f>
        <v>8.7697046170574541E-2</v>
      </c>
      <c r="L314" s="3">
        <v>0</v>
      </c>
      <c r="M314" s="66">
        <f>VLOOKUP(A314,Demográfico!A$2:E$400,5,FALSE)*H314</f>
        <v>191.92825988771406</v>
      </c>
      <c r="N314" s="68">
        <f>IFERROR(FLOOR(K314,1),0)</f>
        <v>0</v>
      </c>
      <c r="O314" s="68">
        <f>K314-N314</f>
        <v>8.7697046170574541E-2</v>
      </c>
      <c r="P314" s="65">
        <f>IFERROR(RANK(O314,O$2:O$400,0),0)</f>
        <v>323</v>
      </c>
      <c r="Q314" s="3">
        <f>N314+IF(P314&lt;P$1,1,0)</f>
        <v>0</v>
      </c>
      <c r="S314" s="65">
        <f>VLOOKUP(A314,Demográfico!A$2:E$400,5,FALSE)*(H314)</f>
        <v>191.92825988771406</v>
      </c>
      <c r="T314" s="79">
        <f>IFERROR(D314/D314,0)</f>
        <v>1</v>
      </c>
      <c r="U314" s="65">
        <f t="shared" si="4"/>
        <v>191.92825988771406</v>
      </c>
    </row>
    <row r="315" spans="1:21" ht="19.5" x14ac:dyDescent="0.25">
      <c r="A315" s="2" t="s">
        <v>319</v>
      </c>
      <c r="B315" s="168">
        <v>4558</v>
      </c>
      <c r="C315" s="169" t="str" cm="1">
        <f t="array" ref="C315">_xlfn.IFS(B315&lt;5000, "P1",B315&lt;20000, "P2",B315&lt;70000, "P3",B315&lt;100000, "P4",B315&lt;200000,"M1",B315&lt;500000,"M2",B315&lt;1000000,"G1",B315&gt;1000000,"G2")</f>
        <v>P1</v>
      </c>
      <c r="D315" s="170">
        <f>VLOOKUP(C315,Metodologia!A$2:H$9,8,FALSE)</f>
        <v>5.2963457913290126</v>
      </c>
      <c r="E315" s="171">
        <f>VLOOKUP(A315,Educacional!A$2:P$405,16,FALSE)</f>
        <v>38.075480564512922</v>
      </c>
      <c r="F315" s="171">
        <f>VLOOKUP(A315,Demográfico!A$2:L$405,12,FALSE)</f>
        <v>18.829879450596739</v>
      </c>
      <c r="G315" s="172">
        <f>VLOOKUP(A315,Socioeconômico!A$2:M$405,13,FALSE)</f>
        <v>35.212243021020981</v>
      </c>
      <c r="H315" s="173">
        <f>(2*E315+F315+2*G315)/5/100</f>
        <v>0.33081065324332903</v>
      </c>
      <c r="I315" s="170">
        <f>VLOOKUP(A315,Resultados!A$2:B713,2,FALSE)</f>
        <v>0</v>
      </c>
      <c r="J315" s="5">
        <f>IFERROR(VLOOKUP(A315,Demográfico!A$2:E$400,5,FALSE)/(VLOOKUP(C315,Metodologia!A$2:G$9,7,FALSE))*D315,0)</f>
        <v>6.0525750774168288E-2</v>
      </c>
      <c r="K315" s="72">
        <f>(J315*(1+H315)-I315)</f>
        <v>8.0548313925813825E-2</v>
      </c>
      <c r="L315" s="3">
        <v>0</v>
      </c>
      <c r="M315" s="66">
        <f>VLOOKUP(A315,Demográfico!A$2:E$400,5,FALSE)*H315</f>
        <v>175.3296462189644</v>
      </c>
      <c r="N315" s="68">
        <f>IFERROR(FLOOR(K315,1),0)</f>
        <v>0</v>
      </c>
      <c r="O315" s="68">
        <f>K315-N315</f>
        <v>8.0548313925813825E-2</v>
      </c>
      <c r="P315" s="65">
        <f>IFERROR(RANK(O315,O$2:O$400,0),0)</f>
        <v>339</v>
      </c>
      <c r="Q315" s="3">
        <f>N315+IF(P315&lt;P$1,1,0)</f>
        <v>0</v>
      </c>
      <c r="S315" s="65">
        <f>VLOOKUP(A315,Demográfico!A$2:E$400,5,FALSE)*(H315)</f>
        <v>175.3296462189644</v>
      </c>
      <c r="T315" s="79">
        <f>IFERROR(D315/D315,0)</f>
        <v>1</v>
      </c>
      <c r="U315" s="65">
        <f t="shared" si="4"/>
        <v>175.3296462189644</v>
      </c>
    </row>
    <row r="316" spans="1:21" ht="19.5" x14ac:dyDescent="0.25">
      <c r="A316" s="2" t="s">
        <v>320</v>
      </c>
      <c r="B316" s="168">
        <v>4557</v>
      </c>
      <c r="C316" s="169" t="str" cm="1">
        <f t="array" ref="C316">_xlfn.IFS(B316&lt;5000, "P1",B316&lt;20000, "P2",B316&lt;70000, "P3",B316&lt;100000, "P4",B316&lt;200000,"M1",B316&lt;500000,"M2",B316&lt;1000000,"G1",B316&gt;1000000,"G2")</f>
        <v>P1</v>
      </c>
      <c r="D316" s="170">
        <f>VLOOKUP(C316,Metodologia!A$2:H$9,8,FALSE)</f>
        <v>5.2963457913290126</v>
      </c>
      <c r="E316" s="171">
        <f>VLOOKUP(A316,Educacional!A$2:P$405,16,FALSE)</f>
        <v>76.679852372522802</v>
      </c>
      <c r="F316" s="171">
        <f>VLOOKUP(A316,Demográfico!A$2:L$405,12,FALSE)</f>
        <v>86.696207374668006</v>
      </c>
      <c r="G316" s="172">
        <f>VLOOKUP(A316,Socioeconômico!A$2:M$405,13,FALSE)</f>
        <v>51.9869622606113</v>
      </c>
      <c r="H316" s="173">
        <f>(2*E316+F316+2*G316)/5/100</f>
        <v>0.68805967328187234</v>
      </c>
      <c r="I316" s="170">
        <f>VLOOKUP(A316,Resultados!A$2:B714,2,FALSE)</f>
        <v>0</v>
      </c>
      <c r="J316" s="5">
        <f>IFERROR(VLOOKUP(A316,Demográfico!A$2:E$400,5,FALSE)/(VLOOKUP(C316,Metodologia!A$2:G$9,7,FALSE))*D316,0)</f>
        <v>7.8340877417131027E-2</v>
      </c>
      <c r="K316" s="72">
        <f>(J316*(1+H316)-I316)</f>
        <v>0.13224407593737741</v>
      </c>
      <c r="L316" s="3">
        <v>1</v>
      </c>
      <c r="M316" s="66">
        <f>VLOOKUP(A316,Demográfico!A$2:E$400,5,FALSE)*H316</f>
        <v>472.00893587136443</v>
      </c>
      <c r="N316" s="68">
        <f>IFERROR(FLOOR(K316,1),0)</f>
        <v>0</v>
      </c>
      <c r="O316" s="68">
        <f>K316-N316</f>
        <v>0.13224407593737741</v>
      </c>
      <c r="P316" s="65">
        <f>IFERROR(RANK(O316,O$2:O$400,0),0)</f>
        <v>259</v>
      </c>
      <c r="Q316" s="3">
        <f>N316+IF(P316&lt;P$1,1,0)</f>
        <v>0</v>
      </c>
      <c r="S316" s="65">
        <f>VLOOKUP(A316,Demográfico!A$2:E$400,5,FALSE)*(H316)</f>
        <v>472.00893587136443</v>
      </c>
      <c r="T316" s="79">
        <f>IFERROR(D316/D316,0)</f>
        <v>1</v>
      </c>
      <c r="U316" s="65">
        <f t="shared" si="4"/>
        <v>472.00893587136443</v>
      </c>
    </row>
    <row r="317" spans="1:21" ht="19.5" x14ac:dyDescent="0.25">
      <c r="A317" s="2" t="s">
        <v>321</v>
      </c>
      <c r="B317" s="168">
        <v>4504</v>
      </c>
      <c r="C317" s="169" t="str" cm="1">
        <f t="array" ref="C317">_xlfn.IFS(B317&lt;5000, "P1",B317&lt;20000, "P2",B317&lt;70000, "P3",B317&lt;100000, "P4",B317&lt;200000,"M1",B317&lt;500000,"M2",B317&lt;1000000,"G1",B317&gt;1000000,"G2")</f>
        <v>P1</v>
      </c>
      <c r="D317" s="170">
        <f>VLOOKUP(C317,Metodologia!A$2:H$9,8,FALSE)</f>
        <v>5.2963457913290126</v>
      </c>
      <c r="E317" s="171">
        <f>VLOOKUP(A317,Educacional!A$2:P$405,16,FALSE)</f>
        <v>59.706735813981517</v>
      </c>
      <c r="F317" s="171">
        <f>VLOOKUP(A317,Demográfico!A$2:L$405,12,FALSE)</f>
        <v>36.75136744010323</v>
      </c>
      <c r="G317" s="172">
        <f>VLOOKUP(A317,Socioeconômico!A$2:M$405,13,FALSE)</f>
        <v>52.446173668613426</v>
      </c>
      <c r="H317" s="173">
        <f>(2*E317+F317+2*G317)/5/100</f>
        <v>0.52211437281058626</v>
      </c>
      <c r="I317" s="170">
        <f>VLOOKUP(A317,Resultados!A$2:B715,2,FALSE)</f>
        <v>0</v>
      </c>
      <c r="J317" s="5">
        <f>IFERROR(VLOOKUP(A317,Demográfico!A$2:E$400,5,FALSE)/(VLOOKUP(C317,Metodologia!A$2:G$9,7,FALSE))*D317,0)</f>
        <v>7.4115494815915506E-2</v>
      </c>
      <c r="K317" s="72">
        <f>(J317*(1+H317)-I317)</f>
        <v>0.11281225990727348</v>
      </c>
      <c r="L317" s="3">
        <v>1</v>
      </c>
      <c r="M317" s="66">
        <f>VLOOKUP(A317,Demográfico!A$2:E$400,5,FALSE)*H317</f>
        <v>338.85222795407049</v>
      </c>
      <c r="N317" s="68">
        <f>IFERROR(FLOOR(K317,1),0)</f>
        <v>0</v>
      </c>
      <c r="O317" s="68">
        <f>K317-N317</f>
        <v>0.11281225990727348</v>
      </c>
      <c r="P317" s="65">
        <f>IFERROR(RANK(O317,O$2:O$400,0),0)</f>
        <v>287</v>
      </c>
      <c r="Q317" s="3">
        <f>N317+IF(P317&lt;P$1,1,0)</f>
        <v>0</v>
      </c>
      <c r="S317" s="65">
        <f>VLOOKUP(A317,Demográfico!A$2:E$400,5,FALSE)*(H317)</f>
        <v>338.85222795407049</v>
      </c>
      <c r="T317" s="79">
        <f>IFERROR(D317/D317,0)</f>
        <v>1</v>
      </c>
      <c r="U317" s="65">
        <f t="shared" si="4"/>
        <v>338.85222795407049</v>
      </c>
    </row>
    <row r="318" spans="1:21" ht="19.5" x14ac:dyDescent="0.25">
      <c r="A318" s="2" t="s">
        <v>322</v>
      </c>
      <c r="B318" s="168">
        <v>4494</v>
      </c>
      <c r="C318" s="169" t="str" cm="1">
        <f t="array" ref="C318">_xlfn.IFS(B318&lt;5000, "P1",B318&lt;20000, "P2",B318&lt;70000, "P3",B318&lt;100000, "P4",B318&lt;200000,"M1",B318&lt;500000,"M2",B318&lt;1000000,"G1",B318&gt;1000000,"G2")</f>
        <v>P1</v>
      </c>
      <c r="D318" s="170">
        <f>VLOOKUP(C318,Metodologia!A$2:H$9,8,FALSE)</f>
        <v>5.2963457913290126</v>
      </c>
      <c r="E318" s="171">
        <f>VLOOKUP(A318,Educacional!A$2:P$405,16,FALSE)</f>
        <v>55.639977133228747</v>
      </c>
      <c r="F318" s="171">
        <f>VLOOKUP(A318,Demográfico!A$2:L$405,12,FALSE)</f>
        <v>76.287788094458747</v>
      </c>
      <c r="G318" s="172">
        <f>VLOOKUP(A318,Socioeconômico!A$2:M$405,13,FALSE)</f>
        <v>49.503435516947597</v>
      </c>
      <c r="H318" s="173">
        <f>(2*E318+F318+2*G318)/5/100</f>
        <v>0.57314922678962288</v>
      </c>
      <c r="I318" s="170">
        <f>VLOOKUP(A318,Resultados!A$2:B716,2,FALSE)</f>
        <v>0</v>
      </c>
      <c r="J318" s="5">
        <f>IFERROR(VLOOKUP(A318,Demográfico!A$2:E$400,5,FALSE)/(VLOOKUP(C318,Metodologia!A$2:G$9,7,FALSE))*D318,0)</f>
        <v>6.3837537137283157E-2</v>
      </c>
      <c r="K318" s="72">
        <f>(J318*(1+H318)-I318)</f>
        <v>0.10042597218767084</v>
      </c>
      <c r="L318" s="3">
        <v>1</v>
      </c>
      <c r="M318" s="66">
        <f>VLOOKUP(A318,Demográfico!A$2:E$400,5,FALSE)*H318</f>
        <v>320.39041777539921</v>
      </c>
      <c r="N318" s="68">
        <f>IFERROR(FLOOR(K318,1),0)</f>
        <v>0</v>
      </c>
      <c r="O318" s="68">
        <f>K318-N318</f>
        <v>0.10042597218767084</v>
      </c>
      <c r="P318" s="65">
        <f>IFERROR(RANK(O318,O$2:O$400,0),0)</f>
        <v>304</v>
      </c>
      <c r="Q318" s="3">
        <f>N318+IF(P318&lt;P$1,1,0)</f>
        <v>0</v>
      </c>
      <c r="S318" s="65">
        <f>VLOOKUP(A318,Demográfico!A$2:E$400,5,FALSE)*(H318)</f>
        <v>320.39041777539921</v>
      </c>
      <c r="T318" s="79">
        <f>IFERROR(D318/D318,0)</f>
        <v>1</v>
      </c>
      <c r="U318" s="65">
        <f t="shared" si="4"/>
        <v>320.39041777539921</v>
      </c>
    </row>
    <row r="319" spans="1:21" ht="19.5" x14ac:dyDescent="0.25">
      <c r="A319" s="2" t="s">
        <v>323</v>
      </c>
      <c r="B319" s="168">
        <v>4492</v>
      </c>
      <c r="C319" s="169" t="str" cm="1">
        <f t="array" ref="C319">_xlfn.IFS(B319&lt;5000, "P1",B319&lt;20000, "P2",B319&lt;70000, "P3",B319&lt;100000, "P4",B319&lt;200000,"M1",B319&lt;500000,"M2",B319&lt;1000000,"G1",B319&gt;1000000,"G2")</f>
        <v>P1</v>
      </c>
      <c r="D319" s="170">
        <f>VLOOKUP(C319,Metodologia!A$2:H$9,8,FALSE)</f>
        <v>5.2963457913290126</v>
      </c>
      <c r="E319" s="171">
        <f>VLOOKUP(A319,Educacional!A$2:P$405,16,FALSE)</f>
        <v>29.925763425423241</v>
      </c>
      <c r="F319" s="171">
        <f>VLOOKUP(A319,Demográfico!A$2:L$405,12,FALSE)</f>
        <v>55.919055540002816</v>
      </c>
      <c r="G319" s="172">
        <f>VLOOKUP(A319,Socioeconômico!A$2:M$405,13,FALSE)</f>
        <v>58.117723852725035</v>
      </c>
      <c r="H319" s="173">
        <f>(2*E319+F319+2*G319)/5/100</f>
        <v>0.46401206019259872</v>
      </c>
      <c r="I319" s="170">
        <f>VLOOKUP(A319,Resultados!A$2:B717,2,FALSE)</f>
        <v>0</v>
      </c>
      <c r="J319" s="5">
        <f>IFERROR(VLOOKUP(A319,Demográfico!A$2:E$400,5,FALSE)/(VLOOKUP(C319,Metodologia!A$2:G$9,7,FALSE))*D319,0)</f>
        <v>5.7784962059866322E-2</v>
      </c>
      <c r="K319" s="72">
        <f>(J319*(1+H319)-I319)</f>
        <v>8.4597881353416046E-2</v>
      </c>
      <c r="L319" s="3">
        <v>0</v>
      </c>
      <c r="M319" s="66">
        <f>VLOOKUP(A319,Demográfico!A$2:E$400,5,FALSE)*H319</f>
        <v>234.79010245745496</v>
      </c>
      <c r="N319" s="68">
        <f>IFERROR(FLOOR(K319,1),0)</f>
        <v>0</v>
      </c>
      <c r="O319" s="68">
        <f>K319-N319</f>
        <v>8.4597881353416046E-2</v>
      </c>
      <c r="P319" s="65">
        <f>IFERROR(RANK(O319,O$2:O$400,0),0)</f>
        <v>329</v>
      </c>
      <c r="Q319" s="3">
        <f>N319+IF(P319&lt;P$1,1,0)</f>
        <v>0</v>
      </c>
      <c r="S319" s="65">
        <f>VLOOKUP(A319,Demográfico!A$2:E$400,5,FALSE)*(H319)</f>
        <v>234.79010245745496</v>
      </c>
      <c r="T319" s="79">
        <f>IFERROR(D319/D319,0)</f>
        <v>1</v>
      </c>
      <c r="U319" s="65">
        <f t="shared" si="4"/>
        <v>234.79010245745496</v>
      </c>
    </row>
    <row r="320" spans="1:21" ht="19.5" x14ac:dyDescent="0.25">
      <c r="A320" s="2" t="s">
        <v>324</v>
      </c>
      <c r="B320" s="168">
        <v>4481</v>
      </c>
      <c r="C320" s="169" t="str" cm="1">
        <f t="array" ref="C320">_xlfn.IFS(B320&lt;5000, "P1",B320&lt;20000, "P2",B320&lt;70000, "P3",B320&lt;100000, "P4",B320&lt;200000,"M1",B320&lt;500000,"M2",B320&lt;1000000,"G1",B320&gt;1000000,"G2")</f>
        <v>P1</v>
      </c>
      <c r="D320" s="170">
        <f>VLOOKUP(C320,Metodologia!A$2:H$9,8,FALSE)</f>
        <v>5.2963457913290126</v>
      </c>
      <c r="E320" s="171">
        <f>VLOOKUP(A320,Educacional!A$2:P$405,16,FALSE)</f>
        <v>39.657962235967545</v>
      </c>
      <c r="F320" s="171">
        <f>VLOOKUP(A320,Demográfico!A$2:L$405,12,FALSE)</f>
        <v>39.557548400946189</v>
      </c>
      <c r="G320" s="172">
        <f>VLOOKUP(A320,Socioeconômico!A$2:M$405,13,FALSE)</f>
        <v>42.543263400128403</v>
      </c>
      <c r="H320" s="173">
        <f>(2*E320+F320+2*G320)/5/100</f>
        <v>0.40791999934627621</v>
      </c>
      <c r="I320" s="170">
        <f>VLOOKUP(A320,Resultados!A$2:B718,2,FALSE)</f>
        <v>0</v>
      </c>
      <c r="J320" s="5">
        <f>IFERROR(VLOOKUP(A320,Demográfico!A$2:E$400,5,FALSE)/(VLOOKUP(C320,Metodologia!A$2:G$9,7,FALSE))*D320,0)</f>
        <v>7.217410280995161E-2</v>
      </c>
      <c r="K320" s="72">
        <f>(J320*(1+H320)-I320)</f>
        <v>0.10161536278100514</v>
      </c>
      <c r="L320" s="3">
        <v>0</v>
      </c>
      <c r="M320" s="66">
        <f>VLOOKUP(A320,Demográfico!A$2:E$400,5,FALSE)*H320</f>
        <v>257.80543958684655</v>
      </c>
      <c r="N320" s="68">
        <f>IFERROR(FLOOR(K320,1),0)</f>
        <v>0</v>
      </c>
      <c r="O320" s="68">
        <f>K320-N320</f>
        <v>0.10161536278100514</v>
      </c>
      <c r="P320" s="65">
        <f>IFERROR(RANK(O320,O$2:O$400,0),0)</f>
        <v>301</v>
      </c>
      <c r="Q320" s="3">
        <f>N320+IF(P320&lt;P$1,1,0)</f>
        <v>0</v>
      </c>
      <c r="S320" s="65">
        <f>VLOOKUP(A320,Demográfico!A$2:E$400,5,FALSE)*(H320)</f>
        <v>257.80543958684655</v>
      </c>
      <c r="T320" s="79">
        <f>IFERROR(D320/D320,0)</f>
        <v>1</v>
      </c>
      <c r="U320" s="65">
        <f t="shared" si="4"/>
        <v>257.80543958684655</v>
      </c>
    </row>
    <row r="321" spans="1:21" ht="19.5" x14ac:dyDescent="0.25">
      <c r="A321" s="2" t="s">
        <v>325</v>
      </c>
      <c r="B321" s="168">
        <v>4480</v>
      </c>
      <c r="C321" s="169" t="str" cm="1">
        <f t="array" ref="C321">_xlfn.IFS(B321&lt;5000, "P1",B321&lt;20000, "P2",B321&lt;70000, "P3",B321&lt;100000, "P4",B321&lt;200000,"M1",B321&lt;500000,"M2",B321&lt;1000000,"G1",B321&gt;1000000,"G2")</f>
        <v>P1</v>
      </c>
      <c r="D321" s="170">
        <f>VLOOKUP(C321,Metodologia!A$2:H$9,8,FALSE)</f>
        <v>5.2963457913290126</v>
      </c>
      <c r="E321" s="171">
        <f>VLOOKUP(A321,Educacional!A$2:P$405,16,FALSE)</f>
        <v>28.643297435285682</v>
      </c>
      <c r="F321" s="171">
        <f>VLOOKUP(A321,Demográfico!A$2:L$405,12,FALSE)</f>
        <v>48.362965806743254</v>
      </c>
      <c r="G321" s="172">
        <f>VLOOKUP(A321,Socioeconômico!A$2:M$405,13,FALSE)</f>
        <v>9.7885678059378911</v>
      </c>
      <c r="H321" s="173">
        <f>(2*E321+F321+2*G321)/5/100</f>
        <v>0.25045339257838078</v>
      </c>
      <c r="I321" s="170">
        <f>VLOOKUP(A321,Resultados!A$2:B719,2,FALSE)</f>
        <v>0</v>
      </c>
      <c r="J321" s="5">
        <f>IFERROR(VLOOKUP(A321,Demográfico!A$2:E$400,5,FALSE)/(VLOOKUP(C321,Metodologia!A$2:G$9,7,FALSE))*D321,0)</f>
        <v>5.9612154536067635E-2</v>
      </c>
      <c r="K321" s="72">
        <f>(J321*(1+H321)-I321)</f>
        <v>7.4542220878532489E-2</v>
      </c>
      <c r="L321" s="3">
        <v>0</v>
      </c>
      <c r="M321" s="66">
        <f>VLOOKUP(A321,Demográfico!A$2:E$400,5,FALSE)*H321</f>
        <v>130.73667092591478</v>
      </c>
      <c r="N321" s="68">
        <f>IFERROR(FLOOR(K321,1),0)</f>
        <v>0</v>
      </c>
      <c r="O321" s="68">
        <f>K321-N321</f>
        <v>7.4542220878532489E-2</v>
      </c>
      <c r="P321" s="65">
        <f>IFERROR(RANK(O321,O$2:O$400,0),0)</f>
        <v>349</v>
      </c>
      <c r="Q321" s="3">
        <f>N321+IF(P321&lt;P$1,1,0)</f>
        <v>0</v>
      </c>
      <c r="S321" s="65">
        <f>VLOOKUP(A321,Demográfico!A$2:E$400,5,FALSE)*(H321)</f>
        <v>130.73667092591478</v>
      </c>
      <c r="T321" s="79">
        <f>IFERROR(D321/D321,0)</f>
        <v>1</v>
      </c>
      <c r="U321" s="65">
        <f t="shared" si="4"/>
        <v>130.73667092591478</v>
      </c>
    </row>
    <row r="322" spans="1:21" ht="19.5" x14ac:dyDescent="0.25">
      <c r="A322" s="2" t="s">
        <v>326</v>
      </c>
      <c r="B322" s="168">
        <v>4473</v>
      </c>
      <c r="C322" s="169" t="str" cm="1">
        <f t="array" ref="C322">_xlfn.IFS(B322&lt;5000, "P1",B322&lt;20000, "P2",B322&lt;70000, "P3",B322&lt;100000, "P4",B322&lt;200000,"M1",B322&lt;500000,"M2",B322&lt;1000000,"G1",B322&gt;1000000,"G2")</f>
        <v>P1</v>
      </c>
      <c r="D322" s="170">
        <f>VLOOKUP(C322,Metodologia!A$2:H$9,8,FALSE)</f>
        <v>5.2963457913290126</v>
      </c>
      <c r="E322" s="171">
        <f>VLOOKUP(A322,Educacional!A$2:P$405,16,FALSE)</f>
        <v>64.181324287576786</v>
      </c>
      <c r="F322" s="171">
        <f>VLOOKUP(A322,Demográfico!A$2:L$405,12,FALSE)</f>
        <v>42.936332347912817</v>
      </c>
      <c r="G322" s="172">
        <f>VLOOKUP(A322,Socioeconômico!A$2:M$405,13,FALSE)</f>
        <v>46.5180900112953</v>
      </c>
      <c r="H322" s="173">
        <f>(2*E322+F322+2*G322)/5/100</f>
        <v>0.52867032189131391</v>
      </c>
      <c r="I322" s="170">
        <f>VLOOKUP(A322,Resultados!A$2:B720,2,FALSE)</f>
        <v>0</v>
      </c>
      <c r="J322" s="5">
        <f>IFERROR(VLOOKUP(A322,Demográfico!A$2:E$400,5,FALSE)/(VLOOKUP(C322,Metodologia!A$2:G$9,7,FALSE))*D322,0)</f>
        <v>5.9726354065830219E-2</v>
      </c>
      <c r="K322" s="72">
        <f>(J322*(1+H322)-I322)</f>
        <v>9.1301904895207273E-2</v>
      </c>
      <c r="L322" s="3">
        <v>1</v>
      </c>
      <c r="M322" s="66">
        <f>VLOOKUP(A322,Demográfico!A$2:E$400,5,FALSE)*H322</f>
        <v>276.49457834915717</v>
      </c>
      <c r="N322" s="68">
        <f>IFERROR(FLOOR(K322,1),0)</f>
        <v>0</v>
      </c>
      <c r="O322" s="68">
        <f>K322-N322</f>
        <v>9.1301904895207273E-2</v>
      </c>
      <c r="P322" s="65">
        <f>IFERROR(RANK(O322,O$2:O$400,0),0)</f>
        <v>318</v>
      </c>
      <c r="Q322" s="3">
        <f>N322+IF(P322&lt;P$1,1,0)</f>
        <v>0</v>
      </c>
      <c r="S322" s="65">
        <f>VLOOKUP(A322,Demográfico!A$2:E$400,5,FALSE)*(H322)</f>
        <v>276.49457834915717</v>
      </c>
      <c r="T322" s="79">
        <f>IFERROR(D322/D322,0)</f>
        <v>1</v>
      </c>
      <c r="U322" s="65">
        <f t="shared" si="4"/>
        <v>276.49457834915717</v>
      </c>
    </row>
    <row r="323" spans="1:21" ht="19.5" x14ac:dyDescent="0.25">
      <c r="A323" s="2" t="s">
        <v>327</v>
      </c>
      <c r="B323" s="168">
        <v>4448</v>
      </c>
      <c r="C323" s="169" t="str" cm="1">
        <f t="array" ref="C323">_xlfn.IFS(B323&lt;5000, "P1",B323&lt;20000, "P2",B323&lt;70000, "P3",B323&lt;100000, "P4",B323&lt;200000,"M1",B323&lt;500000,"M2",B323&lt;1000000,"G1",B323&gt;1000000,"G2")</f>
        <v>P1</v>
      </c>
      <c r="D323" s="170">
        <f>VLOOKUP(C323,Metodologia!A$2:H$9,8,FALSE)</f>
        <v>5.2963457913290126</v>
      </c>
      <c r="E323" s="171">
        <f>VLOOKUP(A323,Educacional!A$2:P$405,16,FALSE)</f>
        <v>28.066694470198648</v>
      </c>
      <c r="F323" s="171">
        <f>VLOOKUP(A323,Demográfico!A$2:L$405,12,FALSE)</f>
        <v>25.937990486133305</v>
      </c>
      <c r="G323" s="172">
        <f>VLOOKUP(A323,Socioeconômico!A$2:M$405,13,FALSE)</f>
        <v>30.566692494086894</v>
      </c>
      <c r="H323" s="173">
        <f>(2*E323+F323+2*G323)/5/100</f>
        <v>0.28640952882940879</v>
      </c>
      <c r="I323" s="170">
        <f>VLOOKUP(A323,Resultados!A$2:B721,2,FALSE)</f>
        <v>0</v>
      </c>
      <c r="J323" s="5">
        <f>IFERROR(VLOOKUP(A323,Demográfico!A$2:E$400,5,FALSE)/(VLOOKUP(C323,Metodologia!A$2:G$9,7,FALSE))*D323,0)</f>
        <v>6.372333760752058E-2</v>
      </c>
      <c r="K323" s="72">
        <f>(J323*(1+H323)-I323)</f>
        <v>8.1974308707127894E-2</v>
      </c>
      <c r="L323" s="3">
        <v>0</v>
      </c>
      <c r="M323" s="66">
        <f>VLOOKUP(A323,Demográfico!A$2:E$400,5,FALSE)*H323</f>
        <v>159.81651708681011</v>
      </c>
      <c r="N323" s="68">
        <f>IFERROR(FLOOR(K323,1),0)</f>
        <v>0</v>
      </c>
      <c r="O323" s="68">
        <f>K323-N323</f>
        <v>8.1974308707127894E-2</v>
      </c>
      <c r="P323" s="65">
        <f>IFERROR(RANK(O323,O$2:O$400,0),0)</f>
        <v>337</v>
      </c>
      <c r="Q323" s="3">
        <f>N323+IF(P323&lt;P$1,1,0)</f>
        <v>0</v>
      </c>
      <c r="S323" s="65">
        <f>VLOOKUP(A323,Demográfico!A$2:E$400,5,FALSE)*(H323)</f>
        <v>159.81651708681011</v>
      </c>
      <c r="T323" s="79">
        <f>IFERROR(D323/D323,0)</f>
        <v>1</v>
      </c>
      <c r="U323" s="65">
        <f t="shared" ref="U323:U386" si="5">S323*T323</f>
        <v>159.81651708681011</v>
      </c>
    </row>
    <row r="324" spans="1:21" ht="19.5" x14ac:dyDescent="0.25">
      <c r="A324" s="2" t="s">
        <v>328</v>
      </c>
      <c r="B324" s="168">
        <v>4364</v>
      </c>
      <c r="C324" s="169" t="str" cm="1">
        <f t="array" ref="C324">_xlfn.IFS(B324&lt;5000, "P1",B324&lt;20000, "P2",B324&lt;70000, "P3",B324&lt;100000, "P4",B324&lt;200000,"M1",B324&lt;500000,"M2",B324&lt;1000000,"G1",B324&gt;1000000,"G2")</f>
        <v>P1</v>
      </c>
      <c r="D324" s="170">
        <f>VLOOKUP(C324,Metodologia!A$2:H$9,8,FALSE)</f>
        <v>5.2963457913290126</v>
      </c>
      <c r="E324" s="171">
        <f>VLOOKUP(A324,Educacional!A$2:P$405,16,FALSE)</f>
        <v>47.260216883001924</v>
      </c>
      <c r="F324" s="171">
        <f>VLOOKUP(A324,Demográfico!A$2:L$405,12,FALSE)</f>
        <v>59.551713538671876</v>
      </c>
      <c r="G324" s="172">
        <f>VLOOKUP(A324,Socioeconômico!A$2:M$405,13,FALSE)</f>
        <v>51.102784935539923</v>
      </c>
      <c r="H324" s="173">
        <f>(2*E324+F324+2*G324)/5/100</f>
        <v>0.51255543435151119</v>
      </c>
      <c r="I324" s="170">
        <f>VLOOKUP(A324,Resultados!A$2:B722,2,FALSE)</f>
        <v>0</v>
      </c>
      <c r="J324" s="5">
        <f>IFERROR(VLOOKUP(A324,Demográfico!A$2:E$400,5,FALSE)/(VLOOKUP(C324,Metodologia!A$2:G$9,7,FALSE))*D324,0)</f>
        <v>6.5093731964671553E-2</v>
      </c>
      <c r="K324" s="72">
        <f>(J324*(1+H324)-I324)</f>
        <v>9.8457878025384624E-2</v>
      </c>
      <c r="L324" s="3">
        <v>0</v>
      </c>
      <c r="M324" s="66">
        <f>VLOOKUP(A324,Demográfico!A$2:E$400,5,FALSE)*H324</f>
        <v>292.15659758036139</v>
      </c>
      <c r="N324" s="68">
        <f>IFERROR(FLOOR(K324,1),0)</f>
        <v>0</v>
      </c>
      <c r="O324" s="68">
        <f>K324-N324</f>
        <v>9.8457878025384624E-2</v>
      </c>
      <c r="P324" s="65">
        <f>IFERROR(RANK(O324,O$2:O$400,0),0)</f>
        <v>308</v>
      </c>
      <c r="Q324" s="3">
        <f>N324+IF(P324&lt;P$1,1,0)</f>
        <v>0</v>
      </c>
      <c r="S324" s="65">
        <f>VLOOKUP(A324,Demográfico!A$2:E$400,5,FALSE)*(H324)</f>
        <v>292.15659758036139</v>
      </c>
      <c r="T324" s="79">
        <f>IFERROR(D324/D324,0)</f>
        <v>1</v>
      </c>
      <c r="U324" s="65">
        <f t="shared" si="5"/>
        <v>292.15659758036139</v>
      </c>
    </row>
    <row r="325" spans="1:21" ht="19.5" x14ac:dyDescent="0.25">
      <c r="A325" s="2" t="s">
        <v>329</v>
      </c>
      <c r="B325" s="168">
        <v>4336</v>
      </c>
      <c r="C325" s="169" t="str" cm="1">
        <f t="array" ref="C325">_xlfn.IFS(B325&lt;5000, "P1",B325&lt;20000, "P2",B325&lt;70000, "P3",B325&lt;100000, "P4",B325&lt;200000,"M1",B325&lt;500000,"M2",B325&lt;1000000,"G1",B325&gt;1000000,"G2")</f>
        <v>P1</v>
      </c>
      <c r="D325" s="170">
        <f>VLOOKUP(C325,Metodologia!A$2:H$9,8,FALSE)</f>
        <v>5.2963457913290126</v>
      </c>
      <c r="E325" s="171">
        <f>VLOOKUP(A325,Educacional!A$2:P$405,16,FALSE)</f>
        <v>57.064146720001261</v>
      </c>
      <c r="F325" s="171">
        <f>VLOOKUP(A325,Demográfico!A$2:L$405,12,FALSE)</f>
        <v>62.198515389452268</v>
      </c>
      <c r="G325" s="172">
        <f>VLOOKUP(A325,Socioeconômico!A$2:M$405,13,FALSE)</f>
        <v>40.140610862793366</v>
      </c>
      <c r="H325" s="173">
        <f>(2*E325+F325+2*G325)/5/100</f>
        <v>0.51321606111008311</v>
      </c>
      <c r="I325" s="170">
        <f>VLOOKUP(A325,Resultados!A$2:B723,2,FALSE)</f>
        <v>0</v>
      </c>
      <c r="J325" s="5">
        <f>IFERROR(VLOOKUP(A325,Demográfico!A$2:E$400,5,FALSE)/(VLOOKUP(C325,Metodologia!A$2:G$9,7,FALSE))*D325,0)</f>
        <v>5.9726354065830219E-2</v>
      </c>
      <c r="K325" s="72">
        <f>(J325*(1+H325)-I325)</f>
        <v>9.0378878243961805E-2</v>
      </c>
      <c r="L325" s="3">
        <v>1</v>
      </c>
      <c r="M325" s="66">
        <f>VLOOKUP(A325,Demográfico!A$2:E$400,5,FALSE)*H325</f>
        <v>268.41199996057344</v>
      </c>
      <c r="N325" s="68">
        <f>IFERROR(FLOOR(K325,1),0)</f>
        <v>0</v>
      </c>
      <c r="O325" s="68">
        <f>K325-N325</f>
        <v>9.0378878243961805E-2</v>
      </c>
      <c r="P325" s="65">
        <f>IFERROR(RANK(O325,O$2:O$400,0),0)</f>
        <v>322</v>
      </c>
      <c r="Q325" s="3">
        <f>N325+IF(P325&lt;P$1,1,0)</f>
        <v>0</v>
      </c>
      <c r="S325" s="65">
        <f>VLOOKUP(A325,Demográfico!A$2:E$400,5,FALSE)*(H325)</f>
        <v>268.41199996057344</v>
      </c>
      <c r="T325" s="79">
        <f>IFERROR(D325/D325,0)</f>
        <v>1</v>
      </c>
      <c r="U325" s="65">
        <f t="shared" si="5"/>
        <v>268.41199996057344</v>
      </c>
    </row>
    <row r="326" spans="1:21" ht="19.5" x14ac:dyDescent="0.25">
      <c r="A326" s="2" t="s">
        <v>330</v>
      </c>
      <c r="B326" s="168">
        <v>4221</v>
      </c>
      <c r="C326" s="169" t="str" cm="1">
        <f t="array" ref="C326">_xlfn.IFS(B326&lt;5000, "P1",B326&lt;20000, "P2",B326&lt;70000, "P3",B326&lt;100000, "P4",B326&lt;200000,"M1",B326&lt;500000,"M2",B326&lt;1000000,"G1",B326&gt;1000000,"G2")</f>
        <v>P1</v>
      </c>
      <c r="D326" s="170">
        <f>VLOOKUP(C326,Metodologia!A$2:H$9,8,FALSE)</f>
        <v>5.2963457913290126</v>
      </c>
      <c r="E326" s="171">
        <f>VLOOKUP(A326,Educacional!A$2:P$405,16,FALSE)</f>
        <v>56.84480493171796</v>
      </c>
      <c r="F326" s="171">
        <f>VLOOKUP(A326,Demográfico!A$2:L$405,12,FALSE)</f>
        <v>58.379333222485322</v>
      </c>
      <c r="G326" s="172">
        <f>VLOOKUP(A326,Socioeconômico!A$2:M$405,13,FALSE)</f>
        <v>38.773857817814999</v>
      </c>
      <c r="H326" s="173">
        <f>(2*E326+F326+2*G326)/5/100</f>
        <v>0.49923331744310245</v>
      </c>
      <c r="I326" s="170">
        <f>VLOOKUP(A326,Resultados!A$2:B724,2,FALSE)</f>
        <v>0</v>
      </c>
      <c r="J326" s="5">
        <f>IFERROR(VLOOKUP(A326,Demográfico!A$2:E$400,5,FALSE)/(VLOOKUP(C326,Metodologia!A$2:G$9,7,FALSE))*D326,0)</f>
        <v>6.7377722559923178E-2</v>
      </c>
      <c r="K326" s="72">
        <f>(J326*(1+H326)-I326)</f>
        <v>0.10101492651527459</v>
      </c>
      <c r="L326" s="3">
        <v>1</v>
      </c>
      <c r="M326" s="66">
        <f>VLOOKUP(A326,Demográfico!A$2:E$400,5,FALSE)*H326</f>
        <v>294.54765729143043</v>
      </c>
      <c r="N326" s="68">
        <f>IFERROR(FLOOR(K326,1),0)</f>
        <v>0</v>
      </c>
      <c r="O326" s="68">
        <f>K326-N326</f>
        <v>0.10101492651527459</v>
      </c>
      <c r="P326" s="65">
        <f>IFERROR(RANK(O326,O$2:O$400,0),0)</f>
        <v>303</v>
      </c>
      <c r="Q326" s="3">
        <f>N326+IF(P326&lt;P$1,1,0)</f>
        <v>0</v>
      </c>
      <c r="S326" s="65">
        <f>VLOOKUP(A326,Demográfico!A$2:E$400,5,FALSE)*(H326)</f>
        <v>294.54765729143043</v>
      </c>
      <c r="T326" s="79">
        <f>IFERROR(D326/D326,0)</f>
        <v>1</v>
      </c>
      <c r="U326" s="65">
        <f t="shared" si="5"/>
        <v>294.54765729143043</v>
      </c>
    </row>
    <row r="327" spans="1:21" ht="19.5" x14ac:dyDescent="0.25">
      <c r="A327" s="2" t="s">
        <v>331</v>
      </c>
      <c r="B327" s="168">
        <v>4201</v>
      </c>
      <c r="C327" s="169" t="str" cm="1">
        <f t="array" ref="C327">_xlfn.IFS(B327&lt;5000, "P1",B327&lt;20000, "P2",B327&lt;70000, "P3",B327&lt;100000, "P4",B327&lt;200000,"M1",B327&lt;500000,"M2",B327&lt;1000000,"G1",B327&gt;1000000,"G2")</f>
        <v>P1</v>
      </c>
      <c r="D327" s="170">
        <f>VLOOKUP(C327,Metodologia!A$2:H$9,8,FALSE)</f>
        <v>5.2963457913290126</v>
      </c>
      <c r="E327" s="171">
        <f>VLOOKUP(A327,Educacional!A$2:P$405,16,FALSE)</f>
        <v>47.437692312760902</v>
      </c>
      <c r="F327" s="171">
        <f>VLOOKUP(A327,Demográfico!A$2:L$405,12,FALSE)</f>
        <v>25.853485494291164</v>
      </c>
      <c r="G327" s="172">
        <f>VLOOKUP(A327,Socioeconômico!A$2:M$405,13,FALSE)</f>
        <v>35.352974282688123</v>
      </c>
      <c r="H327" s="173">
        <f>(2*E327+F327+2*G327)/5/100</f>
        <v>0.38286963737037844</v>
      </c>
      <c r="I327" s="170">
        <f>VLOOKUP(A327,Resultados!A$2:B725,2,FALSE)</f>
        <v>0</v>
      </c>
      <c r="J327" s="5">
        <f>IFERROR(VLOOKUP(A327,Demográfico!A$2:E$400,5,FALSE)/(VLOOKUP(C327,Metodologia!A$2:G$9,7,FALSE))*D327,0)</f>
        <v>5.9497955006305045E-2</v>
      </c>
      <c r="K327" s="72">
        <f>(J327*(1+H327)-I327)</f>
        <v>8.2277915463848147E-2</v>
      </c>
      <c r="L327" s="3">
        <v>0</v>
      </c>
      <c r="M327" s="66">
        <f>VLOOKUP(A327,Demográfico!A$2:E$400,5,FALSE)*H327</f>
        <v>199.47508106996716</v>
      </c>
      <c r="N327" s="68">
        <f>IFERROR(FLOOR(K327,1),0)</f>
        <v>0</v>
      </c>
      <c r="O327" s="68">
        <f>K327-N327</f>
        <v>8.2277915463848147E-2</v>
      </c>
      <c r="P327" s="65">
        <f>IFERROR(RANK(O327,O$2:O$400,0),0)</f>
        <v>336</v>
      </c>
      <c r="Q327" s="3">
        <f>N327+IF(P327&lt;P$1,1,0)</f>
        <v>0</v>
      </c>
      <c r="S327" s="65">
        <f>VLOOKUP(A327,Demográfico!A$2:E$400,5,FALSE)*(H327)</f>
        <v>199.47508106996716</v>
      </c>
      <c r="T327" s="79">
        <f>IFERROR(D327/D327,0)</f>
        <v>1</v>
      </c>
      <c r="U327" s="65">
        <f t="shared" si="5"/>
        <v>199.47508106996716</v>
      </c>
    </row>
    <row r="328" spans="1:21" ht="19.5" x14ac:dyDescent="0.25">
      <c r="A328" s="2" t="s">
        <v>332</v>
      </c>
      <c r="B328" s="168">
        <v>4184</v>
      </c>
      <c r="C328" s="169" t="str" cm="1">
        <f t="array" ref="C328">_xlfn.IFS(B328&lt;5000, "P1",B328&lt;20000, "P2",B328&lt;70000, "P3",B328&lt;100000, "P4",B328&lt;200000,"M1",B328&lt;500000,"M2",B328&lt;1000000,"G1",B328&gt;1000000,"G2")</f>
        <v>P1</v>
      </c>
      <c r="D328" s="170">
        <f>VLOOKUP(C328,Metodologia!A$2:H$9,8,FALSE)</f>
        <v>5.2963457913290126</v>
      </c>
      <c r="E328" s="171">
        <f>VLOOKUP(A328,Educacional!A$2:P$405,16,FALSE)</f>
        <v>33.836151158434866</v>
      </c>
      <c r="F328" s="171">
        <f>VLOOKUP(A328,Demográfico!A$2:L$405,12,FALSE)</f>
        <v>80.824829574705234</v>
      </c>
      <c r="G328" s="172">
        <f>VLOOKUP(A328,Socioeconômico!A$2:M$405,13,FALSE)</f>
        <v>61.107448310056547</v>
      </c>
      <c r="H328" s="173">
        <f>(2*E328+F328+2*G328)/5/100</f>
        <v>0.54142405702337615</v>
      </c>
      <c r="I328" s="170">
        <f>VLOOKUP(A328,Resultados!A$2:B726,2,FALSE)</f>
        <v>0</v>
      </c>
      <c r="J328" s="5">
        <f>IFERROR(VLOOKUP(A328,Demográfico!A$2:E$400,5,FALSE)/(VLOOKUP(C328,Metodologia!A$2:G$9,7,FALSE))*D328,0)</f>
        <v>6.1553546542031518E-2</v>
      </c>
      <c r="K328" s="72">
        <f>(J328*(1+H328)-I328)</f>
        <v>9.4880117434995428E-2</v>
      </c>
      <c r="L328" s="3">
        <v>0</v>
      </c>
      <c r="M328" s="66">
        <f>VLOOKUP(A328,Demográfico!A$2:E$400,5,FALSE)*H328</f>
        <v>291.82756673559976</v>
      </c>
      <c r="N328" s="68">
        <f>IFERROR(FLOOR(K328,1),0)</f>
        <v>0</v>
      </c>
      <c r="O328" s="68">
        <f>K328-N328</f>
        <v>9.4880117434995428E-2</v>
      </c>
      <c r="P328" s="65">
        <f>IFERROR(RANK(O328,O$2:O$400,0),0)</f>
        <v>311</v>
      </c>
      <c r="Q328" s="3">
        <f>N328+IF(P328&lt;P$1,1,0)</f>
        <v>0</v>
      </c>
      <c r="S328" s="65">
        <f>VLOOKUP(A328,Demográfico!A$2:E$400,5,FALSE)*(H328)</f>
        <v>291.82756673559976</v>
      </c>
      <c r="T328" s="79">
        <f>IFERROR(D328/D328,0)</f>
        <v>1</v>
      </c>
      <c r="U328" s="65">
        <f t="shared" si="5"/>
        <v>291.82756673559976</v>
      </c>
    </row>
    <row r="329" spans="1:21" ht="19.5" x14ac:dyDescent="0.25">
      <c r="A329" s="2" t="s">
        <v>333</v>
      </c>
      <c r="B329" s="168">
        <v>4133</v>
      </c>
      <c r="C329" s="169" t="str" cm="1">
        <f t="array" ref="C329">_xlfn.IFS(B329&lt;5000, "P1",B329&lt;20000, "P2",B329&lt;70000, "P3",B329&lt;100000, "P4",B329&lt;200000,"M1",B329&lt;500000,"M2",B329&lt;1000000,"G1",B329&gt;1000000,"G2")</f>
        <v>P1</v>
      </c>
      <c r="D329" s="170">
        <f>VLOOKUP(C329,Metodologia!A$2:H$9,8,FALSE)</f>
        <v>5.2963457913290126</v>
      </c>
      <c r="E329" s="171">
        <f>VLOOKUP(A329,Educacional!A$2:P$405,16,FALSE)</f>
        <v>42.337230322032461</v>
      </c>
      <c r="F329" s="171">
        <f>VLOOKUP(A329,Demográfico!A$2:L$405,12,FALSE)</f>
        <v>49.55025369591138</v>
      </c>
      <c r="G329" s="172">
        <f>VLOOKUP(A329,Socioeconômico!A$2:M$405,13,FALSE)</f>
        <v>35.609450496002196</v>
      </c>
      <c r="H329" s="173">
        <f>(2*E329+F329+2*G329)/5/100</f>
        <v>0.41088723066396132</v>
      </c>
      <c r="I329" s="170">
        <f>VLOOKUP(A329,Resultados!A$2:B727,2,FALSE)</f>
        <v>0</v>
      </c>
      <c r="J329" s="5">
        <f>IFERROR(VLOOKUP(A329,Demográfico!A$2:E$400,5,FALSE)/(VLOOKUP(C329,Metodologia!A$2:G$9,7,FALSE))*D329,0)</f>
        <v>6.4065936196808324E-2</v>
      </c>
      <c r="K329" s="72">
        <f>(J329*(1+H329)-I329)</f>
        <v>9.0389811300608927E-2</v>
      </c>
      <c r="L329" s="3">
        <v>0</v>
      </c>
      <c r="M329" s="66">
        <f>VLOOKUP(A329,Demográfico!A$2:E$400,5,FALSE)*H329</f>
        <v>230.50773640248229</v>
      </c>
      <c r="N329" s="68">
        <f>IFERROR(FLOOR(K329,1),0)</f>
        <v>0</v>
      </c>
      <c r="O329" s="68">
        <f>K329-N329</f>
        <v>9.0389811300608927E-2</v>
      </c>
      <c r="P329" s="65">
        <f>IFERROR(RANK(O329,O$2:O$400,0),0)</f>
        <v>321</v>
      </c>
      <c r="Q329" s="3">
        <f>N329+IF(P329&lt;P$1,1,0)</f>
        <v>0</v>
      </c>
      <c r="S329" s="65">
        <f>VLOOKUP(A329,Demográfico!A$2:E$400,5,FALSE)*(H329)</f>
        <v>230.50773640248229</v>
      </c>
      <c r="T329" s="79">
        <f>IFERROR(D329/D329,0)</f>
        <v>1</v>
      </c>
      <c r="U329" s="65">
        <f t="shared" si="5"/>
        <v>230.50773640248229</v>
      </c>
    </row>
    <row r="330" spans="1:21" ht="19.5" x14ac:dyDescent="0.25">
      <c r="A330" s="2" t="s">
        <v>334</v>
      </c>
      <c r="B330" s="168">
        <v>4098</v>
      </c>
      <c r="C330" s="169" t="str" cm="1">
        <f t="array" ref="C330">_xlfn.IFS(B330&lt;5000, "P1",B330&lt;20000, "P2",B330&lt;70000, "P3",B330&lt;100000, "P4",B330&lt;200000,"M1",B330&lt;500000,"M2",B330&lt;1000000,"G1",B330&gt;1000000,"G2")</f>
        <v>P1</v>
      </c>
      <c r="D330" s="170">
        <f>VLOOKUP(C330,Metodologia!A$2:H$9,8,FALSE)</f>
        <v>5.2963457913290126</v>
      </c>
      <c r="E330" s="171">
        <f>VLOOKUP(A330,Educacional!A$2:P$405,16,FALSE)</f>
        <v>55.943030622359139</v>
      </c>
      <c r="F330" s="171">
        <f>VLOOKUP(A330,Demográfico!A$2:L$405,12,FALSE)</f>
        <v>40.83859582350749</v>
      </c>
      <c r="G330" s="172">
        <f>VLOOKUP(A330,Socioeconômico!A$2:M$405,13,FALSE)</f>
        <v>33.715399030908081</v>
      </c>
      <c r="H330" s="173">
        <f>(2*E330+F330+2*G330)/5/100</f>
        <v>0.4403109102600839</v>
      </c>
      <c r="I330" s="170">
        <f>VLOOKUP(A330,Resultados!A$2:B728,2,FALSE)</f>
        <v>0</v>
      </c>
      <c r="J330" s="5">
        <f>IFERROR(VLOOKUP(A330,Demográfico!A$2:E$400,5,FALSE)/(VLOOKUP(C330,Metodologia!A$2:G$9,7,FALSE))*D330,0)</f>
        <v>6.4636933845621219E-2</v>
      </c>
      <c r="K330" s="72">
        <f>(J330*(1+H330)-I330)</f>
        <v>9.3097281023607523E-2</v>
      </c>
      <c r="L330" s="3">
        <v>0</v>
      </c>
      <c r="M330" s="66">
        <f>VLOOKUP(A330,Demográfico!A$2:E$400,5,FALSE)*H330</f>
        <v>249.21597520720749</v>
      </c>
      <c r="N330" s="68">
        <f>IFERROR(FLOOR(K330,1),0)</f>
        <v>0</v>
      </c>
      <c r="O330" s="68">
        <f>K330-N330</f>
        <v>9.3097281023607523E-2</v>
      </c>
      <c r="P330" s="65">
        <f>IFERROR(RANK(O330,O$2:O$400,0),0)</f>
        <v>314</v>
      </c>
      <c r="Q330" s="3">
        <f>N330+IF(P330&lt;P$1,1,0)</f>
        <v>0</v>
      </c>
      <c r="S330" s="65">
        <f>VLOOKUP(A330,Demográfico!A$2:E$400,5,FALSE)*(H330)</f>
        <v>249.21597520720749</v>
      </c>
      <c r="T330" s="79">
        <f>IFERROR(D330/D330,0)</f>
        <v>1</v>
      </c>
      <c r="U330" s="65">
        <f t="shared" si="5"/>
        <v>249.21597520720749</v>
      </c>
    </row>
    <row r="331" spans="1:21" ht="19.5" x14ac:dyDescent="0.25">
      <c r="A331" s="2" t="s">
        <v>335</v>
      </c>
      <c r="B331" s="168">
        <v>4075</v>
      </c>
      <c r="C331" s="169" t="str" cm="1">
        <f t="array" ref="C331">_xlfn.IFS(B331&lt;5000, "P1",B331&lt;20000, "P2",B331&lt;70000, "P3",B331&lt;100000, "P4",B331&lt;200000,"M1",B331&lt;500000,"M2",B331&lt;1000000,"G1",B331&gt;1000000,"G2")</f>
        <v>P1</v>
      </c>
      <c r="D331" s="170">
        <f>VLOOKUP(C331,Metodologia!A$2:H$9,8,FALSE)</f>
        <v>5.2963457913290126</v>
      </c>
      <c r="E331" s="171">
        <f>VLOOKUP(A331,Educacional!A$2:P$405,16,FALSE)</f>
        <v>25.615682598501664</v>
      </c>
      <c r="F331" s="171">
        <f>VLOOKUP(A331,Demográfico!A$2:L$405,12,FALSE)</f>
        <v>34.318124945900216</v>
      </c>
      <c r="G331" s="172">
        <f>VLOOKUP(A331,Socioeconômico!A$2:M$405,13,FALSE)</f>
        <v>36.530354429566771</v>
      </c>
      <c r="H331" s="173">
        <f>(2*E331+F331+2*G331)/5/100</f>
        <v>0.3172203980040742</v>
      </c>
      <c r="I331" s="170">
        <f>VLOOKUP(A331,Resultados!A$2:B729,2,FALSE)</f>
        <v>0</v>
      </c>
      <c r="J331" s="5">
        <f>IFERROR(VLOOKUP(A331,Demográfico!A$2:E$400,5,FALSE)/(VLOOKUP(C331,Metodologia!A$2:G$9,7,FALSE))*D331,0)</f>
        <v>5.7670762530103746E-2</v>
      </c>
      <c r="K331" s="72">
        <f>(J331*(1+H331)-I331)</f>
        <v>7.5965104773101699E-2</v>
      </c>
      <c r="L331" s="3">
        <v>0</v>
      </c>
      <c r="M331" s="66">
        <f>VLOOKUP(A331,Demográfico!A$2:E$400,5,FALSE)*H331</f>
        <v>160.19630099205747</v>
      </c>
      <c r="N331" s="68">
        <f>IFERROR(FLOOR(K331,1),0)</f>
        <v>0</v>
      </c>
      <c r="O331" s="68">
        <f>K331-N331</f>
        <v>7.5965104773101699E-2</v>
      </c>
      <c r="P331" s="65">
        <f>IFERROR(RANK(O331,O$2:O$400,0),0)</f>
        <v>347</v>
      </c>
      <c r="Q331" s="3">
        <f>N331+IF(P331&lt;P$1,1,0)</f>
        <v>0</v>
      </c>
      <c r="S331" s="65">
        <f>VLOOKUP(A331,Demográfico!A$2:E$400,5,FALSE)*(H331)</f>
        <v>160.19630099205747</v>
      </c>
      <c r="T331" s="79">
        <f>IFERROR(D331/D331,0)</f>
        <v>1</v>
      </c>
      <c r="U331" s="65">
        <f t="shared" si="5"/>
        <v>160.19630099205747</v>
      </c>
    </row>
    <row r="332" spans="1:21" ht="19.5" x14ac:dyDescent="0.25">
      <c r="A332" s="2" t="s">
        <v>336</v>
      </c>
      <c r="B332" s="168">
        <v>4070</v>
      </c>
      <c r="C332" s="169" t="str" cm="1">
        <f t="array" ref="C332">_xlfn.IFS(B332&lt;5000, "P1",B332&lt;20000, "P2",B332&lt;70000, "P3",B332&lt;100000, "P4",B332&lt;200000,"M1",B332&lt;500000,"M2",B332&lt;1000000,"G1",B332&gt;1000000,"G2")</f>
        <v>P1</v>
      </c>
      <c r="D332" s="170">
        <f>VLOOKUP(C332,Metodologia!A$2:H$9,8,FALSE)</f>
        <v>5.2963457913290126</v>
      </c>
      <c r="E332" s="171">
        <f>VLOOKUP(A332,Educacional!A$2:P$405,16,FALSE)</f>
        <v>43.473673926104624</v>
      </c>
      <c r="F332" s="171">
        <f>VLOOKUP(A332,Demográfico!A$2:L$405,12,FALSE)</f>
        <v>87.980710123254099</v>
      </c>
      <c r="G332" s="172">
        <f>VLOOKUP(A332,Socioeconômico!A$2:M$405,13,FALSE)</f>
        <v>57.346645848621399</v>
      </c>
      <c r="H332" s="173">
        <f>(2*E332+F332+2*G332)/5/100</f>
        <v>0.57924269934541217</v>
      </c>
      <c r="I332" s="170">
        <f>VLOOKUP(A332,Resultados!A$2:B730,2,FALSE)</f>
        <v>0</v>
      </c>
      <c r="J332" s="5">
        <f>IFERROR(VLOOKUP(A332,Demográfico!A$2:E$400,5,FALSE)/(VLOOKUP(C332,Metodologia!A$2:G$9,7,FALSE))*D332,0)</f>
        <v>5.9269555946779885E-2</v>
      </c>
      <c r="K332" s="72">
        <f>(J332*(1+H332)-I332)</f>
        <v>9.3601013522396581E-2</v>
      </c>
      <c r="L332" s="3">
        <v>1</v>
      </c>
      <c r="M332" s="66">
        <f>VLOOKUP(A332,Demográfico!A$2:E$400,5,FALSE)*H332</f>
        <v>300.62696096026889</v>
      </c>
      <c r="N332" s="68">
        <f>IFERROR(FLOOR(K332,1),0)</f>
        <v>0</v>
      </c>
      <c r="O332" s="68">
        <f>K332-N332</f>
        <v>9.3601013522396581E-2</v>
      </c>
      <c r="P332" s="65">
        <f>IFERROR(RANK(O332,O$2:O$400,0),0)</f>
        <v>312</v>
      </c>
      <c r="Q332" s="3">
        <f>N332+IF(P332&lt;P$1,1,0)</f>
        <v>0</v>
      </c>
      <c r="S332" s="65">
        <f>VLOOKUP(A332,Demográfico!A$2:E$400,5,FALSE)*(H332)</f>
        <v>300.62696096026889</v>
      </c>
      <c r="T332" s="79">
        <f>IFERROR(D332/D332,0)</f>
        <v>1</v>
      </c>
      <c r="U332" s="65">
        <f t="shared" si="5"/>
        <v>300.62696096026889</v>
      </c>
    </row>
    <row r="333" spans="1:21" ht="19.5" x14ac:dyDescent="0.25">
      <c r="A333" s="2" t="s">
        <v>337</v>
      </c>
      <c r="B333" s="168">
        <v>4031</v>
      </c>
      <c r="C333" s="169" t="str" cm="1">
        <f t="array" ref="C333">_xlfn.IFS(B333&lt;5000, "P1",B333&lt;20000, "P2",B333&lt;70000, "P3",B333&lt;100000, "P4",B333&lt;200000,"M1",B333&lt;500000,"M2",B333&lt;1000000,"G1",B333&gt;1000000,"G2")</f>
        <v>P1</v>
      </c>
      <c r="D333" s="170">
        <f>VLOOKUP(C333,Metodologia!A$2:H$9,8,FALSE)</f>
        <v>5.2963457913290126</v>
      </c>
      <c r="E333" s="171">
        <f>VLOOKUP(A333,Educacional!A$2:P$405,16,FALSE)</f>
        <v>64.177098045455637</v>
      </c>
      <c r="F333" s="171">
        <f>VLOOKUP(A333,Demográfico!A$2:L$405,12,FALSE)</f>
        <v>59.463586252654629</v>
      </c>
      <c r="G333" s="172">
        <f>VLOOKUP(A333,Socioeconômico!A$2:M$405,13,FALSE)</f>
        <v>47.528236187486826</v>
      </c>
      <c r="H333" s="173">
        <f>(2*E333+F333+2*G333)/5/100</f>
        <v>0.56574850943707911</v>
      </c>
      <c r="I333" s="170">
        <f>VLOOKUP(A333,Resultados!A$2:B731,2,FALSE)</f>
        <v>0</v>
      </c>
      <c r="J333" s="5">
        <f>IFERROR(VLOOKUP(A333,Demográfico!A$2:E$400,5,FALSE)/(VLOOKUP(C333,Metodologia!A$2:G$9,7,FALSE))*D333,0)</f>
        <v>5.9041156887254718E-2</v>
      </c>
      <c r="K333" s="72">
        <f>(J333*(1+H333)-I333)</f>
        <v>9.2443603391659815E-2</v>
      </c>
      <c r="L333" s="3">
        <v>1</v>
      </c>
      <c r="M333" s="66">
        <f>VLOOKUP(A333,Demográfico!A$2:E$400,5,FALSE)*H333</f>
        <v>292.49197937896992</v>
      </c>
      <c r="N333" s="68">
        <f>IFERROR(FLOOR(K333,1),0)</f>
        <v>0</v>
      </c>
      <c r="O333" s="68">
        <f>K333-N333</f>
        <v>9.2443603391659815E-2</v>
      </c>
      <c r="P333" s="65">
        <f>IFERROR(RANK(O333,O$2:O$400,0),0)</f>
        <v>315</v>
      </c>
      <c r="Q333" s="3">
        <f>N333+IF(P333&lt;P$1,1,0)</f>
        <v>0</v>
      </c>
      <c r="S333" s="65">
        <f>VLOOKUP(A333,Demográfico!A$2:E$400,5,FALSE)*(H333)</f>
        <v>292.49197937896992</v>
      </c>
      <c r="T333" s="79">
        <f>IFERROR(D333/D333,0)</f>
        <v>1</v>
      </c>
      <c r="U333" s="65">
        <f t="shared" si="5"/>
        <v>292.49197937896992</v>
      </c>
    </row>
    <row r="334" spans="1:21" ht="19.5" x14ac:dyDescent="0.25">
      <c r="A334" s="2" t="s">
        <v>338</v>
      </c>
      <c r="B334" s="168">
        <v>4027</v>
      </c>
      <c r="C334" s="169" t="str" cm="1">
        <f t="array" ref="C334">_xlfn.IFS(B334&lt;5000, "P1",B334&lt;20000, "P2",B334&lt;70000, "P3",B334&lt;100000, "P4",B334&lt;200000,"M1",B334&lt;500000,"M2",B334&lt;1000000,"G1",B334&gt;1000000,"G2")</f>
        <v>P1</v>
      </c>
      <c r="D334" s="170">
        <f>VLOOKUP(C334,Metodologia!A$2:H$9,8,FALSE)</f>
        <v>5.2963457913290126</v>
      </c>
      <c r="E334" s="171">
        <f>VLOOKUP(A334,Educacional!A$2:P$405,16,FALSE)</f>
        <v>34.952930447300936</v>
      </c>
      <c r="F334" s="171">
        <f>VLOOKUP(A334,Demográfico!A$2:L$405,12,FALSE)</f>
        <v>40.740531937934271</v>
      </c>
      <c r="G334" s="172">
        <f>VLOOKUP(A334,Socioeconômico!A$2:M$405,13,FALSE)</f>
        <v>53.768827133474772</v>
      </c>
      <c r="H334" s="173">
        <f>(2*E334+F334+2*G334)/5/100</f>
        <v>0.43636809419897138</v>
      </c>
      <c r="I334" s="170">
        <f>VLOOKUP(A334,Resultados!A$2:B732,2,FALSE)</f>
        <v>0</v>
      </c>
      <c r="J334" s="5">
        <f>IFERROR(VLOOKUP(A334,Demográfico!A$2:E$400,5,FALSE)/(VLOOKUP(C334,Metodologia!A$2:G$9,7,FALSE))*D334,0)</f>
        <v>6.0297351714643121E-2</v>
      </c>
      <c r="K334" s="72">
        <f>(J334*(1+H334)-I334)</f>
        <v>8.6609192167607013E-2</v>
      </c>
      <c r="L334" s="3">
        <v>0</v>
      </c>
      <c r="M334" s="66">
        <f>VLOOKUP(A334,Demográfico!A$2:E$400,5,FALSE)*H334</f>
        <v>230.4023537370569</v>
      </c>
      <c r="N334" s="68">
        <f>IFERROR(FLOOR(K334,1),0)</f>
        <v>0</v>
      </c>
      <c r="O334" s="68">
        <f>K334-N334</f>
        <v>8.6609192167607013E-2</v>
      </c>
      <c r="P334" s="65">
        <f>IFERROR(RANK(O334,O$2:O$400,0),0)</f>
        <v>325</v>
      </c>
      <c r="Q334" s="3">
        <f>N334+IF(P334&lt;P$1,1,0)</f>
        <v>0</v>
      </c>
      <c r="S334" s="65">
        <f>VLOOKUP(A334,Demográfico!A$2:E$400,5,FALSE)*(H334)</f>
        <v>230.4023537370569</v>
      </c>
      <c r="T334" s="79">
        <f>IFERROR(D334/D334,0)</f>
        <v>1</v>
      </c>
      <c r="U334" s="65">
        <f t="shared" si="5"/>
        <v>230.4023537370569</v>
      </c>
    </row>
    <row r="335" spans="1:21" ht="19.5" x14ac:dyDescent="0.25">
      <c r="A335" s="2" t="s">
        <v>340</v>
      </c>
      <c r="B335" s="168">
        <v>3980</v>
      </c>
      <c r="C335" s="169" t="str" cm="1">
        <f t="array" ref="C335">_xlfn.IFS(B335&lt;5000, "P1",B335&lt;20000, "P2",B335&lt;70000, "P3",B335&lt;100000, "P4",B335&lt;200000,"M1",B335&lt;500000,"M2",B335&lt;1000000,"G1",B335&gt;1000000,"G2")</f>
        <v>P1</v>
      </c>
      <c r="D335" s="170">
        <f>VLOOKUP(C335,Metodologia!A$2:H$9,8,FALSE)</f>
        <v>5.2963457913290126</v>
      </c>
      <c r="E335" s="171">
        <f>VLOOKUP(A335,Educacional!A$2:P$405,16,FALSE)</f>
        <v>16.863450065016831</v>
      </c>
      <c r="F335" s="171">
        <f>VLOOKUP(A335,Demográfico!A$2:L$405,12,FALSE)</f>
        <v>30.062678020796607</v>
      </c>
      <c r="G335" s="172">
        <f>VLOOKUP(A335,Socioeconômico!A$2:M$405,13,FALSE)</f>
        <v>51.07639586571181</v>
      </c>
      <c r="H335" s="173">
        <f>(2*E335+F335+2*G335)/5/100</f>
        <v>0.33188473976450777</v>
      </c>
      <c r="I335" s="170">
        <f>VLOOKUP(A335,Resultados!A$2:B733,2,FALSE)</f>
        <v>0</v>
      </c>
      <c r="J335" s="5">
        <f>IFERROR(VLOOKUP(A335,Demográfico!A$2:E$400,5,FALSE)/(VLOOKUP(C335,Metodologia!A$2:G$9,7,FALSE))*D335,0)</f>
        <v>6.2352943250369594E-2</v>
      </c>
      <c r="K335" s="72">
        <f>(J335*(1+H335)-I335)</f>
        <v>8.3046933594569619E-2</v>
      </c>
      <c r="L335" s="3">
        <v>0</v>
      </c>
      <c r="M335" s="66">
        <f>VLOOKUP(A335,Demográfico!A$2:E$400,5,FALSE)*H335</f>
        <v>181.20906791142124</v>
      </c>
      <c r="N335" s="68">
        <f>IFERROR(FLOOR(K335,1),0)</f>
        <v>0</v>
      </c>
      <c r="O335" s="68">
        <f>K335-N335</f>
        <v>8.3046933594569619E-2</v>
      </c>
      <c r="P335" s="65">
        <f>IFERROR(RANK(O335,O$2:O$400,0),0)</f>
        <v>333</v>
      </c>
      <c r="Q335" s="3">
        <f>N335+IF(P335&lt;P$1,1,0)</f>
        <v>0</v>
      </c>
      <c r="S335" s="65">
        <f>VLOOKUP(A335,Demográfico!A$2:E$400,5,FALSE)*(H335)</f>
        <v>181.20906791142124</v>
      </c>
      <c r="T335" s="79">
        <f>IFERROR(D335/D335,0)</f>
        <v>1</v>
      </c>
      <c r="U335" s="65">
        <f t="shared" si="5"/>
        <v>181.20906791142124</v>
      </c>
    </row>
    <row r="336" spans="1:21" ht="19.5" x14ac:dyDescent="0.25">
      <c r="A336" s="2" t="s">
        <v>339</v>
      </c>
      <c r="B336" s="168">
        <v>3980</v>
      </c>
      <c r="C336" s="169" t="str" cm="1">
        <f t="array" ref="C336">_xlfn.IFS(B336&lt;5000, "P1",B336&lt;20000, "P2",B336&lt;70000, "P3",B336&lt;100000, "P4",B336&lt;200000,"M1",B336&lt;500000,"M2",B336&lt;1000000,"G1",B336&gt;1000000,"G2")</f>
        <v>P1</v>
      </c>
      <c r="D336" s="170">
        <f>VLOOKUP(C336,Metodologia!A$2:H$9,8,FALSE)</f>
        <v>5.2963457913290126</v>
      </c>
      <c r="E336" s="171">
        <f>VLOOKUP(A336,Educacional!A$2:P$405,16,FALSE)</f>
        <v>29.46929830112958</v>
      </c>
      <c r="F336" s="171">
        <f>VLOOKUP(A336,Demográfico!A$2:L$405,12,FALSE)</f>
        <v>12.778314053281809</v>
      </c>
      <c r="G336" s="172">
        <f>VLOOKUP(A336,Socioeconômico!A$2:M$405,13,FALSE)</f>
        <v>34.270584160318784</v>
      </c>
      <c r="H336" s="173">
        <f>(2*E336+F336+2*G336)/5/100</f>
        <v>0.28051615795235707</v>
      </c>
      <c r="I336" s="170">
        <f>VLOOKUP(A336,Resultados!A$2:B734,2,FALSE)</f>
        <v>0</v>
      </c>
      <c r="J336" s="5">
        <f>IFERROR(VLOOKUP(A336,Demográfico!A$2:E$400,5,FALSE)/(VLOOKUP(C336,Metodologia!A$2:G$9,7,FALSE))*D336,0)</f>
        <v>4.8078002030046883E-2</v>
      </c>
      <c r="K336" s="72">
        <f>(J336*(1+H336)-I336)</f>
        <v>6.1564658441541256E-2</v>
      </c>
      <c r="L336" s="3">
        <v>0</v>
      </c>
      <c r="M336" s="66">
        <f>VLOOKUP(A336,Demográfico!A$2:E$400,5,FALSE)*H336</f>
        <v>118.09730249794232</v>
      </c>
      <c r="N336" s="68">
        <f>IFERROR(FLOOR(K336,1),0)</f>
        <v>0</v>
      </c>
      <c r="O336" s="68">
        <f>K336-N336</f>
        <v>6.1564658441541256E-2</v>
      </c>
      <c r="P336" s="65">
        <f>IFERROR(RANK(O336,O$2:O$400,0),0)</f>
        <v>369</v>
      </c>
      <c r="Q336" s="3">
        <f>N336+IF(P336&lt;P$1,1,0)</f>
        <v>0</v>
      </c>
      <c r="S336" s="65">
        <f>VLOOKUP(A336,Demográfico!A$2:E$400,5,FALSE)*(H336)</f>
        <v>118.09730249794232</v>
      </c>
      <c r="T336" s="79">
        <f>IFERROR(D336/D336,0)</f>
        <v>1</v>
      </c>
      <c r="U336" s="65">
        <f t="shared" si="5"/>
        <v>118.09730249794232</v>
      </c>
    </row>
    <row r="337" spans="1:21" ht="19.5" x14ac:dyDescent="0.25">
      <c r="A337" s="2" t="s">
        <v>341</v>
      </c>
      <c r="B337" s="168">
        <v>3957</v>
      </c>
      <c r="C337" s="169" t="str" cm="1">
        <f t="array" ref="C337">_xlfn.IFS(B337&lt;5000, "P1",B337&lt;20000, "P2",B337&lt;70000, "P3",B337&lt;100000, "P4",B337&lt;200000,"M1",B337&lt;500000,"M2",B337&lt;1000000,"G1",B337&gt;1000000,"G2")</f>
        <v>P1</v>
      </c>
      <c r="D337" s="170">
        <f>VLOOKUP(C337,Metodologia!A$2:H$9,8,FALSE)</f>
        <v>5.2963457913290126</v>
      </c>
      <c r="E337" s="171">
        <f>VLOOKUP(A337,Educacional!A$2:P$405,16,FALSE)</f>
        <v>65.847700405225766</v>
      </c>
      <c r="F337" s="171">
        <f>VLOOKUP(A337,Demográfico!A$2:L$405,12,FALSE)</f>
        <v>63.187018864325751</v>
      </c>
      <c r="G337" s="172">
        <f>VLOOKUP(A337,Socioeconômico!A$2:M$405,13,FALSE)</f>
        <v>48.615437928433899</v>
      </c>
      <c r="H337" s="173">
        <f>(2*E337+F337+2*G337)/5/100</f>
        <v>0.58422659106329011</v>
      </c>
      <c r="I337" s="170">
        <f>VLOOKUP(A337,Resultados!A$2:B735,2,FALSE)</f>
        <v>0</v>
      </c>
      <c r="J337" s="5">
        <f>IFERROR(VLOOKUP(A337,Demográfico!A$2:E$400,5,FALSE)/(VLOOKUP(C337,Metodologia!A$2:G$9,7,FALSE))*D337,0)</f>
        <v>6.4294335256333476E-2</v>
      </c>
      <c r="K337" s="72">
        <f>(J337*(1+H337)-I337)</f>
        <v>0.10185679556782148</v>
      </c>
      <c r="L337" s="3">
        <v>1</v>
      </c>
      <c r="M337" s="66">
        <f>VLOOKUP(A337,Demográfico!A$2:E$400,5,FALSE)*H337</f>
        <v>328.91957076863235</v>
      </c>
      <c r="N337" s="68">
        <f>IFERROR(FLOOR(K337,1),0)</f>
        <v>0</v>
      </c>
      <c r="O337" s="68">
        <f>K337-N337</f>
        <v>0.10185679556782148</v>
      </c>
      <c r="P337" s="65">
        <f>IFERROR(RANK(O337,O$2:O$400,0),0)</f>
        <v>300</v>
      </c>
      <c r="Q337" s="3">
        <f>N337+IF(P337&lt;P$1,1,0)</f>
        <v>0</v>
      </c>
      <c r="S337" s="65">
        <f>VLOOKUP(A337,Demográfico!A$2:E$400,5,FALSE)*(H337)</f>
        <v>328.91957076863235</v>
      </c>
      <c r="T337" s="79">
        <f>IFERROR(D337/D337,0)</f>
        <v>1</v>
      </c>
      <c r="U337" s="65">
        <f t="shared" si="5"/>
        <v>328.91957076863235</v>
      </c>
    </row>
    <row r="338" spans="1:21" ht="19.5" x14ac:dyDescent="0.25">
      <c r="A338" s="2" t="s">
        <v>342</v>
      </c>
      <c r="B338" s="168">
        <v>3951</v>
      </c>
      <c r="C338" s="169" t="str" cm="1">
        <f t="array" ref="C338">_xlfn.IFS(B338&lt;5000, "P1",B338&lt;20000, "P2",B338&lt;70000, "P3",B338&lt;100000, "P4",B338&lt;200000,"M1",B338&lt;500000,"M2",B338&lt;1000000,"G1",B338&gt;1000000,"G2")</f>
        <v>P1</v>
      </c>
      <c r="D338" s="170">
        <f>VLOOKUP(C338,Metodologia!A$2:H$9,8,FALSE)</f>
        <v>5.2963457913290126</v>
      </c>
      <c r="E338" s="171">
        <f>VLOOKUP(A338,Educacional!A$2:P$405,16,FALSE)</f>
        <v>48.122869334329508</v>
      </c>
      <c r="F338" s="171">
        <f>VLOOKUP(A338,Demográfico!A$2:L$405,12,FALSE)</f>
        <v>28.758082821026765</v>
      </c>
      <c r="G338" s="172">
        <f>VLOOKUP(A338,Socioeconômico!A$2:M$405,13,FALSE)</f>
        <v>46.05431029583476</v>
      </c>
      <c r="H338" s="173">
        <f>(2*E338+F338+2*G338)/5/100</f>
        <v>0.43422488416271066</v>
      </c>
      <c r="I338" s="170">
        <f>VLOOKUP(A338,Resultados!A$2:B736,2,FALSE)</f>
        <v>0</v>
      </c>
      <c r="J338" s="5">
        <f>IFERROR(VLOOKUP(A338,Demográfico!A$2:E$400,5,FALSE)/(VLOOKUP(C338,Metodologia!A$2:G$9,7,FALSE))*D338,0)</f>
        <v>5.4701574756276621E-2</v>
      </c>
      <c r="K338" s="72">
        <f>(J338*(1+H338)-I338)</f>
        <v>7.8454359718338681E-2</v>
      </c>
      <c r="L338" s="3">
        <v>0</v>
      </c>
      <c r="M338" s="66">
        <f>VLOOKUP(A338,Demográfico!A$2:E$400,5,FALSE)*H338</f>
        <v>207.9937195139384</v>
      </c>
      <c r="N338" s="68">
        <f>IFERROR(FLOOR(K338,1),0)</f>
        <v>0</v>
      </c>
      <c r="O338" s="68">
        <f>K338-N338</f>
        <v>7.8454359718338681E-2</v>
      </c>
      <c r="P338" s="65">
        <f>IFERROR(RANK(O338,O$2:O$400,0),0)</f>
        <v>343</v>
      </c>
      <c r="Q338" s="3">
        <f>N338+IF(P338&lt;P$1,1,0)</f>
        <v>0</v>
      </c>
      <c r="S338" s="65">
        <f>VLOOKUP(A338,Demográfico!A$2:E$400,5,FALSE)*(H338)</f>
        <v>207.9937195139384</v>
      </c>
      <c r="T338" s="79">
        <f>IFERROR(D338/D338,0)</f>
        <v>1</v>
      </c>
      <c r="U338" s="65">
        <f t="shared" si="5"/>
        <v>207.9937195139384</v>
      </c>
    </row>
    <row r="339" spans="1:21" ht="19.5" x14ac:dyDescent="0.25">
      <c r="A339" s="2" t="s">
        <v>343</v>
      </c>
      <c r="B339" s="168">
        <v>3938</v>
      </c>
      <c r="C339" s="169" t="str" cm="1">
        <f t="array" ref="C339">_xlfn.IFS(B339&lt;5000, "P1",B339&lt;20000, "P2",B339&lt;70000, "P3",B339&lt;100000, "P4",B339&lt;200000,"M1",B339&lt;500000,"M2",B339&lt;1000000,"G1",B339&gt;1000000,"G2")</f>
        <v>P1</v>
      </c>
      <c r="D339" s="170">
        <f>VLOOKUP(C339,Metodologia!A$2:H$9,8,FALSE)</f>
        <v>5.2963457913290126</v>
      </c>
      <c r="E339" s="171">
        <f>VLOOKUP(A339,Educacional!A$2:P$405,16,FALSE)</f>
        <v>66.697839330484982</v>
      </c>
      <c r="F339" s="171">
        <f>VLOOKUP(A339,Demográfico!A$2:L$405,12,FALSE)</f>
        <v>14.392553388753749</v>
      </c>
      <c r="G339" s="172">
        <f>VLOOKUP(A339,Socioeconômico!A$2:M$405,13,FALSE)</f>
        <v>53.988113929675272</v>
      </c>
      <c r="H339" s="173">
        <f>(2*E339+F339+2*G339)/5/100</f>
        <v>0.51152891981814852</v>
      </c>
      <c r="I339" s="170">
        <f>VLOOKUP(A339,Resultados!A$2:B737,2,FALSE)</f>
        <v>0</v>
      </c>
      <c r="J339" s="5">
        <f>IFERROR(VLOOKUP(A339,Demográfico!A$2:E$400,5,FALSE)/(VLOOKUP(C339,Metodologia!A$2:G$9,7,FALSE))*D339,0)</f>
        <v>5.550097146461469E-2</v>
      </c>
      <c r="K339" s="72">
        <f>(J339*(1+H339)-I339)</f>
        <v>8.3891323446766933E-2</v>
      </c>
      <c r="L339" s="3">
        <v>1</v>
      </c>
      <c r="M339" s="66">
        <f>VLOOKUP(A339,Demográfico!A$2:E$400,5,FALSE)*H339</f>
        <v>248.60305503162019</v>
      </c>
      <c r="N339" s="68">
        <f>IFERROR(FLOOR(K339,1),0)</f>
        <v>0</v>
      </c>
      <c r="O339" s="68">
        <f>K339-N339</f>
        <v>8.3891323446766933E-2</v>
      </c>
      <c r="P339" s="65">
        <f>IFERROR(RANK(O339,O$2:O$400,0),0)</f>
        <v>330</v>
      </c>
      <c r="Q339" s="3">
        <f>N339+IF(P339&lt;P$1,1,0)</f>
        <v>0</v>
      </c>
      <c r="S339" s="65">
        <f>VLOOKUP(A339,Demográfico!A$2:E$400,5,FALSE)*(H339)</f>
        <v>248.60305503162019</v>
      </c>
      <c r="T339" s="79">
        <f>IFERROR(D339/D339,0)</f>
        <v>1</v>
      </c>
      <c r="U339" s="65">
        <f t="shared" si="5"/>
        <v>248.60305503162019</v>
      </c>
    </row>
    <row r="340" spans="1:21" ht="19.5" x14ac:dyDescent="0.25">
      <c r="A340" s="2" t="s">
        <v>344</v>
      </c>
      <c r="B340" s="168">
        <v>3936</v>
      </c>
      <c r="C340" s="169" t="str" cm="1">
        <f t="array" ref="C340">_xlfn.IFS(B340&lt;5000, "P1",B340&lt;20000, "P2",B340&lt;70000, "P3",B340&lt;100000, "P4",B340&lt;200000,"M1",B340&lt;500000,"M2",B340&lt;1000000,"G1",B340&gt;1000000,"G2")</f>
        <v>P1</v>
      </c>
      <c r="D340" s="170">
        <f>VLOOKUP(C340,Metodologia!A$2:H$9,8,FALSE)</f>
        <v>5.2963457913290126</v>
      </c>
      <c r="E340" s="171">
        <f>VLOOKUP(A340,Educacional!A$2:P$405,16,FALSE)</f>
        <v>79.255704991439444</v>
      </c>
      <c r="F340" s="171">
        <f>VLOOKUP(A340,Demográfico!A$2:L$405,12,FALSE)</f>
        <v>56.658561886492556</v>
      </c>
      <c r="G340" s="172">
        <f>VLOOKUP(A340,Socioeconômico!A$2:M$405,13,FALSE)</f>
        <v>57.735944591264776</v>
      </c>
      <c r="H340" s="173">
        <f>(2*E340+F340+2*G340)/5/100</f>
        <v>0.66128372210380204</v>
      </c>
      <c r="I340" s="170">
        <f>VLOOKUP(A340,Resultados!A$2:B738,2,FALSE)</f>
        <v>0</v>
      </c>
      <c r="J340" s="5">
        <f>IFERROR(VLOOKUP(A340,Demográfico!A$2:E$400,5,FALSE)/(VLOOKUP(C340,Metodologia!A$2:G$9,7,FALSE))*D340,0)</f>
        <v>6.360913807775799E-2</v>
      </c>
      <c r="K340" s="72">
        <f>(J340*(1+H340)-I340)</f>
        <v>0.10567282566563249</v>
      </c>
      <c r="L340" s="3">
        <v>1</v>
      </c>
      <c r="M340" s="66">
        <f>VLOOKUP(A340,Demográfico!A$2:E$400,5,FALSE)*H340</f>
        <v>368.33503321181774</v>
      </c>
      <c r="N340" s="68">
        <f>IFERROR(FLOOR(K340,1),0)</f>
        <v>0</v>
      </c>
      <c r="O340" s="68">
        <f>K340-N340</f>
        <v>0.10567282566563249</v>
      </c>
      <c r="P340" s="65">
        <f>IFERROR(RANK(O340,O$2:O$400,0),0)</f>
        <v>296</v>
      </c>
      <c r="Q340" s="3">
        <f>N340+IF(P340&lt;P$1,1,0)</f>
        <v>0</v>
      </c>
      <c r="S340" s="65">
        <f>VLOOKUP(A340,Demográfico!A$2:E$400,5,FALSE)*(H340)</f>
        <v>368.33503321181774</v>
      </c>
      <c r="T340" s="79">
        <f>IFERROR(D340/D340,0)</f>
        <v>1</v>
      </c>
      <c r="U340" s="65">
        <f t="shared" si="5"/>
        <v>368.33503321181774</v>
      </c>
    </row>
    <row r="341" spans="1:21" ht="19.5" x14ac:dyDescent="0.25">
      <c r="A341" s="2" t="s">
        <v>345</v>
      </c>
      <c r="B341" s="168">
        <v>3811</v>
      </c>
      <c r="C341" s="169" t="str" cm="1">
        <f t="array" ref="C341">_xlfn.IFS(B341&lt;5000, "P1",B341&lt;20000, "P2",B341&lt;70000, "P3",B341&lt;100000, "P4",B341&lt;200000,"M1",B341&lt;500000,"M2",B341&lt;1000000,"G1",B341&gt;1000000,"G2")</f>
        <v>P1</v>
      </c>
      <c r="D341" s="170">
        <f>VLOOKUP(C341,Metodologia!A$2:H$9,8,FALSE)</f>
        <v>5.2963457913290126</v>
      </c>
      <c r="E341" s="171">
        <f>VLOOKUP(A341,Educacional!A$2:P$405,16,FALSE)</f>
        <v>64.507493280603796</v>
      </c>
      <c r="F341" s="171">
        <f>VLOOKUP(A341,Demográfico!A$2:L$405,12,FALSE)</f>
        <v>64.445072741089831</v>
      </c>
      <c r="G341" s="172">
        <f>VLOOKUP(A341,Socioeconômico!A$2:M$405,13,FALSE)</f>
        <v>40.163189370921543</v>
      </c>
      <c r="H341" s="173">
        <f>(2*E341+F341+2*G341)/5/100</f>
        <v>0.54757287608828098</v>
      </c>
      <c r="I341" s="170">
        <f>VLOOKUP(A341,Resultados!A$2:B739,2,FALSE)</f>
        <v>0</v>
      </c>
      <c r="J341" s="5">
        <f>IFERROR(VLOOKUP(A341,Demográfico!A$2:E$400,5,FALSE)/(VLOOKUP(C341,Metodologia!A$2:G$9,7,FALSE))*D341,0)</f>
        <v>5.9497955006305045E-2</v>
      </c>
      <c r="K341" s="72">
        <f>(J341*(1+H341)-I341)</f>
        <v>9.2077421350478639E-2</v>
      </c>
      <c r="L341" s="3">
        <v>1</v>
      </c>
      <c r="M341" s="66">
        <f>VLOOKUP(A341,Demográfico!A$2:E$400,5,FALSE)*H341</f>
        <v>285.2854684419944</v>
      </c>
      <c r="N341" s="68">
        <f>IFERROR(FLOOR(K341,1),0)</f>
        <v>0</v>
      </c>
      <c r="O341" s="68">
        <f>K341-N341</f>
        <v>9.2077421350478639E-2</v>
      </c>
      <c r="P341" s="65">
        <f>IFERROR(RANK(O341,O$2:O$400,0),0)</f>
        <v>316</v>
      </c>
      <c r="Q341" s="3">
        <f>N341+IF(P341&lt;P$1,1,0)</f>
        <v>0</v>
      </c>
      <c r="S341" s="65">
        <f>VLOOKUP(A341,Demográfico!A$2:E$400,5,FALSE)*(H341)</f>
        <v>285.2854684419944</v>
      </c>
      <c r="T341" s="79">
        <f>IFERROR(D341/D341,0)</f>
        <v>1</v>
      </c>
      <c r="U341" s="65">
        <f t="shared" si="5"/>
        <v>285.2854684419944</v>
      </c>
    </row>
    <row r="342" spans="1:21" ht="19.5" x14ac:dyDescent="0.25">
      <c r="A342" s="2" t="s">
        <v>346</v>
      </c>
      <c r="B342" s="168">
        <v>3808</v>
      </c>
      <c r="C342" s="169" t="str" cm="1">
        <f t="array" ref="C342">_xlfn.IFS(B342&lt;5000, "P1",B342&lt;20000, "P2",B342&lt;70000, "P3",B342&lt;100000, "P4",B342&lt;200000,"M1",B342&lt;500000,"M2",B342&lt;1000000,"G1",B342&gt;1000000,"G2")</f>
        <v>P1</v>
      </c>
      <c r="D342" s="170">
        <f>VLOOKUP(C342,Metodologia!A$2:H$9,8,FALSE)</f>
        <v>5.2963457913290126</v>
      </c>
      <c r="E342" s="171">
        <f>VLOOKUP(A342,Educacional!A$2:P$405,16,FALSE)</f>
        <v>63.548118646107113</v>
      </c>
      <c r="F342" s="171">
        <f>VLOOKUP(A342,Demográfico!A$2:L$405,12,FALSE)</f>
        <v>42.173019524261548</v>
      </c>
      <c r="G342" s="172">
        <f>VLOOKUP(A342,Socioeconômico!A$2:M$405,13,FALSE)</f>
        <v>88.490833389407229</v>
      </c>
      <c r="H342" s="173">
        <f>(2*E342+F342+2*G342)/5/100</f>
        <v>0.6925018471905805</v>
      </c>
      <c r="I342" s="170">
        <f>VLOOKUP(A342,Resultados!A$2:B740,2,FALSE)</f>
        <v>0</v>
      </c>
      <c r="J342" s="5">
        <f>IFERROR(VLOOKUP(A342,Demográfico!A$2:E$400,5,FALSE)/(VLOOKUP(C342,Metodologia!A$2:G$9,7,FALSE))*D342,0)</f>
        <v>6.7035123970635435E-2</v>
      </c>
      <c r="K342" s="72">
        <f>(J342*(1+H342)-I342)</f>
        <v>0.11345707114695003</v>
      </c>
      <c r="L342" s="3">
        <v>1</v>
      </c>
      <c r="M342" s="66">
        <f>VLOOKUP(A342,Demográfico!A$2:E$400,5,FALSE)*H342</f>
        <v>406.49858430087073</v>
      </c>
      <c r="N342" s="68">
        <f>IFERROR(FLOOR(K342,1),0)</f>
        <v>0</v>
      </c>
      <c r="O342" s="68">
        <f>K342-N342</f>
        <v>0.11345707114695003</v>
      </c>
      <c r="P342" s="65">
        <f>IFERROR(RANK(O342,O$2:O$400,0),0)</f>
        <v>285</v>
      </c>
      <c r="Q342" s="3">
        <f>N342+IF(P342&lt;P$1,1,0)</f>
        <v>0</v>
      </c>
      <c r="S342" s="65">
        <f>VLOOKUP(A342,Demográfico!A$2:E$400,5,FALSE)*(H342)</f>
        <v>406.49858430087073</v>
      </c>
      <c r="T342" s="79">
        <f>IFERROR(D342/D342,0)</f>
        <v>1</v>
      </c>
      <c r="U342" s="65">
        <f t="shared" si="5"/>
        <v>406.49858430087073</v>
      </c>
    </row>
    <row r="343" spans="1:21" ht="19.5" x14ac:dyDescent="0.25">
      <c r="A343" s="2" t="s">
        <v>347</v>
      </c>
      <c r="B343" s="168">
        <v>3760</v>
      </c>
      <c r="C343" s="169" t="str" cm="1">
        <f t="array" ref="C343">_xlfn.IFS(B343&lt;5000, "P1",B343&lt;20000, "P2",B343&lt;70000, "P3",B343&lt;100000, "P4",B343&lt;200000,"M1",B343&lt;500000,"M2",B343&lt;1000000,"G1",B343&gt;1000000,"G2")</f>
        <v>P1</v>
      </c>
      <c r="D343" s="170">
        <f>VLOOKUP(C343,Metodologia!A$2:H$9,8,FALSE)</f>
        <v>5.2963457913290126</v>
      </c>
      <c r="E343" s="171">
        <f>VLOOKUP(A343,Educacional!A$2:P$405,16,FALSE)</f>
        <v>63.113987071203582</v>
      </c>
      <c r="F343" s="171">
        <f>VLOOKUP(A343,Demográfico!A$2:L$405,12,FALSE)</f>
        <v>24.910180900351861</v>
      </c>
      <c r="G343" s="172">
        <f>VLOOKUP(A343,Socioeconômico!A$2:M$405,13,FALSE)</f>
        <v>50.032140397181877</v>
      </c>
      <c r="H343" s="173">
        <f>(2*E343+F343+2*G343)/5/100</f>
        <v>0.50240487167424552</v>
      </c>
      <c r="I343" s="170">
        <f>VLOOKUP(A343,Resultados!A$2:B741,2,FALSE)</f>
        <v>0</v>
      </c>
      <c r="J343" s="5">
        <f>IFERROR(VLOOKUP(A343,Demográfico!A$2:E$400,5,FALSE)/(VLOOKUP(C343,Metodologia!A$2:G$9,7,FALSE))*D343,0)</f>
        <v>5.2531783690787572E-2</v>
      </c>
      <c r="K343" s="72">
        <f>(J343*(1+H343)-I343)</f>
        <v>7.8924007734776924E-2</v>
      </c>
      <c r="L343" s="3">
        <v>0</v>
      </c>
      <c r="M343" s="66">
        <f>VLOOKUP(A343,Demográfico!A$2:E$400,5,FALSE)*H343</f>
        <v>231.10624097015295</v>
      </c>
      <c r="N343" s="68">
        <f>IFERROR(FLOOR(K343,1),0)</f>
        <v>0</v>
      </c>
      <c r="O343" s="68">
        <f>K343-N343</f>
        <v>7.8924007734776924E-2</v>
      </c>
      <c r="P343" s="65">
        <f>IFERROR(RANK(O343,O$2:O$400,0),0)</f>
        <v>342</v>
      </c>
      <c r="Q343" s="3">
        <f>N343+IF(P343&lt;P$1,1,0)</f>
        <v>0</v>
      </c>
      <c r="S343" s="65">
        <f>VLOOKUP(A343,Demográfico!A$2:E$400,5,FALSE)*(H343)</f>
        <v>231.10624097015295</v>
      </c>
      <c r="T343" s="79">
        <f>IFERROR(D343/D343,0)</f>
        <v>1</v>
      </c>
      <c r="U343" s="65">
        <f t="shared" si="5"/>
        <v>231.10624097015295</v>
      </c>
    </row>
    <row r="344" spans="1:21" ht="19.5" x14ac:dyDescent="0.25">
      <c r="A344" s="2" t="s">
        <v>348</v>
      </c>
      <c r="B344" s="168">
        <v>3752</v>
      </c>
      <c r="C344" s="169" t="str" cm="1">
        <f t="array" ref="C344">_xlfn.IFS(B344&lt;5000, "P1",B344&lt;20000, "P2",B344&lt;70000, "P3",B344&lt;100000, "P4",B344&lt;200000,"M1",B344&lt;500000,"M2",B344&lt;1000000,"G1",B344&gt;1000000,"G2")</f>
        <v>P1</v>
      </c>
      <c r="D344" s="170">
        <f>VLOOKUP(C344,Metodologia!A$2:H$9,8,FALSE)</f>
        <v>5.2963457913290126</v>
      </c>
      <c r="E344" s="171">
        <f>VLOOKUP(A344,Educacional!A$2:P$405,16,FALSE)</f>
        <v>34.253989165818041</v>
      </c>
      <c r="F344" s="171">
        <f>VLOOKUP(A344,Demográfico!A$2:L$405,12,FALSE)</f>
        <v>76.752616268279183</v>
      </c>
      <c r="G344" s="172">
        <f>VLOOKUP(A344,Socioeconômico!A$2:M$405,13,FALSE)</f>
        <v>38.823213930630295</v>
      </c>
      <c r="H344" s="173">
        <f>(2*E344+F344+2*G344)/5/100</f>
        <v>0.44581404492235172</v>
      </c>
      <c r="I344" s="170">
        <f>VLOOKUP(A344,Resultados!A$2:B742,2,FALSE)</f>
        <v>0</v>
      </c>
      <c r="J344" s="5">
        <f>IFERROR(VLOOKUP(A344,Demográfico!A$2:E$400,5,FALSE)/(VLOOKUP(C344,Metodologia!A$2:G$9,7,FALSE))*D344,0)</f>
        <v>5.2874382280075315E-2</v>
      </c>
      <c r="K344" s="72">
        <f>(J344*(1+H344)-I344)</f>
        <v>7.6446524517126413E-2</v>
      </c>
      <c r="L344" s="3">
        <v>0</v>
      </c>
      <c r="M344" s="66">
        <f>VLOOKUP(A344,Demográfico!A$2:E$400,5,FALSE)*H344</f>
        <v>206.41190279904885</v>
      </c>
      <c r="N344" s="68">
        <f>IFERROR(FLOOR(K344,1),0)</f>
        <v>0</v>
      </c>
      <c r="O344" s="68">
        <f>K344-N344</f>
        <v>7.6446524517126413E-2</v>
      </c>
      <c r="P344" s="65">
        <f>IFERROR(RANK(O344,O$2:O$400,0),0)</f>
        <v>346</v>
      </c>
      <c r="Q344" s="3">
        <f>N344+IF(P344&lt;P$1,1,0)</f>
        <v>0</v>
      </c>
      <c r="S344" s="65">
        <f>VLOOKUP(A344,Demográfico!A$2:E$400,5,FALSE)*(H344)</f>
        <v>206.41190279904885</v>
      </c>
      <c r="T344" s="79">
        <f>IFERROR(D344/D344,0)</f>
        <v>1</v>
      </c>
      <c r="U344" s="65">
        <f t="shared" si="5"/>
        <v>206.41190279904885</v>
      </c>
    </row>
    <row r="345" spans="1:21" ht="19.5" x14ac:dyDescent="0.25">
      <c r="A345" s="2" t="s">
        <v>349</v>
      </c>
      <c r="B345" s="168">
        <v>3709</v>
      </c>
      <c r="C345" s="169" t="str" cm="1">
        <f t="array" ref="C345">_xlfn.IFS(B345&lt;5000, "P1",B345&lt;20000, "P2",B345&lt;70000, "P3",B345&lt;100000, "P4",B345&lt;200000,"M1",B345&lt;500000,"M2",B345&lt;1000000,"G1",B345&gt;1000000,"G2")</f>
        <v>P1</v>
      </c>
      <c r="D345" s="170">
        <f>VLOOKUP(C345,Metodologia!A$2:H$9,8,FALSE)</f>
        <v>5.2963457913290126</v>
      </c>
      <c r="E345" s="171">
        <f>VLOOKUP(A345,Educacional!A$2:P$405,16,FALSE)</f>
        <v>35.997836501505887</v>
      </c>
      <c r="F345" s="171">
        <f>VLOOKUP(A345,Demográfico!A$2:L$405,12,FALSE)</f>
        <v>100</v>
      </c>
      <c r="G345" s="172">
        <f>VLOOKUP(A345,Socioeconômico!A$2:M$405,13,FALSE)</f>
        <v>35.816930700666212</v>
      </c>
      <c r="H345" s="173">
        <f>(2*E345+F345+2*G345)/5/100</f>
        <v>0.48725906880868841</v>
      </c>
      <c r="I345" s="170">
        <f>VLOOKUP(A345,Resultados!A$2:B743,2,FALSE)</f>
        <v>0</v>
      </c>
      <c r="J345" s="5">
        <f>IFERROR(VLOOKUP(A345,Demográfico!A$2:E$400,5,FALSE)/(VLOOKUP(C345,Metodologia!A$2:G$9,7,FALSE))*D345,0)</f>
        <v>5.6186168643190176E-2</v>
      </c>
      <c r="K345" s="72">
        <f>(J345*(1+H345)-I345)</f>
        <v>8.3563388856198947E-2</v>
      </c>
      <c r="L345" s="3">
        <v>0</v>
      </c>
      <c r="M345" s="66">
        <f>VLOOKUP(A345,Demográfico!A$2:E$400,5,FALSE)*H345</f>
        <v>239.73146185387469</v>
      </c>
      <c r="N345" s="68">
        <f>IFERROR(FLOOR(K345,1),0)</f>
        <v>0</v>
      </c>
      <c r="O345" s="68">
        <f>K345-N345</f>
        <v>8.3563388856198947E-2</v>
      </c>
      <c r="P345" s="65">
        <f>IFERROR(RANK(O345,O$2:O$400,0),0)</f>
        <v>331</v>
      </c>
      <c r="Q345" s="3">
        <f>N345+IF(P345&lt;P$1,1,0)</f>
        <v>0</v>
      </c>
      <c r="S345" s="65">
        <f>VLOOKUP(A345,Demográfico!A$2:E$400,5,FALSE)*(H345)</f>
        <v>239.73146185387469</v>
      </c>
      <c r="T345" s="79">
        <f>IFERROR(D345/D345,0)</f>
        <v>1</v>
      </c>
      <c r="U345" s="65">
        <f t="shared" si="5"/>
        <v>239.73146185387469</v>
      </c>
    </row>
    <row r="346" spans="1:21" ht="19.5" x14ac:dyDescent="0.25">
      <c r="A346" s="2" t="s">
        <v>350</v>
      </c>
      <c r="B346" s="168">
        <v>3708</v>
      </c>
      <c r="C346" s="169" t="str" cm="1">
        <f t="array" ref="C346">_xlfn.IFS(B346&lt;5000, "P1",B346&lt;20000, "P2",B346&lt;70000, "P3",B346&lt;100000, "P4",B346&lt;200000,"M1",B346&lt;500000,"M2",B346&lt;1000000,"G1",B346&gt;1000000,"G2")</f>
        <v>P1</v>
      </c>
      <c r="D346" s="170">
        <f>VLOOKUP(C346,Metodologia!A$2:H$9,8,FALSE)</f>
        <v>5.2963457913290126</v>
      </c>
      <c r="E346" s="171">
        <f>VLOOKUP(A346,Educacional!A$2:P$405,16,FALSE)</f>
        <v>59.042461627338596</v>
      </c>
      <c r="F346" s="171">
        <f>VLOOKUP(A346,Demográfico!A$2:L$405,12,FALSE)</f>
        <v>57.380332010006164</v>
      </c>
      <c r="G346" s="172">
        <f>VLOOKUP(A346,Socioeconômico!A$2:M$405,13,FALSE)</f>
        <v>37.163023730394137</v>
      </c>
      <c r="H346" s="173">
        <f>(2*E346+F346+2*G346)/5/100</f>
        <v>0.49958260545094318</v>
      </c>
      <c r="I346" s="170">
        <f>VLOOKUP(A346,Resultados!A$2:B744,2,FALSE)</f>
        <v>0</v>
      </c>
      <c r="J346" s="5">
        <f>IFERROR(VLOOKUP(A346,Demográfico!A$2:E$400,5,FALSE)/(VLOOKUP(C346,Metodologia!A$2:G$9,7,FALSE))*D346,0)</f>
        <v>5.3673778988413384E-2</v>
      </c>
      <c r="K346" s="72">
        <f>(J346*(1+H346)-I346)</f>
        <v>8.0488265339843032E-2</v>
      </c>
      <c r="L346" s="3">
        <v>0</v>
      </c>
      <c r="M346" s="66">
        <f>VLOOKUP(A346,Demográfico!A$2:E$400,5,FALSE)*H346</f>
        <v>234.80382456194329</v>
      </c>
      <c r="N346" s="68">
        <f>IFERROR(FLOOR(K346,1),0)</f>
        <v>0</v>
      </c>
      <c r="O346" s="68">
        <f>K346-N346</f>
        <v>8.0488265339843032E-2</v>
      </c>
      <c r="P346" s="65">
        <f>IFERROR(RANK(O346,O$2:O$400,0),0)</f>
        <v>340</v>
      </c>
      <c r="Q346" s="3">
        <f>N346+IF(P346&lt;P$1,1,0)</f>
        <v>0</v>
      </c>
      <c r="S346" s="65">
        <f>VLOOKUP(A346,Demográfico!A$2:E$400,5,FALSE)*(H346)</f>
        <v>234.80382456194329</v>
      </c>
      <c r="T346" s="79">
        <f>IFERROR(D346/D346,0)</f>
        <v>1</v>
      </c>
      <c r="U346" s="65">
        <f t="shared" si="5"/>
        <v>234.80382456194329</v>
      </c>
    </row>
    <row r="347" spans="1:21" ht="19.5" x14ac:dyDescent="0.25">
      <c r="A347" s="2" t="s">
        <v>351</v>
      </c>
      <c r="B347" s="168">
        <v>3669</v>
      </c>
      <c r="C347" s="169" t="str" cm="1">
        <f t="array" ref="C347">_xlfn.IFS(B347&lt;5000, "P1",B347&lt;20000, "P2",B347&lt;70000, "P3",B347&lt;100000, "P4",B347&lt;200000,"M1",B347&lt;500000,"M2",B347&lt;1000000,"G1",B347&gt;1000000,"G2")</f>
        <v>P1</v>
      </c>
      <c r="D347" s="170">
        <f>VLOOKUP(C347,Metodologia!A$2:H$9,8,FALSE)</f>
        <v>5.2963457913290126</v>
      </c>
      <c r="E347" s="171">
        <f>VLOOKUP(A347,Educacional!A$2:P$405,16,FALSE)</f>
        <v>62.154697044645481</v>
      </c>
      <c r="F347" s="171">
        <f>VLOOKUP(A347,Demográfico!A$2:L$405,12,FALSE)</f>
        <v>43.558106145761855</v>
      </c>
      <c r="G347" s="172">
        <f>VLOOKUP(A347,Socioeconômico!A$2:M$405,13,FALSE)</f>
        <v>42.104384831029186</v>
      </c>
      <c r="H347" s="173">
        <f>(2*E347+F347+2*G347)/5/100</f>
        <v>0.50415253979422248</v>
      </c>
      <c r="I347" s="170">
        <f>VLOOKUP(A347,Resultados!A$2:B745,2,FALSE)</f>
        <v>0</v>
      </c>
      <c r="J347" s="5">
        <f>IFERROR(VLOOKUP(A347,Demográfico!A$2:E$400,5,FALSE)/(VLOOKUP(C347,Metodologia!A$2:G$9,7,FALSE))*D347,0)</f>
        <v>5.3902178047938544E-2</v>
      </c>
      <c r="K347" s="72">
        <f>(J347*(1+H347)-I347)</f>
        <v>8.1077098011247156E-2</v>
      </c>
      <c r="L347" s="3">
        <v>1</v>
      </c>
      <c r="M347" s="66">
        <f>VLOOKUP(A347,Demográfico!A$2:E$400,5,FALSE)*H347</f>
        <v>237.95999878287301</v>
      </c>
      <c r="N347" s="68">
        <f>IFERROR(FLOOR(K347,1),0)</f>
        <v>0</v>
      </c>
      <c r="O347" s="68">
        <f>K347-N347</f>
        <v>8.1077098011247156E-2</v>
      </c>
      <c r="P347" s="65">
        <f>IFERROR(RANK(O347,O$2:O$400,0),0)</f>
        <v>338</v>
      </c>
      <c r="Q347" s="3">
        <f>N347+IF(P347&lt;P$1,1,0)</f>
        <v>0</v>
      </c>
      <c r="S347" s="65">
        <f>VLOOKUP(A347,Demográfico!A$2:E$400,5,FALSE)*(H347)</f>
        <v>237.95999878287301</v>
      </c>
      <c r="T347" s="79">
        <f>IFERROR(D347/D347,0)</f>
        <v>1</v>
      </c>
      <c r="U347" s="65">
        <f t="shared" si="5"/>
        <v>237.95999878287301</v>
      </c>
    </row>
    <row r="348" spans="1:21" ht="19.5" x14ac:dyDescent="0.25">
      <c r="A348" s="2" t="s">
        <v>352</v>
      </c>
      <c r="B348" s="168">
        <v>3644</v>
      </c>
      <c r="C348" s="169" t="str" cm="1">
        <f t="array" ref="C348">_xlfn.IFS(B348&lt;5000, "P1",B348&lt;20000, "P2",B348&lt;70000, "P3",B348&lt;100000, "P4",B348&lt;200000,"M1",B348&lt;500000,"M2",B348&lt;1000000,"G1",B348&gt;1000000,"G2")</f>
        <v>P1</v>
      </c>
      <c r="D348" s="170">
        <f>VLOOKUP(C348,Metodologia!A$2:H$9,8,FALSE)</f>
        <v>5.2963457913290126</v>
      </c>
      <c r="E348" s="171">
        <f>VLOOKUP(A348,Educacional!A$2:P$405,16,FALSE)</f>
        <v>79.720896163479708</v>
      </c>
      <c r="F348" s="171">
        <f>VLOOKUP(A348,Demográfico!A$2:L$405,12,FALSE)</f>
        <v>45.448417505746654</v>
      </c>
      <c r="G348" s="172">
        <f>VLOOKUP(A348,Socioeconômico!A$2:M$405,13,FALSE)</f>
        <v>42.142492515493217</v>
      </c>
      <c r="H348" s="173">
        <f>(2*E348+F348+2*G348)/5/100</f>
        <v>0.57835038972738495</v>
      </c>
      <c r="I348" s="170">
        <f>VLOOKUP(A348,Resultados!A$2:B746,2,FALSE)</f>
        <v>0</v>
      </c>
      <c r="J348" s="5">
        <f>IFERROR(VLOOKUP(A348,Demográfico!A$2:E$400,5,FALSE)/(VLOOKUP(C348,Metodologia!A$2:G$9,7,FALSE))*D348,0)</f>
        <v>5.4244776637226287E-2</v>
      </c>
      <c r="K348" s="72">
        <f>(J348*(1+H348)-I348)</f>
        <v>8.5617264346041055E-2</v>
      </c>
      <c r="L348" s="3">
        <v>1</v>
      </c>
      <c r="M348" s="66">
        <f>VLOOKUP(A348,Demográfico!A$2:E$400,5,FALSE)*H348</f>
        <v>274.71643512050787</v>
      </c>
      <c r="N348" s="68">
        <f>IFERROR(FLOOR(K348,1),0)</f>
        <v>0</v>
      </c>
      <c r="O348" s="68">
        <f>K348-N348</f>
        <v>8.5617264346041055E-2</v>
      </c>
      <c r="P348" s="65">
        <f>IFERROR(RANK(O348,O$2:O$400,0),0)</f>
        <v>328</v>
      </c>
      <c r="Q348" s="3">
        <f>N348+IF(P348&lt;P$1,1,0)</f>
        <v>0</v>
      </c>
      <c r="S348" s="65">
        <f>VLOOKUP(A348,Demográfico!A$2:E$400,5,FALSE)*(H348)</f>
        <v>274.71643512050787</v>
      </c>
      <c r="T348" s="79">
        <f>IFERROR(D348/D348,0)</f>
        <v>1</v>
      </c>
      <c r="U348" s="65">
        <f t="shared" si="5"/>
        <v>274.71643512050787</v>
      </c>
    </row>
    <row r="349" spans="1:21" ht="19.5" x14ac:dyDescent="0.25">
      <c r="A349" s="2" t="s">
        <v>353</v>
      </c>
      <c r="B349" s="168">
        <v>3590</v>
      </c>
      <c r="C349" s="169" t="str" cm="1">
        <f t="array" ref="C349">_xlfn.IFS(B349&lt;5000, "P1",B349&lt;20000, "P2",B349&lt;70000, "P3",B349&lt;100000, "P4",B349&lt;200000,"M1",B349&lt;500000,"M2",B349&lt;1000000,"G1",B349&gt;1000000,"G2")</f>
        <v>P1</v>
      </c>
      <c r="D349" s="170">
        <f>VLOOKUP(C349,Metodologia!A$2:H$9,8,FALSE)</f>
        <v>5.2963457913290126</v>
      </c>
      <c r="E349" s="171">
        <f>VLOOKUP(A349,Educacional!A$2:P$405,16,FALSE)</f>
        <v>57.584658991157497</v>
      </c>
      <c r="F349" s="171">
        <f>VLOOKUP(A349,Demográfico!A$2:L$405,12,FALSE)</f>
        <v>54.713899207102635</v>
      </c>
      <c r="G349" s="172">
        <f>VLOOKUP(A349,Socioeconômico!A$2:M$405,13,FALSE)</f>
        <v>54.135025940834126</v>
      </c>
      <c r="H349" s="173">
        <f>(2*E349+F349+2*G349)/5/100</f>
        <v>0.55630653814217179</v>
      </c>
      <c r="I349" s="170">
        <f>VLOOKUP(A349,Resultados!A$2:B747,2,FALSE)</f>
        <v>0</v>
      </c>
      <c r="J349" s="5">
        <f>IFERROR(VLOOKUP(A349,Demográfico!A$2:E$400,5,FALSE)/(VLOOKUP(C349,Metodologia!A$2:G$9,7,FALSE))*D349,0)</f>
        <v>5.3331180399125641E-2</v>
      </c>
      <c r="K349" s="72">
        <f>(J349*(1+H349)-I349)</f>
        <v>8.299966474199888E-2</v>
      </c>
      <c r="L349" s="3">
        <v>1</v>
      </c>
      <c r="M349" s="66">
        <f>VLOOKUP(A349,Demográfico!A$2:E$400,5,FALSE)*H349</f>
        <v>259.79515331239423</v>
      </c>
      <c r="N349" s="68">
        <f>IFERROR(FLOOR(K349,1),0)</f>
        <v>0</v>
      </c>
      <c r="O349" s="68">
        <f>K349-N349</f>
        <v>8.299966474199888E-2</v>
      </c>
      <c r="P349" s="65">
        <f>IFERROR(RANK(O349,O$2:O$400,0),0)</f>
        <v>334</v>
      </c>
      <c r="Q349" s="3">
        <f>N349+IF(P349&lt;P$1,1,0)</f>
        <v>0</v>
      </c>
      <c r="S349" s="65">
        <f>VLOOKUP(A349,Demográfico!A$2:E$400,5,FALSE)*(H349)</f>
        <v>259.79515331239423</v>
      </c>
      <c r="T349" s="79">
        <f>IFERROR(D349/D349,0)</f>
        <v>1</v>
      </c>
      <c r="U349" s="65">
        <f t="shared" si="5"/>
        <v>259.79515331239423</v>
      </c>
    </row>
    <row r="350" spans="1:21" ht="19.5" x14ac:dyDescent="0.25">
      <c r="A350" s="2" t="s">
        <v>354</v>
      </c>
      <c r="B350" s="168">
        <v>3572</v>
      </c>
      <c r="C350" s="169" t="str" cm="1">
        <f t="array" ref="C350">_xlfn.IFS(B350&lt;5000, "P1",B350&lt;20000, "P2",B350&lt;70000, "P3",B350&lt;100000, "P4",B350&lt;200000,"M1",B350&lt;500000,"M2",B350&lt;1000000,"G1",B350&gt;1000000,"G2")</f>
        <v>P1</v>
      </c>
      <c r="D350" s="170">
        <f>VLOOKUP(C350,Metodologia!A$2:H$9,8,FALSE)</f>
        <v>5.2963457913290126</v>
      </c>
      <c r="E350" s="171">
        <f>VLOOKUP(A350,Educacional!A$2:P$405,16,FALSE)</f>
        <v>60.598577023007429</v>
      </c>
      <c r="F350" s="171">
        <f>VLOOKUP(A350,Demográfico!A$2:L$405,12,FALSE)</f>
        <v>56.920828978341916</v>
      </c>
      <c r="G350" s="172">
        <f>VLOOKUP(A350,Socioeconômico!A$2:M$405,13,FALSE)</f>
        <v>55.882443814273365</v>
      </c>
      <c r="H350" s="173">
        <f>(2*E350+F350+2*G350)/5/100</f>
        <v>0.57976574130580694</v>
      </c>
      <c r="I350" s="170">
        <f>VLOOKUP(A350,Resultados!A$2:B748,2,FALSE)</f>
        <v>0</v>
      </c>
      <c r="J350" s="5">
        <f>IFERROR(VLOOKUP(A350,Demográfico!A$2:E$400,5,FALSE)/(VLOOKUP(C350,Metodologia!A$2:G$9,7,FALSE))*D350,0)</f>
        <v>5.4701574756276621E-2</v>
      </c>
      <c r="K350" s="72">
        <f>(J350*(1+H350)-I350)</f>
        <v>8.6415673795444362E-2</v>
      </c>
      <c r="L350" s="3">
        <v>1</v>
      </c>
      <c r="M350" s="66">
        <f>VLOOKUP(A350,Demográfico!A$2:E$400,5,FALSE)*H350</f>
        <v>277.70779008548152</v>
      </c>
      <c r="N350" s="68">
        <f>IFERROR(FLOOR(K350,1),0)</f>
        <v>0</v>
      </c>
      <c r="O350" s="68">
        <f>K350-N350</f>
        <v>8.6415673795444362E-2</v>
      </c>
      <c r="P350" s="65">
        <f>IFERROR(RANK(O350,O$2:O$400,0),0)</f>
        <v>326</v>
      </c>
      <c r="Q350" s="3">
        <f>N350+IF(P350&lt;P$1,1,0)</f>
        <v>0</v>
      </c>
      <c r="S350" s="65">
        <f>VLOOKUP(A350,Demográfico!A$2:E$400,5,FALSE)*(H350)</f>
        <v>277.70779008548152</v>
      </c>
      <c r="T350" s="79">
        <f>IFERROR(D350/D350,0)</f>
        <v>1</v>
      </c>
      <c r="U350" s="65">
        <f t="shared" si="5"/>
        <v>277.70779008548152</v>
      </c>
    </row>
    <row r="351" spans="1:21" ht="19.5" x14ac:dyDescent="0.25">
      <c r="A351" s="2" t="s">
        <v>355</v>
      </c>
      <c r="B351" s="168">
        <v>3562</v>
      </c>
      <c r="C351" s="169" t="str" cm="1">
        <f t="array" ref="C351">_xlfn.IFS(B351&lt;5000, "P1",B351&lt;20000, "P2",B351&lt;70000, "P3",B351&lt;100000, "P4",B351&lt;200000,"M1",B351&lt;500000,"M2",B351&lt;1000000,"G1",B351&gt;1000000,"G2")</f>
        <v>P1</v>
      </c>
      <c r="D351" s="170">
        <f>VLOOKUP(C351,Metodologia!A$2:H$9,8,FALSE)</f>
        <v>5.2963457913290126</v>
      </c>
      <c r="E351" s="171">
        <f>VLOOKUP(A351,Educacional!A$2:P$405,16,FALSE)</f>
        <v>66.878887825677253</v>
      </c>
      <c r="F351" s="171">
        <f>VLOOKUP(A351,Demográfico!A$2:L$405,12,FALSE)</f>
        <v>44.362085694514327</v>
      </c>
      <c r="G351" s="172">
        <f>VLOOKUP(A351,Socioeconômico!A$2:M$405,13,FALSE)</f>
        <v>43.607835429715792</v>
      </c>
      <c r="H351" s="173">
        <f>(2*E351+F351+2*G351)/5/100</f>
        <v>0.53067106441060086</v>
      </c>
      <c r="I351" s="170">
        <f>VLOOKUP(A351,Resultados!A$2:B749,2,FALSE)</f>
        <v>0</v>
      </c>
      <c r="J351" s="5">
        <f>IFERROR(VLOOKUP(A351,Demográfico!A$2:E$400,5,FALSE)/(VLOOKUP(C351,Metodologia!A$2:G$9,7,FALSE))*D351,0)</f>
        <v>5.6757166292003086E-2</v>
      </c>
      <c r="K351" s="72">
        <f>(J351*(1+H351)-I351)</f>
        <v>8.6876552141109828E-2</v>
      </c>
      <c r="L351" s="3">
        <v>1</v>
      </c>
      <c r="M351" s="66">
        <f>VLOOKUP(A351,Demográfico!A$2:E$400,5,FALSE)*H351</f>
        <v>263.74351901206865</v>
      </c>
      <c r="N351" s="68">
        <f>IFERROR(FLOOR(K351,1),0)</f>
        <v>0</v>
      </c>
      <c r="O351" s="68">
        <f>K351-N351</f>
        <v>8.6876552141109828E-2</v>
      </c>
      <c r="P351" s="65">
        <f>IFERROR(RANK(O351,O$2:O$400,0),0)</f>
        <v>324</v>
      </c>
      <c r="Q351" s="3">
        <f>N351+IF(P351&lt;P$1,1,0)</f>
        <v>0</v>
      </c>
      <c r="S351" s="65">
        <f>VLOOKUP(A351,Demográfico!A$2:E$400,5,FALSE)*(H351)</f>
        <v>263.74351901206865</v>
      </c>
      <c r="T351" s="79">
        <f>IFERROR(D351/D351,0)</f>
        <v>1</v>
      </c>
      <c r="U351" s="65">
        <f t="shared" si="5"/>
        <v>263.74351901206865</v>
      </c>
    </row>
    <row r="352" spans="1:21" ht="19.5" x14ac:dyDescent="0.25">
      <c r="A352" s="2" t="s">
        <v>356</v>
      </c>
      <c r="B352" s="168">
        <v>3527</v>
      </c>
      <c r="C352" s="169" t="str" cm="1">
        <f t="array" ref="C352">_xlfn.IFS(B352&lt;5000, "P1",B352&lt;20000, "P2",B352&lt;70000, "P3",B352&lt;100000, "P4",B352&lt;200000,"M1",B352&lt;500000,"M2",B352&lt;1000000,"G1",B352&gt;1000000,"G2")</f>
        <v>P1</v>
      </c>
      <c r="D352" s="170">
        <f>VLOOKUP(C352,Metodologia!A$2:H$9,8,FALSE)</f>
        <v>5.2963457913290126</v>
      </c>
      <c r="E352" s="171">
        <f>VLOOKUP(A352,Educacional!A$2:P$405,16,FALSE)</f>
        <v>59.044685143002681</v>
      </c>
      <c r="F352" s="171">
        <f>VLOOKUP(A352,Demográfico!A$2:L$405,12,FALSE)</f>
        <v>34.968128786488997</v>
      </c>
      <c r="G352" s="172">
        <f>VLOOKUP(A352,Socioeconômico!A$2:M$405,13,FALSE)</f>
        <v>66.006332885575503</v>
      </c>
      <c r="H352" s="173">
        <f>(2*E352+F352+2*G352)/5/100</f>
        <v>0.57014032968729067</v>
      </c>
      <c r="I352" s="170">
        <f>VLOOKUP(A352,Resultados!A$2:B750,2,FALSE)</f>
        <v>0</v>
      </c>
      <c r="J352" s="5">
        <f>IFERROR(VLOOKUP(A352,Demográfico!A$2:E$400,5,FALSE)/(VLOOKUP(C352,Metodologia!A$2:G$9,7,FALSE))*D352,0)</f>
        <v>4.9448396387197863E-2</v>
      </c>
      <c r="K352" s="72">
        <f>(J352*(1+H352)-I352)</f>
        <v>7.7640921405902688E-2</v>
      </c>
      <c r="L352" s="3">
        <v>1</v>
      </c>
      <c r="M352" s="66">
        <f>VLOOKUP(A352,Demográfico!A$2:E$400,5,FALSE)*H352</f>
        <v>246.87076275459685</v>
      </c>
      <c r="N352" s="68">
        <f>IFERROR(FLOOR(K352,1),0)</f>
        <v>0</v>
      </c>
      <c r="O352" s="68">
        <f>K352-N352</f>
        <v>7.7640921405902688E-2</v>
      </c>
      <c r="P352" s="65">
        <f>IFERROR(RANK(O352,O$2:O$400,0),0)</f>
        <v>345</v>
      </c>
      <c r="Q352" s="3">
        <f>N352+IF(P352&lt;P$1,1,0)</f>
        <v>0</v>
      </c>
      <c r="S352" s="65">
        <f>VLOOKUP(A352,Demográfico!A$2:E$400,5,FALSE)*(H352)</f>
        <v>246.87076275459685</v>
      </c>
      <c r="T352" s="79">
        <f>IFERROR(D352/D352,0)</f>
        <v>1</v>
      </c>
      <c r="U352" s="65">
        <f t="shared" si="5"/>
        <v>246.87076275459685</v>
      </c>
    </row>
    <row r="353" spans="1:21" ht="19.5" x14ac:dyDescent="0.25">
      <c r="A353" s="2" t="s">
        <v>357</v>
      </c>
      <c r="B353" s="168">
        <v>3512</v>
      </c>
      <c r="C353" s="169" t="str" cm="1">
        <f t="array" ref="C353">_xlfn.IFS(B353&lt;5000, "P1",B353&lt;20000, "P2",B353&lt;70000, "P3",B353&lt;100000, "P4",B353&lt;200000,"M1",B353&lt;500000,"M2",B353&lt;1000000,"G1",B353&gt;1000000,"G2")</f>
        <v>P1</v>
      </c>
      <c r="D353" s="170">
        <f>VLOOKUP(C353,Metodologia!A$2:H$9,8,FALSE)</f>
        <v>5.2963457913290126</v>
      </c>
      <c r="E353" s="171">
        <f>VLOOKUP(A353,Educacional!A$2:P$405,16,FALSE)</f>
        <v>45.465343570045889</v>
      </c>
      <c r="F353" s="171">
        <f>VLOOKUP(A353,Demográfico!A$2:L$405,12,FALSE)</f>
        <v>21.745600611722686</v>
      </c>
      <c r="G353" s="172">
        <f>VLOOKUP(A353,Socioeconômico!A$2:M$405,13,FALSE)</f>
        <v>52.636900348928272</v>
      </c>
      <c r="H353" s="173">
        <f>(2*E353+F353+2*G353)/5/100</f>
        <v>0.43590017689934202</v>
      </c>
      <c r="I353" s="170">
        <f>VLOOKUP(A353,Resultados!A$2:B751,2,FALSE)</f>
        <v>0</v>
      </c>
      <c r="J353" s="5">
        <f>IFERROR(VLOOKUP(A353,Demográfico!A$2:E$400,5,FALSE)/(VLOOKUP(C353,Metodologia!A$2:G$9,7,FALSE))*D353,0)</f>
        <v>4.1797027893104889E-2</v>
      </c>
      <c r="K353" s="72">
        <f>(J353*(1+H353)-I353)</f>
        <v>6.0016359745576044E-2</v>
      </c>
      <c r="L353" s="3">
        <v>0</v>
      </c>
      <c r="M353" s="66">
        <f>VLOOKUP(A353,Demográfico!A$2:E$400,5,FALSE)*H353</f>
        <v>159.53946474515917</v>
      </c>
      <c r="N353" s="68">
        <f>IFERROR(FLOOR(K353,1),0)</f>
        <v>0</v>
      </c>
      <c r="O353" s="68">
        <f>K353-N353</f>
        <v>6.0016359745576044E-2</v>
      </c>
      <c r="P353" s="65">
        <f>IFERROR(RANK(O353,O$2:O$400,0),0)</f>
        <v>370</v>
      </c>
      <c r="Q353" s="3">
        <f>N353+IF(P353&lt;P$1,1,0)</f>
        <v>0</v>
      </c>
      <c r="S353" s="65">
        <f>VLOOKUP(A353,Demográfico!A$2:E$400,5,FALSE)*(H353)</f>
        <v>159.53946474515917</v>
      </c>
      <c r="T353" s="79">
        <f>IFERROR(D353/D353,0)</f>
        <v>1</v>
      </c>
      <c r="U353" s="65">
        <f t="shared" si="5"/>
        <v>159.53946474515917</v>
      </c>
    </row>
    <row r="354" spans="1:21" ht="19.5" x14ac:dyDescent="0.25">
      <c r="A354" s="2" t="s">
        <v>358</v>
      </c>
      <c r="B354" s="168">
        <v>3461</v>
      </c>
      <c r="C354" s="169" t="str" cm="1">
        <f t="array" ref="C354">_xlfn.IFS(B354&lt;5000, "P1",B354&lt;20000, "P2",B354&lt;70000, "P3",B354&lt;100000, "P4",B354&lt;200000,"M1",B354&lt;500000,"M2",B354&lt;1000000,"G1",B354&gt;1000000,"G2")</f>
        <v>P1</v>
      </c>
      <c r="D354" s="170">
        <f>VLOOKUP(C354,Metodologia!A$2:H$9,8,FALSE)</f>
        <v>5.2963457913290126</v>
      </c>
      <c r="E354" s="171">
        <f>VLOOKUP(A354,Educacional!A$2:P$405,16,FALSE)</f>
        <v>33.317242262748827</v>
      </c>
      <c r="F354" s="171">
        <f>VLOOKUP(A354,Demográfico!A$2:L$405,12,FALSE)</f>
        <v>36.495820446731919</v>
      </c>
      <c r="G354" s="172">
        <f>VLOOKUP(A354,Socioeconômico!A$2:M$405,13,FALSE)</f>
        <v>55.17293888295923</v>
      </c>
      <c r="H354" s="173">
        <f>(2*E354+F354+2*G354)/5/100</f>
        <v>0.42695236547629606</v>
      </c>
      <c r="I354" s="170">
        <f>VLOOKUP(A354,Resultados!A$2:B752,2,FALSE)</f>
        <v>0</v>
      </c>
      <c r="J354" s="5">
        <f>IFERROR(VLOOKUP(A354,Demográfico!A$2:E$400,5,FALSE)/(VLOOKUP(C354,Metodologia!A$2:G$9,7,FALSE))*D354,0)</f>
        <v>5.1389788393161745E-2</v>
      </c>
      <c r="K354" s="72">
        <f>(J354*(1+H354)-I354)</f>
        <v>7.333078010894846E-2</v>
      </c>
      <c r="L354" s="3">
        <v>0</v>
      </c>
      <c r="M354" s="66">
        <f>VLOOKUP(A354,Demográfico!A$2:E$400,5,FALSE)*H354</f>
        <v>192.12856446433324</v>
      </c>
      <c r="N354" s="68">
        <f>IFERROR(FLOOR(K354,1),0)</f>
        <v>0</v>
      </c>
      <c r="O354" s="68">
        <f>K354-N354</f>
        <v>7.333078010894846E-2</v>
      </c>
      <c r="P354" s="65">
        <f>IFERROR(RANK(O354,O$2:O$400,0),0)</f>
        <v>352</v>
      </c>
      <c r="Q354" s="3">
        <f>N354+IF(P354&lt;P$1,1,0)</f>
        <v>0</v>
      </c>
      <c r="S354" s="65">
        <f>VLOOKUP(A354,Demográfico!A$2:E$400,5,FALSE)*(H354)</f>
        <v>192.12856446433324</v>
      </c>
      <c r="T354" s="79">
        <f>IFERROR(D354/D354,0)</f>
        <v>1</v>
      </c>
      <c r="U354" s="65">
        <f t="shared" si="5"/>
        <v>192.12856446433324</v>
      </c>
    </row>
    <row r="355" spans="1:21" ht="19.5" x14ac:dyDescent="0.25">
      <c r="A355" s="2" t="s">
        <v>359</v>
      </c>
      <c r="B355" s="168">
        <v>3440</v>
      </c>
      <c r="C355" s="169" t="str" cm="1">
        <f t="array" ref="C355">_xlfn.IFS(B355&lt;5000, "P1",B355&lt;20000, "P2",B355&lt;70000, "P3",B355&lt;100000, "P4",B355&lt;200000,"M1",B355&lt;500000,"M2",B355&lt;1000000,"G1",B355&gt;1000000,"G2")</f>
        <v>P1</v>
      </c>
      <c r="D355" s="170">
        <f>VLOOKUP(C355,Metodologia!A$2:H$9,8,FALSE)</f>
        <v>5.2963457913290126</v>
      </c>
      <c r="E355" s="171">
        <f>VLOOKUP(A355,Educacional!A$2:P$405,16,FALSE)</f>
        <v>70.383371979062233</v>
      </c>
      <c r="F355" s="171">
        <f>VLOOKUP(A355,Demográfico!A$2:L$405,12,FALSE)</f>
        <v>32.389452926875556</v>
      </c>
      <c r="G355" s="172">
        <f>VLOOKUP(A355,Socioeconômico!A$2:M$405,13,FALSE)</f>
        <v>35.419002640448092</v>
      </c>
      <c r="H355" s="173">
        <f>(2*E355+F355+2*G355)/5/100</f>
        <v>0.48798840433179236</v>
      </c>
      <c r="I355" s="170">
        <f>VLOOKUP(A355,Resultados!A$2:B753,2,FALSE)</f>
        <v>1</v>
      </c>
      <c r="J355" s="5">
        <f>IFERROR(VLOOKUP(A355,Demográfico!A$2:E$400,5,FALSE)/(VLOOKUP(C355,Metodologia!A$2:G$9,7,FALSE))*D355,0)</f>
        <v>4.739280485147139E-2</v>
      </c>
      <c r="K355" s="72">
        <f>(J355*(1+H355)-I355)</f>
        <v>-0.92948005593225103</v>
      </c>
      <c r="L355" s="3">
        <v>1</v>
      </c>
      <c r="M355" s="66">
        <f>VLOOKUP(A355,Demográfico!A$2:E$400,5,FALSE)*H355</f>
        <v>202.51518779769384</v>
      </c>
      <c r="N355" s="68">
        <f>IFERROR(FLOOR(K355,1),0)</f>
        <v>-1</v>
      </c>
      <c r="O355" s="68">
        <f>K355-N355</f>
        <v>7.0519944067748974E-2</v>
      </c>
      <c r="P355" s="65">
        <f>IFERROR(RANK(O355,O$2:O$400,0),0)</f>
        <v>356</v>
      </c>
      <c r="Q355" s="3">
        <f>N355+IF(P355&lt;P$1,1,0)</f>
        <v>-1</v>
      </c>
      <c r="S355" s="65">
        <f>VLOOKUP(A355,Demográfico!A$2:E$400,5,FALSE)*(H355)</f>
        <v>202.51518779769384</v>
      </c>
      <c r="T355" s="79">
        <f>IFERROR(D355/D355,0)</f>
        <v>1</v>
      </c>
      <c r="U355" s="65">
        <f t="shared" si="5"/>
        <v>202.51518779769384</v>
      </c>
    </row>
    <row r="356" spans="1:21" ht="19.5" x14ac:dyDescent="0.25">
      <c r="A356" s="2" t="s">
        <v>360</v>
      </c>
      <c r="B356" s="168">
        <v>3394</v>
      </c>
      <c r="C356" s="169" t="str" cm="1">
        <f t="array" ref="C356">_xlfn.IFS(B356&lt;5000, "P1",B356&lt;20000, "P2",B356&lt;70000, "P3",B356&lt;100000, "P4",B356&lt;200000,"M1",B356&lt;500000,"M2",B356&lt;1000000,"G1",B356&gt;1000000,"G2")</f>
        <v>P1</v>
      </c>
      <c r="D356" s="170">
        <f>VLOOKUP(C356,Metodologia!A$2:H$9,8,FALSE)</f>
        <v>5.2963457913290126</v>
      </c>
      <c r="E356" s="171">
        <f>VLOOKUP(A356,Educacional!A$2:P$405,16,FALSE)</f>
        <v>42.735704663018581</v>
      </c>
      <c r="F356" s="171">
        <f>VLOOKUP(A356,Demográfico!A$2:L$405,12,FALSE)</f>
        <v>62.270231934735534</v>
      </c>
      <c r="G356" s="172">
        <f>VLOOKUP(A356,Socioeconômico!A$2:M$405,13,FALSE)</f>
        <v>64.394994213053181</v>
      </c>
      <c r="H356" s="173">
        <f>(2*E356+F356+2*G356)/5/100</f>
        <v>0.55306325937375811</v>
      </c>
      <c r="I356" s="170">
        <f>VLOOKUP(A356,Resultados!A$2:B754,2,FALSE)</f>
        <v>0</v>
      </c>
      <c r="J356" s="5">
        <f>IFERROR(VLOOKUP(A356,Demográfico!A$2:E$400,5,FALSE)/(VLOOKUP(C356,Metodologia!A$2:G$9,7,FALSE))*D356,0)</f>
        <v>5.1732386982449502E-2</v>
      </c>
      <c r="K356" s="72">
        <f>(J356*(1+H356)-I356)</f>
        <v>8.0343669542147597E-2</v>
      </c>
      <c r="L356" s="3">
        <v>0</v>
      </c>
      <c r="M356" s="66">
        <f>VLOOKUP(A356,Demográfico!A$2:E$400,5,FALSE)*H356</f>
        <v>250.53765649631242</v>
      </c>
      <c r="N356" s="68">
        <f>IFERROR(FLOOR(K356,1),0)</f>
        <v>0</v>
      </c>
      <c r="O356" s="68">
        <f>K356-N356</f>
        <v>8.0343669542147597E-2</v>
      </c>
      <c r="P356" s="65">
        <f>IFERROR(RANK(O356,O$2:O$400,0),0)</f>
        <v>341</v>
      </c>
      <c r="Q356" s="3">
        <f>N356+IF(P356&lt;P$1,1,0)</f>
        <v>0</v>
      </c>
      <c r="S356" s="65">
        <f>VLOOKUP(A356,Demográfico!A$2:E$400,5,FALSE)*(H356)</f>
        <v>250.53765649631242</v>
      </c>
      <c r="T356" s="79">
        <f>IFERROR(D356/D356,0)</f>
        <v>1</v>
      </c>
      <c r="U356" s="65">
        <f t="shared" si="5"/>
        <v>250.53765649631242</v>
      </c>
    </row>
    <row r="357" spans="1:21" ht="19.5" x14ac:dyDescent="0.25">
      <c r="A357" s="2" t="s">
        <v>361</v>
      </c>
      <c r="B357" s="168">
        <v>3365</v>
      </c>
      <c r="C357" s="169" t="str" cm="1">
        <f t="array" ref="C357">_xlfn.IFS(B357&lt;5000, "P1",B357&lt;20000, "P2",B357&lt;70000, "P3",B357&lt;100000, "P4",B357&lt;200000,"M1",B357&lt;500000,"M2",B357&lt;1000000,"G1",B357&gt;1000000,"G2")</f>
        <v>P1</v>
      </c>
      <c r="D357" s="170">
        <f>VLOOKUP(C357,Metodologia!A$2:H$9,8,FALSE)</f>
        <v>5.2963457913290126</v>
      </c>
      <c r="E357" s="171">
        <f>VLOOKUP(A357,Educacional!A$2:P$405,16,FALSE)</f>
        <v>34.636092866183063</v>
      </c>
      <c r="F357" s="171">
        <f>VLOOKUP(A357,Demográfico!A$2:L$405,12,FALSE)</f>
        <v>77.28498564427791</v>
      </c>
      <c r="G357" s="172">
        <f>VLOOKUP(A357,Socioeconômico!A$2:M$405,13,FALSE)</f>
        <v>47.87651450807401</v>
      </c>
      <c r="H357" s="173">
        <f>(2*E357+F357+2*G357)/5/100</f>
        <v>0.4846204007855841</v>
      </c>
      <c r="I357" s="170">
        <f>VLOOKUP(A357,Resultados!A$2:B755,2,FALSE)</f>
        <v>0</v>
      </c>
      <c r="J357" s="5">
        <f>IFERROR(VLOOKUP(A357,Demográfico!A$2:E$400,5,FALSE)/(VLOOKUP(C357,Metodologia!A$2:G$9,7,FALSE))*D357,0)</f>
        <v>4.8420600619334626E-2</v>
      </c>
      <c r="K357" s="72">
        <f>(J357*(1+H357)-I357)</f>
        <v>7.1886211497755273E-2</v>
      </c>
      <c r="L357" s="3">
        <v>0</v>
      </c>
      <c r="M357" s="66">
        <f>VLOOKUP(A357,Demográfico!A$2:E$400,5,FALSE)*H357</f>
        <v>205.47904993308765</v>
      </c>
      <c r="N357" s="68">
        <f>IFERROR(FLOOR(K357,1),0)</f>
        <v>0</v>
      </c>
      <c r="O357" s="68">
        <f>K357-N357</f>
        <v>7.1886211497755273E-2</v>
      </c>
      <c r="P357" s="65">
        <f>IFERROR(RANK(O357,O$2:O$400,0),0)</f>
        <v>354</v>
      </c>
      <c r="Q357" s="3">
        <f>N357+IF(P357&lt;P$1,1,0)</f>
        <v>0</v>
      </c>
      <c r="S357" s="65">
        <f>VLOOKUP(A357,Demográfico!A$2:E$400,5,FALSE)*(H357)</f>
        <v>205.47904993308765</v>
      </c>
      <c r="T357" s="79">
        <f>IFERROR(D357/D357,0)</f>
        <v>1</v>
      </c>
      <c r="U357" s="65">
        <f t="shared" si="5"/>
        <v>205.47904993308765</v>
      </c>
    </row>
    <row r="358" spans="1:21" ht="19.5" x14ac:dyDescent="0.25">
      <c r="A358" s="2" t="s">
        <v>362</v>
      </c>
      <c r="B358" s="168">
        <v>3356</v>
      </c>
      <c r="C358" s="169" t="str" cm="1">
        <f t="array" ref="C358">_xlfn.IFS(B358&lt;5000, "P1",B358&lt;20000, "P2",B358&lt;70000, "P3",B358&lt;100000, "P4",B358&lt;200000,"M1",B358&lt;500000,"M2",B358&lt;1000000,"G1",B358&gt;1000000,"G2")</f>
        <v>P1</v>
      </c>
      <c r="D358" s="170">
        <f>VLOOKUP(C358,Metodologia!A$2:H$9,8,FALSE)</f>
        <v>5.2963457913290126</v>
      </c>
      <c r="E358" s="171">
        <f>VLOOKUP(A358,Educacional!A$2:P$405,16,FALSE)</f>
        <v>42.977199436541689</v>
      </c>
      <c r="F358" s="171">
        <f>VLOOKUP(A358,Demográfico!A$2:L$405,12,FALSE)</f>
        <v>62.832944090398868</v>
      </c>
      <c r="G358" s="172">
        <f>VLOOKUP(A358,Socioeconômico!A$2:M$405,13,FALSE)</f>
        <v>57.012321991449951</v>
      </c>
      <c r="H358" s="173">
        <f>(2*E358+F358+2*G358)/5/100</f>
        <v>0.52562397389276427</v>
      </c>
      <c r="I358" s="170">
        <f>VLOOKUP(A358,Resultados!A$2:B756,2,FALSE)</f>
        <v>0</v>
      </c>
      <c r="J358" s="5">
        <f>IFERROR(VLOOKUP(A358,Demográfico!A$2:E$400,5,FALSE)/(VLOOKUP(C358,Metodologia!A$2:G$9,7,FALSE))*D358,0)</f>
        <v>5.630036817295276E-2</v>
      </c>
      <c r="K358" s="72">
        <f>(J358*(1+H358)-I358)</f>
        <v>8.589319142364589E-2</v>
      </c>
      <c r="L358" s="3">
        <v>0</v>
      </c>
      <c r="M358" s="66">
        <f>VLOOKUP(A358,Demográfico!A$2:E$400,5,FALSE)*H358</f>
        <v>259.13261912913276</v>
      </c>
      <c r="N358" s="68">
        <f>IFERROR(FLOOR(K358,1),0)</f>
        <v>0</v>
      </c>
      <c r="O358" s="68">
        <f>K358-N358</f>
        <v>8.589319142364589E-2</v>
      </c>
      <c r="P358" s="65">
        <f>IFERROR(RANK(O358,O$2:O$400,0),0)</f>
        <v>327</v>
      </c>
      <c r="Q358" s="3">
        <f>N358+IF(P358&lt;P$1,1,0)</f>
        <v>0</v>
      </c>
      <c r="S358" s="65">
        <f>VLOOKUP(A358,Demográfico!A$2:E$400,5,FALSE)*(H358)</f>
        <v>259.13261912913276</v>
      </c>
      <c r="T358" s="79">
        <f>IFERROR(D358/D358,0)</f>
        <v>1</v>
      </c>
      <c r="U358" s="65">
        <f t="shared" si="5"/>
        <v>259.13261912913276</v>
      </c>
    </row>
    <row r="359" spans="1:21" ht="19.5" x14ac:dyDescent="0.25">
      <c r="A359" s="2" t="s">
        <v>363</v>
      </c>
      <c r="B359" s="168">
        <v>3333</v>
      </c>
      <c r="C359" s="169" t="str" cm="1">
        <f t="array" ref="C359">_xlfn.IFS(B359&lt;5000, "P1",B359&lt;20000, "P2",B359&lt;70000, "P3",B359&lt;100000, "P4",B359&lt;200000,"M1",B359&lt;500000,"M2",B359&lt;1000000,"G1",B359&gt;1000000,"G2")</f>
        <v>P1</v>
      </c>
      <c r="D359" s="170">
        <f>VLOOKUP(C359,Metodologia!A$2:H$9,8,FALSE)</f>
        <v>5.2963457913290126</v>
      </c>
      <c r="E359" s="171">
        <f>VLOOKUP(A359,Educacional!A$2:P$405,16,FALSE)</f>
        <v>52.458438012254341</v>
      </c>
      <c r="F359" s="171">
        <f>VLOOKUP(A359,Demográfico!A$2:L$405,12,FALSE)</f>
        <v>51.04773473420228</v>
      </c>
      <c r="G359" s="172">
        <f>VLOOKUP(A359,Socioeconômico!A$2:M$405,13,FALSE)</f>
        <v>63.445499584792998</v>
      </c>
      <c r="H359" s="173">
        <f>(2*E359+F359+2*G359)/5/100</f>
        <v>0.56571121985659401</v>
      </c>
      <c r="I359" s="170">
        <f>VLOOKUP(A359,Resultados!A$2:B757,2,FALSE)</f>
        <v>1</v>
      </c>
      <c r="J359" s="5">
        <f>IFERROR(VLOOKUP(A359,Demográfico!A$2:E$400,5,FALSE)/(VLOOKUP(C359,Metodologia!A$2:G$9,7,FALSE))*D359,0)</f>
        <v>4.716440579194623E-2</v>
      </c>
      <c r="K359" s="72">
        <f>(J359*(1+H359)-I359)</f>
        <v>-0.9261541606736805</v>
      </c>
      <c r="L359" s="3">
        <v>0</v>
      </c>
      <c r="M359" s="66">
        <f>VLOOKUP(A359,Demográfico!A$2:E$400,5,FALSE)*H359</f>
        <v>233.63873380077334</v>
      </c>
      <c r="N359" s="68">
        <f>IFERROR(FLOOR(K359,1),0)</f>
        <v>-1</v>
      </c>
      <c r="O359" s="68">
        <f>K359-N359</f>
        <v>7.3845839326319496E-2</v>
      </c>
      <c r="P359" s="65">
        <f>IFERROR(RANK(O359,O$2:O$400,0),0)</f>
        <v>351</v>
      </c>
      <c r="Q359" s="3">
        <f>N359+IF(P359&lt;P$1,1,0)</f>
        <v>-1</v>
      </c>
      <c r="S359" s="65">
        <f>VLOOKUP(A359,Demográfico!A$2:E$400,5,FALSE)*(H359)</f>
        <v>233.63873380077334</v>
      </c>
      <c r="T359" s="79">
        <f>IFERROR(D359/D359,0)</f>
        <v>1</v>
      </c>
      <c r="U359" s="65">
        <f t="shared" si="5"/>
        <v>233.63873380077334</v>
      </c>
    </row>
    <row r="360" spans="1:21" ht="19.5" x14ac:dyDescent="0.25">
      <c r="A360" s="2" t="s">
        <v>364</v>
      </c>
      <c r="B360" s="168">
        <v>3280</v>
      </c>
      <c r="C360" s="169" t="str" cm="1">
        <f t="array" ref="C360">_xlfn.IFS(B360&lt;5000, "P1",B360&lt;20000, "P2",B360&lt;70000, "P3",B360&lt;100000, "P4",B360&lt;200000,"M1",B360&lt;500000,"M2",B360&lt;1000000,"G1",B360&gt;1000000,"G2")</f>
        <v>P1</v>
      </c>
      <c r="D360" s="170">
        <f>VLOOKUP(C360,Metodologia!A$2:H$9,8,FALSE)</f>
        <v>5.2963457913290126</v>
      </c>
      <c r="E360" s="171">
        <f>VLOOKUP(A360,Educacional!A$2:P$405,16,FALSE)</f>
        <v>24.603782014765255</v>
      </c>
      <c r="F360" s="171">
        <f>VLOOKUP(A360,Demográfico!A$2:L$405,12,FALSE)</f>
        <v>35.160942370692787</v>
      </c>
      <c r="G360" s="172">
        <f>VLOOKUP(A360,Socioeconômico!A$2:M$405,13,FALSE)</f>
        <v>46.980375813548186</v>
      </c>
      <c r="H360" s="173">
        <f>(2*E360+F360+2*G360)/5/100</f>
        <v>0.35665851605463933</v>
      </c>
      <c r="I360" s="170">
        <f>VLOOKUP(A360,Resultados!A$2:B758,2,FALSE)</f>
        <v>0</v>
      </c>
      <c r="J360" s="5">
        <f>IFERROR(VLOOKUP(A360,Demográfico!A$2:E$400,5,FALSE)/(VLOOKUP(C360,Metodologia!A$2:G$9,7,FALSE))*D360,0)</f>
        <v>4.5908210964557827E-2</v>
      </c>
      <c r="K360" s="72">
        <f>(J360*(1+H360)-I360)</f>
        <v>6.2281765361900346E-2</v>
      </c>
      <c r="L360" s="3">
        <v>0</v>
      </c>
      <c r="M360" s="66">
        <f>VLOOKUP(A360,Demográfico!A$2:E$400,5,FALSE)*H360</f>
        <v>143.37672345396501</v>
      </c>
      <c r="N360" s="68">
        <f>IFERROR(FLOOR(K360,1),0)</f>
        <v>0</v>
      </c>
      <c r="O360" s="68">
        <f>K360-N360</f>
        <v>6.2281765361900346E-2</v>
      </c>
      <c r="P360" s="65">
        <f>IFERROR(RANK(O360,O$2:O$400,0),0)</f>
        <v>365</v>
      </c>
      <c r="Q360" s="3">
        <f>N360+IF(P360&lt;P$1,1,0)</f>
        <v>0</v>
      </c>
      <c r="S360" s="65">
        <f>VLOOKUP(A360,Demográfico!A$2:E$400,5,FALSE)*(H360)</f>
        <v>143.37672345396501</v>
      </c>
      <c r="T360" s="79">
        <f>IFERROR(D360/D360,0)</f>
        <v>1</v>
      </c>
      <c r="U360" s="65">
        <f t="shared" si="5"/>
        <v>143.37672345396501</v>
      </c>
    </row>
    <row r="361" spans="1:21" ht="19.5" x14ac:dyDescent="0.25">
      <c r="A361" s="2" t="s">
        <v>365</v>
      </c>
      <c r="B361" s="168">
        <v>3267</v>
      </c>
      <c r="C361" s="169" t="str" cm="1">
        <f t="array" ref="C361">_xlfn.IFS(B361&lt;5000, "P1",B361&lt;20000, "P2",B361&lt;70000, "P3",B361&lt;100000, "P4",B361&lt;200000,"M1",B361&lt;500000,"M2",B361&lt;1000000,"G1",B361&gt;1000000,"G2")</f>
        <v>P1</v>
      </c>
      <c r="D361" s="170">
        <f>VLOOKUP(C361,Metodologia!A$2:H$9,8,FALSE)</f>
        <v>5.2963457913290126</v>
      </c>
      <c r="E361" s="171">
        <f>VLOOKUP(A361,Educacional!A$2:P$405,16,FALSE)</f>
        <v>61.750066935922334</v>
      </c>
      <c r="F361" s="171">
        <f>VLOOKUP(A361,Demográfico!A$2:L$405,12,FALSE)</f>
        <v>80.026523250380492</v>
      </c>
      <c r="G361" s="172">
        <f>VLOOKUP(A361,Socioeconômico!A$2:M$405,13,FALSE)</f>
        <v>62.609233709912857</v>
      </c>
      <c r="H361" s="173">
        <f>(2*E361+F361+2*G361)/5/100</f>
        <v>0.65749024908410181</v>
      </c>
      <c r="I361" s="170">
        <f>VLOOKUP(A361,Resultados!A$2:B759,2,FALSE)</f>
        <v>0</v>
      </c>
      <c r="J361" s="5">
        <f>IFERROR(VLOOKUP(A361,Demográfico!A$2:E$400,5,FALSE)/(VLOOKUP(C361,Metodologia!A$2:G$9,7,FALSE))*D361,0)</f>
        <v>4.4994614726457174E-2</v>
      </c>
      <c r="K361" s="72">
        <f>(J361*(1+H361)-I361)</f>
        <v>7.4578135170398699E-2</v>
      </c>
      <c r="L361" s="3">
        <v>1</v>
      </c>
      <c r="M361" s="66">
        <f>VLOOKUP(A361,Demográfico!A$2:E$400,5,FALSE)*H361</f>
        <v>259.05115813913613</v>
      </c>
      <c r="N361" s="68">
        <f>IFERROR(FLOOR(K361,1),0)</f>
        <v>0</v>
      </c>
      <c r="O361" s="68">
        <f>K361-N361</f>
        <v>7.4578135170398699E-2</v>
      </c>
      <c r="P361" s="65">
        <f>IFERROR(RANK(O361,O$2:O$400,0),0)</f>
        <v>348</v>
      </c>
      <c r="Q361" s="3">
        <f>N361+IF(P361&lt;P$1,1,0)</f>
        <v>0</v>
      </c>
      <c r="S361" s="65">
        <f>VLOOKUP(A361,Demográfico!A$2:E$400,5,FALSE)*(H361)</f>
        <v>259.05115813913613</v>
      </c>
      <c r="T361" s="79">
        <f>IFERROR(D361/D361,0)</f>
        <v>1</v>
      </c>
      <c r="U361" s="65">
        <f t="shared" si="5"/>
        <v>259.05115813913613</v>
      </c>
    </row>
    <row r="362" spans="1:21" ht="19.5" x14ac:dyDescent="0.25">
      <c r="A362" s="2" t="s">
        <v>366</v>
      </c>
      <c r="B362" s="168">
        <v>3235</v>
      </c>
      <c r="C362" s="169" t="str" cm="1">
        <f t="array" ref="C362">_xlfn.IFS(B362&lt;5000, "P1",B362&lt;20000, "P2",B362&lt;70000, "P3",B362&lt;100000, "P4",B362&lt;200000,"M1",B362&lt;500000,"M2",B362&lt;1000000,"G1",B362&gt;1000000,"G2")</f>
        <v>P1</v>
      </c>
      <c r="D362" s="170">
        <f>VLOOKUP(C362,Metodologia!A$2:H$9,8,FALSE)</f>
        <v>5.2963457913290126</v>
      </c>
      <c r="E362" s="171">
        <f>VLOOKUP(A362,Educacional!A$2:P$405,16,FALSE)</f>
        <v>31.489737123036964</v>
      </c>
      <c r="F362" s="171">
        <f>VLOOKUP(A362,Demográfico!A$2:L$405,12,FALSE)</f>
        <v>40.789614154095581</v>
      </c>
      <c r="G362" s="172">
        <f>VLOOKUP(A362,Socioeconômico!A$2:M$405,13,FALSE)</f>
        <v>43.877928477528613</v>
      </c>
      <c r="H362" s="173">
        <f>(2*E362+F362+2*G362)/5/100</f>
        <v>0.38304989071045348</v>
      </c>
      <c r="I362" s="170">
        <f>VLOOKUP(A362,Resultados!A$2:B760,2,FALSE)</f>
        <v>0</v>
      </c>
      <c r="J362" s="5">
        <f>IFERROR(VLOOKUP(A362,Demográfico!A$2:E$400,5,FALSE)/(VLOOKUP(C362,Metodologia!A$2:G$9,7,FALSE))*D362,0)</f>
        <v>5.0361992625298516E-2</v>
      </c>
      <c r="K362" s="72">
        <f>(J362*(1+H362)-I362)</f>
        <v>6.9653148396379788E-2</v>
      </c>
      <c r="L362" s="3">
        <v>0</v>
      </c>
      <c r="M362" s="66">
        <f>VLOOKUP(A362,Demográfico!A$2:E$400,5,FALSE)*H362</f>
        <v>168.92500180330998</v>
      </c>
      <c r="N362" s="68">
        <f>IFERROR(FLOOR(K362,1),0)</f>
        <v>0</v>
      </c>
      <c r="O362" s="68">
        <f>K362-N362</f>
        <v>6.9653148396379788E-2</v>
      </c>
      <c r="P362" s="65">
        <f>IFERROR(RANK(O362,O$2:O$400,0),0)</f>
        <v>358</v>
      </c>
      <c r="Q362" s="3">
        <f>N362+IF(P362&lt;P$1,1,0)</f>
        <v>0</v>
      </c>
      <c r="S362" s="65">
        <f>VLOOKUP(A362,Demográfico!A$2:E$400,5,FALSE)*(H362)</f>
        <v>168.92500180330998</v>
      </c>
      <c r="T362" s="79">
        <f>IFERROR(D362/D362,0)</f>
        <v>1</v>
      </c>
      <c r="U362" s="65">
        <f t="shared" si="5"/>
        <v>168.92500180330998</v>
      </c>
    </row>
    <row r="363" spans="1:21" ht="19.5" x14ac:dyDescent="0.25">
      <c r="A363" s="2" t="s">
        <v>367</v>
      </c>
      <c r="B363" s="168">
        <v>3202</v>
      </c>
      <c r="C363" s="169" t="str" cm="1">
        <f t="array" ref="C363">_xlfn.IFS(B363&lt;5000, "P1",B363&lt;20000, "P2",B363&lt;70000, "P3",B363&lt;100000, "P4",B363&lt;200000,"M1",B363&lt;500000,"M2",B363&lt;1000000,"G1",B363&gt;1000000,"G2")</f>
        <v>P1</v>
      </c>
      <c r="D363" s="170">
        <f>VLOOKUP(C363,Metodologia!A$2:H$9,8,FALSE)</f>
        <v>5.2963457913290126</v>
      </c>
      <c r="E363" s="171">
        <f>VLOOKUP(A363,Educacional!A$2:P$405,16,FALSE)</f>
        <v>29.854680907991721</v>
      </c>
      <c r="F363" s="171">
        <f>VLOOKUP(A363,Demográfico!A$2:L$405,12,FALSE)</f>
        <v>34.299464677947405</v>
      </c>
      <c r="G363" s="172">
        <f>VLOOKUP(A363,Socioeconômico!A$2:M$405,13,FALSE)</f>
        <v>31.611581218969093</v>
      </c>
      <c r="H363" s="173">
        <f>(2*E363+F363+2*G363)/5/100</f>
        <v>0.31446397786373809</v>
      </c>
      <c r="I363" s="170">
        <f>VLOOKUP(A363,Resultados!A$2:B761,2,FALSE)</f>
        <v>0</v>
      </c>
      <c r="J363" s="5">
        <f>IFERROR(VLOOKUP(A363,Demográfico!A$2:E$400,5,FALSE)/(VLOOKUP(C363,Metodologia!A$2:G$9,7,FALSE))*D363,0)</f>
        <v>4.7050206262183647E-2</v>
      </c>
      <c r="K363" s="72">
        <f>(J363*(1+H363)-I363)</f>
        <v>6.184580128269928E-2</v>
      </c>
      <c r="L363" s="3">
        <v>0</v>
      </c>
      <c r="M363" s="66">
        <f>VLOOKUP(A363,Demográfico!A$2:E$400,5,FALSE)*H363</f>
        <v>129.55915887986009</v>
      </c>
      <c r="N363" s="68">
        <f>IFERROR(FLOOR(K363,1),0)</f>
        <v>0</v>
      </c>
      <c r="O363" s="68">
        <f>K363-N363</f>
        <v>6.184580128269928E-2</v>
      </c>
      <c r="P363" s="65">
        <f>IFERROR(RANK(O363,O$2:O$400,0),0)</f>
        <v>366</v>
      </c>
      <c r="Q363" s="3">
        <f>N363+IF(P363&lt;P$1,1,0)</f>
        <v>0</v>
      </c>
      <c r="S363" s="65">
        <f>VLOOKUP(A363,Demográfico!A$2:E$400,5,FALSE)*(H363)</f>
        <v>129.55915887986009</v>
      </c>
      <c r="T363" s="79">
        <f>IFERROR(D363/D363,0)</f>
        <v>1</v>
      </c>
      <c r="U363" s="65">
        <f t="shared" si="5"/>
        <v>129.55915887986009</v>
      </c>
    </row>
    <row r="364" spans="1:21" ht="19.5" x14ac:dyDescent="0.25">
      <c r="A364" s="2" t="s">
        <v>368</v>
      </c>
      <c r="B364" s="168">
        <v>3197</v>
      </c>
      <c r="C364" s="169" t="str" cm="1">
        <f t="array" ref="C364">_xlfn.IFS(B364&lt;5000, "P1",B364&lt;20000, "P2",B364&lt;70000, "P3",B364&lt;100000, "P4",B364&lt;200000,"M1",B364&lt;500000,"M2",B364&lt;1000000,"G1",B364&gt;1000000,"G2")</f>
        <v>P1</v>
      </c>
      <c r="D364" s="170">
        <f>VLOOKUP(C364,Metodologia!A$2:H$9,8,FALSE)</f>
        <v>5.2963457913290126</v>
      </c>
      <c r="E364" s="171">
        <f>VLOOKUP(A364,Educacional!A$2:P$405,16,FALSE)</f>
        <v>53.51269631850807</v>
      </c>
      <c r="F364" s="171">
        <f>VLOOKUP(A364,Demográfico!A$2:L$405,12,FALSE)</f>
        <v>29.89951392603038</v>
      </c>
      <c r="G364" s="172">
        <f>VLOOKUP(A364,Socioeconômico!A$2:M$405,13,FALSE)</f>
        <v>51.28697109935937</v>
      </c>
      <c r="H364" s="173">
        <f>(2*E364+F364+2*G364)/5/100</f>
        <v>0.4789976975235305</v>
      </c>
      <c r="I364" s="170">
        <f>VLOOKUP(A364,Resultados!A$2:B762,2,FALSE)</f>
        <v>0</v>
      </c>
      <c r="J364" s="5">
        <f>IFERROR(VLOOKUP(A364,Demográfico!A$2:E$400,5,FALSE)/(VLOOKUP(C364,Metodologia!A$2:G$9,7,FALSE))*D364,0)</f>
        <v>4.2482225071680382E-2</v>
      </c>
      <c r="K364" s="72">
        <f>(J364*(1+H364)-I364)</f>
        <v>6.2831113066691688E-2</v>
      </c>
      <c r="L364" s="3">
        <v>0</v>
      </c>
      <c r="M364" s="66">
        <f>VLOOKUP(A364,Demográfico!A$2:E$400,5,FALSE)*H364</f>
        <v>178.18714347875334</v>
      </c>
      <c r="N364" s="68">
        <f>IFERROR(FLOOR(K364,1),0)</f>
        <v>0</v>
      </c>
      <c r="O364" s="68">
        <f>K364-N364</f>
        <v>6.2831113066691688E-2</v>
      </c>
      <c r="P364" s="65">
        <f>IFERROR(RANK(O364,O$2:O$400,0),0)</f>
        <v>363</v>
      </c>
      <c r="Q364" s="3">
        <f>N364+IF(P364&lt;P$1,1,0)</f>
        <v>0</v>
      </c>
      <c r="S364" s="65">
        <f>VLOOKUP(A364,Demográfico!A$2:E$400,5,FALSE)*(H364)</f>
        <v>178.18714347875334</v>
      </c>
      <c r="T364" s="79">
        <f>IFERROR(D364/D364,0)</f>
        <v>1</v>
      </c>
      <c r="U364" s="65">
        <f t="shared" si="5"/>
        <v>178.18714347875334</v>
      </c>
    </row>
    <row r="365" spans="1:21" ht="19.5" x14ac:dyDescent="0.25">
      <c r="A365" s="2" t="s">
        <v>369</v>
      </c>
      <c r="B365" s="168">
        <v>3187</v>
      </c>
      <c r="C365" s="169" t="str" cm="1">
        <f t="array" ref="C365">_xlfn.IFS(B365&lt;5000, "P1",B365&lt;20000, "P2",B365&lt;70000, "P3",B365&lt;100000, "P4",B365&lt;200000,"M1",B365&lt;500000,"M2",B365&lt;1000000,"G1",B365&gt;1000000,"G2")</f>
        <v>P1</v>
      </c>
      <c r="D365" s="170">
        <f>VLOOKUP(C365,Metodologia!A$2:H$9,8,FALSE)</f>
        <v>5.2963457913290126</v>
      </c>
      <c r="E365" s="171">
        <f>VLOOKUP(A365,Educacional!A$2:P$405,16,FALSE)</f>
        <v>47.035532068057243</v>
      </c>
      <c r="F365" s="171">
        <f>VLOOKUP(A365,Demográfico!A$2:L$405,12,FALSE)</f>
        <v>29.879717536575669</v>
      </c>
      <c r="G365" s="172">
        <f>VLOOKUP(A365,Socioeconômico!A$2:M$405,13,FALSE)</f>
        <v>35.417926559454642</v>
      </c>
      <c r="H365" s="173">
        <f>(2*E365+F365+2*G365)/5/100</f>
        <v>0.38957326958319888</v>
      </c>
      <c r="I365" s="170">
        <f>VLOOKUP(A365,Resultados!A$2:B763,2,FALSE)</f>
        <v>0</v>
      </c>
      <c r="J365" s="5">
        <f>IFERROR(VLOOKUP(A365,Demográfico!A$2:E$400,5,FALSE)/(VLOOKUP(C365,Metodologia!A$2:G$9,7,FALSE))*D365,0)</f>
        <v>4.4309417547881688E-2</v>
      </c>
      <c r="K365" s="72">
        <f>(J365*(1+H365)-I365)</f>
        <v>6.1571182215337118E-2</v>
      </c>
      <c r="L365" s="3">
        <v>0</v>
      </c>
      <c r="M365" s="66">
        <f>VLOOKUP(A365,Demográfico!A$2:E$400,5,FALSE)*H365</f>
        <v>151.15442859828116</v>
      </c>
      <c r="N365" s="68">
        <f>IFERROR(FLOOR(K365,1),0)</f>
        <v>0</v>
      </c>
      <c r="O365" s="68">
        <f>K365-N365</f>
        <v>6.1571182215337118E-2</v>
      </c>
      <c r="P365" s="65">
        <f>IFERROR(RANK(O365,O$2:O$400,0),0)</f>
        <v>368</v>
      </c>
      <c r="Q365" s="3">
        <f>N365+IF(P365&lt;P$1,1,0)</f>
        <v>0</v>
      </c>
      <c r="S365" s="65">
        <f>VLOOKUP(A365,Demográfico!A$2:E$400,5,FALSE)*(H365)</f>
        <v>151.15442859828116</v>
      </c>
      <c r="T365" s="79">
        <f>IFERROR(D365/D365,0)</f>
        <v>1</v>
      </c>
      <c r="U365" s="65">
        <f t="shared" si="5"/>
        <v>151.15442859828116</v>
      </c>
    </row>
    <row r="366" spans="1:21" ht="19.5" x14ac:dyDescent="0.25">
      <c r="A366" s="2" t="s">
        <v>370</v>
      </c>
      <c r="B366" s="168">
        <v>3182</v>
      </c>
      <c r="C366" s="169" t="str" cm="1">
        <f t="array" ref="C366">_xlfn.IFS(B366&lt;5000, "P1",B366&lt;20000, "P2",B366&lt;70000, "P3",B366&lt;100000, "P4",B366&lt;200000,"M1",B366&lt;500000,"M2",B366&lt;1000000,"G1",B366&gt;1000000,"G2")</f>
        <v>P1</v>
      </c>
      <c r="D366" s="170">
        <f>VLOOKUP(C366,Metodologia!A$2:H$9,8,FALSE)</f>
        <v>5.2963457913290126</v>
      </c>
      <c r="E366" s="171">
        <f>VLOOKUP(A366,Educacional!A$2:P$405,16,FALSE)</f>
        <v>34.706559633121358</v>
      </c>
      <c r="F366" s="171">
        <f>VLOOKUP(A366,Demográfico!A$2:L$405,12,FALSE)</f>
        <v>57.004321771836977</v>
      </c>
      <c r="G366" s="172">
        <f>VLOOKUP(A366,Socioeconômico!A$2:M$405,13,FALSE)</f>
        <v>35.624179741214512</v>
      </c>
      <c r="H366" s="173">
        <f>(2*E366+F366+2*G366)/5/100</f>
        <v>0.39533160104101739</v>
      </c>
      <c r="I366" s="170">
        <f>VLOOKUP(A366,Resultados!A$2:B764,2,FALSE)</f>
        <v>0</v>
      </c>
      <c r="J366" s="5">
        <f>IFERROR(VLOOKUP(A366,Demográfico!A$2:E$400,5,FALSE)/(VLOOKUP(C366,Metodologia!A$2:G$9,7,FALSE))*D366,0)</f>
        <v>4.876319920862237E-2</v>
      </c>
      <c r="K366" s="72">
        <f>(J366*(1+H366)-I366)</f>
        <v>6.8040832823649131E-2</v>
      </c>
      <c r="L366" s="3">
        <v>0</v>
      </c>
      <c r="M366" s="66">
        <f>VLOOKUP(A366,Demográfico!A$2:E$400,5,FALSE)*H366</f>
        <v>168.80659364451444</v>
      </c>
      <c r="N366" s="68">
        <f>IFERROR(FLOOR(K366,1),0)</f>
        <v>0</v>
      </c>
      <c r="O366" s="68">
        <f>K366-N366</f>
        <v>6.8040832823649131E-2</v>
      </c>
      <c r="P366" s="65">
        <f>IFERROR(RANK(O366,O$2:O$400,0),0)</f>
        <v>359</v>
      </c>
      <c r="Q366" s="3">
        <f>N366+IF(P366&lt;P$1,1,0)</f>
        <v>0</v>
      </c>
      <c r="S366" s="65">
        <f>VLOOKUP(A366,Demográfico!A$2:E$400,5,FALSE)*(H366)</f>
        <v>168.80659364451444</v>
      </c>
      <c r="T366" s="79">
        <f>IFERROR(D366/D366,0)</f>
        <v>1</v>
      </c>
      <c r="U366" s="65">
        <f t="shared" si="5"/>
        <v>168.80659364451444</v>
      </c>
    </row>
    <row r="367" spans="1:21" ht="19.5" x14ac:dyDescent="0.25">
      <c r="A367" s="2" t="s">
        <v>371</v>
      </c>
      <c r="B367" s="168">
        <v>3171</v>
      </c>
      <c r="C367" s="169" t="str" cm="1">
        <f t="array" ref="C367">_xlfn.IFS(B367&lt;5000, "P1",B367&lt;20000, "P2",B367&lt;70000, "P3",B367&lt;100000, "P4",B367&lt;200000,"M1",B367&lt;500000,"M2",B367&lt;1000000,"G1",B367&gt;1000000,"G2")</f>
        <v>P1</v>
      </c>
      <c r="D367" s="170">
        <f>VLOOKUP(C367,Metodologia!A$2:H$9,8,FALSE)</f>
        <v>5.2963457913290126</v>
      </c>
      <c r="E367" s="171">
        <f>VLOOKUP(A367,Educacional!A$2:P$405,16,FALSE)</f>
        <v>80.647564230911755</v>
      </c>
      <c r="F367" s="171">
        <f>VLOOKUP(A367,Demográfico!A$2:L$405,12,FALSE)</f>
        <v>89.060715309951348</v>
      </c>
      <c r="G367" s="172">
        <f>VLOOKUP(A367,Socioeconômico!A$2:M$405,13,FALSE)</f>
        <v>72.035410522019788</v>
      </c>
      <c r="H367" s="173">
        <f>(2*E367+F367+2*G367)/5/100</f>
        <v>0.7888533296316288</v>
      </c>
      <c r="I367" s="170">
        <f>VLOOKUP(A367,Resultados!A$2:B765,2,FALSE)</f>
        <v>0</v>
      </c>
      <c r="J367" s="5">
        <f>IFERROR(VLOOKUP(A367,Demográfico!A$2:E$400,5,FALSE)/(VLOOKUP(C367,Metodologia!A$2:G$9,7,FALSE))*D367,0)</f>
        <v>4.6479208613370744E-2</v>
      </c>
      <c r="K367" s="72">
        <f>(J367*(1+H367)-I367)</f>
        <v>8.3144487086671326E-2</v>
      </c>
      <c r="L367" s="3">
        <v>1</v>
      </c>
      <c r="M367" s="66">
        <f>VLOOKUP(A367,Demográfico!A$2:E$400,5,FALSE)*H367</f>
        <v>321.0633051600729</v>
      </c>
      <c r="N367" s="68">
        <f>IFERROR(FLOOR(K367,1),0)</f>
        <v>0</v>
      </c>
      <c r="O367" s="68">
        <f>K367-N367</f>
        <v>8.3144487086671326E-2</v>
      </c>
      <c r="P367" s="65">
        <f>IFERROR(RANK(O367,O$2:O$400,0),0)</f>
        <v>332</v>
      </c>
      <c r="Q367" s="3">
        <f>N367+IF(P367&lt;P$1,1,0)</f>
        <v>0</v>
      </c>
      <c r="S367" s="65">
        <f>VLOOKUP(A367,Demográfico!A$2:E$400,5,FALSE)*(H367)</f>
        <v>321.0633051600729</v>
      </c>
      <c r="T367" s="79">
        <f>IFERROR(D367/D367,0)</f>
        <v>1</v>
      </c>
      <c r="U367" s="65">
        <f t="shared" si="5"/>
        <v>321.0633051600729</v>
      </c>
    </row>
    <row r="368" spans="1:21" ht="19.5" x14ac:dyDescent="0.25">
      <c r="A368" s="2" t="s">
        <v>372</v>
      </c>
      <c r="B368" s="168">
        <v>3125</v>
      </c>
      <c r="C368" s="169" t="str" cm="1">
        <f t="array" ref="C368">_xlfn.IFS(B368&lt;5000, "P1",B368&lt;20000, "P2",B368&lt;70000, "P3",B368&lt;100000, "P4",B368&lt;200000,"M1",B368&lt;500000,"M2",B368&lt;1000000,"G1",B368&gt;1000000,"G2")</f>
        <v>P1</v>
      </c>
      <c r="D368" s="170">
        <f>VLOOKUP(C368,Metodologia!A$2:H$9,8,FALSE)</f>
        <v>5.2963457913290126</v>
      </c>
      <c r="E368" s="171">
        <f>VLOOKUP(A368,Educacional!A$2:P$405,16,FALSE)</f>
        <v>47.094878612069479</v>
      </c>
      <c r="F368" s="171">
        <f>VLOOKUP(A368,Demográfico!A$2:L$405,12,FALSE)</f>
        <v>79.351873914134956</v>
      </c>
      <c r="G368" s="172">
        <f>VLOOKUP(A368,Socioeconômico!A$2:M$405,13,FALSE)</f>
        <v>40.126077648823511</v>
      </c>
      <c r="H368" s="173">
        <f>(2*E368+F368+2*G368)/5/100</f>
        <v>0.50758757287184186</v>
      </c>
      <c r="I368" s="170">
        <f>VLOOKUP(A368,Resultados!A$2:B766,2,FALSE)</f>
        <v>0</v>
      </c>
      <c r="J368" s="5">
        <f>IFERROR(VLOOKUP(A368,Demográfico!A$2:E$400,5,FALSE)/(VLOOKUP(C368,Metodologia!A$2:G$9,7,FALSE))*D368,0)</f>
        <v>3.9741436357378417E-2</v>
      </c>
      <c r="K368" s="72">
        <f>(J368*(1+H368)-I368)</f>
        <v>5.9913695580460904E-2</v>
      </c>
      <c r="L368" s="3">
        <v>0</v>
      </c>
      <c r="M368" s="66">
        <f>VLOOKUP(A368,Demográfico!A$2:E$400,5,FALSE)*H368</f>
        <v>176.64047535940097</v>
      </c>
      <c r="N368" s="68">
        <f>IFERROR(FLOOR(K368,1),0)</f>
        <v>0</v>
      </c>
      <c r="O368" s="68">
        <f>K368-N368</f>
        <v>5.9913695580460904E-2</v>
      </c>
      <c r="P368" s="65">
        <f>IFERROR(RANK(O368,O$2:O$400,0),0)</f>
        <v>371</v>
      </c>
      <c r="Q368" s="3">
        <f>N368+IF(P368&lt;P$1,1,0)</f>
        <v>0</v>
      </c>
      <c r="S368" s="65">
        <f>VLOOKUP(A368,Demográfico!A$2:E$400,5,FALSE)*(H368)</f>
        <v>176.64047535940097</v>
      </c>
      <c r="T368" s="79">
        <f>IFERROR(D368/D368,0)</f>
        <v>1</v>
      </c>
      <c r="U368" s="65">
        <f t="shared" si="5"/>
        <v>176.64047535940097</v>
      </c>
    </row>
    <row r="369" spans="1:21" ht="19.5" x14ac:dyDescent="0.25">
      <c r="A369" s="2" t="s">
        <v>373</v>
      </c>
      <c r="B369" s="168">
        <v>3110</v>
      </c>
      <c r="C369" s="169" t="str" cm="1">
        <f t="array" ref="C369">_xlfn.IFS(B369&lt;5000, "P1",B369&lt;20000, "P2",B369&lt;70000, "P3",B369&lt;100000, "P4",B369&lt;200000,"M1",B369&lt;500000,"M2",B369&lt;1000000,"G1",B369&gt;1000000,"G2")</f>
        <v>P1</v>
      </c>
      <c r="D369" s="170">
        <f>VLOOKUP(C369,Metodologia!A$2:H$9,8,FALSE)</f>
        <v>5.2963457913290126</v>
      </c>
      <c r="E369" s="171">
        <f>VLOOKUP(A369,Educacional!A$2:P$405,16,FALSE)</f>
        <v>77.012900134830844</v>
      </c>
      <c r="F369" s="171">
        <f>VLOOKUP(A369,Demográfico!A$2:L$405,12,FALSE)</f>
        <v>59.344223187874455</v>
      </c>
      <c r="G369" s="172">
        <f>VLOOKUP(A369,Socioeconômico!A$2:M$405,13,FALSE)</f>
        <v>42.849881811054793</v>
      </c>
      <c r="H369" s="173">
        <f>(2*E369+F369+2*G369)/5/100</f>
        <v>0.59813957415929142</v>
      </c>
      <c r="I369" s="170">
        <f>VLOOKUP(A369,Resultados!A$2:B767,2,FALSE)</f>
        <v>0</v>
      </c>
      <c r="J369" s="5">
        <f>IFERROR(VLOOKUP(A369,Demográfico!A$2:E$400,5,FALSE)/(VLOOKUP(C369,Metodologia!A$2:G$9,7,FALSE))*D369,0)</f>
        <v>4.5337213315744924E-2</v>
      </c>
      <c r="K369" s="72">
        <f>(J369*(1+H369)-I369)</f>
        <v>7.2455194781993554E-2</v>
      </c>
      <c r="L369" s="3">
        <v>1</v>
      </c>
      <c r="M369" s="66">
        <f>VLOOKUP(A369,Demográfico!A$2:E$400,5,FALSE)*H369</f>
        <v>237.46141094123868</v>
      </c>
      <c r="N369" s="68">
        <f>IFERROR(FLOOR(K369,1),0)</f>
        <v>0</v>
      </c>
      <c r="O369" s="68">
        <f>K369-N369</f>
        <v>7.2455194781993554E-2</v>
      </c>
      <c r="P369" s="65">
        <f>IFERROR(RANK(O369,O$2:O$400,0),0)</f>
        <v>353</v>
      </c>
      <c r="Q369" s="3">
        <f>N369+IF(P369&lt;P$1,1,0)</f>
        <v>0</v>
      </c>
      <c r="S369" s="65">
        <f>VLOOKUP(A369,Demográfico!A$2:E$400,5,FALSE)*(H369)</f>
        <v>237.46141094123868</v>
      </c>
      <c r="T369" s="79">
        <f>IFERROR(D369/D369,0)</f>
        <v>1</v>
      </c>
      <c r="U369" s="65">
        <f t="shared" si="5"/>
        <v>237.46141094123868</v>
      </c>
    </row>
    <row r="370" spans="1:21" ht="19.5" x14ac:dyDescent="0.25">
      <c r="A370" s="2" t="s">
        <v>374</v>
      </c>
      <c r="B370" s="168">
        <v>3055</v>
      </c>
      <c r="C370" s="169" t="str" cm="1">
        <f t="array" ref="C370">_xlfn.IFS(B370&lt;5000, "P1",B370&lt;20000, "P2",B370&lt;70000, "P3",B370&lt;100000, "P4",B370&lt;200000,"M1",B370&lt;500000,"M2",B370&lt;1000000,"G1",B370&gt;1000000,"G2")</f>
        <v>P1</v>
      </c>
      <c r="D370" s="170">
        <f>VLOOKUP(C370,Metodologia!A$2:H$9,8,FALSE)</f>
        <v>5.2963457913290126</v>
      </c>
      <c r="E370" s="171">
        <f>VLOOKUP(A370,Educacional!A$2:P$405,16,FALSE)</f>
        <v>29.720045146021963</v>
      </c>
      <c r="F370" s="171">
        <f>VLOOKUP(A370,Demográfico!A$2:L$405,12,FALSE)</f>
        <v>94.085463628934193</v>
      </c>
      <c r="G370" s="172">
        <f>VLOOKUP(A370,Socioeconômico!A$2:M$405,13,FALSE)</f>
        <v>45.628943615713055</v>
      </c>
      <c r="H370" s="173">
        <f>(2*E370+F370+2*G370)/5/100</f>
        <v>0.48956688230480849</v>
      </c>
      <c r="I370" s="170">
        <f>VLOOKUP(A370,Resultados!A$2:B768,2,FALSE)</f>
        <v>0</v>
      </c>
      <c r="J370" s="5">
        <f>IFERROR(VLOOKUP(A370,Demográfico!A$2:E$400,5,FALSE)/(VLOOKUP(C370,Metodologia!A$2:G$9,7,FALSE))*D370,0)</f>
        <v>4.9790994976485606E-2</v>
      </c>
      <c r="K370" s="72">
        <f>(J370*(1+H370)-I370)</f>
        <v>7.416701715397804E-2</v>
      </c>
      <c r="L370" s="3">
        <v>0</v>
      </c>
      <c r="M370" s="66">
        <f>VLOOKUP(A370,Demográfico!A$2:E$400,5,FALSE)*H370</f>
        <v>213.45116068489651</v>
      </c>
      <c r="N370" s="68">
        <f>IFERROR(FLOOR(K370,1),0)</f>
        <v>0</v>
      </c>
      <c r="O370" s="68">
        <f>K370-N370</f>
        <v>7.416701715397804E-2</v>
      </c>
      <c r="P370" s="65">
        <f>IFERROR(RANK(O370,O$2:O$400,0),0)</f>
        <v>350</v>
      </c>
      <c r="Q370" s="3">
        <f>N370+IF(P370&lt;P$1,1,0)</f>
        <v>0</v>
      </c>
      <c r="S370" s="65">
        <f>VLOOKUP(A370,Demográfico!A$2:E$400,5,FALSE)*(H370)</f>
        <v>213.45116068489651</v>
      </c>
      <c r="T370" s="79">
        <f>IFERROR(D370/D370,0)</f>
        <v>1</v>
      </c>
      <c r="U370" s="65">
        <f t="shared" si="5"/>
        <v>213.45116068489651</v>
      </c>
    </row>
    <row r="371" spans="1:21" ht="19.5" x14ac:dyDescent="0.25">
      <c r="A371" s="2" t="s">
        <v>375</v>
      </c>
      <c r="B371" s="168">
        <v>3046</v>
      </c>
      <c r="C371" s="169" t="str" cm="1">
        <f t="array" ref="C371">_xlfn.IFS(B371&lt;5000, "P1",B371&lt;20000, "P2",B371&lt;70000, "P3",B371&lt;100000, "P4",B371&lt;200000,"M1",B371&lt;500000,"M2",B371&lt;1000000,"G1",B371&gt;1000000,"G2")</f>
        <v>P1</v>
      </c>
      <c r="D371" s="170">
        <f>VLOOKUP(C371,Metodologia!A$2:H$9,8,FALSE)</f>
        <v>5.2963457913290126</v>
      </c>
      <c r="E371" s="171">
        <f>VLOOKUP(A371,Educacional!A$2:P$405,16,FALSE)</f>
        <v>46.070854194705682</v>
      </c>
      <c r="F371" s="171">
        <f>VLOOKUP(A371,Demográfico!A$2:L$405,12,FALSE)</f>
        <v>25.920160292156382</v>
      </c>
      <c r="G371" s="172">
        <f>VLOOKUP(A371,Socioeconômico!A$2:M$405,13,FALSE)</f>
        <v>42.914008205699815</v>
      </c>
      <c r="H371" s="173">
        <f>(2*E371+F371+2*G371)/5/100</f>
        <v>0.40777977018593475</v>
      </c>
      <c r="I371" s="170">
        <f>VLOOKUP(A371,Resultados!A$2:B769,2,FALSE)</f>
        <v>0</v>
      </c>
      <c r="J371" s="5">
        <f>IFERROR(VLOOKUP(A371,Demográfico!A$2:E$400,5,FALSE)/(VLOOKUP(C371,Metodologia!A$2:G$9,7,FALSE))*D371,0)</f>
        <v>4.625080955384557E-2</v>
      </c>
      <c r="K371" s="72">
        <f>(J371*(1+H371)-I371)</f>
        <v>6.5110954044626149E-2</v>
      </c>
      <c r="L371" s="3">
        <v>0</v>
      </c>
      <c r="M371" s="66">
        <f>VLOOKUP(A371,Demográfico!A$2:E$400,5,FALSE)*H371</f>
        <v>165.15080692530358</v>
      </c>
      <c r="N371" s="68">
        <f>IFERROR(FLOOR(K371,1),0)</f>
        <v>0</v>
      </c>
      <c r="O371" s="68">
        <f>K371-N371</f>
        <v>6.5110954044626149E-2</v>
      </c>
      <c r="P371" s="65">
        <f>IFERROR(RANK(O371,O$2:O$400,0),0)</f>
        <v>360</v>
      </c>
      <c r="Q371" s="3">
        <f>N371+IF(P371&lt;P$1,1,0)</f>
        <v>0</v>
      </c>
      <c r="S371" s="65">
        <f>VLOOKUP(A371,Demográfico!A$2:E$400,5,FALSE)*(H371)</f>
        <v>165.15080692530358</v>
      </c>
      <c r="T371" s="79">
        <f>IFERROR(D371/D371,0)</f>
        <v>1</v>
      </c>
      <c r="U371" s="65">
        <f t="shared" si="5"/>
        <v>165.15080692530358</v>
      </c>
    </row>
    <row r="372" spans="1:21" ht="19.5" x14ac:dyDescent="0.25">
      <c r="A372" s="2" t="s">
        <v>376</v>
      </c>
      <c r="B372" s="168">
        <v>3039</v>
      </c>
      <c r="C372" s="169" t="str" cm="1">
        <f t="array" ref="C372">_xlfn.IFS(B372&lt;5000, "P1",B372&lt;20000, "P2",B372&lt;70000, "P3",B372&lt;100000, "P4",B372&lt;200000,"M1",B372&lt;500000,"M2",B372&lt;1000000,"G1",B372&gt;1000000,"G2")</f>
        <v>P1</v>
      </c>
      <c r="D372" s="170">
        <f>VLOOKUP(C372,Metodologia!A$2:H$9,8,FALSE)</f>
        <v>5.2963457913290126</v>
      </c>
      <c r="E372" s="171">
        <f>VLOOKUP(A372,Educacional!A$2:P$405,16,FALSE)</f>
        <v>82.742639828750157</v>
      </c>
      <c r="F372" s="171">
        <f>VLOOKUP(A372,Demográfico!A$2:L$405,12,FALSE)</f>
        <v>24.038957282025432</v>
      </c>
      <c r="G372" s="172">
        <f>VLOOKUP(A372,Socioeconômico!A$2:M$405,13,FALSE)</f>
        <v>43.669606921734683</v>
      </c>
      <c r="H372" s="173">
        <f>(2*E372+F372+2*G372)/5/100</f>
        <v>0.55372690156599014</v>
      </c>
      <c r="I372" s="170">
        <f>VLOOKUP(A372,Resultados!A$2:B770,2,FALSE)</f>
        <v>0</v>
      </c>
      <c r="J372" s="5">
        <f>IFERROR(VLOOKUP(A372,Demográfico!A$2:E$400,5,FALSE)/(VLOOKUP(C372,Metodologia!A$2:G$9,7,FALSE))*D372,0)</f>
        <v>4.5337213315744924E-2</v>
      </c>
      <c r="K372" s="72">
        <f>(J372*(1+H372)-I372)</f>
        <v>7.0441647970708704E-2</v>
      </c>
      <c r="L372" s="3">
        <v>1</v>
      </c>
      <c r="M372" s="66">
        <f>VLOOKUP(A372,Demográfico!A$2:E$400,5,FALSE)*H372</f>
        <v>219.8295799216981</v>
      </c>
      <c r="N372" s="68">
        <f>IFERROR(FLOOR(K372,1),0)</f>
        <v>0</v>
      </c>
      <c r="O372" s="68">
        <f>K372-N372</f>
        <v>7.0441647970708704E-2</v>
      </c>
      <c r="P372" s="65">
        <f>IFERROR(RANK(O372,O$2:O$400,0),0)</f>
        <v>357</v>
      </c>
      <c r="Q372" s="3">
        <f>N372+IF(P372&lt;P$1,1,0)</f>
        <v>0</v>
      </c>
      <c r="S372" s="65">
        <f>VLOOKUP(A372,Demográfico!A$2:E$400,5,FALSE)*(H372)</f>
        <v>219.8295799216981</v>
      </c>
      <c r="T372" s="79">
        <f>IFERROR(D372/D372,0)</f>
        <v>1</v>
      </c>
      <c r="U372" s="65">
        <f t="shared" si="5"/>
        <v>219.8295799216981</v>
      </c>
    </row>
    <row r="373" spans="1:21" ht="19.5" x14ac:dyDescent="0.25">
      <c r="A373" s="2" t="s">
        <v>377</v>
      </c>
      <c r="B373" s="168">
        <v>2977</v>
      </c>
      <c r="C373" s="169" t="str" cm="1">
        <f t="array" ref="C373">_xlfn.IFS(B373&lt;5000, "P1",B373&lt;20000, "P2",B373&lt;70000, "P3",B373&lt;100000, "P4",B373&lt;200000,"M1",B373&lt;500000,"M2",B373&lt;1000000,"G1",B373&gt;1000000,"G2")</f>
        <v>P1</v>
      </c>
      <c r="D373" s="170">
        <f>VLOOKUP(C373,Metodologia!A$2:H$9,8,FALSE)</f>
        <v>5.2963457913290126</v>
      </c>
      <c r="E373" s="171">
        <f>VLOOKUP(A373,Educacional!A$2:P$405,16,FALSE)</f>
        <v>46.35552921183065</v>
      </c>
      <c r="F373" s="171">
        <f>VLOOKUP(A373,Demográfico!A$2:L$405,12,FALSE)</f>
        <v>26.765660510993893</v>
      </c>
      <c r="G373" s="172">
        <f>VLOOKUP(A373,Socioeconômico!A$2:M$405,13,FALSE)</f>
        <v>56.654524159629773</v>
      </c>
      <c r="H373" s="173">
        <f>(2*E373+F373+2*G373)/5/100</f>
        <v>0.46557153450782951</v>
      </c>
      <c r="I373" s="170">
        <f>VLOOKUP(A373,Resultados!A$2:B771,2,FALSE)</f>
        <v>0</v>
      </c>
      <c r="J373" s="5">
        <f>IFERROR(VLOOKUP(A373,Demográfico!A$2:E$400,5,FALSE)/(VLOOKUP(C373,Metodologia!A$2:G$9,7,FALSE))*D373,0)</f>
        <v>4.2139626482392639E-2</v>
      </c>
      <c r="K373" s="72">
        <f>(J373*(1+H373)-I373)</f>
        <v>6.1758637047386947E-2</v>
      </c>
      <c r="L373" s="3">
        <v>0</v>
      </c>
      <c r="M373" s="66">
        <f>VLOOKUP(A373,Demográfico!A$2:E$400,5,FALSE)*H373</f>
        <v>171.7958962333891</v>
      </c>
      <c r="N373" s="68">
        <f>IFERROR(FLOOR(K373,1),0)</f>
        <v>0</v>
      </c>
      <c r="O373" s="68">
        <f>K373-N373</f>
        <v>6.1758637047386947E-2</v>
      </c>
      <c r="P373" s="65">
        <f>IFERROR(RANK(O373,O$2:O$400,0),0)</f>
        <v>367</v>
      </c>
      <c r="Q373" s="3">
        <f>N373+IF(P373&lt;P$1,1,0)</f>
        <v>0</v>
      </c>
      <c r="S373" s="65">
        <f>VLOOKUP(A373,Demográfico!A$2:E$400,5,FALSE)*(H373)</f>
        <v>171.7958962333891</v>
      </c>
      <c r="T373" s="79">
        <f>IFERROR(D373/D373,0)</f>
        <v>1</v>
      </c>
      <c r="U373" s="65">
        <f t="shared" si="5"/>
        <v>171.7958962333891</v>
      </c>
    </row>
    <row r="374" spans="1:21" ht="19.5" x14ac:dyDescent="0.25">
      <c r="A374" s="2" t="s">
        <v>378</v>
      </c>
      <c r="B374" s="168">
        <v>2918</v>
      </c>
      <c r="C374" s="169" t="str" cm="1">
        <f t="array" ref="C374">_xlfn.IFS(B374&lt;5000, "P1",B374&lt;20000, "P2",B374&lt;70000, "P3",B374&lt;100000, "P4",B374&lt;200000,"M1",B374&lt;500000,"M2",B374&lt;1000000,"G1",B374&gt;1000000,"G2")</f>
        <v>P1</v>
      </c>
      <c r="D374" s="170">
        <f>VLOOKUP(C374,Metodologia!A$2:H$9,8,FALSE)</f>
        <v>5.2963457913290126</v>
      </c>
      <c r="E374" s="171">
        <f>VLOOKUP(A374,Educacional!A$2:P$405,16,FALSE)</f>
        <v>43.074197443344232</v>
      </c>
      <c r="F374" s="171">
        <f>VLOOKUP(A374,Demográfico!A$2:L$405,12,FALSE)</f>
        <v>29.175541968710672</v>
      </c>
      <c r="G374" s="172">
        <f>VLOOKUP(A374,Socioeconômico!A$2:M$405,13,FALSE)</f>
        <v>44.506140213142196</v>
      </c>
      <c r="H374" s="173">
        <f>(2*E374+F374+2*G374)/5/100</f>
        <v>0.4086724345633671</v>
      </c>
      <c r="I374" s="170">
        <f>VLOOKUP(A374,Resultados!A$2:B772,2,FALSE)</f>
        <v>0</v>
      </c>
      <c r="J374" s="5">
        <f>IFERROR(VLOOKUP(A374,Demográfico!A$2:E$400,5,FALSE)/(VLOOKUP(C374,Metodologia!A$2:G$9,7,FALSE))*D374,0)</f>
        <v>4.1797027893104889E-2</v>
      </c>
      <c r="K374" s="72">
        <f>(J374*(1+H374)-I374)</f>
        <v>5.8878321039693031E-2</v>
      </c>
      <c r="L374" s="3">
        <v>0</v>
      </c>
      <c r="M374" s="66">
        <f>VLOOKUP(A374,Demográfico!A$2:E$400,5,FALSE)*H374</f>
        <v>149.57411105019236</v>
      </c>
      <c r="N374" s="68">
        <f>IFERROR(FLOOR(K374,1),0)</f>
        <v>0</v>
      </c>
      <c r="O374" s="68">
        <f>K374-N374</f>
        <v>5.8878321039693031E-2</v>
      </c>
      <c r="P374" s="65">
        <f>IFERROR(RANK(O374,O$2:O$400,0),0)</f>
        <v>372</v>
      </c>
      <c r="Q374" s="3">
        <f>N374+IF(P374&lt;P$1,1,0)</f>
        <v>0</v>
      </c>
      <c r="S374" s="65">
        <f>VLOOKUP(A374,Demográfico!A$2:E$400,5,FALSE)*(H374)</f>
        <v>149.57411105019236</v>
      </c>
      <c r="T374" s="79">
        <f>IFERROR(D374/D374,0)</f>
        <v>1</v>
      </c>
      <c r="U374" s="65">
        <f t="shared" si="5"/>
        <v>149.57411105019236</v>
      </c>
    </row>
    <row r="375" spans="1:21" ht="19.5" x14ac:dyDescent="0.25">
      <c r="A375" s="2" t="s">
        <v>379</v>
      </c>
      <c r="B375" s="168">
        <v>2892</v>
      </c>
      <c r="C375" s="169" t="str" cm="1">
        <f t="array" ref="C375">_xlfn.IFS(B375&lt;5000, "P1",B375&lt;20000, "P2",B375&lt;70000, "P3",B375&lt;100000, "P4",B375&lt;200000,"M1",B375&lt;500000,"M2",B375&lt;1000000,"G1",B375&gt;1000000,"G2")</f>
        <v>P1</v>
      </c>
      <c r="D375" s="170">
        <f>VLOOKUP(C375,Metodologia!A$2:H$9,8,FALSE)</f>
        <v>5.2963457913290126</v>
      </c>
      <c r="E375" s="171">
        <f>VLOOKUP(A375,Educacional!A$2:P$405,16,FALSE)</f>
        <v>56.838554192851923</v>
      </c>
      <c r="F375" s="171">
        <f>VLOOKUP(A375,Demográfico!A$2:L$405,12,FALSE)</f>
        <v>34.66171533459891</v>
      </c>
      <c r="G375" s="172">
        <f>VLOOKUP(A375,Socioeconômico!A$2:M$405,13,FALSE)</f>
        <v>100</v>
      </c>
      <c r="H375" s="173">
        <f>(2*E375+F375+2*G375)/5/100</f>
        <v>0.69667764744060545</v>
      </c>
      <c r="I375" s="170">
        <f>VLOOKUP(A375,Resultados!A$2:B773,2,FALSE)</f>
        <v>0</v>
      </c>
      <c r="J375" s="5">
        <f>IFERROR(VLOOKUP(A375,Demográfico!A$2:E$400,5,FALSE)/(VLOOKUP(C375,Metodologia!A$2:G$9,7,FALSE))*D375,0)</f>
        <v>4.1911227422867472E-2</v>
      </c>
      <c r="K375" s="72">
        <f>(J375*(1+H375)-I375)</f>
        <v>7.1109842745178967E-2</v>
      </c>
      <c r="L375" s="3">
        <v>1</v>
      </c>
      <c r="M375" s="66">
        <f>VLOOKUP(A375,Demográfico!A$2:E$400,5,FALSE)*H375</f>
        <v>255.6806966107022</v>
      </c>
      <c r="N375" s="68">
        <f>IFERROR(FLOOR(K375,1),0)</f>
        <v>0</v>
      </c>
      <c r="O375" s="68">
        <f>K375-N375</f>
        <v>7.1109842745178967E-2</v>
      </c>
      <c r="P375" s="65">
        <f>IFERROR(RANK(O375,O$2:O$400,0),0)</f>
        <v>355</v>
      </c>
      <c r="Q375" s="3">
        <f>N375+IF(P375&lt;P$1,1,0)</f>
        <v>0</v>
      </c>
      <c r="S375" s="65">
        <f>VLOOKUP(A375,Demográfico!A$2:E$400,5,FALSE)*(H375)</f>
        <v>255.6806966107022</v>
      </c>
      <c r="T375" s="79">
        <f>IFERROR(D375/D375,0)</f>
        <v>1</v>
      </c>
      <c r="U375" s="65">
        <f t="shared" si="5"/>
        <v>255.6806966107022</v>
      </c>
    </row>
    <row r="376" spans="1:21" ht="19.5" x14ac:dyDescent="0.25">
      <c r="A376" s="2" t="s">
        <v>380</v>
      </c>
      <c r="B376" s="168">
        <v>2814</v>
      </c>
      <c r="C376" s="169" t="str" cm="1">
        <f t="array" ref="C376">_xlfn.IFS(B376&lt;5000, "P1",B376&lt;20000, "P2",B376&lt;70000, "P3",B376&lt;100000, "P4",B376&lt;200000,"M1",B376&lt;500000,"M2",B376&lt;1000000,"G1",B376&gt;1000000,"G2")</f>
        <v>P1</v>
      </c>
      <c r="D376" s="170">
        <f>VLOOKUP(C376,Metodologia!A$2:H$9,8,FALSE)</f>
        <v>5.2963457913290126</v>
      </c>
      <c r="E376" s="171">
        <f>VLOOKUP(A376,Educacional!A$2:P$405,16,FALSE)</f>
        <v>48.86842509637129</v>
      </c>
      <c r="F376" s="171">
        <f>VLOOKUP(A376,Demográfico!A$2:L$405,12,FALSE)</f>
        <v>21.451534567718173</v>
      </c>
      <c r="G376" s="172">
        <f>VLOOKUP(A376,Socioeconômico!A$2:M$405,13,FALSE)</f>
        <v>47.439438586145343</v>
      </c>
      <c r="H376" s="173">
        <f>(2*E376+F376+2*G376)/5/100</f>
        <v>0.42813452386550283</v>
      </c>
      <c r="I376" s="170">
        <f>VLOOKUP(A376,Resultados!A$2:B774,2,FALSE)</f>
        <v>0</v>
      </c>
      <c r="J376" s="5">
        <f>IFERROR(VLOOKUP(A376,Demográfico!A$2:E$400,5,FALSE)/(VLOOKUP(C376,Metodologia!A$2:G$9,7,FALSE))*D376,0)</f>
        <v>3.6429649994263555E-2</v>
      </c>
      <c r="K376" s="72">
        <f>(J376*(1+H376)-I376)</f>
        <v>5.2026440849144498E-2</v>
      </c>
      <c r="L376" s="3">
        <v>0</v>
      </c>
      <c r="M376" s="66">
        <f>VLOOKUP(A376,Demográfico!A$2:E$400,5,FALSE)*H376</f>
        <v>136.57491311309539</v>
      </c>
      <c r="N376" s="68">
        <f>IFERROR(FLOOR(K376,1),0)</f>
        <v>0</v>
      </c>
      <c r="O376" s="68">
        <f>K376-N376</f>
        <v>5.2026440849144498E-2</v>
      </c>
      <c r="P376" s="65">
        <f>IFERROR(RANK(O376,O$2:O$400,0),0)</f>
        <v>380</v>
      </c>
      <c r="Q376" s="3">
        <f>N376+IF(P376&lt;P$1,1,0)</f>
        <v>0</v>
      </c>
      <c r="S376" s="65">
        <f>VLOOKUP(A376,Demográfico!A$2:E$400,5,FALSE)*(H376)</f>
        <v>136.57491311309539</v>
      </c>
      <c r="T376" s="79">
        <f>IFERROR(D376/D376,0)</f>
        <v>1</v>
      </c>
      <c r="U376" s="65">
        <f t="shared" si="5"/>
        <v>136.57491311309539</v>
      </c>
    </row>
    <row r="377" spans="1:21" ht="19.5" x14ac:dyDescent="0.25">
      <c r="A377" s="2" t="s">
        <v>381</v>
      </c>
      <c r="B377" s="168">
        <v>2770</v>
      </c>
      <c r="C377" s="169" t="str" cm="1">
        <f t="array" ref="C377">_xlfn.IFS(B377&lt;5000, "P1",B377&lt;20000, "P2",B377&lt;70000, "P3",B377&lt;100000, "P4",B377&lt;200000,"M1",B377&lt;500000,"M2",B377&lt;1000000,"G1",B377&gt;1000000,"G2")</f>
        <v>P1</v>
      </c>
      <c r="D377" s="170">
        <f>VLOOKUP(C377,Metodologia!A$2:H$9,8,FALSE)</f>
        <v>5.2963457913290126</v>
      </c>
      <c r="E377" s="171">
        <f>VLOOKUP(A377,Educacional!A$2:P$405,16,FALSE)</f>
        <v>80.563563857732106</v>
      </c>
      <c r="F377" s="171">
        <f>VLOOKUP(A377,Demográfico!A$2:L$405,12,FALSE)</f>
        <v>39.539204610197757</v>
      </c>
      <c r="G377" s="172">
        <f>VLOOKUP(A377,Socioeconômico!A$2:M$405,13,FALSE)</f>
        <v>36.409753366054836</v>
      </c>
      <c r="H377" s="173">
        <f>(2*E377+F377+2*G377)/5/100</f>
        <v>0.54697167811554337</v>
      </c>
      <c r="I377" s="170">
        <f>VLOOKUP(A377,Resultados!A$2:B775,2,FALSE)</f>
        <v>0</v>
      </c>
      <c r="J377" s="5">
        <f>IFERROR(VLOOKUP(A377,Demográfico!A$2:E$400,5,FALSE)/(VLOOKUP(C377,Metodologia!A$2:G$9,7,FALSE))*D377,0)</f>
        <v>4.1682828363342313E-2</v>
      </c>
      <c r="K377" s="72">
        <f>(J377*(1+H377)-I377)</f>
        <v>6.4482154941841827E-2</v>
      </c>
      <c r="L377" s="3">
        <v>1</v>
      </c>
      <c r="M377" s="66">
        <f>VLOOKUP(A377,Demográfico!A$2:E$400,5,FALSE)*H377</f>
        <v>199.64466251217334</v>
      </c>
      <c r="N377" s="68">
        <f>IFERROR(FLOOR(K377,1),0)</f>
        <v>0</v>
      </c>
      <c r="O377" s="68">
        <f>K377-N377</f>
        <v>6.4482154941841827E-2</v>
      </c>
      <c r="P377" s="65">
        <f>IFERROR(RANK(O377,O$2:O$400,0),0)</f>
        <v>361</v>
      </c>
      <c r="Q377" s="3">
        <f>N377+IF(P377&lt;P$1,1,0)</f>
        <v>0</v>
      </c>
      <c r="S377" s="65">
        <f>VLOOKUP(A377,Demográfico!A$2:E$400,5,FALSE)*(H377)</f>
        <v>199.64466251217334</v>
      </c>
      <c r="T377" s="79">
        <f>IFERROR(D377/D377,0)</f>
        <v>1</v>
      </c>
      <c r="U377" s="65">
        <f t="shared" si="5"/>
        <v>199.64466251217334</v>
      </c>
    </row>
    <row r="378" spans="1:21" ht="19.5" x14ac:dyDescent="0.25">
      <c r="A378" s="2" t="s">
        <v>382</v>
      </c>
      <c r="B378" s="168">
        <v>2761</v>
      </c>
      <c r="C378" s="169" t="str" cm="1">
        <f t="array" ref="C378">_xlfn.IFS(B378&lt;5000, "P1",B378&lt;20000, "P2",B378&lt;70000, "P3",B378&lt;100000, "P4",B378&lt;200000,"M1",B378&lt;500000,"M2",B378&lt;1000000,"G1",B378&gt;1000000,"G2")</f>
        <v>P1</v>
      </c>
      <c r="D378" s="170">
        <f>VLOOKUP(C378,Metodologia!A$2:H$9,8,FALSE)</f>
        <v>5.2963457913290126</v>
      </c>
      <c r="E378" s="171">
        <f>VLOOKUP(A378,Educacional!A$2:P$405,16,FALSE)</f>
        <v>30.904012679695754</v>
      </c>
      <c r="F378" s="171">
        <f>VLOOKUP(A378,Demográfico!A$2:L$405,12,FALSE)</f>
        <v>22.362478487680093</v>
      </c>
      <c r="G378" s="172">
        <f>VLOOKUP(A378,Socioeconômico!A$2:M$405,13,FALSE)</f>
        <v>51.386379332206324</v>
      </c>
      <c r="H378" s="173">
        <f>(2*E378+F378+2*G378)/5/100</f>
        <v>0.37388652502296849</v>
      </c>
      <c r="I378" s="170">
        <f>VLOOKUP(A378,Resultados!A$2:B776,2,FALSE)</f>
        <v>0</v>
      </c>
      <c r="J378" s="5">
        <f>IFERROR(VLOOKUP(A378,Demográfico!A$2:E$400,5,FALSE)/(VLOOKUP(C378,Metodologia!A$2:G$9,7,FALSE))*D378,0)</f>
        <v>4.019823447642875E-2</v>
      </c>
      <c r="K378" s="72">
        <f>(J378*(1+H378)-I378)</f>
        <v>5.5227812676879179E-2</v>
      </c>
      <c r="L378" s="3">
        <v>0</v>
      </c>
      <c r="M378" s="66">
        <f>VLOOKUP(A378,Demográfico!A$2:E$400,5,FALSE)*H378</f>
        <v>131.60805680808491</v>
      </c>
      <c r="N378" s="68">
        <f>IFERROR(FLOOR(K378,1),0)</f>
        <v>0</v>
      </c>
      <c r="O378" s="68">
        <f>K378-N378</f>
        <v>5.5227812676879179E-2</v>
      </c>
      <c r="P378" s="65">
        <f>IFERROR(RANK(O378,O$2:O$400,0),0)</f>
        <v>374</v>
      </c>
      <c r="Q378" s="3">
        <f>N378+IF(P378&lt;P$1,1,0)</f>
        <v>0</v>
      </c>
      <c r="S378" s="65">
        <f>VLOOKUP(A378,Demográfico!A$2:E$400,5,FALSE)*(H378)</f>
        <v>131.60805680808491</v>
      </c>
      <c r="T378" s="79">
        <f>IFERROR(D378/D378,0)</f>
        <v>1</v>
      </c>
      <c r="U378" s="65">
        <f t="shared" si="5"/>
        <v>131.60805680808491</v>
      </c>
    </row>
    <row r="379" spans="1:21" ht="19.5" x14ac:dyDescent="0.25">
      <c r="A379" s="2" t="s">
        <v>383</v>
      </c>
      <c r="B379" s="168">
        <v>2708</v>
      </c>
      <c r="C379" s="169" t="str" cm="1">
        <f t="array" ref="C379">_xlfn.IFS(B379&lt;5000, "P1",B379&lt;20000, "P2",B379&lt;70000, "P3",B379&lt;100000, "P4",B379&lt;200000,"M1",B379&lt;500000,"M2",B379&lt;1000000,"G1",B379&gt;1000000,"G2")</f>
        <v>P1</v>
      </c>
      <c r="D379" s="170">
        <f>VLOOKUP(C379,Metodologia!A$2:H$9,8,FALSE)</f>
        <v>5.2963457913290126</v>
      </c>
      <c r="E379" s="171">
        <f>VLOOKUP(A379,Educacional!A$2:P$405,16,FALSE)</f>
        <v>0</v>
      </c>
      <c r="F379" s="171">
        <f>VLOOKUP(A379,Demográfico!A$2:L$405,12,FALSE)</f>
        <v>56.074330290631401</v>
      </c>
      <c r="G379" s="172">
        <f>VLOOKUP(A379,Socioeconômico!A$2:M$405,13,FALSE)</f>
        <v>32.071868219132945</v>
      </c>
      <c r="H379" s="173">
        <f>(2*E379+F379+2*G379)/5/100</f>
        <v>0.24043613345779458</v>
      </c>
      <c r="I379" s="170">
        <f>VLOOKUP(A379,Resultados!A$2:B777,2,FALSE)</f>
        <v>0</v>
      </c>
      <c r="J379" s="5">
        <f>IFERROR(VLOOKUP(A379,Demográfico!A$2:E$400,5,FALSE)/(VLOOKUP(C379,Metodologia!A$2:G$9,7,FALSE))*D379,0)</f>
        <v>3.6315450464500972E-2</v>
      </c>
      <c r="K379" s="72">
        <f>(J379*(1+H379)-I379)</f>
        <v>4.504699695896365E-2</v>
      </c>
      <c r="L379" s="3">
        <v>0</v>
      </c>
      <c r="M379" s="66">
        <f>VLOOKUP(A379,Demográfico!A$2:E$400,5,FALSE)*H379</f>
        <v>76.458690439578675</v>
      </c>
      <c r="N379" s="68">
        <f>IFERROR(FLOOR(K379,1),0)</f>
        <v>0</v>
      </c>
      <c r="O379" s="68">
        <f>K379-N379</f>
        <v>4.504699695896365E-2</v>
      </c>
      <c r="P379" s="65">
        <f>IFERROR(RANK(O379,O$2:O$400,0),0)</f>
        <v>386</v>
      </c>
      <c r="Q379" s="3">
        <f>N379+IF(P379&lt;P$1,1,0)</f>
        <v>0</v>
      </c>
      <c r="S379" s="65">
        <f>VLOOKUP(A379,Demográfico!A$2:E$400,5,FALSE)*(H379)</f>
        <v>76.458690439578675</v>
      </c>
      <c r="T379" s="79">
        <f>IFERROR(D379/D379,0)</f>
        <v>1</v>
      </c>
      <c r="U379" s="65">
        <f t="shared" si="5"/>
        <v>76.458690439578675</v>
      </c>
    </row>
    <row r="380" spans="1:21" ht="19.5" x14ac:dyDescent="0.25">
      <c r="A380" s="2" t="s">
        <v>384</v>
      </c>
      <c r="B380" s="168">
        <v>2661</v>
      </c>
      <c r="C380" s="169" t="str" cm="1">
        <f t="array" ref="C380">_xlfn.IFS(B380&lt;5000, "P1",B380&lt;20000, "P2",B380&lt;70000, "P3",B380&lt;100000, "P4",B380&lt;200000,"M1",B380&lt;500000,"M2",B380&lt;1000000,"G1",B380&gt;1000000,"G2")</f>
        <v>P1</v>
      </c>
      <c r="D380" s="170">
        <f>VLOOKUP(C380,Metodologia!A$2:H$9,8,FALSE)</f>
        <v>5.2963457913290126</v>
      </c>
      <c r="E380" s="171">
        <f>VLOOKUP(A380,Educacional!A$2:P$405,16,FALSE)</f>
        <v>28.131359511326774</v>
      </c>
      <c r="F380" s="171">
        <f>VLOOKUP(A380,Demográfico!A$2:L$405,12,FALSE)</f>
        <v>68.658385580223836</v>
      </c>
      <c r="G380" s="172">
        <f>VLOOKUP(A380,Socioeconômico!A$2:M$405,13,FALSE)</f>
        <v>28.636684010983359</v>
      </c>
      <c r="H380" s="173">
        <f>(2*E380+F380+2*G380)/5/100</f>
        <v>0.36438894524968823</v>
      </c>
      <c r="I380" s="170">
        <f>VLOOKUP(A380,Resultados!A$2:B778,2,FALSE)</f>
        <v>0</v>
      </c>
      <c r="J380" s="5">
        <f>IFERROR(VLOOKUP(A380,Demográfico!A$2:E$400,5,FALSE)/(VLOOKUP(C380,Metodologia!A$2:G$9,7,FALSE))*D380,0)</f>
        <v>3.7800044351414534E-2</v>
      </c>
      <c r="K380" s="72">
        <f>(J380*(1+H380)-I380)</f>
        <v>5.1573962643017911E-2</v>
      </c>
      <c r="L380" s="3">
        <v>0</v>
      </c>
      <c r="M380" s="66">
        <f>VLOOKUP(A380,Demográfico!A$2:E$400,5,FALSE)*H380</f>
        <v>120.6127408776468</v>
      </c>
      <c r="N380" s="68">
        <f>IFERROR(FLOOR(K380,1),0)</f>
        <v>0</v>
      </c>
      <c r="O380" s="68">
        <f>K380-N380</f>
        <v>5.1573962643017911E-2</v>
      </c>
      <c r="P380" s="65">
        <f>IFERROR(RANK(O380,O$2:O$400,0),0)</f>
        <v>381</v>
      </c>
      <c r="Q380" s="3">
        <f>N380+IF(P380&lt;P$1,1,0)</f>
        <v>0</v>
      </c>
      <c r="S380" s="65">
        <f>VLOOKUP(A380,Demográfico!A$2:E$400,5,FALSE)*(H380)</f>
        <v>120.6127408776468</v>
      </c>
      <c r="T380" s="79">
        <f>IFERROR(D380/D380,0)</f>
        <v>1</v>
      </c>
      <c r="U380" s="65">
        <f t="shared" si="5"/>
        <v>120.6127408776468</v>
      </c>
    </row>
    <row r="381" spans="1:21" ht="19.5" x14ac:dyDescent="0.25">
      <c r="A381" s="2" t="s">
        <v>385</v>
      </c>
      <c r="B381" s="168">
        <v>2652</v>
      </c>
      <c r="C381" s="169" t="str" cm="1">
        <f t="array" ref="C381">_xlfn.IFS(B381&lt;5000, "P1",B381&lt;20000, "P2",B381&lt;70000, "P3",B381&lt;100000, "P4",B381&lt;200000,"M1",B381&lt;500000,"M2",B381&lt;1000000,"G1",B381&gt;1000000,"G2")</f>
        <v>P1</v>
      </c>
      <c r="D381" s="170">
        <f>VLOOKUP(C381,Metodologia!A$2:H$9,8,FALSE)</f>
        <v>5.2963457913290126</v>
      </c>
      <c r="E381" s="171">
        <f>VLOOKUP(A381,Educacional!A$2:P$405,16,FALSE)</f>
        <v>40.359099305467254</v>
      </c>
      <c r="F381" s="171">
        <f>VLOOKUP(A381,Demográfico!A$2:L$405,12,FALSE)</f>
        <v>39.28920958487835</v>
      </c>
      <c r="G381" s="172">
        <f>VLOOKUP(A381,Socioeconômico!A$2:M$405,13,FALSE)</f>
        <v>34.336512263630617</v>
      </c>
      <c r="H381" s="173">
        <f>(2*E381+F381+2*G381)/5/100</f>
        <v>0.37736086544614822</v>
      </c>
      <c r="I381" s="170">
        <f>VLOOKUP(A381,Resultados!A$2:B779,2,FALSE)</f>
        <v>0</v>
      </c>
      <c r="J381" s="5">
        <f>IFERROR(VLOOKUP(A381,Demográfico!A$2:E$400,5,FALSE)/(VLOOKUP(C381,Metodologia!A$2:G$9,7,FALSE))*D381,0)</f>
        <v>3.905623917880293E-2</v>
      </c>
      <c r="K381" s="72">
        <f>(J381*(1+H381)-I381)</f>
        <v>5.3794535396387767E-2</v>
      </c>
      <c r="L381" s="3">
        <v>0</v>
      </c>
      <c r="M381" s="66">
        <f>VLOOKUP(A381,Demográfico!A$2:E$400,5,FALSE)*H381</f>
        <v>129.05741598258268</v>
      </c>
      <c r="N381" s="68">
        <f>IFERROR(FLOOR(K381,1),0)</f>
        <v>0</v>
      </c>
      <c r="O381" s="68">
        <f>K381-N381</f>
        <v>5.3794535396387767E-2</v>
      </c>
      <c r="P381" s="65">
        <f>IFERROR(RANK(O381,O$2:O$400,0),0)</f>
        <v>377</v>
      </c>
      <c r="Q381" s="3">
        <f>N381+IF(P381&lt;P$1,1,0)</f>
        <v>0</v>
      </c>
      <c r="S381" s="65">
        <f>VLOOKUP(A381,Demográfico!A$2:E$400,5,FALSE)*(H381)</f>
        <v>129.05741598258268</v>
      </c>
      <c r="T381" s="79">
        <f>IFERROR(D381/D381,0)</f>
        <v>1</v>
      </c>
      <c r="U381" s="65">
        <f t="shared" si="5"/>
        <v>129.05741598258268</v>
      </c>
    </row>
    <row r="382" spans="1:21" ht="19.5" x14ac:dyDescent="0.25">
      <c r="A382" s="2" t="s">
        <v>386</v>
      </c>
      <c r="B382" s="168">
        <v>2627</v>
      </c>
      <c r="C382" s="169" t="str" cm="1">
        <f t="array" ref="C382">_xlfn.IFS(B382&lt;5000, "P1",B382&lt;20000, "P2",B382&lt;70000, "P3",B382&lt;100000, "P4",B382&lt;200000,"M1",B382&lt;500000,"M2",B382&lt;1000000,"G1",B382&gt;1000000,"G2")</f>
        <v>P1</v>
      </c>
      <c r="D382" s="170">
        <f>VLOOKUP(C382,Metodologia!A$2:H$9,8,FALSE)</f>
        <v>5.2963457913290126</v>
      </c>
      <c r="E382" s="171">
        <f>VLOOKUP(A382,Educacional!A$2:P$405,16,FALSE)</f>
        <v>41.831270077649997</v>
      </c>
      <c r="F382" s="171">
        <f>VLOOKUP(A382,Demográfico!A$2:L$405,12,FALSE)</f>
        <v>17.812593012060297</v>
      </c>
      <c r="G382" s="172">
        <f>VLOOKUP(A382,Socioeconômico!A$2:M$405,13,FALSE)</f>
        <v>36.894819844882001</v>
      </c>
      <c r="H382" s="173">
        <f>(2*E382+F382+2*G382)/5/100</f>
        <v>0.35052954571424855</v>
      </c>
      <c r="I382" s="170">
        <f>VLOOKUP(A382,Resultados!A$2:B780,2,FALSE)</f>
        <v>0</v>
      </c>
      <c r="J382" s="5">
        <f>IFERROR(VLOOKUP(A382,Demográfico!A$2:E$400,5,FALSE)/(VLOOKUP(C382,Metodologia!A$2:G$9,7,FALSE))*D382,0)</f>
        <v>3.5287654696637735E-2</v>
      </c>
      <c r="K382" s="72">
        <f>(J382*(1+H382)-I382)</f>
        <v>4.7657020266771433E-2</v>
      </c>
      <c r="L382" s="3">
        <v>0</v>
      </c>
      <c r="M382" s="66">
        <f>VLOOKUP(A382,Demográfico!A$2:E$400,5,FALSE)*H382</f>
        <v>108.3136296257028</v>
      </c>
      <c r="N382" s="68">
        <f>IFERROR(FLOOR(K382,1),0)</f>
        <v>0</v>
      </c>
      <c r="O382" s="68">
        <f>K382-N382</f>
        <v>4.7657020266771433E-2</v>
      </c>
      <c r="P382" s="65">
        <f>IFERROR(RANK(O382,O$2:O$400,0),0)</f>
        <v>384</v>
      </c>
      <c r="Q382" s="3">
        <f>N382+IF(P382&lt;P$1,1,0)</f>
        <v>0</v>
      </c>
      <c r="S382" s="65">
        <f>VLOOKUP(A382,Demográfico!A$2:E$400,5,FALSE)*(H382)</f>
        <v>108.3136296257028</v>
      </c>
      <c r="T382" s="79">
        <f>IFERROR(D382/D382,0)</f>
        <v>1</v>
      </c>
      <c r="U382" s="65">
        <f t="shared" si="5"/>
        <v>108.3136296257028</v>
      </c>
    </row>
    <row r="383" spans="1:21" ht="19.5" x14ac:dyDescent="0.25">
      <c r="A383" s="2" t="s">
        <v>387</v>
      </c>
      <c r="B383" s="168">
        <v>2618</v>
      </c>
      <c r="C383" s="169" t="str" cm="1">
        <f t="array" ref="C383">_xlfn.IFS(B383&lt;5000, "P1",B383&lt;20000, "P2",B383&lt;70000, "P3",B383&lt;100000, "P4",B383&lt;200000,"M1",B383&lt;500000,"M2",B383&lt;1000000,"G1",B383&gt;1000000,"G2")</f>
        <v>P1</v>
      </c>
      <c r="D383" s="170">
        <f>VLOOKUP(C383,Metodologia!A$2:H$9,8,FALSE)</f>
        <v>5.2963457913290126</v>
      </c>
      <c r="E383" s="171">
        <f>VLOOKUP(A383,Educacional!A$2:P$405,16,FALSE)</f>
        <v>72.54263673537838</v>
      </c>
      <c r="F383" s="171">
        <f>VLOOKUP(A383,Demográfico!A$2:L$405,12,FALSE)</f>
        <v>22.49482693326696</v>
      </c>
      <c r="G383" s="172">
        <f>VLOOKUP(A383,Socioeconômico!A$2:M$405,13,FALSE)</f>
        <v>32.419152382474039</v>
      </c>
      <c r="H383" s="173">
        <f>(2*E383+F383+2*G383)/5/100</f>
        <v>0.46483681033794355</v>
      </c>
      <c r="I383" s="170">
        <f>VLOOKUP(A383,Resultados!A$2:B781,2,FALSE)</f>
        <v>0</v>
      </c>
      <c r="J383" s="5">
        <f>IFERROR(VLOOKUP(A383,Demográfico!A$2:E$400,5,FALSE)/(VLOOKUP(C383,Metodologia!A$2:G$9,7,FALSE))*D383,0)</f>
        <v>3.8942039649040347E-2</v>
      </c>
      <c r="K383" s="72">
        <f>(J383*(1+H383)-I383)</f>
        <v>5.7043733147553989E-2</v>
      </c>
      <c r="L383" s="3">
        <v>0</v>
      </c>
      <c r="M383" s="66">
        <f>VLOOKUP(A383,Demográfico!A$2:E$400,5,FALSE)*H383</f>
        <v>158.50935232523875</v>
      </c>
      <c r="N383" s="68">
        <f>IFERROR(FLOOR(K383,1),0)</f>
        <v>0</v>
      </c>
      <c r="O383" s="68">
        <f>K383-N383</f>
        <v>5.7043733147553989E-2</v>
      </c>
      <c r="P383" s="65">
        <f>IFERROR(RANK(O383,O$2:O$400,0),0)</f>
        <v>373</v>
      </c>
      <c r="Q383" s="3">
        <f>N383+IF(P383&lt;P$1,1,0)</f>
        <v>0</v>
      </c>
      <c r="S383" s="65">
        <f>VLOOKUP(A383,Demográfico!A$2:E$400,5,FALSE)*(H383)</f>
        <v>158.50935232523875</v>
      </c>
      <c r="T383" s="79">
        <f>IFERROR(D383/D383,0)</f>
        <v>1</v>
      </c>
      <c r="U383" s="65">
        <f t="shared" si="5"/>
        <v>158.50935232523875</v>
      </c>
    </row>
    <row r="384" spans="1:21" ht="19.5" x14ac:dyDescent="0.25">
      <c r="A384" s="2" t="s">
        <v>388</v>
      </c>
      <c r="B384" s="168">
        <v>2536</v>
      </c>
      <c r="C384" s="169" t="str" cm="1">
        <f t="array" ref="C384">_xlfn.IFS(B384&lt;5000, "P1",B384&lt;20000, "P2",B384&lt;70000, "P3",B384&lt;100000, "P4",B384&lt;200000,"M1",B384&lt;500000,"M2",B384&lt;1000000,"G1",B384&gt;1000000,"G2")</f>
        <v>P1</v>
      </c>
      <c r="D384" s="170">
        <f>VLOOKUP(C384,Metodologia!A$2:H$9,8,FALSE)</f>
        <v>5.2963457913290126</v>
      </c>
      <c r="E384" s="171">
        <f>VLOOKUP(A384,Educacional!A$2:P$405,16,FALSE)</f>
        <v>31.42797292608061</v>
      </c>
      <c r="F384" s="171">
        <f>VLOOKUP(A384,Demográfico!A$2:L$405,12,FALSE)</f>
        <v>34.496989383818956</v>
      </c>
      <c r="G384" s="172">
        <f>VLOOKUP(A384,Socioeconômico!A$2:M$405,13,FALSE)</f>
        <v>57.042477792163758</v>
      </c>
      <c r="H384" s="173">
        <f>(2*E384+F384+2*G384)/5/100</f>
        <v>0.42287578164061546</v>
      </c>
      <c r="I384" s="170">
        <f>VLOOKUP(A384,Resultados!A$2:B782,2,FALSE)</f>
        <v>0</v>
      </c>
      <c r="J384" s="5">
        <f>IFERROR(VLOOKUP(A384,Demográfico!A$2:E$400,5,FALSE)/(VLOOKUP(C384,Metodologia!A$2:G$9,7,FALSE))*D384,0)</f>
        <v>3.8142642940702277E-2</v>
      </c>
      <c r="K384" s="72">
        <f>(J384*(1+H384)-I384)</f>
        <v>5.4272242888090655E-2</v>
      </c>
      <c r="L384" s="3">
        <v>0</v>
      </c>
      <c r="M384" s="66">
        <f>VLOOKUP(A384,Demográfico!A$2:E$400,5,FALSE)*H384</f>
        <v>141.24051106796557</v>
      </c>
      <c r="N384" s="68">
        <f>IFERROR(FLOOR(K384,1),0)</f>
        <v>0</v>
      </c>
      <c r="O384" s="68">
        <f>K384-N384</f>
        <v>5.4272242888090655E-2</v>
      </c>
      <c r="P384" s="65">
        <f>IFERROR(RANK(O384,O$2:O$400,0),0)</f>
        <v>376</v>
      </c>
      <c r="Q384" s="3">
        <f>N384+IF(P384&lt;P$1,1,0)</f>
        <v>0</v>
      </c>
      <c r="S384" s="65">
        <f>VLOOKUP(A384,Demográfico!A$2:E$400,5,FALSE)*(H384)</f>
        <v>141.24051106796557</v>
      </c>
      <c r="T384" s="79">
        <f>IFERROR(D384/D384,0)</f>
        <v>1</v>
      </c>
      <c r="U384" s="65">
        <f t="shared" si="5"/>
        <v>141.24051106796557</v>
      </c>
    </row>
    <row r="385" spans="1:21" ht="19.5" x14ac:dyDescent="0.25">
      <c r="A385" s="2" t="s">
        <v>389</v>
      </c>
      <c r="B385" s="168">
        <v>2493</v>
      </c>
      <c r="C385" s="169" t="str" cm="1">
        <f t="array" ref="C385">_xlfn.IFS(B385&lt;5000, "P1",B385&lt;20000, "P2",B385&lt;70000, "P3",B385&lt;100000, "P4",B385&lt;200000,"M1",B385&lt;500000,"M2",B385&lt;1000000,"G1",B385&gt;1000000,"G2")</f>
        <v>P1</v>
      </c>
      <c r="D385" s="170">
        <f>VLOOKUP(C385,Metodologia!A$2:H$9,8,FALSE)</f>
        <v>5.2963457913290126</v>
      </c>
      <c r="E385" s="171">
        <f>VLOOKUP(A385,Educacional!A$2:P$405,16,FALSE)</f>
        <v>21.579879264282926</v>
      </c>
      <c r="F385" s="171">
        <f>VLOOKUP(A385,Demográfico!A$2:L$405,12,FALSE)</f>
        <v>25.313894158747672</v>
      </c>
      <c r="G385" s="172">
        <f>VLOOKUP(A385,Socioeconômico!A$2:M$405,13,FALSE)</f>
        <v>60.121772349831268</v>
      </c>
      <c r="H385" s="173">
        <f>(2*E385+F385+2*G385)/5/100</f>
        <v>0.37743439477395213</v>
      </c>
      <c r="I385" s="170">
        <f>VLOOKUP(A385,Resultados!A$2:B783,2,FALSE)</f>
        <v>0</v>
      </c>
      <c r="J385" s="5">
        <f>IFERROR(VLOOKUP(A385,Demográfico!A$2:E$400,5,FALSE)/(VLOOKUP(C385,Metodologia!A$2:G$9,7,FALSE))*D385,0)</f>
        <v>3.288946457162352E-2</v>
      </c>
      <c r="K385" s="72">
        <f>(J385*(1+H385)-I385)</f>
        <v>4.5303079726653588E-2</v>
      </c>
      <c r="L385" s="3">
        <v>0</v>
      </c>
      <c r="M385" s="66">
        <f>VLOOKUP(A385,Demográfico!A$2:E$400,5,FALSE)*H385</f>
        <v>108.70110569489822</v>
      </c>
      <c r="N385" s="68">
        <f>IFERROR(FLOOR(K385,1),0)</f>
        <v>0</v>
      </c>
      <c r="O385" s="68">
        <f>K385-N385</f>
        <v>4.5303079726653588E-2</v>
      </c>
      <c r="P385" s="65">
        <f>IFERROR(RANK(O385,O$2:O$400,0),0)</f>
        <v>385</v>
      </c>
      <c r="Q385" s="3">
        <f>N385+IF(P385&lt;P$1,1,0)</f>
        <v>0</v>
      </c>
      <c r="S385" s="65">
        <f>VLOOKUP(A385,Demográfico!A$2:E$400,5,FALSE)*(H385)</f>
        <v>108.70110569489822</v>
      </c>
      <c r="T385" s="79">
        <f>IFERROR(D385/D385,0)</f>
        <v>1</v>
      </c>
      <c r="U385" s="65">
        <f t="shared" si="5"/>
        <v>108.70110569489822</v>
      </c>
    </row>
    <row r="386" spans="1:21" ht="19.5" x14ac:dyDescent="0.25">
      <c r="A386" s="2" t="s">
        <v>390</v>
      </c>
      <c r="B386" s="168">
        <v>2455</v>
      </c>
      <c r="C386" s="169" t="str" cm="1">
        <f t="array" ref="C386">_xlfn.IFS(B386&lt;5000, "P1",B386&lt;20000, "P2",B386&lt;70000, "P3",B386&lt;100000, "P4",B386&lt;200000,"M1",B386&lt;500000,"M2",B386&lt;1000000,"G1",B386&gt;1000000,"G2")</f>
        <v>P1</v>
      </c>
      <c r="D386" s="170">
        <f>VLOOKUP(C386,Metodologia!A$2:H$9,8,FALSE)</f>
        <v>5.2963457913290126</v>
      </c>
      <c r="E386" s="171">
        <f>VLOOKUP(A386,Educacional!A$2:P$405,16,FALSE)</f>
        <v>35.726041583773466</v>
      </c>
      <c r="F386" s="171">
        <f>VLOOKUP(A386,Demográfico!A$2:L$405,12,FALSE)</f>
        <v>34.250558466314203</v>
      </c>
      <c r="G386" s="172">
        <f>VLOOKUP(A386,Socioeconômico!A$2:M$405,13,FALSE)</f>
        <v>39.673672870059612</v>
      </c>
      <c r="H386" s="173">
        <f>(2*E386+F386+2*G386)/5/100</f>
        <v>0.37009997474796064</v>
      </c>
      <c r="I386" s="170">
        <f>VLOOKUP(A386,Resultados!A$2:B784,2,FALSE)</f>
        <v>0</v>
      </c>
      <c r="J386" s="5">
        <f>IFERROR(VLOOKUP(A386,Demográfico!A$2:E$400,5,FALSE)/(VLOOKUP(C386,Metodologia!A$2:G$9,7,FALSE))*D386,0)</f>
        <v>3.8827840119277771E-2</v>
      </c>
      <c r="K386" s="72">
        <f>(J386*(1+H386)-I386)</f>
        <v>5.3198022766940328E-2</v>
      </c>
      <c r="L386" s="3">
        <v>0</v>
      </c>
      <c r="M386" s="66">
        <f>VLOOKUP(A386,Demográfico!A$2:E$400,5,FALSE)*H386</f>
        <v>125.83399141430661</v>
      </c>
      <c r="N386" s="68">
        <f>IFERROR(FLOOR(K386,1),0)</f>
        <v>0</v>
      </c>
      <c r="O386" s="68">
        <f>K386-N386</f>
        <v>5.3198022766940328E-2</v>
      </c>
      <c r="P386" s="65">
        <f>IFERROR(RANK(O386,O$2:O$400,0),0)</f>
        <v>378</v>
      </c>
      <c r="Q386" s="3">
        <f>N386+IF(P386&lt;P$1,1,0)</f>
        <v>0</v>
      </c>
      <c r="S386" s="65">
        <f>VLOOKUP(A386,Demográfico!A$2:E$400,5,FALSE)*(H386)</f>
        <v>125.83399141430661</v>
      </c>
      <c r="T386" s="79">
        <f>IFERROR(D386/D386,0)</f>
        <v>1</v>
      </c>
      <c r="U386" s="65">
        <f t="shared" si="5"/>
        <v>125.83399141430661</v>
      </c>
    </row>
    <row r="387" spans="1:21" ht="19.5" x14ac:dyDescent="0.25">
      <c r="A387" s="2" t="s">
        <v>391</v>
      </c>
      <c r="B387" s="168">
        <v>2398</v>
      </c>
      <c r="C387" s="169" t="str" cm="1">
        <f t="array" ref="C387">_xlfn.IFS(B387&lt;5000, "P1",B387&lt;20000, "P2",B387&lt;70000, "P3",B387&lt;100000, "P4",B387&lt;200000,"M1",B387&lt;500000,"M2",B387&lt;1000000,"G1",B387&gt;1000000,"G2")</f>
        <v>P1</v>
      </c>
      <c r="D387" s="170">
        <f>VLOOKUP(C387,Metodologia!A$2:H$9,8,FALSE)</f>
        <v>5.2963457913290126</v>
      </c>
      <c r="E387" s="171">
        <f>VLOOKUP(A387,Educacional!A$2:P$405,16,FALSE)</f>
        <v>45.393032853594171</v>
      </c>
      <c r="F387" s="171">
        <f>VLOOKUP(A387,Demográfico!A$2:L$405,12,FALSE)</f>
        <v>42.454141781360249</v>
      </c>
      <c r="G387" s="172">
        <f>VLOOKUP(A387,Socioeconômico!A$2:M$405,13,FALSE)</f>
        <v>60.025668263919449</v>
      </c>
      <c r="H387" s="173">
        <f>(2*E387+F387+2*G387)/5/100</f>
        <v>0.50658308803277496</v>
      </c>
      <c r="I387" s="170">
        <f>VLOOKUP(A387,Resultados!A$2:B785,2,FALSE)</f>
        <v>0</v>
      </c>
      <c r="J387" s="5">
        <f>IFERROR(VLOOKUP(A387,Demográfico!A$2:E$400,5,FALSE)/(VLOOKUP(C387,Metodologia!A$2:G$9,7,FALSE))*D387,0)</f>
        <v>4.1340229774054563E-2</v>
      </c>
      <c r="K387" s="72">
        <f>(J387*(1+H387)-I387)</f>
        <v>6.2282491032979587E-2</v>
      </c>
      <c r="L387" s="3">
        <v>0</v>
      </c>
      <c r="M387" s="66">
        <f>VLOOKUP(A387,Demográfico!A$2:E$400,5,FALSE)*H387</f>
        <v>183.38307786786453</v>
      </c>
      <c r="N387" s="68">
        <f>IFERROR(FLOOR(K387,1),0)</f>
        <v>0</v>
      </c>
      <c r="O387" s="68">
        <f>K387-N387</f>
        <v>6.2282491032979587E-2</v>
      </c>
      <c r="P387" s="65">
        <f>IFERROR(RANK(O387,O$2:O$400,0),0)</f>
        <v>364</v>
      </c>
      <c r="Q387" s="3">
        <f>N387+IF(P387&lt;P$1,1,0)</f>
        <v>0</v>
      </c>
      <c r="S387" s="65">
        <f>VLOOKUP(A387,Demográfico!A$2:E$400,5,FALSE)*(H387)</f>
        <v>183.38307786786453</v>
      </c>
      <c r="T387" s="79">
        <f>IFERROR(D387/D387,0)</f>
        <v>1</v>
      </c>
      <c r="U387" s="65">
        <f t="shared" ref="U387:U400" si="6">S387*T387</f>
        <v>183.38307786786453</v>
      </c>
    </row>
    <row r="388" spans="1:21" ht="19.5" x14ac:dyDescent="0.25">
      <c r="A388" s="2" t="s">
        <v>392</v>
      </c>
      <c r="B388" s="168">
        <v>2343</v>
      </c>
      <c r="C388" s="169" t="str" cm="1">
        <f t="array" ref="C388">_xlfn.IFS(B388&lt;5000, "P1",B388&lt;20000, "P2",B388&lt;70000, "P3",B388&lt;100000, "P4",B388&lt;200000,"M1",B388&lt;500000,"M2",B388&lt;1000000,"G1",B388&gt;1000000,"G2")</f>
        <v>P1</v>
      </c>
      <c r="D388" s="170">
        <f>VLOOKUP(C388,Metodologia!A$2:H$9,8,FALSE)</f>
        <v>5.2963457913290126</v>
      </c>
      <c r="E388" s="171">
        <f>VLOOKUP(A388,Educacional!A$2:P$405,16,FALSE)</f>
        <v>52.154792056879842</v>
      </c>
      <c r="F388" s="171">
        <f>VLOOKUP(A388,Demográfico!A$2:L$405,12,FALSE)</f>
        <v>26.489870721555413</v>
      </c>
      <c r="G388" s="172">
        <f>VLOOKUP(A388,Socioeconômico!A$2:M$405,13,FALSE)</f>
        <v>42.066246190473478</v>
      </c>
      <c r="H388" s="173">
        <f>(2*E388+F388+2*G388)/5/100</f>
        <v>0.42986389443252404</v>
      </c>
      <c r="I388" s="170">
        <f>VLOOKUP(A388,Resultados!A$2:B786,2,FALSE)</f>
        <v>0</v>
      </c>
      <c r="J388" s="5">
        <f>IFERROR(VLOOKUP(A388,Demográfico!A$2:E$400,5,FALSE)/(VLOOKUP(C388,Metodologia!A$2:G$9,7,FALSE))*D388,0)</f>
        <v>3.1062272095422217E-2</v>
      </c>
      <c r="K388" s="72">
        <f>(J388*(1+H388)-I388)</f>
        <v>4.4414821348283132E-2</v>
      </c>
      <c r="L388" s="3">
        <v>0</v>
      </c>
      <c r="M388" s="66">
        <f>VLOOKUP(A388,Demográfico!A$2:E$400,5,FALSE)*H388</f>
        <v>116.92297928564653</v>
      </c>
      <c r="N388" s="68">
        <f>IFERROR(FLOOR(K388,1),0)</f>
        <v>0</v>
      </c>
      <c r="O388" s="68">
        <f>K388-N388</f>
        <v>4.4414821348283132E-2</v>
      </c>
      <c r="P388" s="65">
        <f>IFERROR(RANK(O388,O$2:O$400,0),0)</f>
        <v>387</v>
      </c>
      <c r="Q388" s="3">
        <f>N388+IF(P388&lt;P$1,1,0)</f>
        <v>0</v>
      </c>
      <c r="S388" s="65">
        <f>VLOOKUP(A388,Demográfico!A$2:E$400,5,FALSE)*(H388)</f>
        <v>116.92297928564653</v>
      </c>
      <c r="T388" s="79">
        <f>IFERROR(D388/D388,0)</f>
        <v>1</v>
      </c>
      <c r="U388" s="65">
        <f t="shared" si="6"/>
        <v>116.92297928564653</v>
      </c>
    </row>
    <row r="389" spans="1:21" ht="19.5" x14ac:dyDescent="0.25">
      <c r="A389" s="2" t="s">
        <v>393</v>
      </c>
      <c r="B389" s="168">
        <v>2329</v>
      </c>
      <c r="C389" s="169" t="str" cm="1">
        <f t="array" ref="C389">_xlfn.IFS(B389&lt;5000, "P1",B389&lt;20000, "P2",B389&lt;70000, "P3",B389&lt;100000, "P4",B389&lt;200000,"M1",B389&lt;500000,"M2",B389&lt;1000000,"G1",B389&gt;1000000,"G2")</f>
        <v>P1</v>
      </c>
      <c r="D389" s="170">
        <f>VLOOKUP(C389,Metodologia!A$2:H$9,8,FALSE)</f>
        <v>5.2963457913290126</v>
      </c>
      <c r="E389" s="171">
        <f>VLOOKUP(A389,Educacional!A$2:P$405,16,FALSE)</f>
        <v>32.434239018648256</v>
      </c>
      <c r="F389" s="171">
        <f>VLOOKUP(A389,Demográfico!A$2:L$405,12,FALSE)</f>
        <v>29.121971810739964</v>
      </c>
      <c r="G389" s="172">
        <f>VLOOKUP(A389,Socioeconômico!A$2:M$405,13,FALSE)</f>
        <v>56.879405105968708</v>
      </c>
      <c r="H389" s="173">
        <f>(2*E389+F389+2*G389)/5/100</f>
        <v>0.41549852011994781</v>
      </c>
      <c r="I389" s="170">
        <f>VLOOKUP(A389,Resultados!A$2:B787,2,FALSE)</f>
        <v>0</v>
      </c>
      <c r="J389" s="5">
        <f>IFERROR(VLOOKUP(A389,Demográfico!A$2:E$400,5,FALSE)/(VLOOKUP(C389,Metodologia!A$2:G$9,7,FALSE))*D389,0)</f>
        <v>3.3688861279961589E-2</v>
      </c>
      <c r="K389" s="72">
        <f>(J389*(1+H389)-I389)</f>
        <v>4.7686533286311845E-2</v>
      </c>
      <c r="L389" s="3">
        <v>0</v>
      </c>
      <c r="M389" s="66">
        <f>VLOOKUP(A389,Demográfico!A$2:E$400,5,FALSE)*H389</f>
        <v>122.57206343538461</v>
      </c>
      <c r="N389" s="68">
        <f>IFERROR(FLOOR(K389,1),0)</f>
        <v>0</v>
      </c>
      <c r="O389" s="68">
        <f>K389-N389</f>
        <v>4.7686533286311845E-2</v>
      </c>
      <c r="P389" s="65">
        <f>IFERROR(RANK(O389,O$2:O$400,0),0)</f>
        <v>383</v>
      </c>
      <c r="Q389" s="3">
        <f>N389+IF(P389&lt;P$1,1,0)</f>
        <v>0</v>
      </c>
      <c r="S389" s="65">
        <f>VLOOKUP(A389,Demográfico!A$2:E$400,5,FALSE)*(H389)</f>
        <v>122.57206343538461</v>
      </c>
      <c r="T389" s="79">
        <f>IFERROR(D389/D389,0)</f>
        <v>1</v>
      </c>
      <c r="U389" s="65">
        <f t="shared" si="6"/>
        <v>122.57206343538461</v>
      </c>
    </row>
    <row r="390" spans="1:21" ht="19.5" x14ac:dyDescent="0.25">
      <c r="A390" s="2" t="s">
        <v>394</v>
      </c>
      <c r="B390" s="168">
        <v>2238</v>
      </c>
      <c r="C390" s="169" t="str" cm="1">
        <f t="array" ref="C390">_xlfn.IFS(B390&lt;5000, "P1",B390&lt;20000, "P2",B390&lt;70000, "P3",B390&lt;100000, "P4",B390&lt;200000,"M1",B390&lt;500000,"M2",B390&lt;1000000,"G1",B390&gt;1000000,"G2")</f>
        <v>P1</v>
      </c>
      <c r="D390" s="170">
        <f>VLOOKUP(C390,Metodologia!A$2:H$9,8,FALSE)</f>
        <v>5.2963457913290126</v>
      </c>
      <c r="E390" s="171">
        <f>VLOOKUP(A390,Educacional!A$2:P$405,16,FALSE)</f>
        <v>49.764523520226064</v>
      </c>
      <c r="F390" s="171">
        <f>VLOOKUP(A390,Demográfico!A$2:L$405,12,FALSE)</f>
        <v>41.066194187297448</v>
      </c>
      <c r="G390" s="172">
        <f>VLOOKUP(A390,Socioeconômico!A$2:M$405,13,FALSE)</f>
        <v>41.676977981657402</v>
      </c>
      <c r="H390" s="173">
        <f>(2*E390+F390+2*G390)/5/100</f>
        <v>0.44789839438212875</v>
      </c>
      <c r="I390" s="170">
        <f>VLOOKUP(A390,Resultados!A$2:B788,2,FALSE)</f>
        <v>0</v>
      </c>
      <c r="J390" s="5">
        <f>IFERROR(VLOOKUP(A390,Demográfico!A$2:E$400,5,FALSE)/(VLOOKUP(C390,Metodologia!A$2:G$9,7,FALSE))*D390,0)</f>
        <v>3.6543849524026131E-2</v>
      </c>
      <c r="K390" s="72">
        <f>(J390*(1+H390)-I390)</f>
        <v>5.2911781050379553E-2</v>
      </c>
      <c r="L390" s="3">
        <v>0</v>
      </c>
      <c r="M390" s="66">
        <f>VLOOKUP(A390,Demográfico!A$2:E$400,5,FALSE)*H390</f>
        <v>143.32748620228119</v>
      </c>
      <c r="N390" s="68">
        <f>IFERROR(FLOOR(K390,1),0)</f>
        <v>0</v>
      </c>
      <c r="O390" s="68">
        <f>K390-N390</f>
        <v>5.2911781050379553E-2</v>
      </c>
      <c r="P390" s="65">
        <f>IFERROR(RANK(O390,O$2:O$400,0),0)</f>
        <v>379</v>
      </c>
      <c r="Q390" s="3">
        <f>N390+IF(P390&lt;P$1,1,0)</f>
        <v>0</v>
      </c>
      <c r="S390" s="65">
        <f>VLOOKUP(A390,Demográfico!A$2:E$400,5,FALSE)*(H390)</f>
        <v>143.32748620228119</v>
      </c>
      <c r="T390" s="79">
        <f>IFERROR(D390/D390,0)</f>
        <v>1</v>
      </c>
      <c r="U390" s="65">
        <f t="shared" si="6"/>
        <v>143.32748620228119</v>
      </c>
    </row>
    <row r="391" spans="1:21" ht="19.5" x14ac:dyDescent="0.25">
      <c r="A391" s="2" t="s">
        <v>395</v>
      </c>
      <c r="B391" s="168">
        <v>2191</v>
      </c>
      <c r="C391" s="169" t="str" cm="1">
        <f t="array" ref="C391">_xlfn.IFS(B391&lt;5000, "P1",B391&lt;20000, "P2",B391&lt;70000, "P3",B391&lt;100000, "P4",B391&lt;200000,"M1",B391&lt;500000,"M2",B391&lt;1000000,"G1",B391&gt;1000000,"G2")</f>
        <v>P1</v>
      </c>
      <c r="D391" s="170">
        <f>VLOOKUP(C391,Metodologia!A$2:H$9,8,FALSE)</f>
        <v>5.2963457913290126</v>
      </c>
      <c r="E391" s="171">
        <f>VLOOKUP(A391,Educacional!A$2:P$405,16,FALSE)</f>
        <v>29.557440398527561</v>
      </c>
      <c r="F391" s="171">
        <f>VLOOKUP(A391,Demográfico!A$2:L$405,12,FALSE)</f>
        <v>91.025409407551322</v>
      </c>
      <c r="G391" s="172">
        <f>VLOOKUP(A391,Socioeconômico!A$2:M$405,13,FALSE)</f>
        <v>44.383852140641949</v>
      </c>
      <c r="H391" s="173">
        <f>(2*E391+F391+2*G391)/5/100</f>
        <v>0.47781598897178074</v>
      </c>
      <c r="I391" s="170">
        <f>VLOOKUP(A391,Resultados!A$2:B789,2,FALSE)</f>
        <v>0</v>
      </c>
      <c r="J391" s="5">
        <f>IFERROR(VLOOKUP(A391,Demográfico!A$2:E$400,5,FALSE)/(VLOOKUP(C391,Metodologia!A$2:G$9,7,FALSE))*D391,0)</f>
        <v>2.9691877738271231E-2</v>
      </c>
      <c r="K391" s="72">
        <f>(J391*(1+H391)-I391)</f>
        <v>4.3879131664212499E-2</v>
      </c>
      <c r="L391" s="3">
        <v>0</v>
      </c>
      <c r="M391" s="66">
        <f>VLOOKUP(A391,Demográfico!A$2:E$400,5,FALSE)*H391</f>
        <v>124.23215713266299</v>
      </c>
      <c r="N391" s="68">
        <f>IFERROR(FLOOR(K391,1),0)</f>
        <v>0</v>
      </c>
      <c r="O391" s="68">
        <f>K391-N391</f>
        <v>4.3879131664212499E-2</v>
      </c>
      <c r="P391" s="65">
        <f>IFERROR(RANK(O391,O$2:O$400,0),0)</f>
        <v>388</v>
      </c>
      <c r="Q391" s="3">
        <f>N391+IF(P391&lt;P$1,1,0)</f>
        <v>0</v>
      </c>
      <c r="S391" s="65">
        <f>VLOOKUP(A391,Demográfico!A$2:E$400,5,FALSE)*(H391)</f>
        <v>124.23215713266299</v>
      </c>
      <c r="T391" s="79">
        <f>IFERROR(D391/D391,0)</f>
        <v>1</v>
      </c>
      <c r="U391" s="65">
        <f t="shared" si="6"/>
        <v>124.23215713266299</v>
      </c>
    </row>
    <row r="392" spans="1:21" ht="19.5" x14ac:dyDescent="0.25">
      <c r="A392" s="2" t="s">
        <v>396</v>
      </c>
      <c r="B392" s="168">
        <v>2144</v>
      </c>
      <c r="C392" s="169" t="str" cm="1">
        <f t="array" ref="C392">_xlfn.IFS(B392&lt;5000, "P1",B392&lt;20000, "P2",B392&lt;70000, "P3",B392&lt;100000, "P4",B392&lt;200000,"M1",B392&lt;500000,"M2",B392&lt;1000000,"G1",B392&gt;1000000,"G2")</f>
        <v>P1</v>
      </c>
      <c r="D392" s="170">
        <f>VLOOKUP(C392,Metodologia!A$2:H$9,8,FALSE)</f>
        <v>5.2963457913290126</v>
      </c>
      <c r="E392" s="171">
        <f>VLOOKUP(A392,Educacional!A$2:P$405,16,FALSE)</f>
        <v>31.494047854488617</v>
      </c>
      <c r="F392" s="171">
        <f>VLOOKUP(A392,Demográfico!A$2:L$405,12,FALSE)</f>
        <v>13.480860734514129</v>
      </c>
      <c r="G392" s="172">
        <f>VLOOKUP(A392,Socioeconômico!A$2:M$405,13,FALSE)</f>
        <v>40.225021950172497</v>
      </c>
      <c r="H392" s="173">
        <f>(2*E392+F392+2*G392)/5/100</f>
        <v>0.3138380006876727</v>
      </c>
      <c r="I392" s="170">
        <f>VLOOKUP(A392,Resultados!A$2:B790,2,FALSE)</f>
        <v>0</v>
      </c>
      <c r="J392" s="5">
        <f>IFERROR(VLOOKUP(A392,Demográfico!A$2:E$400,5,FALSE)/(VLOOKUP(C392,Metodologia!A$2:G$9,7,FALSE))*D392,0)</f>
        <v>2.7750485732307345E-2</v>
      </c>
      <c r="K392" s="72">
        <f>(J392*(1+H392)-I392)</f>
        <v>3.6459642692646468E-2</v>
      </c>
      <c r="L392" s="3">
        <v>0</v>
      </c>
      <c r="M392" s="66">
        <f>VLOOKUP(A392,Demográfico!A$2:E$400,5,FALSE)*H392</f>
        <v>76.262634167104466</v>
      </c>
      <c r="N392" s="68">
        <f>IFERROR(FLOOR(K392,1),0)</f>
        <v>0</v>
      </c>
      <c r="O392" s="68">
        <f>K392-N392</f>
        <v>3.6459642692646468E-2</v>
      </c>
      <c r="P392" s="65">
        <f>IFERROR(RANK(O392,O$2:O$400,0),0)</f>
        <v>392</v>
      </c>
      <c r="Q392" s="3">
        <f>N392+IF(P392&lt;P$1,1,0)</f>
        <v>0</v>
      </c>
      <c r="S392" s="65">
        <f>VLOOKUP(A392,Demográfico!A$2:E$400,5,FALSE)*(H392)</f>
        <v>76.262634167104466</v>
      </c>
      <c r="T392" s="79">
        <f>IFERROR(D392/D392,0)</f>
        <v>1</v>
      </c>
      <c r="U392" s="65">
        <f t="shared" si="6"/>
        <v>76.262634167104466</v>
      </c>
    </row>
    <row r="393" spans="1:21" ht="19.5" x14ac:dyDescent="0.25">
      <c r="A393" s="2" t="s">
        <v>397</v>
      </c>
      <c r="B393" s="168">
        <v>2138</v>
      </c>
      <c r="C393" s="169" t="str" cm="1">
        <f t="array" ref="C393">_xlfn.IFS(B393&lt;5000, "P1",B393&lt;20000, "P2",B393&lt;70000, "P3",B393&lt;100000, "P4",B393&lt;200000,"M1",B393&lt;500000,"M2",B393&lt;1000000,"G1",B393&gt;1000000,"G2")</f>
        <v>P1</v>
      </c>
      <c r="D393" s="170">
        <f>VLOOKUP(C393,Metodologia!A$2:H$9,8,FALSE)</f>
        <v>5.2963457913290126</v>
      </c>
      <c r="E393" s="171">
        <f>VLOOKUP(A393,Educacional!A$2:P$405,16,FALSE)</f>
        <v>33.01247559273299</v>
      </c>
      <c r="F393" s="171">
        <f>VLOOKUP(A393,Demográfico!A$2:L$405,12,FALSE)</f>
        <v>27.024439702584598</v>
      </c>
      <c r="G393" s="172">
        <f>VLOOKUP(A393,Socioeconômico!A$2:M$405,13,FALSE)</f>
        <v>32.948948883875694</v>
      </c>
      <c r="H393" s="173">
        <f>(2*E393+F393+2*G393)/5/100</f>
        <v>0.31789457731160392</v>
      </c>
      <c r="I393" s="170">
        <f>VLOOKUP(A393,Resultados!A$2:B791,2,FALSE)</f>
        <v>0</v>
      </c>
      <c r="J393" s="5">
        <f>IFERROR(VLOOKUP(A393,Demográfico!A$2:E$400,5,FALSE)/(VLOOKUP(C393,Metodologia!A$2:G$9,7,FALSE))*D393,0)</f>
        <v>2.8321483381120251E-2</v>
      </c>
      <c r="K393" s="72">
        <f>(J393*(1+H393)-I393)</f>
        <v>3.7324729369399089E-2</v>
      </c>
      <c r="L393" s="3">
        <v>0</v>
      </c>
      <c r="M393" s="66">
        <f>VLOOKUP(A393,Demográfico!A$2:E$400,5,FALSE)*H393</f>
        <v>78.837855173277774</v>
      </c>
      <c r="N393" s="68">
        <f>IFERROR(FLOOR(K393,1),0)</f>
        <v>0</v>
      </c>
      <c r="O393" s="68">
        <f>K393-N393</f>
        <v>3.7324729369399089E-2</v>
      </c>
      <c r="P393" s="65">
        <f>IFERROR(RANK(O393,O$2:O$400,0),0)</f>
        <v>391</v>
      </c>
      <c r="Q393" s="3">
        <f>N393+IF(P393&lt;P$1,1,0)</f>
        <v>0</v>
      </c>
      <c r="S393" s="65">
        <f>VLOOKUP(A393,Demográfico!A$2:E$400,5,FALSE)*(H393)</f>
        <v>78.837855173277774</v>
      </c>
      <c r="T393" s="79">
        <f>IFERROR(D393/D393,0)</f>
        <v>1</v>
      </c>
      <c r="U393" s="65">
        <f t="shared" si="6"/>
        <v>78.837855173277774</v>
      </c>
    </row>
    <row r="394" spans="1:21" ht="19.5" x14ac:dyDescent="0.25">
      <c r="A394" s="2" t="s">
        <v>398</v>
      </c>
      <c r="B394" s="168">
        <v>2136</v>
      </c>
      <c r="C394" s="169" t="str" cm="1">
        <f t="array" ref="C394">_xlfn.IFS(B394&lt;5000, "P1",B394&lt;20000, "P2",B394&lt;70000, "P3",B394&lt;100000, "P4",B394&lt;200000,"M1",B394&lt;500000,"M2",B394&lt;1000000,"G1",B394&gt;1000000,"G2")</f>
        <v>P1</v>
      </c>
      <c r="D394" s="170">
        <f>VLOOKUP(C394,Metodologia!A$2:H$9,8,FALSE)</f>
        <v>5.2963457913290126</v>
      </c>
      <c r="E394" s="171">
        <f>VLOOKUP(A394,Educacional!A$2:P$405,16,FALSE)</f>
        <v>43.035022813229716</v>
      </c>
      <c r="F394" s="171">
        <f>VLOOKUP(A394,Demográfico!A$2:L$405,12,FALSE)</f>
        <v>19.554546447220623</v>
      </c>
      <c r="G394" s="172">
        <f>VLOOKUP(A394,Socioeconômico!A$2:M$405,13,FALSE)</f>
        <v>40.428738038419063</v>
      </c>
      <c r="H394" s="173">
        <f>(2*E394+F394+2*G394)/5/100</f>
        <v>0.37296413630103631</v>
      </c>
      <c r="I394" s="170">
        <f>VLOOKUP(A394,Resultados!A$2:B792,2,FALSE)</f>
        <v>0</v>
      </c>
      <c r="J394" s="5">
        <f>IFERROR(VLOOKUP(A394,Demográfico!A$2:E$400,5,FALSE)/(VLOOKUP(C394,Metodologia!A$2:G$9,7,FALSE))*D394,0)</f>
        <v>3.0605473976371887E-2</v>
      </c>
      <c r="K394" s="72">
        <f>(J394*(1+H394)-I394)</f>
        <v>4.2020218144053274E-2</v>
      </c>
      <c r="L394" s="3">
        <v>0</v>
      </c>
      <c r="M394" s="66">
        <f>VLOOKUP(A394,Demográfico!A$2:E$400,5,FALSE)*H394</f>
        <v>99.954388528677725</v>
      </c>
      <c r="N394" s="68">
        <f>IFERROR(FLOOR(K394,1),0)</f>
        <v>0</v>
      </c>
      <c r="O394" s="68">
        <f>K394-N394</f>
        <v>4.2020218144053274E-2</v>
      </c>
      <c r="P394" s="65">
        <f>IFERROR(RANK(O394,O$2:O$400,0),0)</f>
        <v>389</v>
      </c>
      <c r="Q394" s="3">
        <f>N394+IF(P394&lt;P$1,1,0)</f>
        <v>0</v>
      </c>
      <c r="S394" s="65">
        <f>VLOOKUP(A394,Demográfico!A$2:E$400,5,FALSE)*(H394)</f>
        <v>99.954388528677725</v>
      </c>
      <c r="T394" s="79">
        <f>IFERROR(D394/D394,0)</f>
        <v>1</v>
      </c>
      <c r="U394" s="65">
        <f t="shared" si="6"/>
        <v>99.954388528677725</v>
      </c>
    </row>
    <row r="395" spans="1:21" ht="19.5" x14ac:dyDescent="0.25">
      <c r="A395" s="2" t="s">
        <v>399</v>
      </c>
      <c r="B395" s="168">
        <v>2125</v>
      </c>
      <c r="C395" s="169" t="str" cm="1">
        <f t="array" ref="C395">_xlfn.IFS(B395&lt;5000, "P1",B395&lt;20000, "P2",B395&lt;70000, "P3",B395&lt;100000, "P4",B395&lt;200000,"M1",B395&lt;500000,"M2",B395&lt;1000000,"G1",B395&gt;1000000,"G2")</f>
        <v>P1</v>
      </c>
      <c r="D395" s="170">
        <f>VLOOKUP(C395,Metodologia!A$2:H$9,8,FALSE)</f>
        <v>5.2963457913290126</v>
      </c>
      <c r="E395" s="171">
        <f>VLOOKUP(A395,Educacional!A$2:P$405,16,FALSE)</f>
        <v>13.908011414605115</v>
      </c>
      <c r="F395" s="171">
        <f>VLOOKUP(A395,Demográfico!A$2:L$405,12,FALSE)</f>
        <v>29.805038742858692</v>
      </c>
      <c r="G395" s="172">
        <f>VLOOKUP(A395,Socioeconômico!A$2:M$405,13,FALSE)</f>
        <v>47.60280717997567</v>
      </c>
      <c r="H395" s="173">
        <f>(2*E395+F395+2*G395)/5/100</f>
        <v>0.30565335186404052</v>
      </c>
      <c r="I395" s="170">
        <f>VLOOKUP(A395,Resultados!A$2:B793,2,FALSE)</f>
        <v>0</v>
      </c>
      <c r="J395" s="5">
        <f>IFERROR(VLOOKUP(A395,Demográfico!A$2:E$400,5,FALSE)/(VLOOKUP(C395,Metodologia!A$2:G$9,7,FALSE))*D395,0)</f>
        <v>2.8778281500170581E-2</v>
      </c>
      <c r="K395" s="72">
        <f>(J395*(1+H395)-I395)</f>
        <v>3.7574459701584628E-2</v>
      </c>
      <c r="L395" s="3">
        <v>0</v>
      </c>
      <c r="M395" s="66">
        <f>VLOOKUP(A395,Demográfico!A$2:E$400,5,FALSE)*H395</f>
        <v>77.024644669738208</v>
      </c>
      <c r="N395" s="68">
        <f>IFERROR(FLOOR(K395,1),0)</f>
        <v>0</v>
      </c>
      <c r="O395" s="68">
        <f>K395-N395</f>
        <v>3.7574459701584628E-2</v>
      </c>
      <c r="P395" s="65">
        <f>IFERROR(RANK(O395,O$2:O$400,0),0)</f>
        <v>390</v>
      </c>
      <c r="Q395" s="3">
        <f>N395+IF(P395&lt;P$1,1,0)</f>
        <v>0</v>
      </c>
      <c r="S395" s="65">
        <f>VLOOKUP(A395,Demográfico!A$2:E$400,5,FALSE)*(H395)</f>
        <v>77.024644669738208</v>
      </c>
      <c r="T395" s="79">
        <f>IFERROR(D395/D395,0)</f>
        <v>1</v>
      </c>
      <c r="U395" s="65">
        <f t="shared" si="6"/>
        <v>77.024644669738208</v>
      </c>
    </row>
    <row r="396" spans="1:21" ht="19.5" x14ac:dyDescent="0.25">
      <c r="A396" s="2" t="s">
        <v>400</v>
      </c>
      <c r="B396" s="168">
        <v>1966</v>
      </c>
      <c r="C396" s="169" t="str" cm="1">
        <f t="array" ref="C396">_xlfn.IFS(B396&lt;5000, "P1",B396&lt;20000, "P2",B396&lt;70000, "P3",B396&lt;100000, "P4",B396&lt;200000,"M1",B396&lt;500000,"M2",B396&lt;1000000,"G1",B396&gt;1000000,"G2")</f>
        <v>P1</v>
      </c>
      <c r="D396" s="170">
        <f>VLOOKUP(C396,Metodologia!A$2:H$9,8,FALSE)</f>
        <v>5.2963457913290126</v>
      </c>
      <c r="E396" s="171">
        <f>VLOOKUP(A396,Educacional!A$2:P$405,16,FALSE)</f>
        <v>41.554757797856062</v>
      </c>
      <c r="F396" s="171">
        <f>VLOOKUP(A396,Demográfico!A$2:L$405,12,FALSE)</f>
        <v>0</v>
      </c>
      <c r="G396" s="172">
        <f>VLOOKUP(A396,Socioeconômico!A$2:M$405,13,FALSE)</f>
        <v>40.267640713131414</v>
      </c>
      <c r="H396" s="173">
        <f>(2*E396+F396+2*G396)/5/100</f>
        <v>0.32728959404394992</v>
      </c>
      <c r="I396" s="170">
        <f>VLOOKUP(A396,Resultados!A$2:B794,2,FALSE)</f>
        <v>0</v>
      </c>
      <c r="J396" s="5">
        <f>IFERROR(VLOOKUP(A396,Demográfico!A$2:E$400,5,FALSE)/(VLOOKUP(C396,Metodologia!A$2:G$9,7,FALSE))*D396,0)</f>
        <v>2.6151692315631202E-2</v>
      </c>
      <c r="K396" s="72">
        <f>(J396*(1+H396)-I396)</f>
        <v>3.4710869077176423E-2</v>
      </c>
      <c r="L396" s="3">
        <v>0</v>
      </c>
      <c r="M396" s="66">
        <f>VLOOKUP(A396,Demográfico!A$2:E$400,5,FALSE)*H396</f>
        <v>74.949317036064528</v>
      </c>
      <c r="N396" s="68">
        <f>IFERROR(FLOOR(K396,1),0)</f>
        <v>0</v>
      </c>
      <c r="O396" s="68">
        <f>K396-N396</f>
        <v>3.4710869077176423E-2</v>
      </c>
      <c r="P396" s="65">
        <f>IFERROR(RANK(O396,O$2:O$400,0),0)</f>
        <v>394</v>
      </c>
      <c r="Q396" s="3">
        <f>N396+IF(P396&lt;P$1,1,0)</f>
        <v>0</v>
      </c>
      <c r="S396" s="65">
        <f>VLOOKUP(A396,Demográfico!A$2:E$400,5,FALSE)*(H396)</f>
        <v>74.949317036064528</v>
      </c>
      <c r="T396" s="79">
        <f>IFERROR(D396/D396,0)</f>
        <v>1</v>
      </c>
      <c r="U396" s="65">
        <f t="shared" si="6"/>
        <v>74.949317036064528</v>
      </c>
    </row>
    <row r="397" spans="1:21" ht="19.5" x14ac:dyDescent="0.25">
      <c r="A397" s="2" t="s">
        <v>401</v>
      </c>
      <c r="B397" s="168">
        <v>1849</v>
      </c>
      <c r="C397" s="169" t="str" cm="1">
        <f t="array" ref="C397">_xlfn.IFS(B397&lt;5000, "P1",B397&lt;20000, "P2",B397&lt;70000, "P3",B397&lt;100000, "P4",B397&lt;200000,"M1",B397&lt;500000,"M2",B397&lt;1000000,"G1",B397&gt;1000000,"G2")</f>
        <v>P1</v>
      </c>
      <c r="D397" s="170">
        <f>VLOOKUP(C397,Metodologia!A$2:H$9,8,FALSE)</f>
        <v>5.2963457913290126</v>
      </c>
      <c r="E397" s="171">
        <f>VLOOKUP(A397,Educacional!A$2:P$405,16,FALSE)</f>
        <v>35.536536589983498</v>
      </c>
      <c r="F397" s="171">
        <f>VLOOKUP(A397,Demográfico!A$2:L$405,12,FALSE)</f>
        <v>11.495919322388497</v>
      </c>
      <c r="G397" s="172">
        <f>VLOOKUP(A397,Socioeconômico!A$2:M$405,13,FALSE)</f>
        <v>48.860782629876262</v>
      </c>
      <c r="H397" s="173">
        <f>(2*E397+F397+2*G397)/5/100</f>
        <v>0.36058111552421607</v>
      </c>
      <c r="I397" s="170">
        <f>VLOOKUP(A397,Resultados!A$2:B795,2,FALSE)</f>
        <v>0</v>
      </c>
      <c r="J397" s="5">
        <f>IFERROR(VLOOKUP(A397,Demográfico!A$2:E$400,5,FALSE)/(VLOOKUP(C397,Metodologia!A$2:G$9,7,FALSE))*D397,0)</f>
        <v>2.5580694666818293E-2</v>
      </c>
      <c r="K397" s="72">
        <f>(J397*(1+H397)-I397)</f>
        <v>3.4804610085663996E-2</v>
      </c>
      <c r="L397" s="3">
        <v>0</v>
      </c>
      <c r="M397" s="66">
        <f>VLOOKUP(A397,Demográfico!A$2:E$400,5,FALSE)*H397</f>
        <v>80.770169877424394</v>
      </c>
      <c r="N397" s="68">
        <f>IFERROR(FLOOR(K397,1),0)</f>
        <v>0</v>
      </c>
      <c r="O397" s="68">
        <f>K397-N397</f>
        <v>3.4804610085663996E-2</v>
      </c>
      <c r="P397" s="65">
        <f>IFERROR(RANK(O397,O$2:O$400,0),0)</f>
        <v>393</v>
      </c>
      <c r="Q397" s="3">
        <f>N397+IF(P397&lt;P$1,1,0)</f>
        <v>0</v>
      </c>
      <c r="S397" s="65">
        <f>VLOOKUP(A397,Demográfico!A$2:E$400,5,FALSE)*(H397)</f>
        <v>80.770169877424394</v>
      </c>
      <c r="T397" s="79">
        <f>IFERROR(D397/D397,0)</f>
        <v>1</v>
      </c>
      <c r="U397" s="65">
        <f t="shared" si="6"/>
        <v>80.770169877424394</v>
      </c>
    </row>
    <row r="398" spans="1:21" ht="19.5" x14ac:dyDescent="0.25">
      <c r="A398" s="2" t="s">
        <v>402</v>
      </c>
      <c r="B398" s="168">
        <v>1748</v>
      </c>
      <c r="C398" s="169" t="str" cm="1">
        <f t="array" ref="C398">_xlfn.IFS(B398&lt;5000, "P1",B398&lt;20000, "P2",B398&lt;70000, "P3",B398&lt;100000, "P4",B398&lt;200000,"M1",B398&lt;500000,"M2",B398&lt;1000000,"G1",B398&gt;1000000,"G2")</f>
        <v>P1</v>
      </c>
      <c r="D398" s="170">
        <f>VLOOKUP(C398,Metodologia!A$2:H$9,8,FALSE)</f>
        <v>5.2963457913290126</v>
      </c>
      <c r="E398" s="171">
        <f>VLOOKUP(A398,Educacional!A$2:P$405,16,FALSE)</f>
        <v>35.832959467610856</v>
      </c>
      <c r="F398" s="171">
        <f>VLOOKUP(A398,Demográfico!A$2:L$405,12,FALSE)</f>
        <v>34.975746747263464</v>
      </c>
      <c r="G398" s="172">
        <f>VLOOKUP(A398,Socioeconômico!A$2:M$405,13,FALSE)</f>
        <v>44.796404042583056</v>
      </c>
      <c r="H398" s="173">
        <f>(2*E398+F398+2*G398)/5/100</f>
        <v>0.39246894753530265</v>
      </c>
      <c r="I398" s="170">
        <f>VLOOKUP(A398,Resultados!A$2:B796,2,FALSE)</f>
        <v>0</v>
      </c>
      <c r="J398" s="5">
        <f>IFERROR(VLOOKUP(A398,Demográfico!A$2:E$400,5,FALSE)/(VLOOKUP(C398,Metodologia!A$2:G$9,7,FALSE))*D398,0)</f>
        <v>2.272570642275375E-2</v>
      </c>
      <c r="K398" s="72">
        <f>(J398*(1+H398)-I398)</f>
        <v>3.1644840504488181E-2</v>
      </c>
      <c r="L398" s="3">
        <v>0</v>
      </c>
      <c r="M398" s="66">
        <f>VLOOKUP(A398,Demográfico!A$2:E$400,5,FALSE)*H398</f>
        <v>78.10132055952522</v>
      </c>
      <c r="N398" s="68">
        <f>IFERROR(FLOOR(K398,1),0)</f>
        <v>0</v>
      </c>
      <c r="O398" s="68">
        <f>K398-N398</f>
        <v>3.1644840504488181E-2</v>
      </c>
      <c r="P398" s="65">
        <f>IFERROR(RANK(O398,O$2:O$400,0),0)</f>
        <v>396</v>
      </c>
      <c r="Q398" s="3">
        <f>N398+IF(P398&lt;P$1,1,0)</f>
        <v>0</v>
      </c>
      <c r="S398" s="65">
        <f>VLOOKUP(A398,Demográfico!A$2:E$400,5,FALSE)*(H398)</f>
        <v>78.10132055952522</v>
      </c>
      <c r="T398" s="79">
        <f>IFERROR(D398/D398,0)</f>
        <v>1</v>
      </c>
      <c r="U398" s="65">
        <f t="shared" si="6"/>
        <v>78.10132055952522</v>
      </c>
    </row>
    <row r="399" spans="1:21" ht="19.5" x14ac:dyDescent="0.25">
      <c r="A399" s="2" t="s">
        <v>403</v>
      </c>
      <c r="B399" s="168">
        <v>1343</v>
      </c>
      <c r="C399" s="169" t="str" cm="1">
        <f t="array" ref="C399">_xlfn.IFS(B399&lt;5000, "P1",B399&lt;20000, "P2",B399&lt;70000, "P3",B399&lt;100000, "P4",B399&lt;200000,"M1",B399&lt;500000,"M2",B399&lt;1000000,"G1",B399&gt;1000000,"G2")</f>
        <v>P1</v>
      </c>
      <c r="D399" s="170">
        <f>VLOOKUP(C399,Metodologia!A$2:H$9,8,FALSE)</f>
        <v>5.2963457913290126</v>
      </c>
      <c r="E399" s="171">
        <f>VLOOKUP(A399,Educacional!A$2:P$405,16,FALSE)</f>
        <v>42.540620522359198</v>
      </c>
      <c r="F399" s="171">
        <f>VLOOKUP(A399,Demográfico!A$2:L$405,12,FALSE)</f>
        <v>37.693947128602332</v>
      </c>
      <c r="G399" s="172">
        <f>VLOOKUP(A399,Socioeconômico!A$2:M$405,13,FALSE)</f>
        <v>44.032286915306855</v>
      </c>
      <c r="H399" s="173">
        <f>(2*E399+F399+2*G399)/5/100</f>
        <v>0.4216795240078689</v>
      </c>
      <c r="I399" s="170">
        <f>VLOOKUP(A399,Resultados!A$2:B797,2,FALSE)</f>
        <v>0</v>
      </c>
      <c r="J399" s="5">
        <f>IFERROR(VLOOKUP(A399,Demográfico!A$2:E$400,5,FALSE)/(VLOOKUP(C399,Metodologia!A$2:G$9,7,FALSE))*D399,0)</f>
        <v>2.409610077990473E-2</v>
      </c>
      <c r="K399" s="72">
        <f>(J399*(1+H399)-I399)</f>
        <v>3.4256933087220595E-2</v>
      </c>
      <c r="L399" s="3">
        <v>0</v>
      </c>
      <c r="M399" s="66">
        <f>VLOOKUP(A399,Demográfico!A$2:E$400,5,FALSE)*H399</f>
        <v>88.974379565660342</v>
      </c>
      <c r="N399" s="68">
        <f>IFERROR(FLOOR(K399,1),0)</f>
        <v>0</v>
      </c>
      <c r="O399" s="68">
        <f>K399-N399</f>
        <v>3.4256933087220595E-2</v>
      </c>
      <c r="P399" s="65">
        <f>IFERROR(RANK(O399,O$2:O$400,0),0)</f>
        <v>395</v>
      </c>
      <c r="Q399" s="3">
        <f>N399+IF(P399&lt;P$1,1,0)</f>
        <v>0</v>
      </c>
      <c r="S399" s="65">
        <f>VLOOKUP(A399,Demográfico!A$2:E$400,5,FALSE)*(H399)</f>
        <v>88.974379565660342</v>
      </c>
      <c r="T399" s="79">
        <f>IFERROR(D399/D399,0)</f>
        <v>1</v>
      </c>
      <c r="U399" s="65">
        <f t="shared" si="6"/>
        <v>88.974379565660342</v>
      </c>
    </row>
    <row r="400" spans="1:21" ht="19.5" x14ac:dyDescent="0.25">
      <c r="A400" s="2" t="s">
        <v>404</v>
      </c>
      <c r="B400" s="168">
        <v>1323</v>
      </c>
      <c r="C400" s="169" t="str" cm="1">
        <f t="array" ref="C400">_xlfn.IFS(B400&lt;5000, "P1",B400&lt;20000, "P2",B400&lt;70000, "P3",B400&lt;100000, "P4",B400&lt;200000,"M1",B400&lt;500000,"M2",B400&lt;1000000,"G1",B400&gt;1000000,"G2")</f>
        <v>P1</v>
      </c>
      <c r="D400" s="174">
        <f>VLOOKUP(C400,Metodologia!A$2:H$9,8,FALSE)</f>
        <v>5.2963457913290126</v>
      </c>
      <c r="E400" s="171">
        <f>VLOOKUP(A400,Educacional!A$2:P$405,16,FALSE)</f>
        <v>31.407634398751711</v>
      </c>
      <c r="F400" s="171">
        <f>VLOOKUP(A400,Demográfico!A$2:L$405,12,FALSE)</f>
        <v>34.543747371557011</v>
      </c>
      <c r="G400" s="172">
        <f>VLOOKUP(A400,Socioeconômico!A$2:M$405,13,FALSE)</f>
        <v>42.355355879930968</v>
      </c>
      <c r="H400" s="173">
        <f>(2*E400+F400+2*G400)/5/100</f>
        <v>0.36413945585784474</v>
      </c>
      <c r="I400" s="170">
        <f>VLOOKUP(A400,Resultados!A$2:B798,2,FALSE)</f>
        <v>0</v>
      </c>
      <c r="J400" s="5">
        <f>IFERROR(VLOOKUP(A400,Demográfico!A$2:E$400,5,FALSE)/(VLOOKUP(C400,Metodologia!A$2:G$9,7,FALSE))*D400,0)</f>
        <v>2.0099117238214375E-2</v>
      </c>
      <c r="K400" s="72">
        <f>(J400*(1+H400)-I400)</f>
        <v>2.7417998852560785E-2</v>
      </c>
      <c r="L400" s="3">
        <v>0</v>
      </c>
      <c r="M400" s="66">
        <f>VLOOKUP(A400,Demográfico!A$2:E$400,5,FALSE)*H400</f>
        <v>64.088544230980673</v>
      </c>
      <c r="N400" s="68">
        <f>IFERROR(FLOOR(K400,1),0)</f>
        <v>0</v>
      </c>
      <c r="O400" s="68">
        <f>K400-N400</f>
        <v>2.7417998852560785E-2</v>
      </c>
      <c r="P400" s="65">
        <f>IFERROR(RANK(O400,O$2:O$400,0),0)</f>
        <v>397</v>
      </c>
      <c r="Q400" s="3">
        <f>N400+IF(P400&lt;P$1,1,0)</f>
        <v>0</v>
      </c>
      <c r="S400" s="65">
        <f>VLOOKUP(A400,Demográfico!A$2:E$400,5,FALSE)*(H400)</f>
        <v>64.088544230980673</v>
      </c>
      <c r="T400" s="79">
        <f>IFERROR(D400/D400,0)</f>
        <v>1</v>
      </c>
      <c r="U400" s="65">
        <f t="shared" si="6"/>
        <v>64.088544230980673</v>
      </c>
    </row>
    <row r="401" spans="3:21" x14ac:dyDescent="0.25">
      <c r="C401" s="37"/>
      <c r="D401" s="37"/>
      <c r="E401" s="37"/>
      <c r="F401" s="37"/>
      <c r="G401" s="37"/>
      <c r="H401" s="37"/>
      <c r="I401" s="37"/>
      <c r="J401" s="37"/>
      <c r="M401" s="66">
        <f>SUM(M2:M400)/Demográfico!E405</f>
        <v>0.4296601058453971</v>
      </c>
    </row>
    <row r="402" spans="3:21" x14ac:dyDescent="0.25">
      <c r="C402" s="37"/>
      <c r="D402" s="37"/>
      <c r="E402" s="37"/>
      <c r="F402" s="37"/>
      <c r="G402" s="37"/>
      <c r="H402" s="37"/>
      <c r="I402" s="37"/>
      <c r="J402" s="37"/>
      <c r="S402" s="65">
        <f>SUM(S2:S400)/Metodologia!C10</f>
        <v>0.4296601058453971</v>
      </c>
      <c r="U402" s="65">
        <f>SUM(U2:U400)/Metodologia!C10</f>
        <v>0.4296601058453971</v>
      </c>
    </row>
    <row r="403" spans="3:21" x14ac:dyDescent="0.25">
      <c r="C403" s="37"/>
      <c r="D403" s="37"/>
      <c r="E403" s="66"/>
      <c r="F403" s="66"/>
      <c r="G403" s="66"/>
      <c r="H403" s="37"/>
      <c r="I403" s="37"/>
      <c r="J403" s="37"/>
    </row>
    <row r="404" spans="3:21" x14ac:dyDescent="0.25">
      <c r="C404" s="37"/>
      <c r="D404" s="37"/>
      <c r="E404" s="37"/>
      <c r="F404" s="37"/>
      <c r="G404" s="37"/>
      <c r="H404" s="37"/>
      <c r="I404" s="37"/>
      <c r="J404" s="37"/>
    </row>
    <row r="405" spans="3:21" x14ac:dyDescent="0.25">
      <c r="C405" s="37"/>
      <c r="D405" s="37"/>
      <c r="E405" s="37"/>
      <c r="F405" s="37"/>
      <c r="G405" s="37"/>
      <c r="H405" s="37"/>
      <c r="I405" s="37"/>
      <c r="J405" s="37"/>
    </row>
    <row r="406" spans="3:21" x14ac:dyDescent="0.25">
      <c r="C406" s="37"/>
      <c r="D406" s="37"/>
      <c r="E406" s="37"/>
      <c r="F406" s="37"/>
      <c r="G406" s="37"/>
      <c r="H406" s="37"/>
      <c r="I406" s="37"/>
      <c r="J406" s="37"/>
    </row>
    <row r="407" spans="3:21" x14ac:dyDescent="0.25">
      <c r="C407" s="37"/>
      <c r="D407" s="37"/>
      <c r="E407" s="37"/>
      <c r="F407" s="37"/>
      <c r="G407" s="37"/>
      <c r="H407" s="37"/>
      <c r="I407" s="37"/>
      <c r="J407" s="37"/>
    </row>
    <row r="408" spans="3:21" x14ac:dyDescent="0.25">
      <c r="C408" s="37"/>
      <c r="D408" s="37"/>
      <c r="E408" s="37"/>
      <c r="F408" s="37"/>
      <c r="G408" s="37"/>
      <c r="H408" s="37"/>
      <c r="I408" s="37"/>
      <c r="J408" s="37"/>
    </row>
    <row r="409" spans="3:21" x14ac:dyDescent="0.25">
      <c r="C409" s="37"/>
      <c r="D409" s="37"/>
      <c r="E409" s="37"/>
      <c r="F409" s="37"/>
      <c r="G409" s="37"/>
      <c r="H409" s="37"/>
      <c r="I409" s="37"/>
      <c r="J409" s="37"/>
    </row>
    <row r="410" spans="3:21" x14ac:dyDescent="0.25">
      <c r="C410" s="37"/>
      <c r="D410" s="37"/>
      <c r="E410" s="37"/>
      <c r="F410" s="37"/>
      <c r="G410" s="37"/>
      <c r="H410" s="37"/>
      <c r="I410" s="37"/>
      <c r="J410" s="37"/>
    </row>
    <row r="411" spans="3:21" x14ac:dyDescent="0.25">
      <c r="C411" s="37"/>
      <c r="D411" s="37"/>
      <c r="E411" s="37"/>
      <c r="F411" s="37"/>
      <c r="G411" s="37"/>
      <c r="H411" s="37"/>
      <c r="I411" s="37"/>
      <c r="J411" s="37"/>
    </row>
    <row r="412" spans="3:21" x14ac:dyDescent="0.25">
      <c r="C412" s="37"/>
      <c r="D412" s="37"/>
      <c r="E412" s="37"/>
      <c r="F412" s="37"/>
      <c r="G412" s="37"/>
      <c r="H412" s="37"/>
      <c r="I412" s="37"/>
      <c r="J412" s="37"/>
    </row>
    <row r="413" spans="3:21" x14ac:dyDescent="0.25">
      <c r="C413" s="37"/>
      <c r="D413" s="37"/>
      <c r="E413" s="37"/>
      <c r="F413" s="37"/>
      <c r="G413" s="37"/>
      <c r="H413" s="37"/>
      <c r="I413" s="37"/>
      <c r="J413" s="37"/>
    </row>
    <row r="414" spans="3:21" x14ac:dyDescent="0.25">
      <c r="C414" s="37"/>
      <c r="D414" s="37"/>
      <c r="E414" s="37"/>
      <c r="F414" s="37"/>
      <c r="G414" s="37"/>
      <c r="H414" s="37"/>
      <c r="I414" s="37"/>
      <c r="J414" s="37"/>
    </row>
    <row r="415" spans="3:21" x14ac:dyDescent="0.25">
      <c r="C415" s="37"/>
      <c r="D415" s="37"/>
      <c r="E415" s="37"/>
      <c r="F415" s="37"/>
      <c r="G415" s="37"/>
      <c r="H415" s="37"/>
      <c r="I415" s="37"/>
      <c r="J415" s="37"/>
    </row>
    <row r="416" spans="3:21" x14ac:dyDescent="0.25">
      <c r="C416" s="37"/>
      <c r="D416" s="37"/>
      <c r="E416" s="37"/>
      <c r="F416" s="37"/>
      <c r="G416" s="37"/>
      <c r="H416" s="37"/>
      <c r="I416" s="37"/>
      <c r="J416" s="37"/>
    </row>
    <row r="417" spans="3:10" x14ac:dyDescent="0.25">
      <c r="C417" s="37"/>
      <c r="D417" s="37"/>
      <c r="E417" s="37"/>
      <c r="F417" s="37"/>
      <c r="G417" s="37"/>
      <c r="H417" s="37"/>
      <c r="I417" s="37"/>
      <c r="J417" s="37"/>
    </row>
    <row r="418" spans="3:10" x14ac:dyDescent="0.25">
      <c r="C418" s="37"/>
      <c r="D418" s="37"/>
      <c r="E418" s="37"/>
      <c r="F418" s="37"/>
      <c r="G418" s="37"/>
      <c r="H418" s="37"/>
      <c r="I418" s="37"/>
      <c r="J418" s="37"/>
    </row>
    <row r="419" spans="3:10" x14ac:dyDescent="0.25">
      <c r="C419" s="37"/>
      <c r="D419" s="37"/>
      <c r="E419" s="37"/>
      <c r="F419" s="37"/>
      <c r="G419" s="37"/>
      <c r="H419" s="37"/>
      <c r="I419" s="37"/>
      <c r="J419" s="37"/>
    </row>
    <row r="420" spans="3:10" x14ac:dyDescent="0.25">
      <c r="C420" s="37"/>
      <c r="D420" s="37"/>
      <c r="E420" s="37"/>
      <c r="F420" s="37"/>
      <c r="G420" s="37"/>
      <c r="H420" s="37"/>
      <c r="I420" s="37"/>
      <c r="J420" s="37"/>
    </row>
    <row r="421" spans="3:10" x14ac:dyDescent="0.25">
      <c r="C421" s="37"/>
      <c r="D421" s="37"/>
      <c r="E421" s="37"/>
      <c r="F421" s="37"/>
      <c r="G421" s="37"/>
      <c r="H421" s="37"/>
      <c r="I421" s="37"/>
      <c r="J421" s="37"/>
    </row>
    <row r="422" spans="3:10" x14ac:dyDescent="0.25">
      <c r="C422" s="37"/>
      <c r="D422" s="37"/>
      <c r="E422" s="37"/>
      <c r="F422" s="37"/>
      <c r="G422" s="37"/>
      <c r="H422" s="37"/>
      <c r="I422" s="37"/>
      <c r="J422" s="37"/>
    </row>
    <row r="423" spans="3:10" x14ac:dyDescent="0.25">
      <c r="C423" s="37"/>
      <c r="D423" s="37"/>
      <c r="E423" s="37"/>
      <c r="F423" s="37"/>
      <c r="G423" s="37"/>
      <c r="H423" s="37"/>
      <c r="I423" s="37"/>
      <c r="J423" s="37"/>
    </row>
    <row r="424" spans="3:10" x14ac:dyDescent="0.25">
      <c r="C424" s="37"/>
      <c r="D424" s="37"/>
      <c r="E424" s="37"/>
      <c r="F424" s="37"/>
      <c r="G424" s="37"/>
      <c r="H424" s="37"/>
      <c r="I424" s="37"/>
      <c r="J424" s="37"/>
    </row>
    <row r="425" spans="3:10" x14ac:dyDescent="0.25">
      <c r="C425" s="37"/>
      <c r="D425" s="37"/>
      <c r="E425" s="37"/>
      <c r="F425" s="37"/>
      <c r="G425" s="37"/>
      <c r="H425" s="37"/>
      <c r="I425" s="37"/>
      <c r="J425" s="37"/>
    </row>
    <row r="426" spans="3:10" x14ac:dyDescent="0.25">
      <c r="C426" s="37"/>
      <c r="D426" s="37"/>
      <c r="E426" s="37"/>
      <c r="F426" s="37"/>
      <c r="G426" s="37"/>
      <c r="H426" s="37"/>
      <c r="I426" s="37"/>
      <c r="J426" s="37"/>
    </row>
    <row r="427" spans="3:10" x14ac:dyDescent="0.25">
      <c r="C427" s="37"/>
      <c r="D427" s="37"/>
      <c r="E427" s="37"/>
      <c r="F427" s="37"/>
      <c r="G427" s="37"/>
      <c r="H427" s="37"/>
      <c r="I427" s="37"/>
      <c r="J427" s="37"/>
    </row>
    <row r="428" spans="3:10" x14ac:dyDescent="0.25">
      <c r="C428" s="37"/>
      <c r="D428" s="37"/>
      <c r="E428" s="37"/>
      <c r="F428" s="37"/>
      <c r="G428" s="37"/>
      <c r="H428" s="37"/>
      <c r="I428" s="37"/>
      <c r="J428" s="37"/>
    </row>
    <row r="429" spans="3:10" x14ac:dyDescent="0.25">
      <c r="C429" s="37"/>
      <c r="D429" s="37"/>
      <c r="E429" s="37"/>
      <c r="F429" s="37"/>
      <c r="G429" s="37"/>
      <c r="H429" s="37"/>
      <c r="I429" s="37"/>
      <c r="J429" s="37"/>
    </row>
    <row r="430" spans="3:10" x14ac:dyDescent="0.25">
      <c r="C430" s="37"/>
      <c r="D430" s="37"/>
      <c r="E430" s="37"/>
      <c r="F430" s="37"/>
      <c r="G430" s="37"/>
      <c r="H430" s="37"/>
      <c r="I430" s="37"/>
      <c r="J430" s="37"/>
    </row>
    <row r="431" spans="3:10" x14ac:dyDescent="0.25">
      <c r="C431" s="37"/>
      <c r="D431" s="37"/>
      <c r="E431" s="37"/>
      <c r="F431" s="37"/>
      <c r="G431" s="37"/>
      <c r="H431" s="37"/>
      <c r="I431" s="37"/>
      <c r="J431" s="37"/>
    </row>
    <row r="432" spans="3:10" x14ac:dyDescent="0.25">
      <c r="C432" s="37"/>
      <c r="D432" s="37"/>
      <c r="E432" s="37"/>
      <c r="F432" s="37"/>
      <c r="G432" s="37"/>
      <c r="H432" s="37"/>
      <c r="I432" s="37"/>
      <c r="J432" s="37"/>
    </row>
    <row r="433" spans="3:10" x14ac:dyDescent="0.25">
      <c r="C433" s="37"/>
      <c r="D433" s="37"/>
      <c r="E433" s="37"/>
      <c r="F433" s="37"/>
      <c r="G433" s="37"/>
      <c r="H433" s="37"/>
      <c r="I433" s="37"/>
      <c r="J433" s="37"/>
    </row>
    <row r="434" spans="3:10" x14ac:dyDescent="0.25">
      <c r="C434" s="37"/>
      <c r="D434" s="37"/>
      <c r="E434" s="37"/>
      <c r="F434" s="37"/>
      <c r="G434" s="37"/>
      <c r="H434" s="37"/>
      <c r="I434" s="37"/>
      <c r="J434" s="37"/>
    </row>
    <row r="435" spans="3:10" x14ac:dyDescent="0.25">
      <c r="C435" s="37"/>
      <c r="D435" s="37"/>
      <c r="E435" s="37"/>
      <c r="F435" s="37"/>
      <c r="G435" s="37"/>
      <c r="H435" s="37"/>
      <c r="I435" s="37"/>
      <c r="J435" s="37"/>
    </row>
    <row r="436" spans="3:10" x14ac:dyDescent="0.25">
      <c r="C436" s="37"/>
      <c r="D436" s="37"/>
      <c r="E436" s="37"/>
      <c r="F436" s="37"/>
      <c r="G436" s="37"/>
      <c r="H436" s="37"/>
      <c r="I436" s="37"/>
      <c r="J436" s="37"/>
    </row>
    <row r="437" spans="3:10" x14ac:dyDescent="0.25">
      <c r="C437" s="37"/>
      <c r="D437" s="37"/>
      <c r="E437" s="37"/>
      <c r="F437" s="37"/>
      <c r="G437" s="37"/>
      <c r="H437" s="37"/>
      <c r="I437" s="37"/>
      <c r="J437" s="37"/>
    </row>
    <row r="438" spans="3:10" x14ac:dyDescent="0.25">
      <c r="C438" s="37"/>
      <c r="D438" s="37"/>
      <c r="E438" s="37"/>
      <c r="F438" s="37"/>
      <c r="G438" s="37"/>
      <c r="H438" s="37"/>
      <c r="I438" s="37"/>
      <c r="J438" s="37"/>
    </row>
    <row r="439" spans="3:10" x14ac:dyDescent="0.25">
      <c r="C439" s="37"/>
      <c r="D439" s="37"/>
      <c r="E439" s="37"/>
      <c r="F439" s="37"/>
      <c r="G439" s="37"/>
      <c r="H439" s="37"/>
      <c r="I439" s="37"/>
      <c r="J439" s="37"/>
    </row>
    <row r="440" spans="3:10" x14ac:dyDescent="0.25">
      <c r="C440" s="37"/>
      <c r="D440" s="37"/>
      <c r="E440" s="37"/>
      <c r="F440" s="37"/>
      <c r="G440" s="37"/>
      <c r="H440" s="37"/>
      <c r="I440" s="37"/>
      <c r="J440" s="37"/>
    </row>
    <row r="441" spans="3:10" x14ac:dyDescent="0.25">
      <c r="C441" s="37"/>
      <c r="D441" s="37"/>
      <c r="E441" s="37"/>
      <c r="F441" s="37"/>
      <c r="G441" s="37"/>
      <c r="H441" s="37"/>
      <c r="I441" s="37"/>
      <c r="J441" s="37"/>
    </row>
    <row r="442" spans="3:10" x14ac:dyDescent="0.25">
      <c r="C442" s="37"/>
      <c r="D442" s="37"/>
      <c r="E442" s="37"/>
      <c r="F442" s="37"/>
      <c r="G442" s="37"/>
      <c r="H442" s="37"/>
      <c r="I442" s="37"/>
      <c r="J442" s="37"/>
    </row>
    <row r="443" spans="3:10" x14ac:dyDescent="0.25">
      <c r="C443" s="37"/>
      <c r="D443" s="37"/>
      <c r="E443" s="37"/>
      <c r="F443" s="37"/>
      <c r="G443" s="37"/>
      <c r="H443" s="37"/>
      <c r="I443" s="37"/>
      <c r="J443" s="37"/>
    </row>
    <row r="444" spans="3:10" x14ac:dyDescent="0.25">
      <c r="C444" s="37"/>
      <c r="D444" s="37"/>
      <c r="E444" s="37"/>
      <c r="F444" s="37"/>
      <c r="G444" s="37"/>
      <c r="H444" s="37"/>
      <c r="I444" s="37"/>
      <c r="J444" s="37"/>
    </row>
    <row r="445" spans="3:10" x14ac:dyDescent="0.25">
      <c r="C445" s="37"/>
      <c r="D445" s="37"/>
      <c r="E445" s="37"/>
      <c r="F445" s="37"/>
      <c r="G445" s="37"/>
      <c r="H445" s="37"/>
      <c r="I445" s="37"/>
      <c r="J445" s="37"/>
    </row>
    <row r="446" spans="3:10" x14ac:dyDescent="0.25">
      <c r="C446" s="37"/>
      <c r="D446" s="37"/>
      <c r="E446" s="37"/>
      <c r="F446" s="37"/>
      <c r="G446" s="37"/>
      <c r="H446" s="37"/>
      <c r="I446" s="37"/>
      <c r="J446" s="37"/>
    </row>
    <row r="447" spans="3:10" x14ac:dyDescent="0.25">
      <c r="C447" s="37"/>
      <c r="D447" s="37"/>
      <c r="E447" s="37"/>
      <c r="F447" s="37"/>
      <c r="G447" s="37"/>
      <c r="H447" s="37"/>
      <c r="I447" s="37"/>
      <c r="J447" s="37"/>
    </row>
    <row r="448" spans="3:10" x14ac:dyDescent="0.25">
      <c r="C448" s="37"/>
      <c r="D448" s="37"/>
      <c r="E448" s="37"/>
      <c r="F448" s="37"/>
      <c r="G448" s="37"/>
      <c r="H448" s="37"/>
      <c r="I448" s="37"/>
      <c r="J448" s="37"/>
    </row>
    <row r="449" spans="3:10" x14ac:dyDescent="0.25">
      <c r="C449" s="37"/>
      <c r="D449" s="37"/>
      <c r="E449" s="37"/>
      <c r="F449" s="37"/>
      <c r="G449" s="37"/>
      <c r="H449" s="37"/>
      <c r="I449" s="37"/>
      <c r="J449" s="37"/>
    </row>
    <row r="450" spans="3:10" x14ac:dyDescent="0.25">
      <c r="C450" s="37"/>
      <c r="D450" s="37"/>
      <c r="E450" s="37"/>
      <c r="F450" s="37"/>
      <c r="G450" s="37"/>
      <c r="H450" s="37"/>
      <c r="I450" s="37"/>
      <c r="J450" s="37"/>
    </row>
    <row r="451" spans="3:10" x14ac:dyDescent="0.25">
      <c r="C451" s="37"/>
      <c r="D451" s="37"/>
      <c r="E451" s="37"/>
      <c r="F451" s="37"/>
      <c r="G451" s="37"/>
      <c r="H451" s="37"/>
      <c r="I451" s="37"/>
      <c r="J451" s="37"/>
    </row>
    <row r="452" spans="3:10" x14ac:dyDescent="0.25">
      <c r="C452" s="37"/>
      <c r="D452" s="37"/>
      <c r="E452" s="37"/>
      <c r="F452" s="37"/>
      <c r="G452" s="37"/>
      <c r="H452" s="37"/>
      <c r="I452" s="37"/>
      <c r="J452" s="37"/>
    </row>
    <row r="453" spans="3:10" x14ac:dyDescent="0.25">
      <c r="C453" s="37"/>
      <c r="D453" s="37"/>
      <c r="E453" s="37"/>
      <c r="F453" s="37"/>
      <c r="G453" s="37"/>
      <c r="H453" s="37"/>
      <c r="I453" s="37"/>
      <c r="J453" s="37"/>
    </row>
    <row r="454" spans="3:10" x14ac:dyDescent="0.25">
      <c r="C454" s="37"/>
      <c r="D454" s="37"/>
      <c r="E454" s="37"/>
      <c r="F454" s="37"/>
      <c r="G454" s="37"/>
      <c r="H454" s="37"/>
      <c r="I454" s="37"/>
      <c r="J454" s="37"/>
    </row>
    <row r="455" spans="3:10" x14ac:dyDescent="0.25">
      <c r="C455" s="37"/>
      <c r="D455" s="37"/>
      <c r="E455" s="37"/>
      <c r="F455" s="37"/>
      <c r="G455" s="37"/>
      <c r="H455" s="37"/>
      <c r="I455" s="37"/>
      <c r="J455" s="37"/>
    </row>
    <row r="456" spans="3:10" x14ac:dyDescent="0.25">
      <c r="C456" s="37"/>
      <c r="D456" s="37"/>
      <c r="E456" s="37"/>
      <c r="F456" s="37"/>
      <c r="G456" s="37"/>
      <c r="H456" s="37"/>
      <c r="I456" s="37"/>
      <c r="J456" s="37"/>
    </row>
    <row r="457" spans="3:10" x14ac:dyDescent="0.25">
      <c r="C457" s="37"/>
      <c r="D457" s="37"/>
      <c r="E457" s="37"/>
      <c r="F457" s="37"/>
      <c r="G457" s="37"/>
      <c r="H457" s="37"/>
      <c r="I457" s="37"/>
      <c r="J457" s="37"/>
    </row>
    <row r="458" spans="3:10" x14ac:dyDescent="0.25">
      <c r="C458" s="37"/>
      <c r="D458" s="37"/>
      <c r="E458" s="37"/>
      <c r="F458" s="37"/>
      <c r="G458" s="37"/>
      <c r="H458" s="37"/>
      <c r="I458" s="37"/>
      <c r="J458" s="37"/>
    </row>
    <row r="459" spans="3:10" x14ac:dyDescent="0.25">
      <c r="C459" s="37"/>
      <c r="D459" s="37"/>
      <c r="E459" s="37"/>
      <c r="F459" s="37"/>
      <c r="G459" s="37"/>
      <c r="H459" s="37"/>
      <c r="I459" s="37"/>
      <c r="J459" s="37"/>
    </row>
    <row r="460" spans="3:10" x14ac:dyDescent="0.25">
      <c r="C460" s="37"/>
      <c r="D460" s="37"/>
      <c r="E460" s="37"/>
      <c r="F460" s="37"/>
      <c r="G460" s="37"/>
      <c r="H460" s="37"/>
      <c r="I460" s="37"/>
      <c r="J460" s="37"/>
    </row>
    <row r="461" spans="3:10" x14ac:dyDescent="0.25">
      <c r="C461" s="37"/>
      <c r="D461" s="37"/>
      <c r="E461" s="37"/>
      <c r="F461" s="37"/>
      <c r="G461" s="37"/>
      <c r="H461" s="37"/>
      <c r="I461" s="37"/>
      <c r="J461" s="37"/>
    </row>
    <row r="462" spans="3:10" x14ac:dyDescent="0.25">
      <c r="C462" s="37"/>
      <c r="D462" s="37"/>
      <c r="E462" s="37"/>
      <c r="F462" s="37"/>
      <c r="G462" s="37"/>
      <c r="H462" s="37"/>
      <c r="I462" s="37"/>
      <c r="J462" s="37"/>
    </row>
    <row r="463" spans="3:10" x14ac:dyDescent="0.25">
      <c r="C463" s="37"/>
      <c r="D463" s="37"/>
      <c r="E463" s="37"/>
      <c r="F463" s="37"/>
      <c r="G463" s="37"/>
      <c r="H463" s="37"/>
      <c r="I463" s="37"/>
      <c r="J463" s="37"/>
    </row>
    <row r="464" spans="3:10" x14ac:dyDescent="0.25">
      <c r="C464" s="37"/>
      <c r="D464" s="37"/>
      <c r="E464" s="37"/>
      <c r="F464" s="37"/>
      <c r="G464" s="37"/>
      <c r="H464" s="37"/>
      <c r="I464" s="37"/>
      <c r="J464" s="37"/>
    </row>
    <row r="465" spans="3:10" x14ac:dyDescent="0.25">
      <c r="C465" s="37"/>
      <c r="D465" s="37"/>
      <c r="E465" s="37"/>
      <c r="F465" s="37"/>
      <c r="G465" s="37"/>
      <c r="H465" s="37"/>
      <c r="I465" s="37"/>
      <c r="J465" s="37"/>
    </row>
    <row r="466" spans="3:10" x14ac:dyDescent="0.25">
      <c r="C466" s="37"/>
      <c r="D466" s="37"/>
      <c r="E466" s="37"/>
      <c r="F466" s="37"/>
      <c r="G466" s="37"/>
      <c r="H466" s="37"/>
      <c r="I466" s="37"/>
      <c r="J466" s="37"/>
    </row>
    <row r="467" spans="3:10" x14ac:dyDescent="0.25">
      <c r="C467" s="37"/>
      <c r="D467" s="37"/>
      <c r="E467" s="37"/>
      <c r="F467" s="37"/>
      <c r="G467" s="37"/>
      <c r="H467" s="37"/>
      <c r="I467" s="37"/>
      <c r="J467" s="37"/>
    </row>
    <row r="468" spans="3:10" x14ac:dyDescent="0.25">
      <c r="C468" s="37"/>
      <c r="D468" s="37"/>
      <c r="E468" s="37"/>
      <c r="F468" s="37"/>
      <c r="G468" s="37"/>
      <c r="H468" s="37"/>
      <c r="I468" s="37"/>
      <c r="J468" s="37"/>
    </row>
    <row r="469" spans="3:10" x14ac:dyDescent="0.25">
      <c r="C469" s="37"/>
      <c r="D469" s="37"/>
      <c r="E469" s="37"/>
      <c r="F469" s="37"/>
      <c r="G469" s="37"/>
      <c r="H469" s="37"/>
      <c r="I469" s="37"/>
      <c r="J469" s="37"/>
    </row>
    <row r="470" spans="3:10" x14ac:dyDescent="0.25">
      <c r="C470" s="37"/>
      <c r="D470" s="37"/>
      <c r="E470" s="37"/>
      <c r="F470" s="37"/>
      <c r="G470" s="37"/>
      <c r="H470" s="37"/>
      <c r="I470" s="37"/>
      <c r="J470" s="37"/>
    </row>
    <row r="471" spans="3:10" x14ac:dyDescent="0.25">
      <c r="C471" s="37"/>
      <c r="D471" s="37"/>
      <c r="E471" s="37"/>
      <c r="F471" s="37"/>
      <c r="G471" s="37"/>
      <c r="H471" s="37"/>
      <c r="I471" s="37"/>
      <c r="J471" s="37"/>
    </row>
    <row r="472" spans="3:10" x14ac:dyDescent="0.25">
      <c r="C472" s="37"/>
      <c r="D472" s="37"/>
      <c r="E472" s="37"/>
      <c r="F472" s="37"/>
      <c r="G472" s="37"/>
      <c r="H472" s="37"/>
      <c r="I472" s="37"/>
      <c r="J472" s="37"/>
    </row>
    <row r="473" spans="3:10" x14ac:dyDescent="0.25">
      <c r="C473" s="37"/>
      <c r="D473" s="37"/>
      <c r="E473" s="37"/>
      <c r="F473" s="37"/>
      <c r="G473" s="37"/>
      <c r="H473" s="37"/>
      <c r="I473" s="37"/>
      <c r="J473" s="37"/>
    </row>
    <row r="474" spans="3:10" x14ac:dyDescent="0.25">
      <c r="C474" s="37"/>
      <c r="D474" s="37"/>
      <c r="E474" s="37"/>
      <c r="F474" s="37"/>
      <c r="G474" s="37"/>
      <c r="H474" s="37"/>
      <c r="I474" s="37"/>
      <c r="J474" s="37"/>
    </row>
    <row r="475" spans="3:10" x14ac:dyDescent="0.25">
      <c r="C475" s="37"/>
      <c r="D475" s="37"/>
      <c r="E475" s="37"/>
      <c r="F475" s="37"/>
      <c r="G475" s="37"/>
      <c r="H475" s="37"/>
      <c r="I475" s="37"/>
      <c r="J475" s="37"/>
    </row>
    <row r="476" spans="3:10" x14ac:dyDescent="0.25">
      <c r="C476" s="37"/>
      <c r="D476" s="37"/>
      <c r="E476" s="37"/>
      <c r="F476" s="37"/>
      <c r="G476" s="37"/>
      <c r="H476" s="37"/>
      <c r="I476" s="37"/>
      <c r="J476" s="37"/>
    </row>
    <row r="477" spans="3:10" x14ac:dyDescent="0.25">
      <c r="C477" s="37"/>
      <c r="D477" s="37"/>
      <c r="E477" s="37"/>
      <c r="F477" s="37"/>
      <c r="G477" s="37"/>
      <c r="H477" s="37"/>
      <c r="I477" s="37"/>
      <c r="J477" s="37"/>
    </row>
    <row r="478" spans="3:10" x14ac:dyDescent="0.25">
      <c r="C478" s="37"/>
      <c r="D478" s="37"/>
      <c r="E478" s="37"/>
      <c r="F478" s="37"/>
      <c r="G478" s="37"/>
      <c r="H478" s="37"/>
      <c r="I478" s="37"/>
      <c r="J478" s="37"/>
    </row>
    <row r="479" spans="3:10" x14ac:dyDescent="0.25">
      <c r="C479" s="37"/>
      <c r="D479" s="37"/>
      <c r="E479" s="37"/>
      <c r="F479" s="37"/>
      <c r="G479" s="37"/>
      <c r="H479" s="37"/>
      <c r="I479" s="37"/>
      <c r="J479" s="37"/>
    </row>
    <row r="480" spans="3:10" x14ac:dyDescent="0.25">
      <c r="C480" s="37"/>
      <c r="D480" s="37"/>
      <c r="E480" s="37"/>
      <c r="F480" s="37"/>
      <c r="G480" s="37"/>
      <c r="H480" s="37"/>
      <c r="I480" s="37"/>
      <c r="J480" s="37"/>
    </row>
    <row r="481" spans="3:10" x14ac:dyDescent="0.25">
      <c r="C481" s="37"/>
      <c r="D481" s="37"/>
      <c r="E481" s="37"/>
      <c r="F481" s="37"/>
      <c r="G481" s="37"/>
      <c r="H481" s="37"/>
      <c r="I481" s="37"/>
      <c r="J481" s="37"/>
    </row>
    <row r="482" spans="3:10" x14ac:dyDescent="0.25">
      <c r="C482" s="37"/>
      <c r="D482" s="37"/>
      <c r="E482" s="37"/>
      <c r="F482" s="37"/>
      <c r="G482" s="37"/>
      <c r="H482" s="37"/>
      <c r="I482" s="37"/>
      <c r="J482" s="37"/>
    </row>
    <row r="483" spans="3:10" x14ac:dyDescent="0.25">
      <c r="C483" s="37"/>
      <c r="D483" s="37"/>
      <c r="E483" s="37"/>
      <c r="F483" s="37"/>
      <c r="G483" s="37"/>
      <c r="H483" s="37"/>
      <c r="I483" s="37"/>
      <c r="J483" s="37"/>
    </row>
    <row r="484" spans="3:10" x14ac:dyDescent="0.25">
      <c r="C484" s="37"/>
      <c r="D484" s="37"/>
      <c r="E484" s="37"/>
      <c r="F484" s="37"/>
      <c r="G484" s="37"/>
      <c r="H484" s="37"/>
      <c r="I484" s="37"/>
      <c r="J484" s="37"/>
    </row>
    <row r="485" spans="3:10" x14ac:dyDescent="0.25">
      <c r="C485" s="37"/>
      <c r="D485" s="37"/>
      <c r="E485" s="37"/>
      <c r="F485" s="37"/>
      <c r="G485" s="37"/>
      <c r="H485" s="37"/>
      <c r="I485" s="37"/>
      <c r="J485" s="37"/>
    </row>
    <row r="486" spans="3:10" x14ac:dyDescent="0.25">
      <c r="C486" s="37"/>
      <c r="D486" s="37"/>
      <c r="E486" s="37"/>
      <c r="F486" s="37"/>
      <c r="G486" s="37"/>
      <c r="H486" s="37"/>
      <c r="I486" s="37"/>
      <c r="J486" s="37"/>
    </row>
    <row r="487" spans="3:10" x14ac:dyDescent="0.25">
      <c r="C487" s="37"/>
      <c r="D487" s="37"/>
      <c r="E487" s="37"/>
      <c r="F487" s="37"/>
      <c r="G487" s="37"/>
      <c r="H487" s="37"/>
      <c r="I487" s="37"/>
      <c r="J487" s="37"/>
    </row>
    <row r="488" spans="3:10" x14ac:dyDescent="0.25">
      <c r="C488" s="37"/>
      <c r="D488" s="37"/>
      <c r="E488" s="37"/>
      <c r="F488" s="37"/>
      <c r="G488" s="37"/>
      <c r="H488" s="37"/>
      <c r="I488" s="37"/>
      <c r="J488" s="37"/>
    </row>
    <row r="489" spans="3:10" x14ac:dyDescent="0.25">
      <c r="C489" s="37"/>
      <c r="D489" s="37"/>
      <c r="E489" s="37"/>
      <c r="F489" s="37"/>
      <c r="G489" s="37"/>
      <c r="H489" s="37"/>
      <c r="I489" s="37"/>
      <c r="J489" s="37"/>
    </row>
    <row r="490" spans="3:10" x14ac:dyDescent="0.25">
      <c r="C490" s="37"/>
      <c r="D490" s="37"/>
      <c r="E490" s="37"/>
      <c r="F490" s="37"/>
      <c r="G490" s="37"/>
      <c r="H490" s="37"/>
      <c r="I490" s="37"/>
      <c r="J490" s="37"/>
    </row>
    <row r="491" spans="3:10" x14ac:dyDescent="0.25">
      <c r="C491" s="37"/>
      <c r="D491" s="37"/>
      <c r="E491" s="37"/>
      <c r="F491" s="37"/>
      <c r="G491" s="37"/>
      <c r="H491" s="37"/>
      <c r="I491" s="37"/>
      <c r="J491" s="37"/>
    </row>
    <row r="492" spans="3:10" x14ac:dyDescent="0.25">
      <c r="C492" s="37"/>
      <c r="D492" s="37"/>
      <c r="E492" s="37"/>
      <c r="F492" s="37"/>
      <c r="G492" s="37"/>
      <c r="H492" s="37"/>
      <c r="I492" s="37"/>
      <c r="J492" s="37"/>
    </row>
    <row r="493" spans="3:10" x14ac:dyDescent="0.25">
      <c r="C493" s="37"/>
      <c r="D493" s="37"/>
      <c r="E493" s="37"/>
      <c r="F493" s="37"/>
      <c r="G493" s="37"/>
      <c r="H493" s="37"/>
      <c r="I493" s="37"/>
      <c r="J493" s="37"/>
    </row>
    <row r="494" spans="3:10" x14ac:dyDescent="0.25">
      <c r="C494" s="37"/>
      <c r="D494" s="37"/>
      <c r="E494" s="37"/>
      <c r="F494" s="37"/>
      <c r="G494" s="37"/>
      <c r="H494" s="37"/>
      <c r="I494" s="37"/>
      <c r="J494" s="37"/>
    </row>
    <row r="495" spans="3:10" x14ac:dyDescent="0.25">
      <c r="C495" s="37"/>
      <c r="D495" s="37"/>
      <c r="E495" s="37"/>
      <c r="F495" s="37"/>
      <c r="G495" s="37"/>
      <c r="H495" s="37"/>
      <c r="I495" s="37"/>
      <c r="J495" s="37"/>
    </row>
    <row r="496" spans="3:10" x14ac:dyDescent="0.25">
      <c r="C496" s="37"/>
      <c r="D496" s="37"/>
      <c r="E496" s="37"/>
      <c r="F496" s="37"/>
      <c r="G496" s="37"/>
      <c r="H496" s="37"/>
      <c r="I496" s="37"/>
      <c r="J496" s="37"/>
    </row>
    <row r="497" spans="3:10" x14ac:dyDescent="0.25">
      <c r="C497" s="37"/>
      <c r="D497" s="37"/>
      <c r="E497" s="37"/>
      <c r="F497" s="37"/>
      <c r="G497" s="37"/>
      <c r="H497" s="37"/>
      <c r="I497" s="37"/>
      <c r="J497" s="37"/>
    </row>
    <row r="498" spans="3:10" x14ac:dyDescent="0.25">
      <c r="C498" s="37"/>
      <c r="D498" s="37"/>
      <c r="E498" s="37"/>
      <c r="F498" s="37"/>
      <c r="G498" s="37"/>
      <c r="H498" s="37"/>
      <c r="I498" s="37"/>
      <c r="J498" s="37"/>
    </row>
    <row r="499" spans="3:10" x14ac:dyDescent="0.25">
      <c r="C499" s="37"/>
      <c r="D499" s="37"/>
      <c r="E499" s="37"/>
      <c r="F499" s="37"/>
      <c r="G499" s="37"/>
      <c r="H499" s="37"/>
      <c r="I499" s="37"/>
      <c r="J499" s="37"/>
    </row>
    <row r="500" spans="3:10" x14ac:dyDescent="0.25">
      <c r="C500" s="37"/>
      <c r="D500" s="37"/>
      <c r="E500" s="37"/>
      <c r="F500" s="37"/>
      <c r="G500" s="37"/>
      <c r="H500" s="37"/>
      <c r="I500" s="37"/>
      <c r="J500" s="37"/>
    </row>
    <row r="501" spans="3:10" x14ac:dyDescent="0.25">
      <c r="C501" s="37"/>
      <c r="D501" s="37"/>
      <c r="E501" s="37"/>
      <c r="F501" s="37"/>
      <c r="G501" s="37"/>
      <c r="H501" s="37"/>
      <c r="I501" s="37"/>
      <c r="J501" s="37"/>
    </row>
    <row r="502" spans="3:10" x14ac:dyDescent="0.25">
      <c r="C502" s="37"/>
      <c r="D502" s="37"/>
      <c r="E502" s="37"/>
      <c r="F502" s="37"/>
      <c r="G502" s="37"/>
      <c r="H502" s="37"/>
      <c r="I502" s="37"/>
      <c r="J502" s="37"/>
    </row>
    <row r="503" spans="3:10" x14ac:dyDescent="0.25">
      <c r="C503" s="37"/>
      <c r="D503" s="37"/>
      <c r="E503" s="37"/>
      <c r="F503" s="37"/>
      <c r="G503" s="37"/>
      <c r="H503" s="37"/>
      <c r="I503" s="37"/>
      <c r="J503" s="37"/>
    </row>
    <row r="504" spans="3:10" x14ac:dyDescent="0.25">
      <c r="C504" s="37"/>
      <c r="D504" s="37"/>
      <c r="E504" s="37"/>
      <c r="F504" s="37"/>
      <c r="G504" s="37"/>
      <c r="H504" s="37"/>
      <c r="I504" s="37"/>
      <c r="J504" s="37"/>
    </row>
    <row r="505" spans="3:10" x14ac:dyDescent="0.25">
      <c r="C505" s="37"/>
      <c r="D505" s="37"/>
      <c r="E505" s="37"/>
      <c r="F505" s="37"/>
      <c r="G505" s="37"/>
      <c r="H505" s="37"/>
      <c r="I505" s="37"/>
      <c r="J505" s="37"/>
    </row>
    <row r="506" spans="3:10" x14ac:dyDescent="0.25">
      <c r="C506" s="37"/>
      <c r="D506" s="37"/>
      <c r="E506" s="37"/>
      <c r="F506" s="37"/>
      <c r="G506" s="37"/>
      <c r="H506" s="37"/>
      <c r="I506" s="37"/>
      <c r="J506" s="37"/>
    </row>
    <row r="507" spans="3:10" x14ac:dyDescent="0.25">
      <c r="C507" s="37"/>
      <c r="D507" s="37"/>
      <c r="E507" s="37"/>
      <c r="F507" s="37"/>
      <c r="G507" s="37"/>
      <c r="H507" s="37"/>
      <c r="I507" s="37"/>
      <c r="J507" s="37"/>
    </row>
    <row r="508" spans="3:10" x14ac:dyDescent="0.25">
      <c r="C508" s="37"/>
      <c r="D508" s="37"/>
      <c r="E508" s="37"/>
      <c r="F508" s="37"/>
      <c r="G508" s="37"/>
      <c r="H508" s="37"/>
      <c r="I508" s="37"/>
      <c r="J508" s="37"/>
    </row>
    <row r="509" spans="3:10" x14ac:dyDescent="0.25">
      <c r="C509" s="37"/>
      <c r="D509" s="37"/>
      <c r="E509" s="37"/>
      <c r="F509" s="37"/>
      <c r="G509" s="37"/>
      <c r="H509" s="37"/>
      <c r="I509" s="37"/>
      <c r="J509" s="37"/>
    </row>
    <row r="510" spans="3:10" x14ac:dyDescent="0.25">
      <c r="C510" s="37"/>
      <c r="D510" s="37"/>
      <c r="E510" s="37"/>
      <c r="F510" s="37"/>
      <c r="G510" s="37"/>
      <c r="H510" s="37"/>
      <c r="I510" s="37"/>
      <c r="J510" s="37"/>
    </row>
    <row r="511" spans="3:10" x14ac:dyDescent="0.25">
      <c r="C511" s="37"/>
      <c r="D511" s="37"/>
      <c r="E511" s="37"/>
      <c r="F511" s="37"/>
      <c r="G511" s="37"/>
      <c r="H511" s="37"/>
      <c r="I511" s="37"/>
      <c r="J511" s="37"/>
    </row>
    <row r="512" spans="3:10" x14ac:dyDescent="0.25">
      <c r="C512" s="37"/>
      <c r="D512" s="37"/>
      <c r="E512" s="37"/>
      <c r="F512" s="37"/>
      <c r="G512" s="37"/>
      <c r="H512" s="37"/>
      <c r="I512" s="37"/>
      <c r="J512" s="37"/>
    </row>
    <row r="513" spans="3:10" x14ac:dyDescent="0.25">
      <c r="C513" s="37"/>
      <c r="D513" s="37"/>
      <c r="E513" s="37"/>
      <c r="F513" s="37"/>
      <c r="G513" s="37"/>
      <c r="H513" s="37"/>
      <c r="I513" s="37"/>
      <c r="J513" s="37"/>
    </row>
    <row r="514" spans="3:10" x14ac:dyDescent="0.25">
      <c r="C514" s="37"/>
      <c r="D514" s="37"/>
      <c r="E514" s="37"/>
      <c r="F514" s="37"/>
      <c r="G514" s="37"/>
      <c r="H514" s="37"/>
      <c r="I514" s="37"/>
      <c r="J514" s="37"/>
    </row>
    <row r="515" spans="3:10" x14ac:dyDescent="0.25">
      <c r="C515" s="37"/>
      <c r="D515" s="37"/>
      <c r="E515" s="37"/>
      <c r="F515" s="37"/>
      <c r="G515" s="37"/>
      <c r="H515" s="37"/>
      <c r="I515" s="37"/>
      <c r="J515" s="37"/>
    </row>
    <row r="516" spans="3:10" x14ac:dyDescent="0.25">
      <c r="C516" s="37"/>
      <c r="D516" s="37"/>
      <c r="E516" s="37"/>
      <c r="F516" s="37"/>
      <c r="G516" s="37"/>
      <c r="H516" s="37"/>
      <c r="I516" s="37"/>
      <c r="J516" s="37"/>
    </row>
    <row r="517" spans="3:10" x14ac:dyDescent="0.25">
      <c r="C517" s="37"/>
      <c r="D517" s="37"/>
      <c r="E517" s="37"/>
      <c r="F517" s="37"/>
      <c r="G517" s="37"/>
      <c r="H517" s="37"/>
      <c r="I517" s="37"/>
      <c r="J517" s="37"/>
    </row>
    <row r="518" spans="3:10" x14ac:dyDescent="0.25">
      <c r="C518" s="37"/>
      <c r="D518" s="37"/>
      <c r="E518" s="37"/>
      <c r="F518" s="37"/>
      <c r="G518" s="37"/>
      <c r="H518" s="37"/>
      <c r="I518" s="37"/>
      <c r="J518" s="37"/>
    </row>
    <row r="519" spans="3:10" x14ac:dyDescent="0.25">
      <c r="C519" s="37"/>
      <c r="D519" s="37"/>
      <c r="E519" s="37"/>
      <c r="F519" s="37"/>
      <c r="G519" s="37"/>
      <c r="H519" s="37"/>
      <c r="I519" s="37"/>
      <c r="J519" s="37"/>
    </row>
    <row r="520" spans="3:10" x14ac:dyDescent="0.25">
      <c r="C520" s="37"/>
      <c r="D520" s="37"/>
      <c r="E520" s="37"/>
      <c r="F520" s="37"/>
      <c r="G520" s="37"/>
      <c r="H520" s="37"/>
      <c r="I520" s="37"/>
      <c r="J520" s="37"/>
    </row>
    <row r="521" spans="3:10" x14ac:dyDescent="0.25">
      <c r="C521" s="37"/>
      <c r="D521" s="37"/>
      <c r="E521" s="37"/>
      <c r="F521" s="37"/>
      <c r="G521" s="37"/>
      <c r="H521" s="37"/>
      <c r="I521" s="37"/>
      <c r="J521" s="37"/>
    </row>
    <row r="522" spans="3:10" x14ac:dyDescent="0.25">
      <c r="C522" s="37"/>
      <c r="D522" s="37"/>
      <c r="E522" s="37"/>
      <c r="F522" s="37"/>
      <c r="G522" s="37"/>
      <c r="H522" s="37"/>
      <c r="I522" s="37"/>
      <c r="J522" s="37"/>
    </row>
    <row r="523" spans="3:10" x14ac:dyDescent="0.25">
      <c r="C523" s="37"/>
      <c r="D523" s="37"/>
      <c r="E523" s="37"/>
      <c r="F523" s="37"/>
      <c r="G523" s="37"/>
      <c r="H523" s="37"/>
      <c r="I523" s="37"/>
      <c r="J523" s="37"/>
    </row>
    <row r="524" spans="3:10" x14ac:dyDescent="0.25">
      <c r="C524" s="37"/>
      <c r="D524" s="37"/>
      <c r="E524" s="37"/>
      <c r="F524" s="37"/>
      <c r="G524" s="37"/>
      <c r="H524" s="37"/>
      <c r="I524" s="37"/>
      <c r="J524" s="37"/>
    </row>
    <row r="525" spans="3:10" x14ac:dyDescent="0.25">
      <c r="C525" s="37"/>
      <c r="D525" s="37"/>
      <c r="E525" s="37"/>
      <c r="F525" s="37"/>
      <c r="G525" s="37"/>
      <c r="H525" s="37"/>
      <c r="I525" s="37"/>
      <c r="J525" s="37"/>
    </row>
    <row r="526" spans="3:10" x14ac:dyDescent="0.25">
      <c r="C526" s="37"/>
      <c r="D526" s="37"/>
      <c r="E526" s="37"/>
      <c r="F526" s="37"/>
      <c r="G526" s="37"/>
      <c r="H526" s="37"/>
      <c r="I526" s="37"/>
      <c r="J526" s="37"/>
    </row>
    <row r="527" spans="3:10" x14ac:dyDescent="0.25">
      <c r="C527" s="37"/>
      <c r="D527" s="37"/>
      <c r="E527" s="37"/>
      <c r="F527" s="37"/>
      <c r="G527" s="37"/>
      <c r="H527" s="37"/>
      <c r="I527" s="37"/>
      <c r="J527" s="37"/>
    </row>
    <row r="528" spans="3:10" x14ac:dyDescent="0.25">
      <c r="C528" s="37"/>
      <c r="D528" s="37"/>
      <c r="E528" s="37"/>
      <c r="F528" s="37"/>
      <c r="G528" s="37"/>
      <c r="H528" s="37"/>
      <c r="I528" s="37"/>
      <c r="J528" s="37"/>
    </row>
    <row r="529" spans="3:10" x14ac:dyDescent="0.25">
      <c r="C529" s="37"/>
      <c r="D529" s="37"/>
      <c r="E529" s="37"/>
      <c r="F529" s="37"/>
      <c r="G529" s="37"/>
      <c r="H529" s="37"/>
      <c r="I529" s="37"/>
      <c r="J529" s="37"/>
    </row>
    <row r="530" spans="3:10" x14ac:dyDescent="0.25">
      <c r="C530" s="37"/>
      <c r="D530" s="37"/>
      <c r="E530" s="37"/>
      <c r="F530" s="37"/>
      <c r="G530" s="37"/>
      <c r="H530" s="37"/>
      <c r="I530" s="37"/>
      <c r="J530" s="37"/>
    </row>
    <row r="531" spans="3:10" x14ac:dyDescent="0.25">
      <c r="C531" s="37"/>
      <c r="D531" s="37"/>
      <c r="E531" s="37"/>
      <c r="F531" s="37"/>
      <c r="G531" s="37"/>
      <c r="H531" s="37"/>
      <c r="I531" s="37"/>
      <c r="J531" s="37"/>
    </row>
    <row r="532" spans="3:10" x14ac:dyDescent="0.25">
      <c r="C532" s="37"/>
      <c r="D532" s="37"/>
      <c r="E532" s="37"/>
      <c r="F532" s="37"/>
      <c r="G532" s="37"/>
      <c r="H532" s="37"/>
      <c r="I532" s="37"/>
      <c r="J532" s="37"/>
    </row>
    <row r="533" spans="3:10" x14ac:dyDescent="0.25">
      <c r="C533" s="37"/>
      <c r="D533" s="37"/>
      <c r="E533" s="37"/>
      <c r="F533" s="37"/>
      <c r="G533" s="37"/>
      <c r="H533" s="37"/>
      <c r="I533" s="37"/>
      <c r="J533" s="37"/>
    </row>
    <row r="534" spans="3:10" x14ac:dyDescent="0.25">
      <c r="C534" s="37"/>
      <c r="D534" s="37"/>
      <c r="E534" s="37"/>
      <c r="F534" s="37"/>
      <c r="G534" s="37"/>
      <c r="H534" s="37"/>
      <c r="I534" s="37"/>
      <c r="J534" s="37"/>
    </row>
    <row r="535" spans="3:10" x14ac:dyDescent="0.25">
      <c r="C535" s="37"/>
      <c r="D535" s="37"/>
      <c r="E535" s="37"/>
      <c r="F535" s="37"/>
      <c r="G535" s="37"/>
      <c r="H535" s="37"/>
      <c r="I535" s="37"/>
      <c r="J535" s="37"/>
    </row>
    <row r="536" spans="3:10" x14ac:dyDescent="0.25">
      <c r="C536" s="37"/>
      <c r="D536" s="37"/>
      <c r="E536" s="37"/>
      <c r="F536" s="37"/>
      <c r="G536" s="37"/>
      <c r="H536" s="37"/>
      <c r="I536" s="37"/>
      <c r="J536" s="37"/>
    </row>
    <row r="537" spans="3:10" x14ac:dyDescent="0.25">
      <c r="C537" s="37"/>
      <c r="D537" s="37"/>
      <c r="E537" s="37"/>
      <c r="F537" s="37"/>
      <c r="G537" s="37"/>
      <c r="H537" s="37"/>
      <c r="I537" s="37"/>
      <c r="J537" s="37"/>
    </row>
    <row r="538" spans="3:10" x14ac:dyDescent="0.25">
      <c r="C538" s="37"/>
      <c r="D538" s="37"/>
      <c r="E538" s="37"/>
      <c r="F538" s="37"/>
      <c r="G538" s="37"/>
      <c r="H538" s="37"/>
      <c r="I538" s="37"/>
      <c r="J538" s="37"/>
    </row>
    <row r="539" spans="3:10" x14ac:dyDescent="0.25">
      <c r="C539" s="37"/>
      <c r="D539" s="37"/>
      <c r="E539" s="37"/>
      <c r="F539" s="37"/>
      <c r="G539" s="37"/>
      <c r="H539" s="37"/>
      <c r="I539" s="37"/>
      <c r="J539" s="37"/>
    </row>
    <row r="540" spans="3:10" x14ac:dyDescent="0.25">
      <c r="C540" s="37"/>
      <c r="D540" s="37"/>
      <c r="E540" s="37"/>
      <c r="F540" s="37"/>
      <c r="G540" s="37"/>
      <c r="H540" s="37"/>
      <c r="I540" s="37"/>
      <c r="J540" s="37"/>
    </row>
    <row r="541" spans="3:10" x14ac:dyDescent="0.25">
      <c r="C541" s="37"/>
      <c r="D541" s="37"/>
      <c r="E541" s="37"/>
      <c r="F541" s="37"/>
      <c r="G541" s="37"/>
      <c r="H541" s="37"/>
      <c r="I541" s="37"/>
      <c r="J541" s="37"/>
    </row>
    <row r="542" spans="3:10" x14ac:dyDescent="0.25">
      <c r="C542" s="37"/>
      <c r="D542" s="37"/>
      <c r="E542" s="37"/>
      <c r="F542" s="37"/>
      <c r="G542" s="37"/>
      <c r="H542" s="37"/>
      <c r="I542" s="37"/>
      <c r="J542" s="37"/>
    </row>
    <row r="543" spans="3:10" x14ac:dyDescent="0.25">
      <c r="C543" s="37"/>
      <c r="D543" s="37"/>
      <c r="E543" s="37"/>
      <c r="F543" s="37"/>
      <c r="G543" s="37"/>
      <c r="H543" s="37"/>
      <c r="I543" s="37"/>
      <c r="J543" s="37"/>
    </row>
    <row r="544" spans="3:10" x14ac:dyDescent="0.25">
      <c r="C544" s="37"/>
      <c r="D544" s="37"/>
      <c r="E544" s="37"/>
      <c r="F544" s="37"/>
      <c r="G544" s="37"/>
      <c r="H544" s="37"/>
      <c r="I544" s="37"/>
      <c r="J544" s="37"/>
    </row>
    <row r="545" spans="3:10" x14ac:dyDescent="0.25">
      <c r="C545" s="37"/>
      <c r="D545" s="37"/>
      <c r="E545" s="37"/>
      <c r="F545" s="37"/>
      <c r="G545" s="37"/>
      <c r="H545" s="37"/>
      <c r="I545" s="37"/>
      <c r="J545" s="37"/>
    </row>
    <row r="546" spans="3:10" x14ac:dyDescent="0.25">
      <c r="C546" s="37"/>
      <c r="D546" s="37"/>
      <c r="E546" s="37"/>
      <c r="F546" s="37"/>
      <c r="G546" s="37"/>
      <c r="H546" s="37"/>
      <c r="I546" s="37"/>
      <c r="J546" s="37"/>
    </row>
    <row r="547" spans="3:10" x14ac:dyDescent="0.25">
      <c r="C547" s="37"/>
      <c r="D547" s="37"/>
      <c r="E547" s="37"/>
      <c r="F547" s="37"/>
      <c r="G547" s="37"/>
      <c r="H547" s="37"/>
      <c r="I547" s="37"/>
      <c r="J547" s="37"/>
    </row>
    <row r="548" spans="3:10" x14ac:dyDescent="0.25">
      <c r="C548" s="37"/>
      <c r="D548" s="37"/>
      <c r="E548" s="37"/>
      <c r="F548" s="37"/>
      <c r="G548" s="37"/>
      <c r="H548" s="37"/>
      <c r="I548" s="37"/>
      <c r="J548" s="37"/>
    </row>
    <row r="549" spans="3:10" x14ac:dyDescent="0.25">
      <c r="C549" s="37"/>
      <c r="D549" s="37"/>
      <c r="E549" s="37"/>
      <c r="F549" s="37"/>
      <c r="G549" s="37"/>
      <c r="H549" s="37"/>
      <c r="I549" s="37"/>
      <c r="J549" s="37"/>
    </row>
    <row r="550" spans="3:10" x14ac:dyDescent="0.25">
      <c r="C550" s="37"/>
      <c r="D550" s="37"/>
      <c r="E550" s="37"/>
      <c r="F550" s="37"/>
      <c r="G550" s="37"/>
      <c r="H550" s="37"/>
      <c r="I550" s="37"/>
      <c r="J550" s="37"/>
    </row>
  </sheetData>
  <sheetProtection formatCells="0" formatColumns="0" formatRows="0" insertColumns="0" insertRows="0" insertHyperlinks="0" deleteColumns="0" deleteRows="0" sort="0" autoFilter="0" pivotTables="0"/>
  <autoFilter ref="A1:Q401" xr:uid="{00000000-0001-0000-0000-000000000000}">
    <sortState xmlns:xlrd2="http://schemas.microsoft.com/office/spreadsheetml/2017/richdata2" ref="A2:Q401">
      <sortCondition descending="1" ref="B1:B401"/>
    </sortState>
  </autoFilter>
  <conditionalFormatting sqref="E2:E400">
    <cfRule type="top10" dxfId="1" priority="4" rank="10"/>
    <cfRule type="top10" dxfId="0" priority="5" rank="10"/>
  </conditionalFormatting>
  <conditionalFormatting sqref="H2:I400">
    <cfRule type="colorScale" priority="1">
      <colorScale>
        <cfvo type="min"/>
        <cfvo type="max"/>
        <color theme="8" tint="0.79998168889431442"/>
        <color theme="8" tint="0.39997558519241921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A95B-9076-4E2F-905C-64288E00A2BF}">
  <sheetPr>
    <tabColor rgb="FFB49200"/>
  </sheetPr>
  <dimension ref="A1:P403"/>
  <sheetViews>
    <sheetView zoomScale="80" zoomScaleNormal="80" workbookViewId="0">
      <selection activeCell="K1" sqref="K1"/>
    </sheetView>
  </sheetViews>
  <sheetFormatPr defaultRowHeight="15" x14ac:dyDescent="0.25"/>
  <cols>
    <col min="1" max="1" width="24.5703125" bestFit="1" customWidth="1"/>
    <col min="3" max="3" width="18" bestFit="1" customWidth="1"/>
    <col min="4" max="4" width="14.5703125" bestFit="1" customWidth="1"/>
    <col min="5" max="5" width="10" bestFit="1" customWidth="1"/>
    <col min="6" max="6" width="19.7109375" bestFit="1" customWidth="1"/>
    <col min="7" max="7" width="22.85546875" bestFit="1" customWidth="1"/>
    <col min="8" max="8" width="15.5703125" bestFit="1" customWidth="1"/>
    <col min="9" max="9" width="10" style="1" bestFit="1" customWidth="1"/>
    <col min="10" max="10" width="22.140625" bestFit="1" customWidth="1"/>
    <col min="11" max="11" width="14" bestFit="1" customWidth="1"/>
    <col min="12" max="12" width="14" customWidth="1"/>
    <col min="13" max="13" width="11.5703125" bestFit="1" customWidth="1"/>
    <col min="14" max="14" width="20.28515625" style="1" bestFit="1" customWidth="1"/>
    <col min="15" max="15" width="11.28515625" customWidth="1"/>
    <col min="16" max="16" width="10.5703125" bestFit="1" customWidth="1"/>
  </cols>
  <sheetData>
    <row r="1" spans="1:16" ht="48" x14ac:dyDescent="0.25">
      <c r="A1" s="53"/>
      <c r="B1" s="54" t="s">
        <v>3</v>
      </c>
      <c r="C1" s="57" t="s">
        <v>421</v>
      </c>
      <c r="D1" s="57" t="s">
        <v>422</v>
      </c>
      <c r="E1" s="57" t="s">
        <v>419</v>
      </c>
      <c r="F1" s="58" t="s">
        <v>425</v>
      </c>
      <c r="G1" s="57" t="s">
        <v>431</v>
      </c>
      <c r="H1" s="57" t="s">
        <v>426</v>
      </c>
      <c r="I1" s="57" t="s">
        <v>419</v>
      </c>
      <c r="J1" s="58" t="s">
        <v>427</v>
      </c>
      <c r="K1" s="57" t="s">
        <v>428</v>
      </c>
      <c r="L1" s="57" t="s">
        <v>432</v>
      </c>
      <c r="M1" s="57" t="s">
        <v>429</v>
      </c>
      <c r="N1" s="17" t="s">
        <v>430</v>
      </c>
      <c r="O1" s="59" t="s">
        <v>416</v>
      </c>
    </row>
    <row r="2" spans="1:16" ht="18" x14ac:dyDescent="0.25">
      <c r="A2" s="55" t="s">
        <v>6</v>
      </c>
      <c r="B2" s="56">
        <v>4106902</v>
      </c>
      <c r="C2" s="69">
        <v>17725</v>
      </c>
      <c r="D2" s="69">
        <v>85003</v>
      </c>
      <c r="E2" s="70">
        <v>0.20852205216286485</v>
      </c>
      <c r="F2" s="70">
        <v>67.953453036022879</v>
      </c>
      <c r="G2" s="69">
        <v>233206</v>
      </c>
      <c r="H2" s="69">
        <v>202402</v>
      </c>
      <c r="I2" s="70">
        <v>1.1521921720141106</v>
      </c>
      <c r="J2" s="70">
        <v>72.220046142017736</v>
      </c>
      <c r="K2" s="69">
        <v>379</v>
      </c>
      <c r="L2" s="69">
        <v>604</v>
      </c>
      <c r="M2" s="70">
        <v>0.62748344370860931</v>
      </c>
      <c r="N2" s="70">
        <v>37.251655629139066</v>
      </c>
      <c r="O2" s="27">
        <f>(2*F2+J2+N2)/4</f>
        <v>61.34465196080064</v>
      </c>
      <c r="P2" s="71">
        <f>(O2-O$402)/(O$403-O$402)*100</f>
        <v>56.511036138398964</v>
      </c>
    </row>
    <row r="3" spans="1:16" ht="18" x14ac:dyDescent="0.25">
      <c r="A3" s="55" t="s">
        <v>12</v>
      </c>
      <c r="B3" s="56">
        <v>4108304</v>
      </c>
      <c r="C3" s="69">
        <v>4900</v>
      </c>
      <c r="D3" s="69">
        <v>18300</v>
      </c>
      <c r="E3" s="70">
        <v>0.26775956284153007</v>
      </c>
      <c r="F3" s="70">
        <v>58.849582973828007</v>
      </c>
      <c r="G3" s="69">
        <v>43678</v>
      </c>
      <c r="H3" s="69">
        <v>39481</v>
      </c>
      <c r="I3" s="70">
        <v>1.1063042982700539</v>
      </c>
      <c r="J3" s="70">
        <v>75.341641897308463</v>
      </c>
      <c r="K3" s="69">
        <v>29</v>
      </c>
      <c r="L3" s="69">
        <v>73</v>
      </c>
      <c r="M3" s="70">
        <v>0.39726027397260272</v>
      </c>
      <c r="N3" s="70">
        <v>60.273972602739725</v>
      </c>
      <c r="O3" s="27">
        <f t="shared" ref="O3:O66" si="0">(2*F3+J3+N3)/4</f>
        <v>63.328695111926052</v>
      </c>
      <c r="P3" s="71">
        <f t="shared" ref="P3:P66" si="1">(O3-O$402)/(O$403-O$402)*100</f>
        <v>59.854018377483989</v>
      </c>
    </row>
    <row r="4" spans="1:16" ht="18" x14ac:dyDescent="0.25">
      <c r="A4" s="55" t="s">
        <v>8</v>
      </c>
      <c r="B4" s="56">
        <v>4115200</v>
      </c>
      <c r="C4" s="69">
        <v>6614</v>
      </c>
      <c r="D4" s="69">
        <v>21680</v>
      </c>
      <c r="E4" s="70">
        <v>0.30507380073800738</v>
      </c>
      <c r="F4" s="70">
        <v>53.114973781316763</v>
      </c>
      <c r="G4" s="69">
        <v>53527</v>
      </c>
      <c r="H4" s="69">
        <v>45546</v>
      </c>
      <c r="I4" s="70">
        <v>1.1752294383699995</v>
      </c>
      <c r="J4" s="70">
        <v>70.652899377468444</v>
      </c>
      <c r="K4" s="69">
        <v>63</v>
      </c>
      <c r="L4" s="69">
        <v>125</v>
      </c>
      <c r="M4" s="70">
        <v>0.504</v>
      </c>
      <c r="N4" s="70">
        <v>49.6</v>
      </c>
      <c r="O4" s="27">
        <f t="shared" si="0"/>
        <v>56.620711735025488</v>
      </c>
      <c r="P4" s="71">
        <f t="shared" si="1"/>
        <v>48.551507504000128</v>
      </c>
    </row>
    <row r="5" spans="1:16" ht="18" x14ac:dyDescent="0.25">
      <c r="A5" s="55" t="s">
        <v>10</v>
      </c>
      <c r="B5" s="56">
        <v>4104808</v>
      </c>
      <c r="C5" s="69">
        <v>5285</v>
      </c>
      <c r="D5" s="69">
        <v>23119</v>
      </c>
      <c r="E5" s="70">
        <v>0.22859985293481552</v>
      </c>
      <c r="F5" s="70">
        <v>64.86781207528098</v>
      </c>
      <c r="G5" s="69">
        <v>50655</v>
      </c>
      <c r="H5" s="69">
        <v>45120</v>
      </c>
      <c r="I5" s="70">
        <v>1.1226728723404256</v>
      </c>
      <c r="J5" s="70">
        <v>74.228143555170703</v>
      </c>
      <c r="K5" s="69">
        <v>46</v>
      </c>
      <c r="L5" s="69">
        <v>102</v>
      </c>
      <c r="M5" s="70">
        <v>0.45098039215686275</v>
      </c>
      <c r="N5" s="70">
        <v>54.901960784313729</v>
      </c>
      <c r="O5" s="27">
        <f t="shared" si="0"/>
        <v>64.716432122511605</v>
      </c>
      <c r="P5" s="71">
        <f t="shared" si="1"/>
        <v>62.192263982816186</v>
      </c>
    </row>
    <row r="6" spans="1:16" ht="18" x14ac:dyDescent="0.25">
      <c r="A6" s="55" t="s">
        <v>7</v>
      </c>
      <c r="B6" s="56">
        <v>4113700</v>
      </c>
      <c r="C6" s="69">
        <v>2282</v>
      </c>
      <c r="D6" s="69">
        <v>30194</v>
      </c>
      <c r="E6" s="70">
        <v>7.5577929389945023E-2</v>
      </c>
      <c r="F6" s="70">
        <v>88.384865588492673</v>
      </c>
      <c r="G6" s="69">
        <v>77042</v>
      </c>
      <c r="H6" s="69">
        <v>66820</v>
      </c>
      <c r="I6" s="70">
        <v>1.1529781502544147</v>
      </c>
      <c r="J6" s="70">
        <v>72.166578719396043</v>
      </c>
      <c r="K6" s="69">
        <v>152</v>
      </c>
      <c r="L6" s="69">
        <v>187</v>
      </c>
      <c r="M6" s="70">
        <v>0.81283422459893051</v>
      </c>
      <c r="N6" s="70">
        <v>18.71657754010695</v>
      </c>
      <c r="O6" s="27">
        <f t="shared" si="0"/>
        <v>66.913221859122075</v>
      </c>
      <c r="P6" s="71">
        <f t="shared" si="1"/>
        <v>65.893710228240536</v>
      </c>
    </row>
    <row r="7" spans="1:16" ht="18" x14ac:dyDescent="0.25">
      <c r="A7" s="55" t="s">
        <v>9</v>
      </c>
      <c r="B7" s="56">
        <v>4119905</v>
      </c>
      <c r="C7" s="69">
        <v>4698</v>
      </c>
      <c r="D7" s="69">
        <v>22756</v>
      </c>
      <c r="E7" s="70">
        <v>0.20645104587801019</v>
      </c>
      <c r="F7" s="70">
        <v>68.271734001905799</v>
      </c>
      <c r="G7" s="69">
        <v>54861</v>
      </c>
      <c r="H7" s="69">
        <v>50454</v>
      </c>
      <c r="I7" s="70">
        <v>1.0873468902366512</v>
      </c>
      <c r="J7" s="70">
        <v>76.631249796302669</v>
      </c>
      <c r="K7" s="69">
        <v>37</v>
      </c>
      <c r="L7" s="69">
        <v>105</v>
      </c>
      <c r="M7" s="70">
        <v>0.35238095238095241</v>
      </c>
      <c r="N7" s="70">
        <v>64.761904761904759</v>
      </c>
      <c r="O7" s="27">
        <f t="shared" si="0"/>
        <v>69.484155640504753</v>
      </c>
      <c r="P7" s="71">
        <f t="shared" si="1"/>
        <v>70.225564585415626</v>
      </c>
    </row>
    <row r="8" spans="1:16" ht="18" x14ac:dyDescent="0.25">
      <c r="A8" s="55" t="s">
        <v>11</v>
      </c>
      <c r="B8" s="56">
        <v>4125506</v>
      </c>
      <c r="C8" s="69">
        <v>3447</v>
      </c>
      <c r="D8" s="69">
        <v>21137</v>
      </c>
      <c r="E8" s="70">
        <v>0.16307896106353786</v>
      </c>
      <c r="F8" s="70">
        <v>74.93733861549839</v>
      </c>
      <c r="G8" s="69">
        <v>52037</v>
      </c>
      <c r="H8" s="69">
        <v>47016</v>
      </c>
      <c r="I8" s="70">
        <v>1.106793432023141</v>
      </c>
      <c r="J8" s="70">
        <v>75.308367794090643</v>
      </c>
      <c r="K8" s="69">
        <v>37</v>
      </c>
      <c r="L8" s="69">
        <v>82</v>
      </c>
      <c r="M8" s="70">
        <v>0.45121951219512196</v>
      </c>
      <c r="N8" s="70">
        <v>54.878048780487809</v>
      </c>
      <c r="O8" s="27">
        <f t="shared" si="0"/>
        <v>70.01527345139381</v>
      </c>
      <c r="P8" s="71">
        <f t="shared" si="1"/>
        <v>71.120463170487568</v>
      </c>
    </row>
    <row r="9" spans="1:16" ht="18" x14ac:dyDescent="0.25">
      <c r="A9" s="55" t="s">
        <v>13</v>
      </c>
      <c r="B9" s="56">
        <v>4105805</v>
      </c>
      <c r="C9" s="69">
        <v>3929</v>
      </c>
      <c r="D9" s="69">
        <v>14801</v>
      </c>
      <c r="E9" s="70">
        <v>0.26545503682183635</v>
      </c>
      <c r="F9" s="70">
        <v>59.203752235802</v>
      </c>
      <c r="G9" s="69">
        <v>37968</v>
      </c>
      <c r="H9" s="69">
        <v>33632</v>
      </c>
      <c r="I9" s="70">
        <v>1.1289248334919124</v>
      </c>
      <c r="J9" s="70">
        <v>73.802843932408138</v>
      </c>
      <c r="K9" s="69">
        <v>14</v>
      </c>
      <c r="L9" s="69">
        <v>60</v>
      </c>
      <c r="M9" s="70">
        <v>0.23333333333333334</v>
      </c>
      <c r="N9" s="70">
        <v>76.666666666666657</v>
      </c>
      <c r="O9" s="27">
        <f t="shared" si="0"/>
        <v>67.219253767669699</v>
      </c>
      <c r="P9" s="71">
        <f t="shared" si="1"/>
        <v>66.409353869502922</v>
      </c>
    </row>
    <row r="10" spans="1:16" ht="18" x14ac:dyDescent="0.25">
      <c r="A10" s="55" t="s">
        <v>15</v>
      </c>
      <c r="B10" s="56">
        <v>4101804</v>
      </c>
      <c r="C10" s="69">
        <v>3972</v>
      </c>
      <c r="D10" s="69">
        <v>10075</v>
      </c>
      <c r="E10" s="70">
        <v>0.39424317617866006</v>
      </c>
      <c r="F10" s="70">
        <v>39.411048713595406</v>
      </c>
      <c r="G10" s="69">
        <v>25488</v>
      </c>
      <c r="H10" s="69">
        <v>22332</v>
      </c>
      <c r="I10" s="70">
        <v>1.1413218699623857</v>
      </c>
      <c r="J10" s="70">
        <v>72.959515766011535</v>
      </c>
      <c r="K10" s="69">
        <v>12</v>
      </c>
      <c r="L10" s="69">
        <v>49</v>
      </c>
      <c r="M10" s="70">
        <v>0.24489795918367346</v>
      </c>
      <c r="N10" s="70">
        <v>75.510204081632651</v>
      </c>
      <c r="O10" s="27">
        <f t="shared" si="0"/>
        <v>56.822954318708753</v>
      </c>
      <c r="P10" s="71">
        <f t="shared" si="1"/>
        <v>48.892272958045986</v>
      </c>
    </row>
    <row r="11" spans="1:16" ht="18" x14ac:dyDescent="0.25">
      <c r="A11" s="55" t="s">
        <v>14</v>
      </c>
      <c r="B11" s="56">
        <v>4109401</v>
      </c>
      <c r="C11" s="69">
        <v>2947</v>
      </c>
      <c r="D11" s="69">
        <v>12791</v>
      </c>
      <c r="E11" s="70">
        <v>0.23039637244937847</v>
      </c>
      <c r="F11" s="70">
        <v>64.591715391990263</v>
      </c>
      <c r="G11" s="69">
        <v>29194</v>
      </c>
      <c r="H11" s="69">
        <v>25554</v>
      </c>
      <c r="I11" s="70">
        <v>1.1424434530797527</v>
      </c>
      <c r="J11" s="70">
        <v>72.883218286683842</v>
      </c>
      <c r="K11" s="69">
        <v>22</v>
      </c>
      <c r="L11" s="69">
        <v>48</v>
      </c>
      <c r="M11" s="70">
        <v>0.45833333333333331</v>
      </c>
      <c r="N11" s="70">
        <v>54.166666666666671</v>
      </c>
      <c r="O11" s="27">
        <f t="shared" si="0"/>
        <v>64.058328934332764</v>
      </c>
      <c r="P11" s="71">
        <f t="shared" si="1"/>
        <v>61.083403387561908</v>
      </c>
    </row>
    <row r="12" spans="1:16" ht="18" x14ac:dyDescent="0.25">
      <c r="A12" s="55" t="s">
        <v>17</v>
      </c>
      <c r="B12" s="56">
        <v>4107652</v>
      </c>
      <c r="C12" s="69">
        <v>1781</v>
      </c>
      <c r="D12" s="69">
        <v>11090</v>
      </c>
      <c r="E12" s="70">
        <v>0.16059513074842199</v>
      </c>
      <c r="F12" s="70">
        <v>75.319064116558295</v>
      </c>
      <c r="G12" s="69">
        <v>26388</v>
      </c>
      <c r="H12" s="69">
        <v>24618</v>
      </c>
      <c r="I12" s="70">
        <v>1.0718986107726054</v>
      </c>
      <c r="J12" s="70">
        <v>77.682143630923989</v>
      </c>
      <c r="K12" s="69">
        <v>7</v>
      </c>
      <c r="L12" s="69">
        <v>20</v>
      </c>
      <c r="M12" s="70">
        <v>0.35</v>
      </c>
      <c r="N12" s="70">
        <v>65</v>
      </c>
      <c r="O12" s="27">
        <f t="shared" si="0"/>
        <v>73.330067966010148</v>
      </c>
      <c r="P12" s="71">
        <f t="shared" si="1"/>
        <v>76.705673946923156</v>
      </c>
    </row>
    <row r="13" spans="1:16" ht="18" x14ac:dyDescent="0.25">
      <c r="A13" s="55" t="s">
        <v>16</v>
      </c>
      <c r="B13" s="56">
        <v>4127700</v>
      </c>
      <c r="C13" s="69">
        <v>3483</v>
      </c>
      <c r="D13" s="69">
        <v>9412</v>
      </c>
      <c r="E13" s="70">
        <v>0.37005949851253717</v>
      </c>
      <c r="F13" s="70">
        <v>43.127698123336401</v>
      </c>
      <c r="G13" s="69">
        <v>21824</v>
      </c>
      <c r="H13" s="69">
        <v>19560</v>
      </c>
      <c r="I13" s="70">
        <v>1.1157464212678936</v>
      </c>
      <c r="J13" s="70">
        <v>74.699326429928448</v>
      </c>
      <c r="K13" s="69">
        <v>11</v>
      </c>
      <c r="L13" s="69">
        <v>41</v>
      </c>
      <c r="M13" s="70">
        <v>0.26829268292682928</v>
      </c>
      <c r="N13" s="70">
        <v>73.170731707317074</v>
      </c>
      <c r="O13" s="27">
        <f t="shared" si="0"/>
        <v>58.531363595979585</v>
      </c>
      <c r="P13" s="71">
        <f t="shared" si="1"/>
        <v>51.770830245353416</v>
      </c>
    </row>
    <row r="14" spans="1:16" ht="18" x14ac:dyDescent="0.25">
      <c r="A14" s="55" t="s">
        <v>18</v>
      </c>
      <c r="B14" s="56">
        <v>4118204</v>
      </c>
      <c r="C14" s="69">
        <v>1969</v>
      </c>
      <c r="D14" s="69">
        <v>10180</v>
      </c>
      <c r="E14" s="70">
        <v>0.19341846758349707</v>
      </c>
      <c r="F14" s="70">
        <v>70.274635508220456</v>
      </c>
      <c r="G14" s="69">
        <v>24308</v>
      </c>
      <c r="H14" s="69">
        <v>21072</v>
      </c>
      <c r="I14" s="70">
        <v>1.1535687167805619</v>
      </c>
      <c r="J14" s="70">
        <v>72.126404490110104</v>
      </c>
      <c r="K14" s="69">
        <v>23</v>
      </c>
      <c r="L14" s="69">
        <v>49</v>
      </c>
      <c r="M14" s="70">
        <v>0.46938775510204084</v>
      </c>
      <c r="N14" s="70">
        <v>53.061224489795912</v>
      </c>
      <c r="O14" s="27">
        <f t="shared" si="0"/>
        <v>66.434224999086737</v>
      </c>
      <c r="P14" s="71">
        <f t="shared" si="1"/>
        <v>65.08663201788643</v>
      </c>
    </row>
    <row r="15" spans="1:16" ht="18" x14ac:dyDescent="0.25">
      <c r="A15" s="55" t="s">
        <v>20</v>
      </c>
      <c r="B15" s="56">
        <v>4101408</v>
      </c>
      <c r="C15" s="69">
        <v>2717</v>
      </c>
      <c r="D15" s="69">
        <v>7678</v>
      </c>
      <c r="E15" s="70">
        <v>0.35386819484240689</v>
      </c>
      <c r="F15" s="70">
        <v>45.616045845272204</v>
      </c>
      <c r="G15" s="69">
        <v>18761</v>
      </c>
      <c r="H15" s="69">
        <v>16944</v>
      </c>
      <c r="I15" s="70">
        <v>1.1072355996222851</v>
      </c>
      <c r="J15" s="70">
        <v>75.278288638357395</v>
      </c>
      <c r="K15" s="69">
        <v>17</v>
      </c>
      <c r="L15" s="69">
        <v>41</v>
      </c>
      <c r="M15" s="70">
        <v>0.41463414634146339</v>
      </c>
      <c r="N15" s="70">
        <v>58.536585365853668</v>
      </c>
      <c r="O15" s="27">
        <f t="shared" si="0"/>
        <v>56.261741423688875</v>
      </c>
      <c r="P15" s="71">
        <f t="shared" si="1"/>
        <v>47.946666135264557</v>
      </c>
    </row>
    <row r="16" spans="1:16" ht="18" x14ac:dyDescent="0.25">
      <c r="A16" s="55" t="s">
        <v>19</v>
      </c>
      <c r="B16" s="56">
        <v>4104204</v>
      </c>
      <c r="C16" s="69">
        <v>2467</v>
      </c>
      <c r="D16" s="69">
        <v>8119</v>
      </c>
      <c r="E16" s="70">
        <v>0.30385515457568668</v>
      </c>
      <c r="F16" s="70">
        <v>53.302260454683946</v>
      </c>
      <c r="G16" s="69">
        <v>19296</v>
      </c>
      <c r="H16" s="69">
        <v>18537</v>
      </c>
      <c r="I16" s="70">
        <v>1.0409451367535201</v>
      </c>
      <c r="J16" s="70">
        <v>79.787803039952337</v>
      </c>
      <c r="K16" s="69">
        <v>8</v>
      </c>
      <c r="L16" s="69">
        <v>30</v>
      </c>
      <c r="M16" s="70">
        <v>0.26666666666666666</v>
      </c>
      <c r="N16" s="70">
        <v>73.333333333333343</v>
      </c>
      <c r="O16" s="27">
        <f t="shared" si="0"/>
        <v>64.931414320663393</v>
      </c>
      <c r="P16" s="71">
        <f t="shared" si="1"/>
        <v>62.554494849485195</v>
      </c>
    </row>
    <row r="17" spans="1:16" ht="18" x14ac:dyDescent="0.25">
      <c r="A17" s="55" t="s">
        <v>21</v>
      </c>
      <c r="B17" s="56">
        <v>4119152</v>
      </c>
      <c r="C17" s="69">
        <v>2373</v>
      </c>
      <c r="D17" s="69">
        <v>6847</v>
      </c>
      <c r="E17" s="70">
        <v>0.34657514239813059</v>
      </c>
      <c r="F17" s="70">
        <v>46.736872852497832</v>
      </c>
      <c r="G17" s="69">
        <v>20400</v>
      </c>
      <c r="H17" s="69">
        <v>16795</v>
      </c>
      <c r="I17" s="70">
        <v>1.2146472164334623</v>
      </c>
      <c r="J17" s="70">
        <v>67.971442193982483</v>
      </c>
      <c r="K17" s="69">
        <v>17</v>
      </c>
      <c r="L17" s="69">
        <v>38</v>
      </c>
      <c r="M17" s="70">
        <v>0.44736842105263158</v>
      </c>
      <c r="N17" s="70">
        <v>55.263157894736835</v>
      </c>
      <c r="O17" s="27">
        <f t="shared" si="0"/>
        <v>54.177086448428739</v>
      </c>
      <c r="P17" s="71">
        <f t="shared" si="1"/>
        <v>44.434159588740187</v>
      </c>
    </row>
    <row r="18" spans="1:16" ht="18" x14ac:dyDescent="0.25">
      <c r="A18" s="55" t="s">
        <v>24</v>
      </c>
      <c r="B18" s="56">
        <v>4119509</v>
      </c>
      <c r="C18" s="69">
        <v>1529</v>
      </c>
      <c r="D18" s="69">
        <v>7896</v>
      </c>
      <c r="E18" s="70">
        <v>0.19364235055724419</v>
      </c>
      <c r="F18" s="70">
        <v>70.240228230149839</v>
      </c>
      <c r="G18" s="69">
        <v>18075</v>
      </c>
      <c r="H18" s="69">
        <v>18220</v>
      </c>
      <c r="I18" s="70">
        <v>0.99204171240395167</v>
      </c>
      <c r="J18" s="70">
        <v>83.114536431877383</v>
      </c>
      <c r="K18" s="69">
        <v>4</v>
      </c>
      <c r="L18" s="69">
        <v>22</v>
      </c>
      <c r="M18" s="70">
        <v>0.18181818181818182</v>
      </c>
      <c r="N18" s="70">
        <v>81.818181818181813</v>
      </c>
      <c r="O18" s="27">
        <f t="shared" si="0"/>
        <v>76.353293677589718</v>
      </c>
      <c r="P18" s="71">
        <f t="shared" si="1"/>
        <v>81.799610463789179</v>
      </c>
    </row>
    <row r="19" spans="1:16" ht="18" x14ac:dyDescent="0.25">
      <c r="A19" s="55" t="s">
        <v>25</v>
      </c>
      <c r="B19" s="56">
        <v>4126256</v>
      </c>
      <c r="C19" s="69">
        <v>1184</v>
      </c>
      <c r="D19" s="69">
        <v>8567</v>
      </c>
      <c r="E19" s="70">
        <v>0.13820473911520953</v>
      </c>
      <c r="F19" s="70">
        <v>78.760113778083578</v>
      </c>
      <c r="G19" s="69">
        <v>15652</v>
      </c>
      <c r="H19" s="69">
        <v>16897</v>
      </c>
      <c r="I19" s="70">
        <v>0.92631828135171923</v>
      </c>
      <c r="J19" s="70">
        <v>87.585477590321531</v>
      </c>
      <c r="K19" s="69">
        <v>14</v>
      </c>
      <c r="L19" s="69">
        <v>27</v>
      </c>
      <c r="M19" s="70">
        <v>0.51851851851851849</v>
      </c>
      <c r="N19" s="70">
        <v>48.148148148148152</v>
      </c>
      <c r="O19" s="27">
        <f t="shared" si="0"/>
        <v>73.313463323659207</v>
      </c>
      <c r="P19" s="71">
        <f t="shared" si="1"/>
        <v>76.677696216482133</v>
      </c>
    </row>
    <row r="20" spans="1:16" ht="18" x14ac:dyDescent="0.25">
      <c r="A20" s="55" t="s">
        <v>22</v>
      </c>
      <c r="B20" s="56">
        <v>4100400</v>
      </c>
      <c r="C20" s="69">
        <v>918</v>
      </c>
      <c r="D20" s="69">
        <v>8185</v>
      </c>
      <c r="E20" s="70">
        <v>0.11215638362858889</v>
      </c>
      <c r="F20" s="70">
        <v>82.763334726553708</v>
      </c>
      <c r="G20" s="69">
        <v>14136</v>
      </c>
      <c r="H20" s="69">
        <v>18915</v>
      </c>
      <c r="I20" s="70">
        <v>0.74734337827121333</v>
      </c>
      <c r="J20" s="70">
        <v>99.760530652832131</v>
      </c>
      <c r="K20" s="69">
        <v>4</v>
      </c>
      <c r="L20" s="69">
        <v>24</v>
      </c>
      <c r="M20" s="70">
        <v>0.16666666666666666</v>
      </c>
      <c r="N20" s="70">
        <v>83.333333333333343</v>
      </c>
      <c r="O20" s="27">
        <f t="shared" si="0"/>
        <v>87.155133359818223</v>
      </c>
      <c r="P20" s="71">
        <f t="shared" si="1"/>
        <v>100</v>
      </c>
    </row>
    <row r="21" spans="1:16" ht="18" x14ac:dyDescent="0.25">
      <c r="A21" s="55" t="s">
        <v>23</v>
      </c>
      <c r="B21" s="56">
        <v>4101507</v>
      </c>
      <c r="C21" s="69">
        <v>1980</v>
      </c>
      <c r="D21" s="69">
        <v>7199</v>
      </c>
      <c r="E21" s="70">
        <v>0.2750381997499653</v>
      </c>
      <c r="F21" s="70">
        <v>57.730971406847445</v>
      </c>
      <c r="G21" s="69">
        <v>16820</v>
      </c>
      <c r="H21" s="69">
        <v>15470</v>
      </c>
      <c r="I21" s="70">
        <v>1.0872656755009695</v>
      </c>
      <c r="J21" s="70">
        <v>76.636774558151188</v>
      </c>
      <c r="K21" s="69">
        <v>28</v>
      </c>
      <c r="L21" s="69">
        <v>51</v>
      </c>
      <c r="M21" s="70">
        <v>0.5490196078431373</v>
      </c>
      <c r="N21" s="70">
        <v>45.098039215686271</v>
      </c>
      <c r="O21" s="27">
        <f t="shared" si="0"/>
        <v>59.299189146883087</v>
      </c>
      <c r="P21" s="71">
        <f t="shared" si="1"/>
        <v>53.064565806462618</v>
      </c>
    </row>
    <row r="22" spans="1:16" ht="18" x14ac:dyDescent="0.25">
      <c r="A22" s="55" t="s">
        <v>26</v>
      </c>
      <c r="B22" s="56">
        <v>4128104</v>
      </c>
      <c r="C22" s="69">
        <v>1884</v>
      </c>
      <c r="D22" s="69">
        <v>7514</v>
      </c>
      <c r="E22" s="70">
        <v>0.25073196699494277</v>
      </c>
      <c r="F22" s="70">
        <v>61.466455598671956</v>
      </c>
      <c r="G22" s="69">
        <v>16649</v>
      </c>
      <c r="H22" s="69">
        <v>14786</v>
      </c>
      <c r="I22" s="70">
        <v>1.1259975652644394</v>
      </c>
      <c r="J22" s="70">
        <v>74.001976019556992</v>
      </c>
      <c r="K22" s="69">
        <v>14</v>
      </c>
      <c r="L22" s="69">
        <v>37</v>
      </c>
      <c r="M22" s="70">
        <v>0.3783783783783784</v>
      </c>
      <c r="N22" s="70">
        <v>62.162162162162161</v>
      </c>
      <c r="O22" s="27">
        <f t="shared" si="0"/>
        <v>64.774262344765759</v>
      </c>
      <c r="P22" s="71">
        <f t="shared" si="1"/>
        <v>62.289704104402411</v>
      </c>
    </row>
    <row r="23" spans="1:16" ht="18" x14ac:dyDescent="0.25">
      <c r="A23" s="55" t="s">
        <v>29</v>
      </c>
      <c r="B23" s="56">
        <v>4108403</v>
      </c>
      <c r="C23" s="69">
        <v>2554</v>
      </c>
      <c r="D23" s="69">
        <v>6254</v>
      </c>
      <c r="E23" s="70">
        <v>0.40837863767188998</v>
      </c>
      <c r="F23" s="70">
        <v>37.238651473583232</v>
      </c>
      <c r="G23" s="69">
        <v>13449</v>
      </c>
      <c r="H23" s="69">
        <v>12385</v>
      </c>
      <c r="I23" s="70">
        <v>1.0859103754541783</v>
      </c>
      <c r="J23" s="70">
        <v>76.728971004140504</v>
      </c>
      <c r="K23" s="69">
        <v>10</v>
      </c>
      <c r="L23" s="69">
        <v>30</v>
      </c>
      <c r="M23" s="70">
        <v>0.33333333333333331</v>
      </c>
      <c r="N23" s="70">
        <v>66.666666666666671</v>
      </c>
      <c r="O23" s="27">
        <f t="shared" si="0"/>
        <v>54.468235154493414</v>
      </c>
      <c r="P23" s="71">
        <f t="shared" si="1"/>
        <v>44.924726012537327</v>
      </c>
    </row>
    <row r="24" spans="1:16" ht="18" x14ac:dyDescent="0.25">
      <c r="A24" s="55" t="s">
        <v>28</v>
      </c>
      <c r="B24" s="56">
        <v>4104303</v>
      </c>
      <c r="C24" s="69">
        <v>2022</v>
      </c>
      <c r="D24" s="69">
        <v>6305</v>
      </c>
      <c r="E24" s="70">
        <v>0.32069785884218877</v>
      </c>
      <c r="F24" s="70">
        <v>50.713802746358361</v>
      </c>
      <c r="G24" s="69">
        <v>14521</v>
      </c>
      <c r="H24" s="69">
        <v>12740</v>
      </c>
      <c r="I24" s="70">
        <v>1.1397959183673469</v>
      </c>
      <c r="J24" s="70">
        <v>73.063321055583685</v>
      </c>
      <c r="K24" s="69">
        <v>11</v>
      </c>
      <c r="L24" s="69">
        <v>31</v>
      </c>
      <c r="M24" s="70">
        <v>0.35483870967741937</v>
      </c>
      <c r="N24" s="70">
        <v>64.516129032258064</v>
      </c>
      <c r="O24" s="27">
        <f t="shared" si="0"/>
        <v>59.751763895139618</v>
      </c>
      <c r="P24" s="71">
        <f t="shared" si="1"/>
        <v>53.827124495985956</v>
      </c>
    </row>
    <row r="25" spans="1:16" ht="18" x14ac:dyDescent="0.25">
      <c r="A25" s="55" t="s">
        <v>27</v>
      </c>
      <c r="B25" s="56">
        <v>4103701</v>
      </c>
      <c r="C25" s="69">
        <v>1796</v>
      </c>
      <c r="D25" s="69">
        <v>6176</v>
      </c>
      <c r="E25" s="70">
        <v>0.29080310880829013</v>
      </c>
      <c r="F25" s="70">
        <v>55.30815380419962</v>
      </c>
      <c r="G25" s="69">
        <v>14407</v>
      </c>
      <c r="H25" s="69">
        <v>13404</v>
      </c>
      <c r="I25" s="70">
        <v>1.0748284094300209</v>
      </c>
      <c r="J25" s="70">
        <v>77.482839407244867</v>
      </c>
      <c r="K25" s="69">
        <v>12</v>
      </c>
      <c r="L25" s="69">
        <v>37</v>
      </c>
      <c r="M25" s="70">
        <v>0.32432432432432434</v>
      </c>
      <c r="N25" s="70">
        <v>67.567567567567565</v>
      </c>
      <c r="O25" s="27">
        <f t="shared" si="0"/>
        <v>63.916678645802918</v>
      </c>
      <c r="P25" s="71">
        <f t="shared" si="1"/>
        <v>60.84473196630379</v>
      </c>
    </row>
    <row r="26" spans="1:16" ht="18" x14ac:dyDescent="0.25">
      <c r="A26" s="55" t="s">
        <v>31</v>
      </c>
      <c r="B26" s="56">
        <v>4118501</v>
      </c>
      <c r="C26" s="69">
        <v>1960</v>
      </c>
      <c r="D26" s="69">
        <v>5897</v>
      </c>
      <c r="E26" s="70">
        <v>0.33237239274207225</v>
      </c>
      <c r="F26" s="70">
        <v>48.919611220692055</v>
      </c>
      <c r="G26" s="69">
        <v>13803</v>
      </c>
      <c r="H26" s="69">
        <v>11949</v>
      </c>
      <c r="I26" s="70">
        <v>1.1551594275671604</v>
      </c>
      <c r="J26" s="70">
        <v>72.018193853307963</v>
      </c>
      <c r="K26" s="69">
        <v>15</v>
      </c>
      <c r="L26" s="69">
        <v>39</v>
      </c>
      <c r="M26" s="70">
        <v>0.38461538461538464</v>
      </c>
      <c r="N26" s="70">
        <v>61.53846153846154</v>
      </c>
      <c r="O26" s="27">
        <f t="shared" si="0"/>
        <v>57.848969458288408</v>
      </c>
      <c r="P26" s="71">
        <f t="shared" si="1"/>
        <v>50.621040997542281</v>
      </c>
    </row>
    <row r="27" spans="1:16" ht="18" x14ac:dyDescent="0.25">
      <c r="A27" s="55" t="s">
        <v>32</v>
      </c>
      <c r="B27" s="56">
        <v>4105508</v>
      </c>
      <c r="C27" s="69">
        <v>1793</v>
      </c>
      <c r="D27" s="69">
        <v>5041</v>
      </c>
      <c r="E27" s="70">
        <v>0.35568339615155725</v>
      </c>
      <c r="F27" s="70">
        <v>45.337078065129099</v>
      </c>
      <c r="G27" s="69">
        <v>11276</v>
      </c>
      <c r="H27" s="69">
        <v>10122</v>
      </c>
      <c r="I27" s="70">
        <v>1.1140090891128236</v>
      </c>
      <c r="J27" s="70">
        <v>74.817511219030791</v>
      </c>
      <c r="K27" s="69">
        <v>8</v>
      </c>
      <c r="L27" s="69">
        <v>21</v>
      </c>
      <c r="M27" s="70">
        <v>0.38095238095238093</v>
      </c>
      <c r="N27" s="70">
        <v>61.904761904761905</v>
      </c>
      <c r="O27" s="27">
        <f t="shared" si="0"/>
        <v>56.849107313512725</v>
      </c>
      <c r="P27" s="71">
        <f t="shared" si="1"/>
        <v>48.936339034471274</v>
      </c>
    </row>
    <row r="28" spans="1:16" ht="18" x14ac:dyDescent="0.25">
      <c r="A28" s="55" t="s">
        <v>42</v>
      </c>
      <c r="B28" s="56">
        <v>4117602</v>
      </c>
      <c r="C28" s="69">
        <v>881</v>
      </c>
      <c r="D28" s="69">
        <v>3747</v>
      </c>
      <c r="E28" s="70">
        <v>0.2351214304777155</v>
      </c>
      <c r="F28" s="70">
        <v>63.865548579214249</v>
      </c>
      <c r="G28" s="69">
        <v>8081</v>
      </c>
      <c r="H28" s="69">
        <v>7729</v>
      </c>
      <c r="I28" s="70">
        <v>1.0455427610298875</v>
      </c>
      <c r="J28" s="70">
        <v>79.475042320081585</v>
      </c>
      <c r="K28" s="69">
        <v>5</v>
      </c>
      <c r="L28" s="69">
        <v>19</v>
      </c>
      <c r="M28" s="70">
        <v>0.26315789473684209</v>
      </c>
      <c r="N28" s="70">
        <v>73.684210526315795</v>
      </c>
      <c r="O28" s="27">
        <f t="shared" si="0"/>
        <v>70.222587501206462</v>
      </c>
      <c r="P28" s="71">
        <f t="shared" si="1"/>
        <v>71.469773711462125</v>
      </c>
    </row>
    <row r="29" spans="1:16" ht="18" x14ac:dyDescent="0.25">
      <c r="A29" s="55" t="s">
        <v>30</v>
      </c>
      <c r="B29" s="56">
        <v>4118402</v>
      </c>
      <c r="C29" s="69">
        <v>1332</v>
      </c>
      <c r="D29" s="69">
        <v>5686</v>
      </c>
      <c r="E29" s="70">
        <v>0.23425958494548013</v>
      </c>
      <c r="F29" s="70">
        <v>63.998000629431473</v>
      </c>
      <c r="G29" s="69">
        <v>13518</v>
      </c>
      <c r="H29" s="69">
        <v>11985</v>
      </c>
      <c r="I29" s="70">
        <v>1.1279098873591991</v>
      </c>
      <c r="J29" s="70">
        <v>73.871887260878694</v>
      </c>
      <c r="K29" s="69">
        <v>15</v>
      </c>
      <c r="L29" s="69">
        <v>29</v>
      </c>
      <c r="M29" s="70">
        <v>0.51724137931034486</v>
      </c>
      <c r="N29" s="70">
        <v>48.275862068965516</v>
      </c>
      <c r="O29" s="27">
        <f t="shared" si="0"/>
        <v>62.535937647176794</v>
      </c>
      <c r="P29" s="71">
        <f t="shared" si="1"/>
        <v>58.518274181065891</v>
      </c>
    </row>
    <row r="30" spans="1:16" ht="18" x14ac:dyDescent="0.25">
      <c r="A30" s="55" t="s">
        <v>34</v>
      </c>
      <c r="B30" s="56">
        <v>4104907</v>
      </c>
      <c r="C30" s="69">
        <v>850</v>
      </c>
      <c r="D30" s="69">
        <v>5223</v>
      </c>
      <c r="E30" s="70">
        <v>0.1627417193183994</v>
      </c>
      <c r="F30" s="70">
        <v>74.989167346856505</v>
      </c>
      <c r="G30" s="69">
        <v>12595</v>
      </c>
      <c r="H30" s="69">
        <v>11291</v>
      </c>
      <c r="I30" s="70">
        <v>1.1154902134443363</v>
      </c>
      <c r="J30" s="70">
        <v>74.716755375513273</v>
      </c>
      <c r="K30" s="69">
        <v>8</v>
      </c>
      <c r="L30" s="69">
        <v>20</v>
      </c>
      <c r="M30" s="70">
        <v>0.4</v>
      </c>
      <c r="N30" s="70">
        <v>60</v>
      </c>
      <c r="O30" s="27">
        <f t="shared" si="0"/>
        <v>71.173772517306574</v>
      </c>
      <c r="P30" s="71">
        <f t="shared" si="1"/>
        <v>73.07245791371993</v>
      </c>
    </row>
    <row r="31" spans="1:16" ht="18" x14ac:dyDescent="0.25">
      <c r="A31" s="55" t="s">
        <v>33</v>
      </c>
      <c r="B31" s="56">
        <v>4127106</v>
      </c>
      <c r="C31" s="69">
        <v>1176</v>
      </c>
      <c r="D31" s="69">
        <v>5110</v>
      </c>
      <c r="E31" s="70">
        <v>0.23013698630136986</v>
      </c>
      <c r="F31" s="70">
        <v>64.631578947368425</v>
      </c>
      <c r="G31" s="69">
        <v>12367</v>
      </c>
      <c r="H31" s="69">
        <v>11019</v>
      </c>
      <c r="I31" s="70">
        <v>1.1223341501043651</v>
      </c>
      <c r="J31" s="70">
        <v>74.251185675191493</v>
      </c>
      <c r="K31" s="69">
        <v>9</v>
      </c>
      <c r="L31" s="69">
        <v>25</v>
      </c>
      <c r="M31" s="70">
        <v>0.36</v>
      </c>
      <c r="N31" s="70">
        <v>64</v>
      </c>
      <c r="O31" s="27">
        <f t="shared" si="0"/>
        <v>66.878585892482079</v>
      </c>
      <c r="P31" s="71">
        <f t="shared" si="1"/>
        <v>65.835350902111273</v>
      </c>
    </row>
    <row r="32" spans="1:16" ht="18" x14ac:dyDescent="0.25">
      <c r="A32" s="55" t="s">
        <v>35</v>
      </c>
      <c r="B32" s="56">
        <v>4122404</v>
      </c>
      <c r="C32" s="69">
        <v>896</v>
      </c>
      <c r="D32" s="69">
        <v>4918</v>
      </c>
      <c r="E32" s="70">
        <v>0.18218788125254168</v>
      </c>
      <c r="F32" s="70">
        <v>72.000599302240971</v>
      </c>
      <c r="G32" s="69">
        <v>10810</v>
      </c>
      <c r="H32" s="69">
        <v>9508</v>
      </c>
      <c r="I32" s="70">
        <v>1.1369373159444678</v>
      </c>
      <c r="J32" s="70">
        <v>73.257782041923875</v>
      </c>
      <c r="K32" s="69">
        <v>13</v>
      </c>
      <c r="L32" s="69">
        <v>22</v>
      </c>
      <c r="M32" s="70">
        <v>0.59090909090909094</v>
      </c>
      <c r="N32" s="70">
        <v>40.909090909090907</v>
      </c>
      <c r="O32" s="27">
        <f t="shared" si="0"/>
        <v>64.54201788887417</v>
      </c>
      <c r="P32" s="71">
        <f t="shared" si="1"/>
        <v>61.898387468606884</v>
      </c>
    </row>
    <row r="33" spans="1:16" ht="18" x14ac:dyDescent="0.25">
      <c r="A33" s="55" t="s">
        <v>40</v>
      </c>
      <c r="B33" s="56">
        <v>4109807</v>
      </c>
      <c r="C33" s="69">
        <v>1203</v>
      </c>
      <c r="D33" s="69">
        <v>2954</v>
      </c>
      <c r="E33" s="70">
        <v>0.40724441435341907</v>
      </c>
      <c r="F33" s="70">
        <v>37.412963688842972</v>
      </c>
      <c r="G33" s="69">
        <v>8085</v>
      </c>
      <c r="H33" s="69">
        <v>6836</v>
      </c>
      <c r="I33" s="70">
        <v>1.1827091866588648</v>
      </c>
      <c r="J33" s="70">
        <v>70.144077577630995</v>
      </c>
      <c r="K33" s="69">
        <v>7</v>
      </c>
      <c r="L33" s="69">
        <v>25</v>
      </c>
      <c r="M33" s="70">
        <v>0.28000000000000003</v>
      </c>
      <c r="N33" s="70">
        <v>72</v>
      </c>
      <c r="O33" s="27">
        <f t="shared" si="0"/>
        <v>54.242501238829234</v>
      </c>
      <c r="P33" s="71">
        <f t="shared" si="1"/>
        <v>44.544379208892245</v>
      </c>
    </row>
    <row r="34" spans="1:16" ht="18" x14ac:dyDescent="0.25">
      <c r="A34" s="55" t="s">
        <v>44</v>
      </c>
      <c r="B34" s="56">
        <v>4117503</v>
      </c>
      <c r="C34" s="69">
        <v>1159</v>
      </c>
      <c r="D34" s="69">
        <v>3271</v>
      </c>
      <c r="E34" s="70">
        <v>0.35432589422195049</v>
      </c>
      <c r="F34" s="70">
        <v>45.54570467746867</v>
      </c>
      <c r="G34" s="69">
        <v>7007</v>
      </c>
      <c r="H34" s="69">
        <v>6371</v>
      </c>
      <c r="I34" s="70">
        <v>1.0998273426463663</v>
      </c>
      <c r="J34" s="70">
        <v>75.782247127676726</v>
      </c>
      <c r="K34" s="69">
        <v>3</v>
      </c>
      <c r="L34" s="69">
        <v>10</v>
      </c>
      <c r="M34" s="70">
        <v>0.3</v>
      </c>
      <c r="N34" s="70">
        <v>70</v>
      </c>
      <c r="O34" s="27">
        <f t="shared" si="0"/>
        <v>59.21841412065352</v>
      </c>
      <c r="P34" s="71">
        <f t="shared" si="1"/>
        <v>52.928465199026775</v>
      </c>
    </row>
    <row r="35" spans="1:16" ht="18" x14ac:dyDescent="0.25">
      <c r="A35" s="55" t="s">
        <v>39</v>
      </c>
      <c r="B35" s="56">
        <v>4115804</v>
      </c>
      <c r="C35" s="69">
        <v>1317</v>
      </c>
      <c r="D35" s="69">
        <v>3596</v>
      </c>
      <c r="E35" s="70">
        <v>0.36624026696329254</v>
      </c>
      <c r="F35" s="70">
        <v>43.714653708799254</v>
      </c>
      <c r="G35" s="69">
        <v>8447</v>
      </c>
      <c r="H35" s="69">
        <v>6921</v>
      </c>
      <c r="I35" s="70">
        <v>1.2204883687328421</v>
      </c>
      <c r="J35" s="70">
        <v>67.574088498201107</v>
      </c>
      <c r="K35" s="69">
        <v>5</v>
      </c>
      <c r="L35" s="69">
        <v>13</v>
      </c>
      <c r="M35" s="70">
        <v>0.38461538461538464</v>
      </c>
      <c r="N35" s="70">
        <v>61.53846153846154</v>
      </c>
      <c r="O35" s="27">
        <f t="shared" si="0"/>
        <v>54.135464363565291</v>
      </c>
      <c r="P35" s="71">
        <f t="shared" si="1"/>
        <v>44.364029112811139</v>
      </c>
    </row>
    <row r="36" spans="1:16" ht="18" x14ac:dyDescent="0.25">
      <c r="A36" s="55" t="s">
        <v>37</v>
      </c>
      <c r="B36" s="56">
        <v>4114609</v>
      </c>
      <c r="C36" s="69">
        <v>1198</v>
      </c>
      <c r="D36" s="69">
        <v>3634</v>
      </c>
      <c r="E36" s="70">
        <v>0.32966428178315904</v>
      </c>
      <c r="F36" s="70">
        <v>49.335805115430297</v>
      </c>
      <c r="G36" s="69">
        <v>8011</v>
      </c>
      <c r="H36" s="69">
        <v>6945</v>
      </c>
      <c r="I36" s="70">
        <v>1.153491720662347</v>
      </c>
      <c r="J36" s="70">
        <v>72.131642273781111</v>
      </c>
      <c r="K36" s="69">
        <v>9</v>
      </c>
      <c r="L36" s="69">
        <v>20</v>
      </c>
      <c r="M36" s="70">
        <v>0.45</v>
      </c>
      <c r="N36" s="70">
        <v>55.000000000000007</v>
      </c>
      <c r="O36" s="27">
        <f t="shared" si="0"/>
        <v>56.450813126160426</v>
      </c>
      <c r="P36" s="71">
        <f t="shared" si="1"/>
        <v>48.265239520585055</v>
      </c>
    </row>
    <row r="37" spans="1:16" ht="18" x14ac:dyDescent="0.25">
      <c r="A37" s="55" t="s">
        <v>38</v>
      </c>
      <c r="B37" s="56">
        <v>4128203</v>
      </c>
      <c r="C37" s="69">
        <v>1085</v>
      </c>
      <c r="D37" s="69">
        <v>3552</v>
      </c>
      <c r="E37" s="70">
        <v>0.30546171171171171</v>
      </c>
      <c r="F37" s="70">
        <v>53.05535798956852</v>
      </c>
      <c r="G37" s="69">
        <v>8072</v>
      </c>
      <c r="H37" s="69">
        <v>7207</v>
      </c>
      <c r="I37" s="70">
        <v>1.1200222006382683</v>
      </c>
      <c r="J37" s="70">
        <v>74.408459722798654</v>
      </c>
      <c r="K37" s="69">
        <v>8</v>
      </c>
      <c r="L37" s="69">
        <v>22</v>
      </c>
      <c r="M37" s="70">
        <v>0.36363636363636365</v>
      </c>
      <c r="N37" s="70">
        <v>63.636363636363633</v>
      </c>
      <c r="O37" s="27">
        <f t="shared" si="0"/>
        <v>61.03888483457483</v>
      </c>
      <c r="P37" s="71">
        <f t="shared" si="1"/>
        <v>55.995838637936771</v>
      </c>
    </row>
    <row r="38" spans="1:16" ht="18" x14ac:dyDescent="0.25">
      <c r="A38" s="55" t="s">
        <v>50</v>
      </c>
      <c r="B38" s="56">
        <v>4109609</v>
      </c>
      <c r="C38" s="69">
        <v>1246</v>
      </c>
      <c r="D38" s="69">
        <v>2591</v>
      </c>
      <c r="E38" s="70">
        <v>0.4808954071786955</v>
      </c>
      <c r="F38" s="70">
        <v>26.093969002011015</v>
      </c>
      <c r="G38" s="69">
        <v>7344</v>
      </c>
      <c r="H38" s="69">
        <v>6175</v>
      </c>
      <c r="I38" s="70">
        <v>1.1893117408906884</v>
      </c>
      <c r="J38" s="70">
        <v>69.694928301743985</v>
      </c>
      <c r="K38" s="69">
        <v>6</v>
      </c>
      <c r="L38" s="69">
        <v>13</v>
      </c>
      <c r="M38" s="70">
        <v>0.46153846153846156</v>
      </c>
      <c r="N38" s="70">
        <v>53.846153846153847</v>
      </c>
      <c r="O38" s="27">
        <f t="shared" si="0"/>
        <v>43.932255037979964</v>
      </c>
      <c r="P38" s="71">
        <f t="shared" si="1"/>
        <v>27.172292361646921</v>
      </c>
    </row>
    <row r="39" spans="1:16" ht="18" x14ac:dyDescent="0.25">
      <c r="A39" s="55" t="s">
        <v>47</v>
      </c>
      <c r="B39" s="56">
        <v>4107207</v>
      </c>
      <c r="C39" s="69">
        <v>1164</v>
      </c>
      <c r="D39" s="69">
        <v>3063</v>
      </c>
      <c r="E39" s="70">
        <v>0.38001958863858964</v>
      </c>
      <c r="F39" s="70">
        <v>41.596989535543074</v>
      </c>
      <c r="G39" s="69">
        <v>6429</v>
      </c>
      <c r="H39" s="69">
        <v>5782</v>
      </c>
      <c r="I39" s="70">
        <v>1.1118989968868904</v>
      </c>
      <c r="J39" s="70">
        <v>74.961053606121624</v>
      </c>
      <c r="K39" s="69">
        <v>5</v>
      </c>
      <c r="L39" s="69">
        <v>13</v>
      </c>
      <c r="M39" s="70">
        <v>0.38461538461538464</v>
      </c>
      <c r="N39" s="70">
        <v>61.53846153846154</v>
      </c>
      <c r="O39" s="27">
        <f t="shared" si="0"/>
        <v>54.92337355391733</v>
      </c>
      <c r="P39" s="71">
        <f t="shared" si="1"/>
        <v>45.691604285692158</v>
      </c>
    </row>
    <row r="40" spans="1:16" ht="18" x14ac:dyDescent="0.25">
      <c r="A40" s="55" t="s">
        <v>52</v>
      </c>
      <c r="B40" s="56">
        <v>4111803</v>
      </c>
      <c r="C40" s="69">
        <v>1095</v>
      </c>
      <c r="D40" s="69">
        <v>2747</v>
      </c>
      <c r="E40" s="70">
        <v>0.39861667273389151</v>
      </c>
      <c r="F40" s="70">
        <v>38.738911348265098</v>
      </c>
      <c r="G40" s="69">
        <v>5833</v>
      </c>
      <c r="H40" s="69">
        <v>5336</v>
      </c>
      <c r="I40" s="70">
        <v>1.0931409295352323</v>
      </c>
      <c r="J40" s="70">
        <v>76.237101037497283</v>
      </c>
      <c r="K40" s="69">
        <v>6</v>
      </c>
      <c r="L40" s="69">
        <v>18</v>
      </c>
      <c r="M40" s="70">
        <v>0.33333333333333331</v>
      </c>
      <c r="N40" s="70">
        <v>66.666666666666671</v>
      </c>
      <c r="O40" s="27">
        <f t="shared" si="0"/>
        <v>55.095397600173541</v>
      </c>
      <c r="P40" s="71">
        <f t="shared" si="1"/>
        <v>45.981453491342677</v>
      </c>
    </row>
    <row r="41" spans="1:16" ht="18" x14ac:dyDescent="0.25">
      <c r="A41" s="55" t="s">
        <v>43</v>
      </c>
      <c r="B41" s="56">
        <v>4104006</v>
      </c>
      <c r="C41" s="69">
        <v>908</v>
      </c>
      <c r="D41" s="69">
        <v>3223</v>
      </c>
      <c r="E41" s="70">
        <v>0.28172510083772884</v>
      </c>
      <c r="F41" s="70">
        <v>56.703300292306935</v>
      </c>
      <c r="G41" s="69">
        <v>8305</v>
      </c>
      <c r="H41" s="69">
        <v>7203</v>
      </c>
      <c r="I41" s="70">
        <v>1.1529918089684854</v>
      </c>
      <c r="J41" s="70">
        <v>72.165649563599814</v>
      </c>
      <c r="K41" s="69">
        <v>5</v>
      </c>
      <c r="L41" s="69">
        <v>19</v>
      </c>
      <c r="M41" s="70">
        <v>0.26315789473684209</v>
      </c>
      <c r="N41" s="70">
        <v>73.684210526315795</v>
      </c>
      <c r="O41" s="27">
        <f t="shared" si="0"/>
        <v>64.81411516863237</v>
      </c>
      <c r="P41" s="71">
        <f t="shared" si="1"/>
        <v>62.356853491898292</v>
      </c>
    </row>
    <row r="42" spans="1:16" ht="18" x14ac:dyDescent="0.25">
      <c r="A42" s="55" t="s">
        <v>36</v>
      </c>
      <c r="B42" s="56">
        <v>4110706</v>
      </c>
      <c r="C42" s="69">
        <v>969</v>
      </c>
      <c r="D42" s="69">
        <v>3514</v>
      </c>
      <c r="E42" s="70">
        <v>0.27575412635173591</v>
      </c>
      <c r="F42" s="70">
        <v>57.620944792259529</v>
      </c>
      <c r="G42" s="69">
        <v>8407</v>
      </c>
      <c r="H42" s="69">
        <v>7672</v>
      </c>
      <c r="I42" s="70">
        <v>1.0958029197080292</v>
      </c>
      <c r="J42" s="70">
        <v>76.056014912862778</v>
      </c>
      <c r="K42" s="69">
        <v>5</v>
      </c>
      <c r="L42" s="69">
        <v>20</v>
      </c>
      <c r="M42" s="70">
        <v>0.25</v>
      </c>
      <c r="N42" s="70">
        <v>75</v>
      </c>
      <c r="O42" s="27">
        <f t="shared" si="0"/>
        <v>66.574476124345466</v>
      </c>
      <c r="P42" s="71">
        <f t="shared" si="1"/>
        <v>65.32294594104161</v>
      </c>
    </row>
    <row r="43" spans="1:16" ht="18" x14ac:dyDescent="0.25">
      <c r="A43" s="55" t="s">
        <v>41</v>
      </c>
      <c r="B43" s="56">
        <v>4120606</v>
      </c>
      <c r="C43" s="69">
        <v>733</v>
      </c>
      <c r="D43" s="69">
        <v>3046</v>
      </c>
      <c r="E43" s="70">
        <v>0.24064346684175969</v>
      </c>
      <c r="F43" s="70">
        <v>63.016898780108512</v>
      </c>
      <c r="G43" s="69">
        <v>7083</v>
      </c>
      <c r="H43" s="69">
        <v>6590</v>
      </c>
      <c r="I43" s="70">
        <v>1.0748103186646434</v>
      </c>
      <c r="J43" s="70">
        <v>77.484070060395794</v>
      </c>
      <c r="K43" s="69">
        <v>4</v>
      </c>
      <c r="L43" s="69">
        <v>13</v>
      </c>
      <c r="M43" s="70">
        <v>0.30769230769230771</v>
      </c>
      <c r="N43" s="70">
        <v>69.230769230769226</v>
      </c>
      <c r="O43" s="27">
        <f t="shared" si="0"/>
        <v>68.187159212845515</v>
      </c>
      <c r="P43" s="71">
        <f t="shared" si="1"/>
        <v>68.040210895218848</v>
      </c>
    </row>
    <row r="44" spans="1:16" ht="18" x14ac:dyDescent="0.25">
      <c r="A44" s="55" t="s">
        <v>62</v>
      </c>
      <c r="B44" s="56">
        <v>4113304</v>
      </c>
      <c r="C44" s="69">
        <v>842</v>
      </c>
      <c r="D44" s="69">
        <v>2278</v>
      </c>
      <c r="E44" s="70">
        <v>0.36962247585601404</v>
      </c>
      <c r="F44" s="70">
        <v>43.194861605286263</v>
      </c>
      <c r="G44" s="69">
        <v>5242</v>
      </c>
      <c r="H44" s="69">
        <v>4424</v>
      </c>
      <c r="I44" s="70">
        <v>1.1849005424954793</v>
      </c>
      <c r="J44" s="70">
        <v>69.995007103891865</v>
      </c>
      <c r="K44" s="69">
        <v>3</v>
      </c>
      <c r="L44" s="69">
        <v>12</v>
      </c>
      <c r="M44" s="70">
        <v>0.25</v>
      </c>
      <c r="N44" s="70">
        <v>75</v>
      </c>
      <c r="O44" s="27">
        <f t="shared" si="0"/>
        <v>57.846182578616094</v>
      </c>
      <c r="P44" s="71">
        <f t="shared" si="1"/>
        <v>50.616345288559472</v>
      </c>
    </row>
    <row r="45" spans="1:16" ht="18" x14ac:dyDescent="0.25">
      <c r="A45" s="55" t="s">
        <v>49</v>
      </c>
      <c r="B45" s="56">
        <v>4125605</v>
      </c>
      <c r="C45" s="69">
        <v>847</v>
      </c>
      <c r="D45" s="69">
        <v>2728</v>
      </c>
      <c r="E45" s="70">
        <v>0.31048387096774194</v>
      </c>
      <c r="F45" s="70">
        <v>52.283531409168084</v>
      </c>
      <c r="G45" s="69">
        <v>6342</v>
      </c>
      <c r="H45" s="69">
        <v>5750</v>
      </c>
      <c r="I45" s="70">
        <v>1.1029565217391304</v>
      </c>
      <c r="J45" s="70">
        <v>75.569379732076769</v>
      </c>
      <c r="K45" s="69">
        <v>4</v>
      </c>
      <c r="L45" s="69">
        <v>16</v>
      </c>
      <c r="M45" s="70">
        <v>0.25</v>
      </c>
      <c r="N45" s="70">
        <v>75</v>
      </c>
      <c r="O45" s="27">
        <f t="shared" si="0"/>
        <v>63.784110637603234</v>
      </c>
      <c r="P45" s="71">
        <f t="shared" si="1"/>
        <v>60.621363590151766</v>
      </c>
    </row>
    <row r="46" spans="1:16" ht="18" x14ac:dyDescent="0.25">
      <c r="A46" s="55" t="s">
        <v>64</v>
      </c>
      <c r="B46" s="56">
        <v>4114104</v>
      </c>
      <c r="C46" s="69">
        <v>845</v>
      </c>
      <c r="D46" s="69">
        <v>2321</v>
      </c>
      <c r="E46" s="70">
        <v>0.36406721240844464</v>
      </c>
      <c r="F46" s="70">
        <v>44.048617882491669</v>
      </c>
      <c r="G46" s="69">
        <v>4660</v>
      </c>
      <c r="H46" s="69">
        <v>4294</v>
      </c>
      <c r="I46" s="70">
        <v>1.0852352119236144</v>
      </c>
      <c r="J46" s="70">
        <v>76.774900079496916</v>
      </c>
      <c r="K46" s="69">
        <v>3</v>
      </c>
      <c r="L46" s="69">
        <v>7</v>
      </c>
      <c r="M46" s="70">
        <v>0.42857142857142855</v>
      </c>
      <c r="N46" s="70">
        <v>57.142857142857139</v>
      </c>
      <c r="O46" s="27">
        <f t="shared" si="0"/>
        <v>55.503748246834348</v>
      </c>
      <c r="P46" s="71">
        <f t="shared" si="1"/>
        <v>46.669497477851557</v>
      </c>
    </row>
    <row r="47" spans="1:16" ht="18" x14ac:dyDescent="0.25">
      <c r="A47" s="55" t="s">
        <v>63</v>
      </c>
      <c r="B47" s="56">
        <v>4108809</v>
      </c>
      <c r="C47" s="69">
        <v>720</v>
      </c>
      <c r="D47" s="69">
        <v>2246</v>
      </c>
      <c r="E47" s="70">
        <v>0.3205699020480855</v>
      </c>
      <c r="F47" s="70">
        <v>50.733467685241592</v>
      </c>
      <c r="G47" s="69">
        <v>5043</v>
      </c>
      <c r="H47" s="69">
        <v>4591</v>
      </c>
      <c r="I47" s="70">
        <v>1.0984534959703769</v>
      </c>
      <c r="J47" s="70">
        <v>75.875705237680009</v>
      </c>
      <c r="K47" s="69">
        <v>3</v>
      </c>
      <c r="L47" s="69">
        <v>14</v>
      </c>
      <c r="M47" s="70">
        <v>0.21428571428571427</v>
      </c>
      <c r="N47" s="70">
        <v>78.571428571428569</v>
      </c>
      <c r="O47" s="27">
        <f t="shared" si="0"/>
        <v>63.978517294897941</v>
      </c>
      <c r="P47" s="71">
        <f t="shared" si="1"/>
        <v>60.948926023522965</v>
      </c>
    </row>
    <row r="48" spans="1:16" ht="18" x14ac:dyDescent="0.25">
      <c r="A48" s="55" t="s">
        <v>54</v>
      </c>
      <c r="B48" s="56">
        <v>4122206</v>
      </c>
      <c r="C48" s="69">
        <v>312</v>
      </c>
      <c r="D48" s="69">
        <v>2560</v>
      </c>
      <c r="E48" s="70">
        <v>0.121875</v>
      </c>
      <c r="F48" s="70">
        <v>81.26973684210526</v>
      </c>
      <c r="G48" s="69">
        <v>6535</v>
      </c>
      <c r="H48" s="69">
        <v>5566</v>
      </c>
      <c r="I48" s="70">
        <v>1.1740927057132591</v>
      </c>
      <c r="J48" s="70">
        <v>70.73022742835991</v>
      </c>
      <c r="K48" s="69">
        <v>4</v>
      </c>
      <c r="L48" s="69">
        <v>8</v>
      </c>
      <c r="M48" s="70">
        <v>0.5</v>
      </c>
      <c r="N48" s="70">
        <v>50</v>
      </c>
      <c r="O48" s="27">
        <f t="shared" si="0"/>
        <v>70.817425278142608</v>
      </c>
      <c r="P48" s="71">
        <f t="shared" si="1"/>
        <v>72.472036249102203</v>
      </c>
    </row>
    <row r="49" spans="1:16" ht="18" x14ac:dyDescent="0.25">
      <c r="A49" s="55" t="s">
        <v>48</v>
      </c>
      <c r="B49" s="56">
        <v>4124103</v>
      </c>
      <c r="C49" s="69">
        <v>541</v>
      </c>
      <c r="D49" s="69">
        <v>2832</v>
      </c>
      <c r="E49" s="70">
        <v>0.19103107344632769</v>
      </c>
      <c r="F49" s="70">
        <v>70.641540291406486</v>
      </c>
      <c r="G49" s="69">
        <v>6815</v>
      </c>
      <c r="H49" s="69">
        <v>5851</v>
      </c>
      <c r="I49" s="70">
        <v>1.1647581609981199</v>
      </c>
      <c r="J49" s="70">
        <v>71.365224711582769</v>
      </c>
      <c r="K49" s="69">
        <v>7</v>
      </c>
      <c r="L49" s="69">
        <v>19</v>
      </c>
      <c r="M49" s="70">
        <v>0.36842105263157893</v>
      </c>
      <c r="N49" s="70">
        <v>63.157894736842103</v>
      </c>
      <c r="O49" s="27">
        <f t="shared" si="0"/>
        <v>68.951550007809459</v>
      </c>
      <c r="P49" s="71">
        <f t="shared" si="1"/>
        <v>69.328159118439231</v>
      </c>
    </row>
    <row r="50" spans="1:16" ht="18" x14ac:dyDescent="0.25">
      <c r="A50" s="55" t="s">
        <v>58</v>
      </c>
      <c r="B50" s="56">
        <v>4117909</v>
      </c>
      <c r="C50" s="69">
        <v>1025</v>
      </c>
      <c r="D50" s="69">
        <v>2435</v>
      </c>
      <c r="E50" s="70">
        <v>0.4209445585215606</v>
      </c>
      <c r="F50" s="70">
        <v>35.307467848265425</v>
      </c>
      <c r="G50" s="69">
        <v>5534</v>
      </c>
      <c r="H50" s="69">
        <v>4726</v>
      </c>
      <c r="I50" s="70">
        <v>1.1709691070672874</v>
      </c>
      <c r="J50" s="70">
        <v>70.942715205171751</v>
      </c>
      <c r="K50" s="69">
        <v>5</v>
      </c>
      <c r="L50" s="69">
        <v>12</v>
      </c>
      <c r="M50" s="70">
        <v>0.41666666666666669</v>
      </c>
      <c r="N50" s="70">
        <v>58.333333333333329</v>
      </c>
      <c r="O50" s="27">
        <f t="shared" si="0"/>
        <v>49.972746058758986</v>
      </c>
      <c r="P50" s="71">
        <f t="shared" si="1"/>
        <v>37.350122509324194</v>
      </c>
    </row>
    <row r="51" spans="1:16" ht="18" x14ac:dyDescent="0.25">
      <c r="A51" s="55" t="s">
        <v>72</v>
      </c>
      <c r="B51" s="56">
        <v>4119301</v>
      </c>
      <c r="C51" s="69">
        <v>427</v>
      </c>
      <c r="D51" s="69">
        <v>2386</v>
      </c>
      <c r="E51" s="70">
        <v>0.17896060352053647</v>
      </c>
      <c r="F51" s="70">
        <v>72.49658093263335</v>
      </c>
      <c r="G51" s="69">
        <v>5045</v>
      </c>
      <c r="H51" s="69">
        <v>4655</v>
      </c>
      <c r="I51" s="70">
        <v>1.083780880773362</v>
      </c>
      <c r="J51" s="70">
        <v>76.873833274151693</v>
      </c>
      <c r="K51" s="69">
        <v>3</v>
      </c>
      <c r="L51" s="69">
        <v>9</v>
      </c>
      <c r="M51" s="70">
        <v>0.33333333333333331</v>
      </c>
      <c r="N51" s="70">
        <v>66.666666666666671</v>
      </c>
      <c r="O51" s="27">
        <f t="shared" si="0"/>
        <v>72.133415451521273</v>
      </c>
      <c r="P51" s="71">
        <f t="shared" si="1"/>
        <v>74.689393151808602</v>
      </c>
    </row>
    <row r="52" spans="1:16" ht="18" x14ac:dyDescent="0.25">
      <c r="A52" s="55" t="s">
        <v>51</v>
      </c>
      <c r="B52" s="56">
        <v>4114807</v>
      </c>
      <c r="C52" s="69">
        <v>867</v>
      </c>
      <c r="D52" s="69">
        <v>2628</v>
      </c>
      <c r="E52" s="70">
        <v>0.32990867579908678</v>
      </c>
      <c r="F52" s="70">
        <v>49.298245614035082</v>
      </c>
      <c r="G52" s="69">
        <v>6117</v>
      </c>
      <c r="H52" s="69">
        <v>5446</v>
      </c>
      <c r="I52" s="70">
        <v>1.1232096951891297</v>
      </c>
      <c r="J52" s="70">
        <v>74.191625325208591</v>
      </c>
      <c r="K52" s="69">
        <v>4</v>
      </c>
      <c r="L52" s="69">
        <v>9</v>
      </c>
      <c r="M52" s="70">
        <v>0.44444444444444442</v>
      </c>
      <c r="N52" s="70">
        <v>55.555555555555557</v>
      </c>
      <c r="O52" s="27">
        <f t="shared" si="0"/>
        <v>57.085918027208578</v>
      </c>
      <c r="P52" s="71">
        <f t="shared" si="1"/>
        <v>49.335349514390138</v>
      </c>
    </row>
    <row r="53" spans="1:16" ht="18" x14ac:dyDescent="0.25">
      <c r="A53" s="55" t="s">
        <v>68</v>
      </c>
      <c r="B53" s="56">
        <v>4120903</v>
      </c>
      <c r="C53" s="69">
        <v>627</v>
      </c>
      <c r="D53" s="69">
        <v>2227</v>
      </c>
      <c r="E53" s="70">
        <v>0.2815446789402784</v>
      </c>
      <c r="F53" s="70">
        <v>56.731028289178262</v>
      </c>
      <c r="G53" s="69">
        <v>4682</v>
      </c>
      <c r="H53" s="69">
        <v>4406</v>
      </c>
      <c r="I53" s="70">
        <v>1.0626418520199727</v>
      </c>
      <c r="J53" s="70">
        <v>78.311849400058932</v>
      </c>
      <c r="K53" s="69">
        <v>3</v>
      </c>
      <c r="L53" s="69">
        <v>12</v>
      </c>
      <c r="M53" s="70">
        <v>0.25</v>
      </c>
      <c r="N53" s="70">
        <v>75</v>
      </c>
      <c r="O53" s="27">
        <f t="shared" si="0"/>
        <v>66.693476494603857</v>
      </c>
      <c r="P53" s="71">
        <f t="shared" si="1"/>
        <v>65.52345373946963</v>
      </c>
    </row>
    <row r="54" spans="1:16" ht="18" x14ac:dyDescent="0.25">
      <c r="A54" s="55" t="s">
        <v>56</v>
      </c>
      <c r="B54" s="56">
        <v>4114203</v>
      </c>
      <c r="C54" s="69">
        <v>936</v>
      </c>
      <c r="D54" s="69">
        <v>2261</v>
      </c>
      <c r="E54" s="70">
        <v>0.41397611676249446</v>
      </c>
      <c r="F54" s="70">
        <v>36.378407318606122</v>
      </c>
      <c r="G54" s="69">
        <v>4867</v>
      </c>
      <c r="H54" s="69">
        <v>4477</v>
      </c>
      <c r="I54" s="70">
        <v>1.0871119052937235</v>
      </c>
      <c r="J54" s="70">
        <v>76.647235021604061</v>
      </c>
      <c r="K54" s="69">
        <v>3</v>
      </c>
      <c r="L54" s="69">
        <v>12</v>
      </c>
      <c r="M54" s="70">
        <v>0.25</v>
      </c>
      <c r="N54" s="70">
        <v>75</v>
      </c>
      <c r="O54" s="27">
        <f t="shared" si="0"/>
        <v>56.101012414704073</v>
      </c>
      <c r="P54" s="71">
        <f t="shared" si="1"/>
        <v>47.675848324655377</v>
      </c>
    </row>
    <row r="55" spans="1:16" ht="18" x14ac:dyDescent="0.25">
      <c r="A55" s="55" t="s">
        <v>59</v>
      </c>
      <c r="B55" s="56">
        <v>4117701</v>
      </c>
      <c r="C55" s="69">
        <v>553</v>
      </c>
      <c r="D55" s="69">
        <v>2171</v>
      </c>
      <c r="E55" s="70">
        <v>0.25472132657761398</v>
      </c>
      <c r="F55" s="70">
        <v>60.853354020703541</v>
      </c>
      <c r="G55" s="69">
        <v>5174</v>
      </c>
      <c r="H55" s="69">
        <v>4569</v>
      </c>
      <c r="I55" s="70">
        <v>1.1324140949879624</v>
      </c>
      <c r="J55" s="70">
        <v>73.565481357364433</v>
      </c>
      <c r="K55" s="69">
        <v>5</v>
      </c>
      <c r="L55" s="69">
        <v>10</v>
      </c>
      <c r="M55" s="70">
        <v>0.5</v>
      </c>
      <c r="N55" s="70">
        <v>50</v>
      </c>
      <c r="O55" s="27">
        <f t="shared" si="0"/>
        <v>61.318047349692876</v>
      </c>
      <c r="P55" s="71">
        <f t="shared" si="1"/>
        <v>56.466209118200048</v>
      </c>
    </row>
    <row r="56" spans="1:16" ht="18" x14ac:dyDescent="0.25">
      <c r="A56" s="55" t="s">
        <v>71</v>
      </c>
      <c r="B56" s="56">
        <v>4110102</v>
      </c>
      <c r="C56" s="69">
        <v>528</v>
      </c>
      <c r="D56" s="69">
        <v>2192</v>
      </c>
      <c r="E56" s="70">
        <v>0.24087591240875914</v>
      </c>
      <c r="F56" s="70">
        <v>62.98117556665386</v>
      </c>
      <c r="G56" s="69">
        <v>4969</v>
      </c>
      <c r="H56" s="69">
        <v>4270</v>
      </c>
      <c r="I56" s="70">
        <v>1.1637002341920375</v>
      </c>
      <c r="J56" s="70">
        <v>71.437191868869135</v>
      </c>
      <c r="K56" s="69">
        <v>2</v>
      </c>
      <c r="L56" s="69">
        <v>8</v>
      </c>
      <c r="M56" s="70">
        <v>0.25</v>
      </c>
      <c r="N56" s="70">
        <v>75</v>
      </c>
      <c r="O56" s="27">
        <f t="shared" si="0"/>
        <v>68.099885750544217</v>
      </c>
      <c r="P56" s="71">
        <f t="shared" si="1"/>
        <v>67.893160850338916</v>
      </c>
    </row>
    <row r="57" spans="1:16" ht="18" x14ac:dyDescent="0.25">
      <c r="A57" s="55" t="s">
        <v>67</v>
      </c>
      <c r="B57" s="56">
        <v>4111258</v>
      </c>
      <c r="C57" s="69">
        <v>309</v>
      </c>
      <c r="D57" s="69">
        <v>2370</v>
      </c>
      <c r="E57" s="70">
        <v>0.13037974683544304</v>
      </c>
      <c r="F57" s="70">
        <v>79.962691538974013</v>
      </c>
      <c r="G57" s="69">
        <v>4818</v>
      </c>
      <c r="H57" s="69">
        <v>4940</v>
      </c>
      <c r="I57" s="70">
        <v>0.97530364372469636</v>
      </c>
      <c r="J57" s="70">
        <v>84.253170233747426</v>
      </c>
      <c r="K57" s="69">
        <v>2</v>
      </c>
      <c r="L57" s="69">
        <v>3</v>
      </c>
      <c r="M57" s="70">
        <v>0.66666666666666663</v>
      </c>
      <c r="N57" s="70">
        <v>33.333333333333336</v>
      </c>
      <c r="O57" s="27">
        <f t="shared" si="0"/>
        <v>69.377971661257192</v>
      </c>
      <c r="P57" s="71">
        <f t="shared" si="1"/>
        <v>70.046651563035724</v>
      </c>
    </row>
    <row r="58" spans="1:16" ht="18" x14ac:dyDescent="0.25">
      <c r="A58" s="55" t="s">
        <v>53</v>
      </c>
      <c r="B58" s="56">
        <v>4115705</v>
      </c>
      <c r="C58" s="69">
        <v>855</v>
      </c>
      <c r="D58" s="69">
        <v>2293</v>
      </c>
      <c r="E58" s="70">
        <v>0.37287396423898822</v>
      </c>
      <c r="F58" s="70">
        <v>42.695159180113393</v>
      </c>
      <c r="G58" s="69">
        <v>6828</v>
      </c>
      <c r="H58" s="69">
        <v>5331</v>
      </c>
      <c r="I58" s="70">
        <v>1.2808103545301068</v>
      </c>
      <c r="J58" s="70">
        <v>63.470589262962783</v>
      </c>
      <c r="K58" s="69">
        <v>3</v>
      </c>
      <c r="L58" s="69">
        <v>16</v>
      </c>
      <c r="M58" s="70">
        <v>0.1875</v>
      </c>
      <c r="N58" s="70">
        <v>81.25</v>
      </c>
      <c r="O58" s="27">
        <f t="shared" si="0"/>
        <v>57.527726905797394</v>
      </c>
      <c r="P58" s="71">
        <f t="shared" si="1"/>
        <v>50.079768421486335</v>
      </c>
    </row>
    <row r="59" spans="1:16" ht="18" x14ac:dyDescent="0.25">
      <c r="A59" s="55" t="s">
        <v>55</v>
      </c>
      <c r="B59" s="56">
        <v>4102000</v>
      </c>
      <c r="C59" s="69">
        <v>808</v>
      </c>
      <c r="D59" s="69">
        <v>2189</v>
      </c>
      <c r="E59" s="70">
        <v>0.36911831886706259</v>
      </c>
      <c r="F59" s="70">
        <v>43.272342574114596</v>
      </c>
      <c r="G59" s="69">
        <v>4985</v>
      </c>
      <c r="H59" s="69">
        <v>4462</v>
      </c>
      <c r="I59" s="70">
        <v>1.1172120125504259</v>
      </c>
      <c r="J59" s="70">
        <v>74.599627246827012</v>
      </c>
      <c r="K59" s="69">
        <v>4</v>
      </c>
      <c r="L59" s="69">
        <v>9</v>
      </c>
      <c r="M59" s="70">
        <v>0.44444444444444442</v>
      </c>
      <c r="N59" s="70">
        <v>55.555555555555557</v>
      </c>
      <c r="O59" s="27">
        <f t="shared" si="0"/>
        <v>54.174966987652937</v>
      </c>
      <c r="P59" s="71">
        <f t="shared" si="1"/>
        <v>44.430588436708582</v>
      </c>
    </row>
    <row r="60" spans="1:16" ht="18" x14ac:dyDescent="0.25">
      <c r="A60" s="55" t="s">
        <v>74</v>
      </c>
      <c r="B60" s="56">
        <v>4109708</v>
      </c>
      <c r="C60" s="69">
        <v>645</v>
      </c>
      <c r="D60" s="69">
        <v>1870</v>
      </c>
      <c r="E60" s="70">
        <v>0.34491978609625668</v>
      </c>
      <c r="F60" s="70">
        <v>46.991274978891084</v>
      </c>
      <c r="G60" s="69">
        <v>4269</v>
      </c>
      <c r="H60" s="69">
        <v>3740</v>
      </c>
      <c r="I60" s="70">
        <v>1.1414438502673796</v>
      </c>
      <c r="J60" s="70">
        <v>72.9512178613315</v>
      </c>
      <c r="K60" s="69">
        <v>3</v>
      </c>
      <c r="L60" s="69">
        <v>11</v>
      </c>
      <c r="M60" s="70">
        <v>0.27272727272727271</v>
      </c>
      <c r="N60" s="70">
        <v>72.727272727272734</v>
      </c>
      <c r="O60" s="27">
        <f t="shared" si="0"/>
        <v>59.915260136596601</v>
      </c>
      <c r="P60" s="71">
        <f t="shared" si="1"/>
        <v>54.102604911337714</v>
      </c>
    </row>
    <row r="61" spans="1:16" ht="18" x14ac:dyDescent="0.25">
      <c r="A61" s="55" t="s">
        <v>76</v>
      </c>
      <c r="B61" s="56">
        <v>4114302</v>
      </c>
      <c r="C61" s="69">
        <v>502</v>
      </c>
      <c r="D61" s="69">
        <v>1769</v>
      </c>
      <c r="E61" s="70">
        <v>0.283776144714528</v>
      </c>
      <c r="F61" s="70">
        <v>56.388087233346226</v>
      </c>
      <c r="G61" s="69">
        <v>4228</v>
      </c>
      <c r="H61" s="69">
        <v>3935</v>
      </c>
      <c r="I61" s="70">
        <v>1.0744599745870393</v>
      </c>
      <c r="J61" s="70">
        <v>77.50790277471242</v>
      </c>
      <c r="K61" s="69">
        <v>1</v>
      </c>
      <c r="L61" s="69">
        <v>6</v>
      </c>
      <c r="M61" s="70">
        <v>0.16666666666666666</v>
      </c>
      <c r="N61" s="70">
        <v>83.333333333333343</v>
      </c>
      <c r="O61" s="27">
        <f t="shared" si="0"/>
        <v>68.404352643684547</v>
      </c>
      <c r="P61" s="71">
        <f t="shared" si="1"/>
        <v>68.406167543555341</v>
      </c>
    </row>
    <row r="62" spans="1:16" ht="18" x14ac:dyDescent="0.25">
      <c r="A62" s="55" t="s">
        <v>73</v>
      </c>
      <c r="B62" s="56">
        <v>4125704</v>
      </c>
      <c r="C62" s="69">
        <v>747</v>
      </c>
      <c r="D62" s="69">
        <v>2022</v>
      </c>
      <c r="E62" s="70">
        <v>0.36943620178041542</v>
      </c>
      <c r="F62" s="70">
        <v>43.223488989536165</v>
      </c>
      <c r="G62" s="69">
        <v>4636</v>
      </c>
      <c r="H62" s="69">
        <v>3976</v>
      </c>
      <c r="I62" s="70">
        <v>1.1659959758551308</v>
      </c>
      <c r="J62" s="70">
        <v>71.281020382896017</v>
      </c>
      <c r="K62" s="69">
        <v>3</v>
      </c>
      <c r="L62" s="69">
        <v>9</v>
      </c>
      <c r="M62" s="70">
        <v>0.33333333333333331</v>
      </c>
      <c r="N62" s="70">
        <v>66.666666666666671</v>
      </c>
      <c r="O62" s="27">
        <f t="shared" si="0"/>
        <v>56.098666257158754</v>
      </c>
      <c r="P62" s="71">
        <f t="shared" si="1"/>
        <v>47.671895203474705</v>
      </c>
    </row>
    <row r="63" spans="1:16" ht="18" x14ac:dyDescent="0.25">
      <c r="A63" s="55" t="s">
        <v>79</v>
      </c>
      <c r="B63" s="56">
        <v>4123501</v>
      </c>
      <c r="C63" s="69">
        <v>865</v>
      </c>
      <c r="D63" s="69">
        <v>1692</v>
      </c>
      <c r="E63" s="70">
        <v>0.51122931442080377</v>
      </c>
      <c r="F63" s="70">
        <v>21.432126415329112</v>
      </c>
      <c r="G63" s="69">
        <v>4002</v>
      </c>
      <c r="H63" s="69">
        <v>3303</v>
      </c>
      <c r="I63" s="70">
        <v>1.2116257947320617</v>
      </c>
      <c r="J63" s="70">
        <v>68.176979221273001</v>
      </c>
      <c r="K63" s="69">
        <v>1</v>
      </c>
      <c r="L63" s="69">
        <v>9</v>
      </c>
      <c r="M63" s="70">
        <v>0.1111111111111111</v>
      </c>
      <c r="N63" s="70">
        <v>88.888888888888886</v>
      </c>
      <c r="O63" s="27">
        <f t="shared" si="0"/>
        <v>49.982530235205026</v>
      </c>
      <c r="P63" s="71">
        <f t="shared" si="1"/>
        <v>37.366608203228893</v>
      </c>
    </row>
    <row r="64" spans="1:16" ht="18" x14ac:dyDescent="0.25">
      <c r="A64" s="55" t="s">
        <v>46</v>
      </c>
      <c r="B64" s="56">
        <v>4113205</v>
      </c>
      <c r="C64" s="69">
        <v>589</v>
      </c>
      <c r="D64" s="69">
        <v>2543</v>
      </c>
      <c r="E64" s="70">
        <v>0.23161620133700353</v>
      </c>
      <c r="F64" s="70">
        <v>64.404246952418404</v>
      </c>
      <c r="G64" s="69">
        <v>6336</v>
      </c>
      <c r="H64" s="69">
        <v>5940</v>
      </c>
      <c r="I64" s="70">
        <v>1.0666666666666667</v>
      </c>
      <c r="J64" s="70">
        <v>78.038054968287526</v>
      </c>
      <c r="K64" s="69">
        <v>5</v>
      </c>
      <c r="L64" s="69">
        <v>13</v>
      </c>
      <c r="M64" s="70">
        <v>0.38461538461538464</v>
      </c>
      <c r="N64" s="70">
        <v>61.53846153846154</v>
      </c>
      <c r="O64" s="27">
        <f t="shared" si="0"/>
        <v>67.09625260289647</v>
      </c>
      <c r="P64" s="71">
        <f t="shared" si="1"/>
        <v>66.202104995409414</v>
      </c>
    </row>
    <row r="65" spans="1:16" ht="18" x14ac:dyDescent="0.25">
      <c r="A65" s="55" t="s">
        <v>84</v>
      </c>
      <c r="B65" s="56">
        <v>4117305</v>
      </c>
      <c r="C65" s="69">
        <v>321</v>
      </c>
      <c r="D65" s="69">
        <v>1733</v>
      </c>
      <c r="E65" s="70">
        <v>0.18522792844777841</v>
      </c>
      <c r="F65" s="70">
        <v>71.533392049078273</v>
      </c>
      <c r="G65" s="69">
        <v>3953</v>
      </c>
      <c r="H65" s="69">
        <v>3588</v>
      </c>
      <c r="I65" s="70">
        <v>1.1017279821627648</v>
      </c>
      <c r="J65" s="70">
        <v>75.652953095013117</v>
      </c>
      <c r="K65" s="69">
        <v>2</v>
      </c>
      <c r="L65" s="69">
        <v>6</v>
      </c>
      <c r="M65" s="70">
        <v>0.33333333333333331</v>
      </c>
      <c r="N65" s="70">
        <v>66.666666666666671</v>
      </c>
      <c r="O65" s="27">
        <f t="shared" si="0"/>
        <v>71.34660096495908</v>
      </c>
      <c r="P65" s="71">
        <f t="shared" si="1"/>
        <v>73.363662482825802</v>
      </c>
    </row>
    <row r="66" spans="1:16" ht="18" x14ac:dyDescent="0.25">
      <c r="A66" s="55" t="s">
        <v>75</v>
      </c>
      <c r="B66" s="56">
        <v>4108601</v>
      </c>
      <c r="C66" s="69">
        <v>632</v>
      </c>
      <c r="D66" s="69">
        <v>1670</v>
      </c>
      <c r="E66" s="70">
        <v>0.3784431137724551</v>
      </c>
      <c r="F66" s="70">
        <v>41.839268830759536</v>
      </c>
      <c r="G66" s="69">
        <v>3961</v>
      </c>
      <c r="H66" s="69">
        <v>3542</v>
      </c>
      <c r="I66" s="70">
        <v>1.1182947487295314</v>
      </c>
      <c r="J66" s="70">
        <v>74.525972392395389</v>
      </c>
      <c r="K66" s="69">
        <v>6</v>
      </c>
      <c r="L66" s="69">
        <v>13</v>
      </c>
      <c r="M66" s="70">
        <v>0.46153846153846156</v>
      </c>
      <c r="N66" s="70">
        <v>53.846153846153847</v>
      </c>
      <c r="O66" s="27">
        <f t="shared" si="0"/>
        <v>53.012665975017079</v>
      </c>
      <c r="P66" s="71">
        <f t="shared" si="1"/>
        <v>42.472187663263604</v>
      </c>
    </row>
    <row r="67" spans="1:16" ht="18" x14ac:dyDescent="0.25">
      <c r="A67" s="55" t="s">
        <v>45</v>
      </c>
      <c r="B67" s="56">
        <v>4106407</v>
      </c>
      <c r="C67" s="69">
        <v>669</v>
      </c>
      <c r="D67" s="69">
        <v>2269</v>
      </c>
      <c r="E67" s="70">
        <v>0.29484354341119434</v>
      </c>
      <c r="F67" s="70">
        <v>54.687202802069081</v>
      </c>
      <c r="G67" s="69">
        <v>5581</v>
      </c>
      <c r="H67" s="69">
        <v>4995</v>
      </c>
      <c r="I67" s="70">
        <v>1.1173173173173174</v>
      </c>
      <c r="J67" s="70">
        <v>74.592463722206688</v>
      </c>
      <c r="K67" s="69">
        <v>6</v>
      </c>
      <c r="L67" s="69">
        <v>17</v>
      </c>
      <c r="M67" s="70">
        <v>0.35294117647058826</v>
      </c>
      <c r="N67" s="70">
        <v>64.705882352941174</v>
      </c>
      <c r="O67" s="27">
        <f t="shared" ref="O67:O130" si="2">(2*F67+J67+N67)/4</f>
        <v>62.168187919821506</v>
      </c>
      <c r="P67" s="71">
        <f t="shared" ref="P67:P130" si="3">(O67-O$402)/(O$403-O$402)*100</f>
        <v>57.898640073672738</v>
      </c>
    </row>
    <row r="68" spans="1:16" ht="18" x14ac:dyDescent="0.25">
      <c r="A68" s="55" t="s">
        <v>70</v>
      </c>
      <c r="B68" s="56">
        <v>4104253</v>
      </c>
      <c r="C68" s="69">
        <v>448</v>
      </c>
      <c r="D68" s="69">
        <v>1911</v>
      </c>
      <c r="E68" s="70">
        <v>0.23443223443223443</v>
      </c>
      <c r="F68" s="70">
        <v>63.971467129361869</v>
      </c>
      <c r="G68" s="69">
        <v>4096</v>
      </c>
      <c r="H68" s="69">
        <v>4234</v>
      </c>
      <c r="I68" s="70">
        <v>0.96740670760510161</v>
      </c>
      <c r="J68" s="70">
        <v>84.790371900754764</v>
      </c>
      <c r="K68" s="69">
        <v>0</v>
      </c>
      <c r="L68" s="69">
        <v>4</v>
      </c>
      <c r="M68" s="70">
        <v>0</v>
      </c>
      <c r="N68" s="70">
        <v>100</v>
      </c>
      <c r="O68" s="27">
        <f t="shared" si="2"/>
        <v>78.183326539869626</v>
      </c>
      <c r="P68" s="71">
        <f t="shared" si="3"/>
        <v>84.883095493877107</v>
      </c>
    </row>
    <row r="69" spans="1:16" ht="18" x14ac:dyDescent="0.25">
      <c r="A69" s="55" t="s">
        <v>57</v>
      </c>
      <c r="B69" s="56">
        <v>4112009</v>
      </c>
      <c r="C69" s="69">
        <v>400</v>
      </c>
      <c r="D69" s="69">
        <v>2498</v>
      </c>
      <c r="E69" s="70">
        <v>0.16012810248198558</v>
      </c>
      <c r="F69" s="70">
        <v>75.390838986979062</v>
      </c>
      <c r="G69" s="69">
        <v>5447</v>
      </c>
      <c r="H69" s="69">
        <v>5259</v>
      </c>
      <c r="I69" s="70">
        <v>1.0357482411104773</v>
      </c>
      <c r="J69" s="70">
        <v>80.141330149761231</v>
      </c>
      <c r="K69" s="69">
        <v>4</v>
      </c>
      <c r="L69" s="69">
        <v>10</v>
      </c>
      <c r="M69" s="70">
        <v>0.4</v>
      </c>
      <c r="N69" s="70">
        <v>60</v>
      </c>
      <c r="O69" s="27">
        <f t="shared" si="2"/>
        <v>72.730752030929835</v>
      </c>
      <c r="P69" s="71">
        <f t="shared" si="3"/>
        <v>75.695866007293588</v>
      </c>
    </row>
    <row r="70" spans="1:16" ht="18" x14ac:dyDescent="0.25">
      <c r="A70" s="55" t="s">
        <v>60</v>
      </c>
      <c r="B70" s="56">
        <v>4119608</v>
      </c>
      <c r="C70" s="69">
        <v>573</v>
      </c>
      <c r="D70" s="69">
        <v>2220</v>
      </c>
      <c r="E70" s="70">
        <v>0.25810810810810808</v>
      </c>
      <c r="F70" s="70">
        <v>60.332859174964447</v>
      </c>
      <c r="G70" s="69">
        <v>5028</v>
      </c>
      <c r="H70" s="69">
        <v>4506</v>
      </c>
      <c r="I70" s="70">
        <v>1.1158455392809588</v>
      </c>
      <c r="J70" s="70">
        <v>74.692583769098647</v>
      </c>
      <c r="K70" s="69">
        <v>2</v>
      </c>
      <c r="L70" s="69">
        <v>8</v>
      </c>
      <c r="M70" s="70">
        <v>0.25</v>
      </c>
      <c r="N70" s="70">
        <v>75</v>
      </c>
      <c r="O70" s="27">
        <f t="shared" si="2"/>
        <v>67.589575529756885</v>
      </c>
      <c r="P70" s="71">
        <f t="shared" si="3"/>
        <v>67.033321686282463</v>
      </c>
    </row>
    <row r="71" spans="1:16" ht="18" x14ac:dyDescent="0.25">
      <c r="A71" s="55" t="s">
        <v>65</v>
      </c>
      <c r="B71" s="56">
        <v>4122305</v>
      </c>
      <c r="C71" s="69">
        <v>644</v>
      </c>
      <c r="D71" s="69">
        <v>1930</v>
      </c>
      <c r="E71" s="70">
        <v>0.33367875647668394</v>
      </c>
      <c r="F71" s="70">
        <v>48.718843741478054</v>
      </c>
      <c r="G71" s="69">
        <v>4839</v>
      </c>
      <c r="H71" s="69">
        <v>4112</v>
      </c>
      <c r="I71" s="70">
        <v>1.1767996108949417</v>
      </c>
      <c r="J71" s="70">
        <v>70.546085888652826</v>
      </c>
      <c r="K71" s="69">
        <v>3</v>
      </c>
      <c r="L71" s="69">
        <v>10</v>
      </c>
      <c r="M71" s="70">
        <v>0.3</v>
      </c>
      <c r="N71" s="70">
        <v>70</v>
      </c>
      <c r="O71" s="27">
        <f t="shared" si="2"/>
        <v>59.495943342902237</v>
      </c>
      <c r="P71" s="71">
        <f t="shared" si="3"/>
        <v>53.396083688210481</v>
      </c>
    </row>
    <row r="72" spans="1:16" ht="18" x14ac:dyDescent="0.25">
      <c r="A72" s="55" t="s">
        <v>66</v>
      </c>
      <c r="B72" s="56">
        <v>4102406</v>
      </c>
      <c r="C72" s="69">
        <v>629</v>
      </c>
      <c r="D72" s="69">
        <v>1828</v>
      </c>
      <c r="E72" s="70">
        <v>0.3440919037199125</v>
      </c>
      <c r="F72" s="70">
        <v>47.118507428308185</v>
      </c>
      <c r="G72" s="69">
        <v>4431</v>
      </c>
      <c r="H72" s="69">
        <v>3861</v>
      </c>
      <c r="I72" s="70">
        <v>1.1476301476301476</v>
      </c>
      <c r="J72" s="70">
        <v>72.530385122462576</v>
      </c>
      <c r="K72" s="69">
        <v>5</v>
      </c>
      <c r="L72" s="69">
        <v>13</v>
      </c>
      <c r="M72" s="70">
        <v>0.38461538461538464</v>
      </c>
      <c r="N72" s="70">
        <v>61.53846153846154</v>
      </c>
      <c r="O72" s="27">
        <f t="shared" si="2"/>
        <v>57.076465379385127</v>
      </c>
      <c r="P72" s="71">
        <f t="shared" si="3"/>
        <v>49.319422424413183</v>
      </c>
    </row>
    <row r="73" spans="1:16" ht="18" x14ac:dyDescent="0.25">
      <c r="A73" s="55" t="s">
        <v>61</v>
      </c>
      <c r="B73" s="56">
        <v>4111506</v>
      </c>
      <c r="C73" s="69">
        <v>664</v>
      </c>
      <c r="D73" s="69">
        <v>1748</v>
      </c>
      <c r="E73" s="70">
        <v>0.37986270022883295</v>
      </c>
      <c r="F73" s="70">
        <v>41.621100806937257</v>
      </c>
      <c r="G73" s="69">
        <v>4585</v>
      </c>
      <c r="H73" s="69">
        <v>3943</v>
      </c>
      <c r="I73" s="70">
        <v>1.1628201876743596</v>
      </c>
      <c r="J73" s="70">
        <v>71.497058436001097</v>
      </c>
      <c r="K73" s="69">
        <v>5</v>
      </c>
      <c r="L73" s="69">
        <v>16</v>
      </c>
      <c r="M73" s="70">
        <v>0.3125</v>
      </c>
      <c r="N73" s="70">
        <v>68.75</v>
      </c>
      <c r="O73" s="27">
        <f t="shared" si="2"/>
        <v>55.872315012468903</v>
      </c>
      <c r="P73" s="71">
        <f t="shared" si="3"/>
        <v>47.29050824101688</v>
      </c>
    </row>
    <row r="74" spans="1:16" ht="18" x14ac:dyDescent="0.25">
      <c r="A74" s="55" t="s">
        <v>69</v>
      </c>
      <c r="B74" s="56">
        <v>4119954</v>
      </c>
      <c r="C74" s="69">
        <v>602</v>
      </c>
      <c r="D74" s="69">
        <v>1760</v>
      </c>
      <c r="E74" s="70">
        <v>0.34204545454545454</v>
      </c>
      <c r="F74" s="70">
        <v>47.433014354066991</v>
      </c>
      <c r="G74" s="69">
        <v>5041</v>
      </c>
      <c r="H74" s="69">
        <v>3873</v>
      </c>
      <c r="I74" s="70">
        <v>1.3015750064549445</v>
      </c>
      <c r="J74" s="70">
        <v>62.058040717562854</v>
      </c>
      <c r="K74" s="69">
        <v>2</v>
      </c>
      <c r="L74" s="69">
        <v>14</v>
      </c>
      <c r="M74" s="70">
        <v>0.14285714285714285</v>
      </c>
      <c r="N74" s="70">
        <v>85.714285714285722</v>
      </c>
      <c r="O74" s="27">
        <f t="shared" si="2"/>
        <v>60.659588784995641</v>
      </c>
      <c r="P74" s="71">
        <f t="shared" si="3"/>
        <v>55.356749736881817</v>
      </c>
    </row>
    <row r="75" spans="1:16" ht="18" x14ac:dyDescent="0.25">
      <c r="A75" s="55" t="s">
        <v>82</v>
      </c>
      <c r="B75" s="56">
        <v>4121703</v>
      </c>
      <c r="C75" s="69">
        <v>386</v>
      </c>
      <c r="D75" s="69">
        <v>1719</v>
      </c>
      <c r="E75" s="70">
        <v>0.22454915648632925</v>
      </c>
      <c r="F75" s="70">
        <v>65.490340161048351</v>
      </c>
      <c r="G75" s="69">
        <v>4025</v>
      </c>
      <c r="H75" s="69">
        <v>3505</v>
      </c>
      <c r="I75" s="70">
        <v>1.1483594864479316</v>
      </c>
      <c r="J75" s="70">
        <v>72.480770686839307</v>
      </c>
      <c r="K75" s="69">
        <v>2</v>
      </c>
      <c r="L75" s="69">
        <v>7</v>
      </c>
      <c r="M75" s="70">
        <v>0.2857142857142857</v>
      </c>
      <c r="N75" s="70">
        <v>71.428571428571431</v>
      </c>
      <c r="O75" s="27">
        <f t="shared" si="2"/>
        <v>68.722505609376867</v>
      </c>
      <c r="P75" s="71">
        <f t="shared" si="3"/>
        <v>68.942234369026522</v>
      </c>
    </row>
    <row r="76" spans="1:16" ht="18" x14ac:dyDescent="0.25">
      <c r="A76" s="55" t="s">
        <v>91</v>
      </c>
      <c r="B76" s="56">
        <v>4113502</v>
      </c>
      <c r="C76" s="69">
        <v>681</v>
      </c>
      <c r="D76" s="69">
        <v>1489</v>
      </c>
      <c r="E76" s="70">
        <v>0.45735392881128273</v>
      </c>
      <c r="F76" s="70">
        <v>29.711922519529189</v>
      </c>
      <c r="G76" s="69">
        <v>3566</v>
      </c>
      <c r="H76" s="69">
        <v>3152</v>
      </c>
      <c r="I76" s="70">
        <v>1.1313451776649746</v>
      </c>
      <c r="J76" s="70">
        <v>73.63819616208184</v>
      </c>
      <c r="K76" s="69">
        <v>4</v>
      </c>
      <c r="L76" s="69">
        <v>10</v>
      </c>
      <c r="M76" s="70">
        <v>0.4</v>
      </c>
      <c r="N76" s="70">
        <v>60</v>
      </c>
      <c r="O76" s="27">
        <f t="shared" si="2"/>
        <v>48.265510300285058</v>
      </c>
      <c r="P76" s="71">
        <f t="shared" si="3"/>
        <v>34.47354252401901</v>
      </c>
    </row>
    <row r="77" spans="1:16" ht="18" x14ac:dyDescent="0.25">
      <c r="A77" s="55" t="s">
        <v>81</v>
      </c>
      <c r="B77" s="56">
        <v>4128005</v>
      </c>
      <c r="C77" s="69">
        <v>611</v>
      </c>
      <c r="D77" s="69">
        <v>1545</v>
      </c>
      <c r="E77" s="70">
        <v>0.39546925566343044</v>
      </c>
      <c r="F77" s="70">
        <v>39.222619655935958</v>
      </c>
      <c r="G77" s="69">
        <v>3488</v>
      </c>
      <c r="H77" s="69">
        <v>3176</v>
      </c>
      <c r="I77" s="70">
        <v>1.0982367758186398</v>
      </c>
      <c r="J77" s="70">
        <v>75.890447971447145</v>
      </c>
      <c r="K77" s="69">
        <v>3</v>
      </c>
      <c r="L77" s="69">
        <v>10</v>
      </c>
      <c r="M77" s="70">
        <v>0.3</v>
      </c>
      <c r="N77" s="70">
        <v>70</v>
      </c>
      <c r="O77" s="27">
        <f t="shared" si="2"/>
        <v>56.083921820829765</v>
      </c>
      <c r="P77" s="71">
        <f t="shared" si="3"/>
        <v>47.647051797853621</v>
      </c>
    </row>
    <row r="78" spans="1:16" ht="18" x14ac:dyDescent="0.25">
      <c r="A78" s="55" t="s">
        <v>80</v>
      </c>
      <c r="B78" s="56">
        <v>4102109</v>
      </c>
      <c r="C78" s="69">
        <v>573</v>
      </c>
      <c r="D78" s="69">
        <v>1524</v>
      </c>
      <c r="E78" s="70">
        <v>0.37598425196850394</v>
      </c>
      <c r="F78" s="70">
        <v>42.217157065893083</v>
      </c>
      <c r="G78" s="69">
        <v>3462</v>
      </c>
      <c r="H78" s="69">
        <v>3177</v>
      </c>
      <c r="I78" s="70">
        <v>1.0897072710103872</v>
      </c>
      <c r="J78" s="70">
        <v>76.470681131795331</v>
      </c>
      <c r="K78" s="69">
        <v>3</v>
      </c>
      <c r="L78" s="69">
        <v>10</v>
      </c>
      <c r="M78" s="70">
        <v>0.3</v>
      </c>
      <c r="N78" s="70">
        <v>70</v>
      </c>
      <c r="O78" s="27">
        <f t="shared" si="2"/>
        <v>57.726248815895374</v>
      </c>
      <c r="P78" s="71">
        <f t="shared" si="3"/>
        <v>50.414264785212261</v>
      </c>
    </row>
    <row r="79" spans="1:16" ht="18" x14ac:dyDescent="0.25">
      <c r="A79" s="55" t="s">
        <v>87</v>
      </c>
      <c r="B79" s="56">
        <v>4124400</v>
      </c>
      <c r="C79" s="69">
        <v>499</v>
      </c>
      <c r="D79" s="69">
        <v>1609</v>
      </c>
      <c r="E79" s="70">
        <v>0.31013051584835299</v>
      </c>
      <c r="F79" s="70">
        <v>52.337836511726806</v>
      </c>
      <c r="G79" s="69">
        <v>2809</v>
      </c>
      <c r="H79" s="69">
        <v>3219</v>
      </c>
      <c r="I79" s="70">
        <v>0.87263125194159674</v>
      </c>
      <c r="J79" s="70">
        <v>91.237623341409275</v>
      </c>
      <c r="K79" s="69">
        <v>2</v>
      </c>
      <c r="L79" s="69">
        <v>8</v>
      </c>
      <c r="M79" s="70">
        <v>0.25</v>
      </c>
      <c r="N79" s="70">
        <v>75</v>
      </c>
      <c r="O79" s="27">
        <f t="shared" si="2"/>
        <v>67.728324091215725</v>
      </c>
      <c r="P79" s="71">
        <f t="shared" si="3"/>
        <v>67.267103888243355</v>
      </c>
    </row>
    <row r="80" spans="1:16" ht="18" x14ac:dyDescent="0.25">
      <c r="A80" s="55" t="s">
        <v>104</v>
      </c>
      <c r="B80" s="56">
        <v>4103453</v>
      </c>
      <c r="C80" s="69">
        <v>587</v>
      </c>
      <c r="D80" s="69">
        <v>1409</v>
      </c>
      <c r="E80" s="70">
        <v>0.41660752306600424</v>
      </c>
      <c r="F80" s="70">
        <v>35.97400171827725</v>
      </c>
      <c r="G80" s="69">
        <v>2990</v>
      </c>
      <c r="H80" s="69">
        <v>2569</v>
      </c>
      <c r="I80" s="70">
        <v>1.1638769949396652</v>
      </c>
      <c r="J80" s="70">
        <v>71.425167437260598</v>
      </c>
      <c r="K80" s="69">
        <v>1</v>
      </c>
      <c r="L80" s="69">
        <v>3</v>
      </c>
      <c r="M80" s="70">
        <v>0.33333333333333331</v>
      </c>
      <c r="N80" s="70">
        <v>66.666666666666671</v>
      </c>
      <c r="O80" s="27">
        <f t="shared" si="2"/>
        <v>52.509959385120439</v>
      </c>
      <c r="P80" s="71">
        <f t="shared" si="3"/>
        <v>41.625160117243645</v>
      </c>
    </row>
    <row r="81" spans="1:16" ht="18" x14ac:dyDescent="0.25">
      <c r="A81" s="55" t="s">
        <v>94</v>
      </c>
      <c r="B81" s="56">
        <v>4126603</v>
      </c>
      <c r="C81" s="69">
        <v>557</v>
      </c>
      <c r="D81" s="69">
        <v>1450</v>
      </c>
      <c r="E81" s="70">
        <v>0.38413793103448274</v>
      </c>
      <c r="F81" s="70">
        <v>40.964065335753183</v>
      </c>
      <c r="G81" s="69">
        <v>3302</v>
      </c>
      <c r="H81" s="69">
        <v>2922</v>
      </c>
      <c r="I81" s="70">
        <v>1.1300479123887748</v>
      </c>
      <c r="J81" s="70">
        <v>73.726444700296042</v>
      </c>
      <c r="K81" s="69">
        <v>1</v>
      </c>
      <c r="L81" s="69">
        <v>7</v>
      </c>
      <c r="M81" s="70">
        <v>0.14285714285714285</v>
      </c>
      <c r="N81" s="70">
        <v>85.714285714285722</v>
      </c>
      <c r="O81" s="27">
        <f t="shared" si="2"/>
        <v>60.342215271522036</v>
      </c>
      <c r="P81" s="71">
        <f t="shared" si="3"/>
        <v>54.821996237142436</v>
      </c>
    </row>
    <row r="82" spans="1:16" ht="18" x14ac:dyDescent="0.25">
      <c r="A82" s="55" t="s">
        <v>85</v>
      </c>
      <c r="B82" s="56">
        <v>4120804</v>
      </c>
      <c r="C82" s="69">
        <v>482</v>
      </c>
      <c r="D82" s="69">
        <v>1474</v>
      </c>
      <c r="E82" s="70">
        <v>0.32700135685210313</v>
      </c>
      <c r="F82" s="70">
        <v>49.745054631150474</v>
      </c>
      <c r="G82" s="69">
        <v>3877</v>
      </c>
      <c r="H82" s="69">
        <v>3525</v>
      </c>
      <c r="I82" s="70">
        <v>1.0998581560283689</v>
      </c>
      <c r="J82" s="70">
        <v>75.78015099825042</v>
      </c>
      <c r="K82" s="69">
        <v>2</v>
      </c>
      <c r="L82" s="69">
        <v>11</v>
      </c>
      <c r="M82" s="70">
        <v>0.18181818181818182</v>
      </c>
      <c r="N82" s="70">
        <v>81.818181818181813</v>
      </c>
      <c r="O82" s="27">
        <f t="shared" si="2"/>
        <v>64.272110519683295</v>
      </c>
      <c r="P82" s="71">
        <f t="shared" si="3"/>
        <v>61.443611300613036</v>
      </c>
    </row>
    <row r="83" spans="1:16" ht="18" x14ac:dyDescent="0.25">
      <c r="A83" s="55" t="s">
        <v>153</v>
      </c>
      <c r="B83" s="56">
        <v>4102307</v>
      </c>
      <c r="C83" s="69">
        <v>243</v>
      </c>
      <c r="D83" s="69">
        <v>832</v>
      </c>
      <c r="E83" s="70">
        <v>0.29206730769230771</v>
      </c>
      <c r="F83" s="70">
        <v>55.113866396761132</v>
      </c>
      <c r="G83" s="69">
        <v>2314</v>
      </c>
      <c r="H83" s="69">
        <v>1914</v>
      </c>
      <c r="I83" s="70">
        <v>1.2089864158829675</v>
      </c>
      <c r="J83" s="70">
        <v>68.356527174570871</v>
      </c>
      <c r="K83" s="69">
        <v>1</v>
      </c>
      <c r="L83" s="69">
        <v>6</v>
      </c>
      <c r="M83" s="70">
        <v>0.16666666666666666</v>
      </c>
      <c r="N83" s="70">
        <v>83.333333333333343</v>
      </c>
      <c r="O83" s="27">
        <f t="shared" si="2"/>
        <v>65.479398325356613</v>
      </c>
      <c r="P83" s="71">
        <f t="shared" si="3"/>
        <v>63.47781186199726</v>
      </c>
    </row>
    <row r="84" spans="1:16" ht="18" x14ac:dyDescent="0.25">
      <c r="A84" s="55" t="s">
        <v>97</v>
      </c>
      <c r="B84" s="56">
        <v>4104501</v>
      </c>
      <c r="C84" s="69">
        <v>590</v>
      </c>
      <c r="D84" s="69">
        <v>1293</v>
      </c>
      <c r="E84" s="70">
        <v>0.45630317092034028</v>
      </c>
      <c r="F84" s="70">
        <v>29.873407416452974</v>
      </c>
      <c r="G84" s="69">
        <v>2567</v>
      </c>
      <c r="H84" s="69">
        <v>2464</v>
      </c>
      <c r="I84" s="70">
        <v>1.041801948051948</v>
      </c>
      <c r="J84" s="70">
        <v>79.72951708564608</v>
      </c>
      <c r="K84" s="69">
        <v>2</v>
      </c>
      <c r="L84" s="69">
        <v>7</v>
      </c>
      <c r="M84" s="70">
        <v>0.2857142857142857</v>
      </c>
      <c r="N84" s="70">
        <v>71.428571428571431</v>
      </c>
      <c r="O84" s="27">
        <f t="shared" si="2"/>
        <v>52.72622583678087</v>
      </c>
      <c r="P84" s="71">
        <f t="shared" si="3"/>
        <v>41.989554866622292</v>
      </c>
    </row>
    <row r="85" spans="1:16" ht="18" x14ac:dyDescent="0.25">
      <c r="A85" s="55" t="s">
        <v>106</v>
      </c>
      <c r="B85" s="56">
        <v>4115606</v>
      </c>
      <c r="C85" s="69">
        <v>602</v>
      </c>
      <c r="D85" s="69">
        <v>1364</v>
      </c>
      <c r="E85" s="70">
        <v>0.44134897360703812</v>
      </c>
      <c r="F85" s="70">
        <v>32.171631424602573</v>
      </c>
      <c r="G85" s="69">
        <v>2995</v>
      </c>
      <c r="H85" s="69">
        <v>2526</v>
      </c>
      <c r="I85" s="70">
        <v>1.1856690419635787</v>
      </c>
      <c r="J85" s="70">
        <v>69.94272870261004</v>
      </c>
      <c r="K85" s="69">
        <v>2</v>
      </c>
      <c r="L85" s="69">
        <v>8</v>
      </c>
      <c r="M85" s="70">
        <v>0.25</v>
      </c>
      <c r="N85" s="70">
        <v>75</v>
      </c>
      <c r="O85" s="27">
        <f t="shared" si="2"/>
        <v>52.321497887953797</v>
      </c>
      <c r="P85" s="71">
        <f t="shared" si="3"/>
        <v>41.307614887734857</v>
      </c>
    </row>
    <row r="86" spans="1:16" ht="18" x14ac:dyDescent="0.25">
      <c r="A86" s="55" t="s">
        <v>96</v>
      </c>
      <c r="B86" s="56">
        <v>4105409</v>
      </c>
      <c r="C86" s="69">
        <v>503</v>
      </c>
      <c r="D86" s="69">
        <v>1435</v>
      </c>
      <c r="E86" s="70">
        <v>0.35052264808362371</v>
      </c>
      <c r="F86" s="70">
        <v>46.130203557674676</v>
      </c>
      <c r="G86" s="69">
        <v>3071</v>
      </c>
      <c r="H86" s="69">
        <v>2775</v>
      </c>
      <c r="I86" s="70">
        <v>1.1066666666666667</v>
      </c>
      <c r="J86" s="70">
        <v>75.316991209524858</v>
      </c>
      <c r="K86" s="69">
        <v>3</v>
      </c>
      <c r="L86" s="69">
        <v>8</v>
      </c>
      <c r="M86" s="70">
        <v>0.375</v>
      </c>
      <c r="N86" s="70">
        <v>62.5</v>
      </c>
      <c r="O86" s="27">
        <f t="shared" si="2"/>
        <v>57.519349581218549</v>
      </c>
      <c r="P86" s="71">
        <f t="shared" si="3"/>
        <v>50.065653180463357</v>
      </c>
    </row>
    <row r="87" spans="1:16" ht="18" x14ac:dyDescent="0.25">
      <c r="A87" s="55" t="s">
        <v>78</v>
      </c>
      <c r="B87" s="56">
        <v>4101606</v>
      </c>
      <c r="C87" s="69">
        <v>320</v>
      </c>
      <c r="D87" s="69">
        <v>1801</v>
      </c>
      <c r="E87" s="70">
        <v>0.17767906718489729</v>
      </c>
      <c r="F87" s="70">
        <v>72.693532832636848</v>
      </c>
      <c r="G87" s="69">
        <v>4212</v>
      </c>
      <c r="H87" s="69">
        <v>3737</v>
      </c>
      <c r="I87" s="70">
        <v>1.127107305325127</v>
      </c>
      <c r="J87" s="70">
        <v>73.926484183037374</v>
      </c>
      <c r="K87" s="69">
        <v>6</v>
      </c>
      <c r="L87" s="69">
        <v>10</v>
      </c>
      <c r="M87" s="70">
        <v>0.6</v>
      </c>
      <c r="N87" s="70">
        <v>40</v>
      </c>
      <c r="O87" s="27">
        <f t="shared" si="2"/>
        <v>64.828387462077771</v>
      </c>
      <c r="P87" s="71">
        <f t="shared" si="3"/>
        <v>62.380901367808605</v>
      </c>
    </row>
    <row r="88" spans="1:16" ht="18" x14ac:dyDescent="0.25">
      <c r="A88" s="55" t="s">
        <v>86</v>
      </c>
      <c r="B88" s="56">
        <v>4106605</v>
      </c>
      <c r="C88" s="69">
        <v>515</v>
      </c>
      <c r="D88" s="69">
        <v>1361</v>
      </c>
      <c r="E88" s="70">
        <v>0.37839823659074212</v>
      </c>
      <c r="F88" s="70">
        <v>41.846165745001741</v>
      </c>
      <c r="G88" s="69">
        <v>3076</v>
      </c>
      <c r="H88" s="69">
        <v>2879</v>
      </c>
      <c r="I88" s="70">
        <v>1.0684265369920112</v>
      </c>
      <c r="J88" s="70">
        <v>77.918336984227111</v>
      </c>
      <c r="K88" s="69">
        <v>4</v>
      </c>
      <c r="L88" s="69">
        <v>8</v>
      </c>
      <c r="M88" s="70">
        <v>0.5</v>
      </c>
      <c r="N88" s="70">
        <v>50</v>
      </c>
      <c r="O88" s="27">
        <f t="shared" si="2"/>
        <v>52.902667118557645</v>
      </c>
      <c r="P88" s="71">
        <f t="shared" si="3"/>
        <v>42.286846823647814</v>
      </c>
    </row>
    <row r="89" spans="1:16" ht="18" x14ac:dyDescent="0.25">
      <c r="A89" s="55" t="s">
        <v>98</v>
      </c>
      <c r="B89" s="56">
        <v>4127502</v>
      </c>
      <c r="C89" s="69">
        <v>316</v>
      </c>
      <c r="D89" s="69">
        <v>1432</v>
      </c>
      <c r="E89" s="70">
        <v>0.2206703910614525</v>
      </c>
      <c r="F89" s="70">
        <v>66.086445163187307</v>
      </c>
      <c r="G89" s="69">
        <v>3360</v>
      </c>
      <c r="H89" s="69">
        <v>3019</v>
      </c>
      <c r="I89" s="70">
        <v>1.1129513083802585</v>
      </c>
      <c r="J89" s="70">
        <v>74.889468439433301</v>
      </c>
      <c r="K89" s="69">
        <v>2</v>
      </c>
      <c r="L89" s="69">
        <v>6</v>
      </c>
      <c r="M89" s="70">
        <v>0.33333333333333331</v>
      </c>
      <c r="N89" s="70">
        <v>66.666666666666671</v>
      </c>
      <c r="O89" s="27">
        <f t="shared" si="2"/>
        <v>68.43225635811865</v>
      </c>
      <c r="P89" s="71">
        <f t="shared" si="3"/>
        <v>68.453183467430179</v>
      </c>
    </row>
    <row r="90" spans="1:16" ht="18" x14ac:dyDescent="0.25">
      <c r="A90" s="55" t="s">
        <v>113</v>
      </c>
      <c r="B90" s="56">
        <v>4106308</v>
      </c>
      <c r="C90" s="69">
        <v>538</v>
      </c>
      <c r="D90" s="69">
        <v>1114</v>
      </c>
      <c r="E90" s="70">
        <v>0.48294434470377018</v>
      </c>
      <c r="F90" s="70">
        <v>25.779079656052168</v>
      </c>
      <c r="G90" s="69">
        <v>2474</v>
      </c>
      <c r="H90" s="69">
        <v>2303</v>
      </c>
      <c r="I90" s="70">
        <v>1.0742509769865394</v>
      </c>
      <c r="J90" s="70">
        <v>77.522120169622141</v>
      </c>
      <c r="K90" s="69">
        <v>1</v>
      </c>
      <c r="L90" s="69">
        <v>6</v>
      </c>
      <c r="M90" s="70">
        <v>0.16666666666666666</v>
      </c>
      <c r="N90" s="70">
        <v>83.333333333333343</v>
      </c>
      <c r="O90" s="27">
        <f t="shared" si="2"/>
        <v>53.103403203764955</v>
      </c>
      <c r="P90" s="71">
        <f t="shared" si="3"/>
        <v>42.625073926828932</v>
      </c>
    </row>
    <row r="91" spans="1:16" ht="18" x14ac:dyDescent="0.25">
      <c r="A91" s="55" t="s">
        <v>77</v>
      </c>
      <c r="B91" s="56">
        <v>4116901</v>
      </c>
      <c r="C91" s="69">
        <v>489</v>
      </c>
      <c r="D91" s="69">
        <v>1528</v>
      </c>
      <c r="E91" s="70">
        <v>0.32002617801047123</v>
      </c>
      <c r="F91" s="70">
        <v>50.817029484706531</v>
      </c>
      <c r="G91" s="69">
        <v>3619</v>
      </c>
      <c r="H91" s="69">
        <v>3193</v>
      </c>
      <c r="I91" s="70">
        <v>1.1334168493579706</v>
      </c>
      <c r="J91" s="70">
        <v>73.497267392985194</v>
      </c>
      <c r="K91" s="69">
        <v>4</v>
      </c>
      <c r="L91" s="69">
        <v>11</v>
      </c>
      <c r="M91" s="70">
        <v>0.36363636363636365</v>
      </c>
      <c r="N91" s="70">
        <v>63.636363636363633</v>
      </c>
      <c r="O91" s="27">
        <f t="shared" si="2"/>
        <v>59.69192249969047</v>
      </c>
      <c r="P91" s="71">
        <f t="shared" si="3"/>
        <v>53.726295679820801</v>
      </c>
    </row>
    <row r="92" spans="1:16" ht="18" x14ac:dyDescent="0.25">
      <c r="A92" s="55" t="s">
        <v>83</v>
      </c>
      <c r="B92" s="56">
        <v>4124053</v>
      </c>
      <c r="C92" s="69">
        <v>506</v>
      </c>
      <c r="D92" s="69">
        <v>1549</v>
      </c>
      <c r="E92" s="70">
        <v>0.32666236281471916</v>
      </c>
      <c r="F92" s="70">
        <v>49.797152662158958</v>
      </c>
      <c r="G92" s="69">
        <v>3443</v>
      </c>
      <c r="H92" s="69">
        <v>3229</v>
      </c>
      <c r="I92" s="70">
        <v>1.0662743883555281</v>
      </c>
      <c r="J92" s="70">
        <v>78.064740325682223</v>
      </c>
      <c r="K92" s="69">
        <v>2</v>
      </c>
      <c r="L92" s="69">
        <v>6</v>
      </c>
      <c r="M92" s="70">
        <v>0.33333333333333331</v>
      </c>
      <c r="N92" s="70">
        <v>66.666666666666671</v>
      </c>
      <c r="O92" s="27">
        <f t="shared" si="2"/>
        <v>61.081428079166699</v>
      </c>
      <c r="P92" s="71">
        <f t="shared" si="3"/>
        <v>56.067521207432804</v>
      </c>
    </row>
    <row r="93" spans="1:16" ht="18" x14ac:dyDescent="0.25">
      <c r="A93" s="55" t="s">
        <v>130</v>
      </c>
      <c r="B93" s="56">
        <v>4104428</v>
      </c>
      <c r="C93" s="69">
        <v>255</v>
      </c>
      <c r="D93" s="69">
        <v>1097</v>
      </c>
      <c r="E93" s="70">
        <v>0.2324521422060164</v>
      </c>
      <c r="F93" s="70">
        <v>64.275776039917488</v>
      </c>
      <c r="G93" s="69">
        <v>2478</v>
      </c>
      <c r="H93" s="69">
        <v>2241</v>
      </c>
      <c r="I93" s="70">
        <v>1.1057563587684069</v>
      </c>
      <c r="J93" s="70">
        <v>75.378916355306615</v>
      </c>
      <c r="K93" s="69">
        <v>2</v>
      </c>
      <c r="L93" s="69">
        <v>6</v>
      </c>
      <c r="M93" s="70">
        <v>0.33333333333333331</v>
      </c>
      <c r="N93" s="70">
        <v>66.666666666666671</v>
      </c>
      <c r="O93" s="27">
        <f t="shared" si="2"/>
        <v>67.649283775452062</v>
      </c>
      <c r="P93" s="71">
        <f t="shared" si="3"/>
        <v>67.133926153868103</v>
      </c>
    </row>
    <row r="94" spans="1:16" ht="18" x14ac:dyDescent="0.25">
      <c r="A94" s="55" t="s">
        <v>116</v>
      </c>
      <c r="B94" s="56">
        <v>4114401</v>
      </c>
      <c r="C94" s="69">
        <v>387</v>
      </c>
      <c r="D94" s="69">
        <v>1168</v>
      </c>
      <c r="E94" s="70">
        <v>0.33133561643835618</v>
      </c>
      <c r="F94" s="70">
        <v>49.078947368421055</v>
      </c>
      <c r="G94" s="69">
        <v>2661</v>
      </c>
      <c r="H94" s="69">
        <v>2440</v>
      </c>
      <c r="I94" s="70">
        <v>1.0905737704918033</v>
      </c>
      <c r="J94" s="70">
        <v>76.41173612339864</v>
      </c>
      <c r="K94" s="69">
        <v>1</v>
      </c>
      <c r="L94" s="69">
        <v>4</v>
      </c>
      <c r="M94" s="70">
        <v>0.25</v>
      </c>
      <c r="N94" s="70">
        <v>75</v>
      </c>
      <c r="O94" s="27">
        <f t="shared" si="2"/>
        <v>62.392407715060187</v>
      </c>
      <c r="P94" s="71">
        <f t="shared" si="3"/>
        <v>58.276435683969332</v>
      </c>
    </row>
    <row r="95" spans="1:16" ht="18" x14ac:dyDescent="0.25">
      <c r="A95" s="55" t="s">
        <v>89</v>
      </c>
      <c r="B95" s="56">
        <v>4106506</v>
      </c>
      <c r="C95" s="69">
        <v>361</v>
      </c>
      <c r="D95" s="69">
        <v>1465</v>
      </c>
      <c r="E95" s="70">
        <v>0.24641638225255974</v>
      </c>
      <c r="F95" s="70">
        <v>62.129692832764505</v>
      </c>
      <c r="G95" s="69">
        <v>3415</v>
      </c>
      <c r="H95" s="69">
        <v>3085</v>
      </c>
      <c r="I95" s="70">
        <v>1.1069692058346841</v>
      </c>
      <c r="J95" s="70">
        <v>75.296410500382422</v>
      </c>
      <c r="K95" s="69">
        <v>4</v>
      </c>
      <c r="L95" s="69">
        <v>9</v>
      </c>
      <c r="M95" s="70">
        <v>0.44444444444444442</v>
      </c>
      <c r="N95" s="70">
        <v>55.555555555555557</v>
      </c>
      <c r="O95" s="27">
        <f t="shared" si="2"/>
        <v>63.777837930366744</v>
      </c>
      <c r="P95" s="71">
        <f t="shared" si="3"/>
        <v>60.61079449095115</v>
      </c>
    </row>
    <row r="96" spans="1:16" ht="18" x14ac:dyDescent="0.25">
      <c r="A96" s="55" t="s">
        <v>109</v>
      </c>
      <c r="B96" s="56">
        <v>4127403</v>
      </c>
      <c r="C96" s="69">
        <v>445</v>
      </c>
      <c r="D96" s="69">
        <v>1254</v>
      </c>
      <c r="E96" s="70">
        <v>0.35486443381180222</v>
      </c>
      <c r="F96" s="70">
        <v>45.46293964576514</v>
      </c>
      <c r="G96" s="69">
        <v>2579</v>
      </c>
      <c r="H96" s="69">
        <v>2405</v>
      </c>
      <c r="I96" s="70">
        <v>1.0723492723492722</v>
      </c>
      <c r="J96" s="70">
        <v>77.651486658830606</v>
      </c>
      <c r="K96" s="69">
        <v>1</v>
      </c>
      <c r="L96" s="69">
        <v>4</v>
      </c>
      <c r="M96" s="70">
        <v>0.25</v>
      </c>
      <c r="N96" s="70">
        <v>75</v>
      </c>
      <c r="O96" s="27">
        <f t="shared" si="2"/>
        <v>60.894341487590225</v>
      </c>
      <c r="P96" s="71">
        <f t="shared" si="3"/>
        <v>55.75229260342973</v>
      </c>
    </row>
    <row r="97" spans="1:16" ht="18" x14ac:dyDescent="0.25">
      <c r="A97" s="55" t="s">
        <v>118</v>
      </c>
      <c r="B97" s="56">
        <v>4105201</v>
      </c>
      <c r="C97" s="69">
        <v>195</v>
      </c>
      <c r="D97" s="69">
        <v>1096</v>
      </c>
      <c r="E97" s="70">
        <v>0.17791970802919707</v>
      </c>
      <c r="F97" s="70">
        <v>72.656550134460247</v>
      </c>
      <c r="G97" s="69">
        <v>2247</v>
      </c>
      <c r="H97" s="69">
        <v>2262</v>
      </c>
      <c r="I97" s="70">
        <v>0.99336870026525204</v>
      </c>
      <c r="J97" s="70">
        <v>83.024265967434829</v>
      </c>
      <c r="K97" s="69">
        <v>0</v>
      </c>
      <c r="L97" s="69">
        <v>4</v>
      </c>
      <c r="M97" s="70">
        <v>0</v>
      </c>
      <c r="N97" s="70">
        <v>100</v>
      </c>
      <c r="O97" s="27">
        <f t="shared" si="2"/>
        <v>82.084341559088827</v>
      </c>
      <c r="P97" s="71">
        <f t="shared" si="3"/>
        <v>91.456049270742497</v>
      </c>
    </row>
    <row r="98" spans="1:16" ht="18" x14ac:dyDescent="0.25">
      <c r="A98" s="55" t="s">
        <v>90</v>
      </c>
      <c r="B98" s="56">
        <v>4104659</v>
      </c>
      <c r="C98" s="69">
        <v>273</v>
      </c>
      <c r="D98" s="69">
        <v>1772</v>
      </c>
      <c r="E98" s="70">
        <v>0.15406320541760724</v>
      </c>
      <c r="F98" s="70">
        <v>76.322917904241422</v>
      </c>
      <c r="G98" s="69">
        <v>4109</v>
      </c>
      <c r="H98" s="69">
        <v>3786</v>
      </c>
      <c r="I98" s="70">
        <v>1.0853143159006868</v>
      </c>
      <c r="J98" s="70">
        <v>76.769518905367264</v>
      </c>
      <c r="K98" s="69">
        <v>4</v>
      </c>
      <c r="L98" s="69">
        <v>8</v>
      </c>
      <c r="M98" s="70">
        <v>0.5</v>
      </c>
      <c r="N98" s="70">
        <v>50</v>
      </c>
      <c r="O98" s="27">
        <f t="shared" si="2"/>
        <v>69.853838678462523</v>
      </c>
      <c r="P98" s="71">
        <f t="shared" si="3"/>
        <v>70.848456194039557</v>
      </c>
    </row>
    <row r="99" spans="1:16" ht="18" x14ac:dyDescent="0.25">
      <c r="A99" s="55" t="s">
        <v>101</v>
      </c>
      <c r="B99" s="56">
        <v>4121406</v>
      </c>
      <c r="C99" s="69">
        <v>457</v>
      </c>
      <c r="D99" s="69">
        <v>1161</v>
      </c>
      <c r="E99" s="70">
        <v>0.39362618432385876</v>
      </c>
      <c r="F99" s="70">
        <v>39.50587061970171</v>
      </c>
      <c r="G99" s="69">
        <v>2622</v>
      </c>
      <c r="H99" s="69">
        <v>2421</v>
      </c>
      <c r="I99" s="70">
        <v>1.0830235439900868</v>
      </c>
      <c r="J99" s="70">
        <v>76.925352316005387</v>
      </c>
      <c r="K99" s="69">
        <v>3</v>
      </c>
      <c r="L99" s="69">
        <v>7</v>
      </c>
      <c r="M99" s="70">
        <v>0.42857142857142855</v>
      </c>
      <c r="N99" s="70">
        <v>57.142857142857139</v>
      </c>
      <c r="O99" s="27">
        <f t="shared" si="2"/>
        <v>53.269987674566487</v>
      </c>
      <c r="P99" s="71">
        <f t="shared" si="3"/>
        <v>42.905757805544482</v>
      </c>
    </row>
    <row r="100" spans="1:16" ht="18" x14ac:dyDescent="0.25">
      <c r="A100" s="55" t="s">
        <v>88</v>
      </c>
      <c r="B100" s="56">
        <v>4119400</v>
      </c>
      <c r="C100" s="69">
        <v>273</v>
      </c>
      <c r="D100" s="69">
        <v>1586</v>
      </c>
      <c r="E100" s="70">
        <v>0.1721311475409836</v>
      </c>
      <c r="F100" s="70">
        <v>73.546160483175157</v>
      </c>
      <c r="G100" s="69">
        <v>3664</v>
      </c>
      <c r="H100" s="69">
        <v>3482</v>
      </c>
      <c r="I100" s="70">
        <v>1.0522688110281448</v>
      </c>
      <c r="J100" s="70">
        <v>79.01749204783448</v>
      </c>
      <c r="K100" s="69">
        <v>2</v>
      </c>
      <c r="L100" s="69">
        <v>5</v>
      </c>
      <c r="M100" s="70">
        <v>0.4</v>
      </c>
      <c r="N100" s="70">
        <v>60</v>
      </c>
      <c r="O100" s="27">
        <f t="shared" si="2"/>
        <v>71.527453253546199</v>
      </c>
      <c r="P100" s="71">
        <f t="shared" si="3"/>
        <v>73.668386696259219</v>
      </c>
    </row>
    <row r="101" spans="1:16" ht="18" x14ac:dyDescent="0.25">
      <c r="A101" s="55" t="s">
        <v>114</v>
      </c>
      <c r="B101" s="56">
        <v>4126306</v>
      </c>
      <c r="C101" s="69">
        <v>365</v>
      </c>
      <c r="D101" s="69">
        <v>1215</v>
      </c>
      <c r="E101" s="70">
        <v>0.30041152263374488</v>
      </c>
      <c r="F101" s="70">
        <v>53.831492311024476</v>
      </c>
      <c r="G101" s="69">
        <v>2811</v>
      </c>
      <c r="H101" s="69">
        <v>2526</v>
      </c>
      <c r="I101" s="70">
        <v>1.1128266033254157</v>
      </c>
      <c r="J101" s="70">
        <v>74.897951699564985</v>
      </c>
      <c r="K101" s="69">
        <v>2</v>
      </c>
      <c r="L101" s="69">
        <v>7</v>
      </c>
      <c r="M101" s="70">
        <v>0.2857142857142857</v>
      </c>
      <c r="N101" s="70">
        <v>71.428571428571431</v>
      </c>
      <c r="O101" s="27">
        <f t="shared" si="2"/>
        <v>63.497376937546349</v>
      </c>
      <c r="P101" s="71">
        <f t="shared" si="3"/>
        <v>60.138236161147219</v>
      </c>
    </row>
    <row r="102" spans="1:16" ht="18" x14ac:dyDescent="0.25">
      <c r="A102" s="55" t="s">
        <v>117</v>
      </c>
      <c r="B102" s="56">
        <v>4107603</v>
      </c>
      <c r="C102" s="69">
        <v>323</v>
      </c>
      <c r="D102" s="69">
        <v>1105</v>
      </c>
      <c r="E102" s="70">
        <v>0.29230769230769232</v>
      </c>
      <c r="F102" s="70">
        <v>55.07692307692308</v>
      </c>
      <c r="G102" s="69">
        <v>2659</v>
      </c>
      <c r="H102" s="69">
        <v>2349</v>
      </c>
      <c r="I102" s="70">
        <v>1.1319710515112813</v>
      </c>
      <c r="J102" s="70">
        <v>73.595620096063271</v>
      </c>
      <c r="K102" s="69">
        <v>7</v>
      </c>
      <c r="L102" s="69">
        <v>12</v>
      </c>
      <c r="M102" s="70">
        <v>0.58333333333333337</v>
      </c>
      <c r="N102" s="70">
        <v>41.666666666666664</v>
      </c>
      <c r="O102" s="27">
        <f t="shared" si="2"/>
        <v>56.354033229144022</v>
      </c>
      <c r="P102" s="71">
        <f t="shared" si="3"/>
        <v>48.102171758352767</v>
      </c>
    </row>
    <row r="103" spans="1:16" ht="18" x14ac:dyDescent="0.25">
      <c r="A103" s="55" t="s">
        <v>111</v>
      </c>
      <c r="B103" s="56">
        <v>4127601</v>
      </c>
      <c r="C103" s="69">
        <v>286</v>
      </c>
      <c r="D103" s="69">
        <v>1200</v>
      </c>
      <c r="E103" s="70">
        <v>0.23833333333333334</v>
      </c>
      <c r="F103" s="70">
        <v>63.371929824561398</v>
      </c>
      <c r="G103" s="69">
        <v>2808</v>
      </c>
      <c r="H103" s="69">
        <v>2516</v>
      </c>
      <c r="I103" s="70">
        <v>1.1160572337042924</v>
      </c>
      <c r="J103" s="70">
        <v>74.678182918516995</v>
      </c>
      <c r="K103" s="69">
        <v>0</v>
      </c>
      <c r="L103" s="69">
        <v>3</v>
      </c>
      <c r="M103" s="70">
        <v>0</v>
      </c>
      <c r="N103" s="70">
        <v>100</v>
      </c>
      <c r="O103" s="27">
        <f t="shared" si="2"/>
        <v>75.355510641909945</v>
      </c>
      <c r="P103" s="71">
        <f t="shared" si="3"/>
        <v>80.118411662822695</v>
      </c>
    </row>
    <row r="104" spans="1:16" ht="18" x14ac:dyDescent="0.25">
      <c r="A104" s="55" t="s">
        <v>112</v>
      </c>
      <c r="B104" s="56">
        <v>4127205</v>
      </c>
      <c r="C104" s="69">
        <v>480</v>
      </c>
      <c r="D104" s="69">
        <v>1098</v>
      </c>
      <c r="E104" s="70">
        <v>0.43715846994535518</v>
      </c>
      <c r="F104" s="70">
        <v>32.815645671555949</v>
      </c>
      <c r="G104" s="69">
        <v>2403</v>
      </c>
      <c r="H104" s="69">
        <v>2246</v>
      </c>
      <c r="I104" s="70">
        <v>1.0699020480854853</v>
      </c>
      <c r="J104" s="70">
        <v>77.817962990174493</v>
      </c>
      <c r="K104" s="69">
        <v>1</v>
      </c>
      <c r="L104" s="69">
        <v>4</v>
      </c>
      <c r="M104" s="70">
        <v>0.25</v>
      </c>
      <c r="N104" s="70">
        <v>75</v>
      </c>
      <c r="O104" s="27">
        <f t="shared" si="2"/>
        <v>54.612313583321594</v>
      </c>
      <c r="P104" s="71">
        <f t="shared" si="3"/>
        <v>45.167488690523768</v>
      </c>
    </row>
    <row r="105" spans="1:16" ht="18" x14ac:dyDescent="0.25">
      <c r="A105" s="55" t="s">
        <v>129</v>
      </c>
      <c r="B105" s="56">
        <v>4105706</v>
      </c>
      <c r="C105" s="69">
        <v>257</v>
      </c>
      <c r="D105" s="69">
        <v>1091</v>
      </c>
      <c r="E105" s="70">
        <v>0.23556370302474794</v>
      </c>
      <c r="F105" s="70">
        <v>63.797578271986112</v>
      </c>
      <c r="G105" s="69">
        <v>2755</v>
      </c>
      <c r="H105" s="69">
        <v>2149</v>
      </c>
      <c r="I105" s="70">
        <v>1.281991624011168</v>
      </c>
      <c r="J105" s="70">
        <v>63.390231523606587</v>
      </c>
      <c r="K105" s="69">
        <v>3</v>
      </c>
      <c r="L105" s="69">
        <v>7</v>
      </c>
      <c r="M105" s="70">
        <v>0.42857142857142855</v>
      </c>
      <c r="N105" s="70">
        <v>57.142857142857139</v>
      </c>
      <c r="O105" s="27">
        <f t="shared" si="2"/>
        <v>62.032061302608987</v>
      </c>
      <c r="P105" s="71">
        <f t="shared" si="3"/>
        <v>57.669275675348011</v>
      </c>
    </row>
    <row r="106" spans="1:16" ht="18" x14ac:dyDescent="0.25">
      <c r="A106" s="55" t="s">
        <v>102</v>
      </c>
      <c r="B106" s="56">
        <v>4128500</v>
      </c>
      <c r="C106" s="69">
        <v>333</v>
      </c>
      <c r="D106" s="69">
        <v>1312</v>
      </c>
      <c r="E106" s="70">
        <v>0.25381097560975607</v>
      </c>
      <c r="F106" s="70">
        <v>60.993260590500654</v>
      </c>
      <c r="G106" s="69">
        <v>2977</v>
      </c>
      <c r="H106" s="69">
        <v>2583</v>
      </c>
      <c r="I106" s="70">
        <v>1.1525358110723964</v>
      </c>
      <c r="J106" s="70">
        <v>72.196669547327815</v>
      </c>
      <c r="K106" s="69">
        <v>3</v>
      </c>
      <c r="L106" s="69">
        <v>5</v>
      </c>
      <c r="M106" s="70">
        <v>0.6</v>
      </c>
      <c r="N106" s="70">
        <v>40</v>
      </c>
      <c r="O106" s="27">
        <f t="shared" si="2"/>
        <v>58.545797682082281</v>
      </c>
      <c r="P106" s="71">
        <f t="shared" si="3"/>
        <v>51.795150731251802</v>
      </c>
    </row>
    <row r="107" spans="1:16" ht="18" x14ac:dyDescent="0.25">
      <c r="A107" s="55" t="s">
        <v>158</v>
      </c>
      <c r="B107" s="56">
        <v>4124020</v>
      </c>
      <c r="C107" s="69">
        <v>352</v>
      </c>
      <c r="D107" s="69">
        <v>1055</v>
      </c>
      <c r="E107" s="70">
        <v>0.33364928909952607</v>
      </c>
      <c r="F107" s="70">
        <v>48.723372412072841</v>
      </c>
      <c r="G107" s="69">
        <v>2201</v>
      </c>
      <c r="H107" s="69">
        <v>1945</v>
      </c>
      <c r="I107" s="70">
        <v>1.1316195372750644</v>
      </c>
      <c r="J107" s="70">
        <v>73.619532412284755</v>
      </c>
      <c r="K107" s="69">
        <v>1</v>
      </c>
      <c r="L107" s="69">
        <v>5</v>
      </c>
      <c r="M107" s="70">
        <v>0.2</v>
      </c>
      <c r="N107" s="70">
        <v>80</v>
      </c>
      <c r="O107" s="27">
        <f t="shared" si="2"/>
        <v>62.766569309107609</v>
      </c>
      <c r="P107" s="71">
        <f t="shared" si="3"/>
        <v>58.906873365094746</v>
      </c>
    </row>
    <row r="108" spans="1:16" ht="18" x14ac:dyDescent="0.25">
      <c r="A108" s="55" t="s">
        <v>173</v>
      </c>
      <c r="B108" s="56">
        <v>4110953</v>
      </c>
      <c r="C108" s="69">
        <v>476</v>
      </c>
      <c r="D108" s="69">
        <v>820</v>
      </c>
      <c r="E108" s="70">
        <v>0.58048780487804874</v>
      </c>
      <c r="F108" s="70">
        <v>10.788189987163042</v>
      </c>
      <c r="G108" s="69">
        <v>1883</v>
      </c>
      <c r="H108" s="69">
        <v>1652</v>
      </c>
      <c r="I108" s="70">
        <v>1.1398305084745763</v>
      </c>
      <c r="J108" s="70">
        <v>73.060968008403847</v>
      </c>
      <c r="K108" s="69">
        <v>0</v>
      </c>
      <c r="L108" s="69">
        <v>5</v>
      </c>
      <c r="M108" s="70">
        <v>0</v>
      </c>
      <c r="N108" s="70">
        <v>100</v>
      </c>
      <c r="O108" s="27">
        <f t="shared" si="2"/>
        <v>48.65933699568248</v>
      </c>
      <c r="P108" s="71">
        <f t="shared" si="3"/>
        <v>35.137114607743264</v>
      </c>
    </row>
    <row r="109" spans="1:16" ht="18" x14ac:dyDescent="0.25">
      <c r="A109" s="55" t="s">
        <v>99</v>
      </c>
      <c r="B109" s="56">
        <v>4101101</v>
      </c>
      <c r="C109" s="69">
        <v>434</v>
      </c>
      <c r="D109" s="69">
        <v>1071</v>
      </c>
      <c r="E109" s="70">
        <v>0.40522875816993464</v>
      </c>
      <c r="F109" s="70">
        <v>37.722738218094257</v>
      </c>
      <c r="G109" s="69">
        <v>2623</v>
      </c>
      <c r="H109" s="69">
        <v>2375</v>
      </c>
      <c r="I109" s="70">
        <v>1.104421052631579</v>
      </c>
      <c r="J109" s="70">
        <v>75.469752683701017</v>
      </c>
      <c r="K109" s="69">
        <v>2</v>
      </c>
      <c r="L109" s="69">
        <v>8</v>
      </c>
      <c r="M109" s="70">
        <v>0.25</v>
      </c>
      <c r="N109" s="70">
        <v>75</v>
      </c>
      <c r="O109" s="27">
        <f t="shared" si="2"/>
        <v>56.478807279972386</v>
      </c>
      <c r="P109" s="71">
        <f t="shared" si="3"/>
        <v>48.312407828864295</v>
      </c>
    </row>
    <row r="110" spans="1:16" ht="18" x14ac:dyDescent="0.25">
      <c r="A110" s="55" t="s">
        <v>166</v>
      </c>
      <c r="B110" s="56">
        <v>4117057</v>
      </c>
      <c r="C110" s="69">
        <v>165</v>
      </c>
      <c r="D110" s="69">
        <v>1016</v>
      </c>
      <c r="E110" s="70">
        <v>0.1624015748031496</v>
      </c>
      <c r="F110" s="70">
        <v>75.041442188147528</v>
      </c>
      <c r="G110" s="69">
        <v>1853</v>
      </c>
      <c r="H110" s="69">
        <v>1939</v>
      </c>
      <c r="I110" s="70">
        <v>0.95564724084579677</v>
      </c>
      <c r="J110" s="70">
        <v>85.590328371282737</v>
      </c>
      <c r="K110" s="69">
        <v>1</v>
      </c>
      <c r="L110" s="69">
        <v>3</v>
      </c>
      <c r="M110" s="70">
        <v>0.33333333333333331</v>
      </c>
      <c r="N110" s="70">
        <v>66.666666666666671</v>
      </c>
      <c r="O110" s="27">
        <f t="shared" si="2"/>
        <v>75.58496985356112</v>
      </c>
      <c r="P110" s="71">
        <f t="shared" si="3"/>
        <v>80.505035345230624</v>
      </c>
    </row>
    <row r="111" spans="1:16" ht="18" x14ac:dyDescent="0.25">
      <c r="A111" s="55" t="s">
        <v>149</v>
      </c>
      <c r="B111" s="56">
        <v>4119103</v>
      </c>
      <c r="C111" s="69">
        <v>347</v>
      </c>
      <c r="D111" s="69">
        <v>1010</v>
      </c>
      <c r="E111" s="70">
        <v>0.34356435643564359</v>
      </c>
      <c r="F111" s="70">
        <v>47.199583116206355</v>
      </c>
      <c r="G111" s="69">
        <v>2182</v>
      </c>
      <c r="H111" s="69">
        <v>1978</v>
      </c>
      <c r="I111" s="70">
        <v>1.1031344792719919</v>
      </c>
      <c r="J111" s="70">
        <v>75.55727388724506</v>
      </c>
      <c r="K111" s="69">
        <v>1</v>
      </c>
      <c r="L111" s="69">
        <v>5</v>
      </c>
      <c r="M111" s="70">
        <v>0.2</v>
      </c>
      <c r="N111" s="70">
        <v>80</v>
      </c>
      <c r="O111" s="27">
        <f t="shared" si="2"/>
        <v>62.489110029914443</v>
      </c>
      <c r="P111" s="71">
        <f t="shared" si="3"/>
        <v>58.439372725360194</v>
      </c>
    </row>
    <row r="112" spans="1:16" ht="18" x14ac:dyDescent="0.25">
      <c r="A112" s="55" t="s">
        <v>92</v>
      </c>
      <c r="B112" s="56">
        <v>4103602</v>
      </c>
      <c r="C112" s="69">
        <v>200</v>
      </c>
      <c r="D112" s="69">
        <v>1444</v>
      </c>
      <c r="E112" s="70">
        <v>0.13850415512465375</v>
      </c>
      <c r="F112" s="70">
        <v>78.71409826505321</v>
      </c>
      <c r="G112" s="69">
        <v>3289</v>
      </c>
      <c r="H112" s="69">
        <v>2843</v>
      </c>
      <c r="I112" s="70">
        <v>1.1568765388673936</v>
      </c>
      <c r="J112" s="70">
        <v>71.901384620087299</v>
      </c>
      <c r="K112" s="69">
        <v>6</v>
      </c>
      <c r="L112" s="69">
        <v>8</v>
      </c>
      <c r="M112" s="70">
        <v>0.75</v>
      </c>
      <c r="N112" s="70">
        <v>25</v>
      </c>
      <c r="O112" s="27">
        <f t="shared" si="2"/>
        <v>63.58239528754843</v>
      </c>
      <c r="P112" s="71">
        <f t="shared" si="3"/>
        <v>60.281486490099013</v>
      </c>
    </row>
    <row r="113" spans="1:16" ht="18" x14ac:dyDescent="0.25">
      <c r="A113" s="55" t="s">
        <v>125</v>
      </c>
      <c r="B113" s="56">
        <v>4102901</v>
      </c>
      <c r="C113" s="69">
        <v>264</v>
      </c>
      <c r="D113" s="69">
        <v>1202</v>
      </c>
      <c r="E113" s="70">
        <v>0.21963394342762063</v>
      </c>
      <c r="F113" s="70">
        <v>66.245730799544617</v>
      </c>
      <c r="G113" s="69">
        <v>2665</v>
      </c>
      <c r="H113" s="69">
        <v>2240</v>
      </c>
      <c r="I113" s="70">
        <v>1.1897321428571428</v>
      </c>
      <c r="J113" s="70">
        <v>69.666329787868193</v>
      </c>
      <c r="K113" s="69">
        <v>2</v>
      </c>
      <c r="L113" s="69">
        <v>6</v>
      </c>
      <c r="M113" s="70">
        <v>0.33333333333333331</v>
      </c>
      <c r="N113" s="70">
        <v>66.666666666666671</v>
      </c>
      <c r="O113" s="27">
        <f t="shared" si="2"/>
        <v>67.206114513406021</v>
      </c>
      <c r="P113" s="71">
        <f t="shared" si="3"/>
        <v>66.387215090105215</v>
      </c>
    </row>
    <row r="114" spans="1:16" ht="18" x14ac:dyDescent="0.25">
      <c r="A114" s="55" t="s">
        <v>156</v>
      </c>
      <c r="B114" s="56">
        <v>4118006</v>
      </c>
      <c r="C114" s="69">
        <v>355</v>
      </c>
      <c r="D114" s="69">
        <v>904</v>
      </c>
      <c r="E114" s="70">
        <v>0.39269911504424782</v>
      </c>
      <c r="F114" s="70">
        <v>39.64834653004192</v>
      </c>
      <c r="G114" s="69">
        <v>2052</v>
      </c>
      <c r="H114" s="69">
        <v>1766</v>
      </c>
      <c r="I114" s="70">
        <v>1.1619479048697621</v>
      </c>
      <c r="J114" s="70">
        <v>71.556396864175653</v>
      </c>
      <c r="K114" s="69">
        <v>3</v>
      </c>
      <c r="L114" s="69">
        <v>6</v>
      </c>
      <c r="M114" s="70">
        <v>0.5</v>
      </c>
      <c r="N114" s="70">
        <v>50</v>
      </c>
      <c r="O114" s="27">
        <f t="shared" si="2"/>
        <v>50.213272481064877</v>
      </c>
      <c r="P114" s="71">
        <f t="shared" si="3"/>
        <v>37.75539371390618</v>
      </c>
    </row>
    <row r="115" spans="1:16" ht="18" x14ac:dyDescent="0.25">
      <c r="A115" s="55" t="s">
        <v>138</v>
      </c>
      <c r="B115" s="56">
        <v>4114500</v>
      </c>
      <c r="C115" s="69">
        <v>229</v>
      </c>
      <c r="D115" s="69">
        <v>1003</v>
      </c>
      <c r="E115" s="70">
        <v>0.22831505483549352</v>
      </c>
      <c r="F115" s="70">
        <v>64.911581046334675</v>
      </c>
      <c r="G115" s="69">
        <v>2248</v>
      </c>
      <c r="H115" s="69">
        <v>2133</v>
      </c>
      <c r="I115" s="70">
        <v>1.0539146741678387</v>
      </c>
      <c r="J115" s="70">
        <v>78.905529584301888</v>
      </c>
      <c r="K115" s="69">
        <v>2</v>
      </c>
      <c r="L115" s="69">
        <v>4</v>
      </c>
      <c r="M115" s="70">
        <v>0.5</v>
      </c>
      <c r="N115" s="70">
        <v>50</v>
      </c>
      <c r="O115" s="27">
        <f t="shared" si="2"/>
        <v>64.682172919242817</v>
      </c>
      <c r="P115" s="71">
        <f t="shared" si="3"/>
        <v>62.134539478191478</v>
      </c>
    </row>
    <row r="116" spans="1:16" ht="18" x14ac:dyDescent="0.25">
      <c r="A116" s="55" t="s">
        <v>100</v>
      </c>
      <c r="B116" s="56">
        <v>4101002</v>
      </c>
      <c r="C116" s="69">
        <v>361</v>
      </c>
      <c r="D116" s="69">
        <v>1396</v>
      </c>
      <c r="E116" s="70">
        <v>0.25859598853868193</v>
      </c>
      <c r="F116" s="70">
        <v>60.257879656160462</v>
      </c>
      <c r="G116" s="69">
        <v>2930</v>
      </c>
      <c r="H116" s="69">
        <v>2550</v>
      </c>
      <c r="I116" s="70">
        <v>1.1490196078431372</v>
      </c>
      <c r="J116" s="70">
        <v>72.435864876717361</v>
      </c>
      <c r="K116" s="69">
        <v>2</v>
      </c>
      <c r="L116" s="69">
        <v>6</v>
      </c>
      <c r="M116" s="70">
        <v>0.33333333333333331</v>
      </c>
      <c r="N116" s="70">
        <v>66.666666666666671</v>
      </c>
      <c r="O116" s="27">
        <f t="shared" si="2"/>
        <v>64.904572713926242</v>
      </c>
      <c r="P116" s="71">
        <f t="shared" si="3"/>
        <v>62.509268507235596</v>
      </c>
    </row>
    <row r="117" spans="1:16" ht="18" x14ac:dyDescent="0.25">
      <c r="A117" s="55" t="s">
        <v>95</v>
      </c>
      <c r="B117" s="56">
        <v>4112108</v>
      </c>
      <c r="C117" s="69">
        <v>396</v>
      </c>
      <c r="D117" s="69">
        <v>1216</v>
      </c>
      <c r="E117" s="70">
        <v>0.32565789473684209</v>
      </c>
      <c r="F117" s="70">
        <v>49.95152354570638</v>
      </c>
      <c r="G117" s="69">
        <v>3124</v>
      </c>
      <c r="H117" s="69">
        <v>2414</v>
      </c>
      <c r="I117" s="70">
        <v>1.2941176470588236</v>
      </c>
      <c r="J117" s="70">
        <v>62.565339477284176</v>
      </c>
      <c r="K117" s="69">
        <v>5</v>
      </c>
      <c r="L117" s="69">
        <v>10</v>
      </c>
      <c r="M117" s="70">
        <v>0.5</v>
      </c>
      <c r="N117" s="70">
        <v>50</v>
      </c>
      <c r="O117" s="27">
        <f t="shared" si="2"/>
        <v>53.117096642174232</v>
      </c>
      <c r="P117" s="71">
        <f t="shared" si="3"/>
        <v>42.648146470068859</v>
      </c>
    </row>
    <row r="118" spans="1:16" ht="18" x14ac:dyDescent="0.25">
      <c r="A118" s="55" t="s">
        <v>144</v>
      </c>
      <c r="B118" s="56">
        <v>4100608</v>
      </c>
      <c r="C118" s="69">
        <v>269</v>
      </c>
      <c r="D118" s="69">
        <v>939</v>
      </c>
      <c r="E118" s="70">
        <v>0.28647497337593186</v>
      </c>
      <c r="F118" s="70">
        <v>55.973319881172579</v>
      </c>
      <c r="G118" s="69">
        <v>2060</v>
      </c>
      <c r="H118" s="69">
        <v>1923</v>
      </c>
      <c r="I118" s="70">
        <v>1.0712428497139885</v>
      </c>
      <c r="J118" s="70">
        <v>77.726752822199245</v>
      </c>
      <c r="K118" s="69">
        <v>1</v>
      </c>
      <c r="L118" s="69">
        <v>6</v>
      </c>
      <c r="M118" s="70">
        <v>0.16666666666666666</v>
      </c>
      <c r="N118" s="70">
        <v>83.333333333333343</v>
      </c>
      <c r="O118" s="27">
        <f t="shared" si="2"/>
        <v>68.251681479469426</v>
      </c>
      <c r="P118" s="71">
        <f t="shared" si="3"/>
        <v>68.148926671499666</v>
      </c>
    </row>
    <row r="119" spans="1:16" ht="18" x14ac:dyDescent="0.25">
      <c r="A119" s="55" t="s">
        <v>122</v>
      </c>
      <c r="B119" s="56">
        <v>4126801</v>
      </c>
      <c r="C119" s="69">
        <v>381</v>
      </c>
      <c r="D119" s="69">
        <v>986</v>
      </c>
      <c r="E119" s="70">
        <v>0.38640973630831643</v>
      </c>
      <c r="F119" s="70">
        <v>40.61492473577453</v>
      </c>
      <c r="G119" s="69">
        <v>2251</v>
      </c>
      <c r="H119" s="69">
        <v>2189</v>
      </c>
      <c r="I119" s="70">
        <v>1.0283234353586113</v>
      </c>
      <c r="J119" s="70">
        <v>80.646414395942614</v>
      </c>
      <c r="K119" s="69">
        <v>2</v>
      </c>
      <c r="L119" s="69">
        <v>5</v>
      </c>
      <c r="M119" s="70">
        <v>0.4</v>
      </c>
      <c r="N119" s="70">
        <v>60</v>
      </c>
      <c r="O119" s="27">
        <f t="shared" si="2"/>
        <v>55.469065966872918</v>
      </c>
      <c r="P119" s="71">
        <f t="shared" si="3"/>
        <v>46.611060116821243</v>
      </c>
    </row>
    <row r="120" spans="1:16" ht="18" x14ac:dyDescent="0.25">
      <c r="A120" s="55" t="s">
        <v>146</v>
      </c>
      <c r="B120" s="56">
        <v>4116703</v>
      </c>
      <c r="C120" s="69">
        <v>293</v>
      </c>
      <c r="D120" s="69">
        <v>857</v>
      </c>
      <c r="E120" s="70">
        <v>0.34189031505250878</v>
      </c>
      <c r="F120" s="70">
        <v>47.456856844561813</v>
      </c>
      <c r="G120" s="69">
        <v>1612</v>
      </c>
      <c r="H120" s="69">
        <v>1850</v>
      </c>
      <c r="I120" s="70">
        <v>0.87135135135135133</v>
      </c>
      <c r="J120" s="70">
        <v>91.324690619182675</v>
      </c>
      <c r="K120" s="69">
        <v>1</v>
      </c>
      <c r="L120" s="69">
        <v>4</v>
      </c>
      <c r="M120" s="70">
        <v>0.25</v>
      </c>
      <c r="N120" s="70">
        <v>75</v>
      </c>
      <c r="O120" s="27">
        <f t="shared" si="2"/>
        <v>65.309601077076579</v>
      </c>
      <c r="P120" s="71">
        <f t="shared" si="3"/>
        <v>63.191714664502499</v>
      </c>
    </row>
    <row r="121" spans="1:16" ht="18" x14ac:dyDescent="0.25">
      <c r="A121" s="55" t="s">
        <v>133</v>
      </c>
      <c r="B121" s="56">
        <v>4104600</v>
      </c>
      <c r="C121" s="69">
        <v>340</v>
      </c>
      <c r="D121" s="69">
        <v>963</v>
      </c>
      <c r="E121" s="70">
        <v>0.35306334371754933</v>
      </c>
      <c r="F121" s="70">
        <v>45.739738754987158</v>
      </c>
      <c r="G121" s="69">
        <v>2215</v>
      </c>
      <c r="H121" s="69">
        <v>1935</v>
      </c>
      <c r="I121" s="70">
        <v>1.1447028423772609</v>
      </c>
      <c r="J121" s="70">
        <v>72.729519728324206</v>
      </c>
      <c r="K121" s="69">
        <v>1</v>
      </c>
      <c r="L121" s="69">
        <v>4</v>
      </c>
      <c r="M121" s="70">
        <v>0.25</v>
      </c>
      <c r="N121" s="70">
        <v>75</v>
      </c>
      <c r="O121" s="27">
        <f t="shared" si="2"/>
        <v>59.802249309574634</v>
      </c>
      <c r="P121" s="71">
        <f t="shared" si="3"/>
        <v>53.912189099391064</v>
      </c>
    </row>
    <row r="122" spans="1:16" ht="18" x14ac:dyDescent="0.25">
      <c r="A122" s="55" t="s">
        <v>93</v>
      </c>
      <c r="B122" s="56">
        <v>4105904</v>
      </c>
      <c r="C122" s="69">
        <v>298</v>
      </c>
      <c r="D122" s="69">
        <v>1302</v>
      </c>
      <c r="E122" s="70">
        <v>0.22887864823348694</v>
      </c>
      <c r="F122" s="70">
        <v>64.824965639906225</v>
      </c>
      <c r="G122" s="69">
        <v>2866</v>
      </c>
      <c r="H122" s="69">
        <v>2551</v>
      </c>
      <c r="I122" s="70">
        <v>1.1234809878479028</v>
      </c>
      <c r="J122" s="70">
        <v>74.173170209663439</v>
      </c>
      <c r="K122" s="69">
        <v>4</v>
      </c>
      <c r="L122" s="69">
        <v>9</v>
      </c>
      <c r="M122" s="70">
        <v>0.44444444444444442</v>
      </c>
      <c r="N122" s="70">
        <v>55.555555555555557</v>
      </c>
      <c r="O122" s="27">
        <f t="shared" si="2"/>
        <v>64.844664261257861</v>
      </c>
      <c r="P122" s="71">
        <f t="shared" si="3"/>
        <v>62.408326704065701</v>
      </c>
    </row>
    <row r="123" spans="1:16" ht="18" x14ac:dyDescent="0.25">
      <c r="A123" s="55" t="s">
        <v>124</v>
      </c>
      <c r="B123" s="56">
        <v>4103909</v>
      </c>
      <c r="C123" s="69">
        <v>296</v>
      </c>
      <c r="D123" s="69">
        <v>975</v>
      </c>
      <c r="E123" s="70">
        <v>0.30358974358974361</v>
      </c>
      <c r="F123" s="70">
        <v>53.343049932523613</v>
      </c>
      <c r="G123" s="69">
        <v>2404</v>
      </c>
      <c r="H123" s="69">
        <v>2103</v>
      </c>
      <c r="I123" s="70">
        <v>1.143128863528293</v>
      </c>
      <c r="J123" s="70">
        <v>72.83659214839885</v>
      </c>
      <c r="K123" s="69">
        <v>3</v>
      </c>
      <c r="L123" s="69">
        <v>9</v>
      </c>
      <c r="M123" s="70">
        <v>0.33333333333333331</v>
      </c>
      <c r="N123" s="70">
        <v>66.666666666666671</v>
      </c>
      <c r="O123" s="27">
        <f t="shared" si="2"/>
        <v>61.547339670028194</v>
      </c>
      <c r="P123" s="71">
        <f t="shared" si="3"/>
        <v>56.852551599715518</v>
      </c>
    </row>
    <row r="124" spans="1:16" ht="18" x14ac:dyDescent="0.25">
      <c r="A124" s="55" t="s">
        <v>168</v>
      </c>
      <c r="B124" s="56">
        <v>4112801</v>
      </c>
      <c r="C124" s="69">
        <v>348</v>
      </c>
      <c r="D124" s="69">
        <v>816</v>
      </c>
      <c r="E124" s="70">
        <v>0.4264705882352941</v>
      </c>
      <c r="F124" s="70">
        <v>34.458204334365334</v>
      </c>
      <c r="G124" s="69">
        <v>1854</v>
      </c>
      <c r="H124" s="69">
        <v>1599</v>
      </c>
      <c r="I124" s="70">
        <v>1.1594746716697937</v>
      </c>
      <c r="J124" s="70">
        <v>71.724642494860717</v>
      </c>
      <c r="K124" s="69">
        <v>2</v>
      </c>
      <c r="L124" s="69">
        <v>6</v>
      </c>
      <c r="M124" s="70">
        <v>0.33333333333333331</v>
      </c>
      <c r="N124" s="70">
        <v>66.666666666666671</v>
      </c>
      <c r="O124" s="27">
        <f t="shared" si="2"/>
        <v>51.826929457564518</v>
      </c>
      <c r="P124" s="71">
        <f t="shared" si="3"/>
        <v>40.474299605319906</v>
      </c>
    </row>
    <row r="125" spans="1:16" ht="18" x14ac:dyDescent="0.25">
      <c r="A125" s="55" t="s">
        <v>127</v>
      </c>
      <c r="B125" s="56">
        <v>4123006</v>
      </c>
      <c r="C125" s="69">
        <v>267</v>
      </c>
      <c r="D125" s="69">
        <v>1022</v>
      </c>
      <c r="E125" s="70">
        <v>0.26125244618395305</v>
      </c>
      <c r="F125" s="70">
        <v>59.849624060150376</v>
      </c>
      <c r="G125" s="69">
        <v>1898</v>
      </c>
      <c r="H125" s="69">
        <v>1975</v>
      </c>
      <c r="I125" s="70">
        <v>0.96101265822784809</v>
      </c>
      <c r="J125" s="70">
        <v>85.225337301559364</v>
      </c>
      <c r="K125" s="69">
        <v>1</v>
      </c>
      <c r="L125" s="69">
        <v>4</v>
      </c>
      <c r="M125" s="70">
        <v>0.25</v>
      </c>
      <c r="N125" s="70">
        <v>75</v>
      </c>
      <c r="O125" s="27">
        <f t="shared" si="2"/>
        <v>69.981146355465029</v>
      </c>
      <c r="P125" s="71">
        <f t="shared" si="3"/>
        <v>71.062961258043401</v>
      </c>
    </row>
    <row r="126" spans="1:16" ht="18" x14ac:dyDescent="0.25">
      <c r="A126" s="55" t="s">
        <v>155</v>
      </c>
      <c r="B126" s="56">
        <v>4103107</v>
      </c>
      <c r="C126" s="69">
        <v>164</v>
      </c>
      <c r="D126" s="69">
        <v>953</v>
      </c>
      <c r="E126" s="70">
        <v>0.17208814270724029</v>
      </c>
      <c r="F126" s="70">
        <v>73.552769647097819</v>
      </c>
      <c r="G126" s="69">
        <v>2353</v>
      </c>
      <c r="H126" s="69">
        <v>2010</v>
      </c>
      <c r="I126" s="70">
        <v>1.1706467661691542</v>
      </c>
      <c r="J126" s="70">
        <v>70.964642958568675</v>
      </c>
      <c r="K126" s="69">
        <v>1</v>
      </c>
      <c r="L126" s="69">
        <v>3</v>
      </c>
      <c r="M126" s="70">
        <v>0.33333333333333331</v>
      </c>
      <c r="N126" s="70">
        <v>66.666666666666671</v>
      </c>
      <c r="O126" s="27">
        <f t="shared" si="2"/>
        <v>71.184212229857749</v>
      </c>
      <c r="P126" s="71">
        <f t="shared" si="3"/>
        <v>73.090048142853774</v>
      </c>
    </row>
    <row r="127" spans="1:16" ht="18" x14ac:dyDescent="0.25">
      <c r="A127" s="55" t="s">
        <v>139</v>
      </c>
      <c r="B127" s="56">
        <v>4127965</v>
      </c>
      <c r="C127" s="69">
        <v>286</v>
      </c>
      <c r="D127" s="69">
        <v>999</v>
      </c>
      <c r="E127" s="70">
        <v>0.28628628628628627</v>
      </c>
      <c r="F127" s="70">
        <v>56.002318107581274</v>
      </c>
      <c r="G127" s="69">
        <v>2438</v>
      </c>
      <c r="H127" s="69">
        <v>2071</v>
      </c>
      <c r="I127" s="70">
        <v>1.1772090777402222</v>
      </c>
      <c r="J127" s="70">
        <v>70.518231253825121</v>
      </c>
      <c r="K127" s="69">
        <v>1</v>
      </c>
      <c r="L127" s="69">
        <v>3</v>
      </c>
      <c r="M127" s="70">
        <v>0.33333333333333331</v>
      </c>
      <c r="N127" s="70">
        <v>66.666666666666671</v>
      </c>
      <c r="O127" s="27">
        <f t="shared" si="2"/>
        <v>62.297383533913589</v>
      </c>
      <c r="P127" s="71">
        <f t="shared" si="3"/>
        <v>58.116326187521892</v>
      </c>
    </row>
    <row r="128" spans="1:16" ht="18" x14ac:dyDescent="0.25">
      <c r="A128" s="55" t="s">
        <v>123</v>
      </c>
      <c r="B128" s="56">
        <v>4110607</v>
      </c>
      <c r="C128" s="69">
        <v>359</v>
      </c>
      <c r="D128" s="69">
        <v>1061</v>
      </c>
      <c r="E128" s="70">
        <v>0.33836003770028278</v>
      </c>
      <c r="F128" s="70">
        <v>47.999404732377599</v>
      </c>
      <c r="G128" s="69">
        <v>2176</v>
      </c>
      <c r="H128" s="69">
        <v>1958</v>
      </c>
      <c r="I128" s="70">
        <v>1.111338100102145</v>
      </c>
      <c r="J128" s="70">
        <v>74.999209503956067</v>
      </c>
      <c r="K128" s="69">
        <v>3</v>
      </c>
      <c r="L128" s="69">
        <v>9</v>
      </c>
      <c r="M128" s="70">
        <v>0.33333333333333331</v>
      </c>
      <c r="N128" s="70">
        <v>66.666666666666671</v>
      </c>
      <c r="O128" s="27">
        <f t="shared" si="2"/>
        <v>59.416171408844491</v>
      </c>
      <c r="P128" s="71">
        <f t="shared" si="3"/>
        <v>53.261673225120887</v>
      </c>
    </row>
    <row r="129" spans="1:16" ht="18" x14ac:dyDescent="0.25">
      <c r="A129" s="55" t="s">
        <v>115</v>
      </c>
      <c r="B129" s="56">
        <v>4104709</v>
      </c>
      <c r="C129" s="69">
        <v>281</v>
      </c>
      <c r="D129" s="69">
        <v>1121</v>
      </c>
      <c r="E129" s="70">
        <v>0.25066904549509367</v>
      </c>
      <c r="F129" s="70">
        <v>61.476125639701394</v>
      </c>
      <c r="G129" s="69">
        <v>2381</v>
      </c>
      <c r="H129" s="69">
        <v>2215</v>
      </c>
      <c r="I129" s="70">
        <v>1.0749435665914222</v>
      </c>
      <c r="J129" s="70">
        <v>77.475005657783584</v>
      </c>
      <c r="K129" s="69">
        <v>2</v>
      </c>
      <c r="L129" s="69">
        <v>5</v>
      </c>
      <c r="M129" s="70">
        <v>0.4</v>
      </c>
      <c r="N129" s="70">
        <v>60</v>
      </c>
      <c r="O129" s="27">
        <f t="shared" si="2"/>
        <v>65.106814234296593</v>
      </c>
      <c r="P129" s="71">
        <f t="shared" si="3"/>
        <v>62.850032169669113</v>
      </c>
    </row>
    <row r="130" spans="1:16" ht="18" x14ac:dyDescent="0.25">
      <c r="A130" s="55" t="s">
        <v>108</v>
      </c>
      <c r="B130" s="56">
        <v>4116208</v>
      </c>
      <c r="C130" s="69">
        <v>169</v>
      </c>
      <c r="D130" s="69">
        <v>1170</v>
      </c>
      <c r="E130" s="70">
        <v>0.14444444444444443</v>
      </c>
      <c r="F130" s="70">
        <v>77.801169590643269</v>
      </c>
      <c r="G130" s="69">
        <v>2816</v>
      </c>
      <c r="H130" s="69">
        <v>2493</v>
      </c>
      <c r="I130" s="70">
        <v>1.129562775772162</v>
      </c>
      <c r="J130" s="70">
        <v>73.759446891933891</v>
      </c>
      <c r="K130" s="69">
        <v>2</v>
      </c>
      <c r="L130" s="69">
        <v>3</v>
      </c>
      <c r="M130" s="70">
        <v>0.66666666666666663</v>
      </c>
      <c r="N130" s="70">
        <v>33.333333333333336</v>
      </c>
      <c r="O130" s="27">
        <f t="shared" si="2"/>
        <v>65.673779851638443</v>
      </c>
      <c r="P130" s="71">
        <f t="shared" si="3"/>
        <v>63.805331951264364</v>
      </c>
    </row>
    <row r="131" spans="1:16" ht="18" x14ac:dyDescent="0.25">
      <c r="A131" s="55" t="s">
        <v>154</v>
      </c>
      <c r="B131" s="56">
        <v>4118808</v>
      </c>
      <c r="C131" s="69">
        <v>335</v>
      </c>
      <c r="D131" s="69">
        <v>851</v>
      </c>
      <c r="E131" s="70">
        <v>0.39365452408930668</v>
      </c>
      <c r="F131" s="70">
        <v>39.501515245222343</v>
      </c>
      <c r="G131" s="69">
        <v>1895</v>
      </c>
      <c r="H131" s="69">
        <v>1805</v>
      </c>
      <c r="I131" s="70">
        <v>1.0498614958448753</v>
      </c>
      <c r="J131" s="70">
        <v>79.181253500362331</v>
      </c>
      <c r="K131" s="69">
        <v>2</v>
      </c>
      <c r="L131" s="69">
        <v>5</v>
      </c>
      <c r="M131" s="70">
        <v>0.4</v>
      </c>
      <c r="N131" s="70">
        <v>60</v>
      </c>
      <c r="O131" s="27">
        <f t="shared" ref="O131:O194" si="4">(2*F131+J131+N131)/4</f>
        <v>54.546070997701754</v>
      </c>
      <c r="P131" s="71">
        <f t="shared" ref="P131:P194" si="5">(O131-O$402)/(O$403-O$402)*100</f>
        <v>45.055874289862892</v>
      </c>
    </row>
    <row r="132" spans="1:16" ht="18" x14ac:dyDescent="0.25">
      <c r="A132" s="55" t="s">
        <v>121</v>
      </c>
      <c r="B132" s="56">
        <v>4115408</v>
      </c>
      <c r="C132" s="69">
        <v>259</v>
      </c>
      <c r="D132" s="69">
        <v>1080</v>
      </c>
      <c r="E132" s="70">
        <v>0.23981481481481481</v>
      </c>
      <c r="F132" s="70">
        <v>63.144249512670569</v>
      </c>
      <c r="G132" s="69">
        <v>2183</v>
      </c>
      <c r="H132" s="69">
        <v>2073</v>
      </c>
      <c r="I132" s="70">
        <v>1.0530631934394596</v>
      </c>
      <c r="J132" s="70">
        <v>78.963452918083803</v>
      </c>
      <c r="K132" s="69">
        <v>2</v>
      </c>
      <c r="L132" s="69">
        <v>4</v>
      </c>
      <c r="M132" s="70">
        <v>0.5</v>
      </c>
      <c r="N132" s="70">
        <v>50</v>
      </c>
      <c r="O132" s="27">
        <f t="shared" si="4"/>
        <v>63.812987985856239</v>
      </c>
      <c r="P132" s="71">
        <f t="shared" si="5"/>
        <v>60.670020022985348</v>
      </c>
    </row>
    <row r="133" spans="1:16" ht="18" x14ac:dyDescent="0.25">
      <c r="A133" s="55" t="s">
        <v>161</v>
      </c>
      <c r="B133" s="56">
        <v>4117107</v>
      </c>
      <c r="C133" s="69">
        <v>374</v>
      </c>
      <c r="D133" s="69">
        <v>810</v>
      </c>
      <c r="E133" s="70">
        <v>0.46172839506172841</v>
      </c>
      <c r="F133" s="70">
        <v>29.039636127355429</v>
      </c>
      <c r="G133" s="69">
        <v>1886</v>
      </c>
      <c r="H133" s="69">
        <v>1696</v>
      </c>
      <c r="I133" s="70">
        <v>1.1120283018867925</v>
      </c>
      <c r="J133" s="70">
        <v>74.952257427395125</v>
      </c>
      <c r="K133" s="69">
        <v>2</v>
      </c>
      <c r="L133" s="69">
        <v>6</v>
      </c>
      <c r="M133" s="70">
        <v>0.33333333333333331</v>
      </c>
      <c r="N133" s="70">
        <v>66.666666666666671</v>
      </c>
      <c r="O133" s="27">
        <f t="shared" si="4"/>
        <v>49.924549087193171</v>
      </c>
      <c r="P133" s="71">
        <f t="shared" si="5"/>
        <v>37.268913781665816</v>
      </c>
    </row>
    <row r="134" spans="1:16" ht="18" x14ac:dyDescent="0.25">
      <c r="A134" s="55" t="s">
        <v>147</v>
      </c>
      <c r="B134" s="56">
        <v>4109302</v>
      </c>
      <c r="C134" s="69">
        <v>268</v>
      </c>
      <c r="D134" s="69">
        <v>903</v>
      </c>
      <c r="E134" s="70">
        <v>0.29678848283499448</v>
      </c>
      <c r="F134" s="70">
        <v>54.388296322200844</v>
      </c>
      <c r="G134" s="69">
        <v>1858</v>
      </c>
      <c r="H134" s="69">
        <v>1714</v>
      </c>
      <c r="I134" s="70">
        <v>1.0840140023337224</v>
      </c>
      <c r="J134" s="70">
        <v>76.857974808419627</v>
      </c>
      <c r="K134" s="69">
        <v>1</v>
      </c>
      <c r="L134" s="69">
        <v>7</v>
      </c>
      <c r="M134" s="70">
        <v>0.14285714285714285</v>
      </c>
      <c r="N134" s="70">
        <v>85.714285714285722</v>
      </c>
      <c r="O134" s="27">
        <f t="shared" si="4"/>
        <v>67.837213291776763</v>
      </c>
      <c r="P134" s="71">
        <f t="shared" si="5"/>
        <v>67.450575030641247</v>
      </c>
    </row>
    <row r="135" spans="1:16" ht="18" x14ac:dyDescent="0.25">
      <c r="A135" s="55" t="s">
        <v>137</v>
      </c>
      <c r="B135" s="56">
        <v>4110078</v>
      </c>
      <c r="C135" s="69">
        <v>160</v>
      </c>
      <c r="D135" s="69">
        <v>1144</v>
      </c>
      <c r="E135" s="70">
        <v>0.13986013986013987</v>
      </c>
      <c r="F135" s="70">
        <v>78.505704821494291</v>
      </c>
      <c r="G135" s="69">
        <v>1940</v>
      </c>
      <c r="H135" s="69">
        <v>2127</v>
      </c>
      <c r="I135" s="70">
        <v>0.91208274565115188</v>
      </c>
      <c r="J135" s="70">
        <v>88.553872597356204</v>
      </c>
      <c r="K135" s="69">
        <v>1</v>
      </c>
      <c r="L135" s="69">
        <v>4</v>
      </c>
      <c r="M135" s="70">
        <v>0.25</v>
      </c>
      <c r="N135" s="70">
        <v>75</v>
      </c>
      <c r="O135" s="27">
        <f t="shared" si="4"/>
        <v>80.1413205600862</v>
      </c>
      <c r="P135" s="71">
        <f t="shared" si="5"/>
        <v>88.18218666037005</v>
      </c>
    </row>
    <row r="136" spans="1:16" ht="18" x14ac:dyDescent="0.25">
      <c r="A136" s="55" t="s">
        <v>162</v>
      </c>
      <c r="B136" s="56">
        <v>4117255</v>
      </c>
      <c r="C136" s="69">
        <v>289</v>
      </c>
      <c r="D136" s="69">
        <v>916</v>
      </c>
      <c r="E136" s="70">
        <v>0.31550218340611352</v>
      </c>
      <c r="F136" s="70">
        <v>51.512296023902557</v>
      </c>
      <c r="G136" s="69">
        <v>1509</v>
      </c>
      <c r="H136" s="69">
        <v>1689</v>
      </c>
      <c r="I136" s="70">
        <v>0.89342806394316165</v>
      </c>
      <c r="J136" s="70">
        <v>89.822887055527815</v>
      </c>
      <c r="K136" s="69">
        <v>0</v>
      </c>
      <c r="L136" s="69">
        <v>3</v>
      </c>
      <c r="M136" s="70">
        <v>0</v>
      </c>
      <c r="N136" s="70">
        <v>100</v>
      </c>
      <c r="O136" s="27">
        <f t="shared" si="4"/>
        <v>73.211869775833236</v>
      </c>
      <c r="P136" s="71">
        <f t="shared" si="5"/>
        <v>76.506517769181116</v>
      </c>
    </row>
    <row r="137" spans="1:16" ht="18" x14ac:dyDescent="0.25">
      <c r="A137" s="55" t="s">
        <v>103</v>
      </c>
      <c r="B137" s="56">
        <v>4106209</v>
      </c>
      <c r="C137" s="69">
        <v>296</v>
      </c>
      <c r="D137" s="69">
        <v>1243</v>
      </c>
      <c r="E137" s="70">
        <v>0.23813354786806115</v>
      </c>
      <c r="F137" s="70">
        <v>63.402633696066388</v>
      </c>
      <c r="G137" s="69">
        <v>2935</v>
      </c>
      <c r="H137" s="69">
        <v>2740</v>
      </c>
      <c r="I137" s="70">
        <v>1.0711678832116789</v>
      </c>
      <c r="J137" s="70">
        <v>77.731852538013129</v>
      </c>
      <c r="K137" s="69">
        <v>0</v>
      </c>
      <c r="L137" s="69">
        <v>5</v>
      </c>
      <c r="M137" s="70">
        <v>0</v>
      </c>
      <c r="N137" s="70">
        <v>100</v>
      </c>
      <c r="O137" s="27">
        <f t="shared" si="4"/>
        <v>76.134279982536469</v>
      </c>
      <c r="P137" s="71">
        <f t="shared" si="5"/>
        <v>81.430586789952201</v>
      </c>
    </row>
    <row r="138" spans="1:16" ht="18" x14ac:dyDescent="0.25">
      <c r="A138" s="55" t="s">
        <v>143</v>
      </c>
      <c r="B138" s="56">
        <v>4122156</v>
      </c>
      <c r="C138" s="69">
        <v>186</v>
      </c>
      <c r="D138" s="69">
        <v>998</v>
      </c>
      <c r="E138" s="70">
        <v>0.18637274549098196</v>
      </c>
      <c r="F138" s="70">
        <v>71.357451745596464</v>
      </c>
      <c r="G138" s="69">
        <v>2479</v>
      </c>
      <c r="H138" s="69">
        <v>2149</v>
      </c>
      <c r="I138" s="70">
        <v>1.1535597952536063</v>
      </c>
      <c r="J138" s="70">
        <v>72.127011391201904</v>
      </c>
      <c r="K138" s="69">
        <v>1</v>
      </c>
      <c r="L138" s="69">
        <v>3</v>
      </c>
      <c r="M138" s="70">
        <v>0.33333333333333331</v>
      </c>
      <c r="N138" s="70">
        <v>66.666666666666671</v>
      </c>
      <c r="O138" s="27">
        <f t="shared" si="4"/>
        <v>70.377145387265372</v>
      </c>
      <c r="P138" s="71">
        <f t="shared" si="5"/>
        <v>71.730193585753867</v>
      </c>
    </row>
    <row r="139" spans="1:16" ht="18" x14ac:dyDescent="0.25">
      <c r="A139" s="55" t="s">
        <v>193</v>
      </c>
      <c r="B139" s="56">
        <v>4107900</v>
      </c>
      <c r="C139" s="69">
        <v>374</v>
      </c>
      <c r="D139" s="69">
        <v>745</v>
      </c>
      <c r="E139" s="70">
        <v>0.50201342281879191</v>
      </c>
      <c r="F139" s="70">
        <v>22.848463440480408</v>
      </c>
      <c r="G139" s="69">
        <v>1601</v>
      </c>
      <c r="H139" s="69">
        <v>1472</v>
      </c>
      <c r="I139" s="70">
        <v>1.0876358695652173</v>
      </c>
      <c r="J139" s="70">
        <v>76.611591516852855</v>
      </c>
      <c r="K139" s="69">
        <v>1</v>
      </c>
      <c r="L139" s="69">
        <v>4</v>
      </c>
      <c r="M139" s="70">
        <v>0.25</v>
      </c>
      <c r="N139" s="70">
        <v>75</v>
      </c>
      <c r="O139" s="27">
        <f t="shared" si="4"/>
        <v>49.327129599453414</v>
      </c>
      <c r="P139" s="71">
        <f t="shared" si="5"/>
        <v>36.26230123109481</v>
      </c>
    </row>
    <row r="140" spans="1:16" ht="18" x14ac:dyDescent="0.25">
      <c r="A140" s="55" t="s">
        <v>131</v>
      </c>
      <c r="B140" s="56">
        <v>4127304</v>
      </c>
      <c r="C140" s="69">
        <v>342</v>
      </c>
      <c r="D140" s="69">
        <v>875</v>
      </c>
      <c r="E140" s="70">
        <v>0.39085714285714285</v>
      </c>
      <c r="F140" s="70">
        <v>39.931428571428576</v>
      </c>
      <c r="G140" s="69">
        <v>2335</v>
      </c>
      <c r="H140" s="69">
        <v>2020</v>
      </c>
      <c r="I140" s="70">
        <v>1.1559405940594059</v>
      </c>
      <c r="J140" s="70">
        <v>71.965053757517737</v>
      </c>
      <c r="K140" s="69">
        <v>2</v>
      </c>
      <c r="L140" s="69">
        <v>6</v>
      </c>
      <c r="M140" s="70">
        <v>0.33333333333333331</v>
      </c>
      <c r="N140" s="70">
        <v>66.666666666666671</v>
      </c>
      <c r="O140" s="27">
        <f t="shared" si="4"/>
        <v>54.623644391760394</v>
      </c>
      <c r="P140" s="71">
        <f t="shared" si="5"/>
        <v>45.18658035762985</v>
      </c>
    </row>
    <row r="141" spans="1:16" ht="18" x14ac:dyDescent="0.25">
      <c r="A141" s="55" t="s">
        <v>128</v>
      </c>
      <c r="B141" s="56">
        <v>4111902</v>
      </c>
      <c r="C141" s="69">
        <v>270</v>
      </c>
      <c r="D141" s="69">
        <v>1031</v>
      </c>
      <c r="E141" s="70">
        <v>0.26188166828322018</v>
      </c>
      <c r="F141" s="70">
        <v>59.752922558578788</v>
      </c>
      <c r="G141" s="69">
        <v>2362</v>
      </c>
      <c r="H141" s="69">
        <v>2057</v>
      </c>
      <c r="I141" s="70">
        <v>1.1482741857073409</v>
      </c>
      <c r="J141" s="70">
        <v>72.486573405684723</v>
      </c>
      <c r="K141" s="69">
        <v>3</v>
      </c>
      <c r="L141" s="69">
        <v>6</v>
      </c>
      <c r="M141" s="70">
        <v>0.5</v>
      </c>
      <c r="N141" s="70">
        <v>50</v>
      </c>
      <c r="O141" s="27">
        <f t="shared" si="4"/>
        <v>60.498104630710571</v>
      </c>
      <c r="P141" s="71">
        <f t="shared" si="5"/>
        <v>55.084659556099993</v>
      </c>
    </row>
    <row r="142" spans="1:16" ht="18" x14ac:dyDescent="0.25">
      <c r="A142" s="55" t="s">
        <v>163</v>
      </c>
      <c r="B142" s="56">
        <v>4107504</v>
      </c>
      <c r="C142" s="69">
        <v>350</v>
      </c>
      <c r="D142" s="69">
        <v>661</v>
      </c>
      <c r="E142" s="70">
        <v>0.529500756429652</v>
      </c>
      <c r="F142" s="70">
        <v>18.624094275021911</v>
      </c>
      <c r="G142" s="69">
        <v>1592</v>
      </c>
      <c r="H142" s="69">
        <v>1446</v>
      </c>
      <c r="I142" s="70">
        <v>1.1009681881051177</v>
      </c>
      <c r="J142" s="70">
        <v>75.704639296872784</v>
      </c>
      <c r="K142" s="69">
        <v>2</v>
      </c>
      <c r="L142" s="69">
        <v>8</v>
      </c>
      <c r="M142" s="70">
        <v>0.25</v>
      </c>
      <c r="N142" s="70">
        <v>75</v>
      </c>
      <c r="O142" s="27">
        <f t="shared" si="4"/>
        <v>46.988206961729148</v>
      </c>
      <c r="P142" s="71">
        <f t="shared" si="5"/>
        <v>32.321370393944953</v>
      </c>
    </row>
    <row r="143" spans="1:16" ht="18" x14ac:dyDescent="0.25">
      <c r="A143" s="55" t="s">
        <v>107</v>
      </c>
      <c r="B143" s="56">
        <v>4121208</v>
      </c>
      <c r="C143" s="69">
        <v>229</v>
      </c>
      <c r="D143" s="69">
        <v>1179</v>
      </c>
      <c r="E143" s="70">
        <v>0.19423240033927056</v>
      </c>
      <c r="F143" s="70">
        <v>70.149546895227886</v>
      </c>
      <c r="G143" s="69">
        <v>2777</v>
      </c>
      <c r="H143" s="69">
        <v>2387</v>
      </c>
      <c r="I143" s="70">
        <v>1.1633850020946794</v>
      </c>
      <c r="J143" s="70">
        <v>71.458636034762122</v>
      </c>
      <c r="K143" s="69">
        <v>1</v>
      </c>
      <c r="L143" s="69">
        <v>3</v>
      </c>
      <c r="M143" s="70">
        <v>0.33333333333333331</v>
      </c>
      <c r="N143" s="70">
        <v>66.666666666666671</v>
      </c>
      <c r="O143" s="27">
        <f t="shared" si="4"/>
        <v>69.606099122971145</v>
      </c>
      <c r="P143" s="71">
        <f t="shared" si="5"/>
        <v>70.431031334375234</v>
      </c>
    </row>
    <row r="144" spans="1:16" ht="18" x14ac:dyDescent="0.25">
      <c r="A144" s="55" t="s">
        <v>184</v>
      </c>
      <c r="B144" s="56">
        <v>4104451</v>
      </c>
      <c r="C144" s="69">
        <v>229</v>
      </c>
      <c r="D144" s="69">
        <v>725</v>
      </c>
      <c r="E144" s="70">
        <v>0.31586206896551722</v>
      </c>
      <c r="F144" s="70">
        <v>51.456987295825776</v>
      </c>
      <c r="G144" s="69">
        <v>1911</v>
      </c>
      <c r="H144" s="69">
        <v>1611</v>
      </c>
      <c r="I144" s="70">
        <v>1.186219739292365</v>
      </c>
      <c r="J144" s="70">
        <v>69.905266639024831</v>
      </c>
      <c r="K144" s="69">
        <v>1</v>
      </c>
      <c r="L144" s="69">
        <v>3</v>
      </c>
      <c r="M144" s="70">
        <v>0.33333333333333331</v>
      </c>
      <c r="N144" s="70">
        <v>66.666666666666671</v>
      </c>
      <c r="O144" s="27">
        <f t="shared" si="4"/>
        <v>59.871476974335764</v>
      </c>
      <c r="P144" s="71">
        <f t="shared" si="5"/>
        <v>54.028833162106395</v>
      </c>
    </row>
    <row r="145" spans="1:16" ht="18" x14ac:dyDescent="0.25">
      <c r="A145" s="55" t="s">
        <v>169</v>
      </c>
      <c r="B145" s="56">
        <v>4124806</v>
      </c>
      <c r="C145" s="69">
        <v>277</v>
      </c>
      <c r="D145" s="69">
        <v>790</v>
      </c>
      <c r="E145" s="70">
        <v>0.35063291139240504</v>
      </c>
      <c r="F145" s="70">
        <v>46.113257828114598</v>
      </c>
      <c r="G145" s="69">
        <v>1586</v>
      </c>
      <c r="H145" s="69">
        <v>1449</v>
      </c>
      <c r="I145" s="70">
        <v>1.0945479641131814</v>
      </c>
      <c r="J145" s="70">
        <v>76.141385267562697</v>
      </c>
      <c r="K145" s="69">
        <v>1</v>
      </c>
      <c r="L145" s="69">
        <v>3</v>
      </c>
      <c r="M145" s="70">
        <v>0.33333333333333331</v>
      </c>
      <c r="N145" s="70">
        <v>66.666666666666671</v>
      </c>
      <c r="O145" s="27">
        <f t="shared" si="4"/>
        <v>58.758641897614638</v>
      </c>
      <c r="P145" s="71">
        <f t="shared" si="5"/>
        <v>52.153779237800691</v>
      </c>
    </row>
    <row r="146" spans="1:16" ht="18" x14ac:dyDescent="0.25">
      <c r="A146" s="55" t="s">
        <v>142</v>
      </c>
      <c r="B146" s="56">
        <v>4122008</v>
      </c>
      <c r="C146" s="69">
        <v>149</v>
      </c>
      <c r="D146" s="69">
        <v>899</v>
      </c>
      <c r="E146" s="70">
        <v>0.1657397107897664</v>
      </c>
      <c r="F146" s="70">
        <v>74.528423394414844</v>
      </c>
      <c r="G146" s="69">
        <v>2058</v>
      </c>
      <c r="H146" s="69">
        <v>1857</v>
      </c>
      <c r="I146" s="70">
        <v>1.1082390953150243</v>
      </c>
      <c r="J146" s="70">
        <v>75.210024244317722</v>
      </c>
      <c r="K146" s="69">
        <v>0</v>
      </c>
      <c r="L146" s="69">
        <v>2</v>
      </c>
      <c r="M146" s="70">
        <v>0</v>
      </c>
      <c r="N146" s="70">
        <v>100</v>
      </c>
      <c r="O146" s="27">
        <f t="shared" si="4"/>
        <v>81.066717758286856</v>
      </c>
      <c r="P146" s="71">
        <f t="shared" si="5"/>
        <v>89.741420085272651</v>
      </c>
    </row>
    <row r="147" spans="1:16" ht="18" x14ac:dyDescent="0.25">
      <c r="A147" s="55" t="s">
        <v>141</v>
      </c>
      <c r="B147" s="56">
        <v>4123808</v>
      </c>
      <c r="C147" s="69">
        <v>248</v>
      </c>
      <c r="D147" s="69">
        <v>877</v>
      </c>
      <c r="E147" s="70">
        <v>0.28278221208665905</v>
      </c>
      <c r="F147" s="70">
        <v>56.540838984576617</v>
      </c>
      <c r="G147" s="69">
        <v>1605</v>
      </c>
      <c r="H147" s="69">
        <v>1797</v>
      </c>
      <c r="I147" s="70">
        <v>0.89315525876460766</v>
      </c>
      <c r="J147" s="70">
        <v>89.841445062641952</v>
      </c>
      <c r="K147" s="69">
        <v>2</v>
      </c>
      <c r="L147" s="69">
        <v>5</v>
      </c>
      <c r="M147" s="70">
        <v>0.4</v>
      </c>
      <c r="N147" s="70">
        <v>60</v>
      </c>
      <c r="O147" s="27">
        <f t="shared" si="4"/>
        <v>65.730780757948793</v>
      </c>
      <c r="P147" s="71">
        <f t="shared" si="5"/>
        <v>63.901374730021054</v>
      </c>
    </row>
    <row r="148" spans="1:16" ht="18" x14ac:dyDescent="0.25">
      <c r="A148" s="55" t="s">
        <v>175</v>
      </c>
      <c r="B148" s="56">
        <v>4108007</v>
      </c>
      <c r="C148" s="69">
        <v>261</v>
      </c>
      <c r="D148" s="69">
        <v>720</v>
      </c>
      <c r="E148" s="70">
        <v>0.36249999999999999</v>
      </c>
      <c r="F148" s="70">
        <v>44.289473684210535</v>
      </c>
      <c r="G148" s="69">
        <v>1498</v>
      </c>
      <c r="H148" s="69">
        <v>1471</v>
      </c>
      <c r="I148" s="70">
        <v>1.0183548606390211</v>
      </c>
      <c r="J148" s="70">
        <v>81.324542580842461</v>
      </c>
      <c r="K148" s="69">
        <v>2</v>
      </c>
      <c r="L148" s="69">
        <v>7</v>
      </c>
      <c r="M148" s="70">
        <v>0.2857142857142857</v>
      </c>
      <c r="N148" s="70">
        <v>71.428571428571431</v>
      </c>
      <c r="O148" s="27">
        <f t="shared" si="4"/>
        <v>60.333015344458744</v>
      </c>
      <c r="P148" s="71">
        <f t="shared" si="5"/>
        <v>54.806494965027454</v>
      </c>
    </row>
    <row r="149" spans="1:16" ht="18" x14ac:dyDescent="0.25">
      <c r="A149" s="55" t="s">
        <v>205</v>
      </c>
      <c r="B149" s="56">
        <v>4110201</v>
      </c>
      <c r="C149" s="69">
        <v>173</v>
      </c>
      <c r="D149" s="69">
        <v>681</v>
      </c>
      <c r="E149" s="70">
        <v>0.25403817914831128</v>
      </c>
      <c r="F149" s="70">
        <v>60.958342994049005</v>
      </c>
      <c r="G149" s="69">
        <v>1663</v>
      </c>
      <c r="H149" s="69">
        <v>1472</v>
      </c>
      <c r="I149" s="70">
        <v>1.1297554347826086</v>
      </c>
      <c r="J149" s="70">
        <v>73.746340955655754</v>
      </c>
      <c r="K149" s="69">
        <v>0</v>
      </c>
      <c r="L149" s="69">
        <v>2</v>
      </c>
      <c r="M149" s="70">
        <v>0</v>
      </c>
      <c r="N149" s="70">
        <v>100</v>
      </c>
      <c r="O149" s="27">
        <f t="shared" si="4"/>
        <v>73.915756735938444</v>
      </c>
      <c r="P149" s="71">
        <f t="shared" si="5"/>
        <v>77.692521009393161</v>
      </c>
    </row>
    <row r="150" spans="1:16" ht="18" x14ac:dyDescent="0.25">
      <c r="A150" s="55" t="s">
        <v>119</v>
      </c>
      <c r="B150" s="56">
        <v>4106803</v>
      </c>
      <c r="C150" s="69">
        <v>184</v>
      </c>
      <c r="D150" s="69">
        <v>890</v>
      </c>
      <c r="E150" s="70">
        <v>0.20674157303370785</v>
      </c>
      <c r="F150" s="70">
        <v>68.227084565345947</v>
      </c>
      <c r="G150" s="69">
        <v>2209</v>
      </c>
      <c r="H150" s="69">
        <v>2008</v>
      </c>
      <c r="I150" s="70">
        <v>1.1000996015936255</v>
      </c>
      <c r="J150" s="70">
        <v>75.763726278817074</v>
      </c>
      <c r="K150" s="69">
        <v>1</v>
      </c>
      <c r="L150" s="69">
        <v>4</v>
      </c>
      <c r="M150" s="70">
        <v>0.25</v>
      </c>
      <c r="N150" s="70">
        <v>75</v>
      </c>
      <c r="O150" s="27">
        <f t="shared" si="4"/>
        <v>71.804473852377242</v>
      </c>
      <c r="P150" s="71">
        <f t="shared" si="5"/>
        <v>74.135148188431188</v>
      </c>
    </row>
    <row r="151" spans="1:16" ht="18" x14ac:dyDescent="0.25">
      <c r="A151" s="55" t="s">
        <v>160</v>
      </c>
      <c r="B151" s="56">
        <v>4117800</v>
      </c>
      <c r="C151" s="69">
        <v>162</v>
      </c>
      <c r="D151" s="69">
        <v>902</v>
      </c>
      <c r="E151" s="70">
        <v>0.17960088691796008</v>
      </c>
      <c r="F151" s="70">
        <v>72.398179484187196</v>
      </c>
      <c r="G151" s="69">
        <v>2138</v>
      </c>
      <c r="H151" s="69">
        <v>1841</v>
      </c>
      <c r="I151" s="70">
        <v>1.1613253666485606</v>
      </c>
      <c r="J151" s="70">
        <v>71.598746018979554</v>
      </c>
      <c r="K151" s="69">
        <v>2</v>
      </c>
      <c r="L151" s="69">
        <v>4</v>
      </c>
      <c r="M151" s="70">
        <v>0.5</v>
      </c>
      <c r="N151" s="70">
        <v>50</v>
      </c>
      <c r="O151" s="27">
        <f t="shared" si="4"/>
        <v>66.598776246838483</v>
      </c>
      <c r="P151" s="71">
        <f t="shared" si="5"/>
        <v>65.363890049467727</v>
      </c>
    </row>
    <row r="152" spans="1:16" ht="18" x14ac:dyDescent="0.25">
      <c r="A152" s="55" t="s">
        <v>176</v>
      </c>
      <c r="B152" s="56">
        <v>4123402</v>
      </c>
      <c r="C152" s="69">
        <v>324</v>
      </c>
      <c r="D152" s="69">
        <v>624</v>
      </c>
      <c r="E152" s="70">
        <v>0.51923076923076927</v>
      </c>
      <c r="F152" s="70">
        <v>20.20242914979757</v>
      </c>
      <c r="G152" s="69">
        <v>1411</v>
      </c>
      <c r="H152" s="69">
        <v>1374</v>
      </c>
      <c r="I152" s="70">
        <v>1.0269286754002911</v>
      </c>
      <c r="J152" s="70">
        <v>80.74129516531157</v>
      </c>
      <c r="K152" s="69">
        <v>2</v>
      </c>
      <c r="L152" s="69">
        <v>4</v>
      </c>
      <c r="M152" s="70">
        <v>0.5</v>
      </c>
      <c r="N152" s="70">
        <v>50</v>
      </c>
      <c r="O152" s="27">
        <f t="shared" si="4"/>
        <v>42.786538366226679</v>
      </c>
      <c r="P152" s="71">
        <f t="shared" si="5"/>
        <v>25.241835112003802</v>
      </c>
    </row>
    <row r="153" spans="1:16" ht="18" x14ac:dyDescent="0.25">
      <c r="A153" s="55" t="s">
        <v>174</v>
      </c>
      <c r="B153" s="56">
        <v>4105607</v>
      </c>
      <c r="C153" s="69">
        <v>280</v>
      </c>
      <c r="D153" s="69">
        <v>788</v>
      </c>
      <c r="E153" s="70">
        <v>0.35532994923857869</v>
      </c>
      <c r="F153" s="70">
        <v>45.391397274913174</v>
      </c>
      <c r="G153" s="69">
        <v>1810</v>
      </c>
      <c r="H153" s="69">
        <v>1544</v>
      </c>
      <c r="I153" s="70">
        <v>1.1722797927461139</v>
      </c>
      <c r="J153" s="70">
        <v>70.853553722677148</v>
      </c>
      <c r="K153" s="69">
        <v>2</v>
      </c>
      <c r="L153" s="69">
        <v>4</v>
      </c>
      <c r="M153" s="70">
        <v>0.5</v>
      </c>
      <c r="N153" s="70">
        <v>50</v>
      </c>
      <c r="O153" s="27">
        <f t="shared" si="4"/>
        <v>52.909087068125871</v>
      </c>
      <c r="P153" s="71">
        <f t="shared" si="5"/>
        <v>42.297664016494764</v>
      </c>
    </row>
    <row r="154" spans="1:16" ht="18" x14ac:dyDescent="0.25">
      <c r="A154" s="55" t="s">
        <v>157</v>
      </c>
      <c r="B154" s="56">
        <v>4111407</v>
      </c>
      <c r="C154" s="69">
        <v>147</v>
      </c>
      <c r="D154" s="69">
        <v>942</v>
      </c>
      <c r="E154" s="70">
        <v>0.15605095541401273</v>
      </c>
      <c r="F154" s="70">
        <v>76.017432115320148</v>
      </c>
      <c r="G154" s="69">
        <v>2043</v>
      </c>
      <c r="H154" s="69">
        <v>1890</v>
      </c>
      <c r="I154" s="70">
        <v>1.0809523809523809</v>
      </c>
      <c r="J154" s="70">
        <v>77.066246483015149</v>
      </c>
      <c r="K154" s="69">
        <v>1</v>
      </c>
      <c r="L154" s="69">
        <v>2</v>
      </c>
      <c r="M154" s="70">
        <v>0.5</v>
      </c>
      <c r="N154" s="70">
        <v>50</v>
      </c>
      <c r="O154" s="27">
        <f t="shared" si="4"/>
        <v>69.775277678413858</v>
      </c>
      <c r="P154" s="71">
        <f t="shared" si="5"/>
        <v>70.716086075124323</v>
      </c>
    </row>
    <row r="155" spans="1:16" ht="18" x14ac:dyDescent="0.25">
      <c r="A155" s="55" t="s">
        <v>188</v>
      </c>
      <c r="B155" s="56">
        <v>4126678</v>
      </c>
      <c r="C155" s="69">
        <v>128</v>
      </c>
      <c r="D155" s="69">
        <v>761</v>
      </c>
      <c r="E155" s="70">
        <v>0.16819973718791065</v>
      </c>
      <c r="F155" s="70">
        <v>74.150356179542158</v>
      </c>
      <c r="G155" s="69">
        <v>1925</v>
      </c>
      <c r="H155" s="69">
        <v>1628</v>
      </c>
      <c r="I155" s="70">
        <v>1.1824324324324325</v>
      </c>
      <c r="J155" s="70">
        <v>70.162904225021734</v>
      </c>
      <c r="K155" s="69">
        <v>1</v>
      </c>
      <c r="L155" s="69">
        <v>3</v>
      </c>
      <c r="M155" s="70">
        <v>0.33333333333333331</v>
      </c>
      <c r="N155" s="70">
        <v>66.666666666666671</v>
      </c>
      <c r="O155" s="27">
        <f t="shared" si="4"/>
        <v>71.28257081269318</v>
      </c>
      <c r="P155" s="71">
        <f t="shared" si="5"/>
        <v>73.255775886876833</v>
      </c>
    </row>
    <row r="156" spans="1:16" ht="18" x14ac:dyDescent="0.25">
      <c r="A156" s="55" t="s">
        <v>136</v>
      </c>
      <c r="B156" s="56">
        <v>4119806</v>
      </c>
      <c r="C156" s="69">
        <v>303</v>
      </c>
      <c r="D156" s="69">
        <v>899</v>
      </c>
      <c r="E156" s="70">
        <v>0.33704115684093439</v>
      </c>
      <c r="F156" s="70">
        <v>48.202095896024829</v>
      </c>
      <c r="G156" s="69">
        <v>1572</v>
      </c>
      <c r="H156" s="69">
        <v>1570</v>
      </c>
      <c r="I156" s="70">
        <v>1.0012738853503185</v>
      </c>
      <c r="J156" s="70">
        <v>82.486503151402701</v>
      </c>
      <c r="K156" s="69">
        <v>1</v>
      </c>
      <c r="L156" s="69">
        <v>3</v>
      </c>
      <c r="M156" s="70">
        <v>0.33333333333333331</v>
      </c>
      <c r="N156" s="70">
        <v>66.666666666666671</v>
      </c>
      <c r="O156" s="27">
        <f t="shared" si="4"/>
        <v>61.389340402529754</v>
      </c>
      <c r="P156" s="71">
        <f t="shared" si="5"/>
        <v>56.586333224003212</v>
      </c>
    </row>
    <row r="157" spans="1:16" ht="18" x14ac:dyDescent="0.25">
      <c r="A157" s="55" t="s">
        <v>165</v>
      </c>
      <c r="B157" s="56">
        <v>4111209</v>
      </c>
      <c r="C157" s="69">
        <v>298</v>
      </c>
      <c r="D157" s="69">
        <v>845</v>
      </c>
      <c r="E157" s="70">
        <v>0.35266272189349113</v>
      </c>
      <c r="F157" s="70">
        <v>45.801308003737155</v>
      </c>
      <c r="G157" s="69">
        <v>1817</v>
      </c>
      <c r="H157" s="69">
        <v>1591</v>
      </c>
      <c r="I157" s="70">
        <v>1.142049025769956</v>
      </c>
      <c r="J157" s="70">
        <v>72.910049833137705</v>
      </c>
      <c r="K157" s="69">
        <v>1</v>
      </c>
      <c r="L157" s="69">
        <v>4</v>
      </c>
      <c r="M157" s="70">
        <v>0.25</v>
      </c>
      <c r="N157" s="70">
        <v>75</v>
      </c>
      <c r="O157" s="27">
        <f t="shared" si="4"/>
        <v>59.878166460153004</v>
      </c>
      <c r="P157" s="71">
        <f t="shared" si="5"/>
        <v>54.040104505808237</v>
      </c>
    </row>
    <row r="158" spans="1:16" ht="18" x14ac:dyDescent="0.25">
      <c r="A158" s="55" t="s">
        <v>204</v>
      </c>
      <c r="B158" s="56">
        <v>4128534</v>
      </c>
      <c r="C158" s="69">
        <v>174</v>
      </c>
      <c r="D158" s="69">
        <v>674</v>
      </c>
      <c r="E158" s="70">
        <v>0.25816023738872401</v>
      </c>
      <c r="F158" s="70">
        <v>60.324847727627684</v>
      </c>
      <c r="G158" s="69">
        <v>1424</v>
      </c>
      <c r="H158" s="69">
        <v>1362</v>
      </c>
      <c r="I158" s="70">
        <v>1.0455212922173274</v>
      </c>
      <c r="J158" s="70">
        <v>79.476502770276596</v>
      </c>
      <c r="K158" s="69">
        <v>1</v>
      </c>
      <c r="L158" s="69">
        <v>3</v>
      </c>
      <c r="M158" s="70">
        <v>0.33333333333333331</v>
      </c>
      <c r="N158" s="70">
        <v>66.666666666666671</v>
      </c>
      <c r="O158" s="27">
        <f t="shared" si="4"/>
        <v>66.698216223049656</v>
      </c>
      <c r="P158" s="71">
        <f t="shared" si="5"/>
        <v>65.531439870216531</v>
      </c>
    </row>
    <row r="159" spans="1:16" ht="18" x14ac:dyDescent="0.25">
      <c r="A159" s="55" t="s">
        <v>126</v>
      </c>
      <c r="B159" s="56">
        <v>4104402</v>
      </c>
      <c r="C159" s="69">
        <v>195</v>
      </c>
      <c r="D159" s="69">
        <v>944</v>
      </c>
      <c r="E159" s="70">
        <v>0.2065677966101695</v>
      </c>
      <c r="F159" s="70">
        <v>68.253791257805531</v>
      </c>
      <c r="G159" s="69">
        <v>2133</v>
      </c>
      <c r="H159" s="69">
        <v>2069</v>
      </c>
      <c r="I159" s="70">
        <v>1.0309328177863701</v>
      </c>
      <c r="J159" s="70">
        <v>80.468906997019445</v>
      </c>
      <c r="K159" s="69">
        <v>1</v>
      </c>
      <c r="L159" s="69">
        <v>3</v>
      </c>
      <c r="M159" s="70">
        <v>0.33333333333333331</v>
      </c>
      <c r="N159" s="70">
        <v>66.666666666666671</v>
      </c>
      <c r="O159" s="27">
        <f t="shared" si="4"/>
        <v>70.910789044824298</v>
      </c>
      <c r="P159" s="71">
        <f t="shared" si="5"/>
        <v>72.629348056365032</v>
      </c>
    </row>
    <row r="160" spans="1:16" ht="18" x14ac:dyDescent="0.25">
      <c r="A160" s="55" t="s">
        <v>201</v>
      </c>
      <c r="B160" s="56">
        <v>4102604</v>
      </c>
      <c r="C160" s="69">
        <v>195</v>
      </c>
      <c r="D160" s="69">
        <v>645</v>
      </c>
      <c r="E160" s="70">
        <v>0.30232558139534882</v>
      </c>
      <c r="F160" s="70">
        <v>53.537331701346389</v>
      </c>
      <c r="G160" s="69">
        <v>1729</v>
      </c>
      <c r="H160" s="69">
        <v>1356</v>
      </c>
      <c r="I160" s="70">
        <v>1.2750737463126844</v>
      </c>
      <c r="J160" s="70">
        <v>63.86083118092899</v>
      </c>
      <c r="K160" s="69">
        <v>2</v>
      </c>
      <c r="L160" s="69">
        <v>6</v>
      </c>
      <c r="M160" s="70">
        <v>0.33333333333333331</v>
      </c>
      <c r="N160" s="70">
        <v>66.666666666666671</v>
      </c>
      <c r="O160" s="27">
        <f t="shared" si="4"/>
        <v>59.400540312572105</v>
      </c>
      <c r="P160" s="71">
        <f t="shared" si="5"/>
        <v>53.235335855801893</v>
      </c>
    </row>
    <row r="161" spans="1:16" ht="18" x14ac:dyDescent="0.25">
      <c r="A161" s="55" t="s">
        <v>134</v>
      </c>
      <c r="B161" s="56">
        <v>4121505</v>
      </c>
      <c r="C161" s="69">
        <v>209</v>
      </c>
      <c r="D161" s="69">
        <v>910</v>
      </c>
      <c r="E161" s="70">
        <v>0.22967032967032966</v>
      </c>
      <c r="F161" s="70">
        <v>64.703296703296715</v>
      </c>
      <c r="G161" s="69">
        <v>2238</v>
      </c>
      <c r="H161" s="69">
        <v>1952</v>
      </c>
      <c r="I161" s="70">
        <v>1.146516393442623</v>
      </c>
      <c r="J161" s="70">
        <v>72.606150026358648</v>
      </c>
      <c r="K161" s="69">
        <v>1</v>
      </c>
      <c r="L161" s="69">
        <v>4</v>
      </c>
      <c r="M161" s="70">
        <v>0.25</v>
      </c>
      <c r="N161" s="70">
        <v>75</v>
      </c>
      <c r="O161" s="27">
        <f t="shared" si="4"/>
        <v>69.253185858238027</v>
      </c>
      <c r="P161" s="71">
        <f t="shared" si="5"/>
        <v>69.836395690855525</v>
      </c>
    </row>
    <row r="162" spans="1:16" ht="18" x14ac:dyDescent="0.25">
      <c r="A162" s="55" t="s">
        <v>180</v>
      </c>
      <c r="B162" s="56">
        <v>4105300</v>
      </c>
      <c r="C162" s="69">
        <v>296</v>
      </c>
      <c r="D162" s="69">
        <v>663</v>
      </c>
      <c r="E162" s="70">
        <v>0.44645550527903471</v>
      </c>
      <c r="F162" s="70">
        <v>31.386838136064142</v>
      </c>
      <c r="G162" s="69">
        <v>1525</v>
      </c>
      <c r="H162" s="69">
        <v>1332</v>
      </c>
      <c r="I162" s="70">
        <v>1.1448948948948949</v>
      </c>
      <c r="J162" s="70">
        <v>72.716455049686374</v>
      </c>
      <c r="K162" s="69">
        <v>0</v>
      </c>
      <c r="L162" s="69">
        <v>3</v>
      </c>
      <c r="M162" s="70">
        <v>0</v>
      </c>
      <c r="N162" s="70">
        <v>100</v>
      </c>
      <c r="O162" s="27">
        <f t="shared" si="4"/>
        <v>58.872532830453665</v>
      </c>
      <c r="P162" s="71">
        <f t="shared" si="5"/>
        <v>52.345677970173391</v>
      </c>
    </row>
    <row r="163" spans="1:16" ht="18" x14ac:dyDescent="0.25">
      <c r="A163" s="55" t="s">
        <v>140</v>
      </c>
      <c r="B163" s="56">
        <v>4110508</v>
      </c>
      <c r="C163" s="69">
        <v>122</v>
      </c>
      <c r="D163" s="69">
        <v>1009</v>
      </c>
      <c r="E163" s="70">
        <v>0.12091179385530228</v>
      </c>
      <c r="F163" s="70">
        <v>81.417766418027242</v>
      </c>
      <c r="G163" s="69">
        <v>2288</v>
      </c>
      <c r="H163" s="69">
        <v>1999</v>
      </c>
      <c r="I163" s="70">
        <v>1.1445722861430716</v>
      </c>
      <c r="J163" s="70">
        <v>72.738401024257541</v>
      </c>
      <c r="K163" s="69">
        <v>2</v>
      </c>
      <c r="L163" s="69">
        <v>4</v>
      </c>
      <c r="M163" s="70">
        <v>0.5</v>
      </c>
      <c r="N163" s="70">
        <v>50</v>
      </c>
      <c r="O163" s="27">
        <f t="shared" si="4"/>
        <v>71.393483465078006</v>
      </c>
      <c r="P163" s="71">
        <f t="shared" si="5"/>
        <v>73.44265641253574</v>
      </c>
    </row>
    <row r="164" spans="1:16" ht="18" x14ac:dyDescent="0.25">
      <c r="A164" s="55" t="s">
        <v>179</v>
      </c>
      <c r="B164" s="56">
        <v>4127858</v>
      </c>
      <c r="C164" s="69">
        <v>238</v>
      </c>
      <c r="D164" s="69">
        <v>735</v>
      </c>
      <c r="E164" s="70">
        <v>0.32380952380952382</v>
      </c>
      <c r="F164" s="70">
        <v>50.235588972431074</v>
      </c>
      <c r="G164" s="69">
        <v>1702</v>
      </c>
      <c r="H164" s="69">
        <v>1523</v>
      </c>
      <c r="I164" s="70">
        <v>1.1175311884438608</v>
      </c>
      <c r="J164" s="70">
        <v>74.577914797919604</v>
      </c>
      <c r="K164" s="69">
        <v>1</v>
      </c>
      <c r="L164" s="69">
        <v>3</v>
      </c>
      <c r="M164" s="70">
        <v>0.33333333333333331</v>
      </c>
      <c r="N164" s="70">
        <v>66.666666666666671</v>
      </c>
      <c r="O164" s="27">
        <f t="shared" si="4"/>
        <v>60.428939852362106</v>
      </c>
      <c r="P164" s="71">
        <f t="shared" si="5"/>
        <v>54.968121452854604</v>
      </c>
    </row>
    <row r="165" spans="1:16" ht="18" x14ac:dyDescent="0.25">
      <c r="A165" s="55" t="s">
        <v>217</v>
      </c>
      <c r="B165" s="56">
        <v>4103503</v>
      </c>
      <c r="C165" s="69">
        <v>248</v>
      </c>
      <c r="D165" s="69">
        <v>563</v>
      </c>
      <c r="E165" s="70">
        <v>0.4404973357015986</v>
      </c>
      <c r="F165" s="70">
        <v>32.302514723754328</v>
      </c>
      <c r="G165" s="69">
        <v>1341</v>
      </c>
      <c r="H165" s="69">
        <v>1168</v>
      </c>
      <c r="I165" s="70">
        <v>1.1481164383561644</v>
      </c>
      <c r="J165" s="70">
        <v>72.497304420692899</v>
      </c>
      <c r="K165" s="69">
        <v>2</v>
      </c>
      <c r="L165" s="69">
        <v>6</v>
      </c>
      <c r="M165" s="70">
        <v>0.33333333333333331</v>
      </c>
      <c r="N165" s="70">
        <v>66.666666666666671</v>
      </c>
      <c r="O165" s="27">
        <f t="shared" si="4"/>
        <v>50.942250133717053</v>
      </c>
      <c r="P165" s="71">
        <f t="shared" si="5"/>
        <v>38.983673121097404</v>
      </c>
    </row>
    <row r="166" spans="1:16" ht="18" x14ac:dyDescent="0.25">
      <c r="A166" s="55" t="s">
        <v>145</v>
      </c>
      <c r="B166" s="56">
        <v>4101903</v>
      </c>
      <c r="C166" s="69">
        <v>277</v>
      </c>
      <c r="D166" s="69">
        <v>685</v>
      </c>
      <c r="E166" s="70">
        <v>0.4043795620437956</v>
      </c>
      <c r="F166" s="70">
        <v>37.853246254321945</v>
      </c>
      <c r="G166" s="69">
        <v>2082</v>
      </c>
      <c r="H166" s="69">
        <v>1755</v>
      </c>
      <c r="I166" s="70">
        <v>1.1863247863247863</v>
      </c>
      <c r="J166" s="70">
        <v>69.89812064720266</v>
      </c>
      <c r="K166" s="69">
        <v>3</v>
      </c>
      <c r="L166" s="69">
        <v>9</v>
      </c>
      <c r="M166" s="70">
        <v>0.33333333333333331</v>
      </c>
      <c r="N166" s="70">
        <v>66.666666666666671</v>
      </c>
      <c r="O166" s="27">
        <f t="shared" si="4"/>
        <v>53.067819955628309</v>
      </c>
      <c r="P166" s="71">
        <f t="shared" si="5"/>
        <v>42.565118493670994</v>
      </c>
    </row>
    <row r="167" spans="1:16" ht="18" x14ac:dyDescent="0.25">
      <c r="A167" s="55" t="s">
        <v>199</v>
      </c>
      <c r="B167" s="56">
        <v>4123857</v>
      </c>
      <c r="C167" s="69">
        <v>170</v>
      </c>
      <c r="D167" s="69">
        <v>633</v>
      </c>
      <c r="E167" s="70">
        <v>0.26856240126382308</v>
      </c>
      <c r="F167" s="70">
        <v>58.726199384717717</v>
      </c>
      <c r="G167" s="69">
        <v>1418</v>
      </c>
      <c r="H167" s="69">
        <v>1409</v>
      </c>
      <c r="I167" s="70">
        <v>1.0063875088715402</v>
      </c>
      <c r="J167" s="70">
        <v>82.138640760413878</v>
      </c>
      <c r="K167" s="69">
        <v>1</v>
      </c>
      <c r="L167" s="69">
        <v>3</v>
      </c>
      <c r="M167" s="70">
        <v>0.33333333333333331</v>
      </c>
      <c r="N167" s="70">
        <v>66.666666666666671</v>
      </c>
      <c r="O167" s="27">
        <f t="shared" si="4"/>
        <v>66.564426549128996</v>
      </c>
      <c r="P167" s="71">
        <f t="shared" si="5"/>
        <v>65.30601306766134</v>
      </c>
    </row>
    <row r="168" spans="1:16" ht="18" x14ac:dyDescent="0.25">
      <c r="A168" s="55" t="s">
        <v>189</v>
      </c>
      <c r="B168" s="56">
        <v>4121000</v>
      </c>
      <c r="C168" s="69">
        <v>274</v>
      </c>
      <c r="D168" s="69">
        <v>731</v>
      </c>
      <c r="E168" s="70">
        <v>0.37482900136798908</v>
      </c>
      <c r="F168" s="70">
        <v>42.394700842393263</v>
      </c>
      <c r="G168" s="69">
        <v>1724</v>
      </c>
      <c r="H168" s="69">
        <v>1542</v>
      </c>
      <c r="I168" s="70">
        <v>1.1180285343709468</v>
      </c>
      <c r="J168" s="70">
        <v>74.544082048475559</v>
      </c>
      <c r="K168" s="69">
        <v>1</v>
      </c>
      <c r="L168" s="69">
        <v>4</v>
      </c>
      <c r="M168" s="70">
        <v>0.25</v>
      </c>
      <c r="N168" s="70">
        <v>75</v>
      </c>
      <c r="O168" s="27">
        <f t="shared" si="4"/>
        <v>58.583370933315521</v>
      </c>
      <c r="P168" s="71">
        <f t="shared" si="5"/>
        <v>51.858459188765018</v>
      </c>
    </row>
    <row r="169" spans="1:16" ht="18" x14ac:dyDescent="0.25">
      <c r="A169" s="55" t="s">
        <v>171</v>
      </c>
      <c r="B169" s="56">
        <v>4112702</v>
      </c>
      <c r="C169" s="69">
        <v>206</v>
      </c>
      <c r="D169" s="69">
        <v>762</v>
      </c>
      <c r="E169" s="70">
        <v>0.27034120734908135</v>
      </c>
      <c r="F169" s="70">
        <v>58.452824975825401</v>
      </c>
      <c r="G169" s="69">
        <v>1675</v>
      </c>
      <c r="H169" s="69">
        <v>1566</v>
      </c>
      <c r="I169" s="70">
        <v>1.0696040868454662</v>
      </c>
      <c r="J169" s="70">
        <v>77.838232278467785</v>
      </c>
      <c r="K169" s="69">
        <v>2</v>
      </c>
      <c r="L169" s="69">
        <v>4</v>
      </c>
      <c r="M169" s="70">
        <v>0.5</v>
      </c>
      <c r="N169" s="70">
        <v>50</v>
      </c>
      <c r="O169" s="27">
        <f t="shared" si="4"/>
        <v>61.185970557529643</v>
      </c>
      <c r="P169" s="71">
        <f t="shared" si="5"/>
        <v>56.243668408767114</v>
      </c>
    </row>
    <row r="170" spans="1:16" ht="18" x14ac:dyDescent="0.25">
      <c r="A170" s="55" t="s">
        <v>183</v>
      </c>
      <c r="B170" s="56">
        <v>4108502</v>
      </c>
      <c r="C170" s="69">
        <v>88</v>
      </c>
      <c r="D170" s="69">
        <v>880</v>
      </c>
      <c r="E170" s="70">
        <v>0.1</v>
      </c>
      <c r="F170" s="70">
        <v>84.631578947368425</v>
      </c>
      <c r="G170" s="69">
        <v>1824</v>
      </c>
      <c r="H170" s="69">
        <v>1630</v>
      </c>
      <c r="I170" s="70">
        <v>1.1190184049079754</v>
      </c>
      <c r="J170" s="70">
        <v>74.476744527371167</v>
      </c>
      <c r="K170" s="69">
        <v>1</v>
      </c>
      <c r="L170" s="69">
        <v>4</v>
      </c>
      <c r="M170" s="70">
        <v>0.25</v>
      </c>
      <c r="N170" s="70">
        <v>75</v>
      </c>
      <c r="O170" s="27">
        <f t="shared" si="4"/>
        <v>79.684975605527001</v>
      </c>
      <c r="P170" s="71">
        <f t="shared" si="5"/>
        <v>87.413275421155262</v>
      </c>
    </row>
    <row r="171" spans="1:16" ht="18" x14ac:dyDescent="0.25">
      <c r="A171" s="55" t="s">
        <v>191</v>
      </c>
      <c r="B171" s="56">
        <v>4125001</v>
      </c>
      <c r="C171" s="69">
        <v>298</v>
      </c>
      <c r="D171" s="69">
        <v>573</v>
      </c>
      <c r="E171" s="70">
        <v>0.52006980802792324</v>
      </c>
      <c r="F171" s="70">
        <v>20.073482134656011</v>
      </c>
      <c r="G171" s="69">
        <v>1310</v>
      </c>
      <c r="H171" s="69">
        <v>1213</v>
      </c>
      <c r="I171" s="70">
        <v>1.0799670239076669</v>
      </c>
      <c r="J171" s="70">
        <v>77.133276966610481</v>
      </c>
      <c r="K171" s="69">
        <v>1</v>
      </c>
      <c r="L171" s="69">
        <v>5</v>
      </c>
      <c r="M171" s="70">
        <v>0.2</v>
      </c>
      <c r="N171" s="70">
        <v>80</v>
      </c>
      <c r="O171" s="27">
        <f t="shared" si="4"/>
        <v>49.320060308980629</v>
      </c>
      <c r="P171" s="71">
        <f t="shared" si="5"/>
        <v>36.250389941524297</v>
      </c>
    </row>
    <row r="172" spans="1:16" ht="18" x14ac:dyDescent="0.25">
      <c r="A172" s="55" t="s">
        <v>202</v>
      </c>
      <c r="B172" s="56">
        <v>4100707</v>
      </c>
      <c r="C172" s="69">
        <v>235</v>
      </c>
      <c r="D172" s="69">
        <v>642</v>
      </c>
      <c r="E172" s="70">
        <v>0.36604361370716509</v>
      </c>
      <c r="F172" s="70">
        <v>43.744876209214631</v>
      </c>
      <c r="G172" s="69">
        <v>1410</v>
      </c>
      <c r="H172" s="69">
        <v>1273</v>
      </c>
      <c r="I172" s="70">
        <v>1.1076197957580518</v>
      </c>
      <c r="J172" s="70">
        <v>75.252153083825107</v>
      </c>
      <c r="K172" s="69">
        <v>1</v>
      </c>
      <c r="L172" s="69">
        <v>6</v>
      </c>
      <c r="M172" s="70">
        <v>0.16666666666666666</v>
      </c>
      <c r="N172" s="70">
        <v>83.333333333333343</v>
      </c>
      <c r="O172" s="27">
        <f t="shared" si="4"/>
        <v>61.518809708896931</v>
      </c>
      <c r="P172" s="71">
        <f t="shared" si="5"/>
        <v>56.80448049133792</v>
      </c>
    </row>
    <row r="173" spans="1:16" ht="18" x14ac:dyDescent="0.25">
      <c r="A173" s="55" t="s">
        <v>135</v>
      </c>
      <c r="B173" s="56">
        <v>4101705</v>
      </c>
      <c r="C173" s="69">
        <v>241</v>
      </c>
      <c r="D173" s="69">
        <v>893</v>
      </c>
      <c r="E173" s="70">
        <v>0.26987681970884658</v>
      </c>
      <c r="F173" s="70">
        <v>58.524194023693056</v>
      </c>
      <c r="G173" s="69">
        <v>1948</v>
      </c>
      <c r="H173" s="69">
        <v>1845</v>
      </c>
      <c r="I173" s="70">
        <v>1.0558265582655826</v>
      </c>
      <c r="J173" s="70">
        <v>78.775470621068749</v>
      </c>
      <c r="K173" s="69">
        <v>1</v>
      </c>
      <c r="L173" s="69">
        <v>5</v>
      </c>
      <c r="M173" s="70">
        <v>0.2</v>
      </c>
      <c r="N173" s="70">
        <v>80</v>
      </c>
      <c r="O173" s="27">
        <f t="shared" si="4"/>
        <v>68.955964667113719</v>
      </c>
      <c r="P173" s="71">
        <f t="shared" si="5"/>
        <v>69.335597529059172</v>
      </c>
    </row>
    <row r="174" spans="1:16" ht="18" x14ac:dyDescent="0.25">
      <c r="A174" s="55" t="s">
        <v>190</v>
      </c>
      <c r="B174" s="56">
        <v>4110805</v>
      </c>
      <c r="C174" s="69">
        <v>243</v>
      </c>
      <c r="D174" s="69">
        <v>653</v>
      </c>
      <c r="E174" s="70">
        <v>0.37212863705972438</v>
      </c>
      <c r="F174" s="70">
        <v>42.809704199242368</v>
      </c>
      <c r="G174" s="69">
        <v>1556</v>
      </c>
      <c r="H174" s="69">
        <v>1387</v>
      </c>
      <c r="I174" s="70">
        <v>1.1218457101658255</v>
      </c>
      <c r="J174" s="70">
        <v>74.284412580568798</v>
      </c>
      <c r="K174" s="69">
        <v>1</v>
      </c>
      <c r="L174" s="69">
        <v>5</v>
      </c>
      <c r="M174" s="70">
        <v>0.2</v>
      </c>
      <c r="N174" s="70">
        <v>80</v>
      </c>
      <c r="O174" s="27">
        <f t="shared" si="4"/>
        <v>59.975955244763384</v>
      </c>
      <c r="P174" s="71">
        <f t="shared" si="5"/>
        <v>54.204872177291996</v>
      </c>
    </row>
    <row r="175" spans="1:16" ht="18" x14ac:dyDescent="0.25">
      <c r="A175" s="55" t="s">
        <v>148</v>
      </c>
      <c r="B175" s="56">
        <v>4125100</v>
      </c>
      <c r="C175" s="69">
        <v>123</v>
      </c>
      <c r="D175" s="69">
        <v>908</v>
      </c>
      <c r="E175" s="70">
        <v>0.13546255506607929</v>
      </c>
      <c r="F175" s="70">
        <v>79.18154416879203</v>
      </c>
      <c r="G175" s="69">
        <v>2034</v>
      </c>
      <c r="H175" s="69">
        <v>1885</v>
      </c>
      <c r="I175" s="70">
        <v>1.0790450928381963</v>
      </c>
      <c r="J175" s="70">
        <v>77.195992797140818</v>
      </c>
      <c r="K175" s="69">
        <v>1</v>
      </c>
      <c r="L175" s="69">
        <v>3</v>
      </c>
      <c r="M175" s="70">
        <v>0.33333333333333331</v>
      </c>
      <c r="N175" s="70">
        <v>66.666666666666671</v>
      </c>
      <c r="O175" s="27">
        <f t="shared" si="4"/>
        <v>75.556436950347887</v>
      </c>
      <c r="P175" s="71">
        <f t="shared" si="5"/>
        <v>80.456959279638369</v>
      </c>
    </row>
    <row r="176" spans="1:16" ht="18" x14ac:dyDescent="0.25">
      <c r="A176" s="55" t="s">
        <v>178</v>
      </c>
      <c r="B176" s="56">
        <v>4116109</v>
      </c>
      <c r="C176" s="69">
        <v>248</v>
      </c>
      <c r="D176" s="69">
        <v>617</v>
      </c>
      <c r="E176" s="70">
        <v>0.40194489465153971</v>
      </c>
      <c r="F176" s="70">
        <v>38.227416190394955</v>
      </c>
      <c r="G176" s="69">
        <v>1450</v>
      </c>
      <c r="H176" s="69">
        <v>1324</v>
      </c>
      <c r="I176" s="70">
        <v>1.095166163141994</v>
      </c>
      <c r="J176" s="70">
        <v>76.099331293237597</v>
      </c>
      <c r="K176" s="69">
        <v>0</v>
      </c>
      <c r="L176" s="69">
        <v>5</v>
      </c>
      <c r="M176" s="70">
        <v>0</v>
      </c>
      <c r="N176" s="70">
        <v>100</v>
      </c>
      <c r="O176" s="27">
        <f t="shared" si="4"/>
        <v>63.138540918506877</v>
      </c>
      <c r="P176" s="71">
        <f t="shared" si="5"/>
        <v>59.533621066101283</v>
      </c>
    </row>
    <row r="177" spans="1:16" ht="18" x14ac:dyDescent="0.25">
      <c r="A177" s="55" t="s">
        <v>182</v>
      </c>
      <c r="B177" s="56">
        <v>4116059</v>
      </c>
      <c r="C177" s="69">
        <v>233</v>
      </c>
      <c r="D177" s="69">
        <v>633</v>
      </c>
      <c r="E177" s="70">
        <v>0.36808846761453395</v>
      </c>
      <c r="F177" s="70">
        <v>43.430614450818993</v>
      </c>
      <c r="G177" s="69">
        <v>1585</v>
      </c>
      <c r="H177" s="69">
        <v>1355</v>
      </c>
      <c r="I177" s="70">
        <v>1.1697416974169741</v>
      </c>
      <c r="J177" s="70">
        <v>71.026211703087327</v>
      </c>
      <c r="K177" s="69">
        <v>1</v>
      </c>
      <c r="L177" s="69">
        <v>4</v>
      </c>
      <c r="M177" s="70">
        <v>0.25</v>
      </c>
      <c r="N177" s="70">
        <v>75</v>
      </c>
      <c r="O177" s="27">
        <f t="shared" si="4"/>
        <v>58.221860151181332</v>
      </c>
      <c r="P177" s="71">
        <f t="shared" si="5"/>
        <v>51.249337293796749</v>
      </c>
    </row>
    <row r="178" spans="1:16" ht="18" x14ac:dyDescent="0.25">
      <c r="A178" s="55" t="s">
        <v>203</v>
      </c>
      <c r="B178" s="56">
        <v>4128708</v>
      </c>
      <c r="C178" s="69">
        <v>173</v>
      </c>
      <c r="D178" s="69">
        <v>740</v>
      </c>
      <c r="E178" s="70">
        <v>0.23378378378378378</v>
      </c>
      <c r="F178" s="70">
        <v>64.071123755334284</v>
      </c>
      <c r="G178" s="69">
        <v>1144</v>
      </c>
      <c r="H178" s="69">
        <v>1538</v>
      </c>
      <c r="I178" s="70">
        <v>0.74382314694408325</v>
      </c>
      <c r="J178" s="70">
        <v>100</v>
      </c>
      <c r="K178" s="69">
        <v>1</v>
      </c>
      <c r="L178" s="69">
        <v>3</v>
      </c>
      <c r="M178" s="70">
        <v>0.33333333333333331</v>
      </c>
      <c r="N178" s="70">
        <v>66.666666666666671</v>
      </c>
      <c r="O178" s="27">
        <f t="shared" si="4"/>
        <v>73.702228544333806</v>
      </c>
      <c r="P178" s="71">
        <f t="shared" si="5"/>
        <v>77.332740048140707</v>
      </c>
    </row>
    <row r="179" spans="1:16" ht="18" x14ac:dyDescent="0.25">
      <c r="A179" s="55" t="s">
        <v>218</v>
      </c>
      <c r="B179" s="56">
        <v>4125803</v>
      </c>
      <c r="C179" s="69">
        <v>233</v>
      </c>
      <c r="D179" s="69">
        <v>484</v>
      </c>
      <c r="E179" s="70">
        <v>0.48140495867768596</v>
      </c>
      <c r="F179" s="70">
        <v>26.015658982166162</v>
      </c>
      <c r="G179" s="69">
        <v>1154</v>
      </c>
      <c r="H179" s="69">
        <v>1084</v>
      </c>
      <c r="I179" s="70">
        <v>1.0645756457564575</v>
      </c>
      <c r="J179" s="70">
        <v>78.180299998727151</v>
      </c>
      <c r="K179" s="69">
        <v>1</v>
      </c>
      <c r="L179" s="69">
        <v>4</v>
      </c>
      <c r="M179" s="70">
        <v>0.25</v>
      </c>
      <c r="N179" s="70">
        <v>75</v>
      </c>
      <c r="O179" s="27">
        <f t="shared" si="4"/>
        <v>51.302904490764867</v>
      </c>
      <c r="P179" s="71">
        <f t="shared" si="5"/>
        <v>39.591351996113595</v>
      </c>
    </row>
    <row r="180" spans="1:16" ht="18" x14ac:dyDescent="0.25">
      <c r="A180" s="55" t="s">
        <v>208</v>
      </c>
      <c r="B180" s="56">
        <v>4103800</v>
      </c>
      <c r="C180" s="69">
        <v>236</v>
      </c>
      <c r="D180" s="69">
        <v>597</v>
      </c>
      <c r="E180" s="70">
        <v>0.39530988274706869</v>
      </c>
      <c r="F180" s="70">
        <v>39.247112756766292</v>
      </c>
      <c r="G180" s="69">
        <v>1191</v>
      </c>
      <c r="H180" s="69">
        <v>1227</v>
      </c>
      <c r="I180" s="70">
        <v>0.97066014669926648</v>
      </c>
      <c r="J180" s="70">
        <v>84.56905152049292</v>
      </c>
      <c r="K180" s="69">
        <v>1</v>
      </c>
      <c r="L180" s="69">
        <v>4</v>
      </c>
      <c r="M180" s="70">
        <v>0.25</v>
      </c>
      <c r="N180" s="70">
        <v>75</v>
      </c>
      <c r="O180" s="27">
        <f t="shared" si="4"/>
        <v>59.515819258506376</v>
      </c>
      <c r="P180" s="71">
        <f t="shared" si="5"/>
        <v>53.429573298964414</v>
      </c>
    </row>
    <row r="181" spans="1:16" ht="18" x14ac:dyDescent="0.25">
      <c r="A181" s="55" t="s">
        <v>209</v>
      </c>
      <c r="B181" s="56">
        <v>4115754</v>
      </c>
      <c r="C181" s="69">
        <v>198</v>
      </c>
      <c r="D181" s="69">
        <v>741</v>
      </c>
      <c r="E181" s="70">
        <v>0.26720647773279355</v>
      </c>
      <c r="F181" s="70">
        <v>58.934583422118045</v>
      </c>
      <c r="G181" s="69">
        <v>1737</v>
      </c>
      <c r="H181" s="69">
        <v>1494</v>
      </c>
      <c r="I181" s="70">
        <v>1.1626506024096386</v>
      </c>
      <c r="J181" s="70">
        <v>71.508594743947413</v>
      </c>
      <c r="K181" s="69">
        <v>2</v>
      </c>
      <c r="L181" s="69">
        <v>4</v>
      </c>
      <c r="M181" s="70">
        <v>0.5</v>
      </c>
      <c r="N181" s="70">
        <v>50</v>
      </c>
      <c r="O181" s="27">
        <f t="shared" si="4"/>
        <v>59.844440397045872</v>
      </c>
      <c r="P181" s="71">
        <f t="shared" si="5"/>
        <v>53.983278307296658</v>
      </c>
    </row>
    <row r="182" spans="1:16" ht="18" x14ac:dyDescent="0.25">
      <c r="A182" s="55" t="s">
        <v>159</v>
      </c>
      <c r="B182" s="56">
        <v>4121901</v>
      </c>
      <c r="C182" s="69">
        <v>175</v>
      </c>
      <c r="D182" s="69">
        <v>790</v>
      </c>
      <c r="E182" s="70">
        <v>0.22151898734177214</v>
      </c>
      <c r="F182" s="70">
        <v>65.956029313790808</v>
      </c>
      <c r="G182" s="69">
        <v>1968</v>
      </c>
      <c r="H182" s="69">
        <v>1734</v>
      </c>
      <c r="I182" s="70">
        <v>1.1349480968858132</v>
      </c>
      <c r="J182" s="70">
        <v>73.393101839142503</v>
      </c>
      <c r="K182" s="69">
        <v>3</v>
      </c>
      <c r="L182" s="69">
        <v>7</v>
      </c>
      <c r="M182" s="70">
        <v>0.42857142857142855</v>
      </c>
      <c r="N182" s="70">
        <v>57.142857142857139</v>
      </c>
      <c r="O182" s="27">
        <f t="shared" si="4"/>
        <v>65.612004402395314</v>
      </c>
      <c r="P182" s="71">
        <f t="shared" si="5"/>
        <v>63.701244381639619</v>
      </c>
    </row>
    <row r="183" spans="1:16" ht="18" x14ac:dyDescent="0.25">
      <c r="A183" s="55" t="s">
        <v>167</v>
      </c>
      <c r="B183" s="56">
        <v>4112504</v>
      </c>
      <c r="C183" s="69">
        <v>230</v>
      </c>
      <c r="D183" s="69">
        <v>663</v>
      </c>
      <c r="E183" s="70">
        <v>0.34690799396681749</v>
      </c>
      <c r="F183" s="70">
        <v>46.685718821941734</v>
      </c>
      <c r="G183" s="69">
        <v>1490</v>
      </c>
      <c r="H183" s="69">
        <v>1473</v>
      </c>
      <c r="I183" s="70">
        <v>1.0115410726408689</v>
      </c>
      <c r="J183" s="70">
        <v>81.788061370384071</v>
      </c>
      <c r="K183" s="69">
        <v>1</v>
      </c>
      <c r="L183" s="69">
        <v>4</v>
      </c>
      <c r="M183" s="70">
        <v>0.25</v>
      </c>
      <c r="N183" s="70">
        <v>75</v>
      </c>
      <c r="O183" s="27">
        <f t="shared" si="4"/>
        <v>62.539874753566885</v>
      </c>
      <c r="P183" s="71">
        <f t="shared" si="5"/>
        <v>58.524907946429309</v>
      </c>
    </row>
    <row r="184" spans="1:16" ht="18" x14ac:dyDescent="0.25">
      <c r="A184" s="55" t="s">
        <v>211</v>
      </c>
      <c r="B184" s="56">
        <v>4107256</v>
      </c>
      <c r="C184" s="69">
        <v>219</v>
      </c>
      <c r="D184" s="69">
        <v>590</v>
      </c>
      <c r="E184" s="70">
        <v>0.37118644067796608</v>
      </c>
      <c r="F184" s="70">
        <v>42.954504906333639</v>
      </c>
      <c r="G184" s="69">
        <v>1364</v>
      </c>
      <c r="H184" s="69">
        <v>1208</v>
      </c>
      <c r="I184" s="70">
        <v>1.1291390728476822</v>
      </c>
      <c r="J184" s="70">
        <v>73.788269958740983</v>
      </c>
      <c r="K184" s="69">
        <v>2</v>
      </c>
      <c r="L184" s="69">
        <v>4</v>
      </c>
      <c r="M184" s="70">
        <v>0.5</v>
      </c>
      <c r="N184" s="70">
        <v>50</v>
      </c>
      <c r="O184" s="27">
        <f t="shared" si="4"/>
        <v>52.424319942852065</v>
      </c>
      <c r="P184" s="71">
        <f t="shared" si="5"/>
        <v>41.480863288666136</v>
      </c>
    </row>
    <row r="185" spans="1:16" ht="18" x14ac:dyDescent="0.25">
      <c r="A185" s="55" t="s">
        <v>181</v>
      </c>
      <c r="B185" s="56">
        <v>4123907</v>
      </c>
      <c r="C185" s="69">
        <v>208</v>
      </c>
      <c r="D185" s="69">
        <v>635</v>
      </c>
      <c r="E185" s="70">
        <v>0.32755905511811023</v>
      </c>
      <c r="F185" s="70">
        <v>49.659345213427272</v>
      </c>
      <c r="G185" s="69">
        <v>1371</v>
      </c>
      <c r="H185" s="69">
        <v>1283</v>
      </c>
      <c r="I185" s="70">
        <v>1.06858924395947</v>
      </c>
      <c r="J185" s="70">
        <v>77.907268583415842</v>
      </c>
      <c r="K185" s="69">
        <v>3</v>
      </c>
      <c r="L185" s="69">
        <v>6</v>
      </c>
      <c r="M185" s="70">
        <v>0.5</v>
      </c>
      <c r="N185" s="70">
        <v>50</v>
      </c>
      <c r="O185" s="27">
        <f t="shared" si="4"/>
        <v>56.8064897525676</v>
      </c>
      <c r="P185" s="71">
        <f t="shared" si="5"/>
        <v>48.864531246807047</v>
      </c>
    </row>
    <row r="186" spans="1:16" ht="18" x14ac:dyDescent="0.25">
      <c r="A186" s="55" t="s">
        <v>151</v>
      </c>
      <c r="B186" s="56">
        <v>4114005</v>
      </c>
      <c r="C186" s="69">
        <v>221</v>
      </c>
      <c r="D186" s="69">
        <v>772</v>
      </c>
      <c r="E186" s="70">
        <v>0.28626943005181349</v>
      </c>
      <c r="F186" s="70">
        <v>56.004908644668674</v>
      </c>
      <c r="G186" s="69">
        <v>1865</v>
      </c>
      <c r="H186" s="69">
        <v>1688</v>
      </c>
      <c r="I186" s="70">
        <v>1.1048578199052133</v>
      </c>
      <c r="J186" s="70">
        <v>75.440040893718518</v>
      </c>
      <c r="K186" s="69">
        <v>1</v>
      </c>
      <c r="L186" s="69">
        <v>4</v>
      </c>
      <c r="M186" s="70">
        <v>0.25</v>
      </c>
      <c r="N186" s="70">
        <v>75</v>
      </c>
      <c r="O186" s="27">
        <f t="shared" si="4"/>
        <v>65.61246454576397</v>
      </c>
      <c r="P186" s="71">
        <f t="shared" si="5"/>
        <v>63.702019692956803</v>
      </c>
    </row>
    <row r="187" spans="1:16" ht="18" x14ac:dyDescent="0.25">
      <c r="A187" s="55" t="s">
        <v>110</v>
      </c>
      <c r="B187" s="56">
        <v>4101200</v>
      </c>
      <c r="C187" s="69">
        <v>72</v>
      </c>
      <c r="D187" s="69">
        <v>1081</v>
      </c>
      <c r="E187" s="70">
        <v>6.66049953746531E-2</v>
      </c>
      <c r="F187" s="70">
        <v>89.763863868737516</v>
      </c>
      <c r="G187" s="69">
        <v>2786</v>
      </c>
      <c r="H187" s="69">
        <v>2524</v>
      </c>
      <c r="I187" s="70">
        <v>1.1038034865293185</v>
      </c>
      <c r="J187" s="70">
        <v>75.511763602188552</v>
      </c>
      <c r="K187" s="69">
        <v>3</v>
      </c>
      <c r="L187" s="69">
        <v>4</v>
      </c>
      <c r="M187" s="70">
        <v>0.75</v>
      </c>
      <c r="N187" s="70">
        <v>25</v>
      </c>
      <c r="O187" s="27">
        <f t="shared" si="4"/>
        <v>70.009872834915896</v>
      </c>
      <c r="P187" s="71">
        <f t="shared" si="5"/>
        <v>71.111363486866509</v>
      </c>
    </row>
    <row r="188" spans="1:16" ht="18" x14ac:dyDescent="0.25">
      <c r="A188" s="55" t="s">
        <v>170</v>
      </c>
      <c r="B188" s="56">
        <v>4118907</v>
      </c>
      <c r="C188" s="69">
        <v>252</v>
      </c>
      <c r="D188" s="69">
        <v>741</v>
      </c>
      <c r="E188" s="70">
        <v>0.34008097165991902</v>
      </c>
      <c r="F188" s="70">
        <v>47.734924355422976</v>
      </c>
      <c r="G188" s="69">
        <v>1720</v>
      </c>
      <c r="H188" s="69">
        <v>1463</v>
      </c>
      <c r="I188" s="70">
        <v>1.1756664388243336</v>
      </c>
      <c r="J188" s="70">
        <v>70.623171724997164</v>
      </c>
      <c r="K188" s="69">
        <v>2</v>
      </c>
      <c r="L188" s="69">
        <v>5</v>
      </c>
      <c r="M188" s="70">
        <v>0.4</v>
      </c>
      <c r="N188" s="70">
        <v>60</v>
      </c>
      <c r="O188" s="27">
        <f t="shared" si="4"/>
        <v>56.523255108960782</v>
      </c>
      <c r="P188" s="71">
        <f t="shared" si="5"/>
        <v>48.387299497823115</v>
      </c>
    </row>
    <row r="189" spans="1:16" ht="18" x14ac:dyDescent="0.25">
      <c r="A189" s="55" t="s">
        <v>220</v>
      </c>
      <c r="B189" s="56">
        <v>4123303</v>
      </c>
      <c r="C189" s="69">
        <v>259</v>
      </c>
      <c r="D189" s="69">
        <v>516</v>
      </c>
      <c r="E189" s="70">
        <v>0.50193798449612403</v>
      </c>
      <c r="F189" s="70">
        <v>22.860057119543047</v>
      </c>
      <c r="G189" s="69">
        <v>1218</v>
      </c>
      <c r="H189" s="69">
        <v>1110</v>
      </c>
      <c r="I189" s="70">
        <v>1.0972972972972972</v>
      </c>
      <c r="J189" s="70">
        <v>75.95435749536118</v>
      </c>
      <c r="K189" s="69">
        <v>2</v>
      </c>
      <c r="L189" s="69">
        <v>6</v>
      </c>
      <c r="M189" s="70">
        <v>0.33333333333333331</v>
      </c>
      <c r="N189" s="70">
        <v>66.666666666666671</v>
      </c>
      <c r="O189" s="27">
        <f t="shared" si="4"/>
        <v>47.085284600278484</v>
      </c>
      <c r="P189" s="71">
        <f t="shared" si="5"/>
        <v>32.484939831080766</v>
      </c>
    </row>
    <row r="190" spans="1:16" ht="18" x14ac:dyDescent="0.25">
      <c r="A190" s="55" t="s">
        <v>177</v>
      </c>
      <c r="B190" s="56">
        <v>4122503</v>
      </c>
      <c r="C190" s="69">
        <v>193</v>
      </c>
      <c r="D190" s="69">
        <v>737</v>
      </c>
      <c r="E190" s="70">
        <v>0.26187245590230662</v>
      </c>
      <c r="F190" s="70">
        <v>59.754338356066562</v>
      </c>
      <c r="G190" s="69">
        <v>1585</v>
      </c>
      <c r="H190" s="69">
        <v>1425</v>
      </c>
      <c r="I190" s="70">
        <v>1.1122807017543859</v>
      </c>
      <c r="J190" s="70">
        <v>74.935087524084494</v>
      </c>
      <c r="K190" s="69">
        <v>1</v>
      </c>
      <c r="L190" s="69">
        <v>3</v>
      </c>
      <c r="M190" s="70">
        <v>0.33333333333333331</v>
      </c>
      <c r="N190" s="70">
        <v>66.666666666666671</v>
      </c>
      <c r="O190" s="27">
        <f t="shared" si="4"/>
        <v>65.277607725721069</v>
      </c>
      <c r="P190" s="71">
        <f t="shared" si="5"/>
        <v>63.137807971349368</v>
      </c>
    </row>
    <row r="191" spans="1:16" ht="18" x14ac:dyDescent="0.25">
      <c r="A191" s="55" t="s">
        <v>196</v>
      </c>
      <c r="B191" s="56">
        <v>4100806</v>
      </c>
      <c r="C191" s="69">
        <v>222</v>
      </c>
      <c r="D191" s="69">
        <v>578</v>
      </c>
      <c r="E191" s="70">
        <v>0.38408304498269896</v>
      </c>
      <c r="F191" s="70">
        <v>40.972500455290479</v>
      </c>
      <c r="G191" s="69">
        <v>1268</v>
      </c>
      <c r="H191" s="69">
        <v>1164</v>
      </c>
      <c r="I191" s="70">
        <v>1.0893470790378006</v>
      </c>
      <c r="J191" s="70">
        <v>76.495183764865402</v>
      </c>
      <c r="K191" s="69">
        <v>1</v>
      </c>
      <c r="L191" s="69">
        <v>4</v>
      </c>
      <c r="M191" s="70">
        <v>0.25</v>
      </c>
      <c r="N191" s="70">
        <v>75</v>
      </c>
      <c r="O191" s="27">
        <f t="shared" si="4"/>
        <v>58.360046168861587</v>
      </c>
      <c r="P191" s="71">
        <f t="shared" si="5"/>
        <v>51.482171646483557</v>
      </c>
    </row>
    <row r="192" spans="1:16" ht="18" x14ac:dyDescent="0.25">
      <c r="A192" s="55" t="s">
        <v>216</v>
      </c>
      <c r="B192" s="56">
        <v>4122701</v>
      </c>
      <c r="C192" s="69">
        <v>243</v>
      </c>
      <c r="D192" s="69">
        <v>562</v>
      </c>
      <c r="E192" s="70">
        <v>0.43238434163701067</v>
      </c>
      <c r="F192" s="70">
        <v>33.549353811575209</v>
      </c>
      <c r="G192" s="69">
        <v>1395</v>
      </c>
      <c r="H192" s="69">
        <v>1205</v>
      </c>
      <c r="I192" s="70">
        <v>1.1576763485477179</v>
      </c>
      <c r="J192" s="70">
        <v>71.846976291711357</v>
      </c>
      <c r="K192" s="69">
        <v>2</v>
      </c>
      <c r="L192" s="69">
        <v>5</v>
      </c>
      <c r="M192" s="70">
        <v>0.4</v>
      </c>
      <c r="N192" s="70">
        <v>60</v>
      </c>
      <c r="O192" s="27">
        <f t="shared" si="4"/>
        <v>49.736420978715444</v>
      </c>
      <c r="P192" s="71">
        <f t="shared" si="5"/>
        <v>36.951930290174232</v>
      </c>
    </row>
    <row r="193" spans="1:16" ht="18" x14ac:dyDescent="0.25">
      <c r="A193" s="55" t="s">
        <v>105</v>
      </c>
      <c r="B193" s="56">
        <v>4100509</v>
      </c>
      <c r="C193" s="69">
        <v>196</v>
      </c>
      <c r="D193" s="69">
        <v>1054</v>
      </c>
      <c r="E193" s="70">
        <v>0.1859582542694497</v>
      </c>
      <c r="F193" s="70">
        <v>71.421152501747727</v>
      </c>
      <c r="G193" s="69">
        <v>2586</v>
      </c>
      <c r="H193" s="69">
        <v>2251</v>
      </c>
      <c r="I193" s="70">
        <v>1.1488227454464683</v>
      </c>
      <c r="J193" s="70">
        <v>72.449256755043322</v>
      </c>
      <c r="K193" s="69">
        <v>9</v>
      </c>
      <c r="L193" s="69">
        <v>10</v>
      </c>
      <c r="M193" s="70">
        <v>0.9</v>
      </c>
      <c r="N193" s="70">
        <v>9.9999999999999982</v>
      </c>
      <c r="O193" s="27">
        <f t="shared" si="4"/>
        <v>56.322890439634691</v>
      </c>
      <c r="P193" s="71">
        <f t="shared" si="5"/>
        <v>48.049698205977556</v>
      </c>
    </row>
    <row r="194" spans="1:16" ht="18" x14ac:dyDescent="0.25">
      <c r="A194" s="55" t="s">
        <v>197</v>
      </c>
      <c r="B194" s="56">
        <v>4100301</v>
      </c>
      <c r="C194" s="69">
        <v>105</v>
      </c>
      <c r="D194" s="69">
        <v>706</v>
      </c>
      <c r="E194" s="70">
        <v>0.14872521246458922</v>
      </c>
      <c r="F194" s="70">
        <v>77.143283137021029</v>
      </c>
      <c r="G194" s="69">
        <v>1639</v>
      </c>
      <c r="H194" s="69">
        <v>1482</v>
      </c>
      <c r="I194" s="70">
        <v>1.1059379217273955</v>
      </c>
      <c r="J194" s="70">
        <v>75.366565245615675</v>
      </c>
      <c r="K194" s="69">
        <v>1</v>
      </c>
      <c r="L194" s="69">
        <v>2</v>
      </c>
      <c r="M194" s="70">
        <v>0.5</v>
      </c>
      <c r="N194" s="70">
        <v>50</v>
      </c>
      <c r="O194" s="27">
        <f t="shared" si="4"/>
        <v>69.913282879914433</v>
      </c>
      <c r="P194" s="71">
        <f t="shared" si="5"/>
        <v>70.948615764438827</v>
      </c>
    </row>
    <row r="195" spans="1:16" ht="18" x14ac:dyDescent="0.25">
      <c r="A195" s="55" t="s">
        <v>207</v>
      </c>
      <c r="B195" s="56">
        <v>4127007</v>
      </c>
      <c r="C195" s="69">
        <v>126</v>
      </c>
      <c r="D195" s="69">
        <v>639</v>
      </c>
      <c r="E195" s="70">
        <v>0.19718309859154928</v>
      </c>
      <c r="F195" s="70">
        <v>69.696071163825067</v>
      </c>
      <c r="G195" s="69">
        <v>1479</v>
      </c>
      <c r="H195" s="69">
        <v>1299</v>
      </c>
      <c r="I195" s="70">
        <v>1.1385681293302541</v>
      </c>
      <c r="J195" s="70">
        <v>73.14684336188968</v>
      </c>
      <c r="K195" s="69">
        <v>1</v>
      </c>
      <c r="L195" s="69">
        <v>4</v>
      </c>
      <c r="M195" s="70">
        <v>0.25</v>
      </c>
      <c r="N195" s="70">
        <v>75</v>
      </c>
      <c r="O195" s="27">
        <f t="shared" ref="O195:O258" si="6">(2*F195+J195+N195)/4</f>
        <v>71.88474642238495</v>
      </c>
      <c r="P195" s="71">
        <f t="shared" ref="P195:P258" si="7">(O195-O$402)/(O$403-O$402)*100</f>
        <v>74.270402190174678</v>
      </c>
    </row>
    <row r="196" spans="1:16" ht="18" x14ac:dyDescent="0.25">
      <c r="A196" s="55" t="s">
        <v>214</v>
      </c>
      <c r="B196" s="56">
        <v>4109906</v>
      </c>
      <c r="C196" s="69">
        <v>165</v>
      </c>
      <c r="D196" s="69">
        <v>585</v>
      </c>
      <c r="E196" s="70">
        <v>0.28205128205128205</v>
      </c>
      <c r="F196" s="70">
        <v>56.653171390013505</v>
      </c>
      <c r="G196" s="69">
        <v>1290</v>
      </c>
      <c r="H196" s="69">
        <v>1051</v>
      </c>
      <c r="I196" s="70">
        <v>1.2274024738344433</v>
      </c>
      <c r="J196" s="70">
        <v>67.10374547779503</v>
      </c>
      <c r="K196" s="69">
        <v>1</v>
      </c>
      <c r="L196" s="69">
        <v>3</v>
      </c>
      <c r="M196" s="70">
        <v>0.33333333333333331</v>
      </c>
      <c r="N196" s="70">
        <v>66.666666666666671</v>
      </c>
      <c r="O196" s="27">
        <f t="shared" si="6"/>
        <v>61.769188731122185</v>
      </c>
      <c r="P196" s="71">
        <f t="shared" si="7"/>
        <v>57.226352678877646</v>
      </c>
    </row>
    <row r="197" spans="1:16" ht="18" x14ac:dyDescent="0.25">
      <c r="A197" s="55" t="s">
        <v>236</v>
      </c>
      <c r="B197" s="56">
        <v>4108205</v>
      </c>
      <c r="C197" s="69">
        <v>204</v>
      </c>
      <c r="D197" s="69">
        <v>470</v>
      </c>
      <c r="E197" s="70">
        <v>0.43404255319148938</v>
      </c>
      <c r="F197" s="70">
        <v>33.294512877939532</v>
      </c>
      <c r="G197" s="69">
        <v>870</v>
      </c>
      <c r="H197" s="69">
        <v>825</v>
      </c>
      <c r="I197" s="70">
        <v>1.0545454545454545</v>
      </c>
      <c r="J197" s="70">
        <v>78.862619743670166</v>
      </c>
      <c r="K197" s="69">
        <v>2</v>
      </c>
      <c r="L197" s="69">
        <v>4</v>
      </c>
      <c r="M197" s="70">
        <v>0.5</v>
      </c>
      <c r="N197" s="70">
        <v>50</v>
      </c>
      <c r="O197" s="27">
        <f t="shared" si="6"/>
        <v>48.862911374887304</v>
      </c>
      <c r="P197" s="71">
        <f t="shared" si="7"/>
        <v>35.480124049664148</v>
      </c>
    </row>
    <row r="198" spans="1:16" ht="18" x14ac:dyDescent="0.25">
      <c r="A198" s="55" t="s">
        <v>164</v>
      </c>
      <c r="B198" s="56">
        <v>4121802</v>
      </c>
      <c r="C198" s="69">
        <v>159</v>
      </c>
      <c r="D198" s="69">
        <v>746</v>
      </c>
      <c r="E198" s="70">
        <v>0.21313672922252011</v>
      </c>
      <c r="F198" s="70">
        <v>67.244250035275854</v>
      </c>
      <c r="G198" s="69">
        <v>1700</v>
      </c>
      <c r="H198" s="69">
        <v>1509</v>
      </c>
      <c r="I198" s="70">
        <v>1.126573889993373</v>
      </c>
      <c r="J198" s="70">
        <v>73.962770611227484</v>
      </c>
      <c r="K198" s="69">
        <v>2</v>
      </c>
      <c r="L198" s="69">
        <v>3</v>
      </c>
      <c r="M198" s="70">
        <v>0.66666666666666663</v>
      </c>
      <c r="N198" s="70">
        <v>33.333333333333336</v>
      </c>
      <c r="O198" s="27">
        <f t="shared" si="6"/>
        <v>60.446151003778134</v>
      </c>
      <c r="P198" s="71">
        <f t="shared" si="7"/>
        <v>54.997121111186296</v>
      </c>
    </row>
    <row r="199" spans="1:16" ht="18" x14ac:dyDescent="0.25">
      <c r="A199" s="55" t="s">
        <v>213</v>
      </c>
      <c r="B199" s="56">
        <v>4122602</v>
      </c>
      <c r="C199" s="69">
        <v>181</v>
      </c>
      <c r="D199" s="69">
        <v>540</v>
      </c>
      <c r="E199" s="70">
        <v>0.3351851851851852</v>
      </c>
      <c r="F199" s="70">
        <v>48.487329434697855</v>
      </c>
      <c r="G199" s="69">
        <v>1257</v>
      </c>
      <c r="H199" s="69">
        <v>1184</v>
      </c>
      <c r="I199" s="70">
        <v>1.0616554054054055</v>
      </c>
      <c r="J199" s="70">
        <v>78.378954003380258</v>
      </c>
      <c r="K199" s="69">
        <v>2</v>
      </c>
      <c r="L199" s="69">
        <v>3</v>
      </c>
      <c r="M199" s="70">
        <v>0.66666666666666663</v>
      </c>
      <c r="N199" s="70">
        <v>33.333333333333336</v>
      </c>
      <c r="O199" s="27">
        <f t="shared" si="6"/>
        <v>52.171736551527324</v>
      </c>
      <c r="P199" s="71">
        <f t="shared" si="7"/>
        <v>41.05527688415296</v>
      </c>
    </row>
    <row r="200" spans="1:16" ht="18" x14ac:dyDescent="0.25">
      <c r="A200" s="55" t="s">
        <v>286</v>
      </c>
      <c r="B200" s="56">
        <v>4106456</v>
      </c>
      <c r="C200" s="69">
        <v>131</v>
      </c>
      <c r="D200" s="69">
        <v>452</v>
      </c>
      <c r="E200" s="70">
        <v>0.28982300884955753</v>
      </c>
      <c r="F200" s="70">
        <v>55.458779692594319</v>
      </c>
      <c r="G200" s="69">
        <v>1180</v>
      </c>
      <c r="H200" s="69">
        <v>875</v>
      </c>
      <c r="I200" s="70">
        <v>1.3485714285714285</v>
      </c>
      <c r="J200" s="70">
        <v>58.861034192245945</v>
      </c>
      <c r="K200" s="69">
        <v>0</v>
      </c>
      <c r="L200" s="69">
        <v>2</v>
      </c>
      <c r="M200" s="70">
        <v>0</v>
      </c>
      <c r="N200" s="70">
        <v>100</v>
      </c>
      <c r="O200" s="27">
        <f t="shared" si="6"/>
        <v>67.444648394358637</v>
      </c>
      <c r="P200" s="71">
        <f t="shared" si="7"/>
        <v>66.789128993536352</v>
      </c>
    </row>
    <row r="201" spans="1:16" ht="18" x14ac:dyDescent="0.25">
      <c r="A201" s="55" t="s">
        <v>206</v>
      </c>
      <c r="B201" s="56">
        <v>4118105</v>
      </c>
      <c r="C201" s="69">
        <v>215</v>
      </c>
      <c r="D201" s="69">
        <v>578</v>
      </c>
      <c r="E201" s="70">
        <v>0.37197231833910033</v>
      </c>
      <c r="F201" s="70">
        <v>42.833727918411952</v>
      </c>
      <c r="G201" s="69">
        <v>1485</v>
      </c>
      <c r="H201" s="69">
        <v>1315</v>
      </c>
      <c r="I201" s="70">
        <v>1.1292775665399239</v>
      </c>
      <c r="J201" s="70">
        <v>73.778848704571573</v>
      </c>
      <c r="K201" s="69">
        <v>2</v>
      </c>
      <c r="L201" s="69">
        <v>5</v>
      </c>
      <c r="M201" s="70">
        <v>0.4</v>
      </c>
      <c r="N201" s="70">
        <v>60</v>
      </c>
      <c r="O201" s="27">
        <f t="shared" si="6"/>
        <v>54.861576135348869</v>
      </c>
      <c r="P201" s="71">
        <f t="shared" si="7"/>
        <v>45.587479699198923</v>
      </c>
    </row>
    <row r="202" spans="1:16" ht="18" x14ac:dyDescent="0.25">
      <c r="A202" s="55" t="s">
        <v>172</v>
      </c>
      <c r="B202" s="56">
        <v>4120002</v>
      </c>
      <c r="C202" s="69">
        <v>171</v>
      </c>
      <c r="D202" s="69">
        <v>577</v>
      </c>
      <c r="E202" s="70">
        <v>0.29636048526863085</v>
      </c>
      <c r="F202" s="70">
        <v>54.454072790294624</v>
      </c>
      <c r="G202" s="69">
        <v>1634</v>
      </c>
      <c r="H202" s="69">
        <v>1312</v>
      </c>
      <c r="I202" s="70">
        <v>1.2454268292682926</v>
      </c>
      <c r="J202" s="70">
        <v>65.877609969142426</v>
      </c>
      <c r="K202" s="69">
        <v>3</v>
      </c>
      <c r="L202" s="69">
        <v>6</v>
      </c>
      <c r="M202" s="70">
        <v>0.5</v>
      </c>
      <c r="N202" s="70">
        <v>50</v>
      </c>
      <c r="O202" s="27">
        <f t="shared" si="6"/>
        <v>56.196438887432919</v>
      </c>
      <c r="P202" s="71">
        <f t="shared" si="7"/>
        <v>47.83663565596423</v>
      </c>
    </row>
    <row r="203" spans="1:16" ht="18" x14ac:dyDescent="0.25">
      <c r="A203" s="55" t="s">
        <v>210</v>
      </c>
      <c r="B203" s="56">
        <v>4125209</v>
      </c>
      <c r="C203" s="69">
        <v>234</v>
      </c>
      <c r="D203" s="69">
        <v>559</v>
      </c>
      <c r="E203" s="70">
        <v>0.41860465116279072</v>
      </c>
      <c r="F203" s="70">
        <v>35.667074663402694</v>
      </c>
      <c r="G203" s="69">
        <v>1291</v>
      </c>
      <c r="H203" s="69">
        <v>1181</v>
      </c>
      <c r="I203" s="70">
        <v>1.0931414055884843</v>
      </c>
      <c r="J203" s="70">
        <v>76.237068653215999</v>
      </c>
      <c r="K203" s="69">
        <v>1</v>
      </c>
      <c r="L203" s="69">
        <v>3</v>
      </c>
      <c r="M203" s="70">
        <v>0.33333333333333331</v>
      </c>
      <c r="N203" s="70">
        <v>66.666666666666671</v>
      </c>
      <c r="O203" s="27">
        <f t="shared" si="6"/>
        <v>53.559471161672022</v>
      </c>
      <c r="P203" s="71">
        <f t="shared" si="7"/>
        <v>43.393518444900167</v>
      </c>
    </row>
    <row r="204" spans="1:16" ht="18" x14ac:dyDescent="0.25">
      <c r="A204" s="55" t="s">
        <v>152</v>
      </c>
      <c r="B204" s="56">
        <v>4113908</v>
      </c>
      <c r="C204" s="69">
        <v>153</v>
      </c>
      <c r="D204" s="69">
        <v>810</v>
      </c>
      <c r="E204" s="70">
        <v>0.18888888888888888</v>
      </c>
      <c r="F204" s="70">
        <v>70.970760233918128</v>
      </c>
      <c r="G204" s="69">
        <v>1788</v>
      </c>
      <c r="H204" s="69">
        <v>1633</v>
      </c>
      <c r="I204" s="70">
        <v>1.0949173300673607</v>
      </c>
      <c r="J204" s="70">
        <v>76.116258559771737</v>
      </c>
      <c r="K204" s="69">
        <v>1</v>
      </c>
      <c r="L204" s="69">
        <v>3</v>
      </c>
      <c r="M204" s="70">
        <v>0.33333333333333331</v>
      </c>
      <c r="N204" s="70">
        <v>66.666666666666671</v>
      </c>
      <c r="O204" s="27">
        <f t="shared" si="6"/>
        <v>71.181111423568666</v>
      </c>
      <c r="P204" s="71">
        <f t="shared" si="7"/>
        <v>73.084823488165512</v>
      </c>
    </row>
    <row r="205" spans="1:16" ht="18" x14ac:dyDescent="0.25">
      <c r="A205" s="55" t="s">
        <v>291</v>
      </c>
      <c r="B205" s="56">
        <v>4124905</v>
      </c>
      <c r="C205" s="69">
        <v>173</v>
      </c>
      <c r="D205" s="69">
        <v>369</v>
      </c>
      <c r="E205" s="70">
        <v>0.46883468834688347</v>
      </c>
      <c r="F205" s="70">
        <v>27.947511054057916</v>
      </c>
      <c r="G205" s="69">
        <v>822</v>
      </c>
      <c r="H205" s="69">
        <v>740</v>
      </c>
      <c r="I205" s="70">
        <v>1.1108108108108108</v>
      </c>
      <c r="J205" s="70">
        <v>75.035079198481895</v>
      </c>
      <c r="K205" s="69">
        <v>0</v>
      </c>
      <c r="L205" s="69">
        <v>2</v>
      </c>
      <c r="M205" s="70">
        <v>0</v>
      </c>
      <c r="N205" s="70">
        <v>100</v>
      </c>
      <c r="O205" s="27">
        <f t="shared" si="6"/>
        <v>57.73252532664943</v>
      </c>
      <c r="P205" s="71">
        <f t="shared" si="7"/>
        <v>50.424840293089865</v>
      </c>
    </row>
    <row r="206" spans="1:16" ht="18" x14ac:dyDescent="0.25">
      <c r="A206" s="55" t="s">
        <v>186</v>
      </c>
      <c r="B206" s="56">
        <v>4124707</v>
      </c>
      <c r="C206" s="69">
        <v>73</v>
      </c>
      <c r="D206" s="69">
        <v>735</v>
      </c>
      <c r="E206" s="70">
        <v>9.9319727891156465E-2</v>
      </c>
      <c r="F206" s="70">
        <v>84.736126029359099</v>
      </c>
      <c r="G206" s="69">
        <v>1595</v>
      </c>
      <c r="H206" s="69">
        <v>1521</v>
      </c>
      <c r="I206" s="70">
        <v>1.0486522024983564</v>
      </c>
      <c r="J206" s="70">
        <v>79.263517607835468</v>
      </c>
      <c r="K206" s="69">
        <v>2</v>
      </c>
      <c r="L206" s="69">
        <v>4</v>
      </c>
      <c r="M206" s="70">
        <v>0.5</v>
      </c>
      <c r="N206" s="70">
        <v>50</v>
      </c>
      <c r="O206" s="27">
        <f t="shared" si="6"/>
        <v>74.683942416638416</v>
      </c>
      <c r="P206" s="71">
        <f t="shared" si="7"/>
        <v>78.986863365527299</v>
      </c>
    </row>
    <row r="207" spans="1:16" ht="18" x14ac:dyDescent="0.25">
      <c r="A207" s="55" t="s">
        <v>238</v>
      </c>
      <c r="B207" s="56">
        <v>4109500</v>
      </c>
      <c r="C207" s="69">
        <v>89</v>
      </c>
      <c r="D207" s="69">
        <v>538</v>
      </c>
      <c r="E207" s="70">
        <v>0.1654275092936803</v>
      </c>
      <c r="F207" s="70">
        <v>74.576403834865971</v>
      </c>
      <c r="G207" s="69">
        <v>1256</v>
      </c>
      <c r="H207" s="69">
        <v>1075</v>
      </c>
      <c r="I207" s="70">
        <v>1.1683720930232557</v>
      </c>
      <c r="J207" s="70">
        <v>71.119381225077049</v>
      </c>
      <c r="K207" s="69">
        <v>0</v>
      </c>
      <c r="L207" s="69">
        <v>1</v>
      </c>
      <c r="M207" s="70">
        <v>0</v>
      </c>
      <c r="N207" s="70">
        <v>100</v>
      </c>
      <c r="O207" s="27">
        <f t="shared" si="6"/>
        <v>80.068047223702251</v>
      </c>
      <c r="P207" s="71">
        <f t="shared" si="7"/>
        <v>88.058725907013397</v>
      </c>
    </row>
    <row r="208" spans="1:16" ht="18" x14ac:dyDescent="0.25">
      <c r="A208" s="55" t="s">
        <v>194</v>
      </c>
      <c r="B208" s="56">
        <v>4105003</v>
      </c>
      <c r="C208" s="69">
        <v>145</v>
      </c>
      <c r="D208" s="69">
        <v>707</v>
      </c>
      <c r="E208" s="70">
        <v>0.2050919377652051</v>
      </c>
      <c r="F208" s="70">
        <v>68.480607459242165</v>
      </c>
      <c r="G208" s="69">
        <v>1404</v>
      </c>
      <c r="H208" s="69">
        <v>1377</v>
      </c>
      <c r="I208" s="70">
        <v>1.0196078431372548</v>
      </c>
      <c r="J208" s="70">
        <v>81.239306449184781</v>
      </c>
      <c r="K208" s="69">
        <v>1</v>
      </c>
      <c r="L208" s="69">
        <v>2</v>
      </c>
      <c r="M208" s="70">
        <v>0.5</v>
      </c>
      <c r="N208" s="70">
        <v>50</v>
      </c>
      <c r="O208" s="27">
        <f t="shared" si="6"/>
        <v>67.050130341917281</v>
      </c>
      <c r="P208" s="71">
        <f t="shared" si="7"/>
        <v>66.124392018656664</v>
      </c>
    </row>
    <row r="209" spans="1:16" ht="18" x14ac:dyDescent="0.25">
      <c r="A209" s="55" t="s">
        <v>254</v>
      </c>
      <c r="B209" s="56">
        <v>4103206</v>
      </c>
      <c r="C209" s="69">
        <v>166</v>
      </c>
      <c r="D209" s="69">
        <v>444</v>
      </c>
      <c r="E209" s="70">
        <v>0.37387387387387389</v>
      </c>
      <c r="F209" s="70">
        <v>42.541488857278331</v>
      </c>
      <c r="G209" s="69">
        <v>962</v>
      </c>
      <c r="H209" s="69">
        <v>939</v>
      </c>
      <c r="I209" s="70">
        <v>1.0244941427050054</v>
      </c>
      <c r="J209" s="70">
        <v>80.906908132478179</v>
      </c>
      <c r="K209" s="69">
        <v>1</v>
      </c>
      <c r="L209" s="69">
        <v>2</v>
      </c>
      <c r="M209" s="70">
        <v>0.5</v>
      </c>
      <c r="N209" s="70">
        <v>50</v>
      </c>
      <c r="O209" s="27">
        <f t="shared" si="6"/>
        <v>53.997471461758707</v>
      </c>
      <c r="P209" s="71">
        <f t="shared" si="7"/>
        <v>44.131520147672177</v>
      </c>
    </row>
    <row r="210" spans="1:16" ht="18" x14ac:dyDescent="0.25">
      <c r="A210" s="55" t="s">
        <v>132</v>
      </c>
      <c r="B210" s="56">
        <v>4102802</v>
      </c>
      <c r="C210" s="69">
        <v>65</v>
      </c>
      <c r="D210" s="69">
        <v>857</v>
      </c>
      <c r="E210" s="70">
        <v>7.5845974329054849E-2</v>
      </c>
      <c r="F210" s="70">
        <v>88.343671313639987</v>
      </c>
      <c r="G210" s="69">
        <v>2234</v>
      </c>
      <c r="H210" s="69">
        <v>1807</v>
      </c>
      <c r="I210" s="70">
        <v>1.2363032650802435</v>
      </c>
      <c r="J210" s="70">
        <v>66.498254965713556</v>
      </c>
      <c r="K210" s="69">
        <v>5</v>
      </c>
      <c r="L210" s="69">
        <v>6</v>
      </c>
      <c r="M210" s="70">
        <v>0.83333333333333337</v>
      </c>
      <c r="N210" s="70">
        <v>16.666666666666664</v>
      </c>
      <c r="O210" s="27">
        <f t="shared" si="6"/>
        <v>64.963066064915054</v>
      </c>
      <c r="P210" s="71">
        <f t="shared" si="7"/>
        <v>62.607825957132398</v>
      </c>
    </row>
    <row r="211" spans="1:16" ht="18" x14ac:dyDescent="0.25">
      <c r="A211" s="55" t="s">
        <v>150</v>
      </c>
      <c r="B211" s="56">
        <v>4107009</v>
      </c>
      <c r="C211" s="69">
        <v>101</v>
      </c>
      <c r="D211" s="69">
        <v>900</v>
      </c>
      <c r="E211" s="70">
        <v>0.11222222222222222</v>
      </c>
      <c r="F211" s="70">
        <v>82.753216374269016</v>
      </c>
      <c r="G211" s="69">
        <v>1874</v>
      </c>
      <c r="H211" s="69">
        <v>1786</v>
      </c>
      <c r="I211" s="70">
        <v>1.0492721164613661</v>
      </c>
      <c r="J211" s="70">
        <v>79.221346972378043</v>
      </c>
      <c r="K211" s="69">
        <v>2</v>
      </c>
      <c r="L211" s="69">
        <v>3</v>
      </c>
      <c r="M211" s="70">
        <v>0.66666666666666663</v>
      </c>
      <c r="N211" s="70">
        <v>33.333333333333336</v>
      </c>
      <c r="O211" s="27">
        <f t="shared" si="6"/>
        <v>69.515278263562351</v>
      </c>
      <c r="P211" s="71">
        <f t="shared" si="7"/>
        <v>70.2780041586458</v>
      </c>
    </row>
    <row r="212" spans="1:16" ht="18" x14ac:dyDescent="0.25">
      <c r="A212" s="55" t="s">
        <v>253</v>
      </c>
      <c r="B212" s="56">
        <v>4124608</v>
      </c>
      <c r="C212" s="69">
        <v>217</v>
      </c>
      <c r="D212" s="69">
        <v>419</v>
      </c>
      <c r="E212" s="70">
        <v>0.5178997613365155</v>
      </c>
      <c r="F212" s="70">
        <v>20.406984047230257</v>
      </c>
      <c r="G212" s="69">
        <v>900</v>
      </c>
      <c r="H212" s="69">
        <v>863</v>
      </c>
      <c r="I212" s="70">
        <v>1.0428736964078795</v>
      </c>
      <c r="J212" s="70">
        <v>79.656609695400121</v>
      </c>
      <c r="K212" s="69">
        <v>0</v>
      </c>
      <c r="L212" s="69">
        <v>2</v>
      </c>
      <c r="M212" s="70">
        <v>0</v>
      </c>
      <c r="N212" s="70">
        <v>100</v>
      </c>
      <c r="O212" s="27">
        <f t="shared" si="6"/>
        <v>55.11764444746516</v>
      </c>
      <c r="P212" s="71">
        <f t="shared" si="7"/>
        <v>46.018937966077686</v>
      </c>
    </row>
    <row r="213" spans="1:16" ht="18" x14ac:dyDescent="0.25">
      <c r="A213" s="55" t="s">
        <v>222</v>
      </c>
      <c r="B213" s="56">
        <v>4117222</v>
      </c>
      <c r="C213" s="69">
        <v>235</v>
      </c>
      <c r="D213" s="69">
        <v>524</v>
      </c>
      <c r="E213" s="70">
        <v>0.44847328244274809</v>
      </c>
      <c r="F213" s="70">
        <v>31.076737645640822</v>
      </c>
      <c r="G213" s="69">
        <v>1384</v>
      </c>
      <c r="H213" s="69">
        <v>1060</v>
      </c>
      <c r="I213" s="70">
        <v>1.3056603773584905</v>
      </c>
      <c r="J213" s="70">
        <v>61.780126849894302</v>
      </c>
      <c r="K213" s="69">
        <v>1</v>
      </c>
      <c r="L213" s="69">
        <v>3</v>
      </c>
      <c r="M213" s="70">
        <v>0.33333333333333331</v>
      </c>
      <c r="N213" s="70">
        <v>66.666666666666671</v>
      </c>
      <c r="O213" s="27">
        <f t="shared" si="6"/>
        <v>47.650067201960653</v>
      </c>
      <c r="P213" s="71">
        <f t="shared" si="7"/>
        <v>33.436561374844445</v>
      </c>
    </row>
    <row r="214" spans="1:16" ht="18" x14ac:dyDescent="0.25">
      <c r="A214" s="55" t="s">
        <v>248</v>
      </c>
      <c r="B214" s="56">
        <v>4117453</v>
      </c>
      <c r="C214" s="69">
        <v>206</v>
      </c>
      <c r="D214" s="69">
        <v>454</v>
      </c>
      <c r="E214" s="70">
        <v>0.45374449339207046</v>
      </c>
      <c r="F214" s="70">
        <v>30.266635752376548</v>
      </c>
      <c r="G214" s="69">
        <v>957</v>
      </c>
      <c r="H214" s="69">
        <v>920</v>
      </c>
      <c r="I214" s="70">
        <v>1.0402173913043478</v>
      </c>
      <c r="J214" s="70">
        <v>79.837309084136038</v>
      </c>
      <c r="K214" s="69">
        <v>0</v>
      </c>
      <c r="L214" s="69">
        <v>1</v>
      </c>
      <c r="M214" s="70">
        <v>0</v>
      </c>
      <c r="N214" s="70">
        <v>100</v>
      </c>
      <c r="O214" s="27">
        <f t="shared" si="6"/>
        <v>60.092645147222285</v>
      </c>
      <c r="P214" s="71">
        <f t="shared" si="7"/>
        <v>54.401486989414096</v>
      </c>
    </row>
    <row r="215" spans="1:16" ht="18" x14ac:dyDescent="0.25">
      <c r="A215" s="55" t="s">
        <v>261</v>
      </c>
      <c r="B215" s="56">
        <v>4115309</v>
      </c>
      <c r="C215" s="69">
        <v>184</v>
      </c>
      <c r="D215" s="69">
        <v>437</v>
      </c>
      <c r="E215" s="70">
        <v>0.42105263157894735</v>
      </c>
      <c r="F215" s="70">
        <v>35.29085872576178</v>
      </c>
      <c r="G215" s="69">
        <v>948</v>
      </c>
      <c r="H215" s="69">
        <v>829</v>
      </c>
      <c r="I215" s="70">
        <v>1.1435464414957781</v>
      </c>
      <c r="J215" s="70">
        <v>72.808185741554311</v>
      </c>
      <c r="K215" s="69">
        <v>1</v>
      </c>
      <c r="L215" s="69">
        <v>2</v>
      </c>
      <c r="M215" s="70">
        <v>0.5</v>
      </c>
      <c r="N215" s="70">
        <v>50</v>
      </c>
      <c r="O215" s="27">
        <f t="shared" si="6"/>
        <v>48.347475798269471</v>
      </c>
      <c r="P215" s="71">
        <f t="shared" si="7"/>
        <v>34.611648998076397</v>
      </c>
    </row>
    <row r="216" spans="1:16" ht="18" x14ac:dyDescent="0.25">
      <c r="A216" s="55" t="s">
        <v>228</v>
      </c>
      <c r="B216" s="56">
        <v>4127908</v>
      </c>
      <c r="C216" s="69">
        <v>180</v>
      </c>
      <c r="D216" s="69">
        <v>499</v>
      </c>
      <c r="E216" s="70">
        <v>0.36072144288577157</v>
      </c>
      <c r="F216" s="70">
        <v>44.562809830186687</v>
      </c>
      <c r="G216" s="69">
        <v>1207</v>
      </c>
      <c r="H216" s="69">
        <v>1049</v>
      </c>
      <c r="I216" s="70">
        <v>1.1506196377502382</v>
      </c>
      <c r="J216" s="70">
        <v>72.32702029188863</v>
      </c>
      <c r="K216" s="69">
        <v>1</v>
      </c>
      <c r="L216" s="69">
        <v>5</v>
      </c>
      <c r="M216" s="70">
        <v>0.2</v>
      </c>
      <c r="N216" s="70">
        <v>80</v>
      </c>
      <c r="O216" s="27">
        <f t="shared" si="6"/>
        <v>60.363159988065505</v>
      </c>
      <c r="P216" s="71">
        <f t="shared" si="7"/>
        <v>54.857286707194838</v>
      </c>
    </row>
    <row r="217" spans="1:16" ht="18" x14ac:dyDescent="0.25">
      <c r="A217" s="55" t="s">
        <v>283</v>
      </c>
      <c r="B217" s="56">
        <v>4118451</v>
      </c>
      <c r="C217" s="69">
        <v>257</v>
      </c>
      <c r="D217" s="69">
        <v>399</v>
      </c>
      <c r="E217" s="70">
        <v>0.64411027568922308</v>
      </c>
      <c r="F217" s="70">
        <v>1.0104207888141448</v>
      </c>
      <c r="G217" s="69">
        <v>817</v>
      </c>
      <c r="H217" s="69">
        <v>738</v>
      </c>
      <c r="I217" s="70">
        <v>1.1070460704607046</v>
      </c>
      <c r="J217" s="70">
        <v>75.291181661677527</v>
      </c>
      <c r="K217" s="69">
        <v>0</v>
      </c>
      <c r="L217" s="69">
        <v>2</v>
      </c>
      <c r="M217" s="70">
        <v>0</v>
      </c>
      <c r="N217" s="70">
        <v>100</v>
      </c>
      <c r="O217" s="27">
        <f t="shared" si="6"/>
        <v>44.32800580982645</v>
      </c>
      <c r="P217" s="71">
        <f t="shared" si="7"/>
        <v>27.839106387660696</v>
      </c>
    </row>
    <row r="218" spans="1:16" ht="18" x14ac:dyDescent="0.25">
      <c r="A218" s="55" t="s">
        <v>212</v>
      </c>
      <c r="B218" s="56">
        <v>4112405</v>
      </c>
      <c r="C218" s="69">
        <v>204</v>
      </c>
      <c r="D218" s="69">
        <v>462</v>
      </c>
      <c r="E218" s="70">
        <v>0.44155844155844154</v>
      </c>
      <c r="F218" s="70">
        <v>32.139439507860565</v>
      </c>
      <c r="G218" s="69">
        <v>1073</v>
      </c>
      <c r="H218" s="69">
        <v>1015</v>
      </c>
      <c r="I218" s="70">
        <v>1.0571428571428572</v>
      </c>
      <c r="J218" s="70">
        <v>78.685927291802443</v>
      </c>
      <c r="K218" s="69">
        <v>0</v>
      </c>
      <c r="L218" s="69">
        <v>2</v>
      </c>
      <c r="M218" s="70">
        <v>0</v>
      </c>
      <c r="N218" s="70">
        <v>100</v>
      </c>
      <c r="O218" s="27">
        <f t="shared" si="6"/>
        <v>60.741201576880897</v>
      </c>
      <c r="P218" s="71">
        <f t="shared" si="7"/>
        <v>55.494261924356067</v>
      </c>
    </row>
    <row r="219" spans="1:16" ht="18" x14ac:dyDescent="0.25">
      <c r="A219" s="55" t="s">
        <v>200</v>
      </c>
      <c r="B219" s="56">
        <v>4115101</v>
      </c>
      <c r="C219" s="69">
        <v>159</v>
      </c>
      <c r="D219" s="69">
        <v>652</v>
      </c>
      <c r="E219" s="70">
        <v>0.24386503067484663</v>
      </c>
      <c r="F219" s="70">
        <v>62.521795285760405</v>
      </c>
      <c r="G219" s="69">
        <v>1415</v>
      </c>
      <c r="H219" s="69">
        <v>1386</v>
      </c>
      <c r="I219" s="70">
        <v>1.020923520923521</v>
      </c>
      <c r="J219" s="70">
        <v>81.149805370624335</v>
      </c>
      <c r="K219" s="69">
        <v>0</v>
      </c>
      <c r="L219" s="69">
        <v>2</v>
      </c>
      <c r="M219" s="70">
        <v>0</v>
      </c>
      <c r="N219" s="70">
        <v>100</v>
      </c>
      <c r="O219" s="27">
        <f t="shared" si="6"/>
        <v>76.548348985536279</v>
      </c>
      <c r="P219" s="71">
        <f t="shared" si="7"/>
        <v>82.128265830853536</v>
      </c>
    </row>
    <row r="220" spans="1:16" ht="18" x14ac:dyDescent="0.25">
      <c r="A220" s="55" t="s">
        <v>239</v>
      </c>
      <c r="B220" s="56">
        <v>4115002</v>
      </c>
      <c r="C220" s="69">
        <v>203</v>
      </c>
      <c r="D220" s="69">
        <v>454</v>
      </c>
      <c r="E220" s="70">
        <v>0.44713656387665196</v>
      </c>
      <c r="F220" s="70">
        <v>31.282170183167178</v>
      </c>
      <c r="G220" s="69">
        <v>1079</v>
      </c>
      <c r="H220" s="69">
        <v>957</v>
      </c>
      <c r="I220" s="70">
        <v>1.1274817136886102</v>
      </c>
      <c r="J220" s="70">
        <v>73.901014457316094</v>
      </c>
      <c r="K220" s="69">
        <v>0</v>
      </c>
      <c r="L220" s="69">
        <v>2</v>
      </c>
      <c r="M220" s="70">
        <v>0</v>
      </c>
      <c r="N220" s="70">
        <v>100</v>
      </c>
      <c r="O220" s="27">
        <f t="shared" si="6"/>
        <v>59.116338705912611</v>
      </c>
      <c r="P220" s="71">
        <f t="shared" si="7"/>
        <v>52.756474837661635</v>
      </c>
    </row>
    <row r="221" spans="1:16" ht="18" x14ac:dyDescent="0.25">
      <c r="A221" s="55" t="s">
        <v>258</v>
      </c>
      <c r="B221" s="56">
        <v>4121752</v>
      </c>
      <c r="C221" s="69">
        <v>146</v>
      </c>
      <c r="D221" s="69">
        <v>544</v>
      </c>
      <c r="E221" s="70">
        <v>0.26838235294117646</v>
      </c>
      <c r="F221" s="70">
        <v>58.753869969040252</v>
      </c>
      <c r="G221" s="69">
        <v>1207</v>
      </c>
      <c r="H221" s="69">
        <v>1082</v>
      </c>
      <c r="I221" s="70">
        <v>1.1155268022181146</v>
      </c>
      <c r="J221" s="70">
        <v>74.714266365855636</v>
      </c>
      <c r="K221" s="69">
        <v>1</v>
      </c>
      <c r="L221" s="69">
        <v>4</v>
      </c>
      <c r="M221" s="70">
        <v>0.25</v>
      </c>
      <c r="N221" s="70">
        <v>75</v>
      </c>
      <c r="O221" s="27">
        <f t="shared" si="6"/>
        <v>66.805501575984039</v>
      </c>
      <c r="P221" s="71">
        <f t="shared" si="7"/>
        <v>65.712208634832464</v>
      </c>
    </row>
    <row r="222" spans="1:16" ht="18" x14ac:dyDescent="0.25">
      <c r="A222" s="55" t="s">
        <v>252</v>
      </c>
      <c r="B222" s="56">
        <v>4108908</v>
      </c>
      <c r="C222" s="69">
        <v>125</v>
      </c>
      <c r="D222" s="69">
        <v>468</v>
      </c>
      <c r="E222" s="70">
        <v>0.26709401709401709</v>
      </c>
      <c r="F222" s="70">
        <v>58.951866846603693</v>
      </c>
      <c r="G222" s="69">
        <v>1023</v>
      </c>
      <c r="H222" s="69">
        <v>888</v>
      </c>
      <c r="I222" s="70">
        <v>1.152027027027027</v>
      </c>
      <c r="J222" s="70">
        <v>72.231280393000105</v>
      </c>
      <c r="K222" s="69">
        <v>1</v>
      </c>
      <c r="L222" s="69">
        <v>2</v>
      </c>
      <c r="M222" s="70">
        <v>0.5</v>
      </c>
      <c r="N222" s="70">
        <v>50</v>
      </c>
      <c r="O222" s="27">
        <f t="shared" si="6"/>
        <v>60.033753521551873</v>
      </c>
      <c r="P222" s="71">
        <f t="shared" si="7"/>
        <v>54.302258472869305</v>
      </c>
    </row>
    <row r="223" spans="1:16" ht="18" x14ac:dyDescent="0.25">
      <c r="A223" s="55" t="s">
        <v>237</v>
      </c>
      <c r="B223" s="56">
        <v>4104105</v>
      </c>
      <c r="C223" s="69">
        <v>128</v>
      </c>
      <c r="D223" s="69">
        <v>580</v>
      </c>
      <c r="E223" s="70">
        <v>0.22068965517241379</v>
      </c>
      <c r="F223" s="70">
        <v>66.08348457350273</v>
      </c>
      <c r="G223" s="69">
        <v>1409</v>
      </c>
      <c r="H223" s="69">
        <v>1215</v>
      </c>
      <c r="I223" s="70">
        <v>1.1596707818930041</v>
      </c>
      <c r="J223" s="70">
        <v>71.711301784333202</v>
      </c>
      <c r="K223" s="69">
        <v>1</v>
      </c>
      <c r="L223" s="69">
        <v>4</v>
      </c>
      <c r="M223" s="70">
        <v>0.25</v>
      </c>
      <c r="N223" s="70">
        <v>75</v>
      </c>
      <c r="O223" s="27">
        <f t="shared" si="6"/>
        <v>69.719567732834662</v>
      </c>
      <c r="P223" s="71">
        <f t="shared" si="7"/>
        <v>70.622218480306117</v>
      </c>
    </row>
    <row r="224" spans="1:16" ht="18" x14ac:dyDescent="0.25">
      <c r="A224" s="55" t="s">
        <v>240</v>
      </c>
      <c r="B224" s="56">
        <v>4100103</v>
      </c>
      <c r="C224" s="69">
        <v>151</v>
      </c>
      <c r="D224" s="69">
        <v>470</v>
      </c>
      <c r="E224" s="70">
        <v>0.32127659574468087</v>
      </c>
      <c r="F224" s="70">
        <v>50.624860022396412</v>
      </c>
      <c r="G224" s="69">
        <v>990</v>
      </c>
      <c r="H224" s="69">
        <v>914</v>
      </c>
      <c r="I224" s="70">
        <v>1.0831509846827134</v>
      </c>
      <c r="J224" s="70">
        <v>76.916682959752947</v>
      </c>
      <c r="K224" s="69">
        <v>1</v>
      </c>
      <c r="L224" s="69">
        <v>2</v>
      </c>
      <c r="M224" s="70">
        <v>0.5</v>
      </c>
      <c r="N224" s="70">
        <v>50</v>
      </c>
      <c r="O224" s="27">
        <f t="shared" si="6"/>
        <v>57.041600751136443</v>
      </c>
      <c r="P224" s="71">
        <f t="shared" si="7"/>
        <v>49.260677818510061</v>
      </c>
    </row>
    <row r="225" spans="1:16" ht="18" x14ac:dyDescent="0.25">
      <c r="A225" s="55" t="s">
        <v>267</v>
      </c>
      <c r="B225" s="56">
        <v>4127882</v>
      </c>
      <c r="C225" s="69">
        <v>110</v>
      </c>
      <c r="D225" s="69">
        <v>533</v>
      </c>
      <c r="E225" s="70">
        <v>0.20637898686679174</v>
      </c>
      <c r="F225" s="70">
        <v>68.282808334156215</v>
      </c>
      <c r="G225" s="69">
        <v>1261</v>
      </c>
      <c r="H225" s="69">
        <v>1070</v>
      </c>
      <c r="I225" s="70">
        <v>1.1785046728971962</v>
      </c>
      <c r="J225" s="70">
        <v>70.430096328133374</v>
      </c>
      <c r="K225" s="69">
        <v>1</v>
      </c>
      <c r="L225" s="69">
        <v>4</v>
      </c>
      <c r="M225" s="70">
        <v>0.25</v>
      </c>
      <c r="N225" s="70">
        <v>75</v>
      </c>
      <c r="O225" s="27">
        <f t="shared" si="6"/>
        <v>70.498928249111458</v>
      </c>
      <c r="P225" s="71">
        <f t="shared" si="7"/>
        <v>71.935389699530674</v>
      </c>
    </row>
    <row r="226" spans="1:16" ht="18" x14ac:dyDescent="0.25">
      <c r="A226" s="55" t="s">
        <v>242</v>
      </c>
      <c r="B226" s="56">
        <v>4118857</v>
      </c>
      <c r="C226" s="69">
        <v>176</v>
      </c>
      <c r="D226" s="69">
        <v>497</v>
      </c>
      <c r="E226" s="70">
        <v>0.35412474849094566</v>
      </c>
      <c r="F226" s="70">
        <v>45.576617600338878</v>
      </c>
      <c r="G226" s="69">
        <v>1022</v>
      </c>
      <c r="H226" s="69">
        <v>903</v>
      </c>
      <c r="I226" s="70">
        <v>1.1317829457364341</v>
      </c>
      <c r="J226" s="70">
        <v>73.608416291232032</v>
      </c>
      <c r="K226" s="69">
        <v>0</v>
      </c>
      <c r="L226" s="69">
        <v>3</v>
      </c>
      <c r="M226" s="70">
        <v>0</v>
      </c>
      <c r="N226" s="70">
        <v>100</v>
      </c>
      <c r="O226" s="27">
        <f t="shared" si="6"/>
        <v>66.190412872977447</v>
      </c>
      <c r="P226" s="71">
        <f t="shared" si="7"/>
        <v>64.675824618463395</v>
      </c>
    </row>
    <row r="227" spans="1:16" ht="18" x14ac:dyDescent="0.25">
      <c r="A227" s="55" t="s">
        <v>225</v>
      </c>
      <c r="B227" s="56">
        <v>4108320</v>
      </c>
      <c r="C227" s="69">
        <v>130</v>
      </c>
      <c r="D227" s="69">
        <v>591</v>
      </c>
      <c r="E227" s="70">
        <v>0.21996615905245348</v>
      </c>
      <c r="F227" s="70">
        <v>66.194674503517675</v>
      </c>
      <c r="G227" s="69">
        <v>1192</v>
      </c>
      <c r="H227" s="69">
        <v>1120</v>
      </c>
      <c r="I227" s="70">
        <v>1.0642857142857143</v>
      </c>
      <c r="J227" s="70">
        <v>78.200023049166262</v>
      </c>
      <c r="K227" s="69">
        <v>0</v>
      </c>
      <c r="L227" s="69">
        <v>2</v>
      </c>
      <c r="M227" s="70">
        <v>0</v>
      </c>
      <c r="N227" s="70">
        <v>100</v>
      </c>
      <c r="O227" s="27">
        <f t="shared" si="6"/>
        <v>77.647343014050406</v>
      </c>
      <c r="P227" s="71">
        <f t="shared" si="7"/>
        <v>83.979998499116945</v>
      </c>
    </row>
    <row r="228" spans="1:16" ht="18" x14ac:dyDescent="0.25">
      <c r="A228" s="55" t="s">
        <v>287</v>
      </c>
      <c r="B228" s="56">
        <v>4108700</v>
      </c>
      <c r="C228" s="69">
        <v>151</v>
      </c>
      <c r="D228" s="69">
        <v>369</v>
      </c>
      <c r="E228" s="70">
        <v>0.40921409214092141</v>
      </c>
      <c r="F228" s="70">
        <v>37.110255313079449</v>
      </c>
      <c r="G228" s="69">
        <v>847</v>
      </c>
      <c r="H228" s="69">
        <v>701</v>
      </c>
      <c r="I228" s="70">
        <v>1.2082738944365192</v>
      </c>
      <c r="J228" s="70">
        <v>68.404997581702659</v>
      </c>
      <c r="K228" s="69">
        <v>0</v>
      </c>
      <c r="L228" s="69">
        <v>2</v>
      </c>
      <c r="M228" s="70">
        <v>0</v>
      </c>
      <c r="N228" s="70">
        <v>100</v>
      </c>
      <c r="O228" s="27">
        <f t="shared" si="6"/>
        <v>60.656377051965393</v>
      </c>
      <c r="P228" s="71">
        <f t="shared" si="7"/>
        <v>55.351338177929222</v>
      </c>
    </row>
    <row r="229" spans="1:16" ht="18" x14ac:dyDescent="0.25">
      <c r="A229" s="55" t="s">
        <v>120</v>
      </c>
      <c r="B229" s="56">
        <v>4126504</v>
      </c>
      <c r="C229" s="69">
        <v>29</v>
      </c>
      <c r="D229" s="69">
        <v>899</v>
      </c>
      <c r="E229" s="70">
        <v>3.2258064516129031E-2</v>
      </c>
      <c r="F229" s="70">
        <v>95.042444821731749</v>
      </c>
      <c r="G229" s="69">
        <v>2286</v>
      </c>
      <c r="H229" s="69">
        <v>1912</v>
      </c>
      <c r="I229" s="70">
        <v>1.1956066945606694</v>
      </c>
      <c r="J229" s="70">
        <v>69.266704044382109</v>
      </c>
      <c r="K229" s="69">
        <v>5</v>
      </c>
      <c r="L229" s="69">
        <v>6</v>
      </c>
      <c r="M229" s="70">
        <v>0.83333333333333337</v>
      </c>
      <c r="N229" s="70">
        <v>16.666666666666664</v>
      </c>
      <c r="O229" s="27">
        <f t="shared" si="6"/>
        <v>69.00456508862807</v>
      </c>
      <c r="P229" s="71">
        <f t="shared" si="7"/>
        <v>69.417486043349982</v>
      </c>
    </row>
    <row r="230" spans="1:16" ht="18" x14ac:dyDescent="0.25">
      <c r="A230" s="55" t="s">
        <v>247</v>
      </c>
      <c r="B230" s="56">
        <v>4116802</v>
      </c>
      <c r="C230" s="69">
        <v>150</v>
      </c>
      <c r="D230" s="69">
        <v>418</v>
      </c>
      <c r="E230" s="70">
        <v>0.35885167464114831</v>
      </c>
      <c r="F230" s="70">
        <v>44.850163686728791</v>
      </c>
      <c r="G230" s="69">
        <v>1022</v>
      </c>
      <c r="H230" s="69">
        <v>879</v>
      </c>
      <c r="I230" s="70">
        <v>1.1626848691695109</v>
      </c>
      <c r="J230" s="70">
        <v>71.506263692986948</v>
      </c>
      <c r="K230" s="69">
        <v>1</v>
      </c>
      <c r="L230" s="69">
        <v>3</v>
      </c>
      <c r="M230" s="70">
        <v>0.33333333333333331</v>
      </c>
      <c r="N230" s="70">
        <v>66.666666666666671</v>
      </c>
      <c r="O230" s="27">
        <f t="shared" si="6"/>
        <v>56.968314433277797</v>
      </c>
      <c r="P230" s="71">
        <f t="shared" si="7"/>
        <v>49.137195192222208</v>
      </c>
    </row>
    <row r="231" spans="1:16" ht="18" x14ac:dyDescent="0.25">
      <c r="A231" s="55" t="s">
        <v>280</v>
      </c>
      <c r="B231" s="56">
        <v>4125753</v>
      </c>
      <c r="C231" s="69">
        <v>172</v>
      </c>
      <c r="D231" s="69">
        <v>380</v>
      </c>
      <c r="E231" s="70">
        <v>0.45263157894736844</v>
      </c>
      <c r="F231" s="70">
        <v>30.437673130193911</v>
      </c>
      <c r="G231" s="69">
        <v>840</v>
      </c>
      <c r="H231" s="69">
        <v>718</v>
      </c>
      <c r="I231" s="70">
        <v>1.1699164345403901</v>
      </c>
      <c r="J231" s="70">
        <v>71.014324931741385</v>
      </c>
      <c r="K231" s="69">
        <v>1</v>
      </c>
      <c r="L231" s="69">
        <v>4</v>
      </c>
      <c r="M231" s="70">
        <v>0.25</v>
      </c>
      <c r="N231" s="70">
        <v>75</v>
      </c>
      <c r="O231" s="27">
        <f t="shared" si="6"/>
        <v>51.722417798032303</v>
      </c>
      <c r="P231" s="71">
        <f t="shared" si="7"/>
        <v>40.29820433168873</v>
      </c>
    </row>
    <row r="232" spans="1:16" ht="18" x14ac:dyDescent="0.25">
      <c r="A232" s="55" t="s">
        <v>232</v>
      </c>
      <c r="B232" s="56">
        <v>4103057</v>
      </c>
      <c r="C232" s="69">
        <v>186</v>
      </c>
      <c r="D232" s="69">
        <v>519</v>
      </c>
      <c r="E232" s="70">
        <v>0.3583815028901734</v>
      </c>
      <c r="F232" s="70">
        <v>44.922421661089146</v>
      </c>
      <c r="G232" s="69">
        <v>1302</v>
      </c>
      <c r="H232" s="69">
        <v>1119</v>
      </c>
      <c r="I232" s="70">
        <v>1.1635388739946382</v>
      </c>
      <c r="J232" s="70">
        <v>71.448168653500389</v>
      </c>
      <c r="K232" s="69">
        <v>1</v>
      </c>
      <c r="L232" s="69">
        <v>4</v>
      </c>
      <c r="M232" s="70">
        <v>0.25</v>
      </c>
      <c r="N232" s="70">
        <v>75</v>
      </c>
      <c r="O232" s="27">
        <f t="shared" si="6"/>
        <v>59.073252993919667</v>
      </c>
      <c r="P232" s="71">
        <f t="shared" si="7"/>
        <v>52.683878246267426</v>
      </c>
    </row>
    <row r="233" spans="1:16" ht="18" x14ac:dyDescent="0.25">
      <c r="A233" s="55" t="s">
        <v>192</v>
      </c>
      <c r="B233" s="56">
        <v>4112751</v>
      </c>
      <c r="C233" s="69">
        <v>165</v>
      </c>
      <c r="D233" s="69">
        <v>509</v>
      </c>
      <c r="E233" s="70">
        <v>0.32416502946954812</v>
      </c>
      <c r="F233" s="70">
        <v>50.180953365732606</v>
      </c>
      <c r="G233" s="69">
        <v>1097</v>
      </c>
      <c r="H233" s="69">
        <v>1356</v>
      </c>
      <c r="I233" s="70">
        <v>0.80899705014749268</v>
      </c>
      <c r="J233" s="70">
        <v>95.566441349402425</v>
      </c>
      <c r="K233" s="69">
        <v>3</v>
      </c>
      <c r="L233" s="69">
        <v>5</v>
      </c>
      <c r="M233" s="70">
        <v>0.6</v>
      </c>
      <c r="N233" s="70">
        <v>40</v>
      </c>
      <c r="O233" s="27">
        <f t="shared" si="6"/>
        <v>58.982087020216909</v>
      </c>
      <c r="P233" s="71">
        <f t="shared" si="7"/>
        <v>52.53026957564736</v>
      </c>
    </row>
    <row r="234" spans="1:16" ht="18" x14ac:dyDescent="0.25">
      <c r="A234" s="55" t="s">
        <v>198</v>
      </c>
      <c r="B234" s="56">
        <v>4120507</v>
      </c>
      <c r="C234" s="69">
        <v>170</v>
      </c>
      <c r="D234" s="69">
        <v>490</v>
      </c>
      <c r="E234" s="70">
        <v>0.34693877551020408</v>
      </c>
      <c r="F234" s="70">
        <v>46.680988184747584</v>
      </c>
      <c r="G234" s="69">
        <v>1159</v>
      </c>
      <c r="H234" s="69">
        <v>1089</v>
      </c>
      <c r="I234" s="70">
        <v>1.064279155188246</v>
      </c>
      <c r="J234" s="70">
        <v>78.200469242226532</v>
      </c>
      <c r="K234" s="69">
        <v>3</v>
      </c>
      <c r="L234" s="69">
        <v>6</v>
      </c>
      <c r="M234" s="70">
        <v>0.5</v>
      </c>
      <c r="N234" s="70">
        <v>50</v>
      </c>
      <c r="O234" s="27">
        <f t="shared" si="6"/>
        <v>55.390611402930425</v>
      </c>
      <c r="P234" s="71">
        <f t="shared" si="7"/>
        <v>46.478869335745664</v>
      </c>
    </row>
    <row r="235" spans="1:16" ht="18" x14ac:dyDescent="0.25">
      <c r="A235" s="55" t="s">
        <v>259</v>
      </c>
      <c r="B235" s="56">
        <v>4125357</v>
      </c>
      <c r="C235" s="69">
        <v>169</v>
      </c>
      <c r="D235" s="69">
        <v>413</v>
      </c>
      <c r="E235" s="70">
        <v>0.40920096852300242</v>
      </c>
      <c r="F235" s="70">
        <v>37.112272205938581</v>
      </c>
      <c r="G235" s="69">
        <v>784</v>
      </c>
      <c r="H235" s="69">
        <v>733</v>
      </c>
      <c r="I235" s="70">
        <v>1.0695770804911324</v>
      </c>
      <c r="J235" s="70">
        <v>77.840069428768629</v>
      </c>
      <c r="K235" s="69">
        <v>0</v>
      </c>
      <c r="L235" s="69">
        <v>1</v>
      </c>
      <c r="M235" s="70">
        <v>0</v>
      </c>
      <c r="N235" s="70">
        <v>100</v>
      </c>
      <c r="O235" s="27">
        <f t="shared" si="6"/>
        <v>63.016153460161448</v>
      </c>
      <c r="P235" s="71">
        <f t="shared" si="7"/>
        <v>59.327406246981326</v>
      </c>
    </row>
    <row r="236" spans="1:16" ht="18" x14ac:dyDescent="0.25">
      <c r="A236" s="55" t="s">
        <v>268</v>
      </c>
      <c r="B236" s="56">
        <v>4109757</v>
      </c>
      <c r="C236" s="69">
        <v>164</v>
      </c>
      <c r="D236" s="69">
        <v>438</v>
      </c>
      <c r="E236" s="70">
        <v>0.37442922374429222</v>
      </c>
      <c r="F236" s="70">
        <v>42.456140350877206</v>
      </c>
      <c r="G236" s="69">
        <v>1133</v>
      </c>
      <c r="H236" s="69">
        <v>879</v>
      </c>
      <c r="I236" s="70">
        <v>1.2889647326507394</v>
      </c>
      <c r="J236" s="70">
        <v>62.915874693480269</v>
      </c>
      <c r="K236" s="69">
        <v>1</v>
      </c>
      <c r="L236" s="69">
        <v>3</v>
      </c>
      <c r="M236" s="70">
        <v>0.33333333333333331</v>
      </c>
      <c r="N236" s="70">
        <v>66.666666666666671</v>
      </c>
      <c r="O236" s="27">
        <f t="shared" si="6"/>
        <v>53.623705515475336</v>
      </c>
      <c r="P236" s="71">
        <f t="shared" si="7"/>
        <v>43.501749107011413</v>
      </c>
    </row>
    <row r="237" spans="1:16" ht="18" x14ac:dyDescent="0.25">
      <c r="A237" s="55" t="s">
        <v>227</v>
      </c>
      <c r="B237" s="56">
        <v>4127957</v>
      </c>
      <c r="C237" s="69">
        <v>194</v>
      </c>
      <c r="D237" s="69">
        <v>455</v>
      </c>
      <c r="E237" s="70">
        <v>0.42637362637362636</v>
      </c>
      <c r="F237" s="70">
        <v>34.473105841526902</v>
      </c>
      <c r="G237" s="69">
        <v>1016</v>
      </c>
      <c r="H237" s="69">
        <v>962</v>
      </c>
      <c r="I237" s="70">
        <v>1.0561330561330562</v>
      </c>
      <c r="J237" s="70">
        <v>78.754620615085727</v>
      </c>
      <c r="K237" s="69">
        <v>1</v>
      </c>
      <c r="L237" s="69">
        <v>5</v>
      </c>
      <c r="M237" s="70">
        <v>0.2</v>
      </c>
      <c r="N237" s="70">
        <v>80</v>
      </c>
      <c r="O237" s="27">
        <f t="shared" si="6"/>
        <v>56.925208074534879</v>
      </c>
      <c r="P237" s="71">
        <f t="shared" si="7"/>
        <v>49.064563812412018</v>
      </c>
    </row>
    <row r="238" spans="1:16" ht="18" x14ac:dyDescent="0.25">
      <c r="A238" s="55" t="s">
        <v>269</v>
      </c>
      <c r="B238" s="56">
        <v>4124509</v>
      </c>
      <c r="C238" s="69">
        <v>184</v>
      </c>
      <c r="D238" s="69">
        <v>455</v>
      </c>
      <c r="E238" s="70">
        <v>0.4043956043956044</v>
      </c>
      <c r="F238" s="70">
        <v>37.850780798149223</v>
      </c>
      <c r="G238" s="69">
        <v>953</v>
      </c>
      <c r="H238" s="69">
        <v>845</v>
      </c>
      <c r="I238" s="70">
        <v>1.127810650887574</v>
      </c>
      <c r="J238" s="70">
        <v>73.87863798004085</v>
      </c>
      <c r="K238" s="69">
        <v>1</v>
      </c>
      <c r="L238" s="69">
        <v>2</v>
      </c>
      <c r="M238" s="70">
        <v>0.5</v>
      </c>
      <c r="N238" s="70">
        <v>50</v>
      </c>
      <c r="O238" s="27">
        <f t="shared" si="6"/>
        <v>49.895049894084821</v>
      </c>
      <c r="P238" s="71">
        <f t="shared" si="7"/>
        <v>37.219209581143453</v>
      </c>
    </row>
    <row r="239" spans="1:16" ht="18" x14ac:dyDescent="0.25">
      <c r="A239" s="55" t="s">
        <v>234</v>
      </c>
      <c r="B239" s="56">
        <v>4112959</v>
      </c>
      <c r="C239" s="69">
        <v>152</v>
      </c>
      <c r="D239" s="69">
        <v>516</v>
      </c>
      <c r="E239" s="70">
        <v>0.29457364341085274</v>
      </c>
      <c r="F239" s="70">
        <v>54.728682170542633</v>
      </c>
      <c r="G239" s="69">
        <v>1084</v>
      </c>
      <c r="H239" s="69">
        <v>952</v>
      </c>
      <c r="I239" s="70">
        <v>1.1386554621848739</v>
      </c>
      <c r="J239" s="70">
        <v>73.140902405248298</v>
      </c>
      <c r="K239" s="69">
        <v>1</v>
      </c>
      <c r="L239" s="69">
        <v>5</v>
      </c>
      <c r="M239" s="70">
        <v>0.2</v>
      </c>
      <c r="N239" s="70">
        <v>80</v>
      </c>
      <c r="O239" s="27">
        <f t="shared" si="6"/>
        <v>65.649566686583398</v>
      </c>
      <c r="P239" s="71">
        <f t="shared" si="7"/>
        <v>63.764534360402934</v>
      </c>
    </row>
    <row r="240" spans="1:16" ht="18" x14ac:dyDescent="0.25">
      <c r="A240" s="55" t="s">
        <v>215</v>
      </c>
      <c r="B240" s="56">
        <v>4123709</v>
      </c>
      <c r="C240" s="69">
        <v>178</v>
      </c>
      <c r="D240" s="69">
        <v>525</v>
      </c>
      <c r="E240" s="70">
        <v>0.33904761904761904</v>
      </c>
      <c r="F240" s="70">
        <v>47.893734335839603</v>
      </c>
      <c r="G240" s="69">
        <v>1253</v>
      </c>
      <c r="H240" s="69">
        <v>1088</v>
      </c>
      <c r="I240" s="70">
        <v>1.1516544117647058</v>
      </c>
      <c r="J240" s="70">
        <v>72.256628140156693</v>
      </c>
      <c r="K240" s="69">
        <v>2</v>
      </c>
      <c r="L240" s="69">
        <v>4</v>
      </c>
      <c r="M240" s="70">
        <v>0.5</v>
      </c>
      <c r="N240" s="70">
        <v>50</v>
      </c>
      <c r="O240" s="27">
        <f t="shared" si="6"/>
        <v>54.511024202958978</v>
      </c>
      <c r="P240" s="71">
        <f t="shared" si="7"/>
        <v>44.996822745396479</v>
      </c>
    </row>
    <row r="241" spans="1:16" ht="18" x14ac:dyDescent="0.25">
      <c r="A241" s="55" t="s">
        <v>187</v>
      </c>
      <c r="B241" s="56">
        <v>4102505</v>
      </c>
      <c r="C241" s="69">
        <v>144</v>
      </c>
      <c r="D241" s="69">
        <v>584</v>
      </c>
      <c r="E241" s="70">
        <v>0.24657534246575341</v>
      </c>
      <c r="F241" s="70">
        <v>62.10526315789474</v>
      </c>
      <c r="G241" s="69">
        <v>1374</v>
      </c>
      <c r="H241" s="69">
        <v>1274</v>
      </c>
      <c r="I241" s="70">
        <v>1.0784929356357928</v>
      </c>
      <c r="J241" s="70">
        <v>77.233554170955813</v>
      </c>
      <c r="K241" s="69">
        <v>1</v>
      </c>
      <c r="L241" s="69">
        <v>3</v>
      </c>
      <c r="M241" s="70">
        <v>0.33333333333333331</v>
      </c>
      <c r="N241" s="70">
        <v>66.666666666666671</v>
      </c>
      <c r="O241" s="27">
        <f t="shared" si="6"/>
        <v>67.027686788352995</v>
      </c>
      <c r="P241" s="71">
        <f t="shared" si="7"/>
        <v>66.086576106787604</v>
      </c>
    </row>
    <row r="242" spans="1:16" ht="18" x14ac:dyDescent="0.25">
      <c r="A242" s="55" t="s">
        <v>224</v>
      </c>
      <c r="B242" s="56">
        <v>4128559</v>
      </c>
      <c r="C242" s="69">
        <v>151</v>
      </c>
      <c r="D242" s="69">
        <v>496</v>
      </c>
      <c r="E242" s="70">
        <v>0.30443548387096775</v>
      </c>
      <c r="F242" s="70">
        <v>53.213073005093378</v>
      </c>
      <c r="G242" s="69">
        <v>1104</v>
      </c>
      <c r="H242" s="69">
        <v>1030</v>
      </c>
      <c r="I242" s="70">
        <v>1.0718446601941747</v>
      </c>
      <c r="J242" s="70">
        <v>77.685813705017281</v>
      </c>
      <c r="K242" s="69">
        <v>0</v>
      </c>
      <c r="L242" s="69">
        <v>1</v>
      </c>
      <c r="M242" s="70">
        <v>0</v>
      </c>
      <c r="N242" s="70">
        <v>100</v>
      </c>
      <c r="O242" s="27">
        <f t="shared" si="6"/>
        <v>71.027989928801006</v>
      </c>
      <c r="P242" s="71">
        <f t="shared" si="7"/>
        <v>72.826823838742513</v>
      </c>
    </row>
    <row r="243" spans="1:16" ht="18" x14ac:dyDescent="0.25">
      <c r="A243" s="55" t="s">
        <v>260</v>
      </c>
      <c r="B243" s="56">
        <v>4103040</v>
      </c>
      <c r="C243" s="69">
        <v>117</v>
      </c>
      <c r="D243" s="69">
        <v>444</v>
      </c>
      <c r="E243" s="70">
        <v>0.26351351351351349</v>
      </c>
      <c r="F243" s="70">
        <v>59.502133712660033</v>
      </c>
      <c r="G243" s="69">
        <v>954</v>
      </c>
      <c r="H243" s="69">
        <v>878</v>
      </c>
      <c r="I243" s="70">
        <v>1.0865603644646924</v>
      </c>
      <c r="J243" s="70">
        <v>76.684754465637923</v>
      </c>
      <c r="K243" s="69">
        <v>0</v>
      </c>
      <c r="L243" s="69">
        <v>1</v>
      </c>
      <c r="M243" s="70">
        <v>0</v>
      </c>
      <c r="N243" s="70">
        <v>100</v>
      </c>
      <c r="O243" s="27">
        <f t="shared" si="6"/>
        <v>73.922255472739494</v>
      </c>
      <c r="P243" s="71">
        <f t="shared" si="7"/>
        <v>77.703470953546386</v>
      </c>
    </row>
    <row r="244" spans="1:16" ht="18" x14ac:dyDescent="0.25">
      <c r="A244" s="55" t="s">
        <v>255</v>
      </c>
      <c r="B244" s="56">
        <v>4108650</v>
      </c>
      <c r="C244" s="69">
        <v>113</v>
      </c>
      <c r="D244" s="69">
        <v>478</v>
      </c>
      <c r="E244" s="70">
        <v>0.23640167364016737</v>
      </c>
      <c r="F244" s="70">
        <v>63.668795419511113</v>
      </c>
      <c r="G244" s="69">
        <v>1001</v>
      </c>
      <c r="H244" s="69">
        <v>936</v>
      </c>
      <c r="I244" s="70">
        <v>1.0694444444444444</v>
      </c>
      <c r="J244" s="70">
        <v>77.849092207262345</v>
      </c>
      <c r="K244" s="69">
        <v>1</v>
      </c>
      <c r="L244" s="69">
        <v>2</v>
      </c>
      <c r="M244" s="70">
        <v>0.5</v>
      </c>
      <c r="N244" s="70">
        <v>50</v>
      </c>
      <c r="O244" s="27">
        <f t="shared" si="6"/>
        <v>63.796670761571143</v>
      </c>
      <c r="P244" s="71">
        <f t="shared" si="7"/>
        <v>60.642526573084673</v>
      </c>
    </row>
    <row r="245" spans="1:16" ht="18" x14ac:dyDescent="0.25">
      <c r="A245" s="55" t="s">
        <v>244</v>
      </c>
      <c r="B245" s="56">
        <v>4117271</v>
      </c>
      <c r="C245" s="69">
        <v>160</v>
      </c>
      <c r="D245" s="69">
        <v>386</v>
      </c>
      <c r="E245" s="70">
        <v>0.41450777202072536</v>
      </c>
      <c r="F245" s="70">
        <v>36.296700299972741</v>
      </c>
      <c r="G245" s="69">
        <v>999</v>
      </c>
      <c r="H245" s="69">
        <v>890</v>
      </c>
      <c r="I245" s="70">
        <v>1.1224719101123595</v>
      </c>
      <c r="J245" s="70">
        <v>74.241814331062471</v>
      </c>
      <c r="K245" s="69">
        <v>1</v>
      </c>
      <c r="L245" s="69">
        <v>4</v>
      </c>
      <c r="M245" s="70">
        <v>0.25</v>
      </c>
      <c r="N245" s="70">
        <v>75</v>
      </c>
      <c r="O245" s="27">
        <f t="shared" si="6"/>
        <v>55.458803732751988</v>
      </c>
      <c r="P245" s="71">
        <f t="shared" si="7"/>
        <v>46.593768927171389</v>
      </c>
    </row>
    <row r="246" spans="1:16" ht="18" x14ac:dyDescent="0.25">
      <c r="A246" s="55" t="s">
        <v>231</v>
      </c>
      <c r="B246" s="56">
        <v>4128609</v>
      </c>
      <c r="C246" s="69">
        <v>157</v>
      </c>
      <c r="D246" s="69">
        <v>442</v>
      </c>
      <c r="E246" s="70">
        <v>0.35520361990950228</v>
      </c>
      <c r="F246" s="70">
        <v>45.410812098118605</v>
      </c>
      <c r="G246" s="69">
        <v>1073</v>
      </c>
      <c r="H246" s="69">
        <v>978</v>
      </c>
      <c r="I246" s="70">
        <v>1.0971370143149284</v>
      </c>
      <c r="J246" s="70">
        <v>75.965261000722933</v>
      </c>
      <c r="K246" s="69">
        <v>1</v>
      </c>
      <c r="L246" s="69">
        <v>3</v>
      </c>
      <c r="M246" s="70">
        <v>0.33333333333333331</v>
      </c>
      <c r="N246" s="70">
        <v>66.666666666666671</v>
      </c>
      <c r="O246" s="27">
        <f t="shared" si="6"/>
        <v>58.363387965906711</v>
      </c>
      <c r="P246" s="71">
        <f t="shared" si="7"/>
        <v>51.487802354748212</v>
      </c>
    </row>
    <row r="247" spans="1:16" ht="18" x14ac:dyDescent="0.25">
      <c r="A247" s="55" t="s">
        <v>295</v>
      </c>
      <c r="B247" s="56">
        <v>4110003</v>
      </c>
      <c r="C247" s="69">
        <v>188</v>
      </c>
      <c r="D247" s="69">
        <v>341</v>
      </c>
      <c r="E247" s="70">
        <v>0.5513196480938416</v>
      </c>
      <c r="F247" s="70">
        <v>15.270875135051718</v>
      </c>
      <c r="G247" s="69">
        <v>789</v>
      </c>
      <c r="H247" s="69">
        <v>727</v>
      </c>
      <c r="I247" s="70">
        <v>1.0852819807427785</v>
      </c>
      <c r="J247" s="70">
        <v>76.77171855602522</v>
      </c>
      <c r="K247" s="69">
        <v>0</v>
      </c>
      <c r="L247" s="69">
        <v>1</v>
      </c>
      <c r="M247" s="70">
        <v>0</v>
      </c>
      <c r="N247" s="70">
        <v>100</v>
      </c>
      <c r="O247" s="27">
        <f t="shared" si="6"/>
        <v>51.828367206532164</v>
      </c>
      <c r="P247" s="71">
        <f t="shared" si="7"/>
        <v>40.476722117784107</v>
      </c>
    </row>
    <row r="248" spans="1:16" ht="18" x14ac:dyDescent="0.25">
      <c r="A248" s="55" t="s">
        <v>226</v>
      </c>
      <c r="B248" s="56">
        <v>4120705</v>
      </c>
      <c r="C248" s="69">
        <v>175</v>
      </c>
      <c r="D248" s="69">
        <v>458</v>
      </c>
      <c r="E248" s="70">
        <v>0.38209606986899564</v>
      </c>
      <c r="F248" s="70">
        <v>41.277867156975411</v>
      </c>
      <c r="G248" s="69">
        <v>1111</v>
      </c>
      <c r="H248" s="69">
        <v>995</v>
      </c>
      <c r="I248" s="70">
        <v>1.1165829145728643</v>
      </c>
      <c r="J248" s="70">
        <v>74.642422639513356</v>
      </c>
      <c r="K248" s="69">
        <v>2</v>
      </c>
      <c r="L248" s="69">
        <v>4</v>
      </c>
      <c r="M248" s="70">
        <v>0.5</v>
      </c>
      <c r="N248" s="70">
        <v>50</v>
      </c>
      <c r="O248" s="27">
        <f t="shared" si="6"/>
        <v>51.799539238366044</v>
      </c>
      <c r="P248" s="71">
        <f t="shared" si="7"/>
        <v>40.428148887149689</v>
      </c>
    </row>
    <row r="249" spans="1:16" ht="18" x14ac:dyDescent="0.25">
      <c r="A249" s="55" t="s">
        <v>223</v>
      </c>
      <c r="B249" s="56">
        <v>4106001</v>
      </c>
      <c r="C249" s="69">
        <v>141</v>
      </c>
      <c r="D249" s="69">
        <v>517</v>
      </c>
      <c r="E249" s="70">
        <v>0.27272727272727271</v>
      </c>
      <c r="F249" s="70">
        <v>58.086124401913885</v>
      </c>
      <c r="G249" s="69">
        <v>1203</v>
      </c>
      <c r="H249" s="69">
        <v>1170</v>
      </c>
      <c r="I249" s="70">
        <v>1.0282051282051281</v>
      </c>
      <c r="J249" s="70">
        <v>80.654462428636236</v>
      </c>
      <c r="K249" s="69">
        <v>1</v>
      </c>
      <c r="L249" s="69">
        <v>4</v>
      </c>
      <c r="M249" s="70">
        <v>0.25</v>
      </c>
      <c r="N249" s="70">
        <v>75</v>
      </c>
      <c r="O249" s="27">
        <f t="shared" si="6"/>
        <v>67.956677808115998</v>
      </c>
      <c r="P249" s="71">
        <f t="shared" si="7"/>
        <v>67.651864884693268</v>
      </c>
    </row>
    <row r="250" spans="1:16" ht="18" x14ac:dyDescent="0.25">
      <c r="A250" s="55" t="s">
        <v>185</v>
      </c>
      <c r="B250" s="56">
        <v>4105102</v>
      </c>
      <c r="C250" s="69">
        <v>98</v>
      </c>
      <c r="D250" s="69">
        <v>647</v>
      </c>
      <c r="E250" s="70">
        <v>0.15146831530139104</v>
      </c>
      <c r="F250" s="70">
        <v>76.72171154315464</v>
      </c>
      <c r="G250" s="69">
        <v>1397</v>
      </c>
      <c r="H250" s="69">
        <v>1339</v>
      </c>
      <c r="I250" s="70">
        <v>1.0433159073935774</v>
      </c>
      <c r="J250" s="70">
        <v>79.626527588227376</v>
      </c>
      <c r="K250" s="69">
        <v>4</v>
      </c>
      <c r="L250" s="69">
        <v>6</v>
      </c>
      <c r="M250" s="70">
        <v>0.66666666666666663</v>
      </c>
      <c r="N250" s="70">
        <v>33.333333333333336</v>
      </c>
      <c r="O250" s="27">
        <f t="shared" si="6"/>
        <v>66.600821001967489</v>
      </c>
      <c r="P250" s="71">
        <f t="shared" si="7"/>
        <v>65.367335327397114</v>
      </c>
    </row>
    <row r="251" spans="1:16" ht="18" x14ac:dyDescent="0.25">
      <c r="A251" s="55" t="s">
        <v>250</v>
      </c>
      <c r="B251" s="56">
        <v>4113007</v>
      </c>
      <c r="C251" s="69">
        <v>146</v>
      </c>
      <c r="D251" s="69">
        <v>394</v>
      </c>
      <c r="E251" s="70">
        <v>0.37055837563451777</v>
      </c>
      <c r="F251" s="70">
        <v>43.051028586695168</v>
      </c>
      <c r="G251" s="69">
        <v>966</v>
      </c>
      <c r="H251" s="69">
        <v>875</v>
      </c>
      <c r="I251" s="70">
        <v>1.1040000000000001</v>
      </c>
      <c r="J251" s="70">
        <v>75.498395460109037</v>
      </c>
      <c r="K251" s="69">
        <v>1</v>
      </c>
      <c r="L251" s="69">
        <v>2</v>
      </c>
      <c r="M251" s="70">
        <v>0.5</v>
      </c>
      <c r="N251" s="70">
        <v>50</v>
      </c>
      <c r="O251" s="27">
        <f t="shared" si="6"/>
        <v>52.900113158374843</v>
      </c>
      <c r="P251" s="71">
        <f t="shared" si="7"/>
        <v>42.282543568688062</v>
      </c>
    </row>
    <row r="252" spans="1:16" ht="18" x14ac:dyDescent="0.25">
      <c r="A252" s="55" t="s">
        <v>245</v>
      </c>
      <c r="B252" s="56">
        <v>4121604</v>
      </c>
      <c r="C252" s="69">
        <v>142</v>
      </c>
      <c r="D252" s="69">
        <v>449</v>
      </c>
      <c r="E252" s="70">
        <v>0.31625835189309576</v>
      </c>
      <c r="F252" s="70">
        <v>51.396084866955817</v>
      </c>
      <c r="G252" s="69">
        <v>870</v>
      </c>
      <c r="H252" s="69">
        <v>903</v>
      </c>
      <c r="I252" s="70">
        <v>0.96345514950166111</v>
      </c>
      <c r="J252" s="70">
        <v>85.059182939402703</v>
      </c>
      <c r="K252" s="69">
        <v>0</v>
      </c>
      <c r="L252" s="69">
        <v>1</v>
      </c>
      <c r="M252" s="70">
        <v>0</v>
      </c>
      <c r="N252" s="70">
        <v>100</v>
      </c>
      <c r="O252" s="27">
        <f t="shared" si="6"/>
        <v>71.962838168328588</v>
      </c>
      <c r="P252" s="71">
        <f t="shared" si="7"/>
        <v>74.401981646781067</v>
      </c>
    </row>
    <row r="253" spans="1:16" ht="18" x14ac:dyDescent="0.25">
      <c r="A253" s="55" t="s">
        <v>271</v>
      </c>
      <c r="B253" s="56">
        <v>4126272</v>
      </c>
      <c r="C253" s="69">
        <v>125</v>
      </c>
      <c r="D253" s="69">
        <v>445</v>
      </c>
      <c r="E253" s="70">
        <v>0.2808988764044944</v>
      </c>
      <c r="F253" s="70">
        <v>56.830277942046123</v>
      </c>
      <c r="G253" s="69">
        <v>1061</v>
      </c>
      <c r="H253" s="69">
        <v>957</v>
      </c>
      <c r="I253" s="70">
        <v>1.1086729362591432</v>
      </c>
      <c r="J253" s="70">
        <v>75.180511522564984</v>
      </c>
      <c r="K253" s="69">
        <v>1</v>
      </c>
      <c r="L253" s="69">
        <v>2</v>
      </c>
      <c r="M253" s="70">
        <v>0.5</v>
      </c>
      <c r="N253" s="70">
        <v>50</v>
      </c>
      <c r="O253" s="27">
        <f t="shared" si="6"/>
        <v>59.710266851664308</v>
      </c>
      <c r="P253" s="71">
        <f t="shared" si="7"/>
        <v>53.757204706573205</v>
      </c>
    </row>
    <row r="254" spans="1:16" ht="18" x14ac:dyDescent="0.25">
      <c r="A254" s="55" t="s">
        <v>249</v>
      </c>
      <c r="B254" s="56">
        <v>4126207</v>
      </c>
      <c r="C254" s="69">
        <v>118</v>
      </c>
      <c r="D254" s="69">
        <v>412</v>
      </c>
      <c r="E254" s="70">
        <v>0.28640776699029125</v>
      </c>
      <c r="F254" s="70">
        <v>55.983648441492086</v>
      </c>
      <c r="G254" s="69">
        <v>1000</v>
      </c>
      <c r="H254" s="69">
        <v>835</v>
      </c>
      <c r="I254" s="70">
        <v>1.1976047904191616</v>
      </c>
      <c r="J254" s="70">
        <v>69.130780388705176</v>
      </c>
      <c r="K254" s="69">
        <v>1</v>
      </c>
      <c r="L254" s="69">
        <v>2</v>
      </c>
      <c r="M254" s="70">
        <v>0.5</v>
      </c>
      <c r="N254" s="70">
        <v>50</v>
      </c>
      <c r="O254" s="27">
        <f t="shared" si="6"/>
        <v>57.774519317922341</v>
      </c>
      <c r="P254" s="71">
        <f t="shared" si="7"/>
        <v>50.495597406862316</v>
      </c>
    </row>
    <row r="255" spans="1:16" ht="18" x14ac:dyDescent="0.25">
      <c r="A255" s="55" t="s">
        <v>289</v>
      </c>
      <c r="B255" s="56">
        <v>4113254</v>
      </c>
      <c r="C255" s="69">
        <v>90</v>
      </c>
      <c r="D255" s="69">
        <v>437</v>
      </c>
      <c r="E255" s="70">
        <v>0.20594965675057209</v>
      </c>
      <c r="F255" s="70">
        <v>68.348789594122607</v>
      </c>
      <c r="G255" s="69">
        <v>942</v>
      </c>
      <c r="H255" s="69">
        <v>846</v>
      </c>
      <c r="I255" s="70">
        <v>1.1134751773049645</v>
      </c>
      <c r="J255" s="70">
        <v>74.85383142079931</v>
      </c>
      <c r="K255" s="69">
        <v>1</v>
      </c>
      <c r="L255" s="69">
        <v>3</v>
      </c>
      <c r="M255" s="70">
        <v>0.33333333333333331</v>
      </c>
      <c r="N255" s="70">
        <v>66.666666666666671</v>
      </c>
      <c r="O255" s="27">
        <f t="shared" si="6"/>
        <v>69.554519318927802</v>
      </c>
      <c r="P255" s="71">
        <f t="shared" si="7"/>
        <v>70.344122756447092</v>
      </c>
    </row>
    <row r="256" spans="1:16" ht="18" x14ac:dyDescent="0.25">
      <c r="A256" s="55" t="s">
        <v>221</v>
      </c>
      <c r="B256" s="56">
        <v>4127809</v>
      </c>
      <c r="C256" s="69">
        <v>128</v>
      </c>
      <c r="D256" s="69">
        <v>469</v>
      </c>
      <c r="E256" s="70">
        <v>0.27292110874200426</v>
      </c>
      <c r="F256" s="70">
        <v>58.0563348670183</v>
      </c>
      <c r="G256" s="69">
        <v>1105</v>
      </c>
      <c r="H256" s="69">
        <v>1011</v>
      </c>
      <c r="I256" s="70">
        <v>1.0929772502472799</v>
      </c>
      <c r="J256" s="70">
        <v>76.24823558195996</v>
      </c>
      <c r="K256" s="69">
        <v>2</v>
      </c>
      <c r="L256" s="69">
        <v>4</v>
      </c>
      <c r="M256" s="70">
        <v>0.5</v>
      </c>
      <c r="N256" s="70">
        <v>50</v>
      </c>
      <c r="O256" s="27">
        <f t="shared" si="6"/>
        <v>60.590226328999137</v>
      </c>
      <c r="P256" s="71">
        <f t="shared" si="7"/>
        <v>55.239878559798747</v>
      </c>
    </row>
    <row r="257" spans="1:16" ht="18" x14ac:dyDescent="0.25">
      <c r="A257" s="55" t="s">
        <v>241</v>
      </c>
      <c r="B257" s="56">
        <v>4117008</v>
      </c>
      <c r="C257" s="69">
        <v>183</v>
      </c>
      <c r="D257" s="69">
        <v>360</v>
      </c>
      <c r="E257" s="70">
        <v>0.5083333333333333</v>
      </c>
      <c r="F257" s="70">
        <v>21.877192982456151</v>
      </c>
      <c r="G257" s="69">
        <v>892</v>
      </c>
      <c r="H257" s="69">
        <v>926</v>
      </c>
      <c r="I257" s="70">
        <v>0.96328293736501081</v>
      </c>
      <c r="J257" s="70">
        <v>85.070897944499137</v>
      </c>
      <c r="K257" s="69">
        <v>2</v>
      </c>
      <c r="L257" s="69">
        <v>4</v>
      </c>
      <c r="M257" s="70">
        <v>0.5</v>
      </c>
      <c r="N257" s="70">
        <v>50</v>
      </c>
      <c r="O257" s="27">
        <f t="shared" si="6"/>
        <v>44.70632097735286</v>
      </c>
      <c r="P257" s="71">
        <f t="shared" si="7"/>
        <v>28.476542566959463</v>
      </c>
    </row>
    <row r="258" spans="1:16" ht="18" x14ac:dyDescent="0.25">
      <c r="A258" s="55" t="s">
        <v>219</v>
      </c>
      <c r="B258" s="56">
        <v>4114906</v>
      </c>
      <c r="C258" s="69">
        <v>115</v>
      </c>
      <c r="D258" s="69">
        <v>536</v>
      </c>
      <c r="E258" s="70">
        <v>0.21455223880597016</v>
      </c>
      <c r="F258" s="70">
        <v>67.026708562450892</v>
      </c>
      <c r="G258" s="69">
        <v>1241</v>
      </c>
      <c r="H258" s="69">
        <v>1164</v>
      </c>
      <c r="I258" s="70">
        <v>1.0661512027491409</v>
      </c>
      <c r="J258" s="70">
        <v>78.073120222910745</v>
      </c>
      <c r="K258" s="69">
        <v>1</v>
      </c>
      <c r="L258" s="69">
        <v>3</v>
      </c>
      <c r="M258" s="70">
        <v>0.33333333333333331</v>
      </c>
      <c r="N258" s="70">
        <v>66.666666666666671</v>
      </c>
      <c r="O258" s="27">
        <f t="shared" si="6"/>
        <v>69.698301003619804</v>
      </c>
      <c r="P258" s="71">
        <f t="shared" si="7"/>
        <v>70.586385440077962</v>
      </c>
    </row>
    <row r="259" spans="1:16" ht="18" x14ac:dyDescent="0.25">
      <c r="A259" s="55" t="s">
        <v>246</v>
      </c>
      <c r="B259" s="56">
        <v>4111555</v>
      </c>
      <c r="C259" s="69">
        <v>147</v>
      </c>
      <c r="D259" s="69">
        <v>375</v>
      </c>
      <c r="E259" s="70">
        <v>0.39200000000000002</v>
      </c>
      <c r="F259" s="70">
        <v>39.75578947368421</v>
      </c>
      <c r="G259" s="69">
        <v>951</v>
      </c>
      <c r="H259" s="69">
        <v>900</v>
      </c>
      <c r="I259" s="70">
        <v>1.0566666666666666</v>
      </c>
      <c r="J259" s="70">
        <v>78.718320907978196</v>
      </c>
      <c r="K259" s="69">
        <v>1</v>
      </c>
      <c r="L259" s="69">
        <v>3</v>
      </c>
      <c r="M259" s="70">
        <v>0.33333333333333331</v>
      </c>
      <c r="N259" s="70">
        <v>66.666666666666671</v>
      </c>
      <c r="O259" s="27">
        <f t="shared" ref="O259:O322" si="8">(2*F259+J259+N259)/4</f>
        <v>56.224141630503325</v>
      </c>
      <c r="P259" s="71">
        <f t="shared" ref="P259:P322" si="9">(O259-O$402)/(O$403-O$402)*100</f>
        <v>47.883312956307108</v>
      </c>
    </row>
    <row r="260" spans="1:16" ht="18" x14ac:dyDescent="0.25">
      <c r="A260" s="55" t="s">
        <v>270</v>
      </c>
      <c r="B260" s="56">
        <v>4111100</v>
      </c>
      <c r="C260" s="69">
        <v>186</v>
      </c>
      <c r="D260" s="69">
        <v>332</v>
      </c>
      <c r="E260" s="70">
        <v>0.56024096385542166</v>
      </c>
      <c r="F260" s="70">
        <v>13.899809765377311</v>
      </c>
      <c r="G260" s="69">
        <v>795</v>
      </c>
      <c r="H260" s="69">
        <v>696</v>
      </c>
      <c r="I260" s="70">
        <v>1.1422413793103448</v>
      </c>
      <c r="J260" s="70">
        <v>72.896964676947164</v>
      </c>
      <c r="K260" s="69">
        <v>0</v>
      </c>
      <c r="L260" s="69">
        <v>2</v>
      </c>
      <c r="M260" s="70">
        <v>0</v>
      </c>
      <c r="N260" s="70">
        <v>100</v>
      </c>
      <c r="O260" s="27">
        <f t="shared" si="8"/>
        <v>50.174146051925447</v>
      </c>
      <c r="P260" s="71">
        <f t="shared" si="9"/>
        <v>37.689468253757937</v>
      </c>
    </row>
    <row r="261" spans="1:16" ht="18" x14ac:dyDescent="0.25">
      <c r="A261" s="55" t="s">
        <v>284</v>
      </c>
      <c r="B261" s="56">
        <v>4128633</v>
      </c>
      <c r="C261" s="69">
        <v>47</v>
      </c>
      <c r="D261" s="69">
        <v>409</v>
      </c>
      <c r="E261" s="70">
        <v>0.11491442542787286</v>
      </c>
      <c r="F261" s="70">
        <v>82.339467250032172</v>
      </c>
      <c r="G261" s="69">
        <v>913</v>
      </c>
      <c r="H261" s="69">
        <v>784</v>
      </c>
      <c r="I261" s="70">
        <v>1.1645408163265305</v>
      </c>
      <c r="J261" s="70">
        <v>71.380009929308329</v>
      </c>
      <c r="K261" s="69">
        <v>0</v>
      </c>
      <c r="L261" s="69">
        <v>1</v>
      </c>
      <c r="M261" s="70">
        <v>0</v>
      </c>
      <c r="N261" s="70">
        <v>100</v>
      </c>
      <c r="O261" s="27">
        <f t="shared" si="8"/>
        <v>84.014736107343168</v>
      </c>
      <c r="P261" s="71">
        <f t="shared" si="9"/>
        <v>94.708637141918743</v>
      </c>
    </row>
    <row r="262" spans="1:16" ht="18" x14ac:dyDescent="0.25">
      <c r="A262" s="55" t="s">
        <v>302</v>
      </c>
      <c r="B262" s="56">
        <v>4121109</v>
      </c>
      <c r="C262" s="69">
        <v>120</v>
      </c>
      <c r="D262" s="69">
        <v>320</v>
      </c>
      <c r="E262" s="70">
        <v>0.375</v>
      </c>
      <c r="F262" s="70">
        <v>42.368421052631582</v>
      </c>
      <c r="G262" s="69">
        <v>713</v>
      </c>
      <c r="H262" s="69">
        <v>640</v>
      </c>
      <c r="I262" s="70">
        <v>1.1140625</v>
      </c>
      <c r="J262" s="70">
        <v>74.813877858295314</v>
      </c>
      <c r="K262" s="69">
        <v>0</v>
      </c>
      <c r="L262" s="69">
        <v>1</v>
      </c>
      <c r="M262" s="70">
        <v>0</v>
      </c>
      <c r="N262" s="70">
        <v>100</v>
      </c>
      <c r="O262" s="27">
        <f t="shared" si="8"/>
        <v>64.887679990889623</v>
      </c>
      <c r="P262" s="71">
        <f t="shared" si="9"/>
        <v>62.480805379783369</v>
      </c>
    </row>
    <row r="263" spans="1:16" ht="18" x14ac:dyDescent="0.25">
      <c r="A263" s="55" t="s">
        <v>195</v>
      </c>
      <c r="B263" s="56">
        <v>4128401</v>
      </c>
      <c r="C263" s="69">
        <v>142</v>
      </c>
      <c r="D263" s="69">
        <v>493</v>
      </c>
      <c r="E263" s="70">
        <v>0.28803245436105479</v>
      </c>
      <c r="F263" s="70">
        <v>55.733959645564212</v>
      </c>
      <c r="G263" s="69">
        <v>1298</v>
      </c>
      <c r="H263" s="69">
        <v>1212</v>
      </c>
      <c r="I263" s="70">
        <v>1.0709570957095709</v>
      </c>
      <c r="J263" s="70">
        <v>77.746191693832785</v>
      </c>
      <c r="K263" s="69">
        <v>3</v>
      </c>
      <c r="L263" s="69">
        <v>8</v>
      </c>
      <c r="M263" s="70">
        <v>0.375</v>
      </c>
      <c r="N263" s="70">
        <v>62.5</v>
      </c>
      <c r="O263" s="27">
        <f t="shared" si="8"/>
        <v>62.928527746240306</v>
      </c>
      <c r="P263" s="71">
        <f t="shared" si="9"/>
        <v>59.179762681286007</v>
      </c>
    </row>
    <row r="264" spans="1:16" ht="18" x14ac:dyDescent="0.25">
      <c r="A264" s="55" t="s">
        <v>330</v>
      </c>
      <c r="B264" s="56">
        <v>4121257</v>
      </c>
      <c r="C264" s="69">
        <v>136</v>
      </c>
      <c r="D264" s="69">
        <v>332</v>
      </c>
      <c r="E264" s="70">
        <v>0.40963855421686746</v>
      </c>
      <c r="F264" s="70">
        <v>37.045022194039326</v>
      </c>
      <c r="G264" s="69">
        <v>681</v>
      </c>
      <c r="H264" s="69">
        <v>590</v>
      </c>
      <c r="I264" s="70">
        <v>1.1542372881355931</v>
      </c>
      <c r="J264" s="70">
        <v>72.080923858002052</v>
      </c>
      <c r="K264" s="69">
        <v>0</v>
      </c>
      <c r="L264" s="69">
        <v>1</v>
      </c>
      <c r="M264" s="70">
        <v>0</v>
      </c>
      <c r="N264" s="70">
        <v>100</v>
      </c>
      <c r="O264" s="27">
        <f t="shared" si="8"/>
        <v>61.542742061520173</v>
      </c>
      <c r="P264" s="71">
        <f t="shared" si="9"/>
        <v>56.84480493171796</v>
      </c>
    </row>
    <row r="265" spans="1:16" ht="18" x14ac:dyDescent="0.25">
      <c r="A265" s="55" t="s">
        <v>256</v>
      </c>
      <c r="B265" s="56">
        <v>4119202</v>
      </c>
      <c r="C265" s="69">
        <v>166</v>
      </c>
      <c r="D265" s="69">
        <v>384</v>
      </c>
      <c r="E265" s="70">
        <v>0.43229166666666669</v>
      </c>
      <c r="F265" s="70">
        <v>33.563596491228068</v>
      </c>
      <c r="G265" s="69">
        <v>902</v>
      </c>
      <c r="H265" s="69">
        <v>821</v>
      </c>
      <c r="I265" s="70">
        <v>1.0986601705237515</v>
      </c>
      <c r="J265" s="70">
        <v>75.861645871753865</v>
      </c>
      <c r="K265" s="69">
        <v>0</v>
      </c>
      <c r="L265" s="69">
        <v>3</v>
      </c>
      <c r="M265" s="70">
        <v>0</v>
      </c>
      <c r="N265" s="70">
        <v>100</v>
      </c>
      <c r="O265" s="27">
        <f t="shared" si="8"/>
        <v>60.7472097135525</v>
      </c>
      <c r="P265" s="71">
        <f t="shared" si="9"/>
        <v>55.504385239553002</v>
      </c>
    </row>
    <row r="266" spans="1:16" ht="18" x14ac:dyDescent="0.25">
      <c r="A266" s="55" t="s">
        <v>325</v>
      </c>
      <c r="B266" s="56">
        <v>4120853</v>
      </c>
      <c r="C266" s="69">
        <v>176</v>
      </c>
      <c r="D266" s="69">
        <v>290</v>
      </c>
      <c r="E266" s="70">
        <v>0.60689655172413792</v>
      </c>
      <c r="F266" s="70">
        <v>6.7295825771324935</v>
      </c>
      <c r="G266" s="69">
        <v>651</v>
      </c>
      <c r="H266" s="69">
        <v>522</v>
      </c>
      <c r="I266" s="70">
        <v>1.2471264367816093</v>
      </c>
      <c r="J266" s="70">
        <v>65.761991458927255</v>
      </c>
      <c r="K266" s="69">
        <v>0</v>
      </c>
      <c r="L266" s="69">
        <v>2</v>
      </c>
      <c r="M266" s="70">
        <v>0</v>
      </c>
      <c r="N266" s="70">
        <v>100</v>
      </c>
      <c r="O266" s="27">
        <f t="shared" si="8"/>
        <v>44.805289153298062</v>
      </c>
      <c r="P266" s="71">
        <f t="shared" si="9"/>
        <v>28.643297435285682</v>
      </c>
    </row>
    <row r="267" spans="1:16" ht="18" x14ac:dyDescent="0.25">
      <c r="A267" s="55" t="s">
        <v>305</v>
      </c>
      <c r="B267" s="56">
        <v>4108452</v>
      </c>
      <c r="C267" s="69">
        <v>104</v>
      </c>
      <c r="D267" s="69">
        <v>352</v>
      </c>
      <c r="E267" s="70">
        <v>0.29545454545454547</v>
      </c>
      <c r="F267" s="70">
        <v>54.593301435406701</v>
      </c>
      <c r="G267" s="69">
        <v>727</v>
      </c>
      <c r="H267" s="69">
        <v>726</v>
      </c>
      <c r="I267" s="70">
        <v>1.0013774104683195</v>
      </c>
      <c r="J267" s="70">
        <v>82.479460690234845</v>
      </c>
      <c r="K267" s="69">
        <v>1</v>
      </c>
      <c r="L267" s="69">
        <v>3</v>
      </c>
      <c r="M267" s="70">
        <v>0.33333333333333331</v>
      </c>
      <c r="N267" s="70">
        <v>66.666666666666671</v>
      </c>
      <c r="O267" s="27">
        <f t="shared" si="8"/>
        <v>64.583182556928733</v>
      </c>
      <c r="P267" s="71">
        <f t="shared" si="9"/>
        <v>61.967747227292669</v>
      </c>
    </row>
    <row r="268" spans="1:16" ht="18" x14ac:dyDescent="0.25">
      <c r="A268" s="55" t="s">
        <v>265</v>
      </c>
      <c r="B268" s="56">
        <v>4107736</v>
      </c>
      <c r="C268" s="69">
        <v>94</v>
      </c>
      <c r="D268" s="69">
        <v>394</v>
      </c>
      <c r="E268" s="70">
        <v>0.23857868020304568</v>
      </c>
      <c r="F268" s="70">
        <v>63.33422388458456</v>
      </c>
      <c r="G268" s="69">
        <v>915</v>
      </c>
      <c r="H268" s="69">
        <v>940</v>
      </c>
      <c r="I268" s="70">
        <v>0.97340425531914898</v>
      </c>
      <c r="J268" s="70">
        <v>84.382379157601179</v>
      </c>
      <c r="K268" s="69">
        <v>1</v>
      </c>
      <c r="L268" s="69">
        <v>2</v>
      </c>
      <c r="M268" s="70">
        <v>0.5</v>
      </c>
      <c r="N268" s="70">
        <v>50</v>
      </c>
      <c r="O268" s="27">
        <f t="shared" si="8"/>
        <v>65.262706731692575</v>
      </c>
      <c r="P268" s="71">
        <f t="shared" si="9"/>
        <v>63.112700776299846</v>
      </c>
    </row>
    <row r="269" spans="1:16" ht="18" x14ac:dyDescent="0.25">
      <c r="A269" s="55" t="s">
        <v>230</v>
      </c>
      <c r="B269" s="56">
        <v>4107751</v>
      </c>
      <c r="C269" s="69">
        <v>127</v>
      </c>
      <c r="D269" s="69">
        <v>433</v>
      </c>
      <c r="E269" s="70">
        <v>0.29330254041570436</v>
      </c>
      <c r="F269" s="70">
        <v>54.92403063084965</v>
      </c>
      <c r="G269" s="69">
        <v>1074</v>
      </c>
      <c r="H269" s="69">
        <v>991</v>
      </c>
      <c r="I269" s="70">
        <v>1.0837537840565086</v>
      </c>
      <c r="J269" s="70">
        <v>76.875676571506972</v>
      </c>
      <c r="K269" s="69">
        <v>0</v>
      </c>
      <c r="L269" s="69">
        <v>1</v>
      </c>
      <c r="M269" s="70">
        <v>0</v>
      </c>
      <c r="N269" s="70">
        <v>100</v>
      </c>
      <c r="O269" s="27">
        <f t="shared" si="8"/>
        <v>71.680934458301564</v>
      </c>
      <c r="P269" s="71">
        <f t="shared" si="9"/>
        <v>73.926992433356972</v>
      </c>
    </row>
    <row r="270" spans="1:16" ht="18" x14ac:dyDescent="0.25">
      <c r="A270" s="55" t="s">
        <v>263</v>
      </c>
      <c r="B270" s="56">
        <v>4107306</v>
      </c>
      <c r="C270" s="69">
        <v>146</v>
      </c>
      <c r="D270" s="69">
        <v>353</v>
      </c>
      <c r="E270" s="70">
        <v>0.41359773371104813</v>
      </c>
      <c r="F270" s="70">
        <v>36.436558819144189</v>
      </c>
      <c r="G270" s="69">
        <v>699</v>
      </c>
      <c r="H270" s="69">
        <v>689</v>
      </c>
      <c r="I270" s="70">
        <v>1.0145137880986939</v>
      </c>
      <c r="J270" s="70">
        <v>81.585837662949032</v>
      </c>
      <c r="K270" s="69">
        <v>1</v>
      </c>
      <c r="L270" s="69">
        <v>4</v>
      </c>
      <c r="M270" s="70">
        <v>0.25</v>
      </c>
      <c r="N270" s="70">
        <v>75</v>
      </c>
      <c r="O270" s="27">
        <f t="shared" si="8"/>
        <v>57.364738825309352</v>
      </c>
      <c r="P270" s="71">
        <f t="shared" si="9"/>
        <v>49.805144223950606</v>
      </c>
    </row>
    <row r="271" spans="1:16" ht="18" x14ac:dyDescent="0.25">
      <c r="A271" s="55" t="s">
        <v>279</v>
      </c>
      <c r="B271" s="56">
        <v>4128807</v>
      </c>
      <c r="C271" s="69">
        <v>157</v>
      </c>
      <c r="D271" s="69">
        <v>360</v>
      </c>
      <c r="E271" s="70">
        <v>0.43611111111111112</v>
      </c>
      <c r="F271" s="70">
        <v>32.976608187134509</v>
      </c>
      <c r="G271" s="69">
        <v>814</v>
      </c>
      <c r="H271" s="69">
        <v>724</v>
      </c>
      <c r="I271" s="70">
        <v>1.1243093922651934</v>
      </c>
      <c r="J271" s="70">
        <v>74.116816678726238</v>
      </c>
      <c r="K271" s="69">
        <v>0</v>
      </c>
      <c r="L271" s="69">
        <v>3</v>
      </c>
      <c r="M271" s="70">
        <v>0</v>
      </c>
      <c r="N271" s="70">
        <v>100</v>
      </c>
      <c r="O271" s="27">
        <f t="shared" si="8"/>
        <v>60.017508263248814</v>
      </c>
      <c r="P271" s="71">
        <f t="shared" si="9"/>
        <v>54.274886280915879</v>
      </c>
    </row>
    <row r="272" spans="1:16" ht="18" x14ac:dyDescent="0.25">
      <c r="A272" s="55" t="s">
        <v>298</v>
      </c>
      <c r="B272" s="56">
        <v>4113452</v>
      </c>
      <c r="C272" s="69">
        <v>123</v>
      </c>
      <c r="D272" s="69">
        <v>360</v>
      </c>
      <c r="E272" s="70">
        <v>0.34166666666666667</v>
      </c>
      <c r="F272" s="70">
        <v>47.491228070175438</v>
      </c>
      <c r="G272" s="69">
        <v>848</v>
      </c>
      <c r="H272" s="69">
        <v>700</v>
      </c>
      <c r="I272" s="70">
        <v>1.2114285714285715</v>
      </c>
      <c r="J272" s="70">
        <v>68.190395650860751</v>
      </c>
      <c r="K272" s="69">
        <v>1</v>
      </c>
      <c r="L272" s="69">
        <v>2</v>
      </c>
      <c r="M272" s="70">
        <v>0.5</v>
      </c>
      <c r="N272" s="70">
        <v>50</v>
      </c>
      <c r="O272" s="27">
        <f t="shared" si="8"/>
        <v>53.293212947802907</v>
      </c>
      <c r="P272" s="71">
        <f t="shared" si="9"/>
        <v>42.944890863655246</v>
      </c>
    </row>
    <row r="273" spans="1:16" ht="18" x14ac:dyDescent="0.25">
      <c r="A273" s="55" t="s">
        <v>251</v>
      </c>
      <c r="B273" s="56">
        <v>4113734</v>
      </c>
      <c r="C273" s="69">
        <v>101</v>
      </c>
      <c r="D273" s="69">
        <v>445</v>
      </c>
      <c r="E273" s="70">
        <v>0.22696629213483147</v>
      </c>
      <c r="F273" s="70">
        <v>65.118864577173269</v>
      </c>
      <c r="G273" s="69">
        <v>1026</v>
      </c>
      <c r="H273" s="69">
        <v>981</v>
      </c>
      <c r="I273" s="70">
        <v>1.0458715596330275</v>
      </c>
      <c r="J273" s="70">
        <v>79.452675271008175</v>
      </c>
      <c r="K273" s="69">
        <v>0</v>
      </c>
      <c r="L273" s="69">
        <v>2</v>
      </c>
      <c r="M273" s="70">
        <v>0</v>
      </c>
      <c r="N273" s="70">
        <v>100</v>
      </c>
      <c r="O273" s="27">
        <f t="shared" si="8"/>
        <v>77.422601106338675</v>
      </c>
      <c r="P273" s="71">
        <f t="shared" si="9"/>
        <v>83.601323163637346</v>
      </c>
    </row>
    <row r="274" spans="1:16" ht="18" x14ac:dyDescent="0.25">
      <c r="A274" s="55" t="s">
        <v>323</v>
      </c>
      <c r="B274" s="56">
        <v>4107702</v>
      </c>
      <c r="C274" s="69">
        <v>154</v>
      </c>
      <c r="D274" s="69">
        <v>281</v>
      </c>
      <c r="E274" s="70">
        <v>0.54804270462633453</v>
      </c>
      <c r="F274" s="70">
        <v>15.774489604794908</v>
      </c>
      <c r="G274" s="69">
        <v>557</v>
      </c>
      <c r="H274" s="69">
        <v>506</v>
      </c>
      <c r="I274" s="70">
        <v>1.1007905138339922</v>
      </c>
      <c r="J274" s="70">
        <v>75.716725872373388</v>
      </c>
      <c r="K274" s="69">
        <v>1</v>
      </c>
      <c r="L274" s="69">
        <v>4</v>
      </c>
      <c r="M274" s="70">
        <v>0.25</v>
      </c>
      <c r="N274" s="70">
        <v>75</v>
      </c>
      <c r="O274" s="27">
        <f t="shared" si="8"/>
        <v>45.566426270490801</v>
      </c>
      <c r="P274" s="71">
        <f t="shared" si="9"/>
        <v>29.925763425423241</v>
      </c>
    </row>
    <row r="275" spans="1:16" ht="18" x14ac:dyDescent="0.25">
      <c r="A275" s="55" t="s">
        <v>282</v>
      </c>
      <c r="B275" s="56">
        <v>4120358</v>
      </c>
      <c r="C275" s="69">
        <v>144</v>
      </c>
      <c r="D275" s="69">
        <v>379</v>
      </c>
      <c r="E275" s="70">
        <v>0.37994722955145116</v>
      </c>
      <c r="F275" s="70">
        <v>41.608109984724351</v>
      </c>
      <c r="G275" s="69">
        <v>831</v>
      </c>
      <c r="H275" s="69">
        <v>701</v>
      </c>
      <c r="I275" s="70">
        <v>1.1854493580599144</v>
      </c>
      <c r="J275" s="70">
        <v>69.957673050326136</v>
      </c>
      <c r="K275" s="69">
        <v>1</v>
      </c>
      <c r="L275" s="69">
        <v>3</v>
      </c>
      <c r="M275" s="70">
        <v>0.33333333333333331</v>
      </c>
      <c r="N275" s="70">
        <v>66.666666666666671</v>
      </c>
      <c r="O275" s="27">
        <f t="shared" si="8"/>
        <v>54.960139921610377</v>
      </c>
      <c r="P275" s="71">
        <f t="shared" si="9"/>
        <v>45.753553197500764</v>
      </c>
    </row>
    <row r="276" spans="1:16" ht="18" x14ac:dyDescent="0.25">
      <c r="A276" s="55" t="s">
        <v>317</v>
      </c>
      <c r="B276" s="56">
        <v>4113106</v>
      </c>
      <c r="C276" s="69">
        <v>136</v>
      </c>
      <c r="D276" s="69">
        <v>232</v>
      </c>
      <c r="E276" s="70">
        <v>0.58620689655172409</v>
      </c>
      <c r="F276" s="70">
        <v>9.9092558983666201</v>
      </c>
      <c r="G276" s="69">
        <v>538</v>
      </c>
      <c r="H276" s="69">
        <v>515</v>
      </c>
      <c r="I276" s="70">
        <v>1.0446601941747573</v>
      </c>
      <c r="J276" s="70">
        <v>79.535080337186074</v>
      </c>
      <c r="K276" s="69">
        <v>1</v>
      </c>
      <c r="L276" s="69">
        <v>4</v>
      </c>
      <c r="M276" s="70">
        <v>0.25</v>
      </c>
      <c r="N276" s="70">
        <v>75</v>
      </c>
      <c r="O276" s="27">
        <f t="shared" si="8"/>
        <v>43.588398033479827</v>
      </c>
      <c r="P276" s="71">
        <f t="shared" si="9"/>
        <v>26.592915921080646</v>
      </c>
    </row>
    <row r="277" spans="1:16" ht="18" x14ac:dyDescent="0.25">
      <c r="A277" s="55" t="s">
        <v>309</v>
      </c>
      <c r="B277" s="56">
        <v>4113809</v>
      </c>
      <c r="C277" s="69">
        <v>141</v>
      </c>
      <c r="D277" s="69">
        <v>273</v>
      </c>
      <c r="E277" s="70">
        <v>0.51648351648351654</v>
      </c>
      <c r="F277" s="70">
        <v>20.62463851937536</v>
      </c>
      <c r="G277" s="69">
        <v>662</v>
      </c>
      <c r="H277" s="69">
        <v>605</v>
      </c>
      <c r="I277" s="70">
        <v>1.0942148760330579</v>
      </c>
      <c r="J277" s="70">
        <v>76.164044115145202</v>
      </c>
      <c r="K277" s="69">
        <v>1</v>
      </c>
      <c r="L277" s="69">
        <v>3</v>
      </c>
      <c r="M277" s="70">
        <v>0.33333333333333331</v>
      </c>
      <c r="N277" s="70">
        <v>66.666666666666671</v>
      </c>
      <c r="O277" s="27">
        <f t="shared" si="8"/>
        <v>46.019996955140648</v>
      </c>
      <c r="P277" s="71">
        <f t="shared" si="9"/>
        <v>30.6900002022766</v>
      </c>
    </row>
    <row r="278" spans="1:16" ht="18" x14ac:dyDescent="0.25">
      <c r="A278" s="55" t="s">
        <v>285</v>
      </c>
      <c r="B278" s="56">
        <v>4118600</v>
      </c>
      <c r="C278" s="69">
        <v>122</v>
      </c>
      <c r="D278" s="69">
        <v>322</v>
      </c>
      <c r="E278" s="70">
        <v>0.37888198757763975</v>
      </c>
      <c r="F278" s="70">
        <v>41.771820856489057</v>
      </c>
      <c r="G278" s="69">
        <v>778</v>
      </c>
      <c r="H278" s="69">
        <v>729</v>
      </c>
      <c r="I278" s="70">
        <v>1.0672153635116599</v>
      </c>
      <c r="J278" s="70">
        <v>78.000728990801065</v>
      </c>
      <c r="K278" s="69">
        <v>0</v>
      </c>
      <c r="L278" s="69">
        <v>2</v>
      </c>
      <c r="M278" s="70">
        <v>0</v>
      </c>
      <c r="N278" s="70">
        <v>100</v>
      </c>
      <c r="O278" s="27">
        <f t="shared" si="8"/>
        <v>65.386092675944795</v>
      </c>
      <c r="P278" s="71">
        <f t="shared" si="9"/>
        <v>63.320597978512382</v>
      </c>
    </row>
    <row r="279" spans="1:16" ht="18" x14ac:dyDescent="0.25">
      <c r="A279" s="55" t="s">
        <v>308</v>
      </c>
      <c r="B279" s="56">
        <v>4103354</v>
      </c>
      <c r="C279" s="69">
        <v>147</v>
      </c>
      <c r="D279" s="69">
        <v>283</v>
      </c>
      <c r="E279" s="70">
        <v>0.51943462897526504</v>
      </c>
      <c r="F279" s="70">
        <v>20.17109912590664</v>
      </c>
      <c r="G279" s="69">
        <v>700</v>
      </c>
      <c r="H279" s="69">
        <v>580</v>
      </c>
      <c r="I279" s="70">
        <v>1.2068965517241379</v>
      </c>
      <c r="J279" s="70">
        <v>68.498693515154073</v>
      </c>
      <c r="K279" s="69">
        <v>0</v>
      </c>
      <c r="L279" s="69">
        <v>3</v>
      </c>
      <c r="M279" s="70">
        <v>0</v>
      </c>
      <c r="N279" s="70">
        <v>100</v>
      </c>
      <c r="O279" s="27">
        <f t="shared" si="8"/>
        <v>52.21022294174184</v>
      </c>
      <c r="P279" s="71">
        <f t="shared" si="9"/>
        <v>41.120123920801646</v>
      </c>
    </row>
    <row r="280" spans="1:16" ht="18" x14ac:dyDescent="0.25">
      <c r="A280" s="55" t="s">
        <v>293</v>
      </c>
      <c r="B280" s="56">
        <v>4122651</v>
      </c>
      <c r="C280" s="69">
        <v>124</v>
      </c>
      <c r="D280" s="69">
        <v>293</v>
      </c>
      <c r="E280" s="70">
        <v>0.42320819112627989</v>
      </c>
      <c r="F280" s="70">
        <v>34.959583258487513</v>
      </c>
      <c r="G280" s="69">
        <v>810</v>
      </c>
      <c r="H280" s="69">
        <v>699</v>
      </c>
      <c r="I280" s="70">
        <v>1.1587982832618027</v>
      </c>
      <c r="J280" s="70">
        <v>71.770654894456513</v>
      </c>
      <c r="K280" s="69">
        <v>0</v>
      </c>
      <c r="L280" s="69">
        <v>1</v>
      </c>
      <c r="M280" s="70">
        <v>0</v>
      </c>
      <c r="N280" s="70">
        <v>100</v>
      </c>
      <c r="O280" s="27">
        <f t="shared" si="8"/>
        <v>60.422455352857881</v>
      </c>
      <c r="P280" s="71">
        <f t="shared" si="9"/>
        <v>54.957195497610286</v>
      </c>
    </row>
    <row r="281" spans="1:16" ht="18" x14ac:dyDescent="0.25">
      <c r="A281" s="55" t="s">
        <v>292</v>
      </c>
      <c r="B281" s="56">
        <v>4124004</v>
      </c>
      <c r="C281" s="69">
        <v>123</v>
      </c>
      <c r="D281" s="69">
        <v>336</v>
      </c>
      <c r="E281" s="70">
        <v>0.36607142857142855</v>
      </c>
      <c r="F281" s="70">
        <v>43.740601503759407</v>
      </c>
      <c r="G281" s="69">
        <v>751</v>
      </c>
      <c r="H281" s="69">
        <v>685</v>
      </c>
      <c r="I281" s="70">
        <v>1.0963503649635036</v>
      </c>
      <c r="J281" s="70">
        <v>76.018774076748329</v>
      </c>
      <c r="K281" s="69">
        <v>1</v>
      </c>
      <c r="L281" s="69">
        <v>2</v>
      </c>
      <c r="M281" s="70">
        <v>0.5</v>
      </c>
      <c r="N281" s="70">
        <v>50</v>
      </c>
      <c r="O281" s="27">
        <f t="shared" si="8"/>
        <v>53.374994271066782</v>
      </c>
      <c r="P281" s="71">
        <f t="shared" si="9"/>
        <v>43.08268701541985</v>
      </c>
    </row>
    <row r="282" spans="1:16" ht="18" x14ac:dyDescent="0.25">
      <c r="A282" s="55" t="s">
        <v>278</v>
      </c>
      <c r="B282" s="56">
        <v>4117206</v>
      </c>
      <c r="C282" s="69">
        <v>144</v>
      </c>
      <c r="D282" s="69">
        <v>325</v>
      </c>
      <c r="E282" s="70">
        <v>0.44307692307692309</v>
      </c>
      <c r="F282" s="70">
        <v>31.90607287449393</v>
      </c>
      <c r="G282" s="69">
        <v>816</v>
      </c>
      <c r="H282" s="69">
        <v>730</v>
      </c>
      <c r="I282" s="70">
        <v>1.1178082191780823</v>
      </c>
      <c r="J282" s="70">
        <v>74.559069340645763</v>
      </c>
      <c r="K282" s="69">
        <v>1</v>
      </c>
      <c r="L282" s="69">
        <v>2</v>
      </c>
      <c r="M282" s="70">
        <v>0.5</v>
      </c>
      <c r="N282" s="70">
        <v>50</v>
      </c>
      <c r="O282" s="27">
        <f t="shared" si="8"/>
        <v>47.092803772408402</v>
      </c>
      <c r="P282" s="71">
        <f t="shared" si="9"/>
        <v>32.49760914165936</v>
      </c>
    </row>
    <row r="283" spans="1:16" ht="18" x14ac:dyDescent="0.25">
      <c r="A283" s="55" t="s">
        <v>332</v>
      </c>
      <c r="B283" s="56">
        <v>4117214</v>
      </c>
      <c r="C283" s="69">
        <v>119</v>
      </c>
      <c r="D283" s="69">
        <v>268</v>
      </c>
      <c r="E283" s="70">
        <v>0.44402985074626866</v>
      </c>
      <c r="F283" s="70">
        <v>31.759622937941874</v>
      </c>
      <c r="G283" s="69">
        <v>575</v>
      </c>
      <c r="H283" s="69">
        <v>539</v>
      </c>
      <c r="I283" s="70">
        <v>1.0667903525046383</v>
      </c>
      <c r="J283" s="70">
        <v>78.029641042008109</v>
      </c>
      <c r="K283" s="69">
        <v>1</v>
      </c>
      <c r="L283" s="69">
        <v>2</v>
      </c>
      <c r="M283" s="70">
        <v>0.5</v>
      </c>
      <c r="N283" s="70">
        <v>50</v>
      </c>
      <c r="O283" s="27">
        <f t="shared" si="8"/>
        <v>47.887221729472962</v>
      </c>
      <c r="P283" s="71">
        <f t="shared" si="9"/>
        <v>33.836151158434866</v>
      </c>
    </row>
    <row r="284" spans="1:16" ht="18" x14ac:dyDescent="0.25">
      <c r="A284" s="55" t="s">
        <v>318</v>
      </c>
      <c r="B284" s="56">
        <v>4107538</v>
      </c>
      <c r="C284" s="69">
        <v>166</v>
      </c>
      <c r="D284" s="69">
        <v>303</v>
      </c>
      <c r="E284" s="70">
        <v>0.54785478547854782</v>
      </c>
      <c r="F284" s="70">
        <v>15.803369810665288</v>
      </c>
      <c r="G284" s="69">
        <v>673</v>
      </c>
      <c r="H284" s="69">
        <v>576</v>
      </c>
      <c r="I284" s="70">
        <v>1.1684027777777777</v>
      </c>
      <c r="J284" s="70">
        <v>71.11729384574015</v>
      </c>
      <c r="K284" s="69">
        <v>0</v>
      </c>
      <c r="L284" s="69">
        <v>1</v>
      </c>
      <c r="M284" s="70">
        <v>0</v>
      </c>
      <c r="N284" s="70">
        <v>100</v>
      </c>
      <c r="O284" s="27">
        <f t="shared" si="8"/>
        <v>50.681008366767685</v>
      </c>
      <c r="P284" s="71">
        <f t="shared" si="9"/>
        <v>38.543497923030998</v>
      </c>
    </row>
    <row r="285" spans="1:16" ht="18" x14ac:dyDescent="0.25">
      <c r="A285" s="55" t="s">
        <v>266</v>
      </c>
      <c r="B285" s="56">
        <v>4119004</v>
      </c>
      <c r="C285" s="69">
        <v>140</v>
      </c>
      <c r="D285" s="69">
        <v>381</v>
      </c>
      <c r="E285" s="70">
        <v>0.36745406824146981</v>
      </c>
      <c r="F285" s="70">
        <v>43.528111617626749</v>
      </c>
      <c r="G285" s="69">
        <v>752</v>
      </c>
      <c r="H285" s="69">
        <v>676</v>
      </c>
      <c r="I285" s="70">
        <v>1.1124260355029585</v>
      </c>
      <c r="J285" s="70">
        <v>74.925200964180348</v>
      </c>
      <c r="K285" s="69">
        <v>1</v>
      </c>
      <c r="L285" s="69">
        <v>3</v>
      </c>
      <c r="M285" s="70">
        <v>0.33333333333333331</v>
      </c>
      <c r="N285" s="70">
        <v>66.666666666666671</v>
      </c>
      <c r="O285" s="27">
        <f t="shared" si="8"/>
        <v>57.162022716525129</v>
      </c>
      <c r="P285" s="71">
        <f t="shared" si="9"/>
        <v>49.46358091124862</v>
      </c>
    </row>
    <row r="286" spans="1:16" ht="18" x14ac:dyDescent="0.25">
      <c r="A286" s="55" t="s">
        <v>264</v>
      </c>
      <c r="B286" s="56">
        <v>4100202</v>
      </c>
      <c r="C286" s="69">
        <v>59</v>
      </c>
      <c r="D286" s="69">
        <v>397</v>
      </c>
      <c r="E286" s="70">
        <v>0.1486146095717884</v>
      </c>
      <c r="F286" s="70">
        <v>77.160281055283036</v>
      </c>
      <c r="G286" s="69">
        <v>904</v>
      </c>
      <c r="H286" s="69">
        <v>913</v>
      </c>
      <c r="I286" s="70">
        <v>0.99014238773274921</v>
      </c>
      <c r="J286" s="70">
        <v>83.243741020100728</v>
      </c>
      <c r="K286" s="69">
        <v>1</v>
      </c>
      <c r="L286" s="69">
        <v>2</v>
      </c>
      <c r="M286" s="70">
        <v>0.5</v>
      </c>
      <c r="N286" s="70">
        <v>50</v>
      </c>
      <c r="O286" s="27">
        <f t="shared" si="8"/>
        <v>71.891075782666704</v>
      </c>
      <c r="P286" s="71">
        <f t="shared" si="9"/>
        <v>74.281066746031073</v>
      </c>
    </row>
    <row r="287" spans="1:16" ht="18" x14ac:dyDescent="0.25">
      <c r="A287" s="55" t="s">
        <v>349</v>
      </c>
      <c r="B287" s="56">
        <v>4120333</v>
      </c>
      <c r="C287" s="69">
        <v>117</v>
      </c>
      <c r="D287" s="69">
        <v>250</v>
      </c>
      <c r="E287" s="70">
        <v>0.46800000000000003</v>
      </c>
      <c r="F287" s="70">
        <v>28.07578947368421</v>
      </c>
      <c r="G287" s="69">
        <v>555</v>
      </c>
      <c r="H287" s="69">
        <v>492</v>
      </c>
      <c r="I287" s="70">
        <v>1.1280487804878048</v>
      </c>
      <c r="J287" s="70">
        <v>73.86243883441395</v>
      </c>
      <c r="K287" s="69">
        <v>1</v>
      </c>
      <c r="L287" s="69">
        <v>3</v>
      </c>
      <c r="M287" s="70">
        <v>0.33333333333333331</v>
      </c>
      <c r="N287" s="70">
        <v>66.666666666666671</v>
      </c>
      <c r="O287" s="27">
        <f t="shared" si="8"/>
        <v>49.170171112112257</v>
      </c>
      <c r="P287" s="71">
        <f t="shared" si="9"/>
        <v>35.997836501505887</v>
      </c>
    </row>
    <row r="288" spans="1:16" ht="18" x14ac:dyDescent="0.25">
      <c r="A288" s="55" t="s">
        <v>235</v>
      </c>
      <c r="B288" s="56">
        <v>4103305</v>
      </c>
      <c r="C288" s="69">
        <v>134</v>
      </c>
      <c r="D288" s="69">
        <v>370</v>
      </c>
      <c r="E288" s="70">
        <v>0.36216216216216218</v>
      </c>
      <c r="F288" s="70">
        <v>44.341394025604551</v>
      </c>
      <c r="G288" s="69">
        <v>952</v>
      </c>
      <c r="H288" s="69">
        <v>921</v>
      </c>
      <c r="I288" s="70">
        <v>1.0336590662323561</v>
      </c>
      <c r="J288" s="70">
        <v>80.28344960092555</v>
      </c>
      <c r="K288" s="69">
        <v>1</v>
      </c>
      <c r="L288" s="69">
        <v>3</v>
      </c>
      <c r="M288" s="70">
        <v>0.33333333333333331</v>
      </c>
      <c r="N288" s="70">
        <v>66.666666666666671</v>
      </c>
      <c r="O288" s="27">
        <f t="shared" si="8"/>
        <v>58.908226079700327</v>
      </c>
      <c r="P288" s="71">
        <f t="shared" si="9"/>
        <v>52.405818747968034</v>
      </c>
    </row>
    <row r="289" spans="1:16" ht="18" x14ac:dyDescent="0.25">
      <c r="A289" s="55" t="s">
        <v>229</v>
      </c>
      <c r="B289" s="56">
        <v>4126009</v>
      </c>
      <c r="C289" s="69">
        <v>106</v>
      </c>
      <c r="D289" s="69">
        <v>472</v>
      </c>
      <c r="E289" s="70">
        <v>0.22457627118644069</v>
      </c>
      <c r="F289" s="70">
        <v>65.486173059768063</v>
      </c>
      <c r="G289" s="69">
        <v>1192</v>
      </c>
      <c r="H289" s="69">
        <v>1058</v>
      </c>
      <c r="I289" s="70">
        <v>1.1266540642722118</v>
      </c>
      <c r="J289" s="70">
        <v>73.957316628114157</v>
      </c>
      <c r="K289" s="69">
        <v>3</v>
      </c>
      <c r="L289" s="69">
        <v>4</v>
      </c>
      <c r="M289" s="70">
        <v>0.75</v>
      </c>
      <c r="N289" s="70">
        <v>25</v>
      </c>
      <c r="O289" s="27">
        <f t="shared" si="8"/>
        <v>57.482415686912574</v>
      </c>
      <c r="P289" s="71">
        <f t="shared" si="9"/>
        <v>50.003421997328509</v>
      </c>
    </row>
    <row r="290" spans="1:16" ht="18" x14ac:dyDescent="0.25">
      <c r="A290" s="55" t="s">
        <v>331</v>
      </c>
      <c r="B290" s="56">
        <v>4120655</v>
      </c>
      <c r="C290" s="69">
        <v>137</v>
      </c>
      <c r="D290" s="69">
        <v>281</v>
      </c>
      <c r="E290" s="70">
        <v>0.48754448398576511</v>
      </c>
      <c r="F290" s="70">
        <v>25.07211088218768</v>
      </c>
      <c r="G290" s="69">
        <v>589</v>
      </c>
      <c r="H290" s="69">
        <v>521</v>
      </c>
      <c r="I290" s="70">
        <v>1.1305182341650672</v>
      </c>
      <c r="J290" s="70">
        <v>73.694450311785388</v>
      </c>
      <c r="K290" s="69">
        <v>0</v>
      </c>
      <c r="L290" s="69">
        <v>2</v>
      </c>
      <c r="M290" s="70">
        <v>0</v>
      </c>
      <c r="N290" s="70">
        <v>100</v>
      </c>
      <c r="O290" s="27">
        <f t="shared" si="8"/>
        <v>55.959668019040187</v>
      </c>
      <c r="P290" s="71">
        <f t="shared" si="9"/>
        <v>47.437692312760902</v>
      </c>
    </row>
    <row r="291" spans="1:16" ht="18" x14ac:dyDescent="0.25">
      <c r="A291" s="55" t="s">
        <v>275</v>
      </c>
      <c r="B291" s="56">
        <v>4111001</v>
      </c>
      <c r="C291" s="69">
        <v>152</v>
      </c>
      <c r="D291" s="69">
        <v>328</v>
      </c>
      <c r="E291" s="70">
        <v>0.46341463414634149</v>
      </c>
      <c r="F291" s="70">
        <v>28.780487804878053</v>
      </c>
      <c r="G291" s="69">
        <v>676</v>
      </c>
      <c r="H291" s="69">
        <v>699</v>
      </c>
      <c r="I291" s="70">
        <v>0.96709585121602293</v>
      </c>
      <c r="J291" s="70">
        <v>84.811518402117301</v>
      </c>
      <c r="K291" s="69">
        <v>0</v>
      </c>
      <c r="L291" s="69">
        <v>1</v>
      </c>
      <c r="M291" s="70">
        <v>0</v>
      </c>
      <c r="N291" s="70">
        <v>100</v>
      </c>
      <c r="O291" s="27">
        <f t="shared" si="8"/>
        <v>60.593123502968353</v>
      </c>
      <c r="P291" s="71">
        <f t="shared" si="9"/>
        <v>55.244760107418891</v>
      </c>
    </row>
    <row r="292" spans="1:16" ht="18" x14ac:dyDescent="0.25">
      <c r="A292" s="55" t="s">
        <v>336</v>
      </c>
      <c r="B292" s="56">
        <v>4119707</v>
      </c>
      <c r="C292" s="69">
        <v>136</v>
      </c>
      <c r="D292" s="69">
        <v>271</v>
      </c>
      <c r="E292" s="70">
        <v>0.50184501845018448</v>
      </c>
      <c r="F292" s="70">
        <v>22.874344532919022</v>
      </c>
      <c r="G292" s="69">
        <v>625</v>
      </c>
      <c r="H292" s="69">
        <v>519</v>
      </c>
      <c r="I292" s="70">
        <v>1.2042389210019269</v>
      </c>
      <c r="J292" s="70">
        <v>68.679483081213647</v>
      </c>
      <c r="K292" s="69">
        <v>0</v>
      </c>
      <c r="L292" s="69">
        <v>2</v>
      </c>
      <c r="M292" s="70">
        <v>0</v>
      </c>
      <c r="N292" s="70">
        <v>100</v>
      </c>
      <c r="O292" s="27">
        <f t="shared" si="8"/>
        <v>53.607043036762924</v>
      </c>
      <c r="P292" s="71">
        <f t="shared" si="9"/>
        <v>43.473673926104624</v>
      </c>
    </row>
    <row r="293" spans="1:16" ht="18" x14ac:dyDescent="0.25">
      <c r="A293" s="55" t="s">
        <v>312</v>
      </c>
      <c r="B293" s="56">
        <v>4100905</v>
      </c>
      <c r="C293" s="69">
        <v>119</v>
      </c>
      <c r="D293" s="69">
        <v>311</v>
      </c>
      <c r="E293" s="70">
        <v>0.38263665594855306</v>
      </c>
      <c r="F293" s="70">
        <v>41.194787612117111</v>
      </c>
      <c r="G293" s="69">
        <v>729</v>
      </c>
      <c r="H293" s="69">
        <v>658</v>
      </c>
      <c r="I293" s="70">
        <v>1.1079027355623101</v>
      </c>
      <c r="J293" s="70">
        <v>75.23290565264314</v>
      </c>
      <c r="K293" s="69">
        <v>0</v>
      </c>
      <c r="L293" s="69">
        <v>2</v>
      </c>
      <c r="M293" s="70">
        <v>0</v>
      </c>
      <c r="N293" s="70">
        <v>100</v>
      </c>
      <c r="O293" s="27">
        <f t="shared" si="8"/>
        <v>64.405620219219344</v>
      </c>
      <c r="P293" s="71">
        <f t="shared" si="9"/>
        <v>61.66856636474126</v>
      </c>
    </row>
    <row r="294" spans="1:16" ht="18" x14ac:dyDescent="0.25">
      <c r="A294" s="55" t="s">
        <v>274</v>
      </c>
      <c r="B294" s="56">
        <v>4115853</v>
      </c>
      <c r="C294" s="69">
        <v>154</v>
      </c>
      <c r="D294" s="69">
        <v>326</v>
      </c>
      <c r="E294" s="70">
        <v>0.47239263803680981</v>
      </c>
      <c r="F294" s="70">
        <v>27.400710364869234</v>
      </c>
      <c r="G294" s="69">
        <v>887</v>
      </c>
      <c r="H294" s="69">
        <v>817</v>
      </c>
      <c r="I294" s="70">
        <v>1.0856793145654835</v>
      </c>
      <c r="J294" s="70">
        <v>76.744689289397897</v>
      </c>
      <c r="K294" s="69">
        <v>0</v>
      </c>
      <c r="L294" s="69">
        <v>3</v>
      </c>
      <c r="M294" s="70">
        <v>0</v>
      </c>
      <c r="N294" s="70">
        <v>100</v>
      </c>
      <c r="O294" s="27">
        <f t="shared" si="8"/>
        <v>57.886527504784091</v>
      </c>
      <c r="P294" s="71">
        <f t="shared" si="9"/>
        <v>50.684323836072565</v>
      </c>
    </row>
    <row r="295" spans="1:16" ht="18" x14ac:dyDescent="0.25">
      <c r="A295" s="55" t="s">
        <v>233</v>
      </c>
      <c r="B295" s="56">
        <v>4108957</v>
      </c>
      <c r="C295" s="69">
        <v>33</v>
      </c>
      <c r="D295" s="69">
        <v>498</v>
      </c>
      <c r="E295" s="70">
        <v>6.6265060240963861E-2</v>
      </c>
      <c r="F295" s="70">
        <v>89.816106531388712</v>
      </c>
      <c r="G295" s="69">
        <v>1180</v>
      </c>
      <c r="H295" s="69">
        <v>1096</v>
      </c>
      <c r="I295" s="70">
        <v>1.0766423357664234</v>
      </c>
      <c r="J295" s="70">
        <v>77.359444176868607</v>
      </c>
      <c r="K295" s="69">
        <v>1</v>
      </c>
      <c r="L295" s="69">
        <v>3</v>
      </c>
      <c r="M295" s="70">
        <v>0.33333333333333331</v>
      </c>
      <c r="N295" s="70">
        <v>66.666666666666671</v>
      </c>
      <c r="O295" s="27">
        <f t="shared" si="8"/>
        <v>80.914580976578179</v>
      </c>
      <c r="P295" s="71">
        <f t="shared" si="9"/>
        <v>89.485079612599378</v>
      </c>
    </row>
    <row r="296" spans="1:16" ht="18" x14ac:dyDescent="0.25">
      <c r="A296" s="55" t="s">
        <v>327</v>
      </c>
      <c r="B296" s="56">
        <v>4110409</v>
      </c>
      <c r="C296" s="69">
        <v>159</v>
      </c>
      <c r="D296" s="69">
        <v>254</v>
      </c>
      <c r="E296" s="70">
        <v>0.62598425196850394</v>
      </c>
      <c r="F296" s="70">
        <v>3.796104434314139</v>
      </c>
      <c r="G296" s="69">
        <v>659</v>
      </c>
      <c r="H296" s="69">
        <v>558</v>
      </c>
      <c r="I296" s="70">
        <v>1.1810035842293907</v>
      </c>
      <c r="J296" s="70">
        <v>70.260103901573473</v>
      </c>
      <c r="K296" s="69">
        <v>0</v>
      </c>
      <c r="L296" s="69">
        <v>1</v>
      </c>
      <c r="M296" s="70">
        <v>0</v>
      </c>
      <c r="N296" s="70">
        <v>100</v>
      </c>
      <c r="O296" s="27">
        <f t="shared" si="8"/>
        <v>44.463078192550441</v>
      </c>
      <c r="P296" s="71">
        <f t="shared" si="9"/>
        <v>28.066694470198648</v>
      </c>
    </row>
    <row r="297" spans="1:16" ht="18" x14ac:dyDescent="0.25">
      <c r="A297" s="55" t="s">
        <v>354</v>
      </c>
      <c r="B297" s="56">
        <v>4111308</v>
      </c>
      <c r="C297" s="69">
        <v>86</v>
      </c>
      <c r="D297" s="69">
        <v>216</v>
      </c>
      <c r="E297" s="70">
        <v>0.39814814814814814</v>
      </c>
      <c r="F297" s="70">
        <v>38.810916179337241</v>
      </c>
      <c r="G297" s="69">
        <v>515</v>
      </c>
      <c r="H297" s="69">
        <v>479</v>
      </c>
      <c r="I297" s="70">
        <v>1.0751565762004176</v>
      </c>
      <c r="J297" s="70">
        <v>77.460515339600946</v>
      </c>
      <c r="K297" s="69">
        <v>0</v>
      </c>
      <c r="L297" s="69">
        <v>1</v>
      </c>
      <c r="M297" s="70">
        <v>0</v>
      </c>
      <c r="N297" s="70">
        <v>100</v>
      </c>
      <c r="O297" s="27">
        <f t="shared" si="8"/>
        <v>63.77058692456886</v>
      </c>
      <c r="P297" s="71">
        <f t="shared" si="9"/>
        <v>60.598577023007429</v>
      </c>
    </row>
    <row r="298" spans="1:16" ht="18" x14ac:dyDescent="0.25">
      <c r="A298" s="55" t="s">
        <v>322</v>
      </c>
      <c r="B298" s="56">
        <v>4106704</v>
      </c>
      <c r="C298" s="69">
        <v>117</v>
      </c>
      <c r="D298" s="69">
        <v>264</v>
      </c>
      <c r="E298" s="70">
        <v>0.44318181818181818</v>
      </c>
      <c r="F298" s="70">
        <v>31.889952153110052</v>
      </c>
      <c r="G298" s="69">
        <v>584</v>
      </c>
      <c r="H298" s="69">
        <v>559</v>
      </c>
      <c r="I298" s="70">
        <v>1.0447227191413238</v>
      </c>
      <c r="J298" s="70">
        <v>79.530826976672529</v>
      </c>
      <c r="K298" s="69">
        <v>0</v>
      </c>
      <c r="L298" s="69">
        <v>2</v>
      </c>
      <c r="M298" s="70">
        <v>0</v>
      </c>
      <c r="N298" s="70">
        <v>100</v>
      </c>
      <c r="O298" s="27">
        <f t="shared" si="8"/>
        <v>60.827682820723155</v>
      </c>
      <c r="P298" s="71">
        <f t="shared" si="9"/>
        <v>55.639977133228747</v>
      </c>
    </row>
    <row r="299" spans="1:16" ht="18" x14ac:dyDescent="0.25">
      <c r="A299" s="55" t="s">
        <v>303</v>
      </c>
      <c r="B299" s="56">
        <v>4112306</v>
      </c>
      <c r="C299" s="69">
        <v>98</v>
      </c>
      <c r="D299" s="69">
        <v>322</v>
      </c>
      <c r="E299" s="70">
        <v>0.30434782608695654</v>
      </c>
      <c r="F299" s="70">
        <v>53.226544622425628</v>
      </c>
      <c r="G299" s="69">
        <v>609</v>
      </c>
      <c r="H299" s="69">
        <v>653</v>
      </c>
      <c r="I299" s="70">
        <v>0.93261868300153139</v>
      </c>
      <c r="J299" s="70">
        <v>87.15688272544773</v>
      </c>
      <c r="K299" s="69">
        <v>0</v>
      </c>
      <c r="L299" s="69">
        <v>1</v>
      </c>
      <c r="M299" s="70">
        <v>0</v>
      </c>
      <c r="N299" s="70">
        <v>100</v>
      </c>
      <c r="O299" s="27">
        <f t="shared" si="8"/>
        <v>73.40249299257475</v>
      </c>
      <c r="P299" s="71">
        <f t="shared" si="9"/>
        <v>76.827705354019017</v>
      </c>
    </row>
    <row r="300" spans="1:16" ht="18" x14ac:dyDescent="0.25">
      <c r="A300" s="55" t="s">
        <v>338</v>
      </c>
      <c r="B300" s="56">
        <v>4104055</v>
      </c>
      <c r="C300" s="69">
        <v>120</v>
      </c>
      <c r="D300" s="69">
        <v>248</v>
      </c>
      <c r="E300" s="70">
        <v>0.4838709677419355</v>
      </c>
      <c r="F300" s="70">
        <v>25.636672325976235</v>
      </c>
      <c r="G300" s="69">
        <v>577</v>
      </c>
      <c r="H300" s="69">
        <v>528</v>
      </c>
      <c r="I300" s="70">
        <v>1.0928030303030303</v>
      </c>
      <c r="J300" s="70">
        <v>76.260087171368752</v>
      </c>
      <c r="K300" s="69">
        <v>1</v>
      </c>
      <c r="L300" s="69">
        <v>3</v>
      </c>
      <c r="M300" s="70">
        <v>0.33333333333333331</v>
      </c>
      <c r="N300" s="70">
        <v>66.666666666666671</v>
      </c>
      <c r="O300" s="27">
        <f t="shared" si="8"/>
        <v>48.550024622496977</v>
      </c>
      <c r="P300" s="71">
        <f t="shared" si="9"/>
        <v>34.952930447300936</v>
      </c>
    </row>
    <row r="301" spans="1:16" ht="18" x14ac:dyDescent="0.25">
      <c r="A301" s="55" t="s">
        <v>314</v>
      </c>
      <c r="B301" s="56">
        <v>4115507</v>
      </c>
      <c r="C301" s="69">
        <v>107</v>
      </c>
      <c r="D301" s="69">
        <v>273</v>
      </c>
      <c r="E301" s="70">
        <v>0.39194139194139194</v>
      </c>
      <c r="F301" s="70">
        <v>39.764796606901875</v>
      </c>
      <c r="G301" s="69">
        <v>604</v>
      </c>
      <c r="H301" s="69">
        <v>597</v>
      </c>
      <c r="I301" s="70">
        <v>1.0117252931323284</v>
      </c>
      <c r="J301" s="70">
        <v>81.775529477810778</v>
      </c>
      <c r="K301" s="69">
        <v>1</v>
      </c>
      <c r="L301" s="69">
        <v>3</v>
      </c>
      <c r="M301" s="70">
        <v>0.33333333333333331</v>
      </c>
      <c r="N301" s="70">
        <v>66.666666666666671</v>
      </c>
      <c r="O301" s="27">
        <f t="shared" si="8"/>
        <v>56.992947339570307</v>
      </c>
      <c r="P301" s="71">
        <f t="shared" si="9"/>
        <v>49.178700019466618</v>
      </c>
    </row>
    <row r="302" spans="1:16" ht="18" x14ac:dyDescent="0.25">
      <c r="A302" s="55" t="s">
        <v>257</v>
      </c>
      <c r="B302" s="56">
        <v>4115358</v>
      </c>
      <c r="C302" s="69">
        <v>131</v>
      </c>
      <c r="D302" s="69">
        <v>357</v>
      </c>
      <c r="E302" s="70">
        <v>0.36694677871148457</v>
      </c>
      <c r="F302" s="70">
        <v>43.606074008550799</v>
      </c>
      <c r="G302" s="69">
        <v>984</v>
      </c>
      <c r="H302" s="69">
        <v>967</v>
      </c>
      <c r="I302" s="70">
        <v>1.0175801447776629</v>
      </c>
      <c r="J302" s="70">
        <v>81.377243862184486</v>
      </c>
      <c r="K302" s="69">
        <v>1</v>
      </c>
      <c r="L302" s="69">
        <v>2</v>
      </c>
      <c r="M302" s="70">
        <v>0.5</v>
      </c>
      <c r="N302" s="70">
        <v>50</v>
      </c>
      <c r="O302" s="27">
        <f t="shared" si="8"/>
        <v>54.647347969821524</v>
      </c>
      <c r="P302" s="71">
        <f t="shared" si="9"/>
        <v>45.226519327916954</v>
      </c>
    </row>
    <row r="303" spans="1:16" ht="18" x14ac:dyDescent="0.25">
      <c r="A303" s="55" t="s">
        <v>315</v>
      </c>
      <c r="B303" s="56">
        <v>4109005</v>
      </c>
      <c r="C303" s="69">
        <v>125</v>
      </c>
      <c r="D303" s="69">
        <v>296</v>
      </c>
      <c r="E303" s="70">
        <v>0.42229729729729731</v>
      </c>
      <c r="F303" s="70">
        <v>35.099573257467995</v>
      </c>
      <c r="G303" s="69">
        <v>735</v>
      </c>
      <c r="H303" s="69">
        <v>681</v>
      </c>
      <c r="I303" s="70">
        <v>1.079295154185022</v>
      </c>
      <c r="J303" s="70">
        <v>77.178981975432947</v>
      </c>
      <c r="K303" s="69">
        <v>0</v>
      </c>
      <c r="L303" s="69">
        <v>1</v>
      </c>
      <c r="M303" s="70">
        <v>0</v>
      </c>
      <c r="N303" s="70">
        <v>100</v>
      </c>
      <c r="O303" s="27">
        <f t="shared" si="8"/>
        <v>61.844532122592234</v>
      </c>
      <c r="P303" s="71">
        <f t="shared" si="9"/>
        <v>57.353301338927665</v>
      </c>
    </row>
    <row r="304" spans="1:16" ht="18" x14ac:dyDescent="0.25">
      <c r="A304" s="55" t="s">
        <v>277</v>
      </c>
      <c r="B304" s="56">
        <v>4114708</v>
      </c>
      <c r="C304" s="69">
        <v>108</v>
      </c>
      <c r="D304" s="69">
        <v>337</v>
      </c>
      <c r="E304" s="70">
        <v>0.32047477744807124</v>
      </c>
      <c r="F304" s="70">
        <v>50.748086834296423</v>
      </c>
      <c r="G304" s="69">
        <v>775</v>
      </c>
      <c r="H304" s="69">
        <v>691</v>
      </c>
      <c r="I304" s="70">
        <v>1.1215629522431259</v>
      </c>
      <c r="J304" s="70">
        <v>74.303647638967817</v>
      </c>
      <c r="K304" s="69">
        <v>1</v>
      </c>
      <c r="L304" s="69">
        <v>3</v>
      </c>
      <c r="M304" s="70">
        <v>0.33333333333333331</v>
      </c>
      <c r="N304" s="70">
        <v>66.666666666666671</v>
      </c>
      <c r="O304" s="27">
        <f t="shared" si="8"/>
        <v>60.616621993556834</v>
      </c>
      <c r="P304" s="71">
        <f t="shared" si="9"/>
        <v>55.284353518801112</v>
      </c>
    </row>
    <row r="305" spans="1:16" ht="18" x14ac:dyDescent="0.25">
      <c r="A305" s="55" t="s">
        <v>288</v>
      </c>
      <c r="B305" s="56">
        <v>4126405</v>
      </c>
      <c r="C305" s="69">
        <v>154</v>
      </c>
      <c r="D305" s="69">
        <v>266</v>
      </c>
      <c r="E305" s="70">
        <v>0.57894736842105265</v>
      </c>
      <c r="F305" s="70">
        <v>11.02493074792244</v>
      </c>
      <c r="G305" s="69">
        <v>699</v>
      </c>
      <c r="H305" s="69">
        <v>658</v>
      </c>
      <c r="I305" s="70">
        <v>1.0623100303951367</v>
      </c>
      <c r="J305" s="70">
        <v>78.334422095001798</v>
      </c>
      <c r="K305" s="69">
        <v>0</v>
      </c>
      <c r="L305" s="69">
        <v>3</v>
      </c>
      <c r="M305" s="70">
        <v>0</v>
      </c>
      <c r="N305" s="70">
        <v>100</v>
      </c>
      <c r="O305" s="27">
        <f t="shared" si="8"/>
        <v>50.09607089771167</v>
      </c>
      <c r="P305" s="71">
        <f t="shared" si="9"/>
        <v>37.557916753125284</v>
      </c>
    </row>
    <row r="306" spans="1:16" ht="18" x14ac:dyDescent="0.25">
      <c r="A306" s="55" t="s">
        <v>272</v>
      </c>
      <c r="B306" s="56">
        <v>4125407</v>
      </c>
      <c r="C306" s="69">
        <v>93</v>
      </c>
      <c r="D306" s="69">
        <v>391</v>
      </c>
      <c r="E306" s="70">
        <v>0.23785166240409208</v>
      </c>
      <c r="F306" s="70">
        <v>63.445955041055328</v>
      </c>
      <c r="G306" s="69">
        <v>806</v>
      </c>
      <c r="H306" s="69">
        <v>749</v>
      </c>
      <c r="I306" s="70">
        <v>1.0761014686248331</v>
      </c>
      <c r="J306" s="70">
        <v>77.39623752630078</v>
      </c>
      <c r="K306" s="69">
        <v>0</v>
      </c>
      <c r="L306" s="69">
        <v>1</v>
      </c>
      <c r="M306" s="70">
        <v>0</v>
      </c>
      <c r="N306" s="70">
        <v>100</v>
      </c>
      <c r="O306" s="27">
        <f t="shared" si="8"/>
        <v>76.072036902102866</v>
      </c>
      <c r="P306" s="71">
        <f t="shared" si="9"/>
        <v>81.325711292522911</v>
      </c>
    </row>
    <row r="307" spans="1:16" ht="18" x14ac:dyDescent="0.25">
      <c r="A307" s="55" t="s">
        <v>340</v>
      </c>
      <c r="B307" s="56">
        <v>4103156</v>
      </c>
      <c r="C307" s="69">
        <v>144</v>
      </c>
      <c r="D307" s="69">
        <v>257</v>
      </c>
      <c r="E307" s="70">
        <v>0.56031128404669261</v>
      </c>
      <c r="F307" s="70">
        <v>13.889002662297772</v>
      </c>
      <c r="G307" s="69">
        <v>619</v>
      </c>
      <c r="H307" s="69">
        <v>546</v>
      </c>
      <c r="I307" s="70">
        <v>1.1336996336996337</v>
      </c>
      <c r="J307" s="70">
        <v>73.478030537394062</v>
      </c>
      <c r="K307" s="69">
        <v>1</v>
      </c>
      <c r="L307" s="69">
        <v>2</v>
      </c>
      <c r="M307" s="70">
        <v>0.5</v>
      </c>
      <c r="N307" s="70">
        <v>50</v>
      </c>
      <c r="O307" s="27">
        <f t="shared" si="8"/>
        <v>37.814008965497401</v>
      </c>
      <c r="P307" s="71">
        <f t="shared" si="9"/>
        <v>16.863450065016831</v>
      </c>
    </row>
    <row r="308" spans="1:16" ht="18" x14ac:dyDescent="0.25">
      <c r="A308" s="55" t="s">
        <v>311</v>
      </c>
      <c r="B308" s="56">
        <v>4107801</v>
      </c>
      <c r="C308" s="69">
        <v>120</v>
      </c>
      <c r="D308" s="69">
        <v>251</v>
      </c>
      <c r="E308" s="70">
        <v>0.47808764940239046</v>
      </c>
      <c r="F308" s="70">
        <v>26.525477039211577</v>
      </c>
      <c r="G308" s="69">
        <v>620</v>
      </c>
      <c r="H308" s="69">
        <v>530</v>
      </c>
      <c r="I308" s="70">
        <v>1.1698113207547169</v>
      </c>
      <c r="J308" s="70">
        <v>71.021475464559927</v>
      </c>
      <c r="K308" s="69">
        <v>1</v>
      </c>
      <c r="L308" s="69">
        <v>2</v>
      </c>
      <c r="M308" s="70">
        <v>0.5</v>
      </c>
      <c r="N308" s="70">
        <v>50</v>
      </c>
      <c r="O308" s="27">
        <f t="shared" si="8"/>
        <v>43.518107385745772</v>
      </c>
      <c r="P308" s="71">
        <f t="shared" si="9"/>
        <v>26.47448080195764</v>
      </c>
    </row>
    <row r="309" spans="1:16" ht="18" x14ac:dyDescent="0.25">
      <c r="A309" s="55" t="s">
        <v>297</v>
      </c>
      <c r="B309" s="56">
        <v>4122909</v>
      </c>
      <c r="C309" s="69">
        <v>116</v>
      </c>
      <c r="D309" s="69">
        <v>321</v>
      </c>
      <c r="E309" s="70">
        <v>0.36137071651090341</v>
      </c>
      <c r="F309" s="70">
        <v>44.463026725692743</v>
      </c>
      <c r="G309" s="69">
        <v>674</v>
      </c>
      <c r="H309" s="69">
        <v>633</v>
      </c>
      <c r="I309" s="70">
        <v>1.0647709320695102</v>
      </c>
      <c r="J309" s="70">
        <v>78.167015336001398</v>
      </c>
      <c r="K309" s="69">
        <v>1</v>
      </c>
      <c r="L309" s="69">
        <v>3</v>
      </c>
      <c r="M309" s="70">
        <v>0.33333333333333331</v>
      </c>
      <c r="N309" s="70">
        <v>66.666666666666671</v>
      </c>
      <c r="O309" s="27">
        <f t="shared" si="8"/>
        <v>58.439933863513389</v>
      </c>
      <c r="P309" s="71">
        <f t="shared" si="9"/>
        <v>51.616777158561725</v>
      </c>
    </row>
    <row r="310" spans="1:16" ht="18" x14ac:dyDescent="0.25">
      <c r="A310" s="55" t="s">
        <v>276</v>
      </c>
      <c r="B310" s="56">
        <v>4112207</v>
      </c>
      <c r="C310" s="69">
        <v>129</v>
      </c>
      <c r="D310" s="69">
        <v>305</v>
      </c>
      <c r="E310" s="70">
        <v>0.42295081967213116</v>
      </c>
      <c r="F310" s="70">
        <v>34.999137187230374</v>
      </c>
      <c r="G310" s="69">
        <v>705</v>
      </c>
      <c r="H310" s="69">
        <v>667</v>
      </c>
      <c r="I310" s="70">
        <v>1.0569715142428786</v>
      </c>
      <c r="J310" s="70">
        <v>78.697583165688769</v>
      </c>
      <c r="K310" s="69">
        <v>0</v>
      </c>
      <c r="L310" s="69">
        <v>2</v>
      </c>
      <c r="M310" s="70">
        <v>0</v>
      </c>
      <c r="N310" s="70">
        <v>100</v>
      </c>
      <c r="O310" s="27">
        <f t="shared" si="8"/>
        <v>62.17396438503738</v>
      </c>
      <c r="P310" s="71">
        <f t="shared" si="9"/>
        <v>57.90837303770148</v>
      </c>
    </row>
    <row r="311" spans="1:16" ht="18" x14ac:dyDescent="0.25">
      <c r="A311" s="55" t="s">
        <v>329</v>
      </c>
      <c r="B311" s="56">
        <v>4120408</v>
      </c>
      <c r="C311" s="69">
        <v>113</v>
      </c>
      <c r="D311" s="69">
        <v>280</v>
      </c>
      <c r="E311" s="70">
        <v>0.40357142857142858</v>
      </c>
      <c r="F311" s="70">
        <v>37.977443609022558</v>
      </c>
      <c r="G311" s="69">
        <v>614</v>
      </c>
      <c r="H311" s="69">
        <v>523</v>
      </c>
      <c r="I311" s="70">
        <v>1.1739961759082218</v>
      </c>
      <c r="J311" s="70">
        <v>70.73679402221309</v>
      </c>
      <c r="K311" s="69">
        <v>0</v>
      </c>
      <c r="L311" s="69">
        <v>2</v>
      </c>
      <c r="M311" s="70">
        <v>0</v>
      </c>
      <c r="N311" s="70">
        <v>100</v>
      </c>
      <c r="O311" s="27">
        <f t="shared" si="8"/>
        <v>61.672920310064555</v>
      </c>
      <c r="P311" s="71">
        <f t="shared" si="9"/>
        <v>57.064146720001261</v>
      </c>
    </row>
    <row r="312" spans="1:16" ht="18" x14ac:dyDescent="0.25">
      <c r="A312" s="55" t="s">
        <v>348</v>
      </c>
      <c r="B312" s="56">
        <v>4113403</v>
      </c>
      <c r="C312" s="69">
        <v>126</v>
      </c>
      <c r="D312" s="69">
        <v>207</v>
      </c>
      <c r="E312" s="70">
        <v>0.60869565217391308</v>
      </c>
      <c r="F312" s="70">
        <v>6.4530892448512596</v>
      </c>
      <c r="G312" s="69">
        <v>483</v>
      </c>
      <c r="H312" s="69">
        <v>463</v>
      </c>
      <c r="I312" s="70">
        <v>1.0431965442764579</v>
      </c>
      <c r="J312" s="70">
        <v>79.634647454530551</v>
      </c>
      <c r="K312" s="69">
        <v>0</v>
      </c>
      <c r="L312" s="69">
        <v>3</v>
      </c>
      <c r="M312" s="70">
        <v>0</v>
      </c>
      <c r="N312" s="70">
        <v>100</v>
      </c>
      <c r="O312" s="27">
        <f t="shared" si="8"/>
        <v>48.135206486058266</v>
      </c>
      <c r="P312" s="71">
        <f t="shared" si="9"/>
        <v>34.253989165818041</v>
      </c>
    </row>
    <row r="313" spans="1:16" ht="18" x14ac:dyDescent="0.25">
      <c r="A313" s="55" t="s">
        <v>310</v>
      </c>
      <c r="B313" s="56">
        <v>4107546</v>
      </c>
      <c r="C313" s="69">
        <v>66</v>
      </c>
      <c r="D313" s="69">
        <v>368</v>
      </c>
      <c r="E313" s="70">
        <v>0.17934782608695651</v>
      </c>
      <c r="F313" s="70">
        <v>72.437070938215101</v>
      </c>
      <c r="G313" s="69">
        <v>775</v>
      </c>
      <c r="H313" s="69">
        <v>734</v>
      </c>
      <c r="I313" s="70">
        <v>1.055858310626703</v>
      </c>
      <c r="J313" s="70">
        <v>78.773310616091237</v>
      </c>
      <c r="K313" s="69">
        <v>0</v>
      </c>
      <c r="L313" s="69">
        <v>1</v>
      </c>
      <c r="M313" s="70">
        <v>0</v>
      </c>
      <c r="N313" s="70">
        <v>100</v>
      </c>
      <c r="O313" s="27">
        <f t="shared" si="8"/>
        <v>80.91186312313036</v>
      </c>
      <c r="P313" s="71">
        <f t="shared" si="9"/>
        <v>89.480500208265696</v>
      </c>
    </row>
    <row r="314" spans="1:16" ht="18" x14ac:dyDescent="0.25">
      <c r="A314" s="55" t="s">
        <v>335</v>
      </c>
      <c r="B314" s="56">
        <v>4122800</v>
      </c>
      <c r="C314" s="69">
        <v>124</v>
      </c>
      <c r="D314" s="69">
        <v>252</v>
      </c>
      <c r="E314" s="70">
        <v>0.49206349206349204</v>
      </c>
      <c r="F314" s="70">
        <v>24.377610693400175</v>
      </c>
      <c r="G314" s="69">
        <v>574</v>
      </c>
      <c r="H314" s="69">
        <v>505</v>
      </c>
      <c r="I314" s="70">
        <v>1.1366336633663365</v>
      </c>
      <c r="J314" s="70">
        <v>73.278438492564064</v>
      </c>
      <c r="K314" s="69">
        <v>1</v>
      </c>
      <c r="L314" s="69">
        <v>2</v>
      </c>
      <c r="M314" s="70">
        <v>0.5</v>
      </c>
      <c r="N314" s="70">
        <v>50</v>
      </c>
      <c r="O314" s="27">
        <f t="shared" si="8"/>
        <v>43.008414969841105</v>
      </c>
      <c r="P314" s="71">
        <f t="shared" si="9"/>
        <v>25.615682598501664</v>
      </c>
    </row>
    <row r="315" spans="1:16" ht="18" x14ac:dyDescent="0.25">
      <c r="A315" s="55" t="s">
        <v>319</v>
      </c>
      <c r="B315" s="56">
        <v>4103008</v>
      </c>
      <c r="C315" s="69">
        <v>126</v>
      </c>
      <c r="D315" s="69">
        <v>267</v>
      </c>
      <c r="E315" s="70">
        <v>0.47191011235955055</v>
      </c>
      <c r="F315" s="70">
        <v>27.474866942637497</v>
      </c>
      <c r="G315" s="69">
        <v>615</v>
      </c>
      <c r="H315" s="69">
        <v>530</v>
      </c>
      <c r="I315" s="70">
        <v>1.1603773584905661</v>
      </c>
      <c r="J315" s="70">
        <v>71.663235785022806</v>
      </c>
      <c r="K315" s="69">
        <v>1</v>
      </c>
      <c r="L315" s="69">
        <v>4</v>
      </c>
      <c r="M315" s="70">
        <v>0.25</v>
      </c>
      <c r="N315" s="70">
        <v>75</v>
      </c>
      <c r="O315" s="27">
        <f t="shared" si="8"/>
        <v>50.403242417574447</v>
      </c>
      <c r="P315" s="71">
        <f t="shared" si="9"/>
        <v>38.075480564512922</v>
      </c>
    </row>
    <row r="316" spans="1:16" ht="18" x14ac:dyDescent="0.25">
      <c r="A316" s="55" t="s">
        <v>296</v>
      </c>
      <c r="B316" s="56">
        <v>4126108</v>
      </c>
      <c r="C316" s="69">
        <v>121</v>
      </c>
      <c r="D316" s="69">
        <v>292</v>
      </c>
      <c r="E316" s="70">
        <v>0.41438356164383561</v>
      </c>
      <c r="F316" s="70">
        <v>36.31578947368422</v>
      </c>
      <c r="G316" s="69">
        <v>798</v>
      </c>
      <c r="H316" s="69">
        <v>693</v>
      </c>
      <c r="I316" s="70">
        <v>1.1515151515151516</v>
      </c>
      <c r="J316" s="70">
        <v>72.266101540609156</v>
      </c>
      <c r="K316" s="69">
        <v>1</v>
      </c>
      <c r="L316" s="69">
        <v>3</v>
      </c>
      <c r="M316" s="70">
        <v>0.33333333333333331</v>
      </c>
      <c r="N316" s="70">
        <v>66.666666666666671</v>
      </c>
      <c r="O316" s="27">
        <f t="shared" si="8"/>
        <v>52.89108678866107</v>
      </c>
      <c r="P316" s="71">
        <f t="shared" si="9"/>
        <v>42.2673347292939</v>
      </c>
    </row>
    <row r="317" spans="1:16" ht="18" x14ac:dyDescent="0.25">
      <c r="A317" s="55" t="s">
        <v>316</v>
      </c>
      <c r="B317" s="56">
        <v>4113601</v>
      </c>
      <c r="C317" s="69">
        <v>127</v>
      </c>
      <c r="D317" s="69">
        <v>234</v>
      </c>
      <c r="E317" s="70">
        <v>0.54273504273504269</v>
      </c>
      <c r="F317" s="70">
        <v>16.590193432298708</v>
      </c>
      <c r="G317" s="69">
        <v>609</v>
      </c>
      <c r="H317" s="69">
        <v>563</v>
      </c>
      <c r="I317" s="70">
        <v>1.0817051509769093</v>
      </c>
      <c r="J317" s="70">
        <v>77.015038102204471</v>
      </c>
      <c r="K317" s="69">
        <v>0</v>
      </c>
      <c r="L317" s="69">
        <v>1</v>
      </c>
      <c r="M317" s="70">
        <v>0</v>
      </c>
      <c r="N317" s="70">
        <v>100</v>
      </c>
      <c r="O317" s="27">
        <f t="shared" si="8"/>
        <v>52.54885624170047</v>
      </c>
      <c r="P317" s="71">
        <f t="shared" si="9"/>
        <v>41.690698762725994</v>
      </c>
    </row>
    <row r="318" spans="1:16" ht="18" x14ac:dyDescent="0.25">
      <c r="A318" s="55" t="s">
        <v>281</v>
      </c>
      <c r="B318" s="56">
        <v>4126900</v>
      </c>
      <c r="C318" s="69">
        <v>119</v>
      </c>
      <c r="D318" s="69">
        <v>327</v>
      </c>
      <c r="E318" s="70">
        <v>0.36391437308868502</v>
      </c>
      <c r="F318" s="70">
        <v>44.072106872686305</v>
      </c>
      <c r="G318" s="69">
        <v>706</v>
      </c>
      <c r="H318" s="69">
        <v>690</v>
      </c>
      <c r="I318" s="70">
        <v>1.0231884057971015</v>
      </c>
      <c r="J318" s="70">
        <v>80.995732966942597</v>
      </c>
      <c r="K318" s="69">
        <v>0</v>
      </c>
      <c r="L318" s="69">
        <v>2</v>
      </c>
      <c r="M318" s="70">
        <v>0</v>
      </c>
      <c r="N318" s="70">
        <v>100</v>
      </c>
      <c r="O318" s="27">
        <f t="shared" si="8"/>
        <v>67.284986678078809</v>
      </c>
      <c r="P318" s="71">
        <f t="shared" si="9"/>
        <v>66.520109500949943</v>
      </c>
    </row>
    <row r="319" spans="1:16" ht="18" x14ac:dyDescent="0.25">
      <c r="A319" s="55" t="s">
        <v>324</v>
      </c>
      <c r="B319" s="56">
        <v>4110904</v>
      </c>
      <c r="C319" s="69">
        <v>119</v>
      </c>
      <c r="D319" s="69">
        <v>290</v>
      </c>
      <c r="E319" s="70">
        <v>0.41034482758620688</v>
      </c>
      <c r="F319" s="70">
        <v>36.936479128856632</v>
      </c>
      <c r="G319" s="69">
        <v>642</v>
      </c>
      <c r="H319" s="69">
        <v>632</v>
      </c>
      <c r="I319" s="70">
        <v>1.0158227848101267</v>
      </c>
      <c r="J319" s="70">
        <v>81.496791075153553</v>
      </c>
      <c r="K319" s="69">
        <v>1</v>
      </c>
      <c r="L319" s="69">
        <v>2</v>
      </c>
      <c r="M319" s="70">
        <v>0.5</v>
      </c>
      <c r="N319" s="70">
        <v>50</v>
      </c>
      <c r="O319" s="27">
        <f t="shared" si="8"/>
        <v>51.342437333216708</v>
      </c>
      <c r="P319" s="71">
        <f t="shared" si="9"/>
        <v>39.657962235967545</v>
      </c>
    </row>
    <row r="320" spans="1:16" ht="18" x14ac:dyDescent="0.25">
      <c r="A320" s="55" t="s">
        <v>350</v>
      </c>
      <c r="B320" s="56">
        <v>4103370</v>
      </c>
      <c r="C320" s="69">
        <v>97</v>
      </c>
      <c r="D320" s="69">
        <v>246</v>
      </c>
      <c r="E320" s="70">
        <v>0.39430894308943087</v>
      </c>
      <c r="F320" s="70">
        <v>39.400941377834833</v>
      </c>
      <c r="G320" s="69">
        <v>539</v>
      </c>
      <c r="H320" s="69">
        <v>470</v>
      </c>
      <c r="I320" s="70">
        <v>1.1468085106382979</v>
      </c>
      <c r="J320" s="70">
        <v>72.586278288497098</v>
      </c>
      <c r="K320" s="69">
        <v>0</v>
      </c>
      <c r="L320" s="69">
        <v>2</v>
      </c>
      <c r="M320" s="70">
        <v>0</v>
      </c>
      <c r="N320" s="70">
        <v>100</v>
      </c>
      <c r="O320" s="27">
        <f t="shared" si="8"/>
        <v>62.847040261041691</v>
      </c>
      <c r="P320" s="71">
        <f t="shared" si="9"/>
        <v>59.042461627338596</v>
      </c>
    </row>
    <row r="321" spans="1:16" ht="18" x14ac:dyDescent="0.25">
      <c r="A321" s="55" t="s">
        <v>294</v>
      </c>
      <c r="B321" s="56">
        <v>4111704</v>
      </c>
      <c r="C321" s="69">
        <v>95</v>
      </c>
      <c r="D321" s="69">
        <v>304</v>
      </c>
      <c r="E321" s="70">
        <v>0.3125</v>
      </c>
      <c r="F321" s="70">
        <v>51.973684210526315</v>
      </c>
      <c r="G321" s="69">
        <v>763</v>
      </c>
      <c r="H321" s="69">
        <v>723</v>
      </c>
      <c r="I321" s="70">
        <v>1.0553250345781466</v>
      </c>
      <c r="J321" s="70">
        <v>78.809587569319817</v>
      </c>
      <c r="K321" s="69">
        <v>1</v>
      </c>
      <c r="L321" s="69">
        <v>2</v>
      </c>
      <c r="M321" s="70">
        <v>0.5</v>
      </c>
      <c r="N321" s="70">
        <v>50</v>
      </c>
      <c r="O321" s="27">
        <f t="shared" si="8"/>
        <v>58.189238997593108</v>
      </c>
      <c r="P321" s="71">
        <f t="shared" si="9"/>
        <v>51.194372795165741</v>
      </c>
    </row>
    <row r="322" spans="1:16" ht="18" x14ac:dyDescent="0.25">
      <c r="A322" s="55" t="s">
        <v>290</v>
      </c>
      <c r="B322" s="56">
        <v>4116950</v>
      </c>
      <c r="C322" s="69">
        <v>82</v>
      </c>
      <c r="D322" s="69">
        <v>359</v>
      </c>
      <c r="E322" s="70">
        <v>0.22841225626740946</v>
      </c>
      <c r="F322" s="70">
        <v>64.896642721008661</v>
      </c>
      <c r="G322" s="69">
        <v>818</v>
      </c>
      <c r="H322" s="69">
        <v>754</v>
      </c>
      <c r="I322" s="70">
        <v>1.0848806366047745</v>
      </c>
      <c r="J322" s="70">
        <v>76.799020630743087</v>
      </c>
      <c r="K322" s="69">
        <v>1</v>
      </c>
      <c r="L322" s="69">
        <v>2</v>
      </c>
      <c r="M322" s="70">
        <v>0.5</v>
      </c>
      <c r="N322" s="70">
        <v>50</v>
      </c>
      <c r="O322" s="27">
        <f t="shared" si="8"/>
        <v>64.148076518190095</v>
      </c>
      <c r="P322" s="71">
        <f t="shared" si="9"/>
        <v>61.234622164565657</v>
      </c>
    </row>
    <row r="323" spans="1:16" ht="18" x14ac:dyDescent="0.25">
      <c r="A323" s="55" t="s">
        <v>306</v>
      </c>
      <c r="B323" s="56">
        <v>4126702</v>
      </c>
      <c r="C323" s="69">
        <v>101</v>
      </c>
      <c r="D323" s="69">
        <v>317</v>
      </c>
      <c r="E323" s="70">
        <v>0.31861198738170349</v>
      </c>
      <c r="F323" s="70">
        <v>51.034368255022414</v>
      </c>
      <c r="G323" s="69">
        <v>628</v>
      </c>
      <c r="H323" s="69">
        <v>615</v>
      </c>
      <c r="I323" s="70">
        <v>1.0211382113821139</v>
      </c>
      <c r="J323" s="70">
        <v>81.135200709968586</v>
      </c>
      <c r="K323" s="69">
        <v>1</v>
      </c>
      <c r="L323" s="69">
        <v>2</v>
      </c>
      <c r="M323" s="70">
        <v>0.5</v>
      </c>
      <c r="N323" s="70">
        <v>50</v>
      </c>
      <c r="O323" s="27">
        <f t="shared" ref="O323:O386" si="10">(2*F323+J323+N323)/4</f>
        <v>58.300984305003354</v>
      </c>
      <c r="P323" s="71">
        <f t="shared" ref="P323:P386" si="11">(O323-O$402)/(O$403-O$402)*100</f>
        <v>51.382656289787143</v>
      </c>
    </row>
    <row r="324" spans="1:16" ht="18" x14ac:dyDescent="0.25">
      <c r="A324" s="55" t="s">
        <v>326</v>
      </c>
      <c r="B324" s="56">
        <v>4103479</v>
      </c>
      <c r="C324" s="69">
        <v>102</v>
      </c>
      <c r="D324" s="69">
        <v>281</v>
      </c>
      <c r="E324" s="70">
        <v>0.36298932384341637</v>
      </c>
      <c r="F324" s="70">
        <v>44.214272335643386</v>
      </c>
      <c r="G324" s="69">
        <v>580</v>
      </c>
      <c r="H324" s="69">
        <v>523</v>
      </c>
      <c r="I324" s="70">
        <v>1.1089866156787762</v>
      </c>
      <c r="J324" s="70">
        <v>75.159172980049163</v>
      </c>
      <c r="K324" s="69">
        <v>0</v>
      </c>
      <c r="L324" s="69">
        <v>2</v>
      </c>
      <c r="M324" s="70">
        <v>0</v>
      </c>
      <c r="N324" s="70">
        <v>100</v>
      </c>
      <c r="O324" s="27">
        <f t="shared" si="10"/>
        <v>65.896929412833984</v>
      </c>
      <c r="P324" s="71">
        <f t="shared" si="11"/>
        <v>64.181324287576786</v>
      </c>
    </row>
    <row r="325" spans="1:16" ht="18" x14ac:dyDescent="0.25">
      <c r="A325" s="55" t="s">
        <v>300</v>
      </c>
      <c r="B325" s="56">
        <v>4107108</v>
      </c>
      <c r="C325" s="69">
        <v>112</v>
      </c>
      <c r="D325" s="69">
        <v>233</v>
      </c>
      <c r="E325" s="70">
        <v>0.48068669527896996</v>
      </c>
      <c r="F325" s="70">
        <v>26.126044725547782</v>
      </c>
      <c r="G325" s="69">
        <v>614</v>
      </c>
      <c r="H325" s="69">
        <v>591</v>
      </c>
      <c r="I325" s="70">
        <v>1.0389170896785109</v>
      </c>
      <c r="J325" s="70">
        <v>79.925764174874146</v>
      </c>
      <c r="K325" s="69">
        <v>1</v>
      </c>
      <c r="L325" s="69">
        <v>2</v>
      </c>
      <c r="M325" s="70">
        <v>0.5</v>
      </c>
      <c r="N325" s="70">
        <v>50</v>
      </c>
      <c r="O325" s="27">
        <f t="shared" si="10"/>
        <v>45.544463406492426</v>
      </c>
      <c r="P325" s="71">
        <f t="shared" si="11"/>
        <v>29.88875744386263</v>
      </c>
    </row>
    <row r="326" spans="1:16" ht="18" x14ac:dyDescent="0.25">
      <c r="A326" s="55" t="s">
        <v>304</v>
      </c>
      <c r="B326" s="56">
        <v>4109658</v>
      </c>
      <c r="C326" s="69">
        <v>82</v>
      </c>
      <c r="D326" s="69">
        <v>349</v>
      </c>
      <c r="E326" s="70">
        <v>0.23495702005730659</v>
      </c>
      <c r="F326" s="70">
        <v>63.890815864877105</v>
      </c>
      <c r="G326" s="69">
        <v>780</v>
      </c>
      <c r="H326" s="69">
        <v>692</v>
      </c>
      <c r="I326" s="70">
        <v>1.1271676300578035</v>
      </c>
      <c r="J326" s="70">
        <v>73.922380496941315</v>
      </c>
      <c r="K326" s="69">
        <v>0</v>
      </c>
      <c r="L326" s="69">
        <v>1</v>
      </c>
      <c r="M326" s="70">
        <v>0</v>
      </c>
      <c r="N326" s="70">
        <v>100</v>
      </c>
      <c r="O326" s="27">
        <f t="shared" si="10"/>
        <v>75.426003056673878</v>
      </c>
      <c r="P326" s="71">
        <f t="shared" si="11"/>
        <v>80.237186746122859</v>
      </c>
    </row>
    <row r="327" spans="1:16" ht="18" x14ac:dyDescent="0.25">
      <c r="A327" s="55" t="s">
        <v>342</v>
      </c>
      <c r="B327" s="56">
        <v>4116307</v>
      </c>
      <c r="C327" s="69">
        <v>115</v>
      </c>
      <c r="D327" s="69">
        <v>243</v>
      </c>
      <c r="E327" s="70">
        <v>0.47325102880658437</v>
      </c>
      <c r="F327" s="70">
        <v>27.268789257093356</v>
      </c>
      <c r="G327" s="69">
        <v>561</v>
      </c>
      <c r="H327" s="69">
        <v>479</v>
      </c>
      <c r="I327" s="70">
        <v>1.1711899791231732</v>
      </c>
      <c r="J327" s="70">
        <v>70.927690031506899</v>
      </c>
      <c r="K327" s="69">
        <v>0</v>
      </c>
      <c r="L327" s="69">
        <v>1</v>
      </c>
      <c r="M327" s="70">
        <v>0</v>
      </c>
      <c r="N327" s="70">
        <v>100</v>
      </c>
      <c r="O327" s="27">
        <f t="shared" si="10"/>
        <v>56.366317136423405</v>
      </c>
      <c r="P327" s="71">
        <f t="shared" si="11"/>
        <v>48.122869334329508</v>
      </c>
    </row>
    <row r="328" spans="1:16" ht="18" x14ac:dyDescent="0.25">
      <c r="A328" s="55" t="s">
        <v>333</v>
      </c>
      <c r="B328" s="56">
        <v>4106571</v>
      </c>
      <c r="C328" s="69">
        <v>106</v>
      </c>
      <c r="D328" s="69">
        <v>253</v>
      </c>
      <c r="E328" s="70">
        <v>0.4189723320158103</v>
      </c>
      <c r="F328" s="70">
        <v>35.610567921780742</v>
      </c>
      <c r="G328" s="69">
        <v>633</v>
      </c>
      <c r="H328" s="69">
        <v>561</v>
      </c>
      <c r="I328" s="70">
        <v>1.1283422459893049</v>
      </c>
      <c r="J328" s="70">
        <v>73.842475375899468</v>
      </c>
      <c r="K328" s="69">
        <v>1</v>
      </c>
      <c r="L328" s="69">
        <v>3</v>
      </c>
      <c r="M328" s="70">
        <v>0.33333333333333331</v>
      </c>
      <c r="N328" s="70">
        <v>66.666666666666671</v>
      </c>
      <c r="O328" s="27">
        <f t="shared" si="10"/>
        <v>52.932569471531906</v>
      </c>
      <c r="P328" s="71">
        <f t="shared" si="11"/>
        <v>42.337230322032461</v>
      </c>
    </row>
    <row r="329" spans="1:16" ht="18" x14ac:dyDescent="0.25">
      <c r="A329" s="55" t="s">
        <v>370</v>
      </c>
      <c r="B329" s="56">
        <v>4120200</v>
      </c>
      <c r="C329" s="69">
        <v>107</v>
      </c>
      <c r="D329" s="69">
        <v>188</v>
      </c>
      <c r="E329" s="70">
        <v>0.56914893617021278</v>
      </c>
      <c r="F329" s="70">
        <v>12.530795072788358</v>
      </c>
      <c r="G329" s="69">
        <v>515</v>
      </c>
      <c r="H329" s="69">
        <v>427</v>
      </c>
      <c r="I329" s="70">
        <v>1.2060889929742389</v>
      </c>
      <c r="J329" s="70">
        <v>68.553628986339618</v>
      </c>
      <c r="K329" s="69">
        <v>0</v>
      </c>
      <c r="L329" s="69">
        <v>1</v>
      </c>
      <c r="M329" s="70">
        <v>0</v>
      </c>
      <c r="N329" s="70">
        <v>100</v>
      </c>
      <c r="O329" s="27">
        <f t="shared" si="10"/>
        <v>48.40380478297908</v>
      </c>
      <c r="P329" s="71">
        <f t="shared" si="11"/>
        <v>34.706559633121358</v>
      </c>
    </row>
    <row r="330" spans="1:16" ht="18" x14ac:dyDescent="0.25">
      <c r="A330" s="55" t="s">
        <v>360</v>
      </c>
      <c r="B330" s="56">
        <v>4123105</v>
      </c>
      <c r="C330" s="69">
        <v>102</v>
      </c>
      <c r="D330" s="69">
        <v>192</v>
      </c>
      <c r="E330" s="70">
        <v>0.53125</v>
      </c>
      <c r="F330" s="70">
        <v>18.355263157894743</v>
      </c>
      <c r="G330" s="69">
        <v>497</v>
      </c>
      <c r="H330" s="69">
        <v>453</v>
      </c>
      <c r="I330" s="70">
        <v>1.0971302428256071</v>
      </c>
      <c r="J330" s="70">
        <v>75.965721642077554</v>
      </c>
      <c r="K330" s="69">
        <v>0</v>
      </c>
      <c r="L330" s="69">
        <v>1</v>
      </c>
      <c r="M330" s="70">
        <v>0</v>
      </c>
      <c r="N330" s="70">
        <v>100</v>
      </c>
      <c r="O330" s="27">
        <f t="shared" si="10"/>
        <v>53.169061989466762</v>
      </c>
      <c r="P330" s="71">
        <f t="shared" si="11"/>
        <v>42.735704663018581</v>
      </c>
    </row>
    <row r="331" spans="1:16" ht="18" x14ac:dyDescent="0.25">
      <c r="A331" s="55" t="s">
        <v>366</v>
      </c>
      <c r="B331" s="56">
        <v>4101150</v>
      </c>
      <c r="C331" s="69">
        <v>129</v>
      </c>
      <c r="D331" s="69">
        <v>212</v>
      </c>
      <c r="E331" s="70">
        <v>0.60849056603773588</v>
      </c>
      <c r="F331" s="70">
        <v>6.4846077457795452</v>
      </c>
      <c r="G331" s="69">
        <v>503</v>
      </c>
      <c r="H331" s="69">
        <v>441</v>
      </c>
      <c r="I331" s="70">
        <v>1.1405895691609977</v>
      </c>
      <c r="J331" s="70">
        <v>73.009331695290783</v>
      </c>
      <c r="K331" s="69">
        <v>0</v>
      </c>
      <c r="L331" s="69">
        <v>1</v>
      </c>
      <c r="M331" s="70">
        <v>0</v>
      </c>
      <c r="N331" s="70">
        <v>100</v>
      </c>
      <c r="O331" s="27">
        <f t="shared" si="10"/>
        <v>46.49463679671247</v>
      </c>
      <c r="P331" s="71">
        <f t="shared" si="11"/>
        <v>31.489737123036964</v>
      </c>
    </row>
    <row r="332" spans="1:16" ht="18" x14ac:dyDescent="0.25">
      <c r="A332" s="55" t="s">
        <v>341</v>
      </c>
      <c r="B332" s="56">
        <v>4125456</v>
      </c>
      <c r="C332" s="69">
        <v>102</v>
      </c>
      <c r="D332" s="69">
        <v>270</v>
      </c>
      <c r="E332" s="70">
        <v>0.37777777777777777</v>
      </c>
      <c r="F332" s="70">
        <v>41.941520467836263</v>
      </c>
      <c r="G332" s="69">
        <v>554</v>
      </c>
      <c r="H332" s="69">
        <v>563</v>
      </c>
      <c r="I332" s="70">
        <v>0.98401420959147423</v>
      </c>
      <c r="J332" s="70">
        <v>83.66062010628734</v>
      </c>
      <c r="K332" s="69">
        <v>0</v>
      </c>
      <c r="L332" s="69">
        <v>1</v>
      </c>
      <c r="M332" s="70">
        <v>0</v>
      </c>
      <c r="N332" s="70">
        <v>100</v>
      </c>
      <c r="O332" s="27">
        <f t="shared" si="10"/>
        <v>66.885915260489966</v>
      </c>
      <c r="P332" s="71">
        <f t="shared" si="11"/>
        <v>65.847700405225766</v>
      </c>
    </row>
    <row r="333" spans="1:16" ht="18" x14ac:dyDescent="0.25">
      <c r="A333" s="55" t="s">
        <v>299</v>
      </c>
      <c r="B333" s="56">
        <v>4125308</v>
      </c>
      <c r="C333" s="69">
        <v>111</v>
      </c>
      <c r="D333" s="69">
        <v>243</v>
      </c>
      <c r="E333" s="70">
        <v>0.4567901234567901</v>
      </c>
      <c r="F333" s="70">
        <v>29.798570500324896</v>
      </c>
      <c r="G333" s="69">
        <v>642</v>
      </c>
      <c r="H333" s="69">
        <v>580</v>
      </c>
      <c r="I333" s="70">
        <v>1.106896551724138</v>
      </c>
      <c r="J333" s="70">
        <v>75.301352912060707</v>
      </c>
      <c r="K333" s="69">
        <v>0</v>
      </c>
      <c r="L333" s="69">
        <v>1</v>
      </c>
      <c r="M333" s="70">
        <v>0</v>
      </c>
      <c r="N333" s="70">
        <v>100</v>
      </c>
      <c r="O333" s="27">
        <f t="shared" si="10"/>
        <v>58.724623478177627</v>
      </c>
      <c r="P333" s="71">
        <f t="shared" si="11"/>
        <v>52.096460438098603</v>
      </c>
    </row>
    <row r="334" spans="1:16" ht="18" x14ac:dyDescent="0.25">
      <c r="A334" s="55" t="s">
        <v>320</v>
      </c>
      <c r="B334" s="56">
        <v>4107157</v>
      </c>
      <c r="C334" s="69">
        <v>72</v>
      </c>
      <c r="D334" s="69">
        <v>277</v>
      </c>
      <c r="E334" s="70">
        <v>0.25992779783393499</v>
      </c>
      <c r="F334" s="70">
        <v>60.053201596047892</v>
      </c>
      <c r="G334" s="69">
        <v>781</v>
      </c>
      <c r="H334" s="69">
        <v>686</v>
      </c>
      <c r="I334" s="70">
        <v>1.1384839650145773</v>
      </c>
      <c r="J334" s="70">
        <v>73.15256877361891</v>
      </c>
      <c r="K334" s="69">
        <v>0</v>
      </c>
      <c r="L334" s="69">
        <v>1</v>
      </c>
      <c r="M334" s="70">
        <v>0</v>
      </c>
      <c r="N334" s="70">
        <v>100</v>
      </c>
      <c r="O334" s="27">
        <f t="shared" si="10"/>
        <v>73.314742991428673</v>
      </c>
      <c r="P334" s="71">
        <f t="shared" si="11"/>
        <v>76.679852372522802</v>
      </c>
    </row>
    <row r="335" spans="1:16" ht="18" x14ac:dyDescent="0.25">
      <c r="A335" s="55" t="s">
        <v>301</v>
      </c>
      <c r="B335" s="56">
        <v>4126355</v>
      </c>
      <c r="C335" s="69">
        <v>109</v>
      </c>
      <c r="D335" s="69">
        <v>276</v>
      </c>
      <c r="E335" s="70">
        <v>0.39492753623188404</v>
      </c>
      <c r="F335" s="70">
        <v>39.305873379099928</v>
      </c>
      <c r="G335" s="69">
        <v>659</v>
      </c>
      <c r="H335" s="69">
        <v>607</v>
      </c>
      <c r="I335" s="70">
        <v>1.0856672158154861</v>
      </c>
      <c r="J335" s="70">
        <v>76.745512326151498</v>
      </c>
      <c r="K335" s="69">
        <v>0</v>
      </c>
      <c r="L335" s="69">
        <v>1</v>
      </c>
      <c r="M335" s="70">
        <v>0</v>
      </c>
      <c r="N335" s="70">
        <v>100</v>
      </c>
      <c r="O335" s="27">
        <f t="shared" si="10"/>
        <v>63.839314771087842</v>
      </c>
      <c r="P335" s="71">
        <f t="shared" si="11"/>
        <v>60.714378924852753</v>
      </c>
    </row>
    <row r="336" spans="1:16" ht="18" x14ac:dyDescent="0.25">
      <c r="A336" s="55" t="s">
        <v>365</v>
      </c>
      <c r="B336" s="56">
        <v>4115739</v>
      </c>
      <c r="C336" s="69">
        <v>71</v>
      </c>
      <c r="D336" s="69">
        <v>206</v>
      </c>
      <c r="E336" s="70">
        <v>0.3446601941747573</v>
      </c>
      <c r="F336" s="70">
        <v>47.031170158405729</v>
      </c>
      <c r="G336" s="69">
        <v>503</v>
      </c>
      <c r="H336" s="69">
        <v>394</v>
      </c>
      <c r="I336" s="70">
        <v>1.2766497461928934</v>
      </c>
      <c r="J336" s="70">
        <v>63.75362127698272</v>
      </c>
      <c r="K336" s="69">
        <v>0</v>
      </c>
      <c r="L336" s="69">
        <v>1</v>
      </c>
      <c r="M336" s="70">
        <v>0</v>
      </c>
      <c r="N336" s="70">
        <v>100</v>
      </c>
      <c r="O336" s="27">
        <f t="shared" si="10"/>
        <v>64.453990398448553</v>
      </c>
      <c r="P336" s="71">
        <f t="shared" si="11"/>
        <v>61.750066935922334</v>
      </c>
    </row>
    <row r="337" spans="1:16" ht="18" x14ac:dyDescent="0.25">
      <c r="A337" s="55" t="s">
        <v>307</v>
      </c>
      <c r="B337" s="56">
        <v>4113759</v>
      </c>
      <c r="C337" s="69">
        <v>103</v>
      </c>
      <c r="D337" s="69">
        <v>239</v>
      </c>
      <c r="E337" s="70">
        <v>0.43096234309623432</v>
      </c>
      <c r="F337" s="70">
        <v>33.767892534683988</v>
      </c>
      <c r="G337" s="69">
        <v>570</v>
      </c>
      <c r="H337" s="69">
        <v>573</v>
      </c>
      <c r="I337" s="70">
        <v>0.99476439790575921</v>
      </c>
      <c r="J337" s="70">
        <v>82.929321410740471</v>
      </c>
      <c r="K337" s="69">
        <v>0</v>
      </c>
      <c r="L337" s="69">
        <v>2</v>
      </c>
      <c r="M337" s="70">
        <v>0</v>
      </c>
      <c r="N337" s="70">
        <v>100</v>
      </c>
      <c r="O337" s="27">
        <f t="shared" si="10"/>
        <v>62.616276620027108</v>
      </c>
      <c r="P337" s="71">
        <f t="shared" si="11"/>
        <v>58.65364006723253</v>
      </c>
    </row>
    <row r="338" spans="1:16" ht="18" x14ac:dyDescent="0.25">
      <c r="A338" s="55" t="s">
        <v>385</v>
      </c>
      <c r="B338" s="56">
        <v>4108106</v>
      </c>
      <c r="C338" s="69">
        <v>94</v>
      </c>
      <c r="D338" s="69">
        <v>172</v>
      </c>
      <c r="E338" s="70">
        <v>0.54651162790697672</v>
      </c>
      <c r="F338" s="70">
        <v>16.009791921664636</v>
      </c>
      <c r="G338" s="69">
        <v>380</v>
      </c>
      <c r="H338" s="69">
        <v>342</v>
      </c>
      <c r="I338" s="70">
        <v>1.1111111111111112</v>
      </c>
      <c r="J338" s="70">
        <v>75.014650791884577</v>
      </c>
      <c r="K338" s="69">
        <v>0</v>
      </c>
      <c r="L338" s="69">
        <v>1</v>
      </c>
      <c r="M338" s="70">
        <v>0</v>
      </c>
      <c r="N338" s="70">
        <v>100</v>
      </c>
      <c r="O338" s="27">
        <f t="shared" si="10"/>
        <v>51.758558658803466</v>
      </c>
      <c r="P338" s="71">
        <f t="shared" si="11"/>
        <v>40.359099305467254</v>
      </c>
    </row>
    <row r="339" spans="1:16" ht="18" x14ac:dyDescent="0.25">
      <c r="A339" s="55" t="s">
        <v>262</v>
      </c>
      <c r="B339" s="56">
        <v>4118709</v>
      </c>
      <c r="C339" s="69">
        <v>93</v>
      </c>
      <c r="D339" s="69">
        <v>318</v>
      </c>
      <c r="E339" s="70">
        <v>0.29245283018867924</v>
      </c>
      <c r="F339" s="70">
        <v>55.05461767626614</v>
      </c>
      <c r="G339" s="69">
        <v>888</v>
      </c>
      <c r="H339" s="69">
        <v>747</v>
      </c>
      <c r="I339" s="70">
        <v>1.1887550200803212</v>
      </c>
      <c r="J339" s="70">
        <v>69.732800122264962</v>
      </c>
      <c r="K339" s="69">
        <v>1</v>
      </c>
      <c r="L339" s="69">
        <v>2</v>
      </c>
      <c r="M339" s="70">
        <v>0.5</v>
      </c>
      <c r="N339" s="70">
        <v>50</v>
      </c>
      <c r="O339" s="27">
        <f t="shared" si="10"/>
        <v>57.460508868699307</v>
      </c>
      <c r="P339" s="71">
        <f t="shared" si="11"/>
        <v>49.966510449230242</v>
      </c>
    </row>
    <row r="340" spans="1:16" ht="18" x14ac:dyDescent="0.25">
      <c r="A340" s="55" t="s">
        <v>313</v>
      </c>
      <c r="B340" s="56">
        <v>4109203</v>
      </c>
      <c r="C340" s="69">
        <v>100</v>
      </c>
      <c r="D340" s="69">
        <v>273</v>
      </c>
      <c r="E340" s="70">
        <v>0.36630036630036628</v>
      </c>
      <c r="F340" s="70">
        <v>43.705417389627925</v>
      </c>
      <c r="G340" s="69">
        <v>679</v>
      </c>
      <c r="H340" s="69">
        <v>568</v>
      </c>
      <c r="I340" s="70">
        <v>1.1954225352112675</v>
      </c>
      <c r="J340" s="70">
        <v>69.279231777669466</v>
      </c>
      <c r="K340" s="69">
        <v>0</v>
      </c>
      <c r="L340" s="69">
        <v>2</v>
      </c>
      <c r="M340" s="70">
        <v>0</v>
      </c>
      <c r="N340" s="70">
        <v>100</v>
      </c>
      <c r="O340" s="27">
        <f t="shared" si="10"/>
        <v>64.172516639231333</v>
      </c>
      <c r="P340" s="71">
        <f t="shared" si="11"/>
        <v>61.275802161339222</v>
      </c>
    </row>
    <row r="341" spans="1:16" ht="18" x14ac:dyDescent="0.25">
      <c r="A341" s="55" t="s">
        <v>361</v>
      </c>
      <c r="B341" s="56">
        <v>4123204</v>
      </c>
      <c r="C341" s="69">
        <v>88</v>
      </c>
      <c r="D341" s="69">
        <v>196</v>
      </c>
      <c r="E341" s="70">
        <v>0.44897959183673469</v>
      </c>
      <c r="F341" s="70">
        <v>30.998925886143937</v>
      </c>
      <c r="G341" s="69">
        <v>431</v>
      </c>
      <c r="H341" s="69">
        <v>424</v>
      </c>
      <c r="I341" s="70">
        <v>1.0165094339622642</v>
      </c>
      <c r="J341" s="70">
        <v>81.450080672081896</v>
      </c>
      <c r="K341" s="69">
        <v>1</v>
      </c>
      <c r="L341" s="69">
        <v>2</v>
      </c>
      <c r="M341" s="70">
        <v>0.5</v>
      </c>
      <c r="N341" s="70">
        <v>50</v>
      </c>
      <c r="O341" s="27">
        <f t="shared" si="10"/>
        <v>48.361983111092442</v>
      </c>
      <c r="P341" s="71">
        <f t="shared" si="11"/>
        <v>34.636092866183063</v>
      </c>
    </row>
    <row r="342" spans="1:16" ht="18" x14ac:dyDescent="0.25">
      <c r="A342" s="55" t="s">
        <v>328</v>
      </c>
      <c r="B342" s="56">
        <v>4107850</v>
      </c>
      <c r="C342" s="69">
        <v>83</v>
      </c>
      <c r="D342" s="69">
        <v>268</v>
      </c>
      <c r="E342" s="70">
        <v>0.30970149253731344</v>
      </c>
      <c r="F342" s="70">
        <v>52.403770620581305</v>
      </c>
      <c r="G342" s="69">
        <v>687</v>
      </c>
      <c r="H342" s="69">
        <v>570</v>
      </c>
      <c r="I342" s="70">
        <v>1.2052631578947368</v>
      </c>
      <c r="J342" s="70">
        <v>68.609807733978329</v>
      </c>
      <c r="K342" s="69">
        <v>1</v>
      </c>
      <c r="L342" s="69">
        <v>2</v>
      </c>
      <c r="M342" s="70">
        <v>0.5</v>
      </c>
      <c r="N342" s="70">
        <v>50</v>
      </c>
      <c r="O342" s="27">
        <f t="shared" si="10"/>
        <v>55.854337243785238</v>
      </c>
      <c r="P342" s="71">
        <f t="shared" si="11"/>
        <v>47.260216883001924</v>
      </c>
    </row>
    <row r="343" spans="1:16" ht="18" x14ac:dyDescent="0.25">
      <c r="A343" s="55" t="s">
        <v>347</v>
      </c>
      <c r="B343" s="56">
        <v>4106555</v>
      </c>
      <c r="C343" s="69">
        <v>83</v>
      </c>
      <c r="D343" s="69">
        <v>219</v>
      </c>
      <c r="E343" s="70">
        <v>0.37899543378995432</v>
      </c>
      <c r="F343" s="70">
        <v>41.754385964912288</v>
      </c>
      <c r="G343" s="69">
        <v>494</v>
      </c>
      <c r="H343" s="69">
        <v>460</v>
      </c>
      <c r="I343" s="70">
        <v>1.0739130434782609</v>
      </c>
      <c r="J343" s="70">
        <v>77.545108635178352</v>
      </c>
      <c r="K343" s="69">
        <v>0</v>
      </c>
      <c r="L343" s="69">
        <v>1</v>
      </c>
      <c r="M343" s="70">
        <v>0</v>
      </c>
      <c r="N343" s="70">
        <v>100</v>
      </c>
      <c r="O343" s="27">
        <f t="shared" si="10"/>
        <v>65.263470141250735</v>
      </c>
      <c r="P343" s="71">
        <f t="shared" si="11"/>
        <v>63.113987071203582</v>
      </c>
    </row>
    <row r="344" spans="1:16" ht="18" x14ac:dyDescent="0.25">
      <c r="A344" s="55" t="s">
        <v>243</v>
      </c>
      <c r="B344" s="56">
        <v>4101309</v>
      </c>
      <c r="C344" s="69">
        <v>51</v>
      </c>
      <c r="D344" s="69">
        <v>390</v>
      </c>
      <c r="E344" s="70">
        <v>0.13076923076923078</v>
      </c>
      <c r="F344" s="70">
        <v>79.902834008097173</v>
      </c>
      <c r="G344" s="69">
        <v>1027</v>
      </c>
      <c r="H344" s="69">
        <v>883</v>
      </c>
      <c r="I344" s="70">
        <v>1.1630804077010193</v>
      </c>
      <c r="J344" s="70">
        <v>71.479356553904907</v>
      </c>
      <c r="K344" s="69">
        <v>0</v>
      </c>
      <c r="L344" s="69">
        <v>2</v>
      </c>
      <c r="M344" s="70">
        <v>0</v>
      </c>
      <c r="N344" s="70">
        <v>100</v>
      </c>
      <c r="O344" s="27">
        <f t="shared" si="10"/>
        <v>82.821256142524817</v>
      </c>
      <c r="P344" s="71">
        <f t="shared" si="11"/>
        <v>92.697701884372336</v>
      </c>
    </row>
    <row r="345" spans="1:16" ht="18" x14ac:dyDescent="0.25">
      <c r="A345" s="55" t="s">
        <v>362</v>
      </c>
      <c r="B345" s="56">
        <v>4123956</v>
      </c>
      <c r="C345" s="69">
        <v>95</v>
      </c>
      <c r="D345" s="69">
        <v>221</v>
      </c>
      <c r="E345" s="70">
        <v>0.42986425339366519</v>
      </c>
      <c r="F345" s="70">
        <v>33.936651583710407</v>
      </c>
      <c r="G345" s="69">
        <v>521</v>
      </c>
      <c r="H345" s="69">
        <v>493</v>
      </c>
      <c r="I345" s="70">
        <v>1.0567951318458417</v>
      </c>
      <c r="J345" s="70">
        <v>78.709581859395286</v>
      </c>
      <c r="K345" s="69">
        <v>1</v>
      </c>
      <c r="L345" s="69">
        <v>3</v>
      </c>
      <c r="M345" s="70">
        <v>0.33333333333333331</v>
      </c>
      <c r="N345" s="70">
        <v>66.666666666666671</v>
      </c>
      <c r="O345" s="27">
        <f t="shared" si="10"/>
        <v>53.312387923370693</v>
      </c>
      <c r="P345" s="71">
        <f t="shared" si="11"/>
        <v>42.977199436541689</v>
      </c>
    </row>
    <row r="346" spans="1:16" ht="18" x14ac:dyDescent="0.25">
      <c r="A346" s="55" t="s">
        <v>374</v>
      </c>
      <c r="B346" s="56">
        <v>4128625</v>
      </c>
      <c r="C346" s="69">
        <v>91</v>
      </c>
      <c r="D346" s="69">
        <v>205</v>
      </c>
      <c r="E346" s="70">
        <v>0.44390243902439025</v>
      </c>
      <c r="F346" s="70">
        <v>31.779204107830555</v>
      </c>
      <c r="G346" s="69">
        <v>528</v>
      </c>
      <c r="H346" s="69">
        <v>436</v>
      </c>
      <c r="I346" s="70">
        <v>1.2110091743119267</v>
      </c>
      <c r="J346" s="70">
        <v>68.218925808226558</v>
      </c>
      <c r="K346" s="69">
        <v>1</v>
      </c>
      <c r="L346" s="69">
        <v>2</v>
      </c>
      <c r="M346" s="70">
        <v>0.5</v>
      </c>
      <c r="N346" s="70">
        <v>50</v>
      </c>
      <c r="O346" s="27">
        <f t="shared" si="10"/>
        <v>45.444333505971919</v>
      </c>
      <c r="P346" s="71">
        <f t="shared" si="11"/>
        <v>29.720045146021963</v>
      </c>
    </row>
    <row r="347" spans="1:16" ht="18" x14ac:dyDescent="0.25">
      <c r="A347" s="55" t="s">
        <v>321</v>
      </c>
      <c r="B347" s="56">
        <v>4115457</v>
      </c>
      <c r="C347" s="69">
        <v>77</v>
      </c>
      <c r="D347" s="69">
        <v>307</v>
      </c>
      <c r="E347" s="70">
        <v>0.250814332247557</v>
      </c>
      <c r="F347" s="70">
        <v>61.45379735984914</v>
      </c>
      <c r="G347" s="69">
        <v>673</v>
      </c>
      <c r="H347" s="69">
        <v>649</v>
      </c>
      <c r="I347" s="70">
        <v>1.036979969183359</v>
      </c>
      <c r="J347" s="70">
        <v>80.057539884267001</v>
      </c>
      <c r="K347" s="69">
        <v>1</v>
      </c>
      <c r="L347" s="69">
        <v>2</v>
      </c>
      <c r="M347" s="70">
        <v>0.5</v>
      </c>
      <c r="N347" s="70">
        <v>50</v>
      </c>
      <c r="O347" s="27">
        <f t="shared" si="10"/>
        <v>63.241283650991321</v>
      </c>
      <c r="P347" s="71">
        <f t="shared" si="11"/>
        <v>59.706735813981517</v>
      </c>
    </row>
    <row r="348" spans="1:16" ht="18" x14ac:dyDescent="0.25">
      <c r="A348" s="55" t="s">
        <v>273</v>
      </c>
      <c r="B348" s="56">
        <v>4107405</v>
      </c>
      <c r="C348" s="69">
        <v>77</v>
      </c>
      <c r="D348" s="69">
        <v>346</v>
      </c>
      <c r="E348" s="70">
        <v>0.22254335260115607</v>
      </c>
      <c r="F348" s="70">
        <v>65.798600547611812</v>
      </c>
      <c r="G348" s="69">
        <v>887</v>
      </c>
      <c r="H348" s="69">
        <v>782</v>
      </c>
      <c r="I348" s="70">
        <v>1.1342710997442456</v>
      </c>
      <c r="J348" s="70">
        <v>73.439155648810143</v>
      </c>
      <c r="K348" s="69">
        <v>1</v>
      </c>
      <c r="L348" s="69">
        <v>2</v>
      </c>
      <c r="M348" s="70">
        <v>0.5</v>
      </c>
      <c r="N348" s="70">
        <v>50</v>
      </c>
      <c r="O348" s="27">
        <f t="shared" si="10"/>
        <v>63.759089186008438</v>
      </c>
      <c r="P348" s="71">
        <f t="shared" si="11"/>
        <v>60.57920408962373</v>
      </c>
    </row>
    <row r="349" spans="1:16" ht="18" x14ac:dyDescent="0.25">
      <c r="A349" s="55" t="s">
        <v>351</v>
      </c>
      <c r="B349" s="56">
        <v>4116406</v>
      </c>
      <c r="C349" s="69">
        <v>83</v>
      </c>
      <c r="D349" s="69">
        <v>212</v>
      </c>
      <c r="E349" s="70">
        <v>0.39150943396226418</v>
      </c>
      <c r="F349" s="70">
        <v>39.831181727904671</v>
      </c>
      <c r="G349" s="69">
        <v>496</v>
      </c>
      <c r="H349" s="69">
        <v>472</v>
      </c>
      <c r="I349" s="70">
        <v>1.0508474576271187</v>
      </c>
      <c r="J349" s="70">
        <v>79.114181878532648</v>
      </c>
      <c r="K349" s="69">
        <v>0</v>
      </c>
      <c r="L349" s="69">
        <v>2</v>
      </c>
      <c r="M349" s="70">
        <v>0</v>
      </c>
      <c r="N349" s="70">
        <v>100</v>
      </c>
      <c r="O349" s="27">
        <f t="shared" si="10"/>
        <v>64.694136333585504</v>
      </c>
      <c r="P349" s="71">
        <f t="shared" si="11"/>
        <v>62.154697044645481</v>
      </c>
    </row>
    <row r="350" spans="1:16" ht="18" x14ac:dyDescent="0.25">
      <c r="A350" s="55" t="s">
        <v>367</v>
      </c>
      <c r="B350" s="56">
        <v>4103222</v>
      </c>
      <c r="C350" s="69">
        <v>91</v>
      </c>
      <c r="D350" s="69">
        <v>205</v>
      </c>
      <c r="E350" s="70">
        <v>0.44390243902439025</v>
      </c>
      <c r="F350" s="70">
        <v>31.779204107830555</v>
      </c>
      <c r="G350" s="69">
        <v>497</v>
      </c>
      <c r="H350" s="69">
        <v>412</v>
      </c>
      <c r="I350" s="70">
        <v>1.2063106796116505</v>
      </c>
      <c r="J350" s="70">
        <v>68.538548399468056</v>
      </c>
      <c r="K350" s="69">
        <v>1</v>
      </c>
      <c r="L350" s="69">
        <v>2</v>
      </c>
      <c r="M350" s="70">
        <v>0.5</v>
      </c>
      <c r="N350" s="70">
        <v>50</v>
      </c>
      <c r="O350" s="27">
        <f t="shared" si="10"/>
        <v>45.52423915378229</v>
      </c>
      <c r="P350" s="71">
        <f t="shared" si="11"/>
        <v>29.854680907991721</v>
      </c>
    </row>
    <row r="351" spans="1:16" ht="18" x14ac:dyDescent="0.25">
      <c r="A351" s="55" t="s">
        <v>394</v>
      </c>
      <c r="B351" s="56">
        <v>4115903</v>
      </c>
      <c r="C351" s="69">
        <v>85</v>
      </c>
      <c r="D351" s="69">
        <v>171</v>
      </c>
      <c r="E351" s="70">
        <v>0.49707602339181284</v>
      </c>
      <c r="F351" s="70">
        <v>23.60726377346877</v>
      </c>
      <c r="G351" s="69">
        <v>322</v>
      </c>
      <c r="H351" s="69">
        <v>320</v>
      </c>
      <c r="I351" s="70">
        <v>1.0062500000000001</v>
      </c>
      <c r="J351" s="70">
        <v>82.147995020585284</v>
      </c>
      <c r="K351" s="69">
        <v>0</v>
      </c>
      <c r="L351" s="69">
        <v>3</v>
      </c>
      <c r="M351" s="70">
        <v>0</v>
      </c>
      <c r="N351" s="70">
        <v>100</v>
      </c>
      <c r="O351" s="27">
        <f t="shared" si="10"/>
        <v>57.340630641880708</v>
      </c>
      <c r="P351" s="71">
        <f t="shared" si="11"/>
        <v>49.764523520226064</v>
      </c>
    </row>
    <row r="352" spans="1:16" ht="18" x14ac:dyDescent="0.25">
      <c r="A352" s="55" t="s">
        <v>339</v>
      </c>
      <c r="B352" s="56">
        <v>4102208</v>
      </c>
      <c r="C352" s="69">
        <v>116</v>
      </c>
      <c r="D352" s="69">
        <v>190</v>
      </c>
      <c r="E352" s="70">
        <v>0.61052631578947369</v>
      </c>
      <c r="F352" s="70">
        <v>6.1717451523545757</v>
      </c>
      <c r="G352" s="69">
        <v>506</v>
      </c>
      <c r="H352" s="69">
        <v>421</v>
      </c>
      <c r="I352" s="70">
        <v>1.2019002375296912</v>
      </c>
      <c r="J352" s="70">
        <v>68.838575752201578</v>
      </c>
      <c r="K352" s="69">
        <v>0</v>
      </c>
      <c r="L352" s="69">
        <v>1</v>
      </c>
      <c r="M352" s="70">
        <v>0</v>
      </c>
      <c r="N352" s="70">
        <v>100</v>
      </c>
      <c r="O352" s="27">
        <f t="shared" si="10"/>
        <v>45.295516514227685</v>
      </c>
      <c r="P352" s="71">
        <f t="shared" si="11"/>
        <v>29.46929830112958</v>
      </c>
    </row>
    <row r="353" spans="1:16" ht="18" x14ac:dyDescent="0.25">
      <c r="A353" s="55" t="s">
        <v>344</v>
      </c>
      <c r="B353" s="56">
        <v>4103958</v>
      </c>
      <c r="C353" s="69">
        <v>61</v>
      </c>
      <c r="D353" s="69">
        <v>276</v>
      </c>
      <c r="E353" s="70">
        <v>0.2210144927536232</v>
      </c>
      <c r="F353" s="70">
        <v>66.033562166285293</v>
      </c>
      <c r="G353" s="69">
        <v>682</v>
      </c>
      <c r="H353" s="69">
        <v>557</v>
      </c>
      <c r="I353" s="70">
        <v>1.2244165170556554</v>
      </c>
      <c r="J353" s="70">
        <v>67.306869947194812</v>
      </c>
      <c r="K353" s="69">
        <v>0</v>
      </c>
      <c r="L353" s="69">
        <v>3</v>
      </c>
      <c r="M353" s="70">
        <v>0</v>
      </c>
      <c r="N353" s="70">
        <v>100</v>
      </c>
      <c r="O353" s="27">
        <f t="shared" si="10"/>
        <v>74.843498569941346</v>
      </c>
      <c r="P353" s="71">
        <f t="shared" si="11"/>
        <v>79.255704991439444</v>
      </c>
    </row>
    <row r="354" spans="1:16" ht="18" x14ac:dyDescent="0.25">
      <c r="A354" s="55" t="s">
        <v>364</v>
      </c>
      <c r="B354" s="56">
        <v>4116604</v>
      </c>
      <c r="C354" s="69">
        <v>92</v>
      </c>
      <c r="D354" s="69">
        <v>175</v>
      </c>
      <c r="E354" s="70">
        <v>0.52571428571428569</v>
      </c>
      <c r="F354" s="70">
        <v>19.206015037593996</v>
      </c>
      <c r="G354" s="69">
        <v>410</v>
      </c>
      <c r="H354" s="69">
        <v>402</v>
      </c>
      <c r="I354" s="70">
        <v>1.0199004975124377</v>
      </c>
      <c r="J354" s="70">
        <v>81.219398168830935</v>
      </c>
      <c r="K354" s="69">
        <v>1</v>
      </c>
      <c r="L354" s="69">
        <v>2</v>
      </c>
      <c r="M354" s="70">
        <v>0.5</v>
      </c>
      <c r="N354" s="70">
        <v>50</v>
      </c>
      <c r="O354" s="27">
        <f t="shared" si="10"/>
        <v>42.407857061004734</v>
      </c>
      <c r="P354" s="71">
        <f t="shared" si="11"/>
        <v>24.603782014765255</v>
      </c>
    </row>
    <row r="355" spans="1:16" ht="18" x14ac:dyDescent="0.25">
      <c r="A355" s="55" t="s">
        <v>378</v>
      </c>
      <c r="B355" s="56">
        <v>4101051</v>
      </c>
      <c r="C355" s="69">
        <v>91</v>
      </c>
      <c r="D355" s="69">
        <v>168</v>
      </c>
      <c r="E355" s="70">
        <v>0.54166666666666663</v>
      </c>
      <c r="F355" s="70">
        <v>16.754385964912291</v>
      </c>
      <c r="G355" s="69">
        <v>380</v>
      </c>
      <c r="H355" s="69">
        <v>366</v>
      </c>
      <c r="I355" s="70">
        <v>1.0382513661202186</v>
      </c>
      <c r="J355" s="70">
        <v>79.971051081069746</v>
      </c>
      <c r="K355" s="69">
        <v>0</v>
      </c>
      <c r="L355" s="69">
        <v>1</v>
      </c>
      <c r="M355" s="70">
        <v>0</v>
      </c>
      <c r="N355" s="70">
        <v>100</v>
      </c>
      <c r="O355" s="27">
        <f t="shared" si="10"/>
        <v>53.369955752723584</v>
      </c>
      <c r="P355" s="71">
        <f t="shared" si="11"/>
        <v>43.074197443344232</v>
      </c>
    </row>
    <row r="356" spans="1:16" ht="18" x14ac:dyDescent="0.25">
      <c r="A356" s="55" t="s">
        <v>345</v>
      </c>
      <c r="B356" s="56">
        <v>4128658</v>
      </c>
      <c r="C356" s="69">
        <v>84</v>
      </c>
      <c r="D356" s="69">
        <v>237</v>
      </c>
      <c r="E356" s="70">
        <v>0.35443037974683544</v>
      </c>
      <c r="F356" s="70">
        <v>45.529646902065295</v>
      </c>
      <c r="G356" s="69">
        <v>592</v>
      </c>
      <c r="H356" s="69">
        <v>521</v>
      </c>
      <c r="I356" s="70">
        <v>1.1362763915547025</v>
      </c>
      <c r="J356" s="70">
        <v>73.302742477030691</v>
      </c>
      <c r="K356" s="69">
        <v>0</v>
      </c>
      <c r="L356" s="69">
        <v>1</v>
      </c>
      <c r="M356" s="70">
        <v>0</v>
      </c>
      <c r="N356" s="70">
        <v>100</v>
      </c>
      <c r="O356" s="27">
        <f t="shared" si="10"/>
        <v>66.090509070290324</v>
      </c>
      <c r="P356" s="71">
        <f t="shared" si="11"/>
        <v>64.507493280603796</v>
      </c>
    </row>
    <row r="357" spans="1:16" ht="18" x14ac:dyDescent="0.25">
      <c r="A357" s="55" t="s">
        <v>358</v>
      </c>
      <c r="B357" s="56">
        <v>4106100</v>
      </c>
      <c r="C357" s="69">
        <v>88</v>
      </c>
      <c r="D357" s="69">
        <v>210</v>
      </c>
      <c r="E357" s="70">
        <v>0.41904761904761906</v>
      </c>
      <c r="F357" s="70">
        <v>35.598997493734345</v>
      </c>
      <c r="G357" s="69">
        <v>539</v>
      </c>
      <c r="H357" s="69">
        <v>450</v>
      </c>
      <c r="I357" s="70">
        <v>1.1977777777777778</v>
      </c>
      <c r="J357" s="70">
        <v>69.119012647898813</v>
      </c>
      <c r="K357" s="69">
        <v>1</v>
      </c>
      <c r="L357" s="69">
        <v>2</v>
      </c>
      <c r="M357" s="70">
        <v>0.5</v>
      </c>
      <c r="N357" s="70">
        <v>50</v>
      </c>
      <c r="O357" s="27">
        <f t="shared" si="10"/>
        <v>47.579251908841876</v>
      </c>
      <c r="P357" s="71">
        <f t="shared" si="11"/>
        <v>33.317242262748827</v>
      </c>
    </row>
    <row r="358" spans="1:16" ht="18" x14ac:dyDescent="0.25">
      <c r="A358" s="55" t="s">
        <v>346</v>
      </c>
      <c r="B358" s="56">
        <v>4122172</v>
      </c>
      <c r="C358" s="69">
        <v>50</v>
      </c>
      <c r="D358" s="69">
        <v>252</v>
      </c>
      <c r="E358" s="70">
        <v>0.1984126984126984</v>
      </c>
      <c r="F358" s="70">
        <v>69.507101086048465</v>
      </c>
      <c r="G358" s="69">
        <v>669</v>
      </c>
      <c r="H358" s="69">
        <v>587</v>
      </c>
      <c r="I358" s="70">
        <v>1.1396933560477003</v>
      </c>
      <c r="J358" s="70">
        <v>73.070298020858814</v>
      </c>
      <c r="K358" s="69">
        <v>1</v>
      </c>
      <c r="L358" s="69">
        <v>2</v>
      </c>
      <c r="M358" s="70">
        <v>0.5</v>
      </c>
      <c r="N358" s="70">
        <v>50</v>
      </c>
      <c r="O358" s="27">
        <f t="shared" si="10"/>
        <v>65.521125048238929</v>
      </c>
      <c r="P358" s="71">
        <f t="shared" si="11"/>
        <v>63.548118646107113</v>
      </c>
    </row>
    <row r="359" spans="1:16" ht="18" x14ac:dyDescent="0.25">
      <c r="A359" s="55" t="s">
        <v>388</v>
      </c>
      <c r="B359" s="56">
        <v>4110300</v>
      </c>
      <c r="C359" s="69">
        <v>95</v>
      </c>
      <c r="D359" s="69">
        <v>146</v>
      </c>
      <c r="E359" s="70">
        <v>0.65068493150684936</v>
      </c>
      <c r="F359" s="70">
        <v>0</v>
      </c>
      <c r="G359" s="69">
        <v>318</v>
      </c>
      <c r="H359" s="69">
        <v>334</v>
      </c>
      <c r="I359" s="70">
        <v>0.95209580838323349</v>
      </c>
      <c r="J359" s="70">
        <v>85.831920225422081</v>
      </c>
      <c r="K359" s="69">
        <v>0</v>
      </c>
      <c r="L359" s="69">
        <v>1</v>
      </c>
      <c r="M359" s="70">
        <v>0</v>
      </c>
      <c r="N359" s="70">
        <v>100</v>
      </c>
      <c r="O359" s="27">
        <f t="shared" si="10"/>
        <v>46.457980056355524</v>
      </c>
      <c r="P359" s="71">
        <f t="shared" si="11"/>
        <v>31.42797292608061</v>
      </c>
    </row>
    <row r="360" spans="1:16" ht="18" x14ac:dyDescent="0.25">
      <c r="A360" s="55" t="s">
        <v>356</v>
      </c>
      <c r="B360" s="56">
        <v>4101655</v>
      </c>
      <c r="C360" s="69">
        <v>72</v>
      </c>
      <c r="D360" s="69">
        <v>182</v>
      </c>
      <c r="E360" s="70">
        <v>0.39560439560439559</v>
      </c>
      <c r="F360" s="70">
        <v>39.201850780798161</v>
      </c>
      <c r="G360" s="69">
        <v>494</v>
      </c>
      <c r="H360" s="69">
        <v>433</v>
      </c>
      <c r="I360" s="70">
        <v>1.1408775981524248</v>
      </c>
      <c r="J360" s="70">
        <v>72.989738064039642</v>
      </c>
      <c r="K360" s="69">
        <v>0</v>
      </c>
      <c r="L360" s="69">
        <v>3</v>
      </c>
      <c r="M360" s="70">
        <v>0</v>
      </c>
      <c r="N360" s="70">
        <v>100</v>
      </c>
      <c r="O360" s="27">
        <f t="shared" si="10"/>
        <v>62.848359906408987</v>
      </c>
      <c r="P360" s="71">
        <f t="shared" si="11"/>
        <v>59.044685143002681</v>
      </c>
    </row>
    <row r="361" spans="1:16" ht="18" x14ac:dyDescent="0.25">
      <c r="A361" s="55" t="s">
        <v>355</v>
      </c>
      <c r="B361" s="56">
        <v>4120309</v>
      </c>
      <c r="C361" s="69">
        <v>70</v>
      </c>
      <c r="D361" s="69">
        <v>220</v>
      </c>
      <c r="E361" s="70">
        <v>0.31818181818181818</v>
      </c>
      <c r="F361" s="70">
        <v>51.100478468899524</v>
      </c>
      <c r="G361" s="69">
        <v>605</v>
      </c>
      <c r="H361" s="69">
        <v>497</v>
      </c>
      <c r="I361" s="70">
        <v>1.2173038229376258</v>
      </c>
      <c r="J361" s="70">
        <v>67.790722301988183</v>
      </c>
      <c r="K361" s="69">
        <v>0</v>
      </c>
      <c r="L361" s="69">
        <v>1</v>
      </c>
      <c r="M361" s="70">
        <v>0</v>
      </c>
      <c r="N361" s="70">
        <v>100</v>
      </c>
      <c r="O361" s="27">
        <f t="shared" si="10"/>
        <v>67.497919809946808</v>
      </c>
      <c r="P361" s="71">
        <f t="shared" si="11"/>
        <v>66.878887825677253</v>
      </c>
    </row>
    <row r="362" spans="1:16" ht="18" x14ac:dyDescent="0.25">
      <c r="A362" s="55" t="s">
        <v>363</v>
      </c>
      <c r="B362" s="56">
        <v>4112900</v>
      </c>
      <c r="C362" s="69">
        <v>66</v>
      </c>
      <c r="D362" s="69">
        <v>222</v>
      </c>
      <c r="E362" s="70">
        <v>0.29729729729729731</v>
      </c>
      <c r="F362" s="70">
        <v>54.310099573257467</v>
      </c>
      <c r="G362" s="69">
        <v>446</v>
      </c>
      <c r="H362" s="69">
        <v>413</v>
      </c>
      <c r="I362" s="70">
        <v>1.0799031476997578</v>
      </c>
      <c r="J362" s="70">
        <v>77.137622247470176</v>
      </c>
      <c r="K362" s="69">
        <v>1</v>
      </c>
      <c r="L362" s="69">
        <v>2</v>
      </c>
      <c r="M362" s="70">
        <v>0.5</v>
      </c>
      <c r="N362" s="70">
        <v>50</v>
      </c>
      <c r="O362" s="27">
        <f t="shared" si="10"/>
        <v>58.939455348496281</v>
      </c>
      <c r="P362" s="71">
        <f t="shared" si="11"/>
        <v>52.458438012254341</v>
      </c>
    </row>
    <row r="363" spans="1:16" ht="18" x14ac:dyDescent="0.25">
      <c r="A363" s="55" t="s">
        <v>352</v>
      </c>
      <c r="B363" s="56">
        <v>4123824</v>
      </c>
      <c r="C363" s="69">
        <v>52</v>
      </c>
      <c r="D363" s="69">
        <v>230</v>
      </c>
      <c r="E363" s="70">
        <v>0.22608695652173913</v>
      </c>
      <c r="F363" s="70">
        <v>65.254004576659042</v>
      </c>
      <c r="G363" s="69">
        <v>563</v>
      </c>
      <c r="H363" s="69">
        <v>475</v>
      </c>
      <c r="I363" s="70">
        <v>1.1852631578947368</v>
      </c>
      <c r="J363" s="70">
        <v>69.970339613359656</v>
      </c>
      <c r="K363" s="69">
        <v>0</v>
      </c>
      <c r="L363" s="69">
        <v>1</v>
      </c>
      <c r="M363" s="70">
        <v>0</v>
      </c>
      <c r="N363" s="70">
        <v>100</v>
      </c>
      <c r="O363" s="27">
        <f t="shared" si="10"/>
        <v>75.119587191669439</v>
      </c>
      <c r="P363" s="71">
        <f t="shared" si="11"/>
        <v>79.720896163479708</v>
      </c>
    </row>
    <row r="364" spans="1:16" ht="18" x14ac:dyDescent="0.25">
      <c r="A364" s="55" t="s">
        <v>369</v>
      </c>
      <c r="B364" s="56">
        <v>4117404</v>
      </c>
      <c r="C364" s="69">
        <v>77</v>
      </c>
      <c r="D364" s="69">
        <v>157</v>
      </c>
      <c r="E364" s="70">
        <v>0.49044585987261147</v>
      </c>
      <c r="F364" s="70">
        <v>24.626215219577613</v>
      </c>
      <c r="G364" s="69">
        <v>439</v>
      </c>
      <c r="H364" s="69">
        <v>388</v>
      </c>
      <c r="I364" s="70">
        <v>1.1314432989690721</v>
      </c>
      <c r="J364" s="70">
        <v>73.63152130396827</v>
      </c>
      <c r="K364" s="69">
        <v>0</v>
      </c>
      <c r="L364" s="69">
        <v>1</v>
      </c>
      <c r="M364" s="70">
        <v>0</v>
      </c>
      <c r="N364" s="70">
        <v>100</v>
      </c>
      <c r="O364" s="27">
        <f t="shared" si="10"/>
        <v>55.720987935780876</v>
      </c>
      <c r="P364" s="71">
        <f t="shared" si="11"/>
        <v>47.035532068057243</v>
      </c>
    </row>
    <row r="365" spans="1:16" ht="18" x14ac:dyDescent="0.25">
      <c r="A365" s="55" t="s">
        <v>353</v>
      </c>
      <c r="B365" s="56">
        <v>4100459</v>
      </c>
      <c r="C365" s="69">
        <v>53</v>
      </c>
      <c r="D365" s="69">
        <v>209</v>
      </c>
      <c r="E365" s="70">
        <v>0.25358851674641147</v>
      </c>
      <c r="F365" s="70">
        <v>61.027449005288346</v>
      </c>
      <c r="G365" s="69">
        <v>513</v>
      </c>
      <c r="H365" s="69">
        <v>467</v>
      </c>
      <c r="I365" s="70">
        <v>1.0985010706638116</v>
      </c>
      <c r="J365" s="70">
        <v>75.872468893326513</v>
      </c>
      <c r="K365" s="69">
        <v>1</v>
      </c>
      <c r="L365" s="69">
        <v>2</v>
      </c>
      <c r="M365" s="70">
        <v>0.5</v>
      </c>
      <c r="N365" s="70">
        <v>50</v>
      </c>
      <c r="O365" s="27">
        <f t="shared" si="10"/>
        <v>61.981841725975798</v>
      </c>
      <c r="P365" s="71">
        <f t="shared" si="11"/>
        <v>57.584658991157497</v>
      </c>
    </row>
    <row r="366" spans="1:16" ht="18" x14ac:dyDescent="0.25">
      <c r="A366" s="55" t="s">
        <v>375</v>
      </c>
      <c r="B366" s="56">
        <v>4119657</v>
      </c>
      <c r="C366" s="69">
        <v>94</v>
      </c>
      <c r="D366" s="69">
        <v>181</v>
      </c>
      <c r="E366" s="70">
        <v>0.51933701657458564</v>
      </c>
      <c r="F366" s="70">
        <v>20.186100610642633</v>
      </c>
      <c r="G366" s="69">
        <v>419</v>
      </c>
      <c r="H366" s="69">
        <v>405</v>
      </c>
      <c r="I366" s="70">
        <v>1.0345679012345679</v>
      </c>
      <c r="J366" s="70">
        <v>80.221624651245222</v>
      </c>
      <c r="K366" s="69">
        <v>0</v>
      </c>
      <c r="L366" s="69">
        <v>1</v>
      </c>
      <c r="M366" s="70">
        <v>0</v>
      </c>
      <c r="N366" s="70">
        <v>100</v>
      </c>
      <c r="O366" s="27">
        <f t="shared" si="10"/>
        <v>55.148456468132622</v>
      </c>
      <c r="P366" s="71">
        <f t="shared" si="11"/>
        <v>46.070854194705682</v>
      </c>
    </row>
    <row r="367" spans="1:16" ht="18" x14ac:dyDescent="0.25">
      <c r="A367" s="55" t="s">
        <v>357</v>
      </c>
      <c r="B367" s="56">
        <v>4121307</v>
      </c>
      <c r="C367" s="69">
        <v>84</v>
      </c>
      <c r="D367" s="69">
        <v>163</v>
      </c>
      <c r="E367" s="70">
        <v>0.51533742331288346</v>
      </c>
      <c r="F367" s="70">
        <v>20.800774943493707</v>
      </c>
      <c r="G367" s="69">
        <v>393</v>
      </c>
      <c r="H367" s="69">
        <v>366</v>
      </c>
      <c r="I367" s="70">
        <v>1.0737704918032787</v>
      </c>
      <c r="J367" s="70">
        <v>77.554805940091981</v>
      </c>
      <c r="K367" s="69">
        <v>0</v>
      </c>
      <c r="L367" s="69">
        <v>1</v>
      </c>
      <c r="M367" s="70">
        <v>0</v>
      </c>
      <c r="N367" s="70">
        <v>100</v>
      </c>
      <c r="O367" s="27">
        <f t="shared" si="10"/>
        <v>54.789088956769845</v>
      </c>
      <c r="P367" s="71">
        <f t="shared" si="11"/>
        <v>45.465343570045889</v>
      </c>
    </row>
    <row r="368" spans="1:16" ht="18" x14ac:dyDescent="0.25">
      <c r="A368" s="55" t="s">
        <v>343</v>
      </c>
      <c r="B368" s="56">
        <v>4113429</v>
      </c>
      <c r="C368" s="69">
        <v>78</v>
      </c>
      <c r="D368" s="69">
        <v>214</v>
      </c>
      <c r="E368" s="70">
        <v>0.3644859813084112</v>
      </c>
      <c r="F368" s="70">
        <v>43.984259714707335</v>
      </c>
      <c r="G368" s="69">
        <v>493</v>
      </c>
      <c r="H368" s="69">
        <v>486</v>
      </c>
      <c r="I368" s="70">
        <v>1.0144032921810699</v>
      </c>
      <c r="J368" s="70">
        <v>81.593354323872475</v>
      </c>
      <c r="K368" s="69">
        <v>0</v>
      </c>
      <c r="L368" s="69">
        <v>2</v>
      </c>
      <c r="M368" s="70">
        <v>0</v>
      </c>
      <c r="N368" s="70">
        <v>100</v>
      </c>
      <c r="O368" s="27">
        <f t="shared" si="10"/>
        <v>67.39046843832179</v>
      </c>
      <c r="P368" s="71">
        <f t="shared" si="11"/>
        <v>66.697839330484982</v>
      </c>
    </row>
    <row r="369" spans="1:16" ht="18" x14ac:dyDescent="0.25">
      <c r="A369" s="55" t="s">
        <v>390</v>
      </c>
      <c r="B369" s="56">
        <v>4103024</v>
      </c>
      <c r="C369" s="69">
        <v>83</v>
      </c>
      <c r="D369" s="69">
        <v>139</v>
      </c>
      <c r="E369" s="70">
        <v>0.59712230215827333</v>
      </c>
      <c r="F369" s="70">
        <v>8.2317304051495785</v>
      </c>
      <c r="G369" s="69">
        <v>355</v>
      </c>
      <c r="H369" s="69">
        <v>340</v>
      </c>
      <c r="I369" s="70">
        <v>1.0441176470588236</v>
      </c>
      <c r="J369" s="70">
        <v>79.57198796955079</v>
      </c>
      <c r="K369" s="69">
        <v>0</v>
      </c>
      <c r="L369" s="69">
        <v>1</v>
      </c>
      <c r="M369" s="70">
        <v>0</v>
      </c>
      <c r="N369" s="70">
        <v>100</v>
      </c>
      <c r="O369" s="27">
        <f t="shared" si="10"/>
        <v>49.008862194962489</v>
      </c>
      <c r="P369" s="71">
        <f t="shared" si="11"/>
        <v>35.726041583773466</v>
      </c>
    </row>
    <row r="370" spans="1:16" ht="18" x14ac:dyDescent="0.25">
      <c r="A370" s="55" t="s">
        <v>384</v>
      </c>
      <c r="B370" s="56">
        <v>4125902</v>
      </c>
      <c r="C370" s="69">
        <v>84</v>
      </c>
      <c r="D370" s="69">
        <v>157</v>
      </c>
      <c r="E370" s="70">
        <v>0.53503184713375795</v>
      </c>
      <c r="F370" s="70">
        <v>17.77405296681194</v>
      </c>
      <c r="G370" s="69">
        <v>364</v>
      </c>
      <c r="H370" s="69">
        <v>331</v>
      </c>
      <c r="I370" s="70">
        <v>1.0996978851963746</v>
      </c>
      <c r="J370" s="70">
        <v>75.791053677063587</v>
      </c>
      <c r="K370" s="69">
        <v>1</v>
      </c>
      <c r="L370" s="69">
        <v>3</v>
      </c>
      <c r="M370" s="70">
        <v>0.33333333333333331</v>
      </c>
      <c r="N370" s="70">
        <v>66.666666666666671</v>
      </c>
      <c r="O370" s="27">
        <f t="shared" si="10"/>
        <v>44.501456569338529</v>
      </c>
      <c r="P370" s="71">
        <f t="shared" si="11"/>
        <v>28.131359511326774</v>
      </c>
    </row>
    <row r="371" spans="1:16" ht="18" x14ac:dyDescent="0.25">
      <c r="A371" s="55" t="s">
        <v>389</v>
      </c>
      <c r="B371" s="56">
        <v>4124202</v>
      </c>
      <c r="C371" s="69">
        <v>76</v>
      </c>
      <c r="D371" s="69">
        <v>148</v>
      </c>
      <c r="E371" s="70">
        <v>0.51351351351351349</v>
      </c>
      <c r="F371" s="70">
        <v>21.081081081081091</v>
      </c>
      <c r="G371" s="69">
        <v>340</v>
      </c>
      <c r="H371" s="69">
        <v>288</v>
      </c>
      <c r="I371" s="70">
        <v>1.1805555555555556</v>
      </c>
      <c r="J371" s="70">
        <v>70.290581766254959</v>
      </c>
      <c r="K371" s="69">
        <v>1</v>
      </c>
      <c r="L371" s="69">
        <v>2</v>
      </c>
      <c r="M371" s="70">
        <v>0.5</v>
      </c>
      <c r="N371" s="70">
        <v>50</v>
      </c>
      <c r="O371" s="27">
        <f t="shared" si="10"/>
        <v>40.613185982104284</v>
      </c>
      <c r="P371" s="71">
        <f t="shared" si="11"/>
        <v>21.579879264282926</v>
      </c>
    </row>
    <row r="372" spans="1:16" ht="18" x14ac:dyDescent="0.25">
      <c r="A372" s="55" t="s">
        <v>371</v>
      </c>
      <c r="B372" s="56">
        <v>4107124</v>
      </c>
      <c r="C372" s="69">
        <v>47</v>
      </c>
      <c r="D372" s="69">
        <v>215</v>
      </c>
      <c r="E372" s="70">
        <v>0.21860465116279071</v>
      </c>
      <c r="F372" s="70">
        <v>66.403916768665852</v>
      </c>
      <c r="G372" s="69">
        <v>483</v>
      </c>
      <c r="H372" s="69">
        <v>407</v>
      </c>
      <c r="I372" s="70">
        <v>1.1867321867321867</v>
      </c>
      <c r="J372" s="70">
        <v>69.870406585105599</v>
      </c>
      <c r="K372" s="69">
        <v>0</v>
      </c>
      <c r="L372" s="69">
        <v>1</v>
      </c>
      <c r="M372" s="70">
        <v>0</v>
      </c>
      <c r="N372" s="70">
        <v>100</v>
      </c>
      <c r="O372" s="27">
        <f t="shared" si="10"/>
        <v>75.669560030609318</v>
      </c>
      <c r="P372" s="71">
        <f t="shared" si="11"/>
        <v>80.647564230911755</v>
      </c>
    </row>
    <row r="373" spans="1:16" ht="18" x14ac:dyDescent="0.25">
      <c r="A373" s="55" t="s">
        <v>337</v>
      </c>
      <c r="B373" s="56">
        <v>4102752</v>
      </c>
      <c r="C373" s="69">
        <v>61</v>
      </c>
      <c r="D373" s="69">
        <v>235</v>
      </c>
      <c r="E373" s="70">
        <v>0.25957446808510637</v>
      </c>
      <c r="F373" s="70">
        <v>60.10750279955208</v>
      </c>
      <c r="G373" s="69">
        <v>435</v>
      </c>
      <c r="H373" s="69">
        <v>517</v>
      </c>
      <c r="I373" s="70">
        <v>0.84139264990328821</v>
      </c>
      <c r="J373" s="70">
        <v>93.362679038430542</v>
      </c>
      <c r="K373" s="69">
        <v>1</v>
      </c>
      <c r="L373" s="69">
        <v>2</v>
      </c>
      <c r="M373" s="70">
        <v>0.5</v>
      </c>
      <c r="N373" s="70">
        <v>50</v>
      </c>
      <c r="O373" s="27">
        <f t="shared" si="10"/>
        <v>65.894421159383683</v>
      </c>
      <c r="P373" s="71">
        <f t="shared" si="11"/>
        <v>64.177098045455637</v>
      </c>
    </row>
    <row r="374" spans="1:16" ht="18" x14ac:dyDescent="0.25">
      <c r="A374" s="55" t="s">
        <v>380</v>
      </c>
      <c r="B374" s="56">
        <v>4102703</v>
      </c>
      <c r="C374" s="69">
        <v>77</v>
      </c>
      <c r="D374" s="69">
        <v>158</v>
      </c>
      <c r="E374" s="70">
        <v>0.48734177215189872</v>
      </c>
      <c r="F374" s="70">
        <v>25.103264490339782</v>
      </c>
      <c r="G374" s="69">
        <v>345</v>
      </c>
      <c r="H374" s="69">
        <v>319</v>
      </c>
      <c r="I374" s="70">
        <v>1.0815047021943573</v>
      </c>
      <c r="J374" s="70">
        <v>77.028673950146725</v>
      </c>
      <c r="K374" s="69">
        <v>0</v>
      </c>
      <c r="L374" s="69">
        <v>1</v>
      </c>
      <c r="M374" s="70">
        <v>0</v>
      </c>
      <c r="N374" s="70">
        <v>100</v>
      </c>
      <c r="O374" s="27">
        <f t="shared" si="10"/>
        <v>56.808800732706572</v>
      </c>
      <c r="P374" s="71">
        <f t="shared" si="11"/>
        <v>48.86842509637129</v>
      </c>
    </row>
    <row r="375" spans="1:16" ht="18" x14ac:dyDescent="0.25">
      <c r="A375" s="55" t="s">
        <v>334</v>
      </c>
      <c r="B375" s="56">
        <v>4120101</v>
      </c>
      <c r="C375" s="69">
        <v>47</v>
      </c>
      <c r="D375" s="69">
        <v>238</v>
      </c>
      <c r="E375" s="70">
        <v>0.19747899159663865</v>
      </c>
      <c r="F375" s="70">
        <v>69.650597080937644</v>
      </c>
      <c r="G375" s="69">
        <v>659</v>
      </c>
      <c r="H375" s="69">
        <v>566</v>
      </c>
      <c r="I375" s="70">
        <v>1.1643109540636043</v>
      </c>
      <c r="J375" s="70">
        <v>71.395646676137233</v>
      </c>
      <c r="K375" s="69">
        <v>2</v>
      </c>
      <c r="L375" s="69">
        <v>3</v>
      </c>
      <c r="M375" s="70">
        <v>0.66666666666666663</v>
      </c>
      <c r="N375" s="70">
        <v>33.333333333333336</v>
      </c>
      <c r="O375" s="27">
        <f t="shared" si="10"/>
        <v>61.007543542836466</v>
      </c>
      <c r="P375" s="71">
        <f t="shared" si="11"/>
        <v>55.943030622359139</v>
      </c>
    </row>
    <row r="376" spans="1:16" ht="18" x14ac:dyDescent="0.25">
      <c r="A376" s="55" t="s">
        <v>372</v>
      </c>
      <c r="B376" s="56">
        <v>4117297</v>
      </c>
      <c r="C376" s="69">
        <v>54</v>
      </c>
      <c r="D376" s="69">
        <v>168</v>
      </c>
      <c r="E376" s="70">
        <v>0.32142857142857145</v>
      </c>
      <c r="F376" s="70">
        <v>50.60150375939849</v>
      </c>
      <c r="G376" s="69">
        <v>403</v>
      </c>
      <c r="H376" s="69">
        <v>348</v>
      </c>
      <c r="I376" s="70">
        <v>1.1580459770114941</v>
      </c>
      <c r="J376" s="70">
        <v>71.821831726286632</v>
      </c>
      <c r="K376" s="69">
        <v>1</v>
      </c>
      <c r="L376" s="69">
        <v>2</v>
      </c>
      <c r="M376" s="70">
        <v>0.5</v>
      </c>
      <c r="N376" s="70">
        <v>50</v>
      </c>
      <c r="O376" s="27">
        <f t="shared" si="10"/>
        <v>55.756209811270907</v>
      </c>
      <c r="P376" s="71">
        <f t="shared" si="11"/>
        <v>47.094878612069479</v>
      </c>
    </row>
    <row r="377" spans="1:16" ht="18" x14ac:dyDescent="0.25">
      <c r="A377" s="55" t="s">
        <v>395</v>
      </c>
      <c r="B377" s="56">
        <v>4109104</v>
      </c>
      <c r="C377" s="69">
        <v>73</v>
      </c>
      <c r="D377" s="69">
        <v>113</v>
      </c>
      <c r="E377" s="70">
        <v>0.64601769911504425</v>
      </c>
      <c r="F377" s="70">
        <v>0.7172799254774167</v>
      </c>
      <c r="G377" s="69">
        <v>270</v>
      </c>
      <c r="H377" s="69">
        <v>260</v>
      </c>
      <c r="I377" s="70">
        <v>1.0384615384615385</v>
      </c>
      <c r="J377" s="70">
        <v>79.956753772543237</v>
      </c>
      <c r="K377" s="69">
        <v>0</v>
      </c>
      <c r="L377" s="69">
        <v>1</v>
      </c>
      <c r="M377" s="70">
        <v>0</v>
      </c>
      <c r="N377" s="70">
        <v>100</v>
      </c>
      <c r="O377" s="27">
        <f t="shared" si="10"/>
        <v>45.347828405874516</v>
      </c>
      <c r="P377" s="71">
        <f t="shared" si="11"/>
        <v>29.557440398527561</v>
      </c>
    </row>
    <row r="378" spans="1:16" ht="18" x14ac:dyDescent="0.25">
      <c r="A378" s="55" t="s">
        <v>379</v>
      </c>
      <c r="B378" s="56">
        <v>4106852</v>
      </c>
      <c r="C378" s="69">
        <v>70</v>
      </c>
      <c r="D378" s="69">
        <v>173</v>
      </c>
      <c r="E378" s="70">
        <v>0.40462427745664742</v>
      </c>
      <c r="F378" s="70">
        <v>37.815637359294193</v>
      </c>
      <c r="G378" s="69">
        <v>432</v>
      </c>
      <c r="H378" s="69">
        <v>367</v>
      </c>
      <c r="I378" s="70">
        <v>1.1771117166212535</v>
      </c>
      <c r="J378" s="70">
        <v>70.524854399133602</v>
      </c>
      <c r="K378" s="69">
        <v>0</v>
      </c>
      <c r="L378" s="69">
        <v>1</v>
      </c>
      <c r="M378" s="70">
        <v>0</v>
      </c>
      <c r="N378" s="70">
        <v>100</v>
      </c>
      <c r="O378" s="27">
        <f t="shared" si="10"/>
        <v>61.539032279430501</v>
      </c>
      <c r="P378" s="71">
        <f t="shared" si="11"/>
        <v>56.838554192851923</v>
      </c>
    </row>
    <row r="379" spans="1:16" ht="18" x14ac:dyDescent="0.25">
      <c r="A379" s="55" t="s">
        <v>382</v>
      </c>
      <c r="B379" s="56">
        <v>4119251</v>
      </c>
      <c r="C379" s="69">
        <v>77</v>
      </c>
      <c r="D379" s="69">
        <v>164</v>
      </c>
      <c r="E379" s="70">
        <v>0.46951219512195119</v>
      </c>
      <c r="F379" s="70">
        <v>27.843388960205402</v>
      </c>
      <c r="G379" s="69">
        <v>371</v>
      </c>
      <c r="H379" s="69">
        <v>352</v>
      </c>
      <c r="I379" s="70">
        <v>1.0539772727272727</v>
      </c>
      <c r="J379" s="70">
        <v>78.901271217516211</v>
      </c>
      <c r="K379" s="69">
        <v>1</v>
      </c>
      <c r="L379" s="69">
        <v>2</v>
      </c>
      <c r="M379" s="70">
        <v>0.5</v>
      </c>
      <c r="N379" s="70">
        <v>50</v>
      </c>
      <c r="O379" s="27">
        <f t="shared" si="10"/>
        <v>46.147012284481754</v>
      </c>
      <c r="P379" s="71">
        <f t="shared" si="11"/>
        <v>30.904012679695754</v>
      </c>
    </row>
    <row r="380" spans="1:16" ht="18" x14ac:dyDescent="0.25">
      <c r="A380" s="55" t="s">
        <v>373</v>
      </c>
      <c r="B380" s="56">
        <v>4120150</v>
      </c>
      <c r="C380" s="69">
        <v>55</v>
      </c>
      <c r="D380" s="69">
        <v>204</v>
      </c>
      <c r="E380" s="70">
        <v>0.26960784313725489</v>
      </c>
      <c r="F380" s="70">
        <v>58.565531475748202</v>
      </c>
      <c r="G380" s="69">
        <v>430</v>
      </c>
      <c r="H380" s="69">
        <v>397</v>
      </c>
      <c r="I380" s="70">
        <v>1.0831234256926952</v>
      </c>
      <c r="J380" s="70">
        <v>76.918557703977115</v>
      </c>
      <c r="K380" s="69">
        <v>0</v>
      </c>
      <c r="L380" s="69">
        <v>1</v>
      </c>
      <c r="M380" s="70">
        <v>0</v>
      </c>
      <c r="N380" s="70">
        <v>100</v>
      </c>
      <c r="O380" s="27">
        <f t="shared" si="10"/>
        <v>73.51240516386838</v>
      </c>
      <c r="P380" s="71">
        <f t="shared" si="11"/>
        <v>77.012900134830844</v>
      </c>
    </row>
    <row r="381" spans="1:16" ht="18" x14ac:dyDescent="0.25">
      <c r="A381" s="55" t="s">
        <v>383</v>
      </c>
      <c r="B381" s="56">
        <v>4111605</v>
      </c>
      <c r="C381" s="69">
        <v>78</v>
      </c>
      <c r="D381" s="69">
        <v>127</v>
      </c>
      <c r="E381" s="70">
        <v>0.61417322834645671</v>
      </c>
      <c r="F381" s="70">
        <v>5.611272275176133</v>
      </c>
      <c r="G381" s="69">
        <v>704</v>
      </c>
      <c r="H381" s="69">
        <v>318</v>
      </c>
      <c r="I381" s="70">
        <v>2.2138364779874213</v>
      </c>
      <c r="J381" s="70">
        <v>0</v>
      </c>
      <c r="K381" s="69">
        <v>0</v>
      </c>
      <c r="L381" s="69">
        <v>1</v>
      </c>
      <c r="M381" s="70">
        <v>0</v>
      </c>
      <c r="N381" s="70">
        <v>100</v>
      </c>
      <c r="O381" s="27">
        <f t="shared" si="10"/>
        <v>27.805636137588067</v>
      </c>
      <c r="P381" s="71">
        <f t="shared" si="11"/>
        <v>0</v>
      </c>
    </row>
    <row r="382" spans="1:16" ht="18" x14ac:dyDescent="0.25">
      <c r="A382" s="55" t="s">
        <v>391</v>
      </c>
      <c r="B382" s="56">
        <v>4118303</v>
      </c>
      <c r="C382" s="69">
        <v>71</v>
      </c>
      <c r="D382" s="69">
        <v>138</v>
      </c>
      <c r="E382" s="70">
        <v>0.51449275362318836</v>
      </c>
      <c r="F382" s="70">
        <v>20.930587337910005</v>
      </c>
      <c r="G382" s="69">
        <v>391</v>
      </c>
      <c r="H382" s="69">
        <v>362</v>
      </c>
      <c r="I382" s="70">
        <v>1.080110497237569</v>
      </c>
      <c r="J382" s="70">
        <v>77.123516964651827</v>
      </c>
      <c r="K382" s="69">
        <v>0</v>
      </c>
      <c r="L382" s="69">
        <v>1</v>
      </c>
      <c r="M382" s="70">
        <v>0</v>
      </c>
      <c r="N382" s="70">
        <v>100</v>
      </c>
      <c r="O382" s="27">
        <f t="shared" si="10"/>
        <v>54.746172910117963</v>
      </c>
      <c r="P382" s="71">
        <f t="shared" si="11"/>
        <v>45.393032853594171</v>
      </c>
    </row>
    <row r="383" spans="1:16" ht="18" x14ac:dyDescent="0.25">
      <c r="A383" s="55" t="s">
        <v>396</v>
      </c>
      <c r="B383" s="56">
        <v>4110052</v>
      </c>
      <c r="C383" s="69">
        <v>65</v>
      </c>
      <c r="D383" s="69">
        <v>104</v>
      </c>
      <c r="E383" s="70">
        <v>0.625</v>
      </c>
      <c r="F383" s="70">
        <v>3.9473684210526381</v>
      </c>
      <c r="G383" s="69">
        <v>259</v>
      </c>
      <c r="H383" s="69">
        <v>243</v>
      </c>
      <c r="I383" s="70">
        <v>1.0658436213991769</v>
      </c>
      <c r="J383" s="70">
        <v>78.094043934517217</v>
      </c>
      <c r="K383" s="69">
        <v>0</v>
      </c>
      <c r="L383" s="69">
        <v>1</v>
      </c>
      <c r="M383" s="70">
        <v>0</v>
      </c>
      <c r="N383" s="70">
        <v>100</v>
      </c>
      <c r="O383" s="27">
        <f t="shared" si="10"/>
        <v>46.497195194155623</v>
      </c>
      <c r="P383" s="71">
        <f t="shared" si="11"/>
        <v>31.494047854488617</v>
      </c>
    </row>
    <row r="384" spans="1:16" ht="18" x14ac:dyDescent="0.25">
      <c r="A384" s="55" t="s">
        <v>392</v>
      </c>
      <c r="B384" s="56">
        <v>4110656</v>
      </c>
      <c r="C384" s="69">
        <v>62</v>
      </c>
      <c r="D384" s="69">
        <v>133</v>
      </c>
      <c r="E384" s="70">
        <v>0.46616541353383456</v>
      </c>
      <c r="F384" s="70">
        <v>28.357736446379118</v>
      </c>
      <c r="G384" s="69">
        <v>289</v>
      </c>
      <c r="H384" s="69">
        <v>272</v>
      </c>
      <c r="I384" s="70">
        <v>1.0625</v>
      </c>
      <c r="J384" s="70">
        <v>78.321499109825297</v>
      </c>
      <c r="K384" s="69">
        <v>0</v>
      </c>
      <c r="L384" s="69">
        <v>1</v>
      </c>
      <c r="M384" s="70">
        <v>0</v>
      </c>
      <c r="N384" s="70">
        <v>100</v>
      </c>
      <c r="O384" s="27">
        <f t="shared" si="10"/>
        <v>58.759243000645881</v>
      </c>
      <c r="P384" s="71">
        <f t="shared" si="11"/>
        <v>52.154792056879842</v>
      </c>
    </row>
    <row r="385" spans="1:16" ht="18" x14ac:dyDescent="0.25">
      <c r="A385" s="55" t="s">
        <v>397</v>
      </c>
      <c r="B385" s="56">
        <v>4125555</v>
      </c>
      <c r="C385" s="69">
        <v>68</v>
      </c>
      <c r="D385" s="69">
        <v>108</v>
      </c>
      <c r="E385" s="70">
        <v>0.62962962962962965</v>
      </c>
      <c r="F385" s="70">
        <v>3.2358674463937662</v>
      </c>
      <c r="G385" s="69">
        <v>246</v>
      </c>
      <c r="H385" s="69">
        <v>248</v>
      </c>
      <c r="I385" s="70">
        <v>0.99193548387096775</v>
      </c>
      <c r="J385" s="70">
        <v>83.12176279715861</v>
      </c>
      <c r="K385" s="69">
        <v>0</v>
      </c>
      <c r="L385" s="69">
        <v>1</v>
      </c>
      <c r="M385" s="70">
        <v>0</v>
      </c>
      <c r="N385" s="70">
        <v>100</v>
      </c>
      <c r="O385" s="27">
        <f t="shared" si="10"/>
        <v>47.39837442248654</v>
      </c>
      <c r="P385" s="71">
        <f t="shared" si="11"/>
        <v>33.01247559273299</v>
      </c>
    </row>
    <row r="386" spans="1:16" ht="18" x14ac:dyDescent="0.25">
      <c r="A386" s="55" t="s">
        <v>387</v>
      </c>
      <c r="B386" s="56">
        <v>4121356</v>
      </c>
      <c r="C386" s="69">
        <v>54</v>
      </c>
      <c r="D386" s="69">
        <v>157</v>
      </c>
      <c r="E386" s="70">
        <v>0.34394904458598724</v>
      </c>
      <c r="F386" s="70">
        <v>47.140462621521969</v>
      </c>
      <c r="G386" s="69">
        <v>308</v>
      </c>
      <c r="H386" s="69">
        <v>341</v>
      </c>
      <c r="I386" s="70">
        <v>0.90322580645161288</v>
      </c>
      <c r="J386" s="70">
        <v>89.156380004091929</v>
      </c>
      <c r="K386" s="69">
        <v>0</v>
      </c>
      <c r="L386" s="69">
        <v>1</v>
      </c>
      <c r="M386" s="70">
        <v>0</v>
      </c>
      <c r="N386" s="70">
        <v>100</v>
      </c>
      <c r="O386" s="27">
        <f t="shared" si="10"/>
        <v>70.859326311783974</v>
      </c>
      <c r="P386" s="71">
        <f t="shared" si="11"/>
        <v>72.54263673537838</v>
      </c>
    </row>
    <row r="387" spans="1:16" ht="18" x14ac:dyDescent="0.25">
      <c r="A387" s="55" t="s">
        <v>398</v>
      </c>
      <c r="B387" s="56">
        <v>4128302</v>
      </c>
      <c r="C387" s="69">
        <v>65</v>
      </c>
      <c r="D387" s="69">
        <v>116</v>
      </c>
      <c r="E387" s="70">
        <v>0.56034482758620685</v>
      </c>
      <c r="F387" s="70">
        <v>13.88384754990927</v>
      </c>
      <c r="G387" s="69">
        <v>256</v>
      </c>
      <c r="H387" s="69">
        <v>268</v>
      </c>
      <c r="I387" s="70">
        <v>0.95522388059701491</v>
      </c>
      <c r="J387" s="70">
        <v>85.619128127029256</v>
      </c>
      <c r="K387" s="69">
        <v>0</v>
      </c>
      <c r="L387" s="69">
        <v>1</v>
      </c>
      <c r="M387" s="70">
        <v>0</v>
      </c>
      <c r="N387" s="70">
        <v>100</v>
      </c>
      <c r="O387" s="27">
        <f t="shared" ref="O387:O400" si="12">(2*F387+J387+N387)/4</f>
        <v>53.346705806711952</v>
      </c>
      <c r="P387" s="71">
        <f t="shared" ref="P387:P400" si="13">(O387-O$402)/(O$403-O$402)*100</f>
        <v>43.035022813229716</v>
      </c>
    </row>
    <row r="388" spans="1:16" ht="18" x14ac:dyDescent="0.25">
      <c r="A388" s="55" t="s">
        <v>376</v>
      </c>
      <c r="B388" s="56">
        <v>4107553</v>
      </c>
      <c r="C388" s="69">
        <v>37</v>
      </c>
      <c r="D388" s="69">
        <v>161</v>
      </c>
      <c r="E388" s="70">
        <v>0.22981366459627328</v>
      </c>
      <c r="F388" s="70">
        <v>64.681268388362213</v>
      </c>
      <c r="G388" s="69">
        <v>422</v>
      </c>
      <c r="H388" s="69">
        <v>397</v>
      </c>
      <c r="I388" s="70">
        <v>1.0629722921914357</v>
      </c>
      <c r="J388" s="70">
        <v>78.289370680683746</v>
      </c>
      <c r="K388" s="69">
        <v>0</v>
      </c>
      <c r="L388" s="69">
        <v>1</v>
      </c>
      <c r="M388" s="70">
        <v>0</v>
      </c>
      <c r="N388" s="70">
        <v>100</v>
      </c>
      <c r="O388" s="27">
        <f t="shared" si="12"/>
        <v>76.912976864352046</v>
      </c>
      <c r="P388" s="71">
        <f t="shared" si="13"/>
        <v>82.742639828750157</v>
      </c>
    </row>
    <row r="389" spans="1:16" ht="18" x14ac:dyDescent="0.25">
      <c r="A389" s="55" t="s">
        <v>381</v>
      </c>
      <c r="B389" s="56">
        <v>4114351</v>
      </c>
      <c r="C389" s="69">
        <v>45</v>
      </c>
      <c r="D389" s="69">
        <v>168</v>
      </c>
      <c r="E389" s="70">
        <v>0.26785714285714285</v>
      </c>
      <c r="F389" s="70">
        <v>58.834586466165419</v>
      </c>
      <c r="G389" s="69">
        <v>353</v>
      </c>
      <c r="H389" s="69">
        <v>365</v>
      </c>
      <c r="I389" s="70">
        <v>0.9671232876712329</v>
      </c>
      <c r="J389" s="70">
        <v>84.809651993518784</v>
      </c>
      <c r="K389" s="69">
        <v>0</v>
      </c>
      <c r="L389" s="69">
        <v>1</v>
      </c>
      <c r="M389" s="70">
        <v>0</v>
      </c>
      <c r="N389" s="70">
        <v>100</v>
      </c>
      <c r="O389" s="27">
        <f t="shared" si="12"/>
        <v>75.619706231462402</v>
      </c>
      <c r="P389" s="71">
        <f t="shared" si="13"/>
        <v>80.563563857732106</v>
      </c>
    </row>
    <row r="390" spans="1:16" ht="18" x14ac:dyDescent="0.25">
      <c r="A390" s="55" t="s">
        <v>386</v>
      </c>
      <c r="B390" s="56">
        <v>4103404</v>
      </c>
      <c r="C390" s="69">
        <v>55</v>
      </c>
      <c r="D390" s="69">
        <v>149</v>
      </c>
      <c r="E390" s="70">
        <v>0.36912751677852351</v>
      </c>
      <c r="F390" s="70">
        <v>43.270929000353235</v>
      </c>
      <c r="G390" s="69">
        <v>348</v>
      </c>
      <c r="H390" s="69">
        <v>309</v>
      </c>
      <c r="I390" s="70">
        <v>1.1262135922330097</v>
      </c>
      <c r="J390" s="70">
        <v>73.987280440679697</v>
      </c>
      <c r="K390" s="69">
        <v>1</v>
      </c>
      <c r="L390" s="69">
        <v>2</v>
      </c>
      <c r="M390" s="70">
        <v>0.5</v>
      </c>
      <c r="N390" s="70">
        <v>50</v>
      </c>
      <c r="O390" s="27">
        <f t="shared" si="12"/>
        <v>52.632284610346545</v>
      </c>
      <c r="P390" s="71">
        <f t="shared" si="13"/>
        <v>41.831270077649997</v>
      </c>
    </row>
    <row r="391" spans="1:16" ht="18" x14ac:dyDescent="0.25">
      <c r="A391" s="55" t="s">
        <v>399</v>
      </c>
      <c r="B391" s="56">
        <v>4124301</v>
      </c>
      <c r="C391" s="69">
        <v>54</v>
      </c>
      <c r="D391" s="69">
        <v>91</v>
      </c>
      <c r="E391" s="70">
        <v>0.59340659340659341</v>
      </c>
      <c r="F391" s="70">
        <v>8.8027761711972303</v>
      </c>
      <c r="G391" s="69">
        <v>274</v>
      </c>
      <c r="H391" s="69">
        <v>252</v>
      </c>
      <c r="I391" s="70">
        <v>1.0873015873015872</v>
      </c>
      <c r="J391" s="70">
        <v>76.634331600671885</v>
      </c>
      <c r="K391" s="69">
        <v>1</v>
      </c>
      <c r="L391" s="69">
        <v>2</v>
      </c>
      <c r="M391" s="70">
        <v>0.5</v>
      </c>
      <c r="N391" s="70">
        <v>50</v>
      </c>
      <c r="O391" s="27">
        <f t="shared" si="12"/>
        <v>36.059970985766583</v>
      </c>
      <c r="P391" s="71">
        <f t="shared" si="13"/>
        <v>13.908011414605115</v>
      </c>
    </row>
    <row r="392" spans="1:16" ht="18" x14ac:dyDescent="0.25">
      <c r="A392" s="55" t="s">
        <v>402</v>
      </c>
      <c r="B392" s="56">
        <v>4123600</v>
      </c>
      <c r="C392" s="69">
        <v>60</v>
      </c>
      <c r="D392" s="69">
        <v>99</v>
      </c>
      <c r="E392" s="70">
        <v>0.60606060606060608</v>
      </c>
      <c r="F392" s="70">
        <v>6.858054226475284</v>
      </c>
      <c r="G392" s="69">
        <v>199</v>
      </c>
      <c r="H392" s="69">
        <v>199</v>
      </c>
      <c r="I392" s="70">
        <v>1</v>
      </c>
      <c r="J392" s="70">
        <v>82.573161232891962</v>
      </c>
      <c r="K392" s="69">
        <v>0</v>
      </c>
      <c r="L392" s="69">
        <v>2</v>
      </c>
      <c r="M392" s="70">
        <v>0</v>
      </c>
      <c r="N392" s="70">
        <v>100</v>
      </c>
      <c r="O392" s="27">
        <f t="shared" si="12"/>
        <v>49.072317421460632</v>
      </c>
      <c r="P392" s="71">
        <f t="shared" si="13"/>
        <v>35.832959467610856</v>
      </c>
    </row>
    <row r="393" spans="1:16" ht="18" x14ac:dyDescent="0.25">
      <c r="A393" s="55" t="s">
        <v>401</v>
      </c>
      <c r="B393" s="56">
        <v>4107520</v>
      </c>
      <c r="C393" s="69">
        <v>53</v>
      </c>
      <c r="D393" s="69">
        <v>89</v>
      </c>
      <c r="E393" s="70">
        <v>0.5955056179775281</v>
      </c>
      <c r="F393" s="70">
        <v>8.4801892371377932</v>
      </c>
      <c r="G393" s="69">
        <v>237</v>
      </c>
      <c r="H393" s="69">
        <v>224</v>
      </c>
      <c r="I393" s="70">
        <v>1.0580357142857142</v>
      </c>
      <c r="J393" s="70">
        <v>78.625189261472926</v>
      </c>
      <c r="K393" s="69">
        <v>0</v>
      </c>
      <c r="L393" s="69">
        <v>1</v>
      </c>
      <c r="M393" s="70">
        <v>0</v>
      </c>
      <c r="N393" s="70">
        <v>100</v>
      </c>
      <c r="O393" s="27">
        <f t="shared" si="12"/>
        <v>48.896391933937124</v>
      </c>
      <c r="P393" s="71">
        <f t="shared" si="13"/>
        <v>35.536536589983498</v>
      </c>
    </row>
    <row r="394" spans="1:16" ht="18" x14ac:dyDescent="0.25">
      <c r="A394" s="55" t="s">
        <v>368</v>
      </c>
      <c r="B394" s="56">
        <v>4122107</v>
      </c>
      <c r="C394" s="69">
        <v>47</v>
      </c>
      <c r="D394" s="69">
        <v>160</v>
      </c>
      <c r="E394" s="70">
        <v>0.29375000000000001</v>
      </c>
      <c r="F394" s="70">
        <v>54.85526315789474</v>
      </c>
      <c r="G394" s="69">
        <v>394</v>
      </c>
      <c r="H394" s="69">
        <v>372</v>
      </c>
      <c r="I394" s="70">
        <v>1.0591397849462365</v>
      </c>
      <c r="J394" s="70">
        <v>78.550083094936411</v>
      </c>
      <c r="K394" s="69">
        <v>1</v>
      </c>
      <c r="L394" s="69">
        <v>2</v>
      </c>
      <c r="M394" s="70">
        <v>0.5</v>
      </c>
      <c r="N394" s="70">
        <v>50</v>
      </c>
      <c r="O394" s="27">
        <f t="shared" si="12"/>
        <v>59.565152352681473</v>
      </c>
      <c r="P394" s="71">
        <f t="shared" si="13"/>
        <v>53.51269631850807</v>
      </c>
    </row>
    <row r="395" spans="1:16" ht="18" x14ac:dyDescent="0.25">
      <c r="A395" s="55" t="s">
        <v>393</v>
      </c>
      <c r="B395" s="56">
        <v>4101853</v>
      </c>
      <c r="C395" s="69">
        <v>49</v>
      </c>
      <c r="D395" s="69">
        <v>113</v>
      </c>
      <c r="E395" s="70">
        <v>0.4336283185840708</v>
      </c>
      <c r="F395" s="70">
        <v>33.358174196553335</v>
      </c>
      <c r="G395" s="69">
        <v>343</v>
      </c>
      <c r="H395" s="69">
        <v>295</v>
      </c>
      <c r="I395" s="70">
        <v>1.1627118644067798</v>
      </c>
      <c r="J395" s="70">
        <v>71.504427298942147</v>
      </c>
      <c r="K395" s="69">
        <v>1</v>
      </c>
      <c r="L395" s="69">
        <v>2</v>
      </c>
      <c r="M395" s="70">
        <v>0.5</v>
      </c>
      <c r="N395" s="70">
        <v>50</v>
      </c>
      <c r="O395" s="27">
        <f t="shared" si="12"/>
        <v>47.055193923012204</v>
      </c>
      <c r="P395" s="71">
        <f t="shared" si="13"/>
        <v>32.434239018648256</v>
      </c>
    </row>
    <row r="396" spans="1:16" ht="18" x14ac:dyDescent="0.25">
      <c r="A396" s="55" t="s">
        <v>377</v>
      </c>
      <c r="B396" s="56">
        <v>4108551</v>
      </c>
      <c r="C396" s="69">
        <v>48</v>
      </c>
      <c r="D396" s="69">
        <v>139</v>
      </c>
      <c r="E396" s="70">
        <v>0.34532374100719426</v>
      </c>
      <c r="F396" s="70">
        <v>46.929193487315416</v>
      </c>
      <c r="G396" s="69">
        <v>397</v>
      </c>
      <c r="H396" s="69">
        <v>369</v>
      </c>
      <c r="I396" s="70">
        <v>1.075880758807588</v>
      </c>
      <c r="J396" s="70">
        <v>77.411251663423499</v>
      </c>
      <c r="K396" s="69">
        <v>1</v>
      </c>
      <c r="L396" s="69">
        <v>2</v>
      </c>
      <c r="M396" s="70">
        <v>0.5</v>
      </c>
      <c r="N396" s="70">
        <v>50</v>
      </c>
      <c r="O396" s="27">
        <f t="shared" si="12"/>
        <v>55.317409659513586</v>
      </c>
      <c r="P396" s="71">
        <f t="shared" si="13"/>
        <v>46.35552921183065</v>
      </c>
    </row>
    <row r="397" spans="1:16" ht="18" x14ac:dyDescent="0.25">
      <c r="A397" s="55" t="s">
        <v>404</v>
      </c>
      <c r="B397" s="56">
        <v>4116505</v>
      </c>
      <c r="C397" s="69">
        <v>45</v>
      </c>
      <c r="D397" s="69">
        <v>75</v>
      </c>
      <c r="E397" s="70">
        <v>0.6</v>
      </c>
      <c r="F397" s="70">
        <v>7.7894736842105363</v>
      </c>
      <c r="G397" s="69">
        <v>208</v>
      </c>
      <c r="H397" s="69">
        <v>176</v>
      </c>
      <c r="I397" s="70">
        <v>1.1818181818181819</v>
      </c>
      <c r="J397" s="70">
        <v>70.204689602152598</v>
      </c>
      <c r="K397" s="69">
        <v>0</v>
      </c>
      <c r="L397" s="69">
        <v>1</v>
      </c>
      <c r="M397" s="70">
        <v>0</v>
      </c>
      <c r="N397" s="70">
        <v>100</v>
      </c>
      <c r="O397" s="27">
        <f t="shared" si="12"/>
        <v>46.445909242643417</v>
      </c>
      <c r="P397" s="71">
        <f t="shared" si="13"/>
        <v>31.407634398751711</v>
      </c>
    </row>
    <row r="398" spans="1:16" ht="18" x14ac:dyDescent="0.25">
      <c r="A398" s="55" t="s">
        <v>400</v>
      </c>
      <c r="B398" s="56">
        <v>4116000</v>
      </c>
      <c r="C398" s="69">
        <v>49</v>
      </c>
      <c r="D398" s="69">
        <v>94</v>
      </c>
      <c r="E398" s="70">
        <v>0.52127659574468088</v>
      </c>
      <c r="F398" s="70">
        <v>19.888017917133261</v>
      </c>
      <c r="G398" s="69">
        <v>271</v>
      </c>
      <c r="H398" s="69">
        <v>229</v>
      </c>
      <c r="I398" s="70">
        <v>1.1834061135371179</v>
      </c>
      <c r="J398" s="70">
        <v>70.096668015857944</v>
      </c>
      <c r="K398" s="69">
        <v>0</v>
      </c>
      <c r="L398" s="69">
        <v>1</v>
      </c>
      <c r="M398" s="70">
        <v>0</v>
      </c>
      <c r="N398" s="70">
        <v>100</v>
      </c>
      <c r="O398" s="27">
        <f t="shared" si="12"/>
        <v>52.46817596253112</v>
      </c>
      <c r="P398" s="71">
        <f t="shared" si="13"/>
        <v>41.554757797856062</v>
      </c>
    </row>
    <row r="399" spans="1:16" ht="18" x14ac:dyDescent="0.25">
      <c r="A399" s="55" t="s">
        <v>403</v>
      </c>
      <c r="B399" s="56">
        <v>4112603</v>
      </c>
      <c r="C399" s="69">
        <v>39</v>
      </c>
      <c r="D399" s="69">
        <v>72</v>
      </c>
      <c r="E399" s="70">
        <v>0.54166666666666663</v>
      </c>
      <c r="F399" s="70">
        <v>16.754385964912291</v>
      </c>
      <c r="G399" s="69">
        <v>223</v>
      </c>
      <c r="H399" s="69">
        <v>211</v>
      </c>
      <c r="I399" s="70">
        <v>1.0568720379146919</v>
      </c>
      <c r="J399" s="70">
        <v>78.704350201475862</v>
      </c>
      <c r="K399" s="69">
        <v>0</v>
      </c>
      <c r="L399" s="69">
        <v>1</v>
      </c>
      <c r="M399" s="70">
        <v>0</v>
      </c>
      <c r="N399" s="70">
        <v>100</v>
      </c>
      <c r="O399" s="27">
        <f t="shared" si="12"/>
        <v>53.053280532825113</v>
      </c>
      <c r="P399" s="71">
        <f t="shared" si="13"/>
        <v>42.540620522359198</v>
      </c>
    </row>
    <row r="400" spans="1:16" ht="18" x14ac:dyDescent="0.25">
      <c r="A400" s="55" t="s">
        <v>359</v>
      </c>
      <c r="B400" s="56">
        <v>4126652</v>
      </c>
      <c r="C400" s="69">
        <v>0</v>
      </c>
      <c r="D400" s="69">
        <v>209</v>
      </c>
      <c r="E400" s="70">
        <v>0</v>
      </c>
      <c r="F400" s="70">
        <v>100</v>
      </c>
      <c r="G400" s="69">
        <v>441</v>
      </c>
      <c r="H400" s="69">
        <v>415</v>
      </c>
      <c r="I400" s="70">
        <v>1.0626506024096385</v>
      </c>
      <c r="J400" s="70">
        <v>78.311254140854061</v>
      </c>
      <c r="K400" s="69">
        <v>1</v>
      </c>
      <c r="L400" s="69">
        <v>1</v>
      </c>
      <c r="M400" s="70">
        <v>1</v>
      </c>
      <c r="N400" s="70">
        <v>0</v>
      </c>
      <c r="O400" s="27">
        <f t="shared" si="12"/>
        <v>69.577813535213522</v>
      </c>
      <c r="P400" s="71">
        <f t="shared" si="13"/>
        <v>70.383371979062233</v>
      </c>
    </row>
    <row r="402" spans="1:15" ht="16.5" x14ac:dyDescent="0.25">
      <c r="A402" s="8" t="s">
        <v>423</v>
      </c>
      <c r="B402" s="10"/>
      <c r="C402" s="10"/>
      <c r="D402" s="11"/>
      <c r="E402" s="12">
        <f>QUARTILE(E1:E400,0)</f>
        <v>0</v>
      </c>
      <c r="F402" s="14"/>
      <c r="G402" s="15"/>
      <c r="H402" s="16"/>
      <c r="I402" s="9">
        <f>QUARTILE(I1:I400,0)</f>
        <v>0.74382314694408325</v>
      </c>
      <c r="J402" s="9">
        <f t="shared" ref="J402:M402" si="14">QUARTILE(J1:J400,0)</f>
        <v>0</v>
      </c>
      <c r="K402" s="9">
        <f t="shared" si="14"/>
        <v>0</v>
      </c>
      <c r="L402" s="9">
        <f t="shared" si="14"/>
        <v>1</v>
      </c>
      <c r="M402" s="9">
        <f t="shared" si="14"/>
        <v>0</v>
      </c>
      <c r="N402" s="9">
        <f t="shared" ref="N402:O402" si="15">QUARTILE(N1:N400,0)</f>
        <v>0</v>
      </c>
      <c r="O402" s="9">
        <f t="shared" si="15"/>
        <v>27.805636137588067</v>
      </c>
    </row>
    <row r="403" spans="1:15" ht="16.5" x14ac:dyDescent="0.25">
      <c r="A403" s="8" t="s">
        <v>424</v>
      </c>
      <c r="B403" s="10"/>
      <c r="C403" s="10"/>
      <c r="D403" s="11"/>
      <c r="E403" s="12">
        <f>QUARTILE(E2:E400,4)</f>
        <v>0.65068493150684936</v>
      </c>
      <c r="F403" s="13"/>
      <c r="G403" s="10"/>
      <c r="H403" s="11"/>
      <c r="I403" s="9">
        <f>QUARTILE(I2:I400,4)</f>
        <v>2.2138364779874213</v>
      </c>
      <c r="J403" s="9">
        <f t="shared" ref="J403:M403" si="16">QUARTILE(J2:J400,4)</f>
        <v>100</v>
      </c>
      <c r="K403" s="9">
        <f t="shared" si="16"/>
        <v>379</v>
      </c>
      <c r="L403" s="9">
        <f t="shared" si="16"/>
        <v>604</v>
      </c>
      <c r="M403" s="9">
        <f t="shared" si="16"/>
        <v>1</v>
      </c>
      <c r="N403" s="9">
        <f t="shared" ref="N403:O403" si="17">QUARTILE(N2:N400,4)</f>
        <v>100</v>
      </c>
      <c r="O403" s="9">
        <f t="shared" si="17"/>
        <v>87.155133359818223</v>
      </c>
    </row>
  </sheetData>
  <conditionalFormatting sqref="O2:O4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3426-0313-4D9D-A048-FFCC4AE2C85F}">
  <sheetPr>
    <tabColor rgb="FF0070C0"/>
  </sheetPr>
  <dimension ref="A1:M405"/>
  <sheetViews>
    <sheetView workbookViewId="0">
      <selection activeCell="D17" sqref="D17"/>
    </sheetView>
  </sheetViews>
  <sheetFormatPr defaultRowHeight="15" x14ac:dyDescent="0.25"/>
  <cols>
    <col min="1" max="1" width="24.5703125" bestFit="1" customWidth="1"/>
    <col min="3" max="3" width="19.140625" bestFit="1" customWidth="1"/>
    <col min="4" max="4" width="15.85546875" bestFit="1" customWidth="1"/>
    <col min="5" max="5" width="14.5703125" bestFit="1" customWidth="1"/>
    <col min="6" max="6" width="15.140625" bestFit="1" customWidth="1"/>
    <col min="7" max="7" width="10" bestFit="1" customWidth="1"/>
    <col min="8" max="8" width="22.7109375" bestFit="1" customWidth="1"/>
    <col min="9" max="9" width="18.140625" bestFit="1" customWidth="1"/>
    <col min="10" max="10" width="23.42578125" bestFit="1" customWidth="1"/>
    <col min="11" max="11" width="15.140625" bestFit="1" customWidth="1"/>
    <col min="12" max="12" width="15.140625" customWidth="1"/>
  </cols>
  <sheetData>
    <row r="1" spans="1:13" ht="40.5" x14ac:dyDescent="0.25">
      <c r="A1" s="45"/>
      <c r="B1" s="46" t="s">
        <v>3</v>
      </c>
      <c r="C1" s="25" t="s">
        <v>4</v>
      </c>
      <c r="D1" s="31" t="s">
        <v>434</v>
      </c>
      <c r="E1" s="26" t="s">
        <v>422</v>
      </c>
      <c r="F1" s="26" t="s">
        <v>435</v>
      </c>
      <c r="G1" s="26" t="s">
        <v>419</v>
      </c>
      <c r="H1" s="31" t="s">
        <v>436</v>
      </c>
      <c r="I1" s="33" t="s">
        <v>5</v>
      </c>
      <c r="J1" s="34" t="s">
        <v>437</v>
      </c>
      <c r="K1" s="22" t="s">
        <v>417</v>
      </c>
      <c r="L1" s="73"/>
    </row>
    <row r="2" spans="1:13" ht="18" x14ac:dyDescent="0.25">
      <c r="A2" s="47" t="s">
        <v>6</v>
      </c>
      <c r="B2" s="48">
        <v>4106902</v>
      </c>
      <c r="C2" s="29">
        <v>7.1</v>
      </c>
      <c r="D2" s="28">
        <v>12.778977681785456</v>
      </c>
      <c r="E2" s="30">
        <v>202402</v>
      </c>
      <c r="F2" s="30">
        <v>1773718</v>
      </c>
      <c r="G2" s="30">
        <v>0.11411171336142499</v>
      </c>
      <c r="H2" s="28">
        <v>66.323434149037581</v>
      </c>
      <c r="I2" s="49">
        <v>10.37</v>
      </c>
      <c r="J2" s="30">
        <v>55.573419078242225</v>
      </c>
      <c r="K2" s="27">
        <f t="shared" ref="K2:K65" si="0">(D2+H2+J2)/3</f>
        <v>44.891943636355087</v>
      </c>
      <c r="L2" s="71">
        <f>(K2-K$401)/(K$402-K$401)*100</f>
        <v>29.90225405983405</v>
      </c>
      <c r="M2" s="1" t="str">
        <f>VLOOKUP(A2,Dados!A$2:C$400,3,FALSE)</f>
        <v>G2</v>
      </c>
    </row>
    <row r="3" spans="1:13" ht="18" x14ac:dyDescent="0.25">
      <c r="A3" s="47" t="s">
        <v>12</v>
      </c>
      <c r="B3" s="48">
        <v>4108304</v>
      </c>
      <c r="C3" s="29">
        <v>9.14</v>
      </c>
      <c r="D3" s="28">
        <v>16.450683945284378</v>
      </c>
      <c r="E3" s="30">
        <v>39481</v>
      </c>
      <c r="F3" s="30">
        <v>285415</v>
      </c>
      <c r="G3" s="30">
        <v>0.13832839899795035</v>
      </c>
      <c r="H3" s="28">
        <v>80.398533959649839</v>
      </c>
      <c r="I3" s="49">
        <v>14.08</v>
      </c>
      <c r="J3" s="30">
        <v>75.455519828510191</v>
      </c>
      <c r="K3" s="27">
        <f t="shared" si="0"/>
        <v>57.434912577814806</v>
      </c>
      <c r="L3" s="71">
        <f t="shared" ref="L3:L66" si="1">(K3-K$401)/(K$402-K$401)*100</f>
        <v>53.393821239306995</v>
      </c>
      <c r="M3" s="1" t="str">
        <f>VLOOKUP(A3,Dados!A$2:C$400,3,FALSE)</f>
        <v>M2</v>
      </c>
    </row>
    <row r="4" spans="1:13" ht="18" x14ac:dyDescent="0.25">
      <c r="A4" s="47" t="s">
        <v>8</v>
      </c>
      <c r="B4" s="48">
        <v>4115200</v>
      </c>
      <c r="C4" s="29">
        <v>7.29</v>
      </c>
      <c r="D4" s="28">
        <v>13.120950323974082</v>
      </c>
      <c r="E4" s="30">
        <v>45546</v>
      </c>
      <c r="F4" s="30">
        <v>409657</v>
      </c>
      <c r="G4" s="30">
        <v>0.11118081712261721</v>
      </c>
      <c r="H4" s="28">
        <v>64.61995342855667</v>
      </c>
      <c r="I4" s="49">
        <v>11.36</v>
      </c>
      <c r="J4" s="30">
        <v>60.878885316184352</v>
      </c>
      <c r="K4" s="27">
        <f t="shared" si="0"/>
        <v>46.206596356238371</v>
      </c>
      <c r="L4" s="71">
        <f t="shared" si="1"/>
        <v>32.364450437019762</v>
      </c>
      <c r="M4" s="1" t="str">
        <f>VLOOKUP(A4,Dados!A$2:C$400,3,FALSE)</f>
        <v>M2</v>
      </c>
    </row>
    <row r="5" spans="1:13" ht="18" x14ac:dyDescent="0.25">
      <c r="A5" s="47" t="s">
        <v>10</v>
      </c>
      <c r="B5" s="48">
        <v>4104808</v>
      </c>
      <c r="C5" s="29">
        <v>7.09</v>
      </c>
      <c r="D5" s="28">
        <v>12.760979121670266</v>
      </c>
      <c r="E5" s="30">
        <v>45120</v>
      </c>
      <c r="F5" s="30">
        <v>348051</v>
      </c>
      <c r="G5" s="30">
        <v>0.12963617400898145</v>
      </c>
      <c r="H5" s="28">
        <v>75.346482818865013</v>
      </c>
      <c r="I5" s="49">
        <v>13.61</v>
      </c>
      <c r="J5" s="30">
        <v>72.936763129689169</v>
      </c>
      <c r="K5" s="27">
        <f t="shared" si="0"/>
        <v>53.681408356741485</v>
      </c>
      <c r="L5" s="71">
        <f t="shared" si="1"/>
        <v>46.363930869705435</v>
      </c>
      <c r="M5" s="1" t="str">
        <f>VLOOKUP(A5,Dados!A$2:C$400,3,FALSE)</f>
        <v>M2</v>
      </c>
    </row>
    <row r="6" spans="1:13" ht="18" x14ac:dyDescent="0.25">
      <c r="A6" s="47" t="s">
        <v>7</v>
      </c>
      <c r="B6" s="48">
        <v>4113700</v>
      </c>
      <c r="C6" s="29">
        <v>11.84</v>
      </c>
      <c r="D6" s="28">
        <v>21.310295176385889</v>
      </c>
      <c r="E6" s="30">
        <v>66820</v>
      </c>
      <c r="F6" s="30">
        <v>555965</v>
      </c>
      <c r="G6" s="30">
        <v>0.12018742187008175</v>
      </c>
      <c r="H6" s="28">
        <v>69.854726785984894</v>
      </c>
      <c r="I6" s="49">
        <v>11</v>
      </c>
      <c r="J6" s="30">
        <v>58.949624866023576</v>
      </c>
      <c r="K6" s="27">
        <f t="shared" si="0"/>
        <v>50.038215609464793</v>
      </c>
      <c r="L6" s="71">
        <f t="shared" si="1"/>
        <v>39.540641457935671</v>
      </c>
      <c r="M6" s="1" t="str">
        <f>VLOOKUP(A6,Dados!A$2:C$400,3,FALSE)</f>
        <v>G1</v>
      </c>
    </row>
    <row r="7" spans="1:13" ht="18" x14ac:dyDescent="0.25">
      <c r="A7" s="47" t="s">
        <v>9</v>
      </c>
      <c r="B7" s="48">
        <v>4119905</v>
      </c>
      <c r="C7" s="29">
        <v>9.08</v>
      </c>
      <c r="D7" s="28">
        <v>16.342692584593234</v>
      </c>
      <c r="E7" s="30">
        <v>50454</v>
      </c>
      <c r="F7" s="30">
        <v>358371</v>
      </c>
      <c r="G7" s="30">
        <v>0.14078706145307515</v>
      </c>
      <c r="H7" s="28">
        <v>81.827545343614432</v>
      </c>
      <c r="I7" s="49">
        <v>13.01</v>
      </c>
      <c r="J7" s="30">
        <v>69.721329046087888</v>
      </c>
      <c r="K7" s="27">
        <f t="shared" si="0"/>
        <v>55.963855658098517</v>
      </c>
      <c r="L7" s="71">
        <f t="shared" si="1"/>
        <v>50.63869742327671</v>
      </c>
      <c r="M7" s="1" t="str">
        <f>VLOOKUP(A7,Dados!A$2:C$400,3,FALSE)</f>
        <v>M2</v>
      </c>
    </row>
    <row r="8" spans="1:13" ht="18" x14ac:dyDescent="0.25">
      <c r="A8" s="47" t="s">
        <v>11</v>
      </c>
      <c r="B8" s="48">
        <v>4125506</v>
      </c>
      <c r="C8" s="29">
        <v>9.19</v>
      </c>
      <c r="D8" s="28">
        <v>16.540676745860331</v>
      </c>
      <c r="E8" s="30">
        <v>47016</v>
      </c>
      <c r="F8" s="30">
        <v>329628</v>
      </c>
      <c r="G8" s="30">
        <v>0.14263351414321598</v>
      </c>
      <c r="H8" s="28">
        <v>82.900731257631804</v>
      </c>
      <c r="I8" s="49">
        <v>12.92</v>
      </c>
      <c r="J8" s="30">
        <v>69.239013933547696</v>
      </c>
      <c r="K8" s="27">
        <f t="shared" si="0"/>
        <v>56.226807312346615</v>
      </c>
      <c r="L8" s="71">
        <f t="shared" si="1"/>
        <v>51.131176235873042</v>
      </c>
      <c r="M8" s="1" t="str">
        <f>VLOOKUP(A8,Dados!A$2:C$400,3,FALSE)</f>
        <v>M2</v>
      </c>
    </row>
    <row r="9" spans="1:13" ht="18" x14ac:dyDescent="0.25">
      <c r="A9" s="47" t="s">
        <v>13</v>
      </c>
      <c r="B9" s="48">
        <v>4105805</v>
      </c>
      <c r="C9" s="29">
        <v>8.2100000000000009</v>
      </c>
      <c r="D9" s="28">
        <v>14.776817854571636</v>
      </c>
      <c r="E9" s="30">
        <v>33632</v>
      </c>
      <c r="F9" s="30">
        <v>232212</v>
      </c>
      <c r="G9" s="30">
        <v>0.14483316968976626</v>
      </c>
      <c r="H9" s="28">
        <v>84.179203953332376</v>
      </c>
      <c r="I9" s="49">
        <v>12.73</v>
      </c>
      <c r="J9" s="30">
        <v>68.220793140407281</v>
      </c>
      <c r="K9" s="27">
        <f t="shared" si="0"/>
        <v>55.725604982770427</v>
      </c>
      <c r="L9" s="71">
        <f t="shared" si="1"/>
        <v>50.192480760288369</v>
      </c>
      <c r="M9" s="1" t="str">
        <f>VLOOKUP(A9,Dados!A$2:C$400,3,FALSE)</f>
        <v>M2</v>
      </c>
    </row>
    <row r="10" spans="1:13" ht="18" x14ac:dyDescent="0.25">
      <c r="A10" s="47" t="s">
        <v>15</v>
      </c>
      <c r="B10" s="48">
        <v>4101804</v>
      </c>
      <c r="C10" s="29">
        <v>6.4</v>
      </c>
      <c r="D10" s="28">
        <v>11.519078473722102</v>
      </c>
      <c r="E10" s="30">
        <v>22332</v>
      </c>
      <c r="F10" s="30">
        <v>151666</v>
      </c>
      <c r="G10" s="30">
        <v>0.14724460327298142</v>
      </c>
      <c r="H10" s="28">
        <v>85.580765210716962</v>
      </c>
      <c r="I10" s="49">
        <v>12.86</v>
      </c>
      <c r="J10" s="30">
        <v>68.917470525187568</v>
      </c>
      <c r="K10" s="27">
        <f t="shared" si="0"/>
        <v>55.339104736542218</v>
      </c>
      <c r="L10" s="71">
        <f t="shared" si="1"/>
        <v>49.468609359384132</v>
      </c>
      <c r="M10" s="1" t="str">
        <f>VLOOKUP(A10,Dados!A$2:C$400,3,FALSE)</f>
        <v>M1</v>
      </c>
    </row>
    <row r="11" spans="1:13" ht="18" x14ac:dyDescent="0.25">
      <c r="A11" s="47" t="s">
        <v>14</v>
      </c>
      <c r="B11" s="48">
        <v>4109401</v>
      </c>
      <c r="C11" s="29">
        <v>9.89</v>
      </c>
      <c r="D11" s="28">
        <v>17.800575953923687</v>
      </c>
      <c r="E11" s="30">
        <v>25554</v>
      </c>
      <c r="F11" s="30">
        <v>182093</v>
      </c>
      <c r="G11" s="30">
        <v>0.14033488382310139</v>
      </c>
      <c r="H11" s="28">
        <v>81.564732943539028</v>
      </c>
      <c r="I11" s="49">
        <v>14.27</v>
      </c>
      <c r="J11" s="30">
        <v>76.473740621650592</v>
      </c>
      <c r="K11" s="27">
        <f t="shared" si="0"/>
        <v>58.613016506371103</v>
      </c>
      <c r="L11" s="71">
        <f t="shared" si="1"/>
        <v>55.600277119987865</v>
      </c>
      <c r="M11" s="1" t="str">
        <f>VLOOKUP(A11,Dados!A$2:C$400,3,FALSE)</f>
        <v>M1</v>
      </c>
    </row>
    <row r="12" spans="1:13" ht="18" x14ac:dyDescent="0.25">
      <c r="A12" s="47" t="s">
        <v>17</v>
      </c>
      <c r="B12" s="48">
        <v>4107652</v>
      </c>
      <c r="C12" s="29">
        <v>9.92</v>
      </c>
      <c r="D12" s="28">
        <v>17.854571634269259</v>
      </c>
      <c r="E12" s="30">
        <v>24618</v>
      </c>
      <c r="F12" s="30">
        <v>148873</v>
      </c>
      <c r="G12" s="30">
        <v>0.16536242300484305</v>
      </c>
      <c r="H12" s="28">
        <v>96.111112959543831</v>
      </c>
      <c r="I12" s="49">
        <v>12.91</v>
      </c>
      <c r="J12" s="30">
        <v>69.185423365487679</v>
      </c>
      <c r="K12" s="27">
        <f t="shared" si="0"/>
        <v>61.050369319766922</v>
      </c>
      <c r="L12" s="71">
        <f t="shared" si="1"/>
        <v>60.165164239073853</v>
      </c>
      <c r="M12" s="1" t="str">
        <f>VLOOKUP(A12,Dados!A$2:C$400,3,FALSE)</f>
        <v>M1</v>
      </c>
    </row>
    <row r="13" spans="1:13" ht="18" x14ac:dyDescent="0.25">
      <c r="A13" s="47" t="s">
        <v>16</v>
      </c>
      <c r="B13" s="48">
        <v>4127700</v>
      </c>
      <c r="C13" s="29">
        <v>7.59</v>
      </c>
      <c r="D13" s="28">
        <v>13.660907127429805</v>
      </c>
      <c r="E13" s="30">
        <v>19560</v>
      </c>
      <c r="F13" s="30">
        <v>150470</v>
      </c>
      <c r="G13" s="30">
        <v>0.12999268957267229</v>
      </c>
      <c r="H13" s="28">
        <v>75.553694995555986</v>
      </c>
      <c r="I13" s="49">
        <v>13.39</v>
      </c>
      <c r="J13" s="30">
        <v>71.757770632368704</v>
      </c>
      <c r="K13" s="27">
        <f t="shared" si="0"/>
        <v>53.657457585118173</v>
      </c>
      <c r="L13" s="71">
        <f t="shared" si="1"/>
        <v>46.319073773812491</v>
      </c>
      <c r="M13" s="1" t="str">
        <f>VLOOKUP(A13,Dados!A$2:C$400,3,FALSE)</f>
        <v>M1</v>
      </c>
    </row>
    <row r="14" spans="1:13" ht="18" x14ac:dyDescent="0.25">
      <c r="A14" s="47" t="s">
        <v>18</v>
      </c>
      <c r="B14" s="48">
        <v>4118204</v>
      </c>
      <c r="C14" s="29">
        <v>9.41</v>
      </c>
      <c r="D14" s="28">
        <v>16.93664506839453</v>
      </c>
      <c r="E14" s="30">
        <v>21072</v>
      </c>
      <c r="F14" s="30">
        <v>145829</v>
      </c>
      <c r="G14" s="30">
        <v>0.14449800794080739</v>
      </c>
      <c r="H14" s="28">
        <v>83.984402933073014</v>
      </c>
      <c r="I14" s="49">
        <v>14.54</v>
      </c>
      <c r="J14" s="30">
        <v>77.920685959271168</v>
      </c>
      <c r="K14" s="27">
        <f t="shared" si="0"/>
        <v>59.613911320246238</v>
      </c>
      <c r="L14" s="71">
        <f t="shared" si="1"/>
        <v>57.474840301119158</v>
      </c>
      <c r="M14" s="1" t="str">
        <f>VLOOKUP(A14,Dados!A$2:C$400,3,FALSE)</f>
        <v>M1</v>
      </c>
    </row>
    <row r="15" spans="1:13" ht="18" x14ac:dyDescent="0.25">
      <c r="A15" s="47" t="s">
        <v>20</v>
      </c>
      <c r="B15" s="48">
        <v>4101408</v>
      </c>
      <c r="C15" s="29">
        <v>10.63</v>
      </c>
      <c r="D15" s="28">
        <v>19.132469402447803</v>
      </c>
      <c r="E15" s="30">
        <v>16944</v>
      </c>
      <c r="F15" s="30">
        <v>130134</v>
      </c>
      <c r="G15" s="30">
        <v>0.13020425100281249</v>
      </c>
      <c r="H15" s="28">
        <v>75.676657662288875</v>
      </c>
      <c r="I15" s="49">
        <v>11.67</v>
      </c>
      <c r="J15" s="30">
        <v>62.540192926045016</v>
      </c>
      <c r="K15" s="27">
        <f t="shared" si="0"/>
        <v>52.44977333026057</v>
      </c>
      <c r="L15" s="71">
        <f t="shared" si="1"/>
        <v>44.057217275802422</v>
      </c>
      <c r="M15" s="1" t="str">
        <f>VLOOKUP(A15,Dados!A$2:C$400,3,FALSE)</f>
        <v>M1</v>
      </c>
    </row>
    <row r="16" spans="1:13" ht="18" x14ac:dyDescent="0.25">
      <c r="A16" s="47" t="s">
        <v>19</v>
      </c>
      <c r="B16" s="48">
        <v>4104204</v>
      </c>
      <c r="C16" s="29">
        <v>10.7</v>
      </c>
      <c r="D16" s="28">
        <v>19.258459323254137</v>
      </c>
      <c r="E16" s="30">
        <v>18537</v>
      </c>
      <c r="F16" s="30">
        <v>136327</v>
      </c>
      <c r="G16" s="30">
        <v>0.13597453182421676</v>
      </c>
      <c r="H16" s="28">
        <v>79.030431160262054</v>
      </c>
      <c r="I16" s="49">
        <v>11.42</v>
      </c>
      <c r="J16" s="30">
        <v>61.200428724544473</v>
      </c>
      <c r="K16" s="27">
        <f t="shared" si="0"/>
        <v>53.163106402686886</v>
      </c>
      <c r="L16" s="71">
        <f t="shared" si="1"/>
        <v>45.393209724675728</v>
      </c>
      <c r="M16" s="1" t="str">
        <f>VLOOKUP(A16,Dados!A$2:C$400,3,FALSE)</f>
        <v>M1</v>
      </c>
    </row>
    <row r="17" spans="1:13" ht="18" x14ac:dyDescent="0.25">
      <c r="A17" s="47" t="s">
        <v>21</v>
      </c>
      <c r="B17" s="48">
        <v>4119152</v>
      </c>
      <c r="C17" s="29">
        <v>10.53</v>
      </c>
      <c r="D17" s="28">
        <v>18.952483801295894</v>
      </c>
      <c r="E17" s="30">
        <v>16795</v>
      </c>
      <c r="F17" s="30">
        <v>127019</v>
      </c>
      <c r="G17" s="30">
        <v>0.13222431289807038</v>
      </c>
      <c r="H17" s="28">
        <v>76.850747842345768</v>
      </c>
      <c r="I17" s="49">
        <v>11.69</v>
      </c>
      <c r="J17" s="30">
        <v>62.647374062165049</v>
      </c>
      <c r="K17" s="27">
        <f t="shared" si="0"/>
        <v>52.816868568602239</v>
      </c>
      <c r="L17" s="71">
        <f t="shared" si="1"/>
        <v>44.744745283965088</v>
      </c>
      <c r="M17" s="1" t="str">
        <f>VLOOKUP(A17,Dados!A$2:C$400,3,FALSE)</f>
        <v>M1</v>
      </c>
    </row>
    <row r="18" spans="1:13" ht="18" x14ac:dyDescent="0.25">
      <c r="A18" s="47" t="s">
        <v>24</v>
      </c>
      <c r="B18" s="48">
        <v>4119509</v>
      </c>
      <c r="C18" s="29">
        <v>6.97</v>
      </c>
      <c r="D18" s="28">
        <v>12.544996400287975</v>
      </c>
      <c r="E18" s="30">
        <v>18220</v>
      </c>
      <c r="F18" s="30">
        <v>118730</v>
      </c>
      <c r="G18" s="30">
        <v>0.15345742440832141</v>
      </c>
      <c r="H18" s="28">
        <v>89.19174975657485</v>
      </c>
      <c r="I18" s="49">
        <v>12.48</v>
      </c>
      <c r="J18" s="30">
        <v>66.881028938906752</v>
      </c>
      <c r="K18" s="27">
        <f t="shared" si="0"/>
        <v>56.205925031923186</v>
      </c>
      <c r="L18" s="71">
        <f t="shared" si="1"/>
        <v>51.092066078164997</v>
      </c>
      <c r="M18" s="1" t="str">
        <f>VLOOKUP(A18,Dados!A$2:C$400,3,FALSE)</f>
        <v>M1</v>
      </c>
    </row>
    <row r="19" spans="1:13" ht="18" x14ac:dyDescent="0.25">
      <c r="A19" s="47" t="s">
        <v>25</v>
      </c>
      <c r="B19" s="48">
        <v>4126256</v>
      </c>
      <c r="C19" s="29">
        <v>10.78</v>
      </c>
      <c r="D19" s="28">
        <v>19.402447804175662</v>
      </c>
      <c r="E19" s="30">
        <v>16897</v>
      </c>
      <c r="F19" s="30">
        <v>118455</v>
      </c>
      <c r="G19" s="30">
        <v>0.14264488624372124</v>
      </c>
      <c r="H19" s="28">
        <v>82.907340892495554</v>
      </c>
      <c r="I19" s="49">
        <v>12.6</v>
      </c>
      <c r="J19" s="30">
        <v>67.524115755627008</v>
      </c>
      <c r="K19" s="27">
        <f t="shared" si="0"/>
        <v>56.611301484099407</v>
      </c>
      <c r="L19" s="71">
        <f t="shared" si="1"/>
        <v>51.851290485378264</v>
      </c>
      <c r="M19" s="1" t="str">
        <f>VLOOKUP(A19,Dados!A$2:C$400,3,FALSE)</f>
        <v>M1</v>
      </c>
    </row>
    <row r="20" spans="1:13" ht="18" x14ac:dyDescent="0.25">
      <c r="A20" s="47" t="s">
        <v>22</v>
      </c>
      <c r="B20" s="48">
        <v>4100400</v>
      </c>
      <c r="C20" s="29">
        <v>7.54</v>
      </c>
      <c r="D20" s="28">
        <v>13.570914326853851</v>
      </c>
      <c r="E20" s="30">
        <v>18915</v>
      </c>
      <c r="F20" s="30">
        <v>119825</v>
      </c>
      <c r="G20" s="30">
        <v>0.15785520550803256</v>
      </c>
      <c r="H20" s="28">
        <v>91.747805892939681</v>
      </c>
      <c r="I20" s="49">
        <v>13.09</v>
      </c>
      <c r="J20" s="30">
        <v>70.150053590568064</v>
      </c>
      <c r="K20" s="27">
        <f t="shared" si="0"/>
        <v>58.489591270120535</v>
      </c>
      <c r="L20" s="71">
        <f t="shared" si="1"/>
        <v>55.369115563058649</v>
      </c>
      <c r="M20" s="1" t="str">
        <f>VLOOKUP(A20,Dados!A$2:C$400,3,FALSE)</f>
        <v>M1</v>
      </c>
    </row>
    <row r="21" spans="1:13" ht="18" x14ac:dyDescent="0.25">
      <c r="A21" s="47" t="s">
        <v>23</v>
      </c>
      <c r="B21" s="48">
        <v>4101507</v>
      </c>
      <c r="C21" s="29">
        <v>8.01</v>
      </c>
      <c r="D21" s="28">
        <v>14.416846652267818</v>
      </c>
      <c r="E21" s="30">
        <v>15470</v>
      </c>
      <c r="F21" s="30">
        <v>119138</v>
      </c>
      <c r="G21" s="30">
        <v>0.12984941832161023</v>
      </c>
      <c r="H21" s="28">
        <v>75.470423602064869</v>
      </c>
      <c r="I21" s="49">
        <v>12.73</v>
      </c>
      <c r="J21" s="30">
        <v>68.220793140407281</v>
      </c>
      <c r="K21" s="27">
        <f t="shared" si="0"/>
        <v>52.702687798246664</v>
      </c>
      <c r="L21" s="71">
        <f t="shared" si="1"/>
        <v>44.530897569765152</v>
      </c>
      <c r="M21" s="1" t="str">
        <f>VLOOKUP(A21,Dados!A$2:C$400,3,FALSE)</f>
        <v>M1</v>
      </c>
    </row>
    <row r="22" spans="1:13" ht="18" x14ac:dyDescent="0.25">
      <c r="A22" s="47" t="s">
        <v>26</v>
      </c>
      <c r="B22" s="48">
        <v>4128104</v>
      </c>
      <c r="C22" s="29">
        <v>14.61</v>
      </c>
      <c r="D22" s="28">
        <v>26.295896328293733</v>
      </c>
      <c r="E22" s="30">
        <v>14786</v>
      </c>
      <c r="F22" s="30">
        <v>117095</v>
      </c>
      <c r="G22" s="30">
        <v>0.12627353857978565</v>
      </c>
      <c r="H22" s="28">
        <v>73.392068825017475</v>
      </c>
      <c r="I22" s="49">
        <v>12.93</v>
      </c>
      <c r="J22" s="30">
        <v>69.292604501607713</v>
      </c>
      <c r="K22" s="27">
        <f t="shared" si="0"/>
        <v>56.326856551639644</v>
      </c>
      <c r="L22" s="71">
        <f t="shared" si="1"/>
        <v>51.318557185078674</v>
      </c>
      <c r="M22" s="1" t="str">
        <f>VLOOKUP(A22,Dados!A$2:C$400,3,FALSE)</f>
        <v>M1</v>
      </c>
    </row>
    <row r="23" spans="1:13" ht="18" x14ac:dyDescent="0.25">
      <c r="A23" s="47" t="s">
        <v>29</v>
      </c>
      <c r="B23" s="48">
        <v>4108403</v>
      </c>
      <c r="C23" s="29">
        <v>9.4</v>
      </c>
      <c r="D23" s="28">
        <v>16.918646508279338</v>
      </c>
      <c r="E23" s="30">
        <v>12385</v>
      </c>
      <c r="F23" s="30">
        <v>96666</v>
      </c>
      <c r="G23" s="30">
        <v>0.12812157325222934</v>
      </c>
      <c r="H23" s="28">
        <v>74.466174210805079</v>
      </c>
      <c r="I23" s="49">
        <v>13.1</v>
      </c>
      <c r="J23" s="30">
        <v>70.20364415862808</v>
      </c>
      <c r="K23" s="27">
        <f t="shared" si="0"/>
        <v>53.862821625904168</v>
      </c>
      <c r="L23" s="71">
        <f t="shared" si="1"/>
        <v>46.703697476772149</v>
      </c>
      <c r="M23" s="1" t="str">
        <f>VLOOKUP(A23,Dados!A$2:C$400,3,FALSE)</f>
        <v>P4</v>
      </c>
    </row>
    <row r="24" spans="1:13" ht="18" x14ac:dyDescent="0.25">
      <c r="A24" s="47" t="s">
        <v>28</v>
      </c>
      <c r="B24" s="48">
        <v>4104303</v>
      </c>
      <c r="C24" s="29">
        <v>11.97</v>
      </c>
      <c r="D24" s="28">
        <v>21.544276457883367</v>
      </c>
      <c r="E24" s="30">
        <v>12740</v>
      </c>
      <c r="F24" s="30">
        <v>99432</v>
      </c>
      <c r="G24" s="30">
        <v>0.12812776570922843</v>
      </c>
      <c r="H24" s="28">
        <v>74.469773359410439</v>
      </c>
      <c r="I24" s="49">
        <v>11.98</v>
      </c>
      <c r="J24" s="30">
        <v>64.20150053590568</v>
      </c>
      <c r="K24" s="27">
        <f t="shared" si="0"/>
        <v>53.405183451066499</v>
      </c>
      <c r="L24" s="71">
        <f t="shared" si="1"/>
        <v>45.846592753140477</v>
      </c>
      <c r="M24" s="1" t="str">
        <f>VLOOKUP(A24,Dados!A$2:C$400,3,FALSE)</f>
        <v>P4</v>
      </c>
    </row>
    <row r="25" spans="1:13" ht="18" x14ac:dyDescent="0.25">
      <c r="A25" s="47" t="s">
        <v>27</v>
      </c>
      <c r="B25" s="48">
        <v>4103701</v>
      </c>
      <c r="C25" s="29">
        <v>7.26</v>
      </c>
      <c r="D25" s="28">
        <v>13.06695464362851</v>
      </c>
      <c r="E25" s="30">
        <v>13404</v>
      </c>
      <c r="F25" s="30">
        <v>107208</v>
      </c>
      <c r="G25" s="30">
        <v>0.12502798298634429</v>
      </c>
      <c r="H25" s="28">
        <v>72.668133288978993</v>
      </c>
      <c r="I25" s="49">
        <v>11.76</v>
      </c>
      <c r="J25" s="30">
        <v>63.022508038585215</v>
      </c>
      <c r="K25" s="27">
        <f t="shared" si="0"/>
        <v>49.5858653237309</v>
      </c>
      <c r="L25" s="71">
        <f t="shared" si="1"/>
        <v>38.693440354626965</v>
      </c>
      <c r="M25" s="1" t="str">
        <f>VLOOKUP(A25,Dados!A$2:C$400,3,FALSE)</f>
        <v>M1</v>
      </c>
    </row>
    <row r="26" spans="1:13" ht="18" x14ac:dyDescent="0.25">
      <c r="A26" s="47" t="s">
        <v>31</v>
      </c>
      <c r="B26" s="48">
        <v>4118501</v>
      </c>
      <c r="C26" s="29">
        <v>5.94</v>
      </c>
      <c r="D26" s="28">
        <v>10.691144708423327</v>
      </c>
      <c r="E26" s="30">
        <v>11949</v>
      </c>
      <c r="F26" s="30">
        <v>91836</v>
      </c>
      <c r="G26" s="30">
        <v>0.13011237423232719</v>
      </c>
      <c r="H26" s="28">
        <v>75.623257509424562</v>
      </c>
      <c r="I26" s="49">
        <v>14.46</v>
      </c>
      <c r="J26" s="30">
        <v>77.491961414791007</v>
      </c>
      <c r="K26" s="27">
        <f t="shared" si="0"/>
        <v>54.602121210879631</v>
      </c>
      <c r="L26" s="71">
        <f t="shared" si="1"/>
        <v>48.088322277109604</v>
      </c>
      <c r="M26" s="1" t="str">
        <f>VLOOKUP(A26,Dados!A$2:C$400,3,FALSE)</f>
        <v>P4</v>
      </c>
    </row>
    <row r="27" spans="1:13" ht="18" x14ac:dyDescent="0.25">
      <c r="A27" s="47" t="s">
        <v>32</v>
      </c>
      <c r="B27" s="48">
        <v>4105508</v>
      </c>
      <c r="C27" s="29">
        <v>10.76</v>
      </c>
      <c r="D27" s="28">
        <v>19.366450683945281</v>
      </c>
      <c r="E27" s="30">
        <v>10122</v>
      </c>
      <c r="F27" s="30">
        <v>79527</v>
      </c>
      <c r="G27" s="30">
        <v>0.12727752838658568</v>
      </c>
      <c r="H27" s="28">
        <v>73.975602713661345</v>
      </c>
      <c r="I27" s="49">
        <v>12.21</v>
      </c>
      <c r="J27" s="30">
        <v>65.434083601286176</v>
      </c>
      <c r="K27" s="27">
        <f t="shared" si="0"/>
        <v>52.925378999630937</v>
      </c>
      <c r="L27" s="71">
        <f t="shared" si="1"/>
        <v>44.947973091678008</v>
      </c>
      <c r="M27" s="1" t="str">
        <f>VLOOKUP(A27,Dados!A$2:C$400,3,FALSE)</f>
        <v>P4</v>
      </c>
    </row>
    <row r="28" spans="1:13" ht="18" x14ac:dyDescent="0.25">
      <c r="A28" s="47" t="s">
        <v>42</v>
      </c>
      <c r="B28" s="48">
        <v>4117602</v>
      </c>
      <c r="C28" s="29">
        <v>16.03</v>
      </c>
      <c r="D28" s="28">
        <v>28.851691864650832</v>
      </c>
      <c r="E28" s="30">
        <v>7729</v>
      </c>
      <c r="F28" s="30">
        <v>48247</v>
      </c>
      <c r="G28" s="30">
        <v>0.1601964889008643</v>
      </c>
      <c r="H28" s="28">
        <v>93.108594810698605</v>
      </c>
      <c r="I28" s="49">
        <v>16.809999999999999</v>
      </c>
      <c r="J28" s="30">
        <v>90.085744908896032</v>
      </c>
      <c r="K28" s="27">
        <f t="shared" si="0"/>
        <v>70.682010528081818</v>
      </c>
      <c r="L28" s="71">
        <f t="shared" si="1"/>
        <v>78.204142693833361</v>
      </c>
      <c r="M28" s="1" t="str">
        <f>VLOOKUP(A28,Dados!A$2:C$400,3,FALSE)</f>
        <v>P3</v>
      </c>
    </row>
    <row r="29" spans="1:13" ht="18" x14ac:dyDescent="0.25">
      <c r="A29" s="47" t="s">
        <v>30</v>
      </c>
      <c r="B29" s="48">
        <v>4118402</v>
      </c>
      <c r="C29" s="29">
        <v>9.23</v>
      </c>
      <c r="D29" s="28">
        <v>16.612670986321092</v>
      </c>
      <c r="E29" s="30">
        <v>11985</v>
      </c>
      <c r="F29" s="30">
        <v>92001</v>
      </c>
      <c r="G29" s="30">
        <v>0.13027032314866144</v>
      </c>
      <c r="H29" s="28">
        <v>75.715059781450989</v>
      </c>
      <c r="I29" s="49">
        <v>12.34</v>
      </c>
      <c r="J29" s="30">
        <v>66.130760986066448</v>
      </c>
      <c r="K29" s="27">
        <f t="shared" si="0"/>
        <v>52.819497251279508</v>
      </c>
      <c r="L29" s="71">
        <f t="shared" si="1"/>
        <v>44.749668510355484</v>
      </c>
      <c r="M29" s="1" t="str">
        <f>VLOOKUP(A29,Dados!A$2:C$400,3,FALSE)</f>
        <v>P4</v>
      </c>
    </row>
    <row r="30" spans="1:13" ht="18" x14ac:dyDescent="0.25">
      <c r="A30" s="47" t="s">
        <v>34</v>
      </c>
      <c r="B30" s="48">
        <v>4104907</v>
      </c>
      <c r="C30" s="29">
        <v>8.8800000000000008</v>
      </c>
      <c r="D30" s="28">
        <v>15.982721382289416</v>
      </c>
      <c r="E30" s="30">
        <v>11291</v>
      </c>
      <c r="F30" s="30">
        <v>73075</v>
      </c>
      <c r="G30" s="30">
        <v>0.15451248717071503</v>
      </c>
      <c r="H30" s="28">
        <v>89.804968010717474</v>
      </c>
      <c r="I30" s="49">
        <v>13.32</v>
      </c>
      <c r="J30" s="30">
        <v>71.382636655948545</v>
      </c>
      <c r="K30" s="27">
        <f t="shared" si="0"/>
        <v>59.056775349651808</v>
      </c>
      <c r="L30" s="71">
        <f t="shared" si="1"/>
        <v>56.431387419875179</v>
      </c>
      <c r="M30" s="1" t="str">
        <f>VLOOKUP(A30,Dados!A$2:C$400,3,FALSE)</f>
        <v>P4</v>
      </c>
    </row>
    <row r="31" spans="1:13" ht="18" x14ac:dyDescent="0.25">
      <c r="A31" s="47" t="s">
        <v>33</v>
      </c>
      <c r="B31" s="48">
        <v>4127106</v>
      </c>
      <c r="C31" s="29">
        <v>9.6199999999999992</v>
      </c>
      <c r="D31" s="28">
        <v>17.314614830813532</v>
      </c>
      <c r="E31" s="30">
        <v>11019</v>
      </c>
      <c r="F31" s="30">
        <v>75042</v>
      </c>
      <c r="G31" s="30">
        <v>0.14683777084832494</v>
      </c>
      <c r="H31" s="28">
        <v>85.344308122031109</v>
      </c>
      <c r="I31" s="49">
        <v>13.89</v>
      </c>
      <c r="J31" s="30">
        <v>74.437299035369776</v>
      </c>
      <c r="K31" s="27">
        <f t="shared" si="0"/>
        <v>59.032073996071482</v>
      </c>
      <c r="L31" s="71">
        <f t="shared" si="1"/>
        <v>56.385124568570646</v>
      </c>
      <c r="M31" s="1" t="str">
        <f>VLOOKUP(A31,Dados!A$2:C$400,3,FALSE)</f>
        <v>P4</v>
      </c>
    </row>
    <row r="32" spans="1:13" ht="18" x14ac:dyDescent="0.25">
      <c r="A32" s="47" t="s">
        <v>35</v>
      </c>
      <c r="B32" s="48">
        <v>4122404</v>
      </c>
      <c r="C32" s="29">
        <v>12.23</v>
      </c>
      <c r="D32" s="28">
        <v>22.012239020878329</v>
      </c>
      <c r="E32" s="30">
        <v>9508</v>
      </c>
      <c r="F32" s="30">
        <v>71670</v>
      </c>
      <c r="G32" s="30">
        <v>0.13266359704199804</v>
      </c>
      <c r="H32" s="28">
        <v>77.106066355531382</v>
      </c>
      <c r="I32" s="49">
        <v>13.14</v>
      </c>
      <c r="J32" s="30">
        <v>70.418006430868175</v>
      </c>
      <c r="K32" s="27">
        <f t="shared" si="0"/>
        <v>56.512103935759292</v>
      </c>
      <c r="L32" s="71">
        <f t="shared" si="1"/>
        <v>51.665504657338126</v>
      </c>
      <c r="M32" s="1" t="str">
        <f>VLOOKUP(A32,Dados!A$2:C$400,3,FALSE)</f>
        <v>P4</v>
      </c>
    </row>
    <row r="33" spans="1:13" ht="18" x14ac:dyDescent="0.25">
      <c r="A33" s="47" t="s">
        <v>40</v>
      </c>
      <c r="B33" s="48">
        <v>4109807</v>
      </c>
      <c r="C33" s="29">
        <v>19.23</v>
      </c>
      <c r="D33" s="28">
        <v>34.611231101511883</v>
      </c>
      <c r="E33" s="30">
        <v>6836</v>
      </c>
      <c r="F33" s="30">
        <v>51603</v>
      </c>
      <c r="G33" s="30">
        <v>0.13247291824118754</v>
      </c>
      <c r="H33" s="28">
        <v>76.995240985228548</v>
      </c>
      <c r="I33" s="49">
        <v>12.13</v>
      </c>
      <c r="J33" s="30">
        <v>65.005359056806014</v>
      </c>
      <c r="K33" s="27">
        <f t="shared" si="0"/>
        <v>58.870610381182154</v>
      </c>
      <c r="L33" s="71">
        <f t="shared" si="1"/>
        <v>56.082721415543958</v>
      </c>
      <c r="M33" s="1" t="str">
        <f>VLOOKUP(A33,Dados!A$2:C$400,3,FALSE)</f>
        <v>P3</v>
      </c>
    </row>
    <row r="34" spans="1:13" ht="18" x14ac:dyDescent="0.25">
      <c r="A34" s="47" t="s">
        <v>44</v>
      </c>
      <c r="B34" s="48">
        <v>4117503</v>
      </c>
      <c r="C34" s="29">
        <v>11.13</v>
      </c>
      <c r="D34" s="28">
        <v>20.032397408207345</v>
      </c>
      <c r="E34" s="30">
        <v>6371</v>
      </c>
      <c r="F34" s="30">
        <v>45962</v>
      </c>
      <c r="G34" s="30">
        <v>0.13861450763674341</v>
      </c>
      <c r="H34" s="28">
        <v>80.564824578776381</v>
      </c>
      <c r="I34" s="49">
        <v>13.08</v>
      </c>
      <c r="J34" s="30">
        <v>70.096463022508033</v>
      </c>
      <c r="K34" s="27">
        <f t="shared" si="0"/>
        <v>56.897895003163917</v>
      </c>
      <c r="L34" s="71">
        <f t="shared" si="1"/>
        <v>52.388047846233377</v>
      </c>
      <c r="M34" s="1" t="str">
        <f>VLOOKUP(A34,Dados!A$2:C$400,3,FALSE)</f>
        <v>P3</v>
      </c>
    </row>
    <row r="35" spans="1:13" ht="18" x14ac:dyDescent="0.25">
      <c r="A35" s="47" t="s">
        <v>39</v>
      </c>
      <c r="B35" s="48">
        <v>4115804</v>
      </c>
      <c r="C35" s="29">
        <v>13.85</v>
      </c>
      <c r="D35" s="28">
        <v>24.928005759539236</v>
      </c>
      <c r="E35" s="30">
        <v>6921</v>
      </c>
      <c r="F35" s="30">
        <v>54369</v>
      </c>
      <c r="G35" s="30">
        <v>0.12729680516470784</v>
      </c>
      <c r="H35" s="28">
        <v>73.986806665356838</v>
      </c>
      <c r="I35" s="49">
        <v>14.16</v>
      </c>
      <c r="J35" s="30">
        <v>75.884244372990352</v>
      </c>
      <c r="K35" s="27">
        <f t="shared" si="0"/>
        <v>58.266352265962134</v>
      </c>
      <c r="L35" s="71">
        <f t="shared" si="1"/>
        <v>54.951014068289631</v>
      </c>
      <c r="M35" s="1" t="str">
        <f>VLOOKUP(A35,Dados!A$2:C$400,3,FALSE)</f>
        <v>P3</v>
      </c>
    </row>
    <row r="36" spans="1:13" ht="18" x14ac:dyDescent="0.25">
      <c r="A36" s="47" t="s">
        <v>37</v>
      </c>
      <c r="B36" s="48">
        <v>4114609</v>
      </c>
      <c r="C36" s="29">
        <v>8.06</v>
      </c>
      <c r="D36" s="28">
        <v>14.506839452843773</v>
      </c>
      <c r="E36" s="30">
        <v>6945</v>
      </c>
      <c r="F36" s="30">
        <v>55836</v>
      </c>
      <c r="G36" s="30">
        <v>0.12438211906297013</v>
      </c>
      <c r="H36" s="28">
        <v>72.292747518935627</v>
      </c>
      <c r="I36" s="49">
        <v>13.11</v>
      </c>
      <c r="J36" s="30">
        <v>70.257234726688097</v>
      </c>
      <c r="K36" s="27">
        <f t="shared" si="0"/>
        <v>52.35227389948917</v>
      </c>
      <c r="L36" s="71">
        <f t="shared" si="1"/>
        <v>43.874611830583156</v>
      </c>
      <c r="M36" s="1" t="str">
        <f>VLOOKUP(A36,Dados!A$2:C$400,3,FALSE)</f>
        <v>P3</v>
      </c>
    </row>
    <row r="37" spans="1:13" ht="18" x14ac:dyDescent="0.25">
      <c r="A37" s="47" t="s">
        <v>38</v>
      </c>
      <c r="B37" s="48">
        <v>4128203</v>
      </c>
      <c r="C37" s="29">
        <v>6.39</v>
      </c>
      <c r="D37" s="28">
        <v>11.50107991360691</v>
      </c>
      <c r="E37" s="30">
        <v>7207</v>
      </c>
      <c r="F37" s="30">
        <v>55033</v>
      </c>
      <c r="G37" s="30">
        <v>0.13095778896298585</v>
      </c>
      <c r="H37" s="28">
        <v>76.114625192598979</v>
      </c>
      <c r="I37" s="49">
        <v>13.65</v>
      </c>
      <c r="J37" s="30">
        <v>73.151125401929264</v>
      </c>
      <c r="K37" s="27">
        <f t="shared" si="0"/>
        <v>53.588943502711722</v>
      </c>
      <c r="L37" s="71">
        <f t="shared" si="1"/>
        <v>46.190754619304258</v>
      </c>
      <c r="M37" s="1" t="str">
        <f>VLOOKUP(A37,Dados!A$2:C$400,3,FALSE)</f>
        <v>P3</v>
      </c>
    </row>
    <row r="38" spans="1:13" ht="18" x14ac:dyDescent="0.25">
      <c r="A38" s="47" t="s">
        <v>50</v>
      </c>
      <c r="B38" s="48">
        <v>4109609</v>
      </c>
      <c r="C38" s="29">
        <v>11.17</v>
      </c>
      <c r="D38" s="28">
        <v>20.104391648668106</v>
      </c>
      <c r="E38" s="30">
        <v>6175</v>
      </c>
      <c r="F38" s="30">
        <v>42062</v>
      </c>
      <c r="G38" s="30">
        <v>0.14680709428938235</v>
      </c>
      <c r="H38" s="28">
        <v>85.326478447258779</v>
      </c>
      <c r="I38" s="49">
        <v>12.22</v>
      </c>
      <c r="J38" s="30">
        <v>65.487674169346207</v>
      </c>
      <c r="K38" s="27">
        <f t="shared" si="0"/>
        <v>56.972848088424364</v>
      </c>
      <c r="L38" s="71">
        <f t="shared" si="1"/>
        <v>52.528426527383132</v>
      </c>
      <c r="M38" s="1" t="str">
        <f>VLOOKUP(A38,Dados!A$2:C$400,3,FALSE)</f>
        <v>P3</v>
      </c>
    </row>
    <row r="39" spans="1:13" ht="18" x14ac:dyDescent="0.25">
      <c r="A39" s="47" t="s">
        <v>47</v>
      </c>
      <c r="B39" s="48">
        <v>4107207</v>
      </c>
      <c r="C39" s="29">
        <v>4.66</v>
      </c>
      <c r="D39" s="28">
        <v>8.3873290136789063</v>
      </c>
      <c r="E39" s="30">
        <v>5782</v>
      </c>
      <c r="F39" s="30">
        <v>44869</v>
      </c>
      <c r="G39" s="30">
        <v>0.12886402638792929</v>
      </c>
      <c r="H39" s="28">
        <v>74.897699075376849</v>
      </c>
      <c r="I39" s="49">
        <v>14.42</v>
      </c>
      <c r="J39" s="30">
        <v>77.277599142550912</v>
      </c>
      <c r="K39" s="27">
        <f t="shared" si="0"/>
        <v>53.520875743868885</v>
      </c>
      <c r="L39" s="71">
        <f t="shared" si="1"/>
        <v>46.06327137852805</v>
      </c>
      <c r="M39" s="1" t="str">
        <f>VLOOKUP(A39,Dados!A$2:C$400,3,FALSE)</f>
        <v>P3</v>
      </c>
    </row>
    <row r="40" spans="1:13" ht="18" x14ac:dyDescent="0.25">
      <c r="A40" s="47" t="s">
        <v>52</v>
      </c>
      <c r="B40" s="48">
        <v>4111803</v>
      </c>
      <c r="C40" s="29">
        <v>5.26</v>
      </c>
      <c r="D40" s="28">
        <v>9.4672426205903513</v>
      </c>
      <c r="E40" s="30">
        <v>5336</v>
      </c>
      <c r="F40" s="30">
        <v>40375</v>
      </c>
      <c r="G40" s="30">
        <v>0.13216099071207429</v>
      </c>
      <c r="H40" s="28">
        <v>76.813944040971037</v>
      </c>
      <c r="I40" s="49">
        <v>12.93</v>
      </c>
      <c r="J40" s="30">
        <v>69.292604501607713</v>
      </c>
      <c r="K40" s="27">
        <f t="shared" si="0"/>
        <v>51.857930387723037</v>
      </c>
      <c r="L40" s="71">
        <f t="shared" si="1"/>
        <v>42.94876214773771</v>
      </c>
      <c r="M40" s="1" t="str">
        <f>VLOOKUP(A40,Dados!A$2:C$400,3,FALSE)</f>
        <v>P3</v>
      </c>
    </row>
    <row r="41" spans="1:13" ht="18" x14ac:dyDescent="0.25">
      <c r="A41" s="47" t="s">
        <v>43</v>
      </c>
      <c r="B41" s="48">
        <v>4104006</v>
      </c>
      <c r="C41" s="29">
        <v>8.8000000000000007</v>
      </c>
      <c r="D41" s="28">
        <v>15.838732901367891</v>
      </c>
      <c r="E41" s="30">
        <v>7203</v>
      </c>
      <c r="F41" s="30">
        <v>47825</v>
      </c>
      <c r="G41" s="30">
        <v>0.15061160480920022</v>
      </c>
      <c r="H41" s="28">
        <v>87.537716851253862</v>
      </c>
      <c r="I41" s="49">
        <v>14.53</v>
      </c>
      <c r="J41" s="30">
        <v>77.867095391211137</v>
      </c>
      <c r="K41" s="27">
        <f t="shared" si="0"/>
        <v>60.414515047944292</v>
      </c>
      <c r="L41" s="71">
        <f t="shared" si="1"/>
        <v>58.974280851528945</v>
      </c>
      <c r="M41" s="1" t="str">
        <f>VLOOKUP(A41,Dados!A$2:C$400,3,FALSE)</f>
        <v>P3</v>
      </c>
    </row>
    <row r="42" spans="1:13" ht="18" x14ac:dyDescent="0.25">
      <c r="A42" s="47" t="s">
        <v>36</v>
      </c>
      <c r="B42" s="48">
        <v>4110706</v>
      </c>
      <c r="C42" s="29">
        <v>5.36</v>
      </c>
      <c r="D42" s="28">
        <v>9.647228221742262</v>
      </c>
      <c r="E42" s="30">
        <v>7672</v>
      </c>
      <c r="F42" s="30">
        <v>59250</v>
      </c>
      <c r="G42" s="30">
        <v>0.12948523206751056</v>
      </c>
      <c r="H42" s="28">
        <v>75.25875310540637</v>
      </c>
      <c r="I42" s="49">
        <v>12.93</v>
      </c>
      <c r="J42" s="30">
        <v>69.292604501607713</v>
      </c>
      <c r="K42" s="27">
        <f t="shared" si="0"/>
        <v>51.399528609585445</v>
      </c>
      <c r="L42" s="71">
        <f t="shared" si="1"/>
        <v>42.090227281186742</v>
      </c>
      <c r="M42" s="1" t="str">
        <f>VLOOKUP(A42,Dados!A$2:C$400,3,FALSE)</f>
        <v>P3</v>
      </c>
    </row>
    <row r="43" spans="1:13" ht="18" x14ac:dyDescent="0.25">
      <c r="A43" s="47" t="s">
        <v>41</v>
      </c>
      <c r="B43" s="48">
        <v>4120606</v>
      </c>
      <c r="C43" s="29">
        <v>7.89</v>
      </c>
      <c r="D43" s="28">
        <v>14.200863930885527</v>
      </c>
      <c r="E43" s="30">
        <v>6590</v>
      </c>
      <c r="F43" s="30">
        <v>49393</v>
      </c>
      <c r="G43" s="30">
        <v>0.13341971534427954</v>
      </c>
      <c r="H43" s="28">
        <v>77.545533619259302</v>
      </c>
      <c r="I43" s="49">
        <v>12.27</v>
      </c>
      <c r="J43" s="30">
        <v>65.755627009646304</v>
      </c>
      <c r="K43" s="27">
        <f t="shared" si="0"/>
        <v>52.500674853263718</v>
      </c>
      <c r="L43" s="71">
        <f t="shared" si="1"/>
        <v>44.152550091561331</v>
      </c>
      <c r="M43" s="1" t="str">
        <f>VLOOKUP(A43,Dados!A$2:C$400,3,FALSE)</f>
        <v>P3</v>
      </c>
    </row>
    <row r="44" spans="1:13" ht="18" x14ac:dyDescent="0.25">
      <c r="A44" s="47" t="s">
        <v>62</v>
      </c>
      <c r="B44" s="48">
        <v>4113304</v>
      </c>
      <c r="C44" s="29">
        <v>12.22</v>
      </c>
      <c r="D44" s="28">
        <v>21.994240460763141</v>
      </c>
      <c r="E44" s="30">
        <v>4424</v>
      </c>
      <c r="F44" s="30">
        <v>32227</v>
      </c>
      <c r="G44" s="30">
        <v>0.1372761969776895</v>
      </c>
      <c r="H44" s="28">
        <v>79.786978411612253</v>
      </c>
      <c r="I44" s="49">
        <v>15.95</v>
      </c>
      <c r="J44" s="30">
        <v>85.476956055734192</v>
      </c>
      <c r="K44" s="27">
        <f t="shared" si="0"/>
        <v>62.419391642703197</v>
      </c>
      <c r="L44" s="71">
        <f t="shared" si="1"/>
        <v>62.729188755083918</v>
      </c>
      <c r="M44" s="1" t="str">
        <f>VLOOKUP(A44,Dados!A$2:C$400,3,FALSE)</f>
        <v>P3</v>
      </c>
    </row>
    <row r="45" spans="1:13" ht="18" x14ac:dyDescent="0.25">
      <c r="A45" s="47" t="s">
        <v>49</v>
      </c>
      <c r="B45" s="48">
        <v>4125605</v>
      </c>
      <c r="C45" s="29">
        <v>15.25</v>
      </c>
      <c r="D45" s="28">
        <v>27.447804175665947</v>
      </c>
      <c r="E45" s="30">
        <v>5750</v>
      </c>
      <c r="F45" s="30">
        <v>42366</v>
      </c>
      <c r="G45" s="30">
        <v>0.13572204125950055</v>
      </c>
      <c r="H45" s="28">
        <v>78.883679868489153</v>
      </c>
      <c r="I45" s="49">
        <v>12.27</v>
      </c>
      <c r="J45" s="30">
        <v>65.755627009646304</v>
      </c>
      <c r="K45" s="27">
        <f t="shared" si="0"/>
        <v>57.362370351267138</v>
      </c>
      <c r="L45" s="71">
        <f t="shared" si="1"/>
        <v>53.257957824811861</v>
      </c>
      <c r="M45" s="1" t="str">
        <f>VLOOKUP(A45,Dados!A$2:C$400,3,FALSE)</f>
        <v>P3</v>
      </c>
    </row>
    <row r="46" spans="1:13" ht="18" x14ac:dyDescent="0.25">
      <c r="A46" s="47" t="s">
        <v>64</v>
      </c>
      <c r="B46" s="48">
        <v>4114104</v>
      </c>
      <c r="C46" s="29">
        <v>9.4600000000000009</v>
      </c>
      <c r="D46" s="28">
        <v>17.026637868970486</v>
      </c>
      <c r="E46" s="30">
        <v>4294</v>
      </c>
      <c r="F46" s="30">
        <v>31457</v>
      </c>
      <c r="G46" s="30">
        <v>0.13650379883650698</v>
      </c>
      <c r="H46" s="28">
        <v>79.338049062078227</v>
      </c>
      <c r="I46" s="49">
        <v>12.72</v>
      </c>
      <c r="J46" s="30">
        <v>68.167202572347279</v>
      </c>
      <c r="K46" s="27">
        <f t="shared" si="0"/>
        <v>54.843963167798655</v>
      </c>
      <c r="L46" s="71">
        <f t="shared" si="1"/>
        <v>48.541265005764508</v>
      </c>
      <c r="M46" s="1" t="str">
        <f>VLOOKUP(A46,Dados!A$2:C$400,3,FALSE)</f>
        <v>P3</v>
      </c>
    </row>
    <row r="47" spans="1:13" ht="18" x14ac:dyDescent="0.25">
      <c r="A47" s="47" t="s">
        <v>63</v>
      </c>
      <c r="B47" s="48">
        <v>4108809</v>
      </c>
      <c r="C47" s="29">
        <v>4.45</v>
      </c>
      <c r="D47" s="28">
        <v>8.0093592512598999</v>
      </c>
      <c r="E47" s="30">
        <v>4591</v>
      </c>
      <c r="F47" s="30">
        <v>32097</v>
      </c>
      <c r="G47" s="30">
        <v>0.14303517462691218</v>
      </c>
      <c r="H47" s="28">
        <v>83.134182336894099</v>
      </c>
      <c r="I47" s="49">
        <v>13.77</v>
      </c>
      <c r="J47" s="30">
        <v>73.79421221864952</v>
      </c>
      <c r="K47" s="27">
        <f t="shared" si="0"/>
        <v>54.979251268934512</v>
      </c>
      <c r="L47" s="71">
        <f t="shared" si="1"/>
        <v>48.794644371626703</v>
      </c>
      <c r="M47" s="1" t="str">
        <f>VLOOKUP(A47,Dados!A$2:C$400,3,FALSE)</f>
        <v>P3</v>
      </c>
    </row>
    <row r="48" spans="1:13" ht="18" x14ac:dyDescent="0.25">
      <c r="A48" s="47" t="s">
        <v>54</v>
      </c>
      <c r="B48" s="48">
        <v>4122206</v>
      </c>
      <c r="C48" s="29">
        <v>1.73</v>
      </c>
      <c r="D48" s="28">
        <v>3.1137508999280055</v>
      </c>
      <c r="E48" s="30">
        <v>5566</v>
      </c>
      <c r="F48" s="30">
        <v>37558</v>
      </c>
      <c r="G48" s="30">
        <v>0.14819745460354652</v>
      </c>
      <c r="H48" s="28">
        <v>86.134576652285602</v>
      </c>
      <c r="I48" s="49">
        <v>13.47</v>
      </c>
      <c r="J48" s="30">
        <v>72.186495176848879</v>
      </c>
      <c r="K48" s="27">
        <f t="shared" si="0"/>
        <v>53.811607576354163</v>
      </c>
      <c r="L48" s="71">
        <f t="shared" si="1"/>
        <v>46.60777933401409</v>
      </c>
      <c r="M48" s="1" t="str">
        <f>VLOOKUP(A48,Dados!A$2:C$400,3,FALSE)</f>
        <v>P3</v>
      </c>
    </row>
    <row r="49" spans="1:13" ht="18" x14ac:dyDescent="0.25">
      <c r="A49" s="47" t="s">
        <v>48</v>
      </c>
      <c r="B49" s="48">
        <v>4124103</v>
      </c>
      <c r="C49" s="29">
        <v>6.72</v>
      </c>
      <c r="D49" s="28">
        <v>12.095032397408206</v>
      </c>
      <c r="E49" s="30">
        <v>5851</v>
      </c>
      <c r="F49" s="30">
        <v>44369</v>
      </c>
      <c r="G49" s="30">
        <v>0.13187135161937388</v>
      </c>
      <c r="H49" s="28">
        <v>76.645601469241711</v>
      </c>
      <c r="I49" s="49">
        <v>12.87</v>
      </c>
      <c r="J49" s="30">
        <v>68.971061093247584</v>
      </c>
      <c r="K49" s="27">
        <f t="shared" si="0"/>
        <v>52.570564986632498</v>
      </c>
      <c r="L49" s="71">
        <f t="shared" si="1"/>
        <v>44.283446434435</v>
      </c>
      <c r="M49" s="1" t="str">
        <f>VLOOKUP(A49,Dados!A$2:C$400,3,FALSE)</f>
        <v>P3</v>
      </c>
    </row>
    <row r="50" spans="1:13" ht="18" x14ac:dyDescent="0.25">
      <c r="A50" s="47" t="s">
        <v>58</v>
      </c>
      <c r="B50" s="48">
        <v>4117909</v>
      </c>
      <c r="C50" s="29">
        <v>9.4499999999999993</v>
      </c>
      <c r="D50" s="28">
        <v>17.00863930885529</v>
      </c>
      <c r="E50" s="30">
        <v>4726</v>
      </c>
      <c r="F50" s="30">
        <v>35011</v>
      </c>
      <c r="G50" s="30">
        <v>0.13498614721087659</v>
      </c>
      <c r="H50" s="28">
        <v>78.455967243405752</v>
      </c>
      <c r="I50" s="49">
        <v>15.37</v>
      </c>
      <c r="J50" s="30">
        <v>82.368703108252944</v>
      </c>
      <c r="K50" s="27">
        <f t="shared" si="0"/>
        <v>59.277769886837994</v>
      </c>
      <c r="L50" s="71">
        <f t="shared" si="1"/>
        <v>56.845285280966564</v>
      </c>
      <c r="M50" s="1" t="str">
        <f>VLOOKUP(A50,Dados!A$2:C$400,3,FALSE)</f>
        <v>P3</v>
      </c>
    </row>
    <row r="51" spans="1:13" ht="18" x14ac:dyDescent="0.25">
      <c r="A51" s="47" t="s">
        <v>72</v>
      </c>
      <c r="B51" s="48">
        <v>4119301</v>
      </c>
      <c r="C51" s="29">
        <v>14.71</v>
      </c>
      <c r="D51" s="28">
        <v>26.475881929445645</v>
      </c>
      <c r="E51" s="30">
        <v>4655</v>
      </c>
      <c r="F51" s="30">
        <v>29886</v>
      </c>
      <c r="G51" s="30">
        <v>0.15575854915344978</v>
      </c>
      <c r="H51" s="28">
        <v>90.529197867785442</v>
      </c>
      <c r="I51" s="49">
        <v>16.829999999999998</v>
      </c>
      <c r="J51" s="30">
        <v>90.192926045016065</v>
      </c>
      <c r="K51" s="27">
        <f t="shared" si="0"/>
        <v>69.066001947415714</v>
      </c>
      <c r="L51" s="71">
        <f t="shared" si="1"/>
        <v>75.177540753535126</v>
      </c>
      <c r="M51" s="1" t="str">
        <f>VLOOKUP(A51,Dados!A$2:C$400,3,FALSE)</f>
        <v>P3</v>
      </c>
    </row>
    <row r="52" spans="1:13" ht="18" x14ac:dyDescent="0.25">
      <c r="A52" s="47" t="s">
        <v>51</v>
      </c>
      <c r="B52" s="48">
        <v>4114807</v>
      </c>
      <c r="C52" s="29">
        <v>16.329999999999998</v>
      </c>
      <c r="D52" s="28">
        <v>29.391648668106544</v>
      </c>
      <c r="E52" s="30">
        <v>5446</v>
      </c>
      <c r="F52" s="30">
        <v>41851</v>
      </c>
      <c r="G52" s="30">
        <v>0.1301283123461805</v>
      </c>
      <c r="H52" s="28">
        <v>75.632520979523036</v>
      </c>
      <c r="I52" s="49">
        <v>13.36</v>
      </c>
      <c r="J52" s="30">
        <v>71.59699892818864</v>
      </c>
      <c r="K52" s="27">
        <f t="shared" si="0"/>
        <v>58.873722858606072</v>
      </c>
      <c r="L52" s="71">
        <f t="shared" si="1"/>
        <v>56.088550734969033</v>
      </c>
      <c r="M52" s="1" t="str">
        <f>VLOOKUP(A52,Dados!A$2:C$400,3,FALSE)</f>
        <v>P3</v>
      </c>
    </row>
    <row r="53" spans="1:13" ht="18" x14ac:dyDescent="0.25">
      <c r="A53" s="47" t="s">
        <v>68</v>
      </c>
      <c r="B53" s="48">
        <v>4120903</v>
      </c>
      <c r="C53" s="29">
        <v>22.08</v>
      </c>
      <c r="D53" s="28">
        <v>39.740820734341249</v>
      </c>
      <c r="E53" s="30">
        <v>4406</v>
      </c>
      <c r="F53" s="30">
        <v>30738</v>
      </c>
      <c r="G53" s="30">
        <v>0.14334049059795692</v>
      </c>
      <c r="H53" s="28">
        <v>83.31163654473778</v>
      </c>
      <c r="I53" s="49">
        <v>14.74</v>
      </c>
      <c r="J53" s="30">
        <v>78.9924973204716</v>
      </c>
      <c r="K53" s="27">
        <f t="shared" si="0"/>
        <v>67.348318199850212</v>
      </c>
      <c r="L53" s="71">
        <f t="shared" si="1"/>
        <v>71.960512684873748</v>
      </c>
      <c r="M53" s="1" t="str">
        <f>VLOOKUP(A53,Dados!A$2:C$400,3,FALSE)</f>
        <v>P3</v>
      </c>
    </row>
    <row r="54" spans="1:13" ht="18" x14ac:dyDescent="0.25">
      <c r="A54" s="47" t="s">
        <v>56</v>
      </c>
      <c r="B54" s="48">
        <v>4114203</v>
      </c>
      <c r="C54" s="29">
        <v>12.22</v>
      </c>
      <c r="D54" s="28">
        <v>21.994240460763141</v>
      </c>
      <c r="E54" s="30">
        <v>4477</v>
      </c>
      <c r="F54" s="30">
        <v>36716</v>
      </c>
      <c r="G54" s="30">
        <v>0.12193594073428478</v>
      </c>
      <c r="H54" s="28">
        <v>70.870992095936174</v>
      </c>
      <c r="I54" s="49">
        <v>12.15</v>
      </c>
      <c r="J54" s="30">
        <v>65.112540192926048</v>
      </c>
      <c r="K54" s="27">
        <f t="shared" si="0"/>
        <v>52.659257583208451</v>
      </c>
      <c r="L54" s="71">
        <f t="shared" si="1"/>
        <v>44.449557671775224</v>
      </c>
      <c r="M54" s="1" t="str">
        <f>VLOOKUP(A54,Dados!A$2:C$400,3,FALSE)</f>
        <v>P3</v>
      </c>
    </row>
    <row r="55" spans="1:13" ht="18" x14ac:dyDescent="0.25">
      <c r="A55" s="47" t="s">
        <v>59</v>
      </c>
      <c r="B55" s="48">
        <v>4117701</v>
      </c>
      <c r="C55" s="29">
        <v>9.32</v>
      </c>
      <c r="D55" s="28">
        <v>16.774658027357813</v>
      </c>
      <c r="E55" s="30">
        <v>4569</v>
      </c>
      <c r="F55" s="30">
        <v>33855</v>
      </c>
      <c r="G55" s="30">
        <v>0.13495790872840052</v>
      </c>
      <c r="H55" s="28">
        <v>78.439554615132977</v>
      </c>
      <c r="I55" s="49">
        <v>13.71</v>
      </c>
      <c r="J55" s="30">
        <v>73.472668810289392</v>
      </c>
      <c r="K55" s="27">
        <f t="shared" si="0"/>
        <v>56.228960484260064</v>
      </c>
      <c r="L55" s="71">
        <f t="shared" si="1"/>
        <v>51.135208884194974</v>
      </c>
      <c r="M55" s="1" t="str">
        <f>VLOOKUP(A55,Dados!A$2:C$400,3,FALSE)</f>
        <v>P3</v>
      </c>
    </row>
    <row r="56" spans="1:13" ht="18" x14ac:dyDescent="0.25">
      <c r="A56" s="47" t="s">
        <v>71</v>
      </c>
      <c r="B56" s="48">
        <v>4110102</v>
      </c>
      <c r="C56" s="29">
        <v>9.0299999999999994</v>
      </c>
      <c r="D56" s="28">
        <v>16.252699784017278</v>
      </c>
      <c r="E56" s="30">
        <v>4270</v>
      </c>
      <c r="F56" s="30">
        <v>29924</v>
      </c>
      <c r="G56" s="30">
        <v>0.14269482689480015</v>
      </c>
      <c r="H56" s="28">
        <v>82.936367145678716</v>
      </c>
      <c r="I56" s="49">
        <v>15.17</v>
      </c>
      <c r="J56" s="30">
        <v>81.296891747052513</v>
      </c>
      <c r="K56" s="27">
        <f t="shared" si="0"/>
        <v>60.161986225582837</v>
      </c>
      <c r="L56" s="71">
        <f t="shared" si="1"/>
        <v>58.501322828357203</v>
      </c>
      <c r="M56" s="1" t="str">
        <f>VLOOKUP(A56,Dados!A$2:C$400,3,FALSE)</f>
        <v>P3</v>
      </c>
    </row>
    <row r="57" spans="1:13" ht="18" x14ac:dyDescent="0.25">
      <c r="A57" s="47" t="s">
        <v>67</v>
      </c>
      <c r="B57" s="48">
        <v>4111258</v>
      </c>
      <c r="C57" s="29">
        <v>1.89</v>
      </c>
      <c r="D57" s="28">
        <v>3.4017278617710582</v>
      </c>
      <c r="E57" s="30">
        <v>4940</v>
      </c>
      <c r="F57" s="30">
        <v>31217</v>
      </c>
      <c r="G57" s="30">
        <v>0.15824710894704808</v>
      </c>
      <c r="H57" s="28">
        <v>91.975586031933844</v>
      </c>
      <c r="I57" s="49">
        <v>16.02</v>
      </c>
      <c r="J57" s="30">
        <v>85.852090032154337</v>
      </c>
      <c r="K57" s="27">
        <f t="shared" si="0"/>
        <v>60.409801308619741</v>
      </c>
      <c r="L57" s="71">
        <f t="shared" si="1"/>
        <v>58.965452549033259</v>
      </c>
      <c r="M57" s="1" t="str">
        <f>VLOOKUP(A57,Dados!A$2:C$400,3,FALSE)</f>
        <v>P3</v>
      </c>
    </row>
    <row r="58" spans="1:13" ht="18" x14ac:dyDescent="0.25">
      <c r="A58" s="47" t="s">
        <v>53</v>
      </c>
      <c r="B58" s="48">
        <v>4115705</v>
      </c>
      <c r="C58" s="29">
        <v>15.41</v>
      </c>
      <c r="D58" s="28">
        <v>27.735781137508997</v>
      </c>
      <c r="E58" s="30">
        <v>5331</v>
      </c>
      <c r="F58" s="30">
        <v>39259</v>
      </c>
      <c r="G58" s="30">
        <v>0.13579051937135433</v>
      </c>
      <c r="H58" s="28">
        <v>78.92348037107034</v>
      </c>
      <c r="I58" s="49">
        <v>12.97</v>
      </c>
      <c r="J58" s="30">
        <v>69.506966773847807</v>
      </c>
      <c r="K58" s="27">
        <f t="shared" si="0"/>
        <v>58.72207609414238</v>
      </c>
      <c r="L58" s="71">
        <f t="shared" si="1"/>
        <v>55.804533436387246</v>
      </c>
      <c r="M58" s="1" t="str">
        <f>VLOOKUP(A58,Dados!A$2:C$400,3,FALSE)</f>
        <v>P3</v>
      </c>
    </row>
    <row r="59" spans="1:13" ht="18" x14ac:dyDescent="0.25">
      <c r="A59" s="47" t="s">
        <v>55</v>
      </c>
      <c r="B59" s="48">
        <v>4102000</v>
      </c>
      <c r="C59" s="29">
        <v>6.88</v>
      </c>
      <c r="D59" s="28">
        <v>12.383009359251259</v>
      </c>
      <c r="E59" s="30">
        <v>4462</v>
      </c>
      <c r="F59" s="30">
        <v>36808</v>
      </c>
      <c r="G59" s="30">
        <v>0.12122364703325364</v>
      </c>
      <c r="H59" s="28">
        <v>70.456996345776119</v>
      </c>
      <c r="I59" s="49">
        <v>12.04</v>
      </c>
      <c r="J59" s="30">
        <v>64.523043944265794</v>
      </c>
      <c r="K59" s="27">
        <f t="shared" si="0"/>
        <v>49.121016549764391</v>
      </c>
      <c r="L59" s="71">
        <f t="shared" si="1"/>
        <v>37.822830991493277</v>
      </c>
      <c r="M59" s="1" t="str">
        <f>VLOOKUP(A59,Dados!A$2:C$400,3,FALSE)</f>
        <v>P3</v>
      </c>
    </row>
    <row r="60" spans="1:13" ht="18" x14ac:dyDescent="0.25">
      <c r="A60" s="47" t="s">
        <v>74</v>
      </c>
      <c r="B60" s="48">
        <v>4109708</v>
      </c>
      <c r="C60" s="29">
        <v>8.33</v>
      </c>
      <c r="D60" s="28">
        <v>14.992800575953924</v>
      </c>
      <c r="E60" s="30">
        <v>3740</v>
      </c>
      <c r="F60" s="30">
        <v>28830</v>
      </c>
      <c r="G60" s="30">
        <v>0.1297259798820673</v>
      </c>
      <c r="H60" s="28">
        <v>75.398679335194075</v>
      </c>
      <c r="I60" s="49">
        <v>12.7</v>
      </c>
      <c r="J60" s="30">
        <v>68.060021436227231</v>
      </c>
      <c r="K60" s="27">
        <f t="shared" si="0"/>
        <v>52.81716711579174</v>
      </c>
      <c r="L60" s="71">
        <f t="shared" si="1"/>
        <v>44.745304429203436</v>
      </c>
      <c r="M60" s="1" t="str">
        <f>VLOOKUP(A60,Dados!A$2:C$400,3,FALSE)</f>
        <v>P3</v>
      </c>
    </row>
    <row r="61" spans="1:13" ht="18" x14ac:dyDescent="0.25">
      <c r="A61" s="47" t="s">
        <v>76</v>
      </c>
      <c r="B61" s="48">
        <v>4114302</v>
      </c>
      <c r="C61" s="29">
        <v>11.8</v>
      </c>
      <c r="D61" s="28">
        <v>21.238300935925125</v>
      </c>
      <c r="E61" s="30">
        <v>3935</v>
      </c>
      <c r="F61" s="30">
        <v>27439</v>
      </c>
      <c r="G61" s="30">
        <v>0.14340901636357009</v>
      </c>
      <c r="H61" s="28">
        <v>83.351464744396495</v>
      </c>
      <c r="I61" s="49">
        <v>13.16</v>
      </c>
      <c r="J61" s="30">
        <v>70.525187566988208</v>
      </c>
      <c r="K61" s="27">
        <f t="shared" si="0"/>
        <v>58.371651082436607</v>
      </c>
      <c r="L61" s="71">
        <f t="shared" si="1"/>
        <v>55.148226883905608</v>
      </c>
      <c r="M61" s="1" t="str">
        <f>VLOOKUP(A61,Dados!A$2:C$400,3,FALSE)</f>
        <v>P3</v>
      </c>
    </row>
    <row r="62" spans="1:13" ht="18" x14ac:dyDescent="0.25">
      <c r="A62" s="47" t="s">
        <v>73</v>
      </c>
      <c r="B62" s="48">
        <v>4125704</v>
      </c>
      <c r="C62" s="29">
        <v>9.26</v>
      </c>
      <c r="D62" s="28">
        <v>16.666666666666664</v>
      </c>
      <c r="E62" s="30">
        <v>3976</v>
      </c>
      <c r="F62" s="30">
        <v>29122</v>
      </c>
      <c r="G62" s="30">
        <v>0.13652908454089691</v>
      </c>
      <c r="H62" s="28">
        <v>79.352745491573643</v>
      </c>
      <c r="I62" s="49">
        <v>13.74</v>
      </c>
      <c r="J62" s="30">
        <v>73.633440514469456</v>
      </c>
      <c r="K62" s="27">
        <f t="shared" si="0"/>
        <v>56.550950890903245</v>
      </c>
      <c r="L62" s="71">
        <f t="shared" si="1"/>
        <v>51.738260626099695</v>
      </c>
      <c r="M62" s="1" t="str">
        <f>VLOOKUP(A62,Dados!A$2:C$400,3,FALSE)</f>
        <v>P3</v>
      </c>
    </row>
    <row r="63" spans="1:13" ht="18" x14ac:dyDescent="0.25">
      <c r="A63" s="47" t="s">
        <v>79</v>
      </c>
      <c r="B63" s="48">
        <v>4123501</v>
      </c>
      <c r="C63" s="29">
        <v>2.92</v>
      </c>
      <c r="D63" s="28">
        <v>5.2555795536357088</v>
      </c>
      <c r="E63" s="30">
        <v>3303</v>
      </c>
      <c r="F63" s="30">
        <v>25492</v>
      </c>
      <c r="G63" s="30">
        <v>0.12957006119566922</v>
      </c>
      <c r="H63" s="28">
        <v>75.308057063165137</v>
      </c>
      <c r="I63" s="49">
        <v>13.93</v>
      </c>
      <c r="J63" s="30">
        <v>74.651661307609857</v>
      </c>
      <c r="K63" s="27">
        <f t="shared" si="0"/>
        <v>51.73843264147024</v>
      </c>
      <c r="L63" s="71">
        <f t="shared" si="1"/>
        <v>42.724956336928898</v>
      </c>
      <c r="M63" s="1" t="str">
        <f>VLOOKUP(A63,Dados!A$2:C$400,3,FALSE)</f>
        <v>P3</v>
      </c>
    </row>
    <row r="64" spans="1:13" ht="18" x14ac:dyDescent="0.25">
      <c r="A64" s="47" t="s">
        <v>46</v>
      </c>
      <c r="B64" s="48">
        <v>4113205</v>
      </c>
      <c r="C64" s="29">
        <v>14.84</v>
      </c>
      <c r="D64" s="28">
        <v>26.709863210943123</v>
      </c>
      <c r="E64" s="30">
        <v>5940</v>
      </c>
      <c r="F64" s="30">
        <v>45003</v>
      </c>
      <c r="G64" s="30">
        <v>0.13199120058662756</v>
      </c>
      <c r="H64" s="28">
        <v>76.715259481143633</v>
      </c>
      <c r="I64" s="49">
        <v>11.84</v>
      </c>
      <c r="J64" s="30">
        <v>63.451232583065377</v>
      </c>
      <c r="K64" s="27">
        <f t="shared" si="0"/>
        <v>55.625451758384052</v>
      </c>
      <c r="L64" s="71">
        <f t="shared" si="1"/>
        <v>50.004905058722493</v>
      </c>
      <c r="M64" s="1" t="str">
        <f>VLOOKUP(A64,Dados!A$2:C$400,3,FALSE)</f>
        <v>P3</v>
      </c>
    </row>
    <row r="65" spans="1:13" ht="18" x14ac:dyDescent="0.25">
      <c r="A65" s="47" t="s">
        <v>84</v>
      </c>
      <c r="B65" s="48">
        <v>4117305</v>
      </c>
      <c r="C65" s="29">
        <v>5.75</v>
      </c>
      <c r="D65" s="28">
        <v>10.349172066234701</v>
      </c>
      <c r="E65" s="30">
        <v>3588</v>
      </c>
      <c r="F65" s="30">
        <v>24192</v>
      </c>
      <c r="G65" s="30">
        <v>0.14831349206349206</v>
      </c>
      <c r="H65" s="28">
        <v>86.202019359145538</v>
      </c>
      <c r="I65" s="49">
        <v>13.97</v>
      </c>
      <c r="J65" s="30">
        <v>74.866023579849951</v>
      </c>
      <c r="K65" s="27">
        <f t="shared" si="0"/>
        <v>57.139071668410061</v>
      </c>
      <c r="L65" s="71">
        <f t="shared" si="1"/>
        <v>52.839744558566274</v>
      </c>
      <c r="M65" s="1" t="str">
        <f>VLOOKUP(A65,Dados!A$2:C$400,3,FALSE)</f>
        <v>P3</v>
      </c>
    </row>
    <row r="66" spans="1:13" ht="18" x14ac:dyDescent="0.25">
      <c r="A66" s="47" t="s">
        <v>75</v>
      </c>
      <c r="B66" s="48">
        <v>4108601</v>
      </c>
      <c r="C66" s="29">
        <v>8.98</v>
      </c>
      <c r="D66" s="28">
        <v>16.162706983441325</v>
      </c>
      <c r="E66" s="30">
        <v>3542</v>
      </c>
      <c r="F66" s="30">
        <v>28437</v>
      </c>
      <c r="G66" s="30">
        <v>0.12455603615008616</v>
      </c>
      <c r="H66" s="28">
        <v>72.393830730596804</v>
      </c>
      <c r="I66" s="49">
        <v>10.48</v>
      </c>
      <c r="J66" s="30">
        <v>56.162915326902464</v>
      </c>
      <c r="K66" s="27">
        <f t="shared" ref="K66:K129" si="2">(D66+H66+J66)/3</f>
        <v>48.239817680313536</v>
      </c>
      <c r="L66" s="71">
        <f t="shared" si="1"/>
        <v>36.172444824008174</v>
      </c>
      <c r="M66" s="1" t="str">
        <f>VLOOKUP(A66,Dados!A$2:C$400,3,FALSE)</f>
        <v>P3</v>
      </c>
    </row>
    <row r="67" spans="1:13" ht="18" x14ac:dyDescent="0.25">
      <c r="A67" s="47" t="s">
        <v>45</v>
      </c>
      <c r="B67" s="48">
        <v>4106407</v>
      </c>
      <c r="C67" s="29">
        <v>13.27</v>
      </c>
      <c r="D67" s="28">
        <v>23.884089272858169</v>
      </c>
      <c r="E67" s="30">
        <v>4995</v>
      </c>
      <c r="F67" s="30">
        <v>45206</v>
      </c>
      <c r="G67" s="30">
        <v>0.1104941821882051</v>
      </c>
      <c r="H67" s="28">
        <v>64.220870937238089</v>
      </c>
      <c r="I67" s="49">
        <v>9.89</v>
      </c>
      <c r="J67" s="30">
        <v>53.0010718113612</v>
      </c>
      <c r="K67" s="27">
        <f t="shared" si="2"/>
        <v>47.035344007152482</v>
      </c>
      <c r="L67" s="71">
        <f t="shared" ref="L67:L130" si="3">(K67-K$401)/(K$402-K$401)*100</f>
        <v>33.91660138366904</v>
      </c>
      <c r="M67" s="1" t="str">
        <f>VLOOKUP(A67,Dados!A$2:C$400,3,FALSE)</f>
        <v>P3</v>
      </c>
    </row>
    <row r="68" spans="1:13" ht="18" x14ac:dyDescent="0.25">
      <c r="A68" s="47" t="s">
        <v>70</v>
      </c>
      <c r="B68" s="48">
        <v>4104253</v>
      </c>
      <c r="C68" s="29">
        <v>5.31</v>
      </c>
      <c r="D68" s="28">
        <v>9.5572354211663058</v>
      </c>
      <c r="E68" s="30">
        <v>4234</v>
      </c>
      <c r="F68" s="30">
        <v>30160</v>
      </c>
      <c r="G68" s="30">
        <v>0.14038461538461539</v>
      </c>
      <c r="H68" s="28">
        <v>81.593637670740478</v>
      </c>
      <c r="I68" s="49">
        <v>11.27</v>
      </c>
      <c r="J68" s="30">
        <v>60.396570203644153</v>
      </c>
      <c r="K68" s="27">
        <f t="shared" si="2"/>
        <v>50.515814431850316</v>
      </c>
      <c r="L68" s="71">
        <f t="shared" si="3"/>
        <v>40.435130224771527</v>
      </c>
      <c r="M68" s="1" t="str">
        <f>VLOOKUP(A68,Dados!A$2:C$400,3,FALSE)</f>
        <v>P3</v>
      </c>
    </row>
    <row r="69" spans="1:13" ht="18" x14ac:dyDescent="0.25">
      <c r="A69" s="47" t="s">
        <v>57</v>
      </c>
      <c r="B69" s="48">
        <v>4112009</v>
      </c>
      <c r="C69" s="29">
        <v>3.77</v>
      </c>
      <c r="D69" s="28">
        <v>6.7854571634269254</v>
      </c>
      <c r="E69" s="30">
        <v>5259</v>
      </c>
      <c r="F69" s="30">
        <v>35141</v>
      </c>
      <c r="G69" s="30">
        <v>0.14965425002134258</v>
      </c>
      <c r="H69" s="28">
        <v>86.981287932965373</v>
      </c>
      <c r="I69" s="49">
        <v>14.09</v>
      </c>
      <c r="J69" s="30">
        <v>75.509110396570208</v>
      </c>
      <c r="K69" s="27">
        <f t="shared" si="2"/>
        <v>56.425285164320833</v>
      </c>
      <c r="L69" s="71">
        <f t="shared" si="3"/>
        <v>51.50290288329208</v>
      </c>
      <c r="M69" s="1" t="str">
        <f>VLOOKUP(A69,Dados!A$2:C$400,3,FALSE)</f>
        <v>P3</v>
      </c>
    </row>
    <row r="70" spans="1:13" ht="18" x14ac:dyDescent="0.25">
      <c r="A70" s="47" t="s">
        <v>60</v>
      </c>
      <c r="B70" s="48">
        <v>4119608</v>
      </c>
      <c r="C70" s="29">
        <v>10.64</v>
      </c>
      <c r="D70" s="28">
        <v>19.150467962562995</v>
      </c>
      <c r="E70" s="30">
        <v>4506</v>
      </c>
      <c r="F70" s="30">
        <v>33567</v>
      </c>
      <c r="G70" s="30">
        <v>0.13423898471713289</v>
      </c>
      <c r="H70" s="28">
        <v>78.021705229518645</v>
      </c>
      <c r="I70" s="49">
        <v>13.32</v>
      </c>
      <c r="J70" s="30">
        <v>71.382636655948545</v>
      </c>
      <c r="K70" s="27">
        <f t="shared" si="2"/>
        <v>56.184936616010056</v>
      </c>
      <c r="L70" s="71">
        <f t="shared" si="3"/>
        <v>51.05275714064669</v>
      </c>
      <c r="M70" s="1" t="str">
        <f>VLOOKUP(A70,Dados!A$2:C$400,3,FALSE)</f>
        <v>P3</v>
      </c>
    </row>
    <row r="71" spans="1:13" ht="18" x14ac:dyDescent="0.25">
      <c r="A71" s="47" t="s">
        <v>65</v>
      </c>
      <c r="B71" s="48">
        <v>4122305</v>
      </c>
      <c r="C71" s="29">
        <v>5.95</v>
      </c>
      <c r="D71" s="28">
        <v>10.709143268538517</v>
      </c>
      <c r="E71" s="30">
        <v>4112</v>
      </c>
      <c r="F71" s="30">
        <v>31324</v>
      </c>
      <c r="G71" s="30">
        <v>0.13127314519218491</v>
      </c>
      <c r="H71" s="28">
        <v>76.297914948616636</v>
      </c>
      <c r="I71" s="49">
        <v>10.5</v>
      </c>
      <c r="J71" s="30">
        <v>56.270096463022512</v>
      </c>
      <c r="K71" s="27">
        <f t="shared" si="2"/>
        <v>47.75905156005922</v>
      </c>
      <c r="L71" s="71">
        <f t="shared" si="3"/>
        <v>35.272024065232507</v>
      </c>
      <c r="M71" s="1" t="str">
        <f>VLOOKUP(A71,Dados!A$2:C$400,3,FALSE)</f>
        <v>P3</v>
      </c>
    </row>
    <row r="72" spans="1:13" ht="18" x14ac:dyDescent="0.25">
      <c r="A72" s="47" t="s">
        <v>66</v>
      </c>
      <c r="B72" s="48">
        <v>4102406</v>
      </c>
      <c r="C72" s="29">
        <v>5.17</v>
      </c>
      <c r="D72" s="28">
        <v>9.305255579553636</v>
      </c>
      <c r="E72" s="30">
        <v>3861</v>
      </c>
      <c r="F72" s="30">
        <v>31273</v>
      </c>
      <c r="G72" s="30">
        <v>0.12346113260640169</v>
      </c>
      <c r="H72" s="28">
        <v>71.757456418617963</v>
      </c>
      <c r="I72" s="49">
        <v>12.12</v>
      </c>
      <c r="J72" s="30">
        <v>64.951768488745969</v>
      </c>
      <c r="K72" s="27">
        <f t="shared" si="2"/>
        <v>48.67149349563919</v>
      </c>
      <c r="L72" s="71">
        <f t="shared" si="3"/>
        <v>36.980924974346188</v>
      </c>
      <c r="M72" s="1" t="str">
        <f>VLOOKUP(A72,Dados!A$2:C$400,3,FALSE)</f>
        <v>P3</v>
      </c>
    </row>
    <row r="73" spans="1:13" ht="18" x14ac:dyDescent="0.25">
      <c r="A73" s="47" t="s">
        <v>61</v>
      </c>
      <c r="B73" s="48">
        <v>4111506</v>
      </c>
      <c r="C73" s="29">
        <v>23.05</v>
      </c>
      <c r="D73" s="28">
        <v>41.486681065514759</v>
      </c>
      <c r="E73" s="30">
        <v>3943</v>
      </c>
      <c r="F73" s="30">
        <v>32720</v>
      </c>
      <c r="G73" s="30">
        <v>0.12050733496332518</v>
      </c>
      <c r="H73" s="28">
        <v>70.040665059525182</v>
      </c>
      <c r="I73" s="49">
        <v>11.43</v>
      </c>
      <c r="J73" s="30">
        <v>61.254019292604497</v>
      </c>
      <c r="K73" s="27">
        <f t="shared" si="2"/>
        <v>57.593788472548148</v>
      </c>
      <c r="L73" s="71">
        <f t="shared" si="3"/>
        <v>53.691377884128975</v>
      </c>
      <c r="M73" s="1" t="str">
        <f>VLOOKUP(A73,Dados!A$2:C$400,3,FALSE)</f>
        <v>P3</v>
      </c>
    </row>
    <row r="74" spans="1:13" ht="18" x14ac:dyDescent="0.25">
      <c r="A74" s="47" t="s">
        <v>69</v>
      </c>
      <c r="B74" s="48">
        <v>4119954</v>
      </c>
      <c r="C74" s="29">
        <v>3</v>
      </c>
      <c r="D74" s="28">
        <v>5.3995680345572357</v>
      </c>
      <c r="E74" s="30">
        <v>3873</v>
      </c>
      <c r="F74" s="30">
        <v>30425</v>
      </c>
      <c r="G74" s="30">
        <v>0.12729663105998357</v>
      </c>
      <c r="H74" s="28">
        <v>73.986705473087653</v>
      </c>
      <c r="I74" s="49">
        <v>10.68</v>
      </c>
      <c r="J74" s="30">
        <v>57.234726688102889</v>
      </c>
      <c r="K74" s="27">
        <f t="shared" si="2"/>
        <v>45.54033339858259</v>
      </c>
      <c r="L74" s="71">
        <f t="shared" si="3"/>
        <v>31.116615008102272</v>
      </c>
      <c r="M74" s="1" t="str">
        <f>VLOOKUP(A74,Dados!A$2:C$400,3,FALSE)</f>
        <v>P3</v>
      </c>
    </row>
    <row r="75" spans="1:13" ht="18" x14ac:dyDescent="0.25">
      <c r="A75" s="47" t="s">
        <v>82</v>
      </c>
      <c r="B75" s="48">
        <v>4121703</v>
      </c>
      <c r="C75" s="29">
        <v>11.53</v>
      </c>
      <c r="D75" s="28">
        <v>20.752339812814974</v>
      </c>
      <c r="E75" s="30">
        <v>3505</v>
      </c>
      <c r="F75" s="30">
        <v>24573</v>
      </c>
      <c r="G75" s="30">
        <v>0.14263622675294022</v>
      </c>
      <c r="H75" s="28">
        <v>82.902307866965913</v>
      </c>
      <c r="I75" s="49">
        <v>13.75</v>
      </c>
      <c r="J75" s="30">
        <v>73.687031082529472</v>
      </c>
      <c r="K75" s="27">
        <f t="shared" si="2"/>
        <v>59.11389292077012</v>
      </c>
      <c r="L75" s="71">
        <f t="shared" si="3"/>
        <v>56.538362193177768</v>
      </c>
      <c r="M75" s="1" t="str">
        <f>VLOOKUP(A75,Dados!A$2:C$400,3,FALSE)</f>
        <v>P3</v>
      </c>
    </row>
    <row r="76" spans="1:13" ht="18" x14ac:dyDescent="0.25">
      <c r="A76" s="47" t="s">
        <v>91</v>
      </c>
      <c r="B76" s="48">
        <v>4113502</v>
      </c>
      <c r="C76" s="29">
        <v>3.1</v>
      </c>
      <c r="D76" s="28">
        <v>5.5795536357091429</v>
      </c>
      <c r="E76" s="30">
        <v>3152</v>
      </c>
      <c r="F76" s="30">
        <v>23225</v>
      </c>
      <c r="G76" s="30">
        <v>0.13571582346609257</v>
      </c>
      <c r="H76" s="28">
        <v>78.88006599398409</v>
      </c>
      <c r="I76" s="49">
        <v>14.08</v>
      </c>
      <c r="J76" s="30">
        <v>75.455519828510191</v>
      </c>
      <c r="K76" s="27">
        <f t="shared" si="2"/>
        <v>53.305046486067816</v>
      </c>
      <c r="L76" s="71">
        <f t="shared" si="3"/>
        <v>45.659047503575238</v>
      </c>
      <c r="M76" s="1" t="str">
        <f>VLOOKUP(A76,Dados!A$2:C$400,3,FALSE)</f>
        <v>P3</v>
      </c>
    </row>
    <row r="77" spans="1:13" ht="18" x14ac:dyDescent="0.25">
      <c r="A77" s="47" t="s">
        <v>81</v>
      </c>
      <c r="B77" s="48">
        <v>4128005</v>
      </c>
      <c r="C77" s="29">
        <v>3.04</v>
      </c>
      <c r="D77" s="28">
        <v>5.4715622750179982</v>
      </c>
      <c r="E77" s="30">
        <v>3176</v>
      </c>
      <c r="F77" s="30">
        <v>24749</v>
      </c>
      <c r="G77" s="30">
        <v>0.1283284173097903</v>
      </c>
      <c r="H77" s="28">
        <v>74.586395070054763</v>
      </c>
      <c r="I77" s="49">
        <v>12</v>
      </c>
      <c r="J77" s="30">
        <v>64.308681672025727</v>
      </c>
      <c r="K77" s="27">
        <f t="shared" si="2"/>
        <v>48.1222130056995</v>
      </c>
      <c r="L77" s="71">
        <f t="shared" si="3"/>
        <v>35.952184523021238</v>
      </c>
      <c r="M77" s="1" t="str">
        <f>VLOOKUP(A77,Dados!A$2:C$400,3,FALSE)</f>
        <v>P3</v>
      </c>
    </row>
    <row r="78" spans="1:13" ht="18" x14ac:dyDescent="0.25">
      <c r="A78" s="47" t="s">
        <v>80</v>
      </c>
      <c r="B78" s="48">
        <v>4102109</v>
      </c>
      <c r="C78" s="29">
        <v>21.28</v>
      </c>
      <c r="D78" s="28">
        <v>38.300935925125991</v>
      </c>
      <c r="E78" s="30">
        <v>3177</v>
      </c>
      <c r="F78" s="30">
        <v>25475</v>
      </c>
      <c r="G78" s="30">
        <v>0.12471050049067714</v>
      </c>
      <c r="H78" s="28">
        <v>72.483607715095445</v>
      </c>
      <c r="I78" s="49">
        <v>12.52</v>
      </c>
      <c r="J78" s="30">
        <v>67.095391211146833</v>
      </c>
      <c r="K78" s="27">
        <f t="shared" si="2"/>
        <v>59.293311617122754</v>
      </c>
      <c r="L78" s="71">
        <f t="shared" si="3"/>
        <v>56.874393190168412</v>
      </c>
      <c r="M78" s="1" t="str">
        <f>VLOOKUP(A78,Dados!A$2:C$400,3,FALSE)</f>
        <v>P3</v>
      </c>
    </row>
    <row r="79" spans="1:13" ht="18" x14ac:dyDescent="0.25">
      <c r="A79" s="47" t="s">
        <v>87</v>
      </c>
      <c r="B79" s="48">
        <v>4124400</v>
      </c>
      <c r="C79" s="29">
        <v>3.88</v>
      </c>
      <c r="D79" s="28">
        <v>6.9834413246940246</v>
      </c>
      <c r="E79" s="30">
        <v>3219</v>
      </c>
      <c r="F79" s="30">
        <v>23673</v>
      </c>
      <c r="G79" s="30">
        <v>0.13597769610949181</v>
      </c>
      <c r="H79" s="28">
        <v>79.032270290180335</v>
      </c>
      <c r="I79" s="49">
        <v>11.28</v>
      </c>
      <c r="J79" s="30">
        <v>60.450160771704176</v>
      </c>
      <c r="K79" s="27">
        <f t="shared" si="2"/>
        <v>48.821957462192849</v>
      </c>
      <c r="L79" s="71">
        <f t="shared" si="3"/>
        <v>37.262727025749008</v>
      </c>
      <c r="M79" s="1" t="str">
        <f>VLOOKUP(A79,Dados!A$2:C$400,3,FALSE)</f>
        <v>P3</v>
      </c>
    </row>
    <row r="80" spans="1:13" ht="18" x14ac:dyDescent="0.25">
      <c r="A80" s="47" t="s">
        <v>104</v>
      </c>
      <c r="B80" s="48">
        <v>4103453</v>
      </c>
      <c r="C80" s="29">
        <v>3.15</v>
      </c>
      <c r="D80" s="28">
        <v>5.6695464362850965</v>
      </c>
      <c r="E80" s="30">
        <v>2569</v>
      </c>
      <c r="F80" s="30">
        <v>18997</v>
      </c>
      <c r="G80" s="30">
        <v>0.13523187871769227</v>
      </c>
      <c r="H80" s="28">
        <v>78.598790069656843</v>
      </c>
      <c r="I80" s="49">
        <v>13.79</v>
      </c>
      <c r="J80" s="30">
        <v>73.901393354769553</v>
      </c>
      <c r="K80" s="27">
        <f t="shared" si="2"/>
        <v>52.723243286903831</v>
      </c>
      <c r="L80" s="71">
        <f t="shared" si="3"/>
        <v>44.569395683325851</v>
      </c>
      <c r="M80" s="1" t="str">
        <f>VLOOKUP(A80,Dados!A$2:C$400,3,FALSE)</f>
        <v>P2</v>
      </c>
    </row>
    <row r="81" spans="1:13" ht="18" x14ac:dyDescent="0.25">
      <c r="A81" s="47" t="s">
        <v>94</v>
      </c>
      <c r="B81" s="48">
        <v>4126603</v>
      </c>
      <c r="C81" s="29">
        <v>6.43</v>
      </c>
      <c r="D81" s="28">
        <v>11.573074154067674</v>
      </c>
      <c r="E81" s="30">
        <v>2922</v>
      </c>
      <c r="F81" s="30">
        <v>22811</v>
      </c>
      <c r="G81" s="30">
        <v>0.12809609398974178</v>
      </c>
      <c r="H81" s="28">
        <v>74.45136528244899</v>
      </c>
      <c r="I81" s="49">
        <v>11.7</v>
      </c>
      <c r="J81" s="30">
        <v>62.700964630225073</v>
      </c>
      <c r="K81" s="27">
        <f t="shared" si="2"/>
        <v>49.575134688913913</v>
      </c>
      <c r="L81" s="71">
        <f t="shared" si="3"/>
        <v>38.673343085004589</v>
      </c>
      <c r="M81" s="1" t="str">
        <f>VLOOKUP(A81,Dados!A$2:C$400,3,FALSE)</f>
        <v>P3</v>
      </c>
    </row>
    <row r="82" spans="1:13" ht="18" x14ac:dyDescent="0.25">
      <c r="A82" s="47" t="s">
        <v>85</v>
      </c>
      <c r="B82" s="48">
        <v>4120804</v>
      </c>
      <c r="C82" s="29">
        <v>3.42</v>
      </c>
      <c r="D82" s="28">
        <v>6.1555075593952475</v>
      </c>
      <c r="E82" s="30">
        <v>3525</v>
      </c>
      <c r="F82" s="30">
        <v>24191</v>
      </c>
      <c r="G82" s="30">
        <v>0.14571534868339464</v>
      </c>
      <c r="H82" s="28">
        <v>84.691939575890785</v>
      </c>
      <c r="I82" s="49">
        <v>12.24</v>
      </c>
      <c r="J82" s="30">
        <v>65.59485530546624</v>
      </c>
      <c r="K82" s="27">
        <f t="shared" si="2"/>
        <v>52.147434146917419</v>
      </c>
      <c r="L82" s="71">
        <f t="shared" si="3"/>
        <v>43.490970060359182</v>
      </c>
      <c r="M82" s="1" t="str">
        <f>VLOOKUP(A82,Dados!A$2:C$400,3,FALSE)</f>
        <v>P3</v>
      </c>
    </row>
    <row r="83" spans="1:13" ht="18" x14ac:dyDescent="0.25">
      <c r="A83" s="47" t="s">
        <v>153</v>
      </c>
      <c r="B83" s="48">
        <v>4102307</v>
      </c>
      <c r="C83" s="29">
        <v>19.350000000000001</v>
      </c>
      <c r="D83" s="28">
        <v>34.827213822894173</v>
      </c>
      <c r="E83" s="30">
        <v>1914</v>
      </c>
      <c r="F83" s="30">
        <v>13395</v>
      </c>
      <c r="G83" s="30">
        <v>0.14288913773796191</v>
      </c>
      <c r="H83" s="28">
        <v>83.049303513307024</v>
      </c>
      <c r="I83" s="49">
        <v>12.32</v>
      </c>
      <c r="J83" s="30">
        <v>66.023579849946415</v>
      </c>
      <c r="K83" s="27">
        <f t="shared" si="2"/>
        <v>61.300032395382537</v>
      </c>
      <c r="L83" s="71">
        <f t="shared" si="3"/>
        <v>60.632755041572928</v>
      </c>
      <c r="M83" s="1" t="str">
        <f>VLOOKUP(A83,Dados!A$2:C$400,3,FALSE)</f>
        <v>P2</v>
      </c>
    </row>
    <row r="84" spans="1:13" ht="18" x14ac:dyDescent="0.25">
      <c r="A84" s="47" t="s">
        <v>97</v>
      </c>
      <c r="B84" s="48">
        <v>4104501</v>
      </c>
      <c r="C84" s="29">
        <v>8.1999999999999993</v>
      </c>
      <c r="D84" s="28">
        <v>14.75881929445644</v>
      </c>
      <c r="E84" s="30">
        <v>2464</v>
      </c>
      <c r="F84" s="30">
        <v>20481</v>
      </c>
      <c r="G84" s="30">
        <v>0.12030662565304429</v>
      </c>
      <c r="H84" s="28">
        <v>69.92400980712921</v>
      </c>
      <c r="I84" s="49">
        <v>13.33</v>
      </c>
      <c r="J84" s="30">
        <v>71.436227224008576</v>
      </c>
      <c r="K84" s="27">
        <f t="shared" si="2"/>
        <v>52.039685441864741</v>
      </c>
      <c r="L84" s="71">
        <f t="shared" si="3"/>
        <v>43.289168879549464</v>
      </c>
      <c r="M84" s="1" t="str">
        <f>VLOOKUP(A84,Dados!A$2:C$400,3,FALSE)</f>
        <v>P3</v>
      </c>
    </row>
    <row r="85" spans="1:13" ht="18" x14ac:dyDescent="0.25">
      <c r="A85" s="47" t="s">
        <v>106</v>
      </c>
      <c r="B85" s="48">
        <v>4115606</v>
      </c>
      <c r="C85" s="29">
        <v>3.42</v>
      </c>
      <c r="D85" s="28">
        <v>6.1555075593952475</v>
      </c>
      <c r="E85" s="30">
        <v>2526</v>
      </c>
      <c r="F85" s="30">
        <v>18450</v>
      </c>
      <c r="G85" s="30">
        <v>0.13691056910569105</v>
      </c>
      <c r="H85" s="28">
        <v>79.574470025074078</v>
      </c>
      <c r="I85" s="49">
        <v>14.04</v>
      </c>
      <c r="J85" s="30">
        <v>75.241157556270082</v>
      </c>
      <c r="K85" s="27">
        <f t="shared" si="2"/>
        <v>53.65704504691314</v>
      </c>
      <c r="L85" s="71">
        <f t="shared" si="3"/>
        <v>46.318301136249332</v>
      </c>
      <c r="M85" s="1" t="str">
        <f>VLOOKUP(A85,Dados!A$2:C$400,3,FALSE)</f>
        <v>P2</v>
      </c>
    </row>
    <row r="86" spans="1:13" ht="18" x14ac:dyDescent="0.25">
      <c r="A86" s="47" t="s">
        <v>96</v>
      </c>
      <c r="B86" s="48">
        <v>4105409</v>
      </c>
      <c r="C86" s="29">
        <v>7.55</v>
      </c>
      <c r="D86" s="28">
        <v>13.588912886969043</v>
      </c>
      <c r="E86" s="30">
        <v>2775</v>
      </c>
      <c r="F86" s="30">
        <v>21085</v>
      </c>
      <c r="G86" s="30">
        <v>0.13161014939530472</v>
      </c>
      <c r="H86" s="28">
        <v>76.493786830785055</v>
      </c>
      <c r="I86" s="49">
        <v>14.13</v>
      </c>
      <c r="J86" s="30">
        <v>75.723472668810288</v>
      </c>
      <c r="K86" s="27">
        <f t="shared" si="2"/>
        <v>55.268724128854792</v>
      </c>
      <c r="L86" s="71">
        <f t="shared" si="3"/>
        <v>49.336794413390258</v>
      </c>
      <c r="M86" s="1" t="str">
        <f>VLOOKUP(A86,Dados!A$2:C$400,3,FALSE)</f>
        <v>P3</v>
      </c>
    </row>
    <row r="87" spans="1:13" ht="18" x14ac:dyDescent="0.25">
      <c r="A87" s="47" t="s">
        <v>78</v>
      </c>
      <c r="B87" s="48">
        <v>4101606</v>
      </c>
      <c r="C87" s="29">
        <v>16.57</v>
      </c>
      <c r="D87" s="28">
        <v>29.823614110871127</v>
      </c>
      <c r="E87" s="30">
        <v>3737</v>
      </c>
      <c r="F87" s="30">
        <v>25777</v>
      </c>
      <c r="G87" s="30">
        <v>0.14497420180781317</v>
      </c>
      <c r="H87" s="28">
        <v>84.261173929232726</v>
      </c>
      <c r="I87" s="49">
        <v>14.24</v>
      </c>
      <c r="J87" s="30">
        <v>76.312968917470528</v>
      </c>
      <c r="K87" s="27">
        <f t="shared" si="2"/>
        <v>63.465918985858131</v>
      </c>
      <c r="L87" s="71">
        <f t="shared" si="3"/>
        <v>64.689216520569119</v>
      </c>
      <c r="M87" s="1" t="str">
        <f>VLOOKUP(A87,Dados!A$2:C$400,3,FALSE)</f>
        <v>P3</v>
      </c>
    </row>
    <row r="88" spans="1:13" ht="18" x14ac:dyDescent="0.25">
      <c r="A88" s="47" t="s">
        <v>86</v>
      </c>
      <c r="B88" s="48">
        <v>4106605</v>
      </c>
      <c r="C88" s="29">
        <v>13.99</v>
      </c>
      <c r="D88" s="28">
        <v>25.179985601151905</v>
      </c>
      <c r="E88" s="30">
        <v>2879</v>
      </c>
      <c r="F88" s="30">
        <v>23831</v>
      </c>
      <c r="G88" s="30">
        <v>0.12080903025471025</v>
      </c>
      <c r="H88" s="28">
        <v>70.216014874209634</v>
      </c>
      <c r="I88" s="49">
        <v>10.74</v>
      </c>
      <c r="J88" s="30">
        <v>57.556270096463024</v>
      </c>
      <c r="K88" s="27">
        <f t="shared" si="2"/>
        <v>50.984090190608185</v>
      </c>
      <c r="L88" s="71">
        <f t="shared" si="3"/>
        <v>41.312157944183141</v>
      </c>
      <c r="M88" s="1" t="str">
        <f>VLOOKUP(A88,Dados!A$2:C$400,3,FALSE)</f>
        <v>P3</v>
      </c>
    </row>
    <row r="89" spans="1:13" ht="18" x14ac:dyDescent="0.25">
      <c r="A89" s="47" t="s">
        <v>98</v>
      </c>
      <c r="B89" s="48">
        <v>4127502</v>
      </c>
      <c r="C89" s="29">
        <v>10.45</v>
      </c>
      <c r="D89" s="28">
        <v>18.808495320374369</v>
      </c>
      <c r="E89" s="30">
        <v>3019</v>
      </c>
      <c r="F89" s="30">
        <v>19961</v>
      </c>
      <c r="G89" s="30">
        <v>0.15124492760883723</v>
      </c>
      <c r="H89" s="28">
        <v>87.905813532650356</v>
      </c>
      <c r="I89" s="49">
        <v>12.88</v>
      </c>
      <c r="J89" s="30">
        <v>69.024651661307615</v>
      </c>
      <c r="K89" s="27">
        <f t="shared" si="2"/>
        <v>58.579653504777447</v>
      </c>
      <c r="L89" s="71">
        <f t="shared" si="3"/>
        <v>55.537791978160264</v>
      </c>
      <c r="M89" s="1" t="str">
        <f>VLOOKUP(A89,Dados!A$2:C$400,3,FALSE)</f>
        <v>P2</v>
      </c>
    </row>
    <row r="90" spans="1:13" ht="18" x14ac:dyDescent="0.25">
      <c r="A90" s="47" t="s">
        <v>113</v>
      </c>
      <c r="B90" s="48">
        <v>4106308</v>
      </c>
      <c r="C90" s="29">
        <v>9.01</v>
      </c>
      <c r="D90" s="28">
        <v>16.216702663786897</v>
      </c>
      <c r="E90" s="30">
        <v>2303</v>
      </c>
      <c r="F90" s="30">
        <v>17470</v>
      </c>
      <c r="G90" s="30">
        <v>0.1318259874069834</v>
      </c>
      <c r="H90" s="28">
        <v>76.619235110656987</v>
      </c>
      <c r="I90" s="49">
        <v>13.39</v>
      </c>
      <c r="J90" s="30">
        <v>71.757770632368704</v>
      </c>
      <c r="K90" s="27">
        <f t="shared" si="2"/>
        <v>54.864569468937532</v>
      </c>
      <c r="L90" s="71">
        <f t="shared" si="3"/>
        <v>48.579858285376659</v>
      </c>
      <c r="M90" s="1" t="str">
        <f>VLOOKUP(A90,Dados!A$2:C$400,3,FALSE)</f>
        <v>P2</v>
      </c>
    </row>
    <row r="91" spans="1:13" ht="18" x14ac:dyDescent="0.25">
      <c r="A91" s="47" t="s">
        <v>77</v>
      </c>
      <c r="B91" s="48">
        <v>4116901</v>
      </c>
      <c r="C91" s="29">
        <v>7.02</v>
      </c>
      <c r="D91" s="28">
        <v>12.634989200863931</v>
      </c>
      <c r="E91" s="30">
        <v>3193</v>
      </c>
      <c r="F91" s="30">
        <v>26585</v>
      </c>
      <c r="G91" s="30">
        <v>0.12010532255031033</v>
      </c>
      <c r="H91" s="28">
        <v>69.807009433680363</v>
      </c>
      <c r="I91" s="49">
        <v>11.4</v>
      </c>
      <c r="J91" s="30">
        <v>61.09324758842444</v>
      </c>
      <c r="K91" s="27">
        <f t="shared" si="2"/>
        <v>47.84508207432291</v>
      </c>
      <c r="L91" s="71">
        <f t="shared" si="3"/>
        <v>35.433149522430277</v>
      </c>
      <c r="M91" s="1" t="str">
        <f>VLOOKUP(A91,Dados!A$2:C$400,3,FALSE)</f>
        <v>P3</v>
      </c>
    </row>
    <row r="92" spans="1:13" ht="18" x14ac:dyDescent="0.25">
      <c r="A92" s="47" t="s">
        <v>83</v>
      </c>
      <c r="B92" s="48">
        <v>4124053</v>
      </c>
      <c r="C92" s="29">
        <v>25.08</v>
      </c>
      <c r="D92" s="28">
        <v>45.140388768898482</v>
      </c>
      <c r="E92" s="30">
        <v>3229</v>
      </c>
      <c r="F92" s="30">
        <v>24262</v>
      </c>
      <c r="G92" s="30">
        <v>0.13308878080949632</v>
      </c>
      <c r="H92" s="28">
        <v>77.353189519089511</v>
      </c>
      <c r="I92" s="49">
        <v>11.42</v>
      </c>
      <c r="J92" s="30">
        <v>61.200428724544473</v>
      </c>
      <c r="K92" s="27">
        <f t="shared" si="2"/>
        <v>61.231335670844153</v>
      </c>
      <c r="L92" s="71">
        <f t="shared" si="3"/>
        <v>60.504093818936155</v>
      </c>
      <c r="M92" s="1" t="str">
        <f>VLOOKUP(A92,Dados!A$2:C$400,3,FALSE)</f>
        <v>P3</v>
      </c>
    </row>
    <row r="93" spans="1:13" ht="18" x14ac:dyDescent="0.25">
      <c r="A93" s="47" t="s">
        <v>130</v>
      </c>
      <c r="B93" s="48">
        <v>4104428</v>
      </c>
      <c r="C93" s="29">
        <v>9.26</v>
      </c>
      <c r="D93" s="28">
        <v>16.666666666666664</v>
      </c>
      <c r="E93" s="30">
        <v>2241</v>
      </c>
      <c r="F93" s="30">
        <v>14973</v>
      </c>
      <c r="G93" s="30">
        <v>0.14966940492887196</v>
      </c>
      <c r="H93" s="28">
        <v>86.990096191836898</v>
      </c>
      <c r="I93" s="49">
        <v>13.02</v>
      </c>
      <c r="J93" s="30">
        <v>69.774919614147919</v>
      </c>
      <c r="K93" s="27">
        <f t="shared" si="2"/>
        <v>57.810560824217156</v>
      </c>
      <c r="L93" s="71">
        <f t="shared" si="3"/>
        <v>54.097368067605615</v>
      </c>
      <c r="M93" s="1" t="str">
        <f>VLOOKUP(A93,Dados!A$2:C$400,3,FALSE)</f>
        <v>P2</v>
      </c>
    </row>
    <row r="94" spans="1:13" ht="18" x14ac:dyDescent="0.25">
      <c r="A94" s="47" t="s">
        <v>116</v>
      </c>
      <c r="B94" s="48">
        <v>4114401</v>
      </c>
      <c r="C94" s="29">
        <v>29.17</v>
      </c>
      <c r="D94" s="28">
        <v>52.501799856011523</v>
      </c>
      <c r="E94" s="30">
        <v>2440</v>
      </c>
      <c r="F94" s="30">
        <v>16603</v>
      </c>
      <c r="G94" s="30">
        <v>0.14696139251942419</v>
      </c>
      <c r="H94" s="28">
        <v>85.416158885822341</v>
      </c>
      <c r="I94" s="49">
        <v>13.91</v>
      </c>
      <c r="J94" s="30">
        <v>74.544480171489809</v>
      </c>
      <c r="K94" s="27">
        <f t="shared" si="2"/>
        <v>70.820812971107898</v>
      </c>
      <c r="L94" s="71">
        <f t="shared" si="3"/>
        <v>78.464104025974123</v>
      </c>
      <c r="M94" s="1" t="str">
        <f>VLOOKUP(A94,Dados!A$2:C$400,3,FALSE)</f>
        <v>P2</v>
      </c>
    </row>
    <row r="95" spans="1:13" ht="18" x14ac:dyDescent="0.25">
      <c r="A95" s="47" t="s">
        <v>89</v>
      </c>
      <c r="B95" s="48">
        <v>4106506</v>
      </c>
      <c r="C95" s="29">
        <v>12.5</v>
      </c>
      <c r="D95" s="28">
        <v>22.49820014398848</v>
      </c>
      <c r="E95" s="30">
        <v>3085</v>
      </c>
      <c r="F95" s="30">
        <v>23331</v>
      </c>
      <c r="G95" s="30">
        <v>0.13222750846513223</v>
      </c>
      <c r="H95" s="28">
        <v>76.852605153706293</v>
      </c>
      <c r="I95" s="49">
        <v>13.42</v>
      </c>
      <c r="J95" s="30">
        <v>71.918542336548768</v>
      </c>
      <c r="K95" s="27">
        <f t="shared" si="2"/>
        <v>57.089782544747855</v>
      </c>
      <c r="L95" s="71">
        <f t="shared" si="3"/>
        <v>52.747431585048432</v>
      </c>
      <c r="M95" s="1" t="str">
        <f>VLOOKUP(A95,Dados!A$2:C$400,3,FALSE)</f>
        <v>P3</v>
      </c>
    </row>
    <row r="96" spans="1:13" ht="18" x14ac:dyDescent="0.25">
      <c r="A96" s="47" t="s">
        <v>109</v>
      </c>
      <c r="B96" s="48">
        <v>4127403</v>
      </c>
      <c r="C96" s="29">
        <v>4.1500000000000004</v>
      </c>
      <c r="D96" s="28">
        <v>7.4694024478041756</v>
      </c>
      <c r="E96" s="30">
        <v>2405</v>
      </c>
      <c r="F96" s="30">
        <v>18119</v>
      </c>
      <c r="G96" s="30">
        <v>0.13273359456923672</v>
      </c>
      <c r="H96" s="28">
        <v>77.146749965054511</v>
      </c>
      <c r="I96" s="49">
        <v>12.53</v>
      </c>
      <c r="J96" s="30">
        <v>67.148981779206849</v>
      </c>
      <c r="K96" s="27">
        <f t="shared" si="2"/>
        <v>50.588378064021846</v>
      </c>
      <c r="L96" s="71">
        <f t="shared" si="3"/>
        <v>40.57103372958764</v>
      </c>
      <c r="M96" s="1" t="str">
        <f>VLOOKUP(A96,Dados!A$2:C$400,3,FALSE)</f>
        <v>P2</v>
      </c>
    </row>
    <row r="97" spans="1:13" ht="18" x14ac:dyDescent="0.25">
      <c r="A97" s="47" t="s">
        <v>118</v>
      </c>
      <c r="B97" s="48">
        <v>4105201</v>
      </c>
      <c r="C97" s="29">
        <v>0</v>
      </c>
      <c r="D97" s="28">
        <v>0</v>
      </c>
      <c r="E97" s="30">
        <v>2262</v>
      </c>
      <c r="F97" s="30">
        <v>16134</v>
      </c>
      <c r="G97" s="30">
        <v>0.14020081814801041</v>
      </c>
      <c r="H97" s="28">
        <v>81.486811968455768</v>
      </c>
      <c r="I97" s="49">
        <v>12.83</v>
      </c>
      <c r="J97" s="30">
        <v>68.756698821007504</v>
      </c>
      <c r="K97" s="27">
        <f t="shared" si="2"/>
        <v>50.081170263154426</v>
      </c>
      <c r="L97" s="71">
        <f t="shared" si="3"/>
        <v>39.621090683117572</v>
      </c>
      <c r="M97" s="1" t="str">
        <f>VLOOKUP(A97,Dados!A$2:C$400,3,FALSE)</f>
        <v>P2</v>
      </c>
    </row>
    <row r="98" spans="1:13" ht="18" x14ac:dyDescent="0.25">
      <c r="A98" s="47" t="s">
        <v>90</v>
      </c>
      <c r="B98" s="48">
        <v>4104659</v>
      </c>
      <c r="C98" s="29">
        <v>8.67</v>
      </c>
      <c r="D98" s="28">
        <v>15.604751619870411</v>
      </c>
      <c r="E98" s="30">
        <v>3786</v>
      </c>
      <c r="F98" s="30">
        <v>23283</v>
      </c>
      <c r="G98" s="30">
        <v>0.16260791135162994</v>
      </c>
      <c r="H98" s="28">
        <v>94.510149597737069</v>
      </c>
      <c r="I98" s="49">
        <v>14.77</v>
      </c>
      <c r="J98" s="30">
        <v>79.153269024651664</v>
      </c>
      <c r="K98" s="27">
        <f t="shared" si="2"/>
        <v>63.089390080753049</v>
      </c>
      <c r="L98" s="71">
        <f t="shared" si="3"/>
        <v>63.984020317774416</v>
      </c>
      <c r="M98" s="1" t="str">
        <f>VLOOKUP(A98,Dados!A$2:C$400,3,FALSE)</f>
        <v>P3</v>
      </c>
    </row>
    <row r="99" spans="1:13" ht="18" x14ac:dyDescent="0.25">
      <c r="A99" s="47" t="s">
        <v>101</v>
      </c>
      <c r="B99" s="48">
        <v>4121406</v>
      </c>
      <c r="C99" s="29">
        <v>4.83</v>
      </c>
      <c r="D99" s="28">
        <v>8.6933045356371483</v>
      </c>
      <c r="E99" s="30">
        <v>2421</v>
      </c>
      <c r="F99" s="30">
        <v>19247</v>
      </c>
      <c r="G99" s="30">
        <v>0.1257858367537798</v>
      </c>
      <c r="H99" s="28">
        <v>73.108609231005289</v>
      </c>
      <c r="I99" s="49">
        <v>12.47</v>
      </c>
      <c r="J99" s="30">
        <v>66.827438370846735</v>
      </c>
      <c r="K99" s="27">
        <f t="shared" si="2"/>
        <v>49.543117379163057</v>
      </c>
      <c r="L99" s="71">
        <f t="shared" si="3"/>
        <v>38.613378272333151</v>
      </c>
      <c r="M99" s="1" t="str">
        <f>VLOOKUP(A99,Dados!A$2:C$400,3,FALSE)</f>
        <v>P2</v>
      </c>
    </row>
    <row r="100" spans="1:13" ht="18" x14ac:dyDescent="0.25">
      <c r="A100" s="47" t="s">
        <v>88</v>
      </c>
      <c r="B100" s="48">
        <v>4119400</v>
      </c>
      <c r="C100" s="29">
        <v>5.93</v>
      </c>
      <c r="D100" s="28">
        <v>10.673146148308135</v>
      </c>
      <c r="E100" s="30">
        <v>3482</v>
      </c>
      <c r="F100" s="30">
        <v>23651</v>
      </c>
      <c r="G100" s="30">
        <v>0.14722421884909728</v>
      </c>
      <c r="H100" s="28">
        <v>85.568917478741696</v>
      </c>
      <c r="I100" s="49">
        <v>13.19</v>
      </c>
      <c r="J100" s="30">
        <v>70.685959271168272</v>
      </c>
      <c r="K100" s="27">
        <f t="shared" si="2"/>
        <v>55.642674299406032</v>
      </c>
      <c r="L100" s="71">
        <f t="shared" si="3"/>
        <v>50.03716093700038</v>
      </c>
      <c r="M100" s="1" t="str">
        <f>VLOOKUP(A100,Dados!A$2:C$400,3,FALSE)</f>
        <v>P3</v>
      </c>
    </row>
    <row r="101" spans="1:13" ht="18" x14ac:dyDescent="0.25">
      <c r="A101" s="47" t="s">
        <v>114</v>
      </c>
      <c r="B101" s="48">
        <v>4126306</v>
      </c>
      <c r="C101" s="29">
        <v>22.42</v>
      </c>
      <c r="D101" s="28">
        <v>40.35277177825774</v>
      </c>
      <c r="E101" s="30">
        <v>2526</v>
      </c>
      <c r="F101" s="30">
        <v>17270</v>
      </c>
      <c r="G101" s="30">
        <v>0.14626519976838448</v>
      </c>
      <c r="H101" s="28">
        <v>85.011521248559177</v>
      </c>
      <c r="I101" s="49">
        <v>13.38</v>
      </c>
      <c r="J101" s="30">
        <v>71.704180064308687</v>
      </c>
      <c r="K101" s="27">
        <f t="shared" si="2"/>
        <v>65.689491030375208</v>
      </c>
      <c r="L101" s="71">
        <f t="shared" si="3"/>
        <v>68.853716353580111</v>
      </c>
      <c r="M101" s="1" t="str">
        <f>VLOOKUP(A101,Dados!A$2:C$400,3,FALSE)</f>
        <v>P2</v>
      </c>
    </row>
    <row r="102" spans="1:13" ht="18" x14ac:dyDescent="0.25">
      <c r="A102" s="47" t="s">
        <v>117</v>
      </c>
      <c r="B102" s="48">
        <v>4107603</v>
      </c>
      <c r="C102" s="29">
        <v>10</v>
      </c>
      <c r="D102" s="28">
        <v>17.998560115190784</v>
      </c>
      <c r="E102" s="30">
        <v>2349</v>
      </c>
      <c r="F102" s="30">
        <v>16389</v>
      </c>
      <c r="G102" s="30">
        <v>0.14332784184514002</v>
      </c>
      <c r="H102" s="28">
        <v>83.304284900460374</v>
      </c>
      <c r="I102" s="49">
        <v>14.52</v>
      </c>
      <c r="J102" s="30">
        <v>77.813504823151121</v>
      </c>
      <c r="K102" s="27">
        <f t="shared" si="2"/>
        <v>59.705449946267429</v>
      </c>
      <c r="L102" s="71">
        <f t="shared" si="3"/>
        <v>57.646281830850256</v>
      </c>
      <c r="M102" s="1" t="str">
        <f>VLOOKUP(A102,Dados!A$2:C$400,3,FALSE)</f>
        <v>P2</v>
      </c>
    </row>
    <row r="103" spans="1:13" ht="18" x14ac:dyDescent="0.25">
      <c r="A103" s="47" t="s">
        <v>111</v>
      </c>
      <c r="B103" s="48">
        <v>4127601</v>
      </c>
      <c r="C103" s="29">
        <v>33.82</v>
      </c>
      <c r="D103" s="28">
        <v>60.871130309575229</v>
      </c>
      <c r="E103" s="30">
        <v>2516</v>
      </c>
      <c r="F103" s="30">
        <v>17621</v>
      </c>
      <c r="G103" s="30">
        <v>0.14278417796946824</v>
      </c>
      <c r="H103" s="28">
        <v>82.988299326366644</v>
      </c>
      <c r="I103" s="49">
        <v>11.69</v>
      </c>
      <c r="J103" s="30">
        <v>62.647374062165049</v>
      </c>
      <c r="K103" s="27">
        <f t="shared" si="2"/>
        <v>68.835601232702302</v>
      </c>
      <c r="L103" s="71">
        <f t="shared" si="3"/>
        <v>74.746026182052901</v>
      </c>
      <c r="M103" s="1" t="str">
        <f>VLOOKUP(A103,Dados!A$2:C$400,3,FALSE)</f>
        <v>P2</v>
      </c>
    </row>
    <row r="104" spans="1:13" ht="18" x14ac:dyDescent="0.25">
      <c r="A104" s="47" t="s">
        <v>112</v>
      </c>
      <c r="B104" s="48">
        <v>4127205</v>
      </c>
      <c r="C104" s="29">
        <v>12.4</v>
      </c>
      <c r="D104" s="28">
        <v>22.318214542836571</v>
      </c>
      <c r="E104" s="30">
        <v>2246</v>
      </c>
      <c r="F104" s="30">
        <v>17568</v>
      </c>
      <c r="G104" s="30">
        <v>0.12784608378870674</v>
      </c>
      <c r="H104" s="28">
        <v>74.306055615137126</v>
      </c>
      <c r="I104" s="49">
        <v>11.95</v>
      </c>
      <c r="J104" s="30">
        <v>64.040728831725616</v>
      </c>
      <c r="K104" s="27">
        <f t="shared" si="2"/>
        <v>53.554999663233104</v>
      </c>
      <c r="L104" s="71">
        <f t="shared" si="3"/>
        <v>46.127181633581124</v>
      </c>
      <c r="M104" s="1" t="str">
        <f>VLOOKUP(A104,Dados!A$2:C$400,3,FALSE)</f>
        <v>P2</v>
      </c>
    </row>
    <row r="105" spans="1:13" ht="18" x14ac:dyDescent="0.25">
      <c r="A105" s="47" t="s">
        <v>129</v>
      </c>
      <c r="B105" s="48">
        <v>4105706</v>
      </c>
      <c r="C105" s="29">
        <v>23.26</v>
      </c>
      <c r="D105" s="28">
        <v>41.864650827933765</v>
      </c>
      <c r="E105" s="30">
        <v>2149</v>
      </c>
      <c r="F105" s="30">
        <v>15070</v>
      </c>
      <c r="G105" s="30">
        <v>0.14260119442601193</v>
      </c>
      <c r="H105" s="28">
        <v>82.881946554707326</v>
      </c>
      <c r="I105" s="49">
        <v>15.59</v>
      </c>
      <c r="J105" s="30">
        <v>83.547695605573409</v>
      </c>
      <c r="K105" s="27">
        <f t="shared" si="2"/>
        <v>69.431430996071498</v>
      </c>
      <c r="L105" s="71">
        <f t="shared" si="3"/>
        <v>75.861948176203043</v>
      </c>
      <c r="M105" s="1" t="str">
        <f>VLOOKUP(A105,Dados!A$2:C$400,3,FALSE)</f>
        <v>P2</v>
      </c>
    </row>
    <row r="106" spans="1:13" ht="18" x14ac:dyDescent="0.25">
      <c r="A106" s="47" t="s">
        <v>102</v>
      </c>
      <c r="B106" s="48">
        <v>4128500</v>
      </c>
      <c r="C106" s="29">
        <v>6.54</v>
      </c>
      <c r="D106" s="28">
        <v>11.771058315334773</v>
      </c>
      <c r="E106" s="30">
        <v>2583</v>
      </c>
      <c r="F106" s="30">
        <v>19188</v>
      </c>
      <c r="G106" s="30">
        <v>0.13461538461538461</v>
      </c>
      <c r="H106" s="28">
        <v>78.240474478792237</v>
      </c>
      <c r="I106" s="49">
        <v>14.07</v>
      </c>
      <c r="J106" s="30">
        <v>75.40192926045016</v>
      </c>
      <c r="K106" s="27">
        <f t="shared" si="2"/>
        <v>55.137820684859058</v>
      </c>
      <c r="L106" s="71">
        <f t="shared" si="3"/>
        <v>49.091627016181327</v>
      </c>
      <c r="M106" s="1" t="str">
        <f>VLOOKUP(A106,Dados!A$2:C$400,3,FALSE)</f>
        <v>P2</v>
      </c>
    </row>
    <row r="107" spans="1:13" ht="18" x14ac:dyDescent="0.25">
      <c r="A107" s="47" t="s">
        <v>158</v>
      </c>
      <c r="B107" s="48">
        <v>4124020</v>
      </c>
      <c r="C107" s="29">
        <v>0</v>
      </c>
      <c r="D107" s="28">
        <v>0</v>
      </c>
      <c r="E107" s="30">
        <v>1945</v>
      </c>
      <c r="F107" s="30">
        <v>13174</v>
      </c>
      <c r="G107" s="30">
        <v>0.1476392895096402</v>
      </c>
      <c r="H107" s="28">
        <v>85.810162753313307</v>
      </c>
      <c r="I107" s="49">
        <v>15.03</v>
      </c>
      <c r="J107" s="30">
        <v>80.546623794212209</v>
      </c>
      <c r="K107" s="27">
        <f t="shared" si="2"/>
        <v>55.452262182508512</v>
      </c>
      <c r="L107" s="71">
        <f t="shared" si="3"/>
        <v>49.680540502336115</v>
      </c>
      <c r="M107" s="1" t="str">
        <f>VLOOKUP(A107,Dados!A$2:C$400,3,FALSE)</f>
        <v>P2</v>
      </c>
    </row>
    <row r="108" spans="1:13" ht="18" x14ac:dyDescent="0.25">
      <c r="A108" s="47" t="s">
        <v>173</v>
      </c>
      <c r="B108" s="48">
        <v>4110953</v>
      </c>
      <c r="C108" s="29">
        <v>14.49</v>
      </c>
      <c r="D108" s="28">
        <v>26.079913606911447</v>
      </c>
      <c r="E108" s="30">
        <v>1652</v>
      </c>
      <c r="F108" s="30">
        <v>11485</v>
      </c>
      <c r="G108" s="30">
        <v>0.14383979103178057</v>
      </c>
      <c r="H108" s="28">
        <v>83.601837423050796</v>
      </c>
      <c r="I108" s="49">
        <v>13.32</v>
      </c>
      <c r="J108" s="30">
        <v>71.382636655948545</v>
      </c>
      <c r="K108" s="27">
        <f t="shared" si="2"/>
        <v>60.354795895303596</v>
      </c>
      <c r="L108" s="71">
        <f t="shared" si="3"/>
        <v>58.862433609244633</v>
      </c>
      <c r="M108" s="1" t="str">
        <f>VLOOKUP(A108,Dados!A$2:C$400,3,FALSE)</f>
        <v>P2</v>
      </c>
    </row>
    <row r="109" spans="1:13" ht="18" x14ac:dyDescent="0.25">
      <c r="A109" s="47" t="s">
        <v>99</v>
      </c>
      <c r="B109" s="48">
        <v>4101101</v>
      </c>
      <c r="C109" s="29">
        <v>13.27</v>
      </c>
      <c r="D109" s="28">
        <v>23.884089272858169</v>
      </c>
      <c r="E109" s="30">
        <v>2375</v>
      </c>
      <c r="F109" s="30">
        <v>19878</v>
      </c>
      <c r="G109" s="30">
        <v>0.11947882080692222</v>
      </c>
      <c r="H109" s="28">
        <v>69.442877252172835</v>
      </c>
      <c r="I109" s="49">
        <v>10.210000000000001</v>
      </c>
      <c r="J109" s="30">
        <v>54.715969989281888</v>
      </c>
      <c r="K109" s="27">
        <f t="shared" si="2"/>
        <v>49.347645504770959</v>
      </c>
      <c r="L109" s="71">
        <f t="shared" si="3"/>
        <v>38.247281482138519</v>
      </c>
      <c r="M109" s="1" t="str">
        <f>VLOOKUP(A109,Dados!A$2:C$400,3,FALSE)</f>
        <v>P2</v>
      </c>
    </row>
    <row r="110" spans="1:13" ht="18" x14ac:dyDescent="0.25">
      <c r="A110" s="47" t="s">
        <v>166</v>
      </c>
      <c r="B110" s="48">
        <v>4117057</v>
      </c>
      <c r="C110" s="29">
        <v>16.95</v>
      </c>
      <c r="D110" s="28">
        <v>30.507559395248379</v>
      </c>
      <c r="E110" s="30">
        <v>1939</v>
      </c>
      <c r="F110" s="30">
        <v>12074</v>
      </c>
      <c r="G110" s="30">
        <v>0.16059300977306609</v>
      </c>
      <c r="H110" s="28">
        <v>93.339058670906354</v>
      </c>
      <c r="I110" s="49">
        <v>16.07</v>
      </c>
      <c r="J110" s="30">
        <v>86.120042872454448</v>
      </c>
      <c r="K110" s="27">
        <f t="shared" si="2"/>
        <v>69.988886979536389</v>
      </c>
      <c r="L110" s="71">
        <f t="shared" si="3"/>
        <v>76.906000405486537</v>
      </c>
      <c r="M110" s="1" t="str">
        <f>VLOOKUP(A110,Dados!A$2:C$400,3,FALSE)</f>
        <v>P2</v>
      </c>
    </row>
    <row r="111" spans="1:13" ht="18" x14ac:dyDescent="0.25">
      <c r="A111" s="47" t="s">
        <v>149</v>
      </c>
      <c r="B111" s="48">
        <v>4119103</v>
      </c>
      <c r="C111" s="29">
        <v>0</v>
      </c>
      <c r="D111" s="28">
        <v>0</v>
      </c>
      <c r="E111" s="30">
        <v>1978</v>
      </c>
      <c r="F111" s="30">
        <v>13655</v>
      </c>
      <c r="G111" s="30">
        <v>0.14485536433540827</v>
      </c>
      <c r="H111" s="28">
        <v>84.192103813262065</v>
      </c>
      <c r="I111" s="49">
        <v>14.43</v>
      </c>
      <c r="J111" s="30">
        <v>77.331189710610929</v>
      </c>
      <c r="K111" s="27">
        <f t="shared" si="2"/>
        <v>53.841097841291003</v>
      </c>
      <c r="L111" s="71">
        <f t="shared" si="3"/>
        <v>46.66301127655796</v>
      </c>
      <c r="M111" s="1" t="str">
        <f>VLOOKUP(A111,Dados!A$2:C$400,3,FALSE)</f>
        <v>P2</v>
      </c>
    </row>
    <row r="112" spans="1:13" ht="18" x14ac:dyDescent="0.25">
      <c r="A112" s="47" t="s">
        <v>92</v>
      </c>
      <c r="B112" s="48">
        <v>4103602</v>
      </c>
      <c r="C112" s="29">
        <v>10.75</v>
      </c>
      <c r="D112" s="28">
        <v>19.348452123830093</v>
      </c>
      <c r="E112" s="30">
        <v>2843</v>
      </c>
      <c r="F112" s="30">
        <v>23212</v>
      </c>
      <c r="G112" s="30">
        <v>0.12247975185249009</v>
      </c>
      <c r="H112" s="28">
        <v>71.187063249592143</v>
      </c>
      <c r="I112" s="49">
        <v>10.17</v>
      </c>
      <c r="J112" s="30">
        <v>54.5016077170418</v>
      </c>
      <c r="K112" s="27">
        <f t="shared" si="2"/>
        <v>48.345707696821343</v>
      </c>
      <c r="L112" s="71">
        <f t="shared" si="3"/>
        <v>36.370764890655742</v>
      </c>
      <c r="M112" s="1" t="str">
        <f>VLOOKUP(A112,Dados!A$2:C$400,3,FALSE)</f>
        <v>P3</v>
      </c>
    </row>
    <row r="113" spans="1:13" ht="18" x14ac:dyDescent="0.25">
      <c r="A113" s="47" t="s">
        <v>125</v>
      </c>
      <c r="B113" s="48">
        <v>4102901</v>
      </c>
      <c r="C113" s="29">
        <v>14.87</v>
      </c>
      <c r="D113" s="28">
        <v>26.763858891288695</v>
      </c>
      <c r="E113" s="30">
        <v>2240</v>
      </c>
      <c r="F113" s="30">
        <v>15533</v>
      </c>
      <c r="G113" s="30">
        <v>0.14420910319963948</v>
      </c>
      <c r="H113" s="28">
        <v>83.816487177435334</v>
      </c>
      <c r="I113" s="49">
        <v>16.420000000000002</v>
      </c>
      <c r="J113" s="30">
        <v>87.995712754555214</v>
      </c>
      <c r="K113" s="27">
        <f t="shared" si="2"/>
        <v>66.192019607759747</v>
      </c>
      <c r="L113" s="71">
        <f t="shared" si="3"/>
        <v>69.794895741835859</v>
      </c>
      <c r="M113" s="1" t="str">
        <f>VLOOKUP(A113,Dados!A$2:C$400,3,FALSE)</f>
        <v>P2</v>
      </c>
    </row>
    <row r="114" spans="1:13" ht="18" x14ac:dyDescent="0.25">
      <c r="A114" s="47" t="s">
        <v>156</v>
      </c>
      <c r="B114" s="48">
        <v>4118006</v>
      </c>
      <c r="C114" s="29">
        <v>31.58</v>
      </c>
      <c r="D114" s="28">
        <v>56.839452843772499</v>
      </c>
      <c r="E114" s="30">
        <v>1766</v>
      </c>
      <c r="F114" s="30">
        <v>13245</v>
      </c>
      <c r="G114" s="30">
        <v>0.13333333333333333</v>
      </c>
      <c r="H114" s="28">
        <v>77.495327102803742</v>
      </c>
      <c r="I114" s="49">
        <v>13.21</v>
      </c>
      <c r="J114" s="30">
        <v>70.79314040728832</v>
      </c>
      <c r="K114" s="27">
        <f t="shared" si="2"/>
        <v>68.375973451288189</v>
      </c>
      <c r="L114" s="71">
        <f t="shared" si="3"/>
        <v>73.885195149540976</v>
      </c>
      <c r="M114" s="1" t="str">
        <f>VLOOKUP(A114,Dados!A$2:C$400,3,FALSE)</f>
        <v>P2</v>
      </c>
    </row>
    <row r="115" spans="1:13" ht="18" x14ac:dyDescent="0.25">
      <c r="A115" s="47" t="s">
        <v>138</v>
      </c>
      <c r="B115" s="48">
        <v>4114500</v>
      </c>
      <c r="C115" s="29">
        <v>0</v>
      </c>
      <c r="D115" s="28">
        <v>0</v>
      </c>
      <c r="E115" s="30">
        <v>2133</v>
      </c>
      <c r="F115" s="30">
        <v>14240</v>
      </c>
      <c r="G115" s="30">
        <v>0.14978932584269664</v>
      </c>
      <c r="H115" s="28">
        <v>87.059796020161727</v>
      </c>
      <c r="I115" s="49">
        <v>15.59</v>
      </c>
      <c r="J115" s="30">
        <v>83.547695605573409</v>
      </c>
      <c r="K115" s="27">
        <f t="shared" si="2"/>
        <v>56.869163875245043</v>
      </c>
      <c r="L115" s="71">
        <f t="shared" si="3"/>
        <v>52.334237681766062</v>
      </c>
      <c r="M115" s="1" t="str">
        <f>VLOOKUP(A115,Dados!A$2:C$400,3,FALSE)</f>
        <v>P2</v>
      </c>
    </row>
    <row r="116" spans="1:13" ht="18" x14ac:dyDescent="0.25">
      <c r="A116" s="47" t="s">
        <v>100</v>
      </c>
      <c r="B116" s="48">
        <v>4101002</v>
      </c>
      <c r="C116" s="29">
        <v>3.62</v>
      </c>
      <c r="D116" s="28">
        <v>6.5154787616990646</v>
      </c>
      <c r="E116" s="30">
        <v>2550</v>
      </c>
      <c r="F116" s="30">
        <v>19620</v>
      </c>
      <c r="G116" s="30">
        <v>0.12996941896024464</v>
      </c>
      <c r="H116" s="28">
        <v>75.54016976764126</v>
      </c>
      <c r="I116" s="49">
        <v>13.81</v>
      </c>
      <c r="J116" s="30">
        <v>74.0085744908896</v>
      </c>
      <c r="K116" s="27">
        <f t="shared" si="2"/>
        <v>52.021407673409975</v>
      </c>
      <c r="L116" s="71">
        <f t="shared" si="3"/>
        <v>43.254936679218744</v>
      </c>
      <c r="M116" s="1" t="str">
        <f>VLOOKUP(A116,Dados!A$2:C$400,3,FALSE)</f>
        <v>P2</v>
      </c>
    </row>
    <row r="117" spans="1:13" ht="18" x14ac:dyDescent="0.25">
      <c r="A117" s="47" t="s">
        <v>95</v>
      </c>
      <c r="B117" s="48">
        <v>4112108</v>
      </c>
      <c r="C117" s="29">
        <v>8.51</v>
      </c>
      <c r="D117" s="28">
        <v>15.316774658027358</v>
      </c>
      <c r="E117" s="30">
        <v>2414</v>
      </c>
      <c r="F117" s="30">
        <v>21408</v>
      </c>
      <c r="G117" s="30">
        <v>0.11276158445440956</v>
      </c>
      <c r="H117" s="28">
        <v>65.538719039436742</v>
      </c>
      <c r="I117" s="49">
        <v>11.58</v>
      </c>
      <c r="J117" s="30">
        <v>62.057877813504824</v>
      </c>
      <c r="K117" s="27">
        <f t="shared" si="2"/>
        <v>47.637790503656305</v>
      </c>
      <c r="L117" s="71">
        <f t="shared" si="3"/>
        <v>35.044915773245343</v>
      </c>
      <c r="M117" s="1" t="str">
        <f>VLOOKUP(A117,Dados!A$2:C$400,3,FALSE)</f>
        <v>P3</v>
      </c>
    </row>
    <row r="118" spans="1:13" ht="18" x14ac:dyDescent="0.25">
      <c r="A118" s="47" t="s">
        <v>144</v>
      </c>
      <c r="B118" s="48">
        <v>4100608</v>
      </c>
      <c r="C118" s="29">
        <v>11.11</v>
      </c>
      <c r="D118" s="28">
        <v>19.996400287976961</v>
      </c>
      <c r="E118" s="30">
        <v>1923</v>
      </c>
      <c r="F118" s="30">
        <v>13909</v>
      </c>
      <c r="G118" s="30">
        <v>0.13825580559350062</v>
      </c>
      <c r="H118" s="28">
        <v>80.356341587474816</v>
      </c>
      <c r="I118" s="49">
        <v>11.86</v>
      </c>
      <c r="J118" s="30">
        <v>63.558413719185424</v>
      </c>
      <c r="K118" s="27">
        <f t="shared" si="2"/>
        <v>54.637051864879062</v>
      </c>
      <c r="L118" s="71">
        <f t="shared" si="3"/>
        <v>48.153743455211881</v>
      </c>
      <c r="M118" s="1" t="str">
        <f>VLOOKUP(A118,Dados!A$2:C$400,3,FALSE)</f>
        <v>P2</v>
      </c>
    </row>
    <row r="119" spans="1:13" ht="18" x14ac:dyDescent="0.25">
      <c r="A119" s="47" t="s">
        <v>122</v>
      </c>
      <c r="B119" s="48">
        <v>4126801</v>
      </c>
      <c r="C119" s="29">
        <v>11.83</v>
      </c>
      <c r="D119" s="28">
        <v>21.292296616270697</v>
      </c>
      <c r="E119" s="30">
        <v>2189</v>
      </c>
      <c r="F119" s="30">
        <v>15869</v>
      </c>
      <c r="G119" s="30">
        <v>0.13794189930052303</v>
      </c>
      <c r="H119" s="28">
        <v>80.173894556070351</v>
      </c>
      <c r="I119" s="49">
        <v>11.28</v>
      </c>
      <c r="J119" s="30">
        <v>60.450160771704176</v>
      </c>
      <c r="K119" s="27">
        <f t="shared" si="2"/>
        <v>53.972117314681746</v>
      </c>
      <c r="L119" s="71">
        <f t="shared" si="3"/>
        <v>46.908395983746722</v>
      </c>
      <c r="M119" s="1" t="str">
        <f>VLOOKUP(A119,Dados!A$2:C$400,3,FALSE)</f>
        <v>P2</v>
      </c>
    </row>
    <row r="120" spans="1:13" ht="18" x14ac:dyDescent="0.25">
      <c r="A120" s="47" t="s">
        <v>146</v>
      </c>
      <c r="B120" s="48">
        <v>4116703</v>
      </c>
      <c r="C120" s="29">
        <v>13.7</v>
      </c>
      <c r="D120" s="28">
        <v>24.658027357811374</v>
      </c>
      <c r="E120" s="30">
        <v>1850</v>
      </c>
      <c r="F120" s="30">
        <v>13765</v>
      </c>
      <c r="G120" s="30">
        <v>0.13439883763167454</v>
      </c>
      <c r="H120" s="28">
        <v>78.114614133774211</v>
      </c>
      <c r="I120" s="49">
        <v>11.19</v>
      </c>
      <c r="J120" s="30">
        <v>59.967845659163984</v>
      </c>
      <c r="K120" s="27">
        <f t="shared" si="2"/>
        <v>54.246829050249858</v>
      </c>
      <c r="L120" s="71">
        <f t="shared" si="3"/>
        <v>47.422900103242441</v>
      </c>
      <c r="M120" s="1" t="str">
        <f>VLOOKUP(A120,Dados!A$2:C$400,3,FALSE)</f>
        <v>P2</v>
      </c>
    </row>
    <row r="121" spans="1:13" ht="18" x14ac:dyDescent="0.25">
      <c r="A121" s="47" t="s">
        <v>133</v>
      </c>
      <c r="B121" s="48">
        <v>4104600</v>
      </c>
      <c r="C121" s="29">
        <v>15.63</v>
      </c>
      <c r="D121" s="28">
        <v>28.131749460043199</v>
      </c>
      <c r="E121" s="30">
        <v>1935</v>
      </c>
      <c r="F121" s="30">
        <v>14648</v>
      </c>
      <c r="G121" s="30">
        <v>0.1320999453850355</v>
      </c>
      <c r="H121" s="28">
        <v>76.778463584068774</v>
      </c>
      <c r="I121" s="49">
        <v>14.27</v>
      </c>
      <c r="J121" s="30">
        <v>76.473740621650592</v>
      </c>
      <c r="K121" s="27">
        <f t="shared" si="2"/>
        <v>60.461317888587523</v>
      </c>
      <c r="L121" s="71">
        <f t="shared" si="3"/>
        <v>59.061937297167297</v>
      </c>
      <c r="M121" s="1" t="str">
        <f>VLOOKUP(A121,Dados!A$2:C$400,3,FALSE)</f>
        <v>P2</v>
      </c>
    </row>
    <row r="122" spans="1:13" ht="18" x14ac:dyDescent="0.25">
      <c r="A122" s="47" t="s">
        <v>93</v>
      </c>
      <c r="B122" s="48">
        <v>4105904</v>
      </c>
      <c r="C122" s="29">
        <v>13.89</v>
      </c>
      <c r="D122" s="28">
        <v>25</v>
      </c>
      <c r="E122" s="30">
        <v>2551</v>
      </c>
      <c r="F122" s="30">
        <v>22896</v>
      </c>
      <c r="G122" s="30">
        <v>0.11141684136967156</v>
      </c>
      <c r="H122" s="28">
        <v>64.757134250279208</v>
      </c>
      <c r="I122" s="49">
        <v>12.19</v>
      </c>
      <c r="J122" s="30">
        <v>65.326902465166128</v>
      </c>
      <c r="K122" s="27">
        <f t="shared" si="2"/>
        <v>51.694678905148443</v>
      </c>
      <c r="L122" s="71">
        <f t="shared" si="3"/>
        <v>42.643010520037095</v>
      </c>
      <c r="M122" s="1" t="str">
        <f>VLOOKUP(A122,Dados!A$2:C$400,3,FALSE)</f>
        <v>P3</v>
      </c>
    </row>
    <row r="123" spans="1:13" ht="18" x14ac:dyDescent="0.25">
      <c r="A123" s="47" t="s">
        <v>124</v>
      </c>
      <c r="B123" s="48">
        <v>4103909</v>
      </c>
      <c r="C123" s="29">
        <v>20.41</v>
      </c>
      <c r="D123" s="28">
        <v>36.735061195104393</v>
      </c>
      <c r="E123" s="30">
        <v>2103</v>
      </c>
      <c r="F123" s="30">
        <v>15723</v>
      </c>
      <c r="G123" s="30">
        <v>0.13375310055332951</v>
      </c>
      <c r="H123" s="28">
        <v>77.739302087958535</v>
      </c>
      <c r="I123" s="49">
        <v>13.1</v>
      </c>
      <c r="J123" s="30">
        <v>70.20364415862808</v>
      </c>
      <c r="K123" s="27">
        <f t="shared" si="2"/>
        <v>61.559335813897007</v>
      </c>
      <c r="L123" s="71">
        <f t="shared" si="3"/>
        <v>61.118401119812425</v>
      </c>
      <c r="M123" s="1" t="str">
        <f>VLOOKUP(A123,Dados!A$2:C$400,3,FALSE)</f>
        <v>P2</v>
      </c>
    </row>
    <row r="124" spans="1:13" ht="18" x14ac:dyDescent="0.25">
      <c r="A124" s="47" t="s">
        <v>168</v>
      </c>
      <c r="B124" s="48">
        <v>4112801</v>
      </c>
      <c r="C124" s="29">
        <v>17.440000000000001</v>
      </c>
      <c r="D124" s="28">
        <v>31.389488840892732</v>
      </c>
      <c r="E124" s="30">
        <v>1599</v>
      </c>
      <c r="F124" s="30">
        <v>11945</v>
      </c>
      <c r="G124" s="30">
        <v>0.13386354123064043</v>
      </c>
      <c r="H124" s="28">
        <v>77.803491861061019</v>
      </c>
      <c r="I124" s="49">
        <v>14.99</v>
      </c>
      <c r="J124" s="30">
        <v>80.332261521972143</v>
      </c>
      <c r="K124" s="27">
        <f t="shared" si="2"/>
        <v>63.175080741308626</v>
      </c>
      <c r="L124" s="71">
        <f t="shared" si="3"/>
        <v>64.144509267279886</v>
      </c>
      <c r="M124" s="1" t="str">
        <f>VLOOKUP(A124,Dados!A$2:C$400,3,FALSE)</f>
        <v>P2</v>
      </c>
    </row>
    <row r="125" spans="1:13" ht="18" x14ac:dyDescent="0.25">
      <c r="A125" s="47" t="s">
        <v>127</v>
      </c>
      <c r="B125" s="48">
        <v>4123006</v>
      </c>
      <c r="C125" s="29">
        <v>5.32</v>
      </c>
      <c r="D125" s="28">
        <v>9.5752339812814977</v>
      </c>
      <c r="E125" s="30">
        <v>1975</v>
      </c>
      <c r="F125" s="30">
        <v>15223</v>
      </c>
      <c r="G125" s="30">
        <v>0.12973789660382315</v>
      </c>
      <c r="H125" s="28">
        <v>75.405605512072555</v>
      </c>
      <c r="I125" s="49">
        <v>11.23</v>
      </c>
      <c r="J125" s="30">
        <v>60.182207931404072</v>
      </c>
      <c r="K125" s="27">
        <f t="shared" si="2"/>
        <v>48.38768247491938</v>
      </c>
      <c r="L125" s="71">
        <f t="shared" si="3"/>
        <v>36.449378919290879</v>
      </c>
      <c r="M125" s="1" t="str">
        <f>VLOOKUP(A125,Dados!A$2:C$400,3,FALSE)</f>
        <v>P2</v>
      </c>
    </row>
    <row r="126" spans="1:13" ht="18" x14ac:dyDescent="0.25">
      <c r="A126" s="47" t="s">
        <v>155</v>
      </c>
      <c r="B126" s="48">
        <v>4103107</v>
      </c>
      <c r="C126" s="29">
        <v>15.31</v>
      </c>
      <c r="D126" s="28">
        <v>27.555795536357092</v>
      </c>
      <c r="E126" s="30">
        <v>2010</v>
      </c>
      <c r="F126" s="30">
        <v>13299</v>
      </c>
      <c r="G126" s="30">
        <v>0.15113918339724791</v>
      </c>
      <c r="H126" s="28">
        <v>87.84435341565279</v>
      </c>
      <c r="I126" s="49">
        <v>12.71</v>
      </c>
      <c r="J126" s="30">
        <v>68.113612004287248</v>
      </c>
      <c r="K126" s="27">
        <f t="shared" si="2"/>
        <v>61.17125365209904</v>
      </c>
      <c r="L126" s="71">
        <f t="shared" si="3"/>
        <v>60.391566969334889</v>
      </c>
      <c r="M126" s="1" t="str">
        <f>VLOOKUP(A126,Dados!A$2:C$400,3,FALSE)</f>
        <v>P2</v>
      </c>
    </row>
    <row r="127" spans="1:13" ht="18" x14ac:dyDescent="0.25">
      <c r="A127" s="47" t="s">
        <v>139</v>
      </c>
      <c r="B127" s="48">
        <v>4127965</v>
      </c>
      <c r="C127" s="29">
        <v>0</v>
      </c>
      <c r="D127" s="28">
        <v>0</v>
      </c>
      <c r="E127" s="30">
        <v>2071</v>
      </c>
      <c r="F127" s="30">
        <v>14231</v>
      </c>
      <c r="G127" s="30">
        <v>0.14552736982643524</v>
      </c>
      <c r="H127" s="28">
        <v>84.582683453327178</v>
      </c>
      <c r="I127" s="49">
        <v>14.55</v>
      </c>
      <c r="J127" s="30">
        <v>77.974276527331185</v>
      </c>
      <c r="K127" s="27">
        <f t="shared" si="2"/>
        <v>54.185653326886118</v>
      </c>
      <c r="L127" s="71">
        <f t="shared" si="3"/>
        <v>47.308324868155808</v>
      </c>
      <c r="M127" s="1" t="str">
        <f>VLOOKUP(A127,Dados!A$2:C$400,3,FALSE)</f>
        <v>P2</v>
      </c>
    </row>
    <row r="128" spans="1:13" ht="18" x14ac:dyDescent="0.25">
      <c r="A128" s="47" t="s">
        <v>123</v>
      </c>
      <c r="B128" s="48">
        <v>4110607</v>
      </c>
      <c r="C128" s="29">
        <v>9.48</v>
      </c>
      <c r="D128" s="28">
        <v>17.062634989200866</v>
      </c>
      <c r="E128" s="30">
        <v>1958</v>
      </c>
      <c r="F128" s="30">
        <v>15746</v>
      </c>
      <c r="G128" s="30">
        <v>0.12434904102629239</v>
      </c>
      <c r="H128" s="28">
        <v>72.273522069393692</v>
      </c>
      <c r="I128" s="49">
        <v>10.48</v>
      </c>
      <c r="J128" s="30">
        <v>56.162915326902464</v>
      </c>
      <c r="K128" s="27">
        <f t="shared" si="2"/>
        <v>48.499690795165669</v>
      </c>
      <c r="L128" s="71">
        <f t="shared" si="3"/>
        <v>36.659157879280826</v>
      </c>
      <c r="M128" s="1" t="str">
        <f>VLOOKUP(A128,Dados!A$2:C$400,3,FALSE)</f>
        <v>P2</v>
      </c>
    </row>
    <row r="129" spans="1:13" ht="18" x14ac:dyDescent="0.25">
      <c r="A129" s="47" t="s">
        <v>115</v>
      </c>
      <c r="B129" s="48">
        <v>4104709</v>
      </c>
      <c r="C129" s="29">
        <v>9.9</v>
      </c>
      <c r="D129" s="28">
        <v>17.818574514038875</v>
      </c>
      <c r="E129" s="30">
        <v>2215</v>
      </c>
      <c r="F129" s="30">
        <v>16905</v>
      </c>
      <c r="G129" s="30">
        <v>0.13102632357290742</v>
      </c>
      <c r="H129" s="28">
        <v>76.15445853270198</v>
      </c>
      <c r="I129" s="49">
        <v>14.14</v>
      </c>
      <c r="J129" s="30">
        <v>75.777063236870319</v>
      </c>
      <c r="K129" s="27">
        <f t="shared" si="2"/>
        <v>56.583365427870397</v>
      </c>
      <c r="L129" s="71">
        <f t="shared" si="3"/>
        <v>51.798969400577988</v>
      </c>
      <c r="M129" s="1" t="str">
        <f>VLOOKUP(A129,Dados!A$2:C$400,3,FALSE)</f>
        <v>P2</v>
      </c>
    </row>
    <row r="130" spans="1:13" ht="18" x14ac:dyDescent="0.25">
      <c r="A130" s="47" t="s">
        <v>108</v>
      </c>
      <c r="B130" s="48">
        <v>4116208</v>
      </c>
      <c r="C130" s="29">
        <v>4.55</v>
      </c>
      <c r="D130" s="28">
        <v>8.1893448524118071</v>
      </c>
      <c r="E130" s="30">
        <v>2493</v>
      </c>
      <c r="F130" s="30">
        <v>18309</v>
      </c>
      <c r="G130" s="30">
        <v>0.13616254301163364</v>
      </c>
      <c r="H130" s="28">
        <v>79.139706073770995</v>
      </c>
      <c r="I130" s="49">
        <v>11.14</v>
      </c>
      <c r="J130" s="30">
        <v>59.699892818863887</v>
      </c>
      <c r="K130" s="27">
        <f t="shared" ref="K130:K193" si="4">(D130+H130+J130)/3</f>
        <v>49.009647915015563</v>
      </c>
      <c r="L130" s="71">
        <f t="shared" si="3"/>
        <v>37.614250090344704</v>
      </c>
      <c r="M130" s="1" t="str">
        <f>VLOOKUP(A130,Dados!A$2:C$400,3,FALSE)</f>
        <v>P2</v>
      </c>
    </row>
    <row r="131" spans="1:13" ht="18" x14ac:dyDescent="0.25">
      <c r="A131" s="47" t="s">
        <v>154</v>
      </c>
      <c r="B131" s="48">
        <v>4118808</v>
      </c>
      <c r="C131" s="29">
        <v>6.33</v>
      </c>
      <c r="D131" s="28">
        <v>11.393088552915765</v>
      </c>
      <c r="E131" s="30">
        <v>1805</v>
      </c>
      <c r="F131" s="30">
        <v>13346</v>
      </c>
      <c r="G131" s="30">
        <v>0.13524651580998051</v>
      </c>
      <c r="H131" s="28">
        <v>78.607297366567181</v>
      </c>
      <c r="I131" s="49">
        <v>12.06</v>
      </c>
      <c r="J131" s="30">
        <v>64.630225080385856</v>
      </c>
      <c r="K131" s="27">
        <f t="shared" si="4"/>
        <v>51.543536999956267</v>
      </c>
      <c r="L131" s="71">
        <f t="shared" ref="L131:L194" si="5">(K131-K$401)/(K$402-K$401)*100</f>
        <v>42.359938765971002</v>
      </c>
      <c r="M131" s="1" t="str">
        <f>VLOOKUP(A131,Dados!A$2:C$400,3,FALSE)</f>
        <v>P2</v>
      </c>
    </row>
    <row r="132" spans="1:13" ht="18" x14ac:dyDescent="0.25">
      <c r="A132" s="47" t="s">
        <v>121</v>
      </c>
      <c r="B132" s="48">
        <v>4115408</v>
      </c>
      <c r="C132" s="29">
        <v>4.78</v>
      </c>
      <c r="D132" s="28">
        <v>8.6033117350611956</v>
      </c>
      <c r="E132" s="30">
        <v>2073</v>
      </c>
      <c r="F132" s="30">
        <v>15901</v>
      </c>
      <c r="G132" s="30">
        <v>0.1303691591723791</v>
      </c>
      <c r="H132" s="28">
        <v>75.772504756357534</v>
      </c>
      <c r="I132" s="49">
        <v>13.33</v>
      </c>
      <c r="J132" s="30">
        <v>71.436227224008576</v>
      </c>
      <c r="K132" s="27">
        <f t="shared" si="4"/>
        <v>51.937347905142438</v>
      </c>
      <c r="L132" s="71">
        <f t="shared" si="5"/>
        <v>43.097502207160012</v>
      </c>
      <c r="M132" s="1" t="str">
        <f>VLOOKUP(A132,Dados!A$2:C$400,3,FALSE)</f>
        <v>P2</v>
      </c>
    </row>
    <row r="133" spans="1:13" ht="18" x14ac:dyDescent="0.25">
      <c r="A133" s="47" t="s">
        <v>161</v>
      </c>
      <c r="B133" s="48">
        <v>4117107</v>
      </c>
      <c r="C133" s="29">
        <v>0</v>
      </c>
      <c r="D133" s="28">
        <v>0</v>
      </c>
      <c r="E133" s="30">
        <v>1696</v>
      </c>
      <c r="F133" s="30">
        <v>12923</v>
      </c>
      <c r="G133" s="30">
        <v>0.13123887642188348</v>
      </c>
      <c r="H133" s="28">
        <v>76.277997426887239</v>
      </c>
      <c r="I133" s="49">
        <v>13.93</v>
      </c>
      <c r="J133" s="30">
        <v>74.651661307609857</v>
      </c>
      <c r="K133" s="27">
        <f t="shared" si="4"/>
        <v>50.309886244832363</v>
      </c>
      <c r="L133" s="71">
        <f t="shared" si="5"/>
        <v>40.049449939501173</v>
      </c>
      <c r="M133" s="1" t="str">
        <f>VLOOKUP(A133,Dados!A$2:C$400,3,FALSE)</f>
        <v>P2</v>
      </c>
    </row>
    <row r="134" spans="1:13" ht="18" x14ac:dyDescent="0.25">
      <c r="A134" s="47" t="s">
        <v>147</v>
      </c>
      <c r="B134" s="48">
        <v>4109302</v>
      </c>
      <c r="C134" s="29">
        <v>5.24</v>
      </c>
      <c r="D134" s="28">
        <v>9.4312455003599709</v>
      </c>
      <c r="E134" s="30">
        <v>1714</v>
      </c>
      <c r="F134" s="30">
        <v>13735</v>
      </c>
      <c r="G134" s="30">
        <v>0.12479068074262832</v>
      </c>
      <c r="H134" s="28">
        <v>72.530209676486507</v>
      </c>
      <c r="I134" s="49">
        <v>12.09</v>
      </c>
      <c r="J134" s="30">
        <v>64.79099678456592</v>
      </c>
      <c r="K134" s="27">
        <f t="shared" si="4"/>
        <v>48.917483987137466</v>
      </c>
      <c r="L134" s="71">
        <f t="shared" si="5"/>
        <v>37.441637440709897</v>
      </c>
      <c r="M134" s="1" t="str">
        <f>VLOOKUP(A134,Dados!A$2:C$400,3,FALSE)</f>
        <v>P2</v>
      </c>
    </row>
    <row r="135" spans="1:13" ht="18" x14ac:dyDescent="0.25">
      <c r="A135" s="47" t="s">
        <v>137</v>
      </c>
      <c r="B135" s="48">
        <v>4110078</v>
      </c>
      <c r="C135" s="29">
        <v>6.13</v>
      </c>
      <c r="D135" s="28">
        <v>11.033117350611949</v>
      </c>
      <c r="E135" s="30">
        <v>2127</v>
      </c>
      <c r="F135" s="30">
        <v>14249</v>
      </c>
      <c r="G135" s="30">
        <v>0.14927363323742018</v>
      </c>
      <c r="H135" s="28">
        <v>86.760067766683761</v>
      </c>
      <c r="I135" s="49">
        <v>13.4</v>
      </c>
      <c r="J135" s="30">
        <v>71.811361200428721</v>
      </c>
      <c r="K135" s="27">
        <f t="shared" si="4"/>
        <v>56.534848772574811</v>
      </c>
      <c r="L135" s="71">
        <f t="shared" si="5"/>
        <v>51.708103173250244</v>
      </c>
      <c r="M135" s="1" t="str">
        <f>VLOOKUP(A135,Dados!A$2:C$400,3,FALSE)</f>
        <v>P2</v>
      </c>
    </row>
    <row r="136" spans="1:13" ht="18" x14ac:dyDescent="0.25">
      <c r="A136" s="47" t="s">
        <v>162</v>
      </c>
      <c r="B136" s="48">
        <v>4117255</v>
      </c>
      <c r="C136" s="29">
        <v>7.46</v>
      </c>
      <c r="D136" s="28">
        <v>13.426925845932324</v>
      </c>
      <c r="E136" s="30">
        <v>1689</v>
      </c>
      <c r="F136" s="30">
        <v>12699</v>
      </c>
      <c r="G136" s="30">
        <v>0.13300259862981337</v>
      </c>
      <c r="H136" s="28">
        <v>77.303099147552274</v>
      </c>
      <c r="I136" s="49">
        <v>10.08</v>
      </c>
      <c r="J136" s="30">
        <v>54.019292604501615</v>
      </c>
      <c r="K136" s="27">
        <f t="shared" si="4"/>
        <v>48.249772532662064</v>
      </c>
      <c r="L136" s="71">
        <f t="shared" si="5"/>
        <v>36.191089140501234</v>
      </c>
      <c r="M136" s="1" t="str">
        <f>VLOOKUP(A136,Dados!A$2:C$400,3,FALSE)</f>
        <v>P2</v>
      </c>
    </row>
    <row r="137" spans="1:13" ht="18" x14ac:dyDescent="0.25">
      <c r="A137" s="47" t="s">
        <v>103</v>
      </c>
      <c r="B137" s="48">
        <v>4106209</v>
      </c>
      <c r="C137" s="29">
        <v>12.82</v>
      </c>
      <c r="D137" s="28">
        <v>23.074154067674584</v>
      </c>
      <c r="E137" s="30">
        <v>2740</v>
      </c>
      <c r="F137" s="30">
        <v>19128</v>
      </c>
      <c r="G137" s="30">
        <v>0.14324550397323296</v>
      </c>
      <c r="H137" s="28">
        <v>83.256428898087464</v>
      </c>
      <c r="I137" s="49">
        <v>11.76</v>
      </c>
      <c r="J137" s="30">
        <v>63.022508038585215</v>
      </c>
      <c r="K137" s="27">
        <f t="shared" si="4"/>
        <v>56.451030334782423</v>
      </c>
      <c r="L137" s="71">
        <f t="shared" si="5"/>
        <v>51.55112068597245</v>
      </c>
      <c r="M137" s="1" t="str">
        <f>VLOOKUP(A137,Dados!A$2:C$400,3,FALSE)</f>
        <v>P2</v>
      </c>
    </row>
    <row r="138" spans="1:13" ht="18" x14ac:dyDescent="0.25">
      <c r="A138" s="47" t="s">
        <v>143</v>
      </c>
      <c r="B138" s="48">
        <v>4122156</v>
      </c>
      <c r="C138" s="29">
        <v>21.19</v>
      </c>
      <c r="D138" s="28">
        <v>38.138948884089274</v>
      </c>
      <c r="E138" s="30">
        <v>2149</v>
      </c>
      <c r="F138" s="30">
        <v>13929</v>
      </c>
      <c r="G138" s="30">
        <v>0.15428243233541533</v>
      </c>
      <c r="H138" s="28">
        <v>89.671256700368971</v>
      </c>
      <c r="I138" s="49">
        <v>14.5</v>
      </c>
      <c r="J138" s="30">
        <v>77.706323687031087</v>
      </c>
      <c r="K138" s="27">
        <f t="shared" si="4"/>
        <v>68.505509757163111</v>
      </c>
      <c r="L138" s="71">
        <f t="shared" si="5"/>
        <v>74.127802051132136</v>
      </c>
      <c r="M138" s="1" t="str">
        <f>VLOOKUP(A138,Dados!A$2:C$400,3,FALSE)</f>
        <v>P2</v>
      </c>
    </row>
    <row r="139" spans="1:13" ht="18" x14ac:dyDescent="0.25">
      <c r="A139" s="47" t="s">
        <v>193</v>
      </c>
      <c r="B139" s="48">
        <v>4107900</v>
      </c>
      <c r="C139" s="29">
        <v>0</v>
      </c>
      <c r="D139" s="28">
        <v>0</v>
      </c>
      <c r="E139" s="30">
        <v>1472</v>
      </c>
      <c r="F139" s="30">
        <v>10458</v>
      </c>
      <c r="G139" s="30">
        <v>0.14075349015108052</v>
      </c>
      <c r="H139" s="28">
        <v>81.808033200894371</v>
      </c>
      <c r="I139" s="49">
        <v>14.15</v>
      </c>
      <c r="J139" s="30">
        <v>75.830653804930336</v>
      </c>
      <c r="K139" s="27">
        <f t="shared" si="4"/>
        <v>52.546229001941562</v>
      </c>
      <c r="L139" s="71">
        <f t="shared" si="5"/>
        <v>44.237867877881612</v>
      </c>
      <c r="M139" s="1" t="str">
        <f>VLOOKUP(A139,Dados!A$2:C$400,3,FALSE)</f>
        <v>P2</v>
      </c>
    </row>
    <row r="140" spans="1:13" ht="18" x14ac:dyDescent="0.25">
      <c r="A140" s="47" t="s">
        <v>131</v>
      </c>
      <c r="B140" s="48">
        <v>4127304</v>
      </c>
      <c r="C140" s="29">
        <v>5.56</v>
      </c>
      <c r="D140" s="28">
        <v>10.007199424046075</v>
      </c>
      <c r="E140" s="30">
        <v>2020</v>
      </c>
      <c r="F140" s="30">
        <v>14842</v>
      </c>
      <c r="G140" s="30">
        <v>0.13610025603018461</v>
      </c>
      <c r="H140" s="28">
        <v>79.1035039487587</v>
      </c>
      <c r="I140" s="49">
        <v>10.91</v>
      </c>
      <c r="J140" s="30">
        <v>58.467309753483384</v>
      </c>
      <c r="K140" s="27">
        <f t="shared" si="4"/>
        <v>49.192671042096059</v>
      </c>
      <c r="L140" s="71">
        <f t="shared" si="5"/>
        <v>37.957031779853402</v>
      </c>
      <c r="M140" s="1" t="str">
        <f>VLOOKUP(A140,Dados!A$2:C$400,3,FALSE)</f>
        <v>P2</v>
      </c>
    </row>
    <row r="141" spans="1:13" ht="18" x14ac:dyDescent="0.25">
      <c r="A141" s="47" t="s">
        <v>128</v>
      </c>
      <c r="B141" s="48">
        <v>4111902</v>
      </c>
      <c r="C141" s="29">
        <v>11.76</v>
      </c>
      <c r="D141" s="28">
        <v>21.166306695464364</v>
      </c>
      <c r="E141" s="30">
        <v>2057</v>
      </c>
      <c r="F141" s="30">
        <v>15122</v>
      </c>
      <c r="G141" s="30">
        <v>0.13602698055812723</v>
      </c>
      <c r="H141" s="28">
        <v>79.060915148690967</v>
      </c>
      <c r="I141" s="49">
        <v>13.95</v>
      </c>
      <c r="J141" s="30">
        <v>74.758842443729904</v>
      </c>
      <c r="K141" s="27">
        <f t="shared" si="4"/>
        <v>58.328688095961752</v>
      </c>
      <c r="L141" s="71">
        <f t="shared" si="5"/>
        <v>55.067762052356137</v>
      </c>
      <c r="M141" s="1" t="str">
        <f>VLOOKUP(A141,Dados!A$2:C$400,3,FALSE)</f>
        <v>P2</v>
      </c>
    </row>
    <row r="142" spans="1:13" ht="18" x14ac:dyDescent="0.25">
      <c r="A142" s="47" t="s">
        <v>163</v>
      </c>
      <c r="B142" s="48">
        <v>4107504</v>
      </c>
      <c r="C142" s="29">
        <v>7.25</v>
      </c>
      <c r="D142" s="28">
        <v>13.048956083513319</v>
      </c>
      <c r="E142" s="30">
        <v>1446</v>
      </c>
      <c r="F142" s="30">
        <v>12454</v>
      </c>
      <c r="G142" s="30">
        <v>0.11610727477115786</v>
      </c>
      <c r="H142" s="28">
        <v>67.483284280544936</v>
      </c>
      <c r="I142" s="49">
        <v>9.56</v>
      </c>
      <c r="J142" s="30">
        <v>51.232583065380496</v>
      </c>
      <c r="K142" s="27">
        <f t="shared" si="4"/>
        <v>43.921607809812919</v>
      </c>
      <c r="L142" s="71">
        <f t="shared" si="5"/>
        <v>28.084924417844842</v>
      </c>
      <c r="M142" s="1" t="str">
        <f>VLOOKUP(A142,Dados!A$2:C$400,3,FALSE)</f>
        <v>P2</v>
      </c>
    </row>
    <row r="143" spans="1:13" ht="18" x14ac:dyDescent="0.25">
      <c r="A143" s="47" t="s">
        <v>107</v>
      </c>
      <c r="B143" s="48">
        <v>4121208</v>
      </c>
      <c r="C143" s="29">
        <v>9.39</v>
      </c>
      <c r="D143" s="28">
        <v>16.900647948164146</v>
      </c>
      <c r="E143" s="30">
        <v>2387</v>
      </c>
      <c r="F143" s="30">
        <v>18398</v>
      </c>
      <c r="G143" s="30">
        <v>0.12974236330035874</v>
      </c>
      <c r="H143" s="28">
        <v>75.408201622890743</v>
      </c>
      <c r="I143" s="49">
        <v>11.52</v>
      </c>
      <c r="J143" s="30">
        <v>61.736334405144689</v>
      </c>
      <c r="K143" s="27">
        <f t="shared" si="4"/>
        <v>51.348394658733191</v>
      </c>
      <c r="L143" s="71">
        <f t="shared" si="5"/>
        <v>41.994459154262096</v>
      </c>
      <c r="M143" s="1" t="str">
        <f>VLOOKUP(A143,Dados!A$2:C$400,3,FALSE)</f>
        <v>P2</v>
      </c>
    </row>
    <row r="144" spans="1:13" ht="18" x14ac:dyDescent="0.25">
      <c r="A144" s="47" t="s">
        <v>184</v>
      </c>
      <c r="B144" s="48">
        <v>4104451</v>
      </c>
      <c r="C144" s="29">
        <v>13.25</v>
      </c>
      <c r="D144" s="28">
        <v>23.848092152627789</v>
      </c>
      <c r="E144" s="30">
        <v>1611</v>
      </c>
      <c r="F144" s="30">
        <v>10933</v>
      </c>
      <c r="G144" s="30">
        <v>0.1473520534162627</v>
      </c>
      <c r="H144" s="28">
        <v>85.643216840723156</v>
      </c>
      <c r="I144" s="49">
        <v>16.190000000000001</v>
      </c>
      <c r="J144" s="30">
        <v>86.763129689174718</v>
      </c>
      <c r="K144" s="27">
        <f t="shared" si="4"/>
        <v>65.418146227508558</v>
      </c>
      <c r="L144" s="71">
        <f t="shared" si="5"/>
        <v>68.34551811956608</v>
      </c>
      <c r="M144" s="1" t="str">
        <f>VLOOKUP(A144,Dados!A$2:C$400,3,FALSE)</f>
        <v>P2</v>
      </c>
    </row>
    <row r="145" spans="1:13" ht="18" x14ac:dyDescent="0.25">
      <c r="A145" s="47" t="s">
        <v>169</v>
      </c>
      <c r="B145" s="48">
        <v>4124806</v>
      </c>
      <c r="C145" s="29">
        <v>6.25</v>
      </c>
      <c r="D145" s="28">
        <v>11.24910007199424</v>
      </c>
      <c r="E145" s="30">
        <v>1449</v>
      </c>
      <c r="F145" s="30">
        <v>11886</v>
      </c>
      <c r="G145" s="30">
        <v>0.12190812720848057</v>
      </c>
      <c r="H145" s="28">
        <v>70.854826458835589</v>
      </c>
      <c r="I145" s="49">
        <v>12.03</v>
      </c>
      <c r="J145" s="30">
        <v>64.469453376205792</v>
      </c>
      <c r="K145" s="27">
        <f t="shared" si="4"/>
        <v>48.857793302345208</v>
      </c>
      <c r="L145" s="71">
        <f t="shared" si="5"/>
        <v>37.329843515497252</v>
      </c>
      <c r="M145" s="1" t="str">
        <f>VLOOKUP(A145,Dados!A$2:C$400,3,FALSE)</f>
        <v>P2</v>
      </c>
    </row>
    <row r="146" spans="1:13" ht="18" x14ac:dyDescent="0.25">
      <c r="A146" s="47" t="s">
        <v>142</v>
      </c>
      <c r="B146" s="48">
        <v>4122008</v>
      </c>
      <c r="C146" s="29">
        <v>30.12</v>
      </c>
      <c r="D146" s="28">
        <v>54.211663066954642</v>
      </c>
      <c r="E146" s="30">
        <v>1857</v>
      </c>
      <c r="F146" s="30">
        <v>14025</v>
      </c>
      <c r="G146" s="30">
        <v>0.13240641711229947</v>
      </c>
      <c r="H146" s="28">
        <v>76.956589534709394</v>
      </c>
      <c r="I146" s="49">
        <v>12.05</v>
      </c>
      <c r="J146" s="30">
        <v>64.576634512325839</v>
      </c>
      <c r="K146" s="27">
        <f t="shared" si="4"/>
        <v>65.248295704663292</v>
      </c>
      <c r="L146" s="71">
        <f t="shared" si="5"/>
        <v>68.027407233179403</v>
      </c>
      <c r="M146" s="1" t="str">
        <f>VLOOKUP(A146,Dados!A$2:C$400,3,FALSE)</f>
        <v>P2</v>
      </c>
    </row>
    <row r="147" spans="1:13" ht="18" x14ac:dyDescent="0.25">
      <c r="A147" s="47" t="s">
        <v>141</v>
      </c>
      <c r="B147" s="48">
        <v>4123808</v>
      </c>
      <c r="C147" s="29">
        <v>6.1</v>
      </c>
      <c r="D147" s="28">
        <v>10.979121670266377</v>
      </c>
      <c r="E147" s="30">
        <v>1797</v>
      </c>
      <c r="F147" s="30">
        <v>14070</v>
      </c>
      <c r="G147" s="30">
        <v>0.12771855010660982</v>
      </c>
      <c r="H147" s="28">
        <v>74.231931132056687</v>
      </c>
      <c r="I147" s="49">
        <v>10.09</v>
      </c>
      <c r="J147" s="30">
        <v>54.072883172561625</v>
      </c>
      <c r="K147" s="27">
        <f t="shared" si="4"/>
        <v>46.427978658294897</v>
      </c>
      <c r="L147" s="71">
        <f t="shared" si="5"/>
        <v>32.779074538010477</v>
      </c>
      <c r="M147" s="1" t="str">
        <f>VLOOKUP(A147,Dados!A$2:C$400,3,FALSE)</f>
        <v>P2</v>
      </c>
    </row>
    <row r="148" spans="1:13" ht="18" x14ac:dyDescent="0.25">
      <c r="A148" s="47" t="s">
        <v>175</v>
      </c>
      <c r="B148" s="48">
        <v>4108007</v>
      </c>
      <c r="C148" s="29">
        <v>6.76</v>
      </c>
      <c r="D148" s="28">
        <v>12.167026637868968</v>
      </c>
      <c r="E148" s="30">
        <v>1471</v>
      </c>
      <c r="F148" s="30">
        <v>11446</v>
      </c>
      <c r="G148" s="30">
        <v>0.12851651231871397</v>
      </c>
      <c r="H148" s="28">
        <v>74.695718701876842</v>
      </c>
      <c r="I148" s="49">
        <v>10.48</v>
      </c>
      <c r="J148" s="30">
        <v>56.162915326902464</v>
      </c>
      <c r="K148" s="27">
        <f t="shared" si="4"/>
        <v>47.67522022221609</v>
      </c>
      <c r="L148" s="71">
        <f t="shared" si="5"/>
        <v>35.115017417613572</v>
      </c>
      <c r="M148" s="1" t="str">
        <f>VLOOKUP(A148,Dados!A$2:C$400,3,FALSE)</f>
        <v>P2</v>
      </c>
    </row>
    <row r="149" spans="1:13" ht="18" x14ac:dyDescent="0.25">
      <c r="A149" s="47" t="s">
        <v>205</v>
      </c>
      <c r="B149" s="48">
        <v>4110201</v>
      </c>
      <c r="C149" s="29">
        <v>5.92</v>
      </c>
      <c r="D149" s="28">
        <v>10.655147588192944</v>
      </c>
      <c r="E149" s="30">
        <v>1472</v>
      </c>
      <c r="F149" s="30">
        <v>9670</v>
      </c>
      <c r="G149" s="30">
        <v>0.15222337125129265</v>
      </c>
      <c r="H149" s="28">
        <v>88.474499608578412</v>
      </c>
      <c r="I149" s="49">
        <v>15.2</v>
      </c>
      <c r="J149" s="30">
        <v>81.457663451232577</v>
      </c>
      <c r="K149" s="27">
        <f t="shared" si="4"/>
        <v>60.195770216001314</v>
      </c>
      <c r="L149" s="71">
        <f t="shared" si="5"/>
        <v>58.564596434806404</v>
      </c>
      <c r="M149" s="1" t="str">
        <f>VLOOKUP(A149,Dados!A$2:C$400,3,FALSE)</f>
        <v>P2</v>
      </c>
    </row>
    <row r="150" spans="1:13" ht="18" x14ac:dyDescent="0.25">
      <c r="A150" s="47" t="s">
        <v>119</v>
      </c>
      <c r="B150" s="48">
        <v>4106803</v>
      </c>
      <c r="C150" s="29">
        <v>25.51</v>
      </c>
      <c r="D150" s="28">
        <v>45.914326853851698</v>
      </c>
      <c r="E150" s="30">
        <v>2008</v>
      </c>
      <c r="F150" s="30">
        <v>15978</v>
      </c>
      <c r="G150" s="30">
        <v>0.12567280010013768</v>
      </c>
      <c r="H150" s="28">
        <v>73.042910637640773</v>
      </c>
      <c r="I150" s="49">
        <v>12.45</v>
      </c>
      <c r="J150" s="30">
        <v>66.720257234726688</v>
      </c>
      <c r="K150" s="27">
        <f t="shared" si="4"/>
        <v>61.892498242073053</v>
      </c>
      <c r="L150" s="71">
        <f t="shared" si="5"/>
        <v>61.742376798912126</v>
      </c>
      <c r="M150" s="1" t="str">
        <f>VLOOKUP(A150,Dados!A$2:C$400,3,FALSE)</f>
        <v>P2</v>
      </c>
    </row>
    <row r="151" spans="1:13" ht="18" x14ac:dyDescent="0.25">
      <c r="A151" s="47" t="s">
        <v>160</v>
      </c>
      <c r="B151" s="48">
        <v>4117800</v>
      </c>
      <c r="C151" s="29">
        <v>10.31</v>
      </c>
      <c r="D151" s="28">
        <v>18.5565154787617</v>
      </c>
      <c r="E151" s="30">
        <v>1841</v>
      </c>
      <c r="F151" s="30">
        <v>13033</v>
      </c>
      <c r="G151" s="30">
        <v>0.14125680963707513</v>
      </c>
      <c r="H151" s="28">
        <v>82.100570012427127</v>
      </c>
      <c r="I151" s="49">
        <v>12.2</v>
      </c>
      <c r="J151" s="30">
        <v>65.380493033226145</v>
      </c>
      <c r="K151" s="27">
        <f t="shared" si="4"/>
        <v>55.345859508138325</v>
      </c>
      <c r="L151" s="71">
        <f t="shared" si="5"/>
        <v>49.481260285291114</v>
      </c>
      <c r="M151" s="1" t="str">
        <f>VLOOKUP(A151,Dados!A$2:C$400,3,FALSE)</f>
        <v>P2</v>
      </c>
    </row>
    <row r="152" spans="1:13" ht="18" x14ac:dyDescent="0.25">
      <c r="A152" s="47" t="s">
        <v>176</v>
      </c>
      <c r="B152" s="48">
        <v>4123402</v>
      </c>
      <c r="C152" s="29">
        <v>16.13</v>
      </c>
      <c r="D152" s="28">
        <v>29.031677465802737</v>
      </c>
      <c r="E152" s="30">
        <v>1374</v>
      </c>
      <c r="F152" s="30">
        <v>11378</v>
      </c>
      <c r="G152" s="30">
        <v>0.12075936016874671</v>
      </c>
      <c r="H152" s="28">
        <v>70.187145877517366</v>
      </c>
      <c r="I152" s="49">
        <v>9.49</v>
      </c>
      <c r="J152" s="30">
        <v>50.857449088960351</v>
      </c>
      <c r="K152" s="27">
        <f t="shared" si="4"/>
        <v>50.025424144093485</v>
      </c>
      <c r="L152" s="71">
        <f t="shared" si="5"/>
        <v>39.516684484949735</v>
      </c>
      <c r="M152" s="1" t="str">
        <f>VLOOKUP(A152,Dados!A$2:C$400,3,FALSE)</f>
        <v>P2</v>
      </c>
    </row>
    <row r="153" spans="1:13" ht="18" x14ac:dyDescent="0.25">
      <c r="A153" s="47" t="s">
        <v>174</v>
      </c>
      <c r="B153" s="48">
        <v>4105607</v>
      </c>
      <c r="C153" s="29">
        <v>6.9</v>
      </c>
      <c r="D153" s="28">
        <v>12.419006479481641</v>
      </c>
      <c r="E153" s="30">
        <v>1544</v>
      </c>
      <c r="F153" s="30">
        <v>11467</v>
      </c>
      <c r="G153" s="30">
        <v>0.13464724862649341</v>
      </c>
      <c r="H153" s="28">
        <v>78.258994318519868</v>
      </c>
      <c r="I153" s="49">
        <v>15.17</v>
      </c>
      <c r="J153" s="30">
        <v>81.296891747052513</v>
      </c>
      <c r="K153" s="27">
        <f t="shared" si="4"/>
        <v>57.32496418168467</v>
      </c>
      <c r="L153" s="71">
        <f t="shared" si="5"/>
        <v>53.187900285024071</v>
      </c>
      <c r="M153" s="1" t="str">
        <f>VLOOKUP(A153,Dados!A$2:C$400,3,FALSE)</f>
        <v>P2</v>
      </c>
    </row>
    <row r="154" spans="1:13" ht="18" x14ac:dyDescent="0.25">
      <c r="A154" s="47" t="s">
        <v>157</v>
      </c>
      <c r="B154" s="48">
        <v>4111407</v>
      </c>
      <c r="C154" s="29">
        <v>10.15</v>
      </c>
      <c r="D154" s="28">
        <v>18.268538516918646</v>
      </c>
      <c r="E154" s="30">
        <v>1890</v>
      </c>
      <c r="F154" s="30">
        <v>13229</v>
      </c>
      <c r="G154" s="30">
        <v>0.14286794164335928</v>
      </c>
      <c r="H154" s="28">
        <v>83.03698402617303</v>
      </c>
      <c r="I154" s="49">
        <v>15.87</v>
      </c>
      <c r="J154" s="30">
        <v>85.048231511254016</v>
      </c>
      <c r="K154" s="27">
        <f t="shared" si="4"/>
        <v>62.117918018115233</v>
      </c>
      <c r="L154" s="71">
        <f t="shared" si="5"/>
        <v>62.164562633636876</v>
      </c>
      <c r="M154" s="1" t="str">
        <f>VLOOKUP(A154,Dados!A$2:C$400,3,FALSE)</f>
        <v>P2</v>
      </c>
    </row>
    <row r="155" spans="1:13" ht="18" x14ac:dyDescent="0.25">
      <c r="A155" s="47" t="s">
        <v>188</v>
      </c>
      <c r="B155" s="48">
        <v>4126678</v>
      </c>
      <c r="C155" s="29">
        <v>0</v>
      </c>
      <c r="D155" s="28">
        <v>0</v>
      </c>
      <c r="E155" s="30">
        <v>1628</v>
      </c>
      <c r="F155" s="30">
        <v>10707</v>
      </c>
      <c r="G155" s="30">
        <v>0.15205006070794808</v>
      </c>
      <c r="H155" s="28">
        <v>88.373768929227026</v>
      </c>
      <c r="I155" s="49">
        <v>15.5</v>
      </c>
      <c r="J155" s="30">
        <v>83.065380493033231</v>
      </c>
      <c r="K155" s="27">
        <f t="shared" si="4"/>
        <v>57.146383140753414</v>
      </c>
      <c r="L155" s="71">
        <f t="shared" si="5"/>
        <v>52.853438122230209</v>
      </c>
      <c r="M155" s="1" t="str">
        <f>VLOOKUP(A155,Dados!A$2:C$400,3,FALSE)</f>
        <v>P2</v>
      </c>
    </row>
    <row r="156" spans="1:13" ht="18" x14ac:dyDescent="0.25">
      <c r="A156" s="47" t="s">
        <v>136</v>
      </c>
      <c r="B156" s="48">
        <v>4119806</v>
      </c>
      <c r="C156" s="29">
        <v>20.98</v>
      </c>
      <c r="D156" s="28">
        <v>37.76097912167026</v>
      </c>
      <c r="E156" s="30">
        <v>1570</v>
      </c>
      <c r="F156" s="30">
        <v>14374</v>
      </c>
      <c r="G156" s="30">
        <v>0.10922498956449145</v>
      </c>
      <c r="H156" s="28">
        <v>63.483197205754429</v>
      </c>
      <c r="I156" s="49">
        <v>8.6999999999999993</v>
      </c>
      <c r="J156" s="30">
        <v>46.623794212218641</v>
      </c>
      <c r="K156" s="27">
        <f t="shared" si="4"/>
        <v>49.289323513214448</v>
      </c>
      <c r="L156" s="71">
        <f t="shared" si="5"/>
        <v>38.138050965098664</v>
      </c>
      <c r="M156" s="1" t="str">
        <f>VLOOKUP(A156,Dados!A$2:C$400,3,FALSE)</f>
        <v>P2</v>
      </c>
    </row>
    <row r="157" spans="1:13" ht="18" x14ac:dyDescent="0.25">
      <c r="A157" s="47" t="s">
        <v>165</v>
      </c>
      <c r="B157" s="48">
        <v>4111209</v>
      </c>
      <c r="C157" s="29">
        <v>18.87</v>
      </c>
      <c r="D157" s="28">
        <v>33.963282937365015</v>
      </c>
      <c r="E157" s="30">
        <v>1591</v>
      </c>
      <c r="F157" s="30">
        <v>12344</v>
      </c>
      <c r="G157" s="30">
        <v>0.12888852883992222</v>
      </c>
      <c r="H157" s="28">
        <v>74.911940266866949</v>
      </c>
      <c r="I157" s="49">
        <v>11.67</v>
      </c>
      <c r="J157" s="30">
        <v>62.540192926045016</v>
      </c>
      <c r="K157" s="27">
        <f t="shared" si="4"/>
        <v>57.138472043425658</v>
      </c>
      <c r="L157" s="71">
        <f t="shared" si="5"/>
        <v>52.838621528550867</v>
      </c>
      <c r="M157" s="1" t="str">
        <f>VLOOKUP(A157,Dados!A$2:C$400,3,FALSE)</f>
        <v>P2</v>
      </c>
    </row>
    <row r="158" spans="1:13" ht="18" x14ac:dyDescent="0.25">
      <c r="A158" s="47" t="s">
        <v>204</v>
      </c>
      <c r="B158" s="48">
        <v>4128534</v>
      </c>
      <c r="C158" s="29">
        <v>25</v>
      </c>
      <c r="D158" s="28">
        <v>44.996400287976961</v>
      </c>
      <c r="E158" s="30">
        <v>1362</v>
      </c>
      <c r="F158" s="30">
        <v>9681</v>
      </c>
      <c r="G158" s="30">
        <v>0.14068794546017974</v>
      </c>
      <c r="H158" s="28">
        <v>81.769937646435309</v>
      </c>
      <c r="I158" s="49">
        <v>13.74</v>
      </c>
      <c r="J158" s="30">
        <v>73.633440514469456</v>
      </c>
      <c r="K158" s="27">
        <f t="shared" si="4"/>
        <v>66.79992614962724</v>
      </c>
      <c r="L158" s="71">
        <f t="shared" si="5"/>
        <v>70.933436181007139</v>
      </c>
      <c r="M158" s="1" t="str">
        <f>VLOOKUP(A158,Dados!A$2:C$400,3,FALSE)</f>
        <v>P2</v>
      </c>
    </row>
    <row r="159" spans="1:13" ht="18" x14ac:dyDescent="0.25">
      <c r="A159" s="47" t="s">
        <v>126</v>
      </c>
      <c r="B159" s="48">
        <v>4104402</v>
      </c>
      <c r="C159" s="29">
        <v>10.36</v>
      </c>
      <c r="D159" s="28">
        <v>18.646508279337652</v>
      </c>
      <c r="E159" s="30">
        <v>2069</v>
      </c>
      <c r="F159" s="30">
        <v>15244</v>
      </c>
      <c r="G159" s="30">
        <v>0.13572553135659932</v>
      </c>
      <c r="H159" s="28">
        <v>78.885708365111327</v>
      </c>
      <c r="I159" s="49">
        <v>11.87</v>
      </c>
      <c r="J159" s="30">
        <v>63.612004287245441</v>
      </c>
      <c r="K159" s="27">
        <f t="shared" si="4"/>
        <v>53.7147403105648</v>
      </c>
      <c r="L159" s="71">
        <f t="shared" si="5"/>
        <v>46.426357862558397</v>
      </c>
      <c r="M159" s="1" t="str">
        <f>VLOOKUP(A159,Dados!A$2:C$400,3,FALSE)</f>
        <v>P2</v>
      </c>
    </row>
    <row r="160" spans="1:13" ht="18" x14ac:dyDescent="0.25">
      <c r="A160" s="47" t="s">
        <v>201</v>
      </c>
      <c r="B160" s="48">
        <v>4102604</v>
      </c>
      <c r="C160" s="29">
        <v>0</v>
      </c>
      <c r="D160" s="28">
        <v>0</v>
      </c>
      <c r="E160" s="30">
        <v>1356</v>
      </c>
      <c r="F160" s="30">
        <v>9759</v>
      </c>
      <c r="G160" s="30">
        <v>0.13894866277282508</v>
      </c>
      <c r="H160" s="28">
        <v>80.759040540579377</v>
      </c>
      <c r="I160" s="49">
        <v>13.42</v>
      </c>
      <c r="J160" s="30">
        <v>71.918542336548768</v>
      </c>
      <c r="K160" s="27">
        <f t="shared" si="4"/>
        <v>50.892527625709384</v>
      </c>
      <c r="L160" s="71">
        <f t="shared" si="5"/>
        <v>41.140671579632297</v>
      </c>
      <c r="M160" s="1" t="str">
        <f>VLOOKUP(A160,Dados!A$2:C$400,3,FALSE)</f>
        <v>P2</v>
      </c>
    </row>
    <row r="161" spans="1:13" ht="18" x14ac:dyDescent="0.25">
      <c r="A161" s="47" t="s">
        <v>134</v>
      </c>
      <c r="B161" s="48">
        <v>4121505</v>
      </c>
      <c r="C161" s="29">
        <v>5.38</v>
      </c>
      <c r="D161" s="28">
        <v>9.6832253419726406</v>
      </c>
      <c r="E161" s="30">
        <v>1952</v>
      </c>
      <c r="F161" s="30">
        <v>14514</v>
      </c>
      <c r="G161" s="30">
        <v>0.13449083643378806</v>
      </c>
      <c r="H161" s="28">
        <v>78.168085213245604</v>
      </c>
      <c r="I161" s="49">
        <v>11.51</v>
      </c>
      <c r="J161" s="30">
        <v>61.682743837084672</v>
      </c>
      <c r="K161" s="27">
        <f t="shared" si="4"/>
        <v>49.844684797434304</v>
      </c>
      <c r="L161" s="71">
        <f t="shared" si="5"/>
        <v>39.178180058778047</v>
      </c>
      <c r="M161" s="1" t="str">
        <f>VLOOKUP(A161,Dados!A$2:C$400,3,FALSE)</f>
        <v>P2</v>
      </c>
    </row>
    <row r="162" spans="1:13" ht="18" x14ac:dyDescent="0.25">
      <c r="A162" s="47" t="s">
        <v>180</v>
      </c>
      <c r="B162" s="48">
        <v>4105300</v>
      </c>
      <c r="C162" s="29">
        <v>9.17</v>
      </c>
      <c r="D162" s="28">
        <v>16.504679625629947</v>
      </c>
      <c r="E162" s="30">
        <v>1332</v>
      </c>
      <c r="F162" s="30">
        <v>11087</v>
      </c>
      <c r="G162" s="30">
        <v>0.12014070533056734</v>
      </c>
      <c r="H162" s="28">
        <v>69.827574434654053</v>
      </c>
      <c r="I162" s="49">
        <v>9.2899999999999991</v>
      </c>
      <c r="J162" s="30">
        <v>49.785637727759905</v>
      </c>
      <c r="K162" s="27">
        <f t="shared" si="4"/>
        <v>45.372630596014631</v>
      </c>
      <c r="L162" s="71">
        <f t="shared" si="5"/>
        <v>30.802526559737458</v>
      </c>
      <c r="M162" s="1" t="str">
        <f>VLOOKUP(A162,Dados!A$2:C$400,3,FALSE)</f>
        <v>P2</v>
      </c>
    </row>
    <row r="163" spans="1:13" ht="18" x14ac:dyDescent="0.25">
      <c r="A163" s="47" t="s">
        <v>140</v>
      </c>
      <c r="B163" s="48">
        <v>4110508</v>
      </c>
      <c r="C163" s="29">
        <v>14.35</v>
      </c>
      <c r="D163" s="28">
        <v>25.827933765298773</v>
      </c>
      <c r="E163" s="30">
        <v>1999</v>
      </c>
      <c r="F163" s="30">
        <v>14142</v>
      </c>
      <c r="G163" s="30">
        <v>0.14135200113138169</v>
      </c>
      <c r="H163" s="28">
        <v>82.155896732342313</v>
      </c>
      <c r="I163" s="49">
        <v>12.8</v>
      </c>
      <c r="J163" s="30">
        <v>68.59592711682744</v>
      </c>
      <c r="K163" s="27">
        <f t="shared" si="4"/>
        <v>58.859919204822837</v>
      </c>
      <c r="L163" s="71">
        <f t="shared" si="5"/>
        <v>56.062698047165647</v>
      </c>
      <c r="M163" s="1" t="str">
        <f>VLOOKUP(A163,Dados!A$2:C$400,3,FALSE)</f>
        <v>P2</v>
      </c>
    </row>
    <row r="164" spans="1:13" ht="18" x14ac:dyDescent="0.25">
      <c r="A164" s="47" t="s">
        <v>179</v>
      </c>
      <c r="B164" s="48">
        <v>4127858</v>
      </c>
      <c r="C164" s="29">
        <v>14.08</v>
      </c>
      <c r="D164" s="28">
        <v>25.341972642188626</v>
      </c>
      <c r="E164" s="30">
        <v>1523</v>
      </c>
      <c r="F164" s="30">
        <v>11135</v>
      </c>
      <c r="G164" s="30">
        <v>0.13677593174674449</v>
      </c>
      <c r="H164" s="28">
        <v>79.496216778785424</v>
      </c>
      <c r="I164" s="49">
        <v>13.56</v>
      </c>
      <c r="J164" s="30">
        <v>72.668810289389071</v>
      </c>
      <c r="K164" s="27">
        <f t="shared" si="4"/>
        <v>59.16899990345437</v>
      </c>
      <c r="L164" s="71">
        <f t="shared" si="5"/>
        <v>56.641571360945541</v>
      </c>
      <c r="M164" s="1" t="str">
        <f>VLOOKUP(A164,Dados!A$2:C$400,3,FALSE)</f>
        <v>P2</v>
      </c>
    </row>
    <row r="165" spans="1:13" ht="18" x14ac:dyDescent="0.25">
      <c r="A165" s="47" t="s">
        <v>217</v>
      </c>
      <c r="B165" s="48">
        <v>4103503</v>
      </c>
      <c r="C165" s="29">
        <v>25.42</v>
      </c>
      <c r="D165" s="28">
        <v>45.752339812814974</v>
      </c>
      <c r="E165" s="30">
        <v>1168</v>
      </c>
      <c r="F165" s="30">
        <v>8710</v>
      </c>
      <c r="G165" s="30">
        <v>0.1340987370838117</v>
      </c>
      <c r="H165" s="28">
        <v>77.940191207871507</v>
      </c>
      <c r="I165" s="49">
        <v>11.25</v>
      </c>
      <c r="J165" s="30">
        <v>60.289389067524112</v>
      </c>
      <c r="K165" s="27">
        <f t="shared" si="4"/>
        <v>61.327306696070195</v>
      </c>
      <c r="L165" s="71">
        <f t="shared" si="5"/>
        <v>60.683836732827025</v>
      </c>
      <c r="M165" s="1" t="str">
        <f>VLOOKUP(A165,Dados!A$2:C$400,3,FALSE)</f>
        <v>P2</v>
      </c>
    </row>
    <row r="166" spans="1:13" ht="18" x14ac:dyDescent="0.25">
      <c r="A166" s="47" t="s">
        <v>145</v>
      </c>
      <c r="B166" s="48">
        <v>4101903</v>
      </c>
      <c r="C166" s="29">
        <v>6.49</v>
      </c>
      <c r="D166" s="28">
        <v>11.681065514758819</v>
      </c>
      <c r="E166" s="30">
        <v>1755</v>
      </c>
      <c r="F166" s="30">
        <v>13797</v>
      </c>
      <c r="G166" s="30">
        <v>0.12720156555772993</v>
      </c>
      <c r="H166" s="28">
        <v>73.931451981637622</v>
      </c>
      <c r="I166" s="49">
        <v>10.94</v>
      </c>
      <c r="J166" s="30">
        <v>58.628081457663448</v>
      </c>
      <c r="K166" s="27">
        <f t="shared" si="4"/>
        <v>48.080199651353297</v>
      </c>
      <c r="L166" s="71">
        <f t="shared" si="5"/>
        <v>35.873498245421011</v>
      </c>
      <c r="M166" s="1" t="str">
        <f>VLOOKUP(A166,Dados!A$2:C$400,3,FALSE)</f>
        <v>P2</v>
      </c>
    </row>
    <row r="167" spans="1:13" ht="18" x14ac:dyDescent="0.25">
      <c r="A167" s="47" t="s">
        <v>199</v>
      </c>
      <c r="B167" s="48">
        <v>4123857</v>
      </c>
      <c r="C167" s="29">
        <v>9.43</v>
      </c>
      <c r="D167" s="28">
        <v>16.97264218862491</v>
      </c>
      <c r="E167" s="30">
        <v>1409</v>
      </c>
      <c r="F167" s="30">
        <v>9934</v>
      </c>
      <c r="G167" s="30">
        <v>0.14183611838131668</v>
      </c>
      <c r="H167" s="28">
        <v>82.437272917140973</v>
      </c>
      <c r="I167" s="49">
        <v>13.89</v>
      </c>
      <c r="J167" s="30">
        <v>74.437299035369776</v>
      </c>
      <c r="K167" s="27">
        <f t="shared" si="4"/>
        <v>57.949071380378562</v>
      </c>
      <c r="L167" s="71">
        <f t="shared" si="5"/>
        <v>54.356782728545774</v>
      </c>
      <c r="M167" s="1" t="str">
        <f>VLOOKUP(A167,Dados!A$2:C$400,3,FALSE)</f>
        <v>P2</v>
      </c>
    </row>
    <row r="168" spans="1:13" ht="18" x14ac:dyDescent="0.25">
      <c r="A168" s="47" t="s">
        <v>189</v>
      </c>
      <c r="B168" s="48">
        <v>4121000</v>
      </c>
      <c r="C168" s="29">
        <v>6.71</v>
      </c>
      <c r="D168" s="28">
        <v>12.077033837293015</v>
      </c>
      <c r="E168" s="30">
        <v>1542</v>
      </c>
      <c r="F168" s="30">
        <v>10685</v>
      </c>
      <c r="G168" s="30">
        <v>0.14431445952269537</v>
      </c>
      <c r="H168" s="28">
        <v>83.877721847817071</v>
      </c>
      <c r="I168" s="49">
        <v>11.79</v>
      </c>
      <c r="J168" s="30">
        <v>63.183279742765265</v>
      </c>
      <c r="K168" s="27">
        <f t="shared" si="4"/>
        <v>53.046011809291791</v>
      </c>
      <c r="L168" s="71">
        <f t="shared" si="5"/>
        <v>45.173904748323473</v>
      </c>
      <c r="M168" s="1" t="str">
        <f>VLOOKUP(A168,Dados!A$2:C$400,3,FALSE)</f>
        <v>P2</v>
      </c>
    </row>
    <row r="169" spans="1:13" ht="18" x14ac:dyDescent="0.25">
      <c r="A169" s="47" t="s">
        <v>171</v>
      </c>
      <c r="B169" s="48">
        <v>4112702</v>
      </c>
      <c r="C169" s="29">
        <v>18.87</v>
      </c>
      <c r="D169" s="28">
        <v>33.963282937365015</v>
      </c>
      <c r="E169" s="30">
        <v>1566</v>
      </c>
      <c r="F169" s="30">
        <v>11813</v>
      </c>
      <c r="G169" s="30">
        <v>0.1325658173199018</v>
      </c>
      <c r="H169" s="28">
        <v>77.049235318922371</v>
      </c>
      <c r="I169" s="49">
        <v>12.95</v>
      </c>
      <c r="J169" s="30">
        <v>69.399785637727746</v>
      </c>
      <c r="K169" s="27">
        <f t="shared" si="4"/>
        <v>60.13743463133838</v>
      </c>
      <c r="L169" s="71">
        <f t="shared" si="5"/>
        <v>58.455340459410223</v>
      </c>
      <c r="M169" s="1" t="str">
        <f>VLOOKUP(A169,Dados!A$2:C$400,3,FALSE)</f>
        <v>P2</v>
      </c>
    </row>
    <row r="170" spans="1:13" ht="18" x14ac:dyDescent="0.25">
      <c r="A170" s="47" t="s">
        <v>183</v>
      </c>
      <c r="B170" s="48">
        <v>4108502</v>
      </c>
      <c r="C170" s="29">
        <v>5.05</v>
      </c>
      <c r="D170" s="28">
        <v>9.0892728581713467</v>
      </c>
      <c r="E170" s="30">
        <v>1630</v>
      </c>
      <c r="F170" s="30">
        <v>11062</v>
      </c>
      <c r="G170" s="30">
        <v>0.14735129271379496</v>
      </c>
      <c r="H170" s="28">
        <v>85.642774709073919</v>
      </c>
      <c r="I170" s="49">
        <v>15.28</v>
      </c>
      <c r="J170" s="30">
        <v>81.886387995712752</v>
      </c>
      <c r="K170" s="27">
        <f t="shared" si="4"/>
        <v>58.872811854319337</v>
      </c>
      <c r="L170" s="71">
        <f t="shared" si="5"/>
        <v>56.086844526614179</v>
      </c>
      <c r="M170" s="1" t="str">
        <f>VLOOKUP(A170,Dados!A$2:C$400,3,FALSE)</f>
        <v>P2</v>
      </c>
    </row>
    <row r="171" spans="1:13" ht="18" x14ac:dyDescent="0.25">
      <c r="A171" s="47" t="s">
        <v>191</v>
      </c>
      <c r="B171" s="48">
        <v>4125001</v>
      </c>
      <c r="C171" s="29">
        <v>17.54</v>
      </c>
      <c r="D171" s="28">
        <v>31.56947444204463</v>
      </c>
      <c r="E171" s="30">
        <v>1213</v>
      </c>
      <c r="F171" s="30">
        <v>10667</v>
      </c>
      <c r="G171" s="30">
        <v>0.1137151964001125</v>
      </c>
      <c r="H171" s="28">
        <v>66.09297256189717</v>
      </c>
      <c r="I171" s="49">
        <v>11.25</v>
      </c>
      <c r="J171" s="30">
        <v>60.289389067524112</v>
      </c>
      <c r="K171" s="27">
        <f t="shared" si="4"/>
        <v>52.650612023821964</v>
      </c>
      <c r="L171" s="71">
        <f t="shared" si="5"/>
        <v>44.433365513436982</v>
      </c>
      <c r="M171" s="1" t="str">
        <f>VLOOKUP(A171,Dados!A$2:C$400,3,FALSE)</f>
        <v>P2</v>
      </c>
    </row>
    <row r="172" spans="1:13" ht="18" x14ac:dyDescent="0.25">
      <c r="A172" s="47" t="s">
        <v>202</v>
      </c>
      <c r="B172" s="48">
        <v>4100707</v>
      </c>
      <c r="C172" s="29">
        <v>7.58</v>
      </c>
      <c r="D172" s="28">
        <v>13.642908567314615</v>
      </c>
      <c r="E172" s="30">
        <v>1273</v>
      </c>
      <c r="F172" s="30">
        <v>9727</v>
      </c>
      <c r="G172" s="30">
        <v>0.13087282821013674</v>
      </c>
      <c r="H172" s="28">
        <v>76.065244732601911</v>
      </c>
      <c r="I172" s="49">
        <v>12.34</v>
      </c>
      <c r="J172" s="30">
        <v>66.130760986066448</v>
      </c>
      <c r="K172" s="27">
        <f t="shared" si="4"/>
        <v>51.946304761994327</v>
      </c>
      <c r="L172" s="71">
        <f t="shared" si="5"/>
        <v>43.114277390566365</v>
      </c>
      <c r="M172" s="1" t="str">
        <f>VLOOKUP(A172,Dados!A$2:C$400,3,FALSE)</f>
        <v>P2</v>
      </c>
    </row>
    <row r="173" spans="1:13" ht="18" x14ac:dyDescent="0.25">
      <c r="A173" s="47" t="s">
        <v>135</v>
      </c>
      <c r="B173" s="48">
        <v>4101705</v>
      </c>
      <c r="C173" s="29">
        <v>0</v>
      </c>
      <c r="D173" s="28">
        <v>0</v>
      </c>
      <c r="E173" s="30">
        <v>1845</v>
      </c>
      <c r="F173" s="30">
        <v>14485</v>
      </c>
      <c r="G173" s="30">
        <v>0.12737314463237831</v>
      </c>
      <c r="H173" s="28">
        <v>74.03117630549167</v>
      </c>
      <c r="I173" s="49">
        <v>13.05</v>
      </c>
      <c r="J173" s="30">
        <v>69.935691318327969</v>
      </c>
      <c r="K173" s="27">
        <f t="shared" si="4"/>
        <v>47.988955874606546</v>
      </c>
      <c r="L173" s="71">
        <f t="shared" si="5"/>
        <v>35.702608935150124</v>
      </c>
      <c r="M173" s="1" t="str">
        <f>VLOOKUP(A173,Dados!A$2:C$400,3,FALSE)</f>
        <v>P2</v>
      </c>
    </row>
    <row r="174" spans="1:13" ht="18" x14ac:dyDescent="0.25">
      <c r="A174" s="47" t="s">
        <v>190</v>
      </c>
      <c r="B174" s="48">
        <v>4110805</v>
      </c>
      <c r="C174" s="29">
        <v>23.26</v>
      </c>
      <c r="D174" s="28">
        <v>41.864650827933765</v>
      </c>
      <c r="E174" s="30">
        <v>1387</v>
      </c>
      <c r="F174" s="30">
        <v>10684</v>
      </c>
      <c r="G174" s="30">
        <v>0.12982029202545864</v>
      </c>
      <c r="H174" s="28">
        <v>75.453494963208172</v>
      </c>
      <c r="I174" s="49">
        <v>11.51</v>
      </c>
      <c r="J174" s="30">
        <v>61.682743837084672</v>
      </c>
      <c r="K174" s="27">
        <f t="shared" si="4"/>
        <v>59.66696320940887</v>
      </c>
      <c r="L174" s="71">
        <f t="shared" si="5"/>
        <v>57.574200510339033</v>
      </c>
      <c r="M174" s="1" t="str">
        <f>VLOOKUP(A174,Dados!A$2:C$400,3,FALSE)</f>
        <v>P2</v>
      </c>
    </row>
    <row r="175" spans="1:13" ht="18" x14ac:dyDescent="0.25">
      <c r="A175" s="47" t="s">
        <v>148</v>
      </c>
      <c r="B175" s="48">
        <v>4125100</v>
      </c>
      <c r="C175" s="29">
        <v>4.93</v>
      </c>
      <c r="D175" s="28">
        <v>8.8732901367890555</v>
      </c>
      <c r="E175" s="30">
        <v>1885</v>
      </c>
      <c r="F175" s="30">
        <v>13726</v>
      </c>
      <c r="G175" s="30">
        <v>0.13733061343435815</v>
      </c>
      <c r="H175" s="28">
        <v>79.818606069932102</v>
      </c>
      <c r="I175" s="49">
        <v>11.29</v>
      </c>
      <c r="J175" s="30">
        <v>60.5037513397642</v>
      </c>
      <c r="K175" s="27">
        <f t="shared" si="4"/>
        <v>49.731882515495123</v>
      </c>
      <c r="L175" s="71">
        <f t="shared" si="5"/>
        <v>38.966914098020297</v>
      </c>
      <c r="M175" s="1" t="str">
        <f>VLOOKUP(A175,Dados!A$2:C$400,3,FALSE)</f>
        <v>P2</v>
      </c>
    </row>
    <row r="176" spans="1:13" ht="18" x14ac:dyDescent="0.25">
      <c r="A176" s="47" t="s">
        <v>178</v>
      </c>
      <c r="B176" s="48">
        <v>4116109</v>
      </c>
      <c r="C176" s="29">
        <v>16.13</v>
      </c>
      <c r="D176" s="28">
        <v>29.031677465802737</v>
      </c>
      <c r="E176" s="30">
        <v>1324</v>
      </c>
      <c r="F176" s="30">
        <v>11175</v>
      </c>
      <c r="G176" s="30">
        <v>0.11847874720357941</v>
      </c>
      <c r="H176" s="28">
        <v>68.861619519538351</v>
      </c>
      <c r="I176" s="49">
        <v>10.65</v>
      </c>
      <c r="J176" s="30">
        <v>57.073954983922825</v>
      </c>
      <c r="K176" s="27">
        <f t="shared" si="4"/>
        <v>51.655750656421304</v>
      </c>
      <c r="L176" s="71">
        <f t="shared" si="5"/>
        <v>42.570102297556367</v>
      </c>
      <c r="M176" s="1" t="str">
        <f>VLOOKUP(A176,Dados!A$2:C$400,3,FALSE)</f>
        <v>P2</v>
      </c>
    </row>
    <row r="177" spans="1:13" ht="18" x14ac:dyDescent="0.25">
      <c r="A177" s="47" t="s">
        <v>182</v>
      </c>
      <c r="B177" s="48">
        <v>4116059</v>
      </c>
      <c r="C177" s="29">
        <v>7.52</v>
      </c>
      <c r="D177" s="28">
        <v>13.534917206623467</v>
      </c>
      <c r="E177" s="30">
        <v>1355</v>
      </c>
      <c r="F177" s="30">
        <v>11064</v>
      </c>
      <c r="G177" s="30">
        <v>0.12246926970354302</v>
      </c>
      <c r="H177" s="28">
        <v>71.180970867881683</v>
      </c>
      <c r="I177" s="49">
        <v>11.12</v>
      </c>
      <c r="J177" s="30">
        <v>59.59271168274384</v>
      </c>
      <c r="K177" s="27">
        <f t="shared" si="4"/>
        <v>48.102866585749666</v>
      </c>
      <c r="L177" s="71">
        <f t="shared" si="5"/>
        <v>35.915950858881999</v>
      </c>
      <c r="M177" s="1" t="str">
        <f>VLOOKUP(A177,Dados!A$2:C$400,3,FALSE)</f>
        <v>P2</v>
      </c>
    </row>
    <row r="178" spans="1:13" ht="18" x14ac:dyDescent="0.25">
      <c r="A178" s="47" t="s">
        <v>203</v>
      </c>
      <c r="B178" s="48">
        <v>4128708</v>
      </c>
      <c r="C178" s="29">
        <v>0</v>
      </c>
      <c r="D178" s="28">
        <v>0</v>
      </c>
      <c r="E178" s="30">
        <v>1538</v>
      </c>
      <c r="F178" s="30">
        <v>9706</v>
      </c>
      <c r="G178" s="30">
        <v>0.15845868534926849</v>
      </c>
      <c r="H178" s="28">
        <v>92.098557400663623</v>
      </c>
      <c r="I178" s="49">
        <v>12.98</v>
      </c>
      <c r="J178" s="30">
        <v>69.560557341907824</v>
      </c>
      <c r="K178" s="27">
        <f t="shared" si="4"/>
        <v>53.886371580857144</v>
      </c>
      <c r="L178" s="71">
        <f t="shared" si="5"/>
        <v>46.747803888215358</v>
      </c>
      <c r="M178" s="1" t="str">
        <f>VLOOKUP(A178,Dados!A$2:C$400,3,FALSE)</f>
        <v>P2</v>
      </c>
    </row>
    <row r="179" spans="1:13" ht="18" x14ac:dyDescent="0.25">
      <c r="A179" s="47" t="s">
        <v>218</v>
      </c>
      <c r="B179" s="48">
        <v>4125803</v>
      </c>
      <c r="C179" s="29">
        <v>49.02</v>
      </c>
      <c r="D179" s="28">
        <v>88.22894168466523</v>
      </c>
      <c r="E179" s="30">
        <v>1084</v>
      </c>
      <c r="F179" s="30">
        <v>8690</v>
      </c>
      <c r="G179" s="30">
        <v>0.12474108170310702</v>
      </c>
      <c r="H179" s="28">
        <v>72.501381973048836</v>
      </c>
      <c r="I179" s="49">
        <v>10.36</v>
      </c>
      <c r="J179" s="30">
        <v>55.519828510182201</v>
      </c>
      <c r="K179" s="27">
        <f t="shared" si="4"/>
        <v>72.083384055965425</v>
      </c>
      <c r="L179" s="71">
        <f t="shared" si="5"/>
        <v>80.828757370586402</v>
      </c>
      <c r="M179" s="1" t="str">
        <f>VLOOKUP(A179,Dados!A$2:C$400,3,FALSE)</f>
        <v>P2</v>
      </c>
    </row>
    <row r="180" spans="1:13" ht="18" x14ac:dyDescent="0.25">
      <c r="A180" s="47" t="s">
        <v>208</v>
      </c>
      <c r="B180" s="48">
        <v>4103800</v>
      </c>
      <c r="C180" s="29">
        <v>0</v>
      </c>
      <c r="D180" s="28">
        <v>0</v>
      </c>
      <c r="E180" s="30">
        <v>1227</v>
      </c>
      <c r="F180" s="30">
        <v>9460</v>
      </c>
      <c r="G180" s="30">
        <v>0.12970401691331923</v>
      </c>
      <c r="H180" s="28">
        <v>75.385914129339469</v>
      </c>
      <c r="I180" s="49">
        <v>11.63</v>
      </c>
      <c r="J180" s="30">
        <v>62.325830653804935</v>
      </c>
      <c r="K180" s="27">
        <f t="shared" si="4"/>
        <v>45.903914927714801</v>
      </c>
      <c r="L180" s="71">
        <f t="shared" si="5"/>
        <v>31.797562234926136</v>
      </c>
      <c r="M180" s="1" t="str">
        <f>VLOOKUP(A180,Dados!A$2:C$400,3,FALSE)</f>
        <v>P2</v>
      </c>
    </row>
    <row r="181" spans="1:13" ht="18" x14ac:dyDescent="0.25">
      <c r="A181" s="47" t="s">
        <v>209</v>
      </c>
      <c r="B181" s="48">
        <v>4115754</v>
      </c>
      <c r="C181" s="29">
        <v>0</v>
      </c>
      <c r="D181" s="28">
        <v>0</v>
      </c>
      <c r="E181" s="30">
        <v>1494</v>
      </c>
      <c r="F181" s="30">
        <v>9383</v>
      </c>
      <c r="G181" s="30">
        <v>0.15922412874347225</v>
      </c>
      <c r="H181" s="28">
        <v>92.54344454725738</v>
      </c>
      <c r="I181" s="49">
        <v>13.43</v>
      </c>
      <c r="J181" s="30">
        <v>71.972132904608785</v>
      </c>
      <c r="K181" s="27">
        <f t="shared" si="4"/>
        <v>54.838525817288719</v>
      </c>
      <c r="L181" s="71">
        <f t="shared" si="5"/>
        <v>48.531081461072759</v>
      </c>
      <c r="M181" s="1" t="str">
        <f>VLOOKUP(A181,Dados!A$2:C$400,3,FALSE)</f>
        <v>P2</v>
      </c>
    </row>
    <row r="182" spans="1:13" ht="18" x14ac:dyDescent="0.25">
      <c r="A182" s="47" t="s">
        <v>159</v>
      </c>
      <c r="B182" s="48">
        <v>4121901</v>
      </c>
      <c r="C182" s="29">
        <v>24.24</v>
      </c>
      <c r="D182" s="28">
        <v>43.628509719222457</v>
      </c>
      <c r="E182" s="30">
        <v>1734</v>
      </c>
      <c r="F182" s="30">
        <v>13060</v>
      </c>
      <c r="G182" s="30">
        <v>0.13277182235834609</v>
      </c>
      <c r="H182" s="28">
        <v>77.168968527715364</v>
      </c>
      <c r="I182" s="49">
        <v>12.94</v>
      </c>
      <c r="J182" s="30">
        <v>69.346195069667743</v>
      </c>
      <c r="K182" s="27">
        <f t="shared" si="4"/>
        <v>63.381224438868522</v>
      </c>
      <c r="L182" s="71">
        <f t="shared" si="5"/>
        <v>64.530593179506297</v>
      </c>
      <c r="M182" s="1" t="str">
        <f>VLOOKUP(A182,Dados!A$2:C$400,3,FALSE)</f>
        <v>P2</v>
      </c>
    </row>
    <row r="183" spans="1:13" ht="18" x14ac:dyDescent="0.25">
      <c r="A183" s="47" t="s">
        <v>167</v>
      </c>
      <c r="B183" s="48">
        <v>4112504</v>
      </c>
      <c r="C183" s="29">
        <v>7.41</v>
      </c>
      <c r="D183" s="28">
        <v>13.336933045356373</v>
      </c>
      <c r="E183" s="30">
        <v>1473</v>
      </c>
      <c r="F183" s="30">
        <v>12004</v>
      </c>
      <c r="G183" s="30">
        <v>0.12270909696767744</v>
      </c>
      <c r="H183" s="28">
        <v>71.3203620599987</v>
      </c>
      <c r="I183" s="49">
        <v>11.75</v>
      </c>
      <c r="J183" s="30">
        <v>62.968917470525184</v>
      </c>
      <c r="K183" s="27">
        <f t="shared" si="4"/>
        <v>49.208737525293422</v>
      </c>
      <c r="L183" s="71">
        <f t="shared" si="5"/>
        <v>37.987122492118594</v>
      </c>
      <c r="M183" s="1" t="str">
        <f>VLOOKUP(A183,Dados!A$2:C$400,3,FALSE)</f>
        <v>P2</v>
      </c>
    </row>
    <row r="184" spans="1:13" ht="18" x14ac:dyDescent="0.25">
      <c r="A184" s="47" t="s">
        <v>211</v>
      </c>
      <c r="B184" s="48">
        <v>4107256</v>
      </c>
      <c r="C184" s="29">
        <v>0</v>
      </c>
      <c r="D184" s="28">
        <v>0</v>
      </c>
      <c r="E184" s="30">
        <v>1208</v>
      </c>
      <c r="F184" s="30">
        <v>9161</v>
      </c>
      <c r="G184" s="30">
        <v>0.13186333369719463</v>
      </c>
      <c r="H184" s="28">
        <v>76.640941332976965</v>
      </c>
      <c r="I184" s="49">
        <v>10.92</v>
      </c>
      <c r="J184" s="30">
        <v>58.520900321543415</v>
      </c>
      <c r="K184" s="27">
        <f t="shared" si="4"/>
        <v>45.053947218173455</v>
      </c>
      <c r="L184" s="71">
        <f t="shared" si="5"/>
        <v>30.205668510062171</v>
      </c>
      <c r="M184" s="1" t="str">
        <f>VLOOKUP(A184,Dados!A$2:C$400,3,FALSE)</f>
        <v>P2</v>
      </c>
    </row>
    <row r="185" spans="1:13" ht="18" x14ac:dyDescent="0.25">
      <c r="A185" s="47" t="s">
        <v>181</v>
      </c>
      <c r="B185" s="48">
        <v>4123907</v>
      </c>
      <c r="C185" s="29">
        <v>22.9</v>
      </c>
      <c r="D185" s="28">
        <v>41.21670266378689</v>
      </c>
      <c r="E185" s="30">
        <v>1283</v>
      </c>
      <c r="F185" s="30">
        <v>11066</v>
      </c>
      <c r="G185" s="30">
        <v>0.11594071932044099</v>
      </c>
      <c r="H185" s="28">
        <v>67.3864797620395</v>
      </c>
      <c r="I185" s="49">
        <v>12.56</v>
      </c>
      <c r="J185" s="30">
        <v>67.309753483386928</v>
      </c>
      <c r="K185" s="27">
        <f t="shared" si="4"/>
        <v>58.63764530307111</v>
      </c>
      <c r="L185" s="71">
        <f t="shared" si="5"/>
        <v>55.64640408043303</v>
      </c>
      <c r="M185" s="1" t="str">
        <f>VLOOKUP(A185,Dados!A$2:C$400,3,FALSE)</f>
        <v>P2</v>
      </c>
    </row>
    <row r="186" spans="1:13" ht="18" x14ac:dyDescent="0.25">
      <c r="A186" s="47" t="s">
        <v>151</v>
      </c>
      <c r="B186" s="48">
        <v>4114005</v>
      </c>
      <c r="C186" s="29">
        <v>0</v>
      </c>
      <c r="D186" s="28">
        <v>0</v>
      </c>
      <c r="E186" s="30">
        <v>1688</v>
      </c>
      <c r="F186" s="30">
        <v>13452</v>
      </c>
      <c r="G186" s="30">
        <v>0.12548319952423431</v>
      </c>
      <c r="H186" s="28">
        <v>72.932711947776937</v>
      </c>
      <c r="I186" s="49">
        <v>10.33</v>
      </c>
      <c r="J186" s="30">
        <v>55.359056806002137</v>
      </c>
      <c r="K186" s="27">
        <f t="shared" si="4"/>
        <v>42.763922917926358</v>
      </c>
      <c r="L186" s="71">
        <f t="shared" si="5"/>
        <v>25.916711091530964</v>
      </c>
      <c r="M186" s="1" t="str">
        <f>VLOOKUP(A186,Dados!A$2:C$400,3,FALSE)</f>
        <v>P2</v>
      </c>
    </row>
    <row r="187" spans="1:13" ht="18" x14ac:dyDescent="0.25">
      <c r="A187" s="47" t="s">
        <v>110</v>
      </c>
      <c r="B187" s="48">
        <v>4101200</v>
      </c>
      <c r="C187" s="29">
        <v>0</v>
      </c>
      <c r="D187" s="28">
        <v>0</v>
      </c>
      <c r="E187" s="30">
        <v>2524</v>
      </c>
      <c r="F187" s="30">
        <v>18091</v>
      </c>
      <c r="G187" s="30">
        <v>0.13951688684981484</v>
      </c>
      <c r="H187" s="28">
        <v>81.089300870934437</v>
      </c>
      <c r="I187" s="49">
        <v>10.119999999999999</v>
      </c>
      <c r="J187" s="30">
        <v>54.233654876741689</v>
      </c>
      <c r="K187" s="27">
        <f t="shared" si="4"/>
        <v>45.107651915892042</v>
      </c>
      <c r="L187" s="71">
        <f t="shared" si="5"/>
        <v>30.306251356132957</v>
      </c>
      <c r="M187" s="1" t="str">
        <f>VLOOKUP(A187,Dados!A$2:C$400,3,FALSE)</f>
        <v>P2</v>
      </c>
    </row>
    <row r="188" spans="1:13" ht="18" x14ac:dyDescent="0.25">
      <c r="A188" s="47" t="s">
        <v>170</v>
      </c>
      <c r="B188" s="48">
        <v>4118907</v>
      </c>
      <c r="C188" s="29">
        <v>6.54</v>
      </c>
      <c r="D188" s="28">
        <v>11.771058315334773</v>
      </c>
      <c r="E188" s="30">
        <v>1463</v>
      </c>
      <c r="F188" s="30">
        <v>11878</v>
      </c>
      <c r="G188" s="30">
        <v>0.1231688836504462</v>
      </c>
      <c r="H188" s="28">
        <v>71.587596955338782</v>
      </c>
      <c r="I188" s="49">
        <v>10.94</v>
      </c>
      <c r="J188" s="30">
        <v>58.628081457663448</v>
      </c>
      <c r="K188" s="27">
        <f t="shared" si="4"/>
        <v>47.328912242779005</v>
      </c>
      <c r="L188" s="71">
        <f t="shared" si="5"/>
        <v>34.4664216025635</v>
      </c>
      <c r="M188" s="1" t="str">
        <f>VLOOKUP(A188,Dados!A$2:C$400,3,FALSE)</f>
        <v>P2</v>
      </c>
    </row>
    <row r="189" spans="1:13" ht="18" x14ac:dyDescent="0.25">
      <c r="A189" s="47" t="s">
        <v>220</v>
      </c>
      <c r="B189" s="48">
        <v>4123303</v>
      </c>
      <c r="C189" s="29">
        <v>10.42</v>
      </c>
      <c r="D189" s="28">
        <v>18.754499640028797</v>
      </c>
      <c r="E189" s="30">
        <v>1110</v>
      </c>
      <c r="F189" s="30">
        <v>8613</v>
      </c>
      <c r="G189" s="30">
        <v>0.12887495646116337</v>
      </c>
      <c r="H189" s="28">
        <v>74.904051797380845</v>
      </c>
      <c r="I189" s="49">
        <v>11.49</v>
      </c>
      <c r="J189" s="30">
        <v>61.575562700964625</v>
      </c>
      <c r="K189" s="27">
        <f t="shared" si="4"/>
        <v>51.744704712791417</v>
      </c>
      <c r="L189" s="71">
        <f t="shared" si="5"/>
        <v>42.736703219623379</v>
      </c>
      <c r="M189" s="1" t="str">
        <f>VLOOKUP(A189,Dados!A$2:C$400,3,FALSE)</f>
        <v>P2</v>
      </c>
    </row>
    <row r="190" spans="1:13" ht="18" x14ac:dyDescent="0.25">
      <c r="A190" s="47" t="s">
        <v>177</v>
      </c>
      <c r="B190" s="48">
        <v>4122503</v>
      </c>
      <c r="C190" s="29">
        <v>6.06</v>
      </c>
      <c r="D190" s="28">
        <v>10.907127429805614</v>
      </c>
      <c r="E190" s="30">
        <v>1425</v>
      </c>
      <c r="F190" s="30">
        <v>11251</v>
      </c>
      <c r="G190" s="30">
        <v>0.12665540840814149</v>
      </c>
      <c r="H190" s="28">
        <v>73.614017279460924</v>
      </c>
      <c r="I190" s="49">
        <v>14.13</v>
      </c>
      <c r="J190" s="30">
        <v>75.723472668810288</v>
      </c>
      <c r="K190" s="27">
        <f t="shared" si="4"/>
        <v>53.414872459358946</v>
      </c>
      <c r="L190" s="71">
        <f t="shared" si="5"/>
        <v>45.864739173678295</v>
      </c>
      <c r="M190" s="1" t="str">
        <f>VLOOKUP(A190,Dados!A$2:C$400,3,FALSE)</f>
        <v>P2</v>
      </c>
    </row>
    <row r="191" spans="1:13" ht="18" x14ac:dyDescent="0.25">
      <c r="A191" s="47" t="s">
        <v>196</v>
      </c>
      <c r="B191" s="48">
        <v>4100806</v>
      </c>
      <c r="C191" s="29">
        <v>0</v>
      </c>
      <c r="D191" s="28">
        <v>0</v>
      </c>
      <c r="E191" s="30">
        <v>1164</v>
      </c>
      <c r="F191" s="30">
        <v>10326</v>
      </c>
      <c r="G191" s="30">
        <v>0.11272515979081929</v>
      </c>
      <c r="H191" s="28">
        <v>65.517548480290216</v>
      </c>
      <c r="I191" s="49">
        <v>8.91</v>
      </c>
      <c r="J191" s="30">
        <v>47.749196141479104</v>
      </c>
      <c r="K191" s="27">
        <f t="shared" si="4"/>
        <v>37.755581540589773</v>
      </c>
      <c r="L191" s="71">
        <f t="shared" si="5"/>
        <v>16.536652153926344</v>
      </c>
      <c r="M191" s="1" t="str">
        <f>VLOOKUP(A191,Dados!A$2:C$400,3,FALSE)</f>
        <v>P2</v>
      </c>
    </row>
    <row r="192" spans="1:13" ht="18" x14ac:dyDescent="0.25">
      <c r="A192" s="47" t="s">
        <v>216</v>
      </c>
      <c r="B192" s="48">
        <v>4122701</v>
      </c>
      <c r="C192" s="29">
        <v>0</v>
      </c>
      <c r="D192" s="28">
        <v>0</v>
      </c>
      <c r="E192" s="30">
        <v>1205</v>
      </c>
      <c r="F192" s="30">
        <v>8822</v>
      </c>
      <c r="G192" s="30">
        <v>0.13659034232600317</v>
      </c>
      <c r="H192" s="28">
        <v>79.388349432281672</v>
      </c>
      <c r="I192" s="49">
        <v>12.7</v>
      </c>
      <c r="J192" s="30">
        <v>68.060021436227231</v>
      </c>
      <c r="K192" s="27">
        <f t="shared" si="4"/>
        <v>49.149456956169637</v>
      </c>
      <c r="L192" s="71">
        <f t="shared" si="5"/>
        <v>37.876096667331154</v>
      </c>
      <c r="M192" s="1" t="str">
        <f>VLOOKUP(A192,Dados!A$2:C$400,3,FALSE)</f>
        <v>P2</v>
      </c>
    </row>
    <row r="193" spans="1:13" ht="18" x14ac:dyDescent="0.25">
      <c r="A193" s="47" t="s">
        <v>105</v>
      </c>
      <c r="B193" s="48">
        <v>4100509</v>
      </c>
      <c r="C193" s="29">
        <v>8.89</v>
      </c>
      <c r="D193" s="28">
        <v>16.000719942404608</v>
      </c>
      <c r="E193" s="30">
        <v>2251</v>
      </c>
      <c r="F193" s="30">
        <v>18742</v>
      </c>
      <c r="G193" s="30">
        <v>0.12010457795326006</v>
      </c>
      <c r="H193" s="28">
        <v>69.806576662740596</v>
      </c>
      <c r="I193" s="49">
        <v>10.99</v>
      </c>
      <c r="J193" s="30">
        <v>58.89603429796356</v>
      </c>
      <c r="K193" s="27">
        <f t="shared" si="4"/>
        <v>48.23444363436959</v>
      </c>
      <c r="L193" s="71">
        <f t="shared" si="5"/>
        <v>36.162379841633829</v>
      </c>
      <c r="M193" s="1" t="str">
        <f>VLOOKUP(A193,Dados!A$2:C$400,3,FALSE)</f>
        <v>P2</v>
      </c>
    </row>
    <row r="194" spans="1:13" ht="18" x14ac:dyDescent="0.25">
      <c r="A194" s="47" t="s">
        <v>197</v>
      </c>
      <c r="B194" s="48">
        <v>4100301</v>
      </c>
      <c r="C194" s="29">
        <v>0</v>
      </c>
      <c r="D194" s="28">
        <v>0</v>
      </c>
      <c r="E194" s="30">
        <v>1482</v>
      </c>
      <c r="F194" s="30">
        <v>10233</v>
      </c>
      <c r="G194" s="30">
        <v>0.14482556435063032</v>
      </c>
      <c r="H194" s="28">
        <v>84.17478361650187</v>
      </c>
      <c r="I194" s="49">
        <v>14.95</v>
      </c>
      <c r="J194" s="30">
        <v>80.117899249732034</v>
      </c>
      <c r="K194" s="27">
        <f t="shared" ref="K194:K257" si="6">(D194+H194+J194)/3</f>
        <v>54.764227622077975</v>
      </c>
      <c r="L194" s="71">
        <f t="shared" si="5"/>
        <v>48.391929315177094</v>
      </c>
      <c r="M194" s="1" t="str">
        <f>VLOOKUP(A194,Dados!A$2:C$400,3,FALSE)</f>
        <v>P2</v>
      </c>
    </row>
    <row r="195" spans="1:13" ht="18" x14ac:dyDescent="0.25">
      <c r="A195" s="47" t="s">
        <v>207</v>
      </c>
      <c r="B195" s="48">
        <v>4127007</v>
      </c>
      <c r="C195" s="29">
        <v>8</v>
      </c>
      <c r="D195" s="28">
        <v>14.398848092152628</v>
      </c>
      <c r="E195" s="30">
        <v>1299</v>
      </c>
      <c r="F195" s="30">
        <v>9547</v>
      </c>
      <c r="G195" s="30">
        <v>0.13606368492720225</v>
      </c>
      <c r="H195" s="28">
        <v>79.08224827684775</v>
      </c>
      <c r="I195" s="49">
        <v>14.56</v>
      </c>
      <c r="J195" s="30">
        <v>78.027867095391215</v>
      </c>
      <c r="K195" s="27">
        <f t="shared" si="6"/>
        <v>57.169654488130533</v>
      </c>
      <c r="L195" s="71">
        <f t="shared" ref="L195:L258" si="7">(K195-K$401)/(K$402-K$401)*100</f>
        <v>52.897022733084142</v>
      </c>
      <c r="M195" s="1" t="str">
        <f>VLOOKUP(A195,Dados!A$2:C$400,3,FALSE)</f>
        <v>P2</v>
      </c>
    </row>
    <row r="196" spans="1:13" ht="18" x14ac:dyDescent="0.25">
      <c r="A196" s="47" t="s">
        <v>214</v>
      </c>
      <c r="B196" s="48">
        <v>4109906</v>
      </c>
      <c r="C196" s="29">
        <v>28.04</v>
      </c>
      <c r="D196" s="28">
        <v>50.467962562994963</v>
      </c>
      <c r="E196" s="30">
        <v>1051</v>
      </c>
      <c r="F196" s="30">
        <v>8991</v>
      </c>
      <c r="G196" s="30">
        <v>0.11689467245022801</v>
      </c>
      <c r="H196" s="28">
        <v>67.940931585791404</v>
      </c>
      <c r="I196" s="49">
        <v>14.57</v>
      </c>
      <c r="J196" s="30">
        <v>78.081457663451232</v>
      </c>
      <c r="K196" s="27">
        <f t="shared" si="6"/>
        <v>65.49678393741253</v>
      </c>
      <c r="L196" s="71">
        <f t="shared" si="7"/>
        <v>68.492797687399715</v>
      </c>
      <c r="M196" s="1" t="str">
        <f>VLOOKUP(A196,Dados!A$2:C$400,3,FALSE)</f>
        <v>P2</v>
      </c>
    </row>
    <row r="197" spans="1:13" ht="18" x14ac:dyDescent="0.25">
      <c r="A197" s="47" t="s">
        <v>236</v>
      </c>
      <c r="B197" s="48">
        <v>4108205</v>
      </c>
      <c r="C197" s="29">
        <v>0</v>
      </c>
      <c r="D197" s="28">
        <v>0</v>
      </c>
      <c r="E197" s="30">
        <v>825</v>
      </c>
      <c r="F197" s="30">
        <v>7635</v>
      </c>
      <c r="G197" s="30">
        <v>0.10805500982318271</v>
      </c>
      <c r="H197" s="28">
        <v>62.803187485081622</v>
      </c>
      <c r="I197" s="49">
        <v>10.48</v>
      </c>
      <c r="J197" s="30">
        <v>56.162915326902464</v>
      </c>
      <c r="K197" s="27">
        <f t="shared" si="6"/>
        <v>39.655367603994698</v>
      </c>
      <c r="L197" s="71">
        <f t="shared" si="7"/>
        <v>20.094737336421375</v>
      </c>
      <c r="M197" s="1" t="str">
        <f>VLOOKUP(A197,Dados!A$2:C$400,3,FALSE)</f>
        <v>P2</v>
      </c>
    </row>
    <row r="198" spans="1:13" ht="18" x14ac:dyDescent="0.25">
      <c r="A198" s="47" t="s">
        <v>164</v>
      </c>
      <c r="B198" s="48">
        <v>4121802</v>
      </c>
      <c r="C198" s="29">
        <v>12.35</v>
      </c>
      <c r="D198" s="28">
        <v>22.228221742260619</v>
      </c>
      <c r="E198" s="30">
        <v>1509</v>
      </c>
      <c r="F198" s="30">
        <v>12364</v>
      </c>
      <c r="G198" s="30">
        <v>0.1220478809446781</v>
      </c>
      <c r="H198" s="28">
        <v>70.936053420089081</v>
      </c>
      <c r="I198" s="49">
        <v>10.27</v>
      </c>
      <c r="J198" s="30">
        <v>55.037513397642016</v>
      </c>
      <c r="K198" s="27">
        <f t="shared" si="6"/>
        <v>49.400596186663904</v>
      </c>
      <c r="L198" s="71">
        <f t="shared" si="7"/>
        <v>38.346452141548774</v>
      </c>
      <c r="M198" s="1" t="str">
        <f>VLOOKUP(A198,Dados!A$2:C$400,3,FALSE)</f>
        <v>P2</v>
      </c>
    </row>
    <row r="199" spans="1:13" ht="18" x14ac:dyDescent="0.25">
      <c r="A199" s="47" t="s">
        <v>213</v>
      </c>
      <c r="B199" s="48">
        <v>4122602</v>
      </c>
      <c r="C199" s="29">
        <v>8.6999999999999993</v>
      </c>
      <c r="D199" s="28">
        <v>15.65874730021598</v>
      </c>
      <c r="E199" s="30">
        <v>1184</v>
      </c>
      <c r="F199" s="30">
        <v>9097</v>
      </c>
      <c r="G199" s="30">
        <v>0.13015279762559084</v>
      </c>
      <c r="H199" s="28">
        <v>75.646752190051359</v>
      </c>
      <c r="I199" s="49">
        <v>14.4</v>
      </c>
      <c r="J199" s="30">
        <v>77.170418006430879</v>
      </c>
      <c r="K199" s="27">
        <f t="shared" si="6"/>
        <v>56.158639165566079</v>
      </c>
      <c r="L199" s="71">
        <f t="shared" si="7"/>
        <v>51.003504979803679</v>
      </c>
      <c r="M199" s="1" t="str">
        <f>VLOOKUP(A199,Dados!A$2:C$400,3,FALSE)</f>
        <v>P2</v>
      </c>
    </row>
    <row r="200" spans="1:13" ht="18" x14ac:dyDescent="0.25">
      <c r="A200" s="47" t="s">
        <v>286</v>
      </c>
      <c r="B200" s="48">
        <v>4106456</v>
      </c>
      <c r="C200" s="29">
        <v>24.39</v>
      </c>
      <c r="D200" s="28">
        <v>43.898488120950326</v>
      </c>
      <c r="E200" s="30">
        <v>875</v>
      </c>
      <c r="F200" s="30">
        <v>5649</v>
      </c>
      <c r="G200" s="30">
        <v>0.15489467162329615</v>
      </c>
      <c r="H200" s="28">
        <v>90.027099329465315</v>
      </c>
      <c r="I200" s="49">
        <v>17.88</v>
      </c>
      <c r="J200" s="30">
        <v>95.819935691318321</v>
      </c>
      <c r="K200" s="27">
        <f t="shared" si="6"/>
        <v>76.581841047244652</v>
      </c>
      <c r="L200" s="71">
        <f t="shared" si="7"/>
        <v>89.253860319323138</v>
      </c>
      <c r="M200" s="1" t="str">
        <f>VLOOKUP(A200,Dados!A$2:C$400,3,FALSE)</f>
        <v>P2</v>
      </c>
    </row>
    <row r="201" spans="1:13" ht="18" x14ac:dyDescent="0.25">
      <c r="A201" s="47" t="s">
        <v>206</v>
      </c>
      <c r="B201" s="48">
        <v>4118105</v>
      </c>
      <c r="C201" s="29">
        <v>16.95</v>
      </c>
      <c r="D201" s="28">
        <v>30.507559395248379</v>
      </c>
      <c r="E201" s="30">
        <v>1315</v>
      </c>
      <c r="F201" s="30">
        <v>9557</v>
      </c>
      <c r="G201" s="30">
        <v>0.13759547975306058</v>
      </c>
      <c r="H201" s="28">
        <v>79.9725503349798</v>
      </c>
      <c r="I201" s="49">
        <v>12.97</v>
      </c>
      <c r="J201" s="30">
        <v>69.506966773847807</v>
      </c>
      <c r="K201" s="27">
        <f t="shared" si="6"/>
        <v>59.995692168025329</v>
      </c>
      <c r="L201" s="71">
        <f t="shared" si="7"/>
        <v>58.189872800625196</v>
      </c>
      <c r="M201" s="1" t="str">
        <f>VLOOKUP(A201,Dados!A$2:C$400,3,FALSE)</f>
        <v>P2</v>
      </c>
    </row>
    <row r="202" spans="1:13" ht="18" x14ac:dyDescent="0.25">
      <c r="A202" s="47" t="s">
        <v>172</v>
      </c>
      <c r="B202" s="48">
        <v>4120002</v>
      </c>
      <c r="C202" s="29">
        <v>7.94</v>
      </c>
      <c r="D202" s="28">
        <v>14.290856731461481</v>
      </c>
      <c r="E202" s="30">
        <v>1312</v>
      </c>
      <c r="F202" s="30">
        <v>11624</v>
      </c>
      <c r="G202" s="30">
        <v>0.11286992429456297</v>
      </c>
      <c r="H202" s="28">
        <v>65.601687774568902</v>
      </c>
      <c r="I202" s="49">
        <v>9.64</v>
      </c>
      <c r="J202" s="30">
        <v>51.661307609860664</v>
      </c>
      <c r="K202" s="27">
        <f t="shared" si="6"/>
        <v>43.851284038630354</v>
      </c>
      <c r="L202" s="71">
        <f t="shared" si="7"/>
        <v>27.953215920218849</v>
      </c>
      <c r="M202" s="1" t="str">
        <f>VLOOKUP(A202,Dados!A$2:C$400,3,FALSE)</f>
        <v>P2</v>
      </c>
    </row>
    <row r="203" spans="1:13" ht="18" x14ac:dyDescent="0.25">
      <c r="A203" s="47" t="s">
        <v>210</v>
      </c>
      <c r="B203" s="48">
        <v>4125209</v>
      </c>
      <c r="C203" s="29">
        <v>0</v>
      </c>
      <c r="D203" s="28">
        <v>0</v>
      </c>
      <c r="E203" s="30">
        <v>1181</v>
      </c>
      <c r="F203" s="30">
        <v>9378</v>
      </c>
      <c r="G203" s="30">
        <v>0.12593303476220943</v>
      </c>
      <c r="H203" s="28">
        <v>73.194162914596319</v>
      </c>
      <c r="I203" s="49">
        <v>13.86</v>
      </c>
      <c r="J203" s="30">
        <v>74.276527331189712</v>
      </c>
      <c r="K203" s="27">
        <f t="shared" si="6"/>
        <v>49.156896748595351</v>
      </c>
      <c r="L203" s="71">
        <f t="shared" si="7"/>
        <v>37.890030560047123</v>
      </c>
      <c r="M203" s="1" t="str">
        <f>VLOOKUP(A203,Dados!A$2:C$400,3,FALSE)</f>
        <v>P2</v>
      </c>
    </row>
    <row r="204" spans="1:13" ht="18" x14ac:dyDescent="0.25">
      <c r="A204" s="47" t="s">
        <v>152</v>
      </c>
      <c r="B204" s="48">
        <v>4113908</v>
      </c>
      <c r="C204" s="29">
        <v>0</v>
      </c>
      <c r="D204" s="28">
        <v>0</v>
      </c>
      <c r="E204" s="30">
        <v>1633</v>
      </c>
      <c r="F204" s="30">
        <v>13428</v>
      </c>
      <c r="G204" s="30">
        <v>0.12161155793863569</v>
      </c>
      <c r="H204" s="28">
        <v>70.682455964521068</v>
      </c>
      <c r="I204" s="49">
        <v>11.92</v>
      </c>
      <c r="J204" s="30">
        <v>63.879957127545552</v>
      </c>
      <c r="K204" s="27">
        <f t="shared" si="6"/>
        <v>44.854137697355533</v>
      </c>
      <c r="L204" s="71">
        <f t="shared" si="7"/>
        <v>29.831447796983834</v>
      </c>
      <c r="M204" s="1" t="str">
        <f>VLOOKUP(A204,Dados!A$2:C$400,3,FALSE)</f>
        <v>P2</v>
      </c>
    </row>
    <row r="205" spans="1:13" ht="18" x14ac:dyDescent="0.25">
      <c r="A205" s="47" t="s">
        <v>291</v>
      </c>
      <c r="B205" s="48">
        <v>4124905</v>
      </c>
      <c r="C205" s="29">
        <v>13.7</v>
      </c>
      <c r="D205" s="28">
        <v>24.658027357811374</v>
      </c>
      <c r="E205" s="30">
        <v>740</v>
      </c>
      <c r="F205" s="30">
        <v>5586</v>
      </c>
      <c r="G205" s="30">
        <v>0.13247404224847834</v>
      </c>
      <c r="H205" s="28">
        <v>76.995894275073539</v>
      </c>
      <c r="I205" s="49">
        <v>9.67</v>
      </c>
      <c r="J205" s="30">
        <v>51.822079314040728</v>
      </c>
      <c r="K205" s="27">
        <f t="shared" si="6"/>
        <v>51.158666982308546</v>
      </c>
      <c r="L205" s="71">
        <f t="shared" si="7"/>
        <v>41.639120599464071</v>
      </c>
      <c r="M205" s="1" t="str">
        <f>VLOOKUP(A205,Dados!A$2:C$400,3,FALSE)</f>
        <v>P2</v>
      </c>
    </row>
    <row r="206" spans="1:13" ht="18" x14ac:dyDescent="0.25">
      <c r="A206" s="47" t="s">
        <v>186</v>
      </c>
      <c r="B206" s="48">
        <v>4124707</v>
      </c>
      <c r="C206" s="29">
        <v>0</v>
      </c>
      <c r="D206" s="28">
        <v>0</v>
      </c>
      <c r="E206" s="30">
        <v>1521</v>
      </c>
      <c r="F206" s="30">
        <v>10830</v>
      </c>
      <c r="G206" s="30">
        <v>0.14044321329639889</v>
      </c>
      <c r="H206" s="28">
        <v>81.627695653299511</v>
      </c>
      <c r="I206" s="49">
        <v>11.73</v>
      </c>
      <c r="J206" s="30">
        <v>62.861736334405151</v>
      </c>
      <c r="K206" s="27">
        <f t="shared" si="6"/>
        <v>48.163143995901557</v>
      </c>
      <c r="L206" s="71">
        <f t="shared" si="7"/>
        <v>36.0288436545667</v>
      </c>
      <c r="M206" s="1" t="str">
        <f>VLOOKUP(A206,Dados!A$2:C$400,3,FALSE)</f>
        <v>P2</v>
      </c>
    </row>
    <row r="207" spans="1:13" ht="18" x14ac:dyDescent="0.25">
      <c r="A207" s="47" t="s">
        <v>238</v>
      </c>
      <c r="B207" s="48">
        <v>4109500</v>
      </c>
      <c r="C207" s="29">
        <v>0</v>
      </c>
      <c r="D207" s="28">
        <v>0</v>
      </c>
      <c r="E207" s="30">
        <v>1075</v>
      </c>
      <c r="F207" s="30">
        <v>7430</v>
      </c>
      <c r="G207" s="30">
        <v>0.14468371467025573</v>
      </c>
      <c r="H207" s="28">
        <v>84.092338461151456</v>
      </c>
      <c r="I207" s="49">
        <v>13.19</v>
      </c>
      <c r="J207" s="30">
        <v>70.685959271168272</v>
      </c>
      <c r="K207" s="27">
        <f t="shared" si="6"/>
        <v>51.592765910773245</v>
      </c>
      <c r="L207" s="71">
        <f t="shared" si="7"/>
        <v>42.45213896761598</v>
      </c>
      <c r="M207" s="1" t="str">
        <f>VLOOKUP(A207,Dados!A$2:C$400,3,FALSE)</f>
        <v>P2</v>
      </c>
    </row>
    <row r="208" spans="1:13" ht="18" x14ac:dyDescent="0.25">
      <c r="A208" s="47" t="s">
        <v>194</v>
      </c>
      <c r="B208" s="48">
        <v>4105003</v>
      </c>
      <c r="C208" s="29">
        <v>0</v>
      </c>
      <c r="D208" s="28">
        <v>0</v>
      </c>
      <c r="E208" s="30">
        <v>1377</v>
      </c>
      <c r="F208" s="30">
        <v>10446</v>
      </c>
      <c r="G208" s="30">
        <v>0.1318207926479035</v>
      </c>
      <c r="H208" s="28">
        <v>76.616215839001114</v>
      </c>
      <c r="I208" s="49">
        <v>11.1</v>
      </c>
      <c r="J208" s="30">
        <v>59.485530546623785</v>
      </c>
      <c r="K208" s="27">
        <f t="shared" si="6"/>
        <v>45.367248795208297</v>
      </c>
      <c r="L208" s="71">
        <f t="shared" si="7"/>
        <v>30.792447053379867</v>
      </c>
      <c r="M208" s="1" t="str">
        <f>VLOOKUP(A208,Dados!A$2:C$400,3,FALSE)</f>
        <v>P2</v>
      </c>
    </row>
    <row r="209" spans="1:13" ht="18" x14ac:dyDescent="0.25">
      <c r="A209" s="47" t="s">
        <v>254</v>
      </c>
      <c r="B209" s="48">
        <v>4103206</v>
      </c>
      <c r="C209" s="29">
        <v>0</v>
      </c>
      <c r="D209" s="28">
        <v>0</v>
      </c>
      <c r="E209" s="30">
        <v>939</v>
      </c>
      <c r="F209" s="30">
        <v>6581</v>
      </c>
      <c r="G209" s="30">
        <v>0.14268348275338094</v>
      </c>
      <c r="H209" s="28">
        <v>82.929773761053852</v>
      </c>
      <c r="I209" s="49">
        <v>10.33</v>
      </c>
      <c r="J209" s="30">
        <v>55.359056806002137</v>
      </c>
      <c r="K209" s="27">
        <f t="shared" si="6"/>
        <v>46.096276855685325</v>
      </c>
      <c r="L209" s="71">
        <f t="shared" si="7"/>
        <v>32.157834445977834</v>
      </c>
      <c r="M209" s="1" t="str">
        <f>VLOOKUP(A209,Dados!A$2:C$400,3,FALSE)</f>
        <v>P2</v>
      </c>
    </row>
    <row r="210" spans="1:13" ht="18" x14ac:dyDescent="0.25">
      <c r="A210" s="47" t="s">
        <v>132</v>
      </c>
      <c r="B210" s="48">
        <v>4102802</v>
      </c>
      <c r="C210" s="29">
        <v>19.350000000000001</v>
      </c>
      <c r="D210" s="28">
        <v>34.827213822894173</v>
      </c>
      <c r="E210" s="30">
        <v>1807</v>
      </c>
      <c r="F210" s="30">
        <v>14833</v>
      </c>
      <c r="G210" s="30">
        <v>0.12182296231375986</v>
      </c>
      <c r="H210" s="28">
        <v>70.805327348530156</v>
      </c>
      <c r="I210" s="49">
        <v>10.45</v>
      </c>
      <c r="J210" s="30">
        <v>56.0021436227224</v>
      </c>
      <c r="K210" s="27">
        <f t="shared" si="6"/>
        <v>53.878228264715574</v>
      </c>
      <c r="L210" s="71">
        <f t="shared" si="7"/>
        <v>46.732552374869812</v>
      </c>
      <c r="M210" s="1" t="str">
        <f>VLOOKUP(A210,Dados!A$2:C$400,3,FALSE)</f>
        <v>P2</v>
      </c>
    </row>
    <row r="211" spans="1:13" ht="18" x14ac:dyDescent="0.25">
      <c r="A211" s="47" t="s">
        <v>150</v>
      </c>
      <c r="B211" s="48">
        <v>4107009</v>
      </c>
      <c r="C211" s="29">
        <v>11.36</v>
      </c>
      <c r="D211" s="28">
        <v>20.446364290856732</v>
      </c>
      <c r="E211" s="30">
        <v>1786</v>
      </c>
      <c r="F211" s="30">
        <v>13647</v>
      </c>
      <c r="G211" s="30">
        <v>0.13087125375540412</v>
      </c>
      <c r="H211" s="28">
        <v>76.064329635968065</v>
      </c>
      <c r="I211" s="49">
        <v>11.65</v>
      </c>
      <c r="J211" s="30">
        <v>62.433011789924976</v>
      </c>
      <c r="K211" s="27">
        <f t="shared" si="6"/>
        <v>52.981235238916589</v>
      </c>
      <c r="L211" s="71">
        <f t="shared" si="7"/>
        <v>45.052585532615694</v>
      </c>
      <c r="M211" s="1" t="str">
        <f>VLOOKUP(A211,Dados!A$2:C$400,3,FALSE)</f>
        <v>P2</v>
      </c>
    </row>
    <row r="212" spans="1:13" ht="18" x14ac:dyDescent="0.25">
      <c r="A212" s="47" t="s">
        <v>253</v>
      </c>
      <c r="B212" s="48">
        <v>4124608</v>
      </c>
      <c r="C212" s="29">
        <v>0</v>
      </c>
      <c r="D212" s="28">
        <v>0</v>
      </c>
      <c r="E212" s="30">
        <v>863</v>
      </c>
      <c r="F212" s="30">
        <v>6587</v>
      </c>
      <c r="G212" s="30">
        <v>0.13101563686048276</v>
      </c>
      <c r="H212" s="28">
        <v>76.148247255639461</v>
      </c>
      <c r="I212" s="49">
        <v>11.23</v>
      </c>
      <c r="J212" s="30">
        <v>60.182207931404072</v>
      </c>
      <c r="K212" s="27">
        <f t="shared" si="6"/>
        <v>45.44348506234784</v>
      </c>
      <c r="L212" s="71">
        <f t="shared" si="7"/>
        <v>30.935228989568923</v>
      </c>
      <c r="M212" s="1" t="str">
        <f>VLOOKUP(A212,Dados!A$2:C$400,3,FALSE)</f>
        <v>P2</v>
      </c>
    </row>
    <row r="213" spans="1:13" ht="18" x14ac:dyDescent="0.25">
      <c r="A213" s="47" t="s">
        <v>222</v>
      </c>
      <c r="B213" s="48">
        <v>4117222</v>
      </c>
      <c r="C213" s="29">
        <v>0</v>
      </c>
      <c r="D213" s="28">
        <v>0</v>
      </c>
      <c r="E213" s="30">
        <v>1060</v>
      </c>
      <c r="F213" s="30">
        <v>8322</v>
      </c>
      <c r="G213" s="30">
        <v>0.12737322758952174</v>
      </c>
      <c r="H213" s="28">
        <v>74.031224521423894</v>
      </c>
      <c r="I213" s="49">
        <v>11.66</v>
      </c>
      <c r="J213" s="30">
        <v>62.486602357984999</v>
      </c>
      <c r="K213" s="27">
        <f t="shared" si="6"/>
        <v>45.505942293136293</v>
      </c>
      <c r="L213" s="71">
        <f t="shared" si="7"/>
        <v>31.052204343630514</v>
      </c>
      <c r="M213" s="1" t="str">
        <f>VLOOKUP(A213,Dados!A$2:C$400,3,FALSE)</f>
        <v>P2</v>
      </c>
    </row>
    <row r="214" spans="1:13" ht="18" x14ac:dyDescent="0.25">
      <c r="A214" s="47" t="s">
        <v>248</v>
      </c>
      <c r="B214" s="48">
        <v>4117453</v>
      </c>
      <c r="C214" s="29">
        <v>27.03</v>
      </c>
      <c r="D214" s="28">
        <v>48.650107991360692</v>
      </c>
      <c r="E214" s="30">
        <v>920</v>
      </c>
      <c r="F214" s="30">
        <v>6785</v>
      </c>
      <c r="G214" s="30">
        <v>0.13559322033898305</v>
      </c>
      <c r="H214" s="28">
        <v>78.808807223190243</v>
      </c>
      <c r="I214" s="49">
        <v>12.82</v>
      </c>
      <c r="J214" s="30">
        <v>68.703108252947487</v>
      </c>
      <c r="K214" s="27">
        <f t="shared" si="6"/>
        <v>65.3873411558328</v>
      </c>
      <c r="L214" s="71">
        <f t="shared" si="7"/>
        <v>68.28782369218473</v>
      </c>
      <c r="M214" s="1" t="str">
        <f>VLOOKUP(A214,Dados!A$2:C$400,3,FALSE)</f>
        <v>P2</v>
      </c>
    </row>
    <row r="215" spans="1:13" ht="18" x14ac:dyDescent="0.25">
      <c r="A215" s="47" t="s">
        <v>261</v>
      </c>
      <c r="B215" s="48">
        <v>4115309</v>
      </c>
      <c r="C215" s="29">
        <v>11.9</v>
      </c>
      <c r="D215" s="28">
        <v>21.418286537077034</v>
      </c>
      <c r="E215" s="30">
        <v>829</v>
      </c>
      <c r="F215" s="30">
        <v>6371</v>
      </c>
      <c r="G215" s="30">
        <v>0.13012086014754357</v>
      </c>
      <c r="H215" s="28">
        <v>75.628189650240515</v>
      </c>
      <c r="I215" s="49">
        <v>14.44</v>
      </c>
      <c r="J215" s="30">
        <v>77.384780278670945</v>
      </c>
      <c r="K215" s="27">
        <f t="shared" si="6"/>
        <v>58.143752155329501</v>
      </c>
      <c r="L215" s="71">
        <f t="shared" si="7"/>
        <v>54.721397878647515</v>
      </c>
      <c r="M215" s="1" t="str">
        <f>VLOOKUP(A215,Dados!A$2:C$400,3,FALSE)</f>
        <v>P2</v>
      </c>
    </row>
    <row r="216" spans="1:13" ht="18" x14ac:dyDescent="0.25">
      <c r="A216" s="47" t="s">
        <v>228</v>
      </c>
      <c r="B216" s="48">
        <v>4127908</v>
      </c>
      <c r="C216" s="29">
        <v>11.11</v>
      </c>
      <c r="D216" s="28">
        <v>19.996400287976961</v>
      </c>
      <c r="E216" s="30">
        <v>1049</v>
      </c>
      <c r="F216" s="30">
        <v>8067</v>
      </c>
      <c r="G216" s="30">
        <v>0.13003594892773027</v>
      </c>
      <c r="H216" s="28">
        <v>75.578837979584549</v>
      </c>
      <c r="I216" s="49">
        <v>11.03</v>
      </c>
      <c r="J216" s="30">
        <v>59.11039657020364</v>
      </c>
      <c r="K216" s="27">
        <f t="shared" si="6"/>
        <v>51.561878279255048</v>
      </c>
      <c r="L216" s="71">
        <f t="shared" si="7"/>
        <v>42.394289914954605</v>
      </c>
      <c r="M216" s="1" t="str">
        <f>VLOOKUP(A216,Dados!A$2:C$400,3,FALSE)</f>
        <v>P2</v>
      </c>
    </row>
    <row r="217" spans="1:13" ht="18" x14ac:dyDescent="0.25">
      <c r="A217" s="47" t="s">
        <v>283</v>
      </c>
      <c r="B217" s="48">
        <v>4118451</v>
      </c>
      <c r="C217" s="29">
        <v>0</v>
      </c>
      <c r="D217" s="28">
        <v>0</v>
      </c>
      <c r="E217" s="30">
        <v>738</v>
      </c>
      <c r="F217" s="30">
        <v>5733</v>
      </c>
      <c r="G217" s="30">
        <v>0.12872841444270017</v>
      </c>
      <c r="H217" s="28">
        <v>74.818879384967516</v>
      </c>
      <c r="I217" s="49">
        <v>10.47</v>
      </c>
      <c r="J217" s="30">
        <v>56.109324758842448</v>
      </c>
      <c r="K217" s="27">
        <f t="shared" si="6"/>
        <v>43.642734714603328</v>
      </c>
      <c r="L217" s="71">
        <f t="shared" si="7"/>
        <v>27.562626540744201</v>
      </c>
      <c r="M217" s="1" t="str">
        <f>VLOOKUP(A217,Dados!A$2:C$400,3,FALSE)</f>
        <v>P2</v>
      </c>
    </row>
    <row r="218" spans="1:13" ht="18" x14ac:dyDescent="0.25">
      <c r="A218" s="47" t="s">
        <v>212</v>
      </c>
      <c r="B218" s="48">
        <v>4112405</v>
      </c>
      <c r="C218" s="29">
        <v>21.74</v>
      </c>
      <c r="D218" s="28">
        <v>39.128869690424764</v>
      </c>
      <c r="E218" s="30">
        <v>1015</v>
      </c>
      <c r="F218" s="30">
        <v>9144</v>
      </c>
      <c r="G218" s="30">
        <v>0.11100174978127735</v>
      </c>
      <c r="H218" s="28">
        <v>64.515876812127459</v>
      </c>
      <c r="I218" s="49">
        <v>9.08</v>
      </c>
      <c r="J218" s="30">
        <v>48.660235798499464</v>
      </c>
      <c r="K218" s="27">
        <f t="shared" si="6"/>
        <v>50.768327433683901</v>
      </c>
      <c r="L218" s="71">
        <f t="shared" si="7"/>
        <v>40.908058617877607</v>
      </c>
      <c r="M218" s="1" t="str">
        <f>VLOOKUP(A218,Dados!A$2:C$400,3,FALSE)</f>
        <v>P2</v>
      </c>
    </row>
    <row r="219" spans="1:13" ht="18" x14ac:dyDescent="0.25">
      <c r="A219" s="47" t="s">
        <v>200</v>
      </c>
      <c r="B219" s="48">
        <v>4115101</v>
      </c>
      <c r="C219" s="29">
        <v>13.7</v>
      </c>
      <c r="D219" s="28">
        <v>24.658027357811374</v>
      </c>
      <c r="E219" s="30">
        <v>1386</v>
      </c>
      <c r="F219" s="30">
        <v>9847</v>
      </c>
      <c r="G219" s="30">
        <v>0.14075352899360211</v>
      </c>
      <c r="H219" s="28">
        <v>81.808055776748745</v>
      </c>
      <c r="I219" s="49">
        <v>11.58</v>
      </c>
      <c r="J219" s="30">
        <v>62.057877813504824</v>
      </c>
      <c r="K219" s="27">
        <f t="shared" si="6"/>
        <v>56.17465364935498</v>
      </c>
      <c r="L219" s="71">
        <f t="shared" si="7"/>
        <v>51.033498303037398</v>
      </c>
      <c r="M219" s="1" t="str">
        <f>VLOOKUP(A219,Dados!A$2:C$400,3,FALSE)</f>
        <v>P2</v>
      </c>
    </row>
    <row r="220" spans="1:13" ht="18" x14ac:dyDescent="0.25">
      <c r="A220" s="47" t="s">
        <v>239</v>
      </c>
      <c r="B220" s="48">
        <v>4115002</v>
      </c>
      <c r="C220" s="29">
        <v>12.82</v>
      </c>
      <c r="D220" s="28">
        <v>23.074154067674584</v>
      </c>
      <c r="E220" s="30">
        <v>957</v>
      </c>
      <c r="F220" s="30">
        <v>7253</v>
      </c>
      <c r="G220" s="30">
        <v>0.13194540190266096</v>
      </c>
      <c r="H220" s="28">
        <v>76.688640601182115</v>
      </c>
      <c r="I220" s="49">
        <v>12.68</v>
      </c>
      <c r="J220" s="30">
        <v>67.952840300107169</v>
      </c>
      <c r="K220" s="27">
        <f t="shared" si="6"/>
        <v>55.905211656321285</v>
      </c>
      <c r="L220" s="71">
        <f t="shared" si="7"/>
        <v>50.528863817385428</v>
      </c>
      <c r="M220" s="1" t="str">
        <f>VLOOKUP(A220,Dados!A$2:C$400,3,FALSE)</f>
        <v>P2</v>
      </c>
    </row>
    <row r="221" spans="1:13" ht="18" x14ac:dyDescent="0.25">
      <c r="A221" s="47" t="s">
        <v>258</v>
      </c>
      <c r="B221" s="48">
        <v>4121752</v>
      </c>
      <c r="C221" s="29">
        <v>9.8000000000000007</v>
      </c>
      <c r="D221" s="28">
        <v>17.63858891288697</v>
      </c>
      <c r="E221" s="30">
        <v>1082</v>
      </c>
      <c r="F221" s="30">
        <v>6553</v>
      </c>
      <c r="G221" s="30">
        <v>0.16511521440561575</v>
      </c>
      <c r="H221" s="28">
        <v>95.967431625095728</v>
      </c>
      <c r="I221" s="49">
        <v>14.34</v>
      </c>
      <c r="J221" s="30">
        <v>76.848874598070736</v>
      </c>
      <c r="K221" s="27">
        <f t="shared" si="6"/>
        <v>63.484965045351146</v>
      </c>
      <c r="L221" s="71">
        <f t="shared" si="7"/>
        <v>64.724887643424694</v>
      </c>
      <c r="M221" s="1" t="str">
        <f>VLOOKUP(A221,Dados!A$2:C$400,3,FALSE)</f>
        <v>P2</v>
      </c>
    </row>
    <row r="222" spans="1:13" ht="18" x14ac:dyDescent="0.25">
      <c r="A222" s="47" t="s">
        <v>252</v>
      </c>
      <c r="B222" s="48">
        <v>4108908</v>
      </c>
      <c r="C222" s="29">
        <v>38.46</v>
      </c>
      <c r="D222" s="28">
        <v>69.222462203023767</v>
      </c>
      <c r="E222" s="30">
        <v>888</v>
      </c>
      <c r="F222" s="30">
        <v>6587</v>
      </c>
      <c r="G222" s="30">
        <v>0.13481099134659177</v>
      </c>
      <c r="H222" s="28">
        <v>78.35416403593031</v>
      </c>
      <c r="I222" s="49">
        <v>15.03</v>
      </c>
      <c r="J222" s="30">
        <v>80.546623794212209</v>
      </c>
      <c r="K222" s="27">
        <f t="shared" si="6"/>
        <v>76.041083344388767</v>
      </c>
      <c r="L222" s="71">
        <f t="shared" si="7"/>
        <v>88.241082087650497</v>
      </c>
      <c r="M222" s="1" t="str">
        <f>VLOOKUP(A222,Dados!A$2:C$400,3,FALSE)</f>
        <v>P2</v>
      </c>
    </row>
    <row r="223" spans="1:13" ht="18" x14ac:dyDescent="0.25">
      <c r="A223" s="47" t="s">
        <v>237</v>
      </c>
      <c r="B223" s="48">
        <v>4104105</v>
      </c>
      <c r="C223" s="29">
        <v>18.02</v>
      </c>
      <c r="D223" s="28">
        <v>32.433405327573794</v>
      </c>
      <c r="E223" s="30">
        <v>1215</v>
      </c>
      <c r="F223" s="30">
        <v>7508</v>
      </c>
      <c r="G223" s="30">
        <v>0.16182738412360148</v>
      </c>
      <c r="H223" s="28">
        <v>94.056495501371757</v>
      </c>
      <c r="I223" s="49">
        <v>15.45</v>
      </c>
      <c r="J223" s="30">
        <v>82.79742765273312</v>
      </c>
      <c r="K223" s="27">
        <f t="shared" si="6"/>
        <v>69.762442827226224</v>
      </c>
      <c r="L223" s="71">
        <f t="shared" si="7"/>
        <v>76.481896029463584</v>
      </c>
      <c r="M223" s="1" t="str">
        <f>VLOOKUP(A223,Dados!A$2:C$400,3,FALSE)</f>
        <v>P2</v>
      </c>
    </row>
    <row r="224" spans="1:13" ht="18" x14ac:dyDescent="0.25">
      <c r="A224" s="47" t="s">
        <v>240</v>
      </c>
      <c r="B224" s="48">
        <v>4100103</v>
      </c>
      <c r="C224" s="29">
        <v>0</v>
      </c>
      <c r="D224" s="28">
        <v>0</v>
      </c>
      <c r="E224" s="30">
        <v>914</v>
      </c>
      <c r="F224" s="30">
        <v>7241</v>
      </c>
      <c r="G224" s="30">
        <v>0.12622565943930397</v>
      </c>
      <c r="H224" s="28">
        <v>73.364240752619764</v>
      </c>
      <c r="I224" s="49">
        <v>11.19</v>
      </c>
      <c r="J224" s="30">
        <v>59.967845659163984</v>
      </c>
      <c r="K224" s="27">
        <f t="shared" si="6"/>
        <v>44.444028803927914</v>
      </c>
      <c r="L224" s="71">
        <f t="shared" si="7"/>
        <v>29.063360060673695</v>
      </c>
      <c r="M224" s="1" t="str">
        <f>VLOOKUP(A224,Dados!A$2:C$400,3,FALSE)</f>
        <v>P2</v>
      </c>
    </row>
    <row r="225" spans="1:13" ht="18" x14ac:dyDescent="0.25">
      <c r="A225" s="47" t="s">
        <v>267</v>
      </c>
      <c r="B225" s="48">
        <v>4127882</v>
      </c>
      <c r="C225" s="29">
        <v>8.5500000000000007</v>
      </c>
      <c r="D225" s="28">
        <v>15.388768898488122</v>
      </c>
      <c r="E225" s="30">
        <v>1070</v>
      </c>
      <c r="F225" s="30">
        <v>6219</v>
      </c>
      <c r="G225" s="30">
        <v>0.1720533847885512</v>
      </c>
      <c r="H225" s="28">
        <v>100</v>
      </c>
      <c r="I225" s="49">
        <v>16.559999999999999</v>
      </c>
      <c r="J225" s="30">
        <v>88.745980707395489</v>
      </c>
      <c r="K225" s="27">
        <f t="shared" si="6"/>
        <v>68.044916535294533</v>
      </c>
      <c r="L225" s="71">
        <f t="shared" si="7"/>
        <v>73.265162857458392</v>
      </c>
      <c r="M225" s="1" t="str">
        <f>VLOOKUP(A225,Dados!A$2:C$400,3,FALSE)</f>
        <v>P2</v>
      </c>
    </row>
    <row r="226" spans="1:13" ht="18" x14ac:dyDescent="0.25">
      <c r="A226" s="47" t="s">
        <v>242</v>
      </c>
      <c r="B226" s="48">
        <v>4118857</v>
      </c>
      <c r="C226" s="29">
        <v>0</v>
      </c>
      <c r="D226" s="28">
        <v>0</v>
      </c>
      <c r="E226" s="30">
        <v>903</v>
      </c>
      <c r="F226" s="30">
        <v>7189</v>
      </c>
      <c r="G226" s="30">
        <v>0.12560856864654332</v>
      </c>
      <c r="H226" s="28">
        <v>73.005578356341402</v>
      </c>
      <c r="I226" s="49">
        <v>14.05</v>
      </c>
      <c r="J226" s="30">
        <v>75.294748124330127</v>
      </c>
      <c r="K226" s="27">
        <f t="shared" si="6"/>
        <v>49.433442160223841</v>
      </c>
      <c r="L226" s="71">
        <f t="shared" si="7"/>
        <v>38.40796894814055</v>
      </c>
      <c r="M226" s="1" t="str">
        <f>VLOOKUP(A226,Dados!A$2:C$400,3,FALSE)</f>
        <v>P2</v>
      </c>
    </row>
    <row r="227" spans="1:13" ht="18" x14ac:dyDescent="0.25">
      <c r="A227" s="47" t="s">
        <v>225</v>
      </c>
      <c r="B227" s="48">
        <v>4108320</v>
      </c>
      <c r="C227" s="29">
        <v>25.64</v>
      </c>
      <c r="D227" s="28">
        <v>46.148308135349168</v>
      </c>
      <c r="E227" s="30">
        <v>1120</v>
      </c>
      <c r="F227" s="30">
        <v>8116</v>
      </c>
      <c r="G227" s="30">
        <v>0.13799901429275505</v>
      </c>
      <c r="H227" s="28">
        <v>80.207090643611551</v>
      </c>
      <c r="I227" s="49">
        <v>14.91</v>
      </c>
      <c r="J227" s="30">
        <v>79.903536977491967</v>
      </c>
      <c r="K227" s="27">
        <f t="shared" si="6"/>
        <v>68.752978585484229</v>
      </c>
      <c r="L227" s="71">
        <f t="shared" si="7"/>
        <v>74.591283275749944</v>
      </c>
      <c r="M227" s="1" t="str">
        <f>VLOOKUP(A227,Dados!A$2:C$400,3,FALSE)</f>
        <v>P2</v>
      </c>
    </row>
    <row r="228" spans="1:13" ht="18" x14ac:dyDescent="0.25">
      <c r="A228" s="47" t="s">
        <v>287</v>
      </c>
      <c r="B228" s="48">
        <v>4108700</v>
      </c>
      <c r="C228" s="29">
        <v>23.81</v>
      </c>
      <c r="D228" s="28">
        <v>42.854571634269256</v>
      </c>
      <c r="E228" s="30">
        <v>701</v>
      </c>
      <c r="F228" s="30">
        <v>5641</v>
      </c>
      <c r="G228" s="30">
        <v>0.12426874667612126</v>
      </c>
      <c r="H228" s="28">
        <v>72.226853792411035</v>
      </c>
      <c r="I228" s="49">
        <v>13.3</v>
      </c>
      <c r="J228" s="30">
        <v>71.275455519828512</v>
      </c>
      <c r="K228" s="27">
        <f t="shared" si="6"/>
        <v>62.118960315502932</v>
      </c>
      <c r="L228" s="71">
        <f t="shared" si="7"/>
        <v>62.166514739172527</v>
      </c>
      <c r="M228" s="1" t="str">
        <f>VLOOKUP(A228,Dados!A$2:C$400,3,FALSE)</f>
        <v>P2</v>
      </c>
    </row>
    <row r="229" spans="1:13" ht="18" x14ac:dyDescent="0.25">
      <c r="A229" s="47" t="s">
        <v>120</v>
      </c>
      <c r="B229" s="48">
        <v>4126504</v>
      </c>
      <c r="C229" s="29">
        <v>12.27</v>
      </c>
      <c r="D229" s="28">
        <v>22.084233261339094</v>
      </c>
      <c r="E229" s="30">
        <v>1912</v>
      </c>
      <c r="F229" s="30">
        <v>15930</v>
      </c>
      <c r="G229" s="30">
        <v>0.12002510985561833</v>
      </c>
      <c r="H229" s="28">
        <v>69.760388616083219</v>
      </c>
      <c r="I229" s="49">
        <v>10.55</v>
      </c>
      <c r="J229" s="30">
        <v>56.538049303322623</v>
      </c>
      <c r="K229" s="27">
        <f t="shared" si="6"/>
        <v>49.460890393581643</v>
      </c>
      <c r="L229" s="71">
        <f t="shared" si="7"/>
        <v>38.459376395682845</v>
      </c>
      <c r="M229" s="1" t="str">
        <f>VLOOKUP(A229,Dados!A$2:C$400,3,FALSE)</f>
        <v>P2</v>
      </c>
    </row>
    <row r="230" spans="1:13" ht="18" x14ac:dyDescent="0.25">
      <c r="A230" s="47" t="s">
        <v>247</v>
      </c>
      <c r="B230" s="48">
        <v>4116802</v>
      </c>
      <c r="C230" s="29">
        <v>10.75</v>
      </c>
      <c r="D230" s="28">
        <v>19.348452123830093</v>
      </c>
      <c r="E230" s="30">
        <v>879</v>
      </c>
      <c r="F230" s="30">
        <v>6790</v>
      </c>
      <c r="G230" s="30">
        <v>0.12945508100147277</v>
      </c>
      <c r="H230" s="28">
        <v>75.241228854968142</v>
      </c>
      <c r="I230" s="49">
        <v>14.73</v>
      </c>
      <c r="J230" s="30">
        <v>78.938906752411569</v>
      </c>
      <c r="K230" s="27">
        <f t="shared" si="6"/>
        <v>57.842862577069944</v>
      </c>
      <c r="L230" s="71">
        <f t="shared" si="7"/>
        <v>54.157865610148967</v>
      </c>
      <c r="M230" s="1" t="str">
        <f>VLOOKUP(A230,Dados!A$2:C$400,3,FALSE)</f>
        <v>P2</v>
      </c>
    </row>
    <row r="231" spans="1:13" ht="18" x14ac:dyDescent="0.25">
      <c r="A231" s="47" t="s">
        <v>280</v>
      </c>
      <c r="B231" s="48">
        <v>4125753</v>
      </c>
      <c r="C231" s="29">
        <v>22.73</v>
      </c>
      <c r="D231" s="28">
        <v>40.910727141828652</v>
      </c>
      <c r="E231" s="30">
        <v>718</v>
      </c>
      <c r="F231" s="30">
        <v>5784</v>
      </c>
      <c r="G231" s="30">
        <v>0.12413554633471646</v>
      </c>
      <c r="H231" s="28">
        <v>72.149435762205769</v>
      </c>
      <c r="I231" s="49">
        <v>11.76</v>
      </c>
      <c r="J231" s="30">
        <v>63.022508038585215</v>
      </c>
      <c r="K231" s="27">
        <f t="shared" si="6"/>
        <v>58.694223647539879</v>
      </c>
      <c r="L231" s="71">
        <f t="shared" si="7"/>
        <v>55.752368942994259</v>
      </c>
      <c r="M231" s="1" t="str">
        <f>VLOOKUP(A231,Dados!A$2:C$400,3,FALSE)</f>
        <v>P2</v>
      </c>
    </row>
    <row r="232" spans="1:13" ht="18" x14ac:dyDescent="0.25">
      <c r="A232" s="47" t="s">
        <v>232</v>
      </c>
      <c r="B232" s="48">
        <v>4103057</v>
      </c>
      <c r="C232" s="29">
        <v>0</v>
      </c>
      <c r="D232" s="28">
        <v>0</v>
      </c>
      <c r="E232" s="30">
        <v>1119</v>
      </c>
      <c r="F232" s="30">
        <v>7924</v>
      </c>
      <c r="G232" s="30">
        <v>0.1412165572942958</v>
      </c>
      <c r="H232" s="28">
        <v>82.077174748899594</v>
      </c>
      <c r="I232" s="49">
        <v>13.38</v>
      </c>
      <c r="J232" s="30">
        <v>71.704180064308687</v>
      </c>
      <c r="K232" s="27">
        <f t="shared" si="6"/>
        <v>51.26045160440276</v>
      </c>
      <c r="L232" s="71">
        <f t="shared" si="7"/>
        <v>41.82975172507102</v>
      </c>
      <c r="M232" s="1" t="str">
        <f>VLOOKUP(A232,Dados!A$2:C$400,3,FALSE)</f>
        <v>P2</v>
      </c>
    </row>
    <row r="233" spans="1:13" ht="18" x14ac:dyDescent="0.25">
      <c r="A233" s="47" t="s">
        <v>192</v>
      </c>
      <c r="B233" s="48">
        <v>4112751</v>
      </c>
      <c r="C233" s="29">
        <v>9.6199999999999992</v>
      </c>
      <c r="D233" s="28">
        <v>17.314614830813532</v>
      </c>
      <c r="E233" s="30">
        <v>1356</v>
      </c>
      <c r="F233" s="30">
        <v>10506</v>
      </c>
      <c r="G233" s="30">
        <v>0.12906910336950314</v>
      </c>
      <c r="H233" s="28">
        <v>75.016892883639258</v>
      </c>
      <c r="I233" s="49">
        <v>9.23</v>
      </c>
      <c r="J233" s="30">
        <v>49.464094319399784</v>
      </c>
      <c r="K233" s="27">
        <f t="shared" si="6"/>
        <v>47.265200677950851</v>
      </c>
      <c r="L233" s="71">
        <f t="shared" si="7"/>
        <v>34.347097022214527</v>
      </c>
      <c r="M233" s="1" t="str">
        <f>VLOOKUP(A233,Dados!A$2:C$400,3,FALSE)</f>
        <v>P2</v>
      </c>
    </row>
    <row r="234" spans="1:13" ht="18" x14ac:dyDescent="0.25">
      <c r="A234" s="47" t="s">
        <v>198</v>
      </c>
      <c r="B234" s="48">
        <v>4120507</v>
      </c>
      <c r="C234" s="29">
        <v>0</v>
      </c>
      <c r="D234" s="28">
        <v>0</v>
      </c>
      <c r="E234" s="30">
        <v>1089</v>
      </c>
      <c r="F234" s="30">
        <v>10082</v>
      </c>
      <c r="G234" s="30">
        <v>0.10801428288038088</v>
      </c>
      <c r="H234" s="28">
        <v>62.779516376924185</v>
      </c>
      <c r="I234" s="49">
        <v>9.92</v>
      </c>
      <c r="J234" s="30">
        <v>53.161843515541264</v>
      </c>
      <c r="K234" s="27">
        <f t="shared" si="6"/>
        <v>38.647119964155145</v>
      </c>
      <c r="L234" s="71">
        <f t="shared" si="7"/>
        <v>18.206403140954613</v>
      </c>
      <c r="M234" s="1" t="str">
        <f>VLOOKUP(A234,Dados!A$2:C$400,3,FALSE)</f>
        <v>P2</v>
      </c>
    </row>
    <row r="235" spans="1:13" ht="18" x14ac:dyDescent="0.25">
      <c r="A235" s="47" t="s">
        <v>259</v>
      </c>
      <c r="B235" s="48">
        <v>4125357</v>
      </c>
      <c r="C235" s="29">
        <v>11.36</v>
      </c>
      <c r="D235" s="28">
        <v>20.446364290856732</v>
      </c>
      <c r="E235" s="30">
        <v>733</v>
      </c>
      <c r="F235" s="30">
        <v>6504</v>
      </c>
      <c r="G235" s="30">
        <v>0.11269987699876999</v>
      </c>
      <c r="H235" s="28">
        <v>65.502853743490704</v>
      </c>
      <c r="I235" s="49">
        <v>10.3</v>
      </c>
      <c r="J235" s="30">
        <v>55.198285101822087</v>
      </c>
      <c r="K235" s="27">
        <f t="shared" si="6"/>
        <v>47.049167712056509</v>
      </c>
      <c r="L235" s="71">
        <f t="shared" si="7"/>
        <v>33.942491624961811</v>
      </c>
      <c r="M235" s="1" t="str">
        <f>VLOOKUP(A235,Dados!A$2:C$400,3,FALSE)</f>
        <v>P2</v>
      </c>
    </row>
    <row r="236" spans="1:13" ht="18" x14ac:dyDescent="0.25">
      <c r="A236" s="47" t="s">
        <v>268</v>
      </c>
      <c r="B236" s="48">
        <v>4109757</v>
      </c>
      <c r="C236" s="29">
        <v>0</v>
      </c>
      <c r="D236" s="28">
        <v>0</v>
      </c>
      <c r="E236" s="30">
        <v>879</v>
      </c>
      <c r="F236" s="30">
        <v>6218</v>
      </c>
      <c r="G236" s="30">
        <v>0.14136378256674173</v>
      </c>
      <c r="H236" s="28">
        <v>82.162744278744569</v>
      </c>
      <c r="I236" s="49">
        <v>13.35</v>
      </c>
      <c r="J236" s="30">
        <v>71.543408360128609</v>
      </c>
      <c r="K236" s="27">
        <f t="shared" si="6"/>
        <v>51.235384212957719</v>
      </c>
      <c r="L236" s="71">
        <f t="shared" si="7"/>
        <v>41.782803326099952</v>
      </c>
      <c r="M236" s="1" t="str">
        <f>VLOOKUP(A236,Dados!A$2:C$400,3,FALSE)</f>
        <v>P2</v>
      </c>
    </row>
    <row r="237" spans="1:13" ht="18" x14ac:dyDescent="0.25">
      <c r="A237" s="47" t="s">
        <v>227</v>
      </c>
      <c r="B237" s="48">
        <v>4127957</v>
      </c>
      <c r="C237" s="29">
        <v>0</v>
      </c>
      <c r="D237" s="28">
        <v>0</v>
      </c>
      <c r="E237" s="30">
        <v>962</v>
      </c>
      <c r="F237" s="30">
        <v>8077</v>
      </c>
      <c r="G237" s="30">
        <v>0.11910362758449919</v>
      </c>
      <c r="H237" s="28">
        <v>69.224809340934627</v>
      </c>
      <c r="I237" s="49">
        <v>10.029999999999999</v>
      </c>
      <c r="J237" s="30">
        <v>53.751339764201504</v>
      </c>
      <c r="K237" s="27">
        <f t="shared" si="6"/>
        <v>40.992049701712041</v>
      </c>
      <c r="L237" s="71">
        <f t="shared" si="7"/>
        <v>22.598192255482303</v>
      </c>
      <c r="M237" s="1" t="str">
        <f>VLOOKUP(A237,Dados!A$2:C$400,3,FALSE)</f>
        <v>P2</v>
      </c>
    </row>
    <row r="238" spans="1:13" ht="18" x14ac:dyDescent="0.25">
      <c r="A238" s="47" t="s">
        <v>269</v>
      </c>
      <c r="B238" s="48">
        <v>4124509</v>
      </c>
      <c r="C238" s="29">
        <v>11.11</v>
      </c>
      <c r="D238" s="28">
        <v>19.996400287976961</v>
      </c>
      <c r="E238" s="30">
        <v>845</v>
      </c>
      <c r="F238" s="30">
        <v>6181</v>
      </c>
      <c r="G238" s="30">
        <v>0.13670927034460442</v>
      </c>
      <c r="H238" s="28">
        <v>79.457472175055614</v>
      </c>
      <c r="I238" s="49">
        <v>14.72</v>
      </c>
      <c r="J238" s="30">
        <v>78.885316184351566</v>
      </c>
      <c r="K238" s="27">
        <f t="shared" si="6"/>
        <v>59.446396215794721</v>
      </c>
      <c r="L238" s="71">
        <f t="shared" si="7"/>
        <v>57.161103390172045</v>
      </c>
      <c r="M238" s="1" t="str">
        <f>VLOOKUP(A238,Dados!A$2:C$400,3,FALSE)</f>
        <v>P2</v>
      </c>
    </row>
    <row r="239" spans="1:13" ht="18" x14ac:dyDescent="0.25">
      <c r="A239" s="47" t="s">
        <v>234</v>
      </c>
      <c r="B239" s="48">
        <v>4112959</v>
      </c>
      <c r="C239" s="29">
        <v>0</v>
      </c>
      <c r="D239" s="28">
        <v>0</v>
      </c>
      <c r="E239" s="30">
        <v>952</v>
      </c>
      <c r="F239" s="30">
        <v>7771</v>
      </c>
      <c r="G239" s="30">
        <v>0.12250675588727319</v>
      </c>
      <c r="H239" s="28">
        <v>71.202758398406729</v>
      </c>
      <c r="I239" s="49">
        <v>11.45</v>
      </c>
      <c r="J239" s="30">
        <v>61.361200428724537</v>
      </c>
      <c r="K239" s="27">
        <f t="shared" si="6"/>
        <v>44.187986275710422</v>
      </c>
      <c r="L239" s="71">
        <f t="shared" si="7"/>
        <v>28.583821262443731</v>
      </c>
      <c r="M239" s="1" t="str">
        <f>VLOOKUP(A239,Dados!A$2:C$400,3,FALSE)</f>
        <v>P2</v>
      </c>
    </row>
    <row r="240" spans="1:13" ht="18" x14ac:dyDescent="0.25">
      <c r="A240" s="47" t="s">
        <v>215</v>
      </c>
      <c r="B240" s="48">
        <v>4123709</v>
      </c>
      <c r="C240" s="29">
        <v>39.6</v>
      </c>
      <c r="D240" s="28">
        <v>71.274298056155502</v>
      </c>
      <c r="E240" s="30">
        <v>1088</v>
      </c>
      <c r="F240" s="30">
        <v>8912</v>
      </c>
      <c r="G240" s="30">
        <v>0.12208258527827648</v>
      </c>
      <c r="H240" s="28">
        <v>70.956224097719769</v>
      </c>
      <c r="I240" s="49">
        <v>10.55</v>
      </c>
      <c r="J240" s="30">
        <v>56.538049303322623</v>
      </c>
      <c r="K240" s="27">
        <f t="shared" si="6"/>
        <v>66.256190485732631</v>
      </c>
      <c r="L240" s="71">
        <f t="shared" si="7"/>
        <v>69.91508056393829</v>
      </c>
      <c r="M240" s="1" t="str">
        <f>VLOOKUP(A240,Dados!A$2:C$400,3,FALSE)</f>
        <v>P2</v>
      </c>
    </row>
    <row r="241" spans="1:13" ht="18" x14ac:dyDescent="0.25">
      <c r="A241" s="47" t="s">
        <v>187</v>
      </c>
      <c r="B241" s="48">
        <v>4102505</v>
      </c>
      <c r="C241" s="29">
        <v>0</v>
      </c>
      <c r="D241" s="28">
        <v>0</v>
      </c>
      <c r="E241" s="30">
        <v>1274</v>
      </c>
      <c r="F241" s="30">
        <v>10795</v>
      </c>
      <c r="G241" s="30">
        <v>0.11801760074108383</v>
      </c>
      <c r="H241" s="28">
        <v>68.593594299887897</v>
      </c>
      <c r="I241" s="49">
        <v>10.56</v>
      </c>
      <c r="J241" s="30">
        <v>56.59163987138264</v>
      </c>
      <c r="K241" s="27">
        <f t="shared" si="6"/>
        <v>41.72841139042351</v>
      </c>
      <c r="L241" s="71">
        <f t="shared" si="7"/>
        <v>23.977314707231155</v>
      </c>
      <c r="M241" s="1" t="str">
        <f>VLOOKUP(A241,Dados!A$2:C$400,3,FALSE)</f>
        <v>P2</v>
      </c>
    </row>
    <row r="242" spans="1:13" ht="18" x14ac:dyDescent="0.25">
      <c r="A242" s="47" t="s">
        <v>224</v>
      </c>
      <c r="B242" s="48">
        <v>4128559</v>
      </c>
      <c r="C242" s="29">
        <v>0</v>
      </c>
      <c r="D242" s="28">
        <v>0</v>
      </c>
      <c r="E242" s="30">
        <v>1030</v>
      </c>
      <c r="F242" s="30">
        <v>8215</v>
      </c>
      <c r="G242" s="30">
        <v>0.12538040170419965</v>
      </c>
      <c r="H242" s="28">
        <v>72.872964317609117</v>
      </c>
      <c r="I242" s="49">
        <v>11.44</v>
      </c>
      <c r="J242" s="30">
        <v>61.307609860664527</v>
      </c>
      <c r="K242" s="27">
        <f t="shared" si="6"/>
        <v>44.726858059424551</v>
      </c>
      <c r="L242" s="71">
        <f t="shared" si="7"/>
        <v>29.593067380115269</v>
      </c>
      <c r="M242" s="1" t="str">
        <f>VLOOKUP(A242,Dados!A$2:C$400,3,FALSE)</f>
        <v>P2</v>
      </c>
    </row>
    <row r="243" spans="1:13" ht="18" x14ac:dyDescent="0.25">
      <c r="A243" s="47" t="s">
        <v>260</v>
      </c>
      <c r="B243" s="48">
        <v>4103040</v>
      </c>
      <c r="C243" s="29">
        <v>23.26</v>
      </c>
      <c r="D243" s="28">
        <v>41.864650827933765</v>
      </c>
      <c r="E243" s="30">
        <v>878</v>
      </c>
      <c r="F243" s="30">
        <v>6378</v>
      </c>
      <c r="G243" s="30">
        <v>0.1376607086861085</v>
      </c>
      <c r="H243" s="28">
        <v>80.010462366253151</v>
      </c>
      <c r="I243" s="49">
        <v>10.66</v>
      </c>
      <c r="J243" s="30">
        <v>57.127545551982848</v>
      </c>
      <c r="K243" s="27">
        <f t="shared" si="6"/>
        <v>59.667552915389926</v>
      </c>
      <c r="L243" s="71">
        <f t="shared" si="7"/>
        <v>57.5753049631791</v>
      </c>
      <c r="M243" s="1" t="str">
        <f>VLOOKUP(A243,Dados!A$2:C$400,3,FALSE)</f>
        <v>P2</v>
      </c>
    </row>
    <row r="244" spans="1:13" ht="18" x14ac:dyDescent="0.25">
      <c r="A244" s="47" t="s">
        <v>255</v>
      </c>
      <c r="B244" s="48">
        <v>4108650</v>
      </c>
      <c r="C244" s="29">
        <v>18.52</v>
      </c>
      <c r="D244" s="28">
        <v>33.333333333333329</v>
      </c>
      <c r="E244" s="30">
        <v>936</v>
      </c>
      <c r="F244" s="30">
        <v>6566</v>
      </c>
      <c r="G244" s="30">
        <v>0.14255254340542187</v>
      </c>
      <c r="H244" s="28">
        <v>82.853669854048476</v>
      </c>
      <c r="I244" s="49">
        <v>15.53</v>
      </c>
      <c r="J244" s="30">
        <v>83.226152197213281</v>
      </c>
      <c r="K244" s="27">
        <f t="shared" si="6"/>
        <v>66.471051794865033</v>
      </c>
      <c r="L244" s="71">
        <f t="shared" si="7"/>
        <v>70.317491580126784</v>
      </c>
      <c r="M244" s="1" t="str">
        <f>VLOOKUP(A244,Dados!A$2:C$400,3,FALSE)</f>
        <v>P2</v>
      </c>
    </row>
    <row r="245" spans="1:13" ht="18" x14ac:dyDescent="0.25">
      <c r="A245" s="47" t="s">
        <v>244</v>
      </c>
      <c r="B245" s="48">
        <v>4117271</v>
      </c>
      <c r="C245" s="29">
        <v>11.63</v>
      </c>
      <c r="D245" s="28">
        <v>20.932325413966883</v>
      </c>
      <c r="E245" s="30">
        <v>890</v>
      </c>
      <c r="F245" s="30">
        <v>6848</v>
      </c>
      <c r="G245" s="30">
        <v>0.12996495327102803</v>
      </c>
      <c r="H245" s="28">
        <v>75.53757424229191</v>
      </c>
      <c r="I245" s="49">
        <v>13</v>
      </c>
      <c r="J245" s="30">
        <v>69.667738478027857</v>
      </c>
      <c r="K245" s="27">
        <f t="shared" si="6"/>
        <v>55.379212711428885</v>
      </c>
      <c r="L245" s="71">
        <f t="shared" si="7"/>
        <v>49.543727076001318</v>
      </c>
      <c r="M245" s="1" t="str">
        <f>VLOOKUP(A245,Dados!A$2:C$400,3,FALSE)</f>
        <v>P2</v>
      </c>
    </row>
    <row r="246" spans="1:13" ht="18" x14ac:dyDescent="0.25">
      <c r="A246" s="47" t="s">
        <v>231</v>
      </c>
      <c r="B246" s="48">
        <v>4128609</v>
      </c>
      <c r="C246" s="29">
        <v>11.49</v>
      </c>
      <c r="D246" s="28">
        <v>20.680345572354213</v>
      </c>
      <c r="E246" s="30">
        <v>978</v>
      </c>
      <c r="F246" s="30">
        <v>7932</v>
      </c>
      <c r="G246" s="30">
        <v>0.12329803328290469</v>
      </c>
      <c r="H246" s="28">
        <v>71.662660652933113</v>
      </c>
      <c r="I246" s="49">
        <v>12.73</v>
      </c>
      <c r="J246" s="30">
        <v>68.220793140407281</v>
      </c>
      <c r="K246" s="27">
        <f t="shared" si="6"/>
        <v>53.521266455231533</v>
      </c>
      <c r="L246" s="71">
        <f t="shared" si="7"/>
        <v>46.064003136875392</v>
      </c>
      <c r="M246" s="1" t="str">
        <f>VLOOKUP(A246,Dados!A$2:C$400,3,FALSE)</f>
        <v>P2</v>
      </c>
    </row>
    <row r="247" spans="1:13" ht="18" x14ac:dyDescent="0.25">
      <c r="A247" s="47" t="s">
        <v>295</v>
      </c>
      <c r="B247" s="48">
        <v>4110003</v>
      </c>
      <c r="C247" s="29">
        <v>0</v>
      </c>
      <c r="D247" s="28">
        <v>0</v>
      </c>
      <c r="E247" s="30">
        <v>727</v>
      </c>
      <c r="F247" s="30">
        <v>5338</v>
      </c>
      <c r="G247" s="30">
        <v>0.13619333083551893</v>
      </c>
      <c r="H247" s="28">
        <v>79.157600417391805</v>
      </c>
      <c r="I247" s="49">
        <v>8.06</v>
      </c>
      <c r="J247" s="30">
        <v>43.19399785637728</v>
      </c>
      <c r="K247" s="27">
        <f t="shared" si="6"/>
        <v>40.783866091256364</v>
      </c>
      <c r="L247" s="71">
        <f t="shared" si="7"/>
        <v>22.208287816309259</v>
      </c>
      <c r="M247" s="1" t="str">
        <f>VLOOKUP(A247,Dados!A$2:C$400,3,FALSE)</f>
        <v>P2</v>
      </c>
    </row>
    <row r="248" spans="1:13" ht="18" x14ac:dyDescent="0.25">
      <c r="A248" s="47" t="s">
        <v>226</v>
      </c>
      <c r="B248" s="48">
        <v>4120705</v>
      </c>
      <c r="C248" s="29">
        <v>0</v>
      </c>
      <c r="D248" s="28">
        <v>0</v>
      </c>
      <c r="E248" s="30">
        <v>995</v>
      </c>
      <c r="F248" s="30">
        <v>8099</v>
      </c>
      <c r="G248" s="30">
        <v>0.12285467341647117</v>
      </c>
      <c r="H248" s="28">
        <v>71.404973268881704</v>
      </c>
      <c r="I248" s="49">
        <v>13.33</v>
      </c>
      <c r="J248" s="30">
        <v>71.436227224008576</v>
      </c>
      <c r="K248" s="27">
        <f t="shared" si="6"/>
        <v>47.613733497630086</v>
      </c>
      <c r="L248" s="71">
        <f t="shared" si="7"/>
        <v>34.999859712288846</v>
      </c>
      <c r="M248" s="1" t="str">
        <f>VLOOKUP(A248,Dados!A$2:C$400,3,FALSE)</f>
        <v>P2</v>
      </c>
    </row>
    <row r="249" spans="1:13" ht="18" x14ac:dyDescent="0.25">
      <c r="A249" s="47" t="s">
        <v>223</v>
      </c>
      <c r="B249" s="48">
        <v>4106001</v>
      </c>
      <c r="C249" s="29">
        <v>0</v>
      </c>
      <c r="D249" s="28">
        <v>0</v>
      </c>
      <c r="E249" s="30">
        <v>1170</v>
      </c>
      <c r="F249" s="30">
        <v>8320</v>
      </c>
      <c r="G249" s="30">
        <v>0.140625</v>
      </c>
      <c r="H249" s="28">
        <v>81.733352803738327</v>
      </c>
      <c r="I249" s="49">
        <v>13.82</v>
      </c>
      <c r="J249" s="30">
        <v>74.062165058949631</v>
      </c>
      <c r="K249" s="27">
        <f t="shared" si="6"/>
        <v>51.93183928756266</v>
      </c>
      <c r="L249" s="71">
        <f t="shared" si="7"/>
        <v>43.087185187278571</v>
      </c>
      <c r="M249" s="1" t="str">
        <f>VLOOKUP(A249,Dados!A$2:C$400,3,FALSE)</f>
        <v>P2</v>
      </c>
    </row>
    <row r="250" spans="1:13" ht="18" x14ac:dyDescent="0.25">
      <c r="A250" s="47" t="s">
        <v>185</v>
      </c>
      <c r="B250" s="48">
        <v>4105102</v>
      </c>
      <c r="C250" s="29">
        <v>0</v>
      </c>
      <c r="D250" s="28">
        <v>0</v>
      </c>
      <c r="E250" s="30">
        <v>1339</v>
      </c>
      <c r="F250" s="30">
        <v>10832</v>
      </c>
      <c r="G250" s="30">
        <v>0.12361521418020679</v>
      </c>
      <c r="H250" s="28">
        <v>71.847010933337017</v>
      </c>
      <c r="I250" s="49">
        <v>9.69</v>
      </c>
      <c r="J250" s="30">
        <v>51.929260450160761</v>
      </c>
      <c r="K250" s="27">
        <f t="shared" si="6"/>
        <v>41.258757127832588</v>
      </c>
      <c r="L250" s="71">
        <f t="shared" si="7"/>
        <v>23.097705205503686</v>
      </c>
      <c r="M250" s="1" t="str">
        <f>VLOOKUP(A250,Dados!A$2:C$400,3,FALSE)</f>
        <v>P2</v>
      </c>
    </row>
    <row r="251" spans="1:13" ht="18" x14ac:dyDescent="0.25">
      <c r="A251" s="47" t="s">
        <v>250</v>
      </c>
      <c r="B251" s="48">
        <v>4113007</v>
      </c>
      <c r="C251" s="29">
        <v>0</v>
      </c>
      <c r="D251" s="28">
        <v>0</v>
      </c>
      <c r="E251" s="30">
        <v>875</v>
      </c>
      <c r="F251" s="30">
        <v>6690</v>
      </c>
      <c r="G251" s="30">
        <v>0.13079222720478326</v>
      </c>
      <c r="H251" s="28">
        <v>76.018398223041785</v>
      </c>
      <c r="I251" s="49">
        <v>9.57</v>
      </c>
      <c r="J251" s="30">
        <v>51.286173633440512</v>
      </c>
      <c r="K251" s="27">
        <f t="shared" si="6"/>
        <v>42.434857285494097</v>
      </c>
      <c r="L251" s="71">
        <f t="shared" si="7"/>
        <v>25.300408249132428</v>
      </c>
      <c r="M251" s="1" t="str">
        <f>VLOOKUP(A251,Dados!A$2:C$400,3,FALSE)</f>
        <v>P2</v>
      </c>
    </row>
    <row r="252" spans="1:13" ht="18" x14ac:dyDescent="0.25">
      <c r="A252" s="47" t="s">
        <v>245</v>
      </c>
      <c r="B252" s="48">
        <v>4121604</v>
      </c>
      <c r="C252" s="29">
        <v>0</v>
      </c>
      <c r="D252" s="28">
        <v>0</v>
      </c>
      <c r="E252" s="30">
        <v>903</v>
      </c>
      <c r="F252" s="30">
        <v>6845</v>
      </c>
      <c r="G252" s="30">
        <v>0.13192111029948866</v>
      </c>
      <c r="H252" s="28">
        <v>76.67452195817944</v>
      </c>
      <c r="I252" s="49">
        <v>12.71</v>
      </c>
      <c r="J252" s="30">
        <v>68.113612004287248</v>
      </c>
      <c r="K252" s="27">
        <f t="shared" si="6"/>
        <v>48.262711320822234</v>
      </c>
      <c r="L252" s="71">
        <f t="shared" si="7"/>
        <v>36.21532203246678</v>
      </c>
      <c r="M252" s="1" t="str">
        <f>VLOOKUP(A252,Dados!A$2:C$400,3,FALSE)</f>
        <v>P2</v>
      </c>
    </row>
    <row r="253" spans="1:13" ht="18" x14ac:dyDescent="0.25">
      <c r="A253" s="47" t="s">
        <v>271</v>
      </c>
      <c r="B253" s="48">
        <v>4126272</v>
      </c>
      <c r="C253" s="29">
        <v>23.81</v>
      </c>
      <c r="D253" s="28">
        <v>42.854571634269256</v>
      </c>
      <c r="E253" s="30">
        <v>957</v>
      </c>
      <c r="F253" s="30">
        <v>6108</v>
      </c>
      <c r="G253" s="30">
        <v>0.15667976424361493</v>
      </c>
      <c r="H253" s="28">
        <v>91.064621853368351</v>
      </c>
      <c r="I253" s="49">
        <v>15.55</v>
      </c>
      <c r="J253" s="30">
        <v>83.333333333333343</v>
      </c>
      <c r="K253" s="27">
        <f t="shared" si="6"/>
        <v>72.417508940323657</v>
      </c>
      <c r="L253" s="71">
        <f t="shared" si="7"/>
        <v>81.454535621642293</v>
      </c>
      <c r="M253" s="1" t="str">
        <f>VLOOKUP(A253,Dados!A$2:C$400,3,FALSE)</f>
        <v>P2</v>
      </c>
    </row>
    <row r="254" spans="1:13" ht="18" x14ac:dyDescent="0.25">
      <c r="A254" s="47" t="s">
        <v>249</v>
      </c>
      <c r="B254" s="48">
        <v>4126207</v>
      </c>
      <c r="C254" s="29">
        <v>0</v>
      </c>
      <c r="D254" s="28">
        <v>0</v>
      </c>
      <c r="E254" s="30">
        <v>835</v>
      </c>
      <c r="F254" s="30">
        <v>6695</v>
      </c>
      <c r="G254" s="30">
        <v>0.12471994025392083</v>
      </c>
      <c r="H254" s="28">
        <v>72.489094246648008</v>
      </c>
      <c r="I254" s="49">
        <v>13.29</v>
      </c>
      <c r="J254" s="30">
        <v>71.221864951768481</v>
      </c>
      <c r="K254" s="27">
        <f t="shared" si="6"/>
        <v>47.903653066138837</v>
      </c>
      <c r="L254" s="71">
        <f t="shared" si="7"/>
        <v>35.542846388892578</v>
      </c>
      <c r="M254" s="1" t="str">
        <f>VLOOKUP(A254,Dados!A$2:C$400,3,FALSE)</f>
        <v>P2</v>
      </c>
    </row>
    <row r="255" spans="1:13" ht="18" x14ac:dyDescent="0.25">
      <c r="A255" s="47" t="s">
        <v>289</v>
      </c>
      <c r="B255" s="48">
        <v>4113254</v>
      </c>
      <c r="C255" s="29">
        <v>10.87</v>
      </c>
      <c r="D255" s="28">
        <v>19.564434845212382</v>
      </c>
      <c r="E255" s="30">
        <v>846</v>
      </c>
      <c r="F255" s="30">
        <v>5600</v>
      </c>
      <c r="G255" s="30">
        <v>0.15107142857142858</v>
      </c>
      <c r="H255" s="28">
        <v>87.804973297730314</v>
      </c>
      <c r="I255" s="49">
        <v>15.71</v>
      </c>
      <c r="J255" s="30">
        <v>84.19078242229368</v>
      </c>
      <c r="K255" s="27">
        <f t="shared" si="6"/>
        <v>63.853396855078792</v>
      </c>
      <c r="L255" s="71">
        <f t="shared" si="7"/>
        <v>65.414918899155793</v>
      </c>
      <c r="M255" s="1" t="str">
        <f>VLOOKUP(A255,Dados!A$2:C$400,3,FALSE)</f>
        <v>P2</v>
      </c>
    </row>
    <row r="256" spans="1:13" ht="18" x14ac:dyDescent="0.25">
      <c r="A256" s="47" t="s">
        <v>221</v>
      </c>
      <c r="B256" s="48">
        <v>4127809</v>
      </c>
      <c r="C256" s="29">
        <v>25.32</v>
      </c>
      <c r="D256" s="28">
        <v>45.572354211663061</v>
      </c>
      <c r="E256" s="30">
        <v>1011</v>
      </c>
      <c r="F256" s="30">
        <v>8426</v>
      </c>
      <c r="G256" s="30">
        <v>0.11998575836695941</v>
      </c>
      <c r="H256" s="28">
        <v>69.737516942441175</v>
      </c>
      <c r="I256" s="49">
        <v>9.14</v>
      </c>
      <c r="J256" s="30">
        <v>48.981779206859592</v>
      </c>
      <c r="K256" s="27">
        <f t="shared" si="6"/>
        <v>54.763883453654607</v>
      </c>
      <c r="L256" s="71">
        <f t="shared" si="7"/>
        <v>48.391284726509426</v>
      </c>
      <c r="M256" s="1" t="str">
        <f>VLOOKUP(A256,Dados!A$2:C$400,3,FALSE)</f>
        <v>P2</v>
      </c>
    </row>
    <row r="257" spans="1:13" ht="18" x14ac:dyDescent="0.25">
      <c r="A257" s="47" t="s">
        <v>241</v>
      </c>
      <c r="B257" s="48">
        <v>4117008</v>
      </c>
      <c r="C257" s="29">
        <v>15.15</v>
      </c>
      <c r="D257" s="28">
        <v>27.267818574514042</v>
      </c>
      <c r="E257" s="30">
        <v>926</v>
      </c>
      <c r="F257" s="30">
        <v>7225</v>
      </c>
      <c r="G257" s="30">
        <v>0.12816608996539791</v>
      </c>
      <c r="H257" s="28">
        <v>74.492047990169127</v>
      </c>
      <c r="I257" s="49">
        <v>10.1</v>
      </c>
      <c r="J257" s="30">
        <v>54.126473740621648</v>
      </c>
      <c r="K257" s="27">
        <f t="shared" si="6"/>
        <v>51.962113435101607</v>
      </c>
      <c r="L257" s="71">
        <f t="shared" si="7"/>
        <v>43.143885253589161</v>
      </c>
      <c r="M257" s="1" t="str">
        <f>VLOOKUP(A257,Dados!A$2:C$400,3,FALSE)</f>
        <v>P2</v>
      </c>
    </row>
    <row r="258" spans="1:13" ht="18" x14ac:dyDescent="0.25">
      <c r="A258" s="47" t="s">
        <v>219</v>
      </c>
      <c r="B258" s="48">
        <v>4114906</v>
      </c>
      <c r="C258" s="29">
        <v>8</v>
      </c>
      <c r="D258" s="28">
        <v>14.398848092152628</v>
      </c>
      <c r="E258" s="30">
        <v>1164</v>
      </c>
      <c r="F258" s="30">
        <v>8677</v>
      </c>
      <c r="G258" s="30">
        <v>0.13414774691713727</v>
      </c>
      <c r="H258" s="28">
        <v>77.968676455857647</v>
      </c>
      <c r="I258" s="49">
        <v>11.76</v>
      </c>
      <c r="J258" s="30">
        <v>63.022508038585215</v>
      </c>
      <c r="K258" s="27">
        <f t="shared" ref="K258:K321" si="8">(D258+H258+J258)/3</f>
        <v>51.796677528865168</v>
      </c>
      <c r="L258" s="71">
        <f t="shared" si="7"/>
        <v>42.834042446564084</v>
      </c>
      <c r="M258" s="1" t="str">
        <f>VLOOKUP(A258,Dados!A$2:C$400,3,FALSE)</f>
        <v>P2</v>
      </c>
    </row>
    <row r="259" spans="1:13" ht="18" x14ac:dyDescent="0.25">
      <c r="A259" s="47" t="s">
        <v>246</v>
      </c>
      <c r="B259" s="48">
        <v>4111555</v>
      </c>
      <c r="C259" s="29">
        <v>22.73</v>
      </c>
      <c r="D259" s="28">
        <v>40.910727141828652</v>
      </c>
      <c r="E259" s="30">
        <v>900</v>
      </c>
      <c r="F259" s="30">
        <v>6831</v>
      </c>
      <c r="G259" s="30">
        <v>0.13175230566534915</v>
      </c>
      <c r="H259" s="28">
        <v>76.576410180636117</v>
      </c>
      <c r="I259" s="49">
        <v>10.25</v>
      </c>
      <c r="J259" s="30">
        <v>54.930332261521976</v>
      </c>
      <c r="K259" s="27">
        <f t="shared" si="8"/>
        <v>57.472489861328917</v>
      </c>
      <c r="L259" s="71">
        <f t="shared" ref="L259:L322" si="9">(K259-K$401)/(K$402-K$401)*100</f>
        <v>53.46419925620345</v>
      </c>
      <c r="M259" s="1" t="str">
        <f>VLOOKUP(A259,Dados!A$2:C$400,3,FALSE)</f>
        <v>P2</v>
      </c>
    </row>
    <row r="260" spans="1:13" ht="18" x14ac:dyDescent="0.25">
      <c r="A260" s="47" t="s">
        <v>270</v>
      </c>
      <c r="B260" s="48">
        <v>4111100</v>
      </c>
      <c r="C260" s="29">
        <v>14.08</v>
      </c>
      <c r="D260" s="28">
        <v>25.341972642188626</v>
      </c>
      <c r="E260" s="30">
        <v>696</v>
      </c>
      <c r="F260" s="30">
        <v>6111</v>
      </c>
      <c r="G260" s="30">
        <v>0.11389297987236131</v>
      </c>
      <c r="H260" s="28">
        <v>66.196302974412617</v>
      </c>
      <c r="I260" s="49">
        <v>9.33</v>
      </c>
      <c r="J260" s="30">
        <v>50</v>
      </c>
      <c r="K260" s="27">
        <f t="shared" si="8"/>
        <v>47.179425205533754</v>
      </c>
      <c r="L260" s="71">
        <f t="shared" si="9"/>
        <v>34.186449229651082</v>
      </c>
      <c r="M260" s="1" t="str">
        <f>VLOOKUP(A260,Dados!A$2:C$400,3,FALSE)</f>
        <v>P2</v>
      </c>
    </row>
    <row r="261" spans="1:13" ht="18" x14ac:dyDescent="0.25">
      <c r="A261" s="47" t="s">
        <v>284</v>
      </c>
      <c r="B261" s="48">
        <v>4128633</v>
      </c>
      <c r="C261" s="29">
        <v>0</v>
      </c>
      <c r="D261" s="28">
        <v>0</v>
      </c>
      <c r="E261" s="30">
        <v>784</v>
      </c>
      <c r="F261" s="30">
        <v>5697</v>
      </c>
      <c r="G261" s="30">
        <v>0.13761628927505704</v>
      </c>
      <c r="H261" s="28">
        <v>79.98464514033455</v>
      </c>
      <c r="I261" s="49">
        <v>12.29</v>
      </c>
      <c r="J261" s="30">
        <v>65.862808145766337</v>
      </c>
      <c r="K261" s="27">
        <f t="shared" si="8"/>
        <v>48.615817762033629</v>
      </c>
      <c r="L261" s="71">
        <f t="shared" si="9"/>
        <v>36.876650600203533</v>
      </c>
      <c r="M261" s="1" t="str">
        <f>VLOOKUP(A261,Dados!A$2:C$400,3,FALSE)</f>
        <v>P2</v>
      </c>
    </row>
    <row r="262" spans="1:13" ht="18" x14ac:dyDescent="0.25">
      <c r="A262" s="47" t="s">
        <v>302</v>
      </c>
      <c r="B262" s="48">
        <v>4121109</v>
      </c>
      <c r="C262" s="29">
        <v>17.54</v>
      </c>
      <c r="D262" s="28">
        <v>31.56947444204463</v>
      </c>
      <c r="E262" s="30">
        <v>640</v>
      </c>
      <c r="F262" s="30">
        <v>5001</v>
      </c>
      <c r="G262" s="30">
        <v>0.1279744051189762</v>
      </c>
      <c r="H262" s="28">
        <v>74.380637891113366</v>
      </c>
      <c r="I262" s="49">
        <v>11</v>
      </c>
      <c r="J262" s="30">
        <v>58.949624866023576</v>
      </c>
      <c r="K262" s="27">
        <f t="shared" si="8"/>
        <v>54.966579066393855</v>
      </c>
      <c r="L262" s="71">
        <f t="shared" si="9"/>
        <v>48.77091076448113</v>
      </c>
      <c r="M262" s="1" t="str">
        <f>VLOOKUP(A262,Dados!A$2:C$400,3,FALSE)</f>
        <v>P2</v>
      </c>
    </row>
    <row r="263" spans="1:13" ht="18" x14ac:dyDescent="0.25">
      <c r="A263" s="47" t="s">
        <v>195</v>
      </c>
      <c r="B263" s="48">
        <v>4128401</v>
      </c>
      <c r="C263" s="29">
        <v>0</v>
      </c>
      <c r="D263" s="28">
        <v>0</v>
      </c>
      <c r="E263" s="30">
        <v>1212</v>
      </c>
      <c r="F263" s="30">
        <v>10406</v>
      </c>
      <c r="G263" s="30">
        <v>0.11647126657697482</v>
      </c>
      <c r="H263" s="28">
        <v>67.694841760953878</v>
      </c>
      <c r="I263" s="49">
        <v>8.4600000000000009</v>
      </c>
      <c r="J263" s="30">
        <v>45.337620578778136</v>
      </c>
      <c r="K263" s="27">
        <f t="shared" si="8"/>
        <v>37.677487446577338</v>
      </c>
      <c r="L263" s="71">
        <f t="shared" si="9"/>
        <v>16.390390717389636</v>
      </c>
      <c r="M263" s="1" t="str">
        <f>VLOOKUP(A263,Dados!A$2:C$400,3,FALSE)</f>
        <v>P2</v>
      </c>
    </row>
    <row r="264" spans="1:13" ht="18" x14ac:dyDescent="0.25">
      <c r="A264" s="47" t="s">
        <v>330</v>
      </c>
      <c r="B264" s="48">
        <v>4121257</v>
      </c>
      <c r="C264" s="29">
        <v>16.95</v>
      </c>
      <c r="D264" s="28">
        <v>30.507559395248379</v>
      </c>
      <c r="E264" s="30">
        <v>590</v>
      </c>
      <c r="F264" s="30">
        <v>4221</v>
      </c>
      <c r="G264" s="30">
        <v>0.13977730395640844</v>
      </c>
      <c r="H264" s="28">
        <v>81.24065918737422</v>
      </c>
      <c r="I264" s="49">
        <v>12.79</v>
      </c>
      <c r="J264" s="30">
        <v>68.542336548767409</v>
      </c>
      <c r="K264" s="27">
        <f t="shared" si="8"/>
        <v>60.096851710463341</v>
      </c>
      <c r="L264" s="71">
        <f t="shared" si="9"/>
        <v>58.379333222485322</v>
      </c>
      <c r="M264" s="1" t="str">
        <f>VLOOKUP(A264,Dados!A$2:C$400,3,FALSE)</f>
        <v>P1</v>
      </c>
    </row>
    <row r="265" spans="1:13" ht="18" x14ac:dyDescent="0.25">
      <c r="A265" s="47" t="s">
        <v>256</v>
      </c>
      <c r="B265" s="48">
        <v>4119202</v>
      </c>
      <c r="C265" s="29">
        <v>0</v>
      </c>
      <c r="D265" s="28">
        <v>0</v>
      </c>
      <c r="E265" s="30">
        <v>821</v>
      </c>
      <c r="F265" s="30">
        <v>6566</v>
      </c>
      <c r="G265" s="30">
        <v>0.12503807493146513</v>
      </c>
      <c r="H265" s="28">
        <v>72.673998878390805</v>
      </c>
      <c r="I265" s="49">
        <v>10.81</v>
      </c>
      <c r="J265" s="30">
        <v>57.931404072883176</v>
      </c>
      <c r="K265" s="27">
        <f t="shared" si="8"/>
        <v>43.535134317091327</v>
      </c>
      <c r="L265" s="71">
        <f t="shared" si="9"/>
        <v>27.361103123243257</v>
      </c>
      <c r="M265" s="1" t="str">
        <f>VLOOKUP(A265,Dados!A$2:C$400,3,FALSE)</f>
        <v>P2</v>
      </c>
    </row>
    <row r="266" spans="1:13" ht="18" x14ac:dyDescent="0.25">
      <c r="A266" s="47" t="s">
        <v>325</v>
      </c>
      <c r="B266" s="48">
        <v>4120853</v>
      </c>
      <c r="C266" s="29">
        <v>21.74</v>
      </c>
      <c r="D266" s="28">
        <v>39.128869690424764</v>
      </c>
      <c r="E266" s="30">
        <v>522</v>
      </c>
      <c r="F266" s="30">
        <v>4480</v>
      </c>
      <c r="G266" s="30">
        <v>0.11651785714285715</v>
      </c>
      <c r="H266" s="28">
        <v>67.72192089452605</v>
      </c>
      <c r="I266" s="49">
        <v>10.71</v>
      </c>
      <c r="J266" s="30">
        <v>57.39549839228296</v>
      </c>
      <c r="K266" s="27">
        <f t="shared" si="8"/>
        <v>54.748762992411258</v>
      </c>
      <c r="L266" s="71">
        <f t="shared" si="9"/>
        <v>48.362965806743254</v>
      </c>
      <c r="M266" s="1" t="str">
        <f>VLOOKUP(A266,Dados!A$2:C$400,3,FALSE)</f>
        <v>P1</v>
      </c>
    </row>
    <row r="267" spans="1:13" ht="18" x14ac:dyDescent="0.25">
      <c r="A267" s="47" t="s">
        <v>305</v>
      </c>
      <c r="B267" s="48">
        <v>4108452</v>
      </c>
      <c r="C267" s="29">
        <v>0</v>
      </c>
      <c r="D267" s="28">
        <v>0</v>
      </c>
      <c r="E267" s="30">
        <v>726</v>
      </c>
      <c r="F267" s="30">
        <v>4926</v>
      </c>
      <c r="G267" s="30">
        <v>0.14738124238733252</v>
      </c>
      <c r="H267" s="28">
        <v>85.660181907179535</v>
      </c>
      <c r="I267" s="49">
        <v>15.23</v>
      </c>
      <c r="J267" s="30">
        <v>81.618435155412655</v>
      </c>
      <c r="K267" s="27">
        <f t="shared" si="8"/>
        <v>55.759539020864061</v>
      </c>
      <c r="L267" s="71">
        <f t="shared" si="9"/>
        <v>50.25603538912209</v>
      </c>
      <c r="M267" s="1" t="str">
        <f>VLOOKUP(A267,Dados!A$2:C$400,3,FALSE)</f>
        <v>P1</v>
      </c>
    </row>
    <row r="268" spans="1:13" ht="18" x14ac:dyDescent="0.25">
      <c r="A268" s="47" t="s">
        <v>265</v>
      </c>
      <c r="B268" s="48">
        <v>4107736</v>
      </c>
      <c r="C268" s="29">
        <v>0</v>
      </c>
      <c r="D268" s="28">
        <v>0</v>
      </c>
      <c r="E268" s="30">
        <v>940</v>
      </c>
      <c r="F268" s="30">
        <v>6255</v>
      </c>
      <c r="G268" s="30">
        <v>0.15027977617905675</v>
      </c>
      <c r="H268" s="28">
        <v>87.344853089491025</v>
      </c>
      <c r="I268" s="49">
        <v>9.91</v>
      </c>
      <c r="J268" s="30">
        <v>53.10825294748124</v>
      </c>
      <c r="K268" s="27">
        <f t="shared" si="8"/>
        <v>46.817702012324084</v>
      </c>
      <c r="L268" s="71">
        <f t="shared" si="9"/>
        <v>33.508982456567495</v>
      </c>
      <c r="M268" s="1" t="str">
        <f>VLOOKUP(A268,Dados!A$2:C$400,3,FALSE)</f>
        <v>P2</v>
      </c>
    </row>
    <row r="269" spans="1:13" ht="18" x14ac:dyDescent="0.25">
      <c r="A269" s="47" t="s">
        <v>230</v>
      </c>
      <c r="B269" s="48">
        <v>4107751</v>
      </c>
      <c r="C269" s="29">
        <v>0</v>
      </c>
      <c r="D269" s="28">
        <v>0</v>
      </c>
      <c r="E269" s="30">
        <v>991</v>
      </c>
      <c r="F269" s="30">
        <v>8062</v>
      </c>
      <c r="G269" s="30">
        <v>0.12292235177375341</v>
      </c>
      <c r="H269" s="28">
        <v>71.444308942146961</v>
      </c>
      <c r="I269" s="49">
        <v>10.3</v>
      </c>
      <c r="J269" s="30">
        <v>55.198285101822087</v>
      </c>
      <c r="K269" s="27">
        <f t="shared" si="8"/>
        <v>42.214198014656347</v>
      </c>
      <c r="L269" s="71">
        <f t="shared" si="9"/>
        <v>24.887138304125671</v>
      </c>
      <c r="M269" s="1" t="str">
        <f>VLOOKUP(A269,Dados!A$2:C$400,3,FALSE)</f>
        <v>P2</v>
      </c>
    </row>
    <row r="270" spans="1:13" ht="18" x14ac:dyDescent="0.25">
      <c r="A270" s="47" t="s">
        <v>263</v>
      </c>
      <c r="B270" s="48">
        <v>4107306</v>
      </c>
      <c r="C270" s="29">
        <v>33.33</v>
      </c>
      <c r="D270" s="28">
        <v>59.989200863930883</v>
      </c>
      <c r="E270" s="30">
        <v>689</v>
      </c>
      <c r="F270" s="30">
        <v>6327</v>
      </c>
      <c r="G270" s="30">
        <v>0.10889837205626679</v>
      </c>
      <c r="H270" s="28">
        <v>63.293362225974136</v>
      </c>
      <c r="I270" s="49">
        <v>9.17</v>
      </c>
      <c r="J270" s="30">
        <v>49.142550911039656</v>
      </c>
      <c r="K270" s="27">
        <f t="shared" si="8"/>
        <v>57.475038000314889</v>
      </c>
      <c r="L270" s="71">
        <f t="shared" si="9"/>
        <v>53.468971633337681</v>
      </c>
      <c r="M270" s="1" t="str">
        <f>VLOOKUP(A270,Dados!A$2:C$400,3,FALSE)</f>
        <v>P2</v>
      </c>
    </row>
    <row r="271" spans="1:13" ht="18" x14ac:dyDescent="0.25">
      <c r="A271" s="47" t="s">
        <v>279</v>
      </c>
      <c r="B271" s="48">
        <v>4128807</v>
      </c>
      <c r="C271" s="29">
        <v>0</v>
      </c>
      <c r="D271" s="28">
        <v>0</v>
      </c>
      <c r="E271" s="30">
        <v>724</v>
      </c>
      <c r="F271" s="30">
        <v>5798</v>
      </c>
      <c r="G271" s="30">
        <v>0.12487064505001724</v>
      </c>
      <c r="H271" s="28">
        <v>72.576686127668907</v>
      </c>
      <c r="I271" s="49">
        <v>11.9</v>
      </c>
      <c r="J271" s="30">
        <v>63.772775991425512</v>
      </c>
      <c r="K271" s="27">
        <f t="shared" si="8"/>
        <v>45.449820706364811</v>
      </c>
      <c r="L271" s="71">
        <f t="shared" si="9"/>
        <v>30.947094936757708</v>
      </c>
      <c r="M271" s="1" t="str">
        <f>VLOOKUP(A271,Dados!A$2:C$400,3,FALSE)</f>
        <v>P2</v>
      </c>
    </row>
    <row r="272" spans="1:13" ht="18" x14ac:dyDescent="0.25">
      <c r="A272" s="47" t="s">
        <v>298</v>
      </c>
      <c r="B272" s="48">
        <v>4113452</v>
      </c>
      <c r="C272" s="29">
        <v>31.25</v>
      </c>
      <c r="D272" s="28">
        <v>56.245500359971203</v>
      </c>
      <c r="E272" s="30">
        <v>700</v>
      </c>
      <c r="F272" s="30">
        <v>5175</v>
      </c>
      <c r="G272" s="30">
        <v>0.13526570048309178</v>
      </c>
      <c r="H272" s="28">
        <v>78.618447785453071</v>
      </c>
      <c r="I272" s="49">
        <v>16.62</v>
      </c>
      <c r="J272" s="30">
        <v>89.067524115755631</v>
      </c>
      <c r="K272" s="27">
        <f t="shared" si="8"/>
        <v>74.643824087059969</v>
      </c>
      <c r="L272" s="71">
        <f t="shared" si="9"/>
        <v>85.624172975950188</v>
      </c>
      <c r="M272" s="1" t="str">
        <f>VLOOKUP(A272,Dados!A$2:C$400,3,FALSE)</f>
        <v>P2</v>
      </c>
    </row>
    <row r="273" spans="1:13" ht="18" x14ac:dyDescent="0.25">
      <c r="A273" s="47" t="s">
        <v>251</v>
      </c>
      <c r="B273" s="48">
        <v>4113734</v>
      </c>
      <c r="C273" s="29">
        <v>0</v>
      </c>
      <c r="D273" s="28">
        <v>0</v>
      </c>
      <c r="E273" s="30">
        <v>981</v>
      </c>
      <c r="F273" s="30">
        <v>6690</v>
      </c>
      <c r="G273" s="30">
        <v>0.14663677130044844</v>
      </c>
      <c r="H273" s="28">
        <v>85.227484179204566</v>
      </c>
      <c r="I273" s="49">
        <v>11.96</v>
      </c>
      <c r="J273" s="30">
        <v>64.094319399785633</v>
      </c>
      <c r="K273" s="27">
        <f t="shared" si="8"/>
        <v>49.773934526330066</v>
      </c>
      <c r="L273" s="71">
        <f t="shared" si="9"/>
        <v>39.045672774867185</v>
      </c>
      <c r="M273" s="1" t="str">
        <f>VLOOKUP(A273,Dados!A$2:C$400,3,FALSE)</f>
        <v>P2</v>
      </c>
    </row>
    <row r="274" spans="1:13" ht="18" x14ac:dyDescent="0.25">
      <c r="A274" s="47" t="s">
        <v>323</v>
      </c>
      <c r="B274" s="48">
        <v>4107702</v>
      </c>
      <c r="C274" s="29">
        <v>18.52</v>
      </c>
      <c r="D274" s="28">
        <v>33.333333333333329</v>
      </c>
      <c r="E274" s="30">
        <v>506</v>
      </c>
      <c r="F274" s="30">
        <v>4492</v>
      </c>
      <c r="G274" s="30">
        <v>0.11264470169189671</v>
      </c>
      <c r="H274" s="28">
        <v>65.470785030084642</v>
      </c>
      <c r="I274" s="49">
        <v>14.47</v>
      </c>
      <c r="J274" s="30">
        <v>77.545551982851023</v>
      </c>
      <c r="K274" s="27">
        <f t="shared" si="8"/>
        <v>58.783223448756331</v>
      </c>
      <c r="L274" s="71">
        <f t="shared" si="9"/>
        <v>55.919055540002816</v>
      </c>
      <c r="M274" s="1" t="str">
        <f>VLOOKUP(A274,Dados!A$2:C$400,3,FALSE)</f>
        <v>P1</v>
      </c>
    </row>
    <row r="275" spans="1:13" ht="18" x14ac:dyDescent="0.25">
      <c r="A275" s="47" t="s">
        <v>282</v>
      </c>
      <c r="B275" s="48">
        <v>4120358</v>
      </c>
      <c r="C275" s="29">
        <v>15.15</v>
      </c>
      <c r="D275" s="28">
        <v>27.267818574514042</v>
      </c>
      <c r="E275" s="30">
        <v>701</v>
      </c>
      <c r="F275" s="30">
        <v>5737</v>
      </c>
      <c r="G275" s="30">
        <v>0.12218929754226948</v>
      </c>
      <c r="H275" s="28">
        <v>71.018246861249906</v>
      </c>
      <c r="I275" s="49">
        <v>12.03</v>
      </c>
      <c r="J275" s="30">
        <v>64.469453376205792</v>
      </c>
      <c r="K275" s="27">
        <f t="shared" si="8"/>
        <v>54.251839603989914</v>
      </c>
      <c r="L275" s="71">
        <f t="shared" si="9"/>
        <v>47.432284305686082</v>
      </c>
      <c r="M275" s="1" t="str">
        <f>VLOOKUP(A275,Dados!A$2:C$400,3,FALSE)</f>
        <v>P2</v>
      </c>
    </row>
    <row r="276" spans="1:13" ht="18" x14ac:dyDescent="0.25">
      <c r="A276" s="47" t="s">
        <v>317</v>
      </c>
      <c r="B276" s="48">
        <v>4113106</v>
      </c>
      <c r="C276" s="29">
        <v>20</v>
      </c>
      <c r="D276" s="28">
        <v>35.997120230381569</v>
      </c>
      <c r="E276" s="30">
        <v>515</v>
      </c>
      <c r="F276" s="30">
        <v>4582</v>
      </c>
      <c r="G276" s="30">
        <v>0.1123963334788302</v>
      </c>
      <c r="H276" s="28">
        <v>65.32642971073318</v>
      </c>
      <c r="I276" s="49">
        <v>9.6</v>
      </c>
      <c r="J276" s="30">
        <v>51.446945337620576</v>
      </c>
      <c r="K276" s="27">
        <f t="shared" si="8"/>
        <v>50.923498426245111</v>
      </c>
      <c r="L276" s="71">
        <f t="shared" si="9"/>
        <v>41.198676398489994</v>
      </c>
      <c r="M276" s="1" t="str">
        <f>VLOOKUP(A276,Dados!A$2:C$400,3,FALSE)</f>
        <v>P1</v>
      </c>
    </row>
    <row r="277" spans="1:13" ht="18" x14ac:dyDescent="0.25">
      <c r="A277" s="47" t="s">
        <v>309</v>
      </c>
      <c r="B277" s="48">
        <v>4113809</v>
      </c>
      <c r="C277" s="29">
        <v>44.44</v>
      </c>
      <c r="D277" s="28">
        <v>79.985601151907844</v>
      </c>
      <c r="E277" s="30">
        <v>605</v>
      </c>
      <c r="F277" s="30">
        <v>4813</v>
      </c>
      <c r="G277" s="30">
        <v>0.12570122584666529</v>
      </c>
      <c r="H277" s="28">
        <v>73.059432106580516</v>
      </c>
      <c r="I277" s="49">
        <v>10.18</v>
      </c>
      <c r="J277" s="30">
        <v>54.555198285101824</v>
      </c>
      <c r="K277" s="27">
        <f t="shared" si="8"/>
        <v>69.200077181196733</v>
      </c>
      <c r="L277" s="71">
        <f t="shared" si="9"/>
        <v>75.428648555537208</v>
      </c>
      <c r="M277" s="1" t="str">
        <f>VLOOKUP(A277,Dados!A$2:C$400,3,FALSE)</f>
        <v>P1</v>
      </c>
    </row>
    <row r="278" spans="1:13" ht="18" x14ac:dyDescent="0.25">
      <c r="A278" s="47" t="s">
        <v>285</v>
      </c>
      <c r="B278" s="48">
        <v>4118600</v>
      </c>
      <c r="C278" s="29">
        <v>36.36</v>
      </c>
      <c r="D278" s="28">
        <v>65.442764578833689</v>
      </c>
      <c r="E278" s="30">
        <v>729</v>
      </c>
      <c r="F278" s="30">
        <v>5666</v>
      </c>
      <c r="G278" s="30">
        <v>0.12866219555241792</v>
      </c>
      <c r="H278" s="28">
        <v>74.780391975746468</v>
      </c>
      <c r="I278" s="49">
        <v>11.12</v>
      </c>
      <c r="J278" s="30">
        <v>59.59271168274384</v>
      </c>
      <c r="K278" s="27">
        <f t="shared" si="8"/>
        <v>66.605289412441337</v>
      </c>
      <c r="L278" s="71">
        <f t="shared" si="9"/>
        <v>70.568903508676058</v>
      </c>
      <c r="M278" s="1" t="str">
        <f>VLOOKUP(A278,Dados!A$2:C$400,3,FALSE)</f>
        <v>P2</v>
      </c>
    </row>
    <row r="279" spans="1:13" ht="18" x14ac:dyDescent="0.25">
      <c r="A279" s="47" t="s">
        <v>308</v>
      </c>
      <c r="B279" s="48">
        <v>4103354</v>
      </c>
      <c r="C279" s="29">
        <v>0</v>
      </c>
      <c r="D279" s="28">
        <v>0</v>
      </c>
      <c r="E279" s="30">
        <v>580</v>
      </c>
      <c r="F279" s="30">
        <v>4854</v>
      </c>
      <c r="G279" s="30">
        <v>0.11948908117016893</v>
      </c>
      <c r="H279" s="28">
        <v>69.448840728717826</v>
      </c>
      <c r="I279" s="49">
        <v>11.74</v>
      </c>
      <c r="J279" s="30">
        <v>62.915326902465161</v>
      </c>
      <c r="K279" s="27">
        <f t="shared" si="8"/>
        <v>44.121389210394334</v>
      </c>
      <c r="L279" s="71">
        <f t="shared" si="9"/>
        <v>28.459092464889473</v>
      </c>
      <c r="M279" s="1" t="str">
        <f>VLOOKUP(A279,Dados!A$2:C$400,3,FALSE)</f>
        <v>P1</v>
      </c>
    </row>
    <row r="280" spans="1:13" ht="18" x14ac:dyDescent="0.25">
      <c r="A280" s="47" t="s">
        <v>293</v>
      </c>
      <c r="B280" s="48">
        <v>4122651</v>
      </c>
      <c r="C280" s="29">
        <v>0</v>
      </c>
      <c r="D280" s="28">
        <v>0</v>
      </c>
      <c r="E280" s="30">
        <v>699</v>
      </c>
      <c r="F280" s="30">
        <v>5435</v>
      </c>
      <c r="G280" s="30">
        <v>0.12861085556577737</v>
      </c>
      <c r="H280" s="28">
        <v>74.750552407810233</v>
      </c>
      <c r="I280" s="49">
        <v>10.67</v>
      </c>
      <c r="J280" s="30">
        <v>57.181136120042872</v>
      </c>
      <c r="K280" s="27">
        <f t="shared" si="8"/>
        <v>43.977229509284371</v>
      </c>
      <c r="L280" s="71">
        <f t="shared" si="9"/>
        <v>28.189097592144197</v>
      </c>
      <c r="M280" s="1" t="str">
        <f>VLOOKUP(A280,Dados!A$2:C$400,3,FALSE)</f>
        <v>P2</v>
      </c>
    </row>
    <row r="281" spans="1:13" ht="18" x14ac:dyDescent="0.25">
      <c r="A281" s="47" t="s">
        <v>292</v>
      </c>
      <c r="B281" s="48">
        <v>4124004</v>
      </c>
      <c r="C281" s="29">
        <v>0</v>
      </c>
      <c r="D281" s="28">
        <v>0</v>
      </c>
      <c r="E281" s="30">
        <v>685</v>
      </c>
      <c r="F281" s="30">
        <v>5514</v>
      </c>
      <c r="G281" s="30">
        <v>0.12422923467537178</v>
      </c>
      <c r="H281" s="28">
        <v>72.203888826741789</v>
      </c>
      <c r="I281" s="49">
        <v>8.52</v>
      </c>
      <c r="J281" s="30">
        <v>45.659163987138264</v>
      </c>
      <c r="K281" s="27">
        <f t="shared" si="8"/>
        <v>39.287684271293351</v>
      </c>
      <c r="L281" s="71">
        <f t="shared" si="9"/>
        <v>19.406107893803863</v>
      </c>
      <c r="M281" s="1" t="str">
        <f>VLOOKUP(A281,Dados!A$2:C$400,3,FALSE)</f>
        <v>P2</v>
      </c>
    </row>
    <row r="282" spans="1:13" ht="18" x14ac:dyDescent="0.25">
      <c r="A282" s="47" t="s">
        <v>278</v>
      </c>
      <c r="B282" s="48">
        <v>4117206</v>
      </c>
      <c r="C282" s="29">
        <v>14.93</v>
      </c>
      <c r="D282" s="28">
        <v>26.87185025197984</v>
      </c>
      <c r="E282" s="30">
        <v>730</v>
      </c>
      <c r="F282" s="30">
        <v>5833</v>
      </c>
      <c r="G282" s="30">
        <v>0.12515000857191841</v>
      </c>
      <c r="H282" s="28">
        <v>72.739056383996328</v>
      </c>
      <c r="I282" s="49">
        <v>10.46</v>
      </c>
      <c r="J282" s="30">
        <v>56.055734190782424</v>
      </c>
      <c r="K282" s="27">
        <f t="shared" si="8"/>
        <v>51.888880275586196</v>
      </c>
      <c r="L282" s="71">
        <f t="shared" si="9"/>
        <v>43.006727799516639</v>
      </c>
      <c r="M282" s="1" t="str">
        <f>VLOOKUP(A282,Dados!A$2:C$400,3,FALSE)</f>
        <v>P2</v>
      </c>
    </row>
    <row r="283" spans="1:13" ht="18" x14ac:dyDescent="0.25">
      <c r="A283" s="47" t="s">
        <v>332</v>
      </c>
      <c r="B283" s="48">
        <v>4117214</v>
      </c>
      <c r="C283" s="29">
        <v>40.82</v>
      </c>
      <c r="D283" s="28">
        <v>73.470122390208786</v>
      </c>
      <c r="E283" s="30">
        <v>539</v>
      </c>
      <c r="F283" s="30">
        <v>4184</v>
      </c>
      <c r="G283" s="30">
        <v>0.12882409177820267</v>
      </c>
      <c r="H283" s="28">
        <v>74.874488483050698</v>
      </c>
      <c r="I283" s="49">
        <v>12.67</v>
      </c>
      <c r="J283" s="30">
        <v>67.899249732047167</v>
      </c>
      <c r="K283" s="27">
        <f t="shared" si="8"/>
        <v>72.081286868435555</v>
      </c>
      <c r="L283" s="71">
        <f t="shared" si="9"/>
        <v>80.824829574705234</v>
      </c>
      <c r="M283" s="1" t="str">
        <f>VLOOKUP(A283,Dados!A$2:C$400,3,FALSE)</f>
        <v>P1</v>
      </c>
    </row>
    <row r="284" spans="1:13" ht="18" x14ac:dyDescent="0.25">
      <c r="A284" s="47" t="s">
        <v>318</v>
      </c>
      <c r="B284" s="48">
        <v>4107538</v>
      </c>
      <c r="C284" s="29">
        <v>0</v>
      </c>
      <c r="D284" s="28">
        <v>0</v>
      </c>
      <c r="E284" s="30">
        <v>576</v>
      </c>
      <c r="F284" s="30">
        <v>4575</v>
      </c>
      <c r="G284" s="30">
        <v>0.12590163934426229</v>
      </c>
      <c r="H284" s="28">
        <v>73.175915428221245</v>
      </c>
      <c r="I284" s="49">
        <v>16.170000000000002</v>
      </c>
      <c r="J284" s="30">
        <v>86.655948553054671</v>
      </c>
      <c r="K284" s="27">
        <f t="shared" si="8"/>
        <v>53.277287993758641</v>
      </c>
      <c r="L284" s="71">
        <f t="shared" si="9"/>
        <v>45.607058975984579</v>
      </c>
      <c r="M284" s="1" t="str">
        <f>VLOOKUP(A284,Dados!A$2:C$400,3,FALSE)</f>
        <v>P1</v>
      </c>
    </row>
    <row r="285" spans="1:13" ht="18" x14ac:dyDescent="0.25">
      <c r="A285" s="47" t="s">
        <v>266</v>
      </c>
      <c r="B285" s="48">
        <v>4119004</v>
      </c>
      <c r="C285" s="29">
        <v>0</v>
      </c>
      <c r="D285" s="28">
        <v>0</v>
      </c>
      <c r="E285" s="30">
        <v>676</v>
      </c>
      <c r="F285" s="30">
        <v>6221</v>
      </c>
      <c r="G285" s="30">
        <v>0.10866420189680116</v>
      </c>
      <c r="H285" s="28">
        <v>63.157259027682841</v>
      </c>
      <c r="I285" s="49">
        <v>13.98</v>
      </c>
      <c r="J285" s="30">
        <v>74.919614147909968</v>
      </c>
      <c r="K285" s="27">
        <f t="shared" si="8"/>
        <v>46.025624391864277</v>
      </c>
      <c r="L285" s="71">
        <f t="shared" si="9"/>
        <v>32.02551034408507</v>
      </c>
      <c r="M285" s="1" t="str">
        <f>VLOOKUP(A285,Dados!A$2:C$400,3,FALSE)</f>
        <v>P2</v>
      </c>
    </row>
    <row r="286" spans="1:13" ht="18" x14ac:dyDescent="0.25">
      <c r="A286" s="47" t="s">
        <v>264</v>
      </c>
      <c r="B286" s="48">
        <v>4100202</v>
      </c>
      <c r="C286" s="29">
        <v>0</v>
      </c>
      <c r="D286" s="28">
        <v>0</v>
      </c>
      <c r="E286" s="30">
        <v>913</v>
      </c>
      <c r="F286" s="30">
        <v>6256</v>
      </c>
      <c r="G286" s="30">
        <v>0.14593989769820973</v>
      </c>
      <c r="H286" s="28">
        <v>84.822450821043589</v>
      </c>
      <c r="I286" s="49">
        <v>11.19</v>
      </c>
      <c r="J286" s="30">
        <v>59.967845659163984</v>
      </c>
      <c r="K286" s="27">
        <f t="shared" si="8"/>
        <v>48.263432160069193</v>
      </c>
      <c r="L286" s="71">
        <f t="shared" si="9"/>
        <v>36.216672083134576</v>
      </c>
      <c r="M286" s="1" t="str">
        <f>VLOOKUP(A286,Dados!A$2:C$400,3,FALSE)</f>
        <v>P2</v>
      </c>
    </row>
    <row r="287" spans="1:13" ht="18" x14ac:dyDescent="0.25">
      <c r="A287" s="47" t="s">
        <v>349</v>
      </c>
      <c r="B287" s="48">
        <v>4120333</v>
      </c>
      <c r="C287" s="29">
        <v>52.63</v>
      </c>
      <c r="D287" s="28">
        <v>94.726421886249099</v>
      </c>
      <c r="E287" s="30">
        <v>492</v>
      </c>
      <c r="F287" s="30">
        <v>3709</v>
      </c>
      <c r="G287" s="30">
        <v>0.13265031005661904</v>
      </c>
      <c r="H287" s="28">
        <v>77.098343760945227</v>
      </c>
      <c r="I287" s="49">
        <v>14.02</v>
      </c>
      <c r="J287" s="30">
        <v>75.133976420150049</v>
      </c>
      <c r="K287" s="27">
        <f t="shared" si="8"/>
        <v>82.319580689114801</v>
      </c>
      <c r="L287" s="71">
        <f t="shared" si="9"/>
        <v>100</v>
      </c>
      <c r="M287" s="1" t="str">
        <f>VLOOKUP(A287,Dados!A$2:C$400,3,FALSE)</f>
        <v>P1</v>
      </c>
    </row>
    <row r="288" spans="1:13" ht="18" x14ac:dyDescent="0.25">
      <c r="A288" s="47" t="s">
        <v>235</v>
      </c>
      <c r="B288" s="48">
        <v>4103305</v>
      </c>
      <c r="C288" s="29">
        <v>12.66</v>
      </c>
      <c r="D288" s="28">
        <v>22.786177105831531</v>
      </c>
      <c r="E288" s="30">
        <v>921</v>
      </c>
      <c r="F288" s="30">
        <v>7735</v>
      </c>
      <c r="G288" s="30">
        <v>0.11906916612798965</v>
      </c>
      <c r="H288" s="28">
        <v>69.204779827099784</v>
      </c>
      <c r="I288" s="49">
        <v>10.86</v>
      </c>
      <c r="J288" s="30">
        <v>58.199356913183273</v>
      </c>
      <c r="K288" s="27">
        <f t="shared" si="8"/>
        <v>50.063437948704859</v>
      </c>
      <c r="L288" s="71">
        <f t="shared" si="9"/>
        <v>39.587880056663522</v>
      </c>
      <c r="M288" s="1" t="str">
        <f>VLOOKUP(A288,Dados!A$2:C$400,3,FALSE)</f>
        <v>P2</v>
      </c>
    </row>
    <row r="289" spans="1:13" ht="18" x14ac:dyDescent="0.25">
      <c r="A289" s="47" t="s">
        <v>229</v>
      </c>
      <c r="B289" s="48">
        <v>4126009</v>
      </c>
      <c r="C289" s="29">
        <v>0</v>
      </c>
      <c r="D289" s="28">
        <v>0</v>
      </c>
      <c r="E289" s="30">
        <v>1058</v>
      </c>
      <c r="F289" s="30">
        <v>8063</v>
      </c>
      <c r="G289" s="30">
        <v>0.13121666873372195</v>
      </c>
      <c r="H289" s="28">
        <v>76.265089986450178</v>
      </c>
      <c r="I289" s="49">
        <v>11.16</v>
      </c>
      <c r="J289" s="30">
        <v>59.807073954983927</v>
      </c>
      <c r="K289" s="27">
        <f t="shared" si="8"/>
        <v>45.35738798047803</v>
      </c>
      <c r="L289" s="71">
        <f t="shared" si="9"/>
        <v>30.773978858747359</v>
      </c>
      <c r="M289" s="1" t="str">
        <f>VLOOKUP(A289,Dados!A$2:C$400,3,FALSE)</f>
        <v>P2</v>
      </c>
    </row>
    <row r="290" spans="1:13" ht="18" x14ac:dyDescent="0.25">
      <c r="A290" s="47" t="s">
        <v>331</v>
      </c>
      <c r="B290" s="48">
        <v>4120655</v>
      </c>
      <c r="C290" s="29">
        <v>0</v>
      </c>
      <c r="D290" s="28">
        <v>0</v>
      </c>
      <c r="E290" s="30">
        <v>521</v>
      </c>
      <c r="F290" s="30">
        <v>4201</v>
      </c>
      <c r="G290" s="30">
        <v>0.12401809093073078</v>
      </c>
      <c r="H290" s="28">
        <v>72.081168925066805</v>
      </c>
      <c r="I290" s="49">
        <v>10.47</v>
      </c>
      <c r="J290" s="30">
        <v>56.109324758842448</v>
      </c>
      <c r="K290" s="27">
        <f t="shared" si="8"/>
        <v>42.730164561303091</v>
      </c>
      <c r="L290" s="71">
        <f t="shared" si="9"/>
        <v>25.853485494291164</v>
      </c>
      <c r="M290" s="1" t="str">
        <f>VLOOKUP(A290,Dados!A$2:C$400,3,FALSE)</f>
        <v>P1</v>
      </c>
    </row>
    <row r="291" spans="1:13" ht="18" x14ac:dyDescent="0.25">
      <c r="A291" s="47" t="s">
        <v>275</v>
      </c>
      <c r="B291" s="48">
        <v>4111001</v>
      </c>
      <c r="C291" s="29">
        <v>0</v>
      </c>
      <c r="D291" s="28">
        <v>0</v>
      </c>
      <c r="E291" s="30">
        <v>699</v>
      </c>
      <c r="F291" s="30">
        <v>5908</v>
      </c>
      <c r="G291" s="30">
        <v>0.11831415030467163</v>
      </c>
      <c r="H291" s="28">
        <v>68.765953340631114</v>
      </c>
      <c r="I291" s="49">
        <v>9.82</v>
      </c>
      <c r="J291" s="30">
        <v>52.625937834941048</v>
      </c>
      <c r="K291" s="27">
        <f t="shared" si="8"/>
        <v>40.463963725190723</v>
      </c>
      <c r="L291" s="71">
        <f t="shared" si="9"/>
        <v>21.609146739074895</v>
      </c>
      <c r="M291" s="1" t="str">
        <f>VLOOKUP(A291,Dados!A$2:C$400,3,FALSE)</f>
        <v>P2</v>
      </c>
    </row>
    <row r="292" spans="1:13" ht="18" x14ac:dyDescent="0.25">
      <c r="A292" s="47" t="s">
        <v>336</v>
      </c>
      <c r="B292" s="48">
        <v>4119707</v>
      </c>
      <c r="C292" s="29">
        <v>37.04</v>
      </c>
      <c r="D292" s="28">
        <v>66.666666666666657</v>
      </c>
      <c r="E292" s="30">
        <v>519</v>
      </c>
      <c r="F292" s="30">
        <v>4070</v>
      </c>
      <c r="G292" s="30">
        <v>0.12751842751842751</v>
      </c>
      <c r="H292" s="28">
        <v>74.115616891317828</v>
      </c>
      <c r="I292" s="49">
        <v>16.22</v>
      </c>
      <c r="J292" s="30">
        <v>86.923901393354768</v>
      </c>
      <c r="K292" s="27">
        <f t="shared" si="8"/>
        <v>75.902061650446413</v>
      </c>
      <c r="L292" s="71">
        <f t="shared" si="9"/>
        <v>87.980710123254099</v>
      </c>
      <c r="M292" s="1" t="str">
        <f>VLOOKUP(A292,Dados!A$2:C$400,3,FALSE)</f>
        <v>P1</v>
      </c>
    </row>
    <row r="293" spans="1:13" ht="18" x14ac:dyDescent="0.25">
      <c r="A293" s="47" t="s">
        <v>312</v>
      </c>
      <c r="B293" s="48">
        <v>4100905</v>
      </c>
      <c r="C293" s="29">
        <v>0</v>
      </c>
      <c r="D293" s="28">
        <v>0</v>
      </c>
      <c r="E293" s="30">
        <v>658</v>
      </c>
      <c r="F293" s="30">
        <v>4762</v>
      </c>
      <c r="G293" s="30">
        <v>0.13817723645527089</v>
      </c>
      <c r="H293" s="28">
        <v>80.310676029470059</v>
      </c>
      <c r="I293" s="49">
        <v>11.34</v>
      </c>
      <c r="J293" s="30">
        <v>60.771704180064312</v>
      </c>
      <c r="K293" s="27">
        <f t="shared" si="8"/>
        <v>47.027460069844786</v>
      </c>
      <c r="L293" s="71">
        <f t="shared" si="9"/>
        <v>33.90183565764621</v>
      </c>
      <c r="M293" s="1" t="str">
        <f>VLOOKUP(A293,Dados!A$2:C$400,3,FALSE)</f>
        <v>P1</v>
      </c>
    </row>
    <row r="294" spans="1:13" ht="18" x14ac:dyDescent="0.25">
      <c r="A294" s="47" t="s">
        <v>274</v>
      </c>
      <c r="B294" s="48">
        <v>4115853</v>
      </c>
      <c r="C294" s="29">
        <v>0</v>
      </c>
      <c r="D294" s="28">
        <v>0</v>
      </c>
      <c r="E294" s="30">
        <v>817</v>
      </c>
      <c r="F294" s="30">
        <v>5931</v>
      </c>
      <c r="G294" s="30">
        <v>0.13775080087674929</v>
      </c>
      <c r="H294" s="28">
        <v>80.062825294626535</v>
      </c>
      <c r="I294" s="49">
        <v>9.9499999999999993</v>
      </c>
      <c r="J294" s="30">
        <v>53.322615219721328</v>
      </c>
      <c r="K294" s="27">
        <f t="shared" si="8"/>
        <v>44.461813504782619</v>
      </c>
      <c r="L294" s="71">
        <f t="shared" si="9"/>
        <v>29.096668800960384</v>
      </c>
      <c r="M294" s="1" t="str">
        <f>VLOOKUP(A294,Dados!A$2:C$400,3,FALSE)</f>
        <v>P2</v>
      </c>
    </row>
    <row r="295" spans="1:13" ht="18" x14ac:dyDescent="0.25">
      <c r="A295" s="47" t="s">
        <v>233</v>
      </c>
      <c r="B295" s="48">
        <v>4108957</v>
      </c>
      <c r="C295" s="29">
        <v>28.17</v>
      </c>
      <c r="D295" s="28">
        <v>50.701943844492433</v>
      </c>
      <c r="E295" s="30">
        <v>1096</v>
      </c>
      <c r="F295" s="30">
        <v>7856</v>
      </c>
      <c r="G295" s="30">
        <v>0.1395112016293279</v>
      </c>
      <c r="H295" s="28">
        <v>81.085996535774797</v>
      </c>
      <c r="I295" s="49">
        <v>12.98</v>
      </c>
      <c r="J295" s="30">
        <v>69.560557341907824</v>
      </c>
      <c r="K295" s="27">
        <f t="shared" si="8"/>
        <v>67.116165907391689</v>
      </c>
      <c r="L295" s="71">
        <f t="shared" si="9"/>
        <v>71.525717605685472</v>
      </c>
      <c r="M295" s="1" t="str">
        <f>VLOOKUP(A295,Dados!A$2:C$400,3,FALSE)</f>
        <v>P2</v>
      </c>
    </row>
    <row r="296" spans="1:13" ht="18" x14ac:dyDescent="0.25">
      <c r="A296" s="47" t="s">
        <v>327</v>
      </c>
      <c r="B296" s="48">
        <v>4110409</v>
      </c>
      <c r="C296" s="29">
        <v>0</v>
      </c>
      <c r="D296" s="28">
        <v>0</v>
      </c>
      <c r="E296" s="30">
        <v>558</v>
      </c>
      <c r="F296" s="30">
        <v>4448</v>
      </c>
      <c r="G296" s="30">
        <v>0.12544964028776978</v>
      </c>
      <c r="H296" s="28">
        <v>72.913206817723392</v>
      </c>
      <c r="I296" s="49">
        <v>10.34</v>
      </c>
      <c r="J296" s="30">
        <v>55.412647374062161</v>
      </c>
      <c r="K296" s="27">
        <f t="shared" si="8"/>
        <v>42.775284730595182</v>
      </c>
      <c r="L296" s="71">
        <f t="shared" si="9"/>
        <v>25.937990486133305</v>
      </c>
      <c r="M296" s="1" t="str">
        <f>VLOOKUP(A296,Dados!A$2:C$400,3,FALSE)</f>
        <v>P1</v>
      </c>
    </row>
    <row r="297" spans="1:13" ht="18" x14ac:dyDescent="0.25">
      <c r="A297" s="47" t="s">
        <v>354</v>
      </c>
      <c r="B297" s="48">
        <v>4111308</v>
      </c>
      <c r="C297" s="29">
        <v>22.22</v>
      </c>
      <c r="D297" s="28">
        <v>39.992800575953922</v>
      </c>
      <c r="E297" s="30">
        <v>479</v>
      </c>
      <c r="F297" s="30">
        <v>3572</v>
      </c>
      <c r="G297" s="30">
        <v>0.13409854423292272</v>
      </c>
      <c r="H297" s="28">
        <v>77.940079120051081</v>
      </c>
      <c r="I297" s="49">
        <v>11.2</v>
      </c>
      <c r="J297" s="30">
        <v>60.021436227224001</v>
      </c>
      <c r="K297" s="27">
        <f t="shared" si="8"/>
        <v>59.318105307742997</v>
      </c>
      <c r="L297" s="71">
        <f t="shared" si="9"/>
        <v>56.920828978341916</v>
      </c>
      <c r="M297" s="1" t="str">
        <f>VLOOKUP(A297,Dados!A$2:C$400,3,FALSE)</f>
        <v>P1</v>
      </c>
    </row>
    <row r="298" spans="1:13" ht="18" x14ac:dyDescent="0.25">
      <c r="A298" s="47" t="s">
        <v>322</v>
      </c>
      <c r="B298" s="48">
        <v>4106704</v>
      </c>
      <c r="C298" s="29">
        <v>45.45</v>
      </c>
      <c r="D298" s="28">
        <v>81.803455723542115</v>
      </c>
      <c r="E298" s="30">
        <v>559</v>
      </c>
      <c r="F298" s="30">
        <v>4494</v>
      </c>
      <c r="G298" s="30">
        <v>0.12438807298620383</v>
      </c>
      <c r="H298" s="28">
        <v>72.296208028149692</v>
      </c>
      <c r="I298" s="49">
        <v>10.24</v>
      </c>
      <c r="J298" s="30">
        <v>54.876741693461952</v>
      </c>
      <c r="K298" s="27">
        <f t="shared" si="8"/>
        <v>69.658801815051262</v>
      </c>
      <c r="L298" s="71">
        <f t="shared" si="9"/>
        <v>76.287788094458747</v>
      </c>
      <c r="M298" s="1" t="str">
        <f>VLOOKUP(A298,Dados!A$2:C$400,3,FALSE)</f>
        <v>P1</v>
      </c>
    </row>
    <row r="299" spans="1:13" ht="18" x14ac:dyDescent="0.25">
      <c r="A299" s="47" t="s">
        <v>303</v>
      </c>
      <c r="B299" s="48">
        <v>4112306</v>
      </c>
      <c r="C299" s="29">
        <v>36.36</v>
      </c>
      <c r="D299" s="28">
        <v>65.442764578833689</v>
      </c>
      <c r="E299" s="30">
        <v>653</v>
      </c>
      <c r="F299" s="30">
        <v>4972</v>
      </c>
      <c r="G299" s="30">
        <v>0.13133547868061143</v>
      </c>
      <c r="H299" s="28">
        <v>76.334144104179686</v>
      </c>
      <c r="I299" s="49">
        <v>9.65</v>
      </c>
      <c r="J299" s="30">
        <v>51.714898177920688</v>
      </c>
      <c r="K299" s="27">
        <f t="shared" si="8"/>
        <v>64.497268953644678</v>
      </c>
      <c r="L299" s="71">
        <f t="shared" si="9"/>
        <v>66.620818772546428</v>
      </c>
      <c r="M299" s="1" t="str">
        <f>VLOOKUP(A299,Dados!A$2:C$400,3,FALSE)</f>
        <v>P1</v>
      </c>
    </row>
    <row r="300" spans="1:13" ht="18" x14ac:dyDescent="0.25">
      <c r="A300" s="47" t="s">
        <v>338</v>
      </c>
      <c r="B300" s="48">
        <v>4104055</v>
      </c>
      <c r="C300" s="29">
        <v>0</v>
      </c>
      <c r="D300" s="28">
        <v>0</v>
      </c>
      <c r="E300" s="30">
        <v>528</v>
      </c>
      <c r="F300" s="30">
        <v>4027</v>
      </c>
      <c r="G300" s="30">
        <v>0.1311149739259995</v>
      </c>
      <c r="H300" s="28">
        <v>76.205983443531863</v>
      </c>
      <c r="I300" s="49">
        <v>14.15</v>
      </c>
      <c r="J300" s="30">
        <v>75.830653804930336</v>
      </c>
      <c r="K300" s="27">
        <f t="shared" si="8"/>
        <v>50.678879082820735</v>
      </c>
      <c r="L300" s="71">
        <f t="shared" si="9"/>
        <v>40.740531937934271</v>
      </c>
      <c r="M300" s="1" t="str">
        <f>VLOOKUP(A300,Dados!A$2:C$400,3,FALSE)</f>
        <v>P1</v>
      </c>
    </row>
    <row r="301" spans="1:13" ht="18" x14ac:dyDescent="0.25">
      <c r="A301" s="47" t="s">
        <v>314</v>
      </c>
      <c r="B301" s="48">
        <v>4115507</v>
      </c>
      <c r="C301" s="29">
        <v>21.28</v>
      </c>
      <c r="D301" s="28">
        <v>38.300935925125991</v>
      </c>
      <c r="E301" s="30">
        <v>597</v>
      </c>
      <c r="F301" s="30">
        <v>4699</v>
      </c>
      <c r="G301" s="30">
        <v>0.12704830815067036</v>
      </c>
      <c r="H301" s="28">
        <v>73.842376484955054</v>
      </c>
      <c r="I301" s="49">
        <v>13.41</v>
      </c>
      <c r="J301" s="30">
        <v>71.864951768488751</v>
      </c>
      <c r="K301" s="27">
        <f t="shared" si="8"/>
        <v>61.336088059523263</v>
      </c>
      <c r="L301" s="71">
        <f t="shared" si="9"/>
        <v>60.70028323687626</v>
      </c>
      <c r="M301" s="1" t="str">
        <f>VLOOKUP(A301,Dados!A$2:C$400,3,FALSE)</f>
        <v>P1</v>
      </c>
    </row>
    <row r="302" spans="1:13" ht="18" x14ac:dyDescent="0.25">
      <c r="A302" s="47" t="s">
        <v>257</v>
      </c>
      <c r="B302" s="48">
        <v>4115358</v>
      </c>
      <c r="C302" s="29">
        <v>13.16</v>
      </c>
      <c r="D302" s="28">
        <v>23.686105111591072</v>
      </c>
      <c r="E302" s="30">
        <v>967</v>
      </c>
      <c r="F302" s="30">
        <v>6555</v>
      </c>
      <c r="G302" s="30">
        <v>0.1475209763539283</v>
      </c>
      <c r="H302" s="28">
        <v>85.74139737804488</v>
      </c>
      <c r="I302" s="49">
        <v>11.14</v>
      </c>
      <c r="J302" s="30">
        <v>59.699892818863887</v>
      </c>
      <c r="K302" s="27">
        <f t="shared" si="8"/>
        <v>56.375798436166612</v>
      </c>
      <c r="L302" s="71">
        <f t="shared" si="9"/>
        <v>51.410219818831592</v>
      </c>
      <c r="M302" s="1" t="str">
        <f>VLOOKUP(A302,Dados!A$2:C$400,3,FALSE)</f>
        <v>P2</v>
      </c>
    </row>
    <row r="303" spans="1:13" ht="18" x14ac:dyDescent="0.25">
      <c r="A303" s="47" t="s">
        <v>315</v>
      </c>
      <c r="B303" s="48">
        <v>4109005</v>
      </c>
      <c r="C303" s="29">
        <v>0</v>
      </c>
      <c r="D303" s="28">
        <v>0</v>
      </c>
      <c r="E303" s="30">
        <v>681</v>
      </c>
      <c r="F303" s="30">
        <v>4626</v>
      </c>
      <c r="G303" s="30">
        <v>0.14721141374837873</v>
      </c>
      <c r="H303" s="28">
        <v>85.561474962725924</v>
      </c>
      <c r="I303" s="49">
        <v>15.35</v>
      </c>
      <c r="J303" s="30">
        <v>82.261521972132897</v>
      </c>
      <c r="K303" s="27">
        <f t="shared" si="8"/>
        <v>55.940998978286274</v>
      </c>
      <c r="L303" s="71">
        <f t="shared" si="9"/>
        <v>50.595889438036934</v>
      </c>
      <c r="M303" s="1" t="str">
        <f>VLOOKUP(A303,Dados!A$2:C$400,3,FALSE)</f>
        <v>P1</v>
      </c>
    </row>
    <row r="304" spans="1:13" ht="18" x14ac:dyDescent="0.25">
      <c r="A304" s="47" t="s">
        <v>277</v>
      </c>
      <c r="B304" s="48">
        <v>4114708</v>
      </c>
      <c r="C304" s="29">
        <v>0</v>
      </c>
      <c r="D304" s="28">
        <v>0</v>
      </c>
      <c r="E304" s="30">
        <v>691</v>
      </c>
      <c r="F304" s="30">
        <v>5865</v>
      </c>
      <c r="G304" s="30">
        <v>0.11781756180733163</v>
      </c>
      <c r="H304" s="28">
        <v>68.477328680354717</v>
      </c>
      <c r="I304" s="49">
        <v>10.74</v>
      </c>
      <c r="J304" s="30">
        <v>57.556270096463024</v>
      </c>
      <c r="K304" s="27">
        <f t="shared" si="8"/>
        <v>42.011199592272582</v>
      </c>
      <c r="L304" s="71">
        <f t="shared" si="9"/>
        <v>24.506945137817766</v>
      </c>
      <c r="M304" s="1" t="str">
        <f>VLOOKUP(A304,Dados!A$2:C$400,3,FALSE)</f>
        <v>P2</v>
      </c>
    </row>
    <row r="305" spans="1:13" ht="18" x14ac:dyDescent="0.25">
      <c r="A305" s="47" t="s">
        <v>288</v>
      </c>
      <c r="B305" s="48">
        <v>4126405</v>
      </c>
      <c r="C305" s="29">
        <v>0</v>
      </c>
      <c r="D305" s="28">
        <v>0</v>
      </c>
      <c r="E305" s="30">
        <v>658</v>
      </c>
      <c r="F305" s="30">
        <v>5616</v>
      </c>
      <c r="G305" s="30">
        <v>0.11716524216524217</v>
      </c>
      <c r="H305" s="28">
        <v>68.098190750059914</v>
      </c>
      <c r="I305" s="49">
        <v>9.26</v>
      </c>
      <c r="J305" s="30">
        <v>49.624866023579848</v>
      </c>
      <c r="K305" s="27">
        <f t="shared" si="8"/>
        <v>39.241018924546587</v>
      </c>
      <c r="L305" s="71">
        <f t="shared" si="9"/>
        <v>19.318708958737421</v>
      </c>
      <c r="M305" s="1" t="str">
        <f>VLOOKUP(A305,Dados!A$2:C$400,3,FALSE)</f>
        <v>P2</v>
      </c>
    </row>
    <row r="306" spans="1:13" ht="18" x14ac:dyDescent="0.25">
      <c r="A306" s="47" t="s">
        <v>272</v>
      </c>
      <c r="B306" s="48">
        <v>4125407</v>
      </c>
      <c r="C306" s="29">
        <v>30.77</v>
      </c>
      <c r="D306" s="28">
        <v>55.381569474442038</v>
      </c>
      <c r="E306" s="30">
        <v>749</v>
      </c>
      <c r="F306" s="30">
        <v>6040</v>
      </c>
      <c r="G306" s="30">
        <v>0.12400662251655629</v>
      </c>
      <c r="H306" s="28">
        <v>72.074503311258283</v>
      </c>
      <c r="I306" s="49">
        <v>10.93</v>
      </c>
      <c r="J306" s="30">
        <v>58.574490889603425</v>
      </c>
      <c r="K306" s="27">
        <f t="shared" si="8"/>
        <v>62.010187891767913</v>
      </c>
      <c r="L306" s="71">
        <f t="shared" si="9"/>
        <v>61.962796248648388</v>
      </c>
      <c r="M306" s="1" t="str">
        <f>VLOOKUP(A306,Dados!A$2:C$400,3,FALSE)</f>
        <v>P2</v>
      </c>
    </row>
    <row r="307" spans="1:13" ht="18" x14ac:dyDescent="0.25">
      <c r="A307" s="47" t="s">
        <v>340</v>
      </c>
      <c r="B307" s="48">
        <v>4103156</v>
      </c>
      <c r="C307" s="29">
        <v>0</v>
      </c>
      <c r="D307" s="28">
        <v>0</v>
      </c>
      <c r="E307" s="30">
        <v>546</v>
      </c>
      <c r="F307" s="30">
        <v>3980</v>
      </c>
      <c r="G307" s="30">
        <v>0.13718592964824119</v>
      </c>
      <c r="H307" s="28">
        <v>79.734513689945047</v>
      </c>
      <c r="I307" s="49">
        <v>10.3</v>
      </c>
      <c r="J307" s="30">
        <v>55.198285101822087</v>
      </c>
      <c r="K307" s="27">
        <f t="shared" si="8"/>
        <v>44.977599597255711</v>
      </c>
      <c r="L307" s="71">
        <f t="shared" si="9"/>
        <v>30.062678020796607</v>
      </c>
      <c r="M307" s="1" t="str">
        <f>VLOOKUP(A307,Dados!A$2:C$400,3,FALSE)</f>
        <v>P1</v>
      </c>
    </row>
    <row r="308" spans="1:13" ht="18" x14ac:dyDescent="0.25">
      <c r="A308" s="47" t="s">
        <v>311</v>
      </c>
      <c r="B308" s="48">
        <v>4107801</v>
      </c>
      <c r="C308" s="29">
        <v>0</v>
      </c>
      <c r="D308" s="28">
        <v>0</v>
      </c>
      <c r="E308" s="30">
        <v>530</v>
      </c>
      <c r="F308" s="30">
        <v>4792</v>
      </c>
      <c r="G308" s="30">
        <v>0.11060100166944908</v>
      </c>
      <c r="H308" s="28">
        <v>64.282956017037748</v>
      </c>
      <c r="I308" s="49">
        <v>9.39</v>
      </c>
      <c r="J308" s="30">
        <v>50.321543408360135</v>
      </c>
      <c r="K308" s="27">
        <f t="shared" si="8"/>
        <v>38.201499808465961</v>
      </c>
      <c r="L308" s="71">
        <f t="shared" si="9"/>
        <v>17.371806812704328</v>
      </c>
      <c r="M308" s="1" t="str">
        <f>VLOOKUP(A308,Dados!A$2:C$400,3,FALSE)</f>
        <v>P1</v>
      </c>
    </row>
    <row r="309" spans="1:13" ht="18" x14ac:dyDescent="0.25">
      <c r="A309" s="47" t="s">
        <v>297</v>
      </c>
      <c r="B309" s="48">
        <v>4122909</v>
      </c>
      <c r="C309" s="29">
        <v>0</v>
      </c>
      <c r="D309" s="28">
        <v>0</v>
      </c>
      <c r="E309" s="30">
        <v>633</v>
      </c>
      <c r="F309" s="30">
        <v>5192</v>
      </c>
      <c r="G309" s="30">
        <v>0.12191833590138675</v>
      </c>
      <c r="H309" s="28">
        <v>70.860759903805999</v>
      </c>
      <c r="I309" s="49">
        <v>9.44</v>
      </c>
      <c r="J309" s="30">
        <v>50.58949624866024</v>
      </c>
      <c r="K309" s="27">
        <f t="shared" si="8"/>
        <v>40.483418717488746</v>
      </c>
      <c r="L309" s="71">
        <f t="shared" si="9"/>
        <v>21.645583746985714</v>
      </c>
      <c r="M309" s="1" t="str">
        <f>VLOOKUP(A309,Dados!A$2:C$400,3,FALSE)</f>
        <v>P2</v>
      </c>
    </row>
    <row r="310" spans="1:13" ht="18" x14ac:dyDescent="0.25">
      <c r="A310" s="47" t="s">
        <v>276</v>
      </c>
      <c r="B310" s="48">
        <v>4112207</v>
      </c>
      <c r="C310" s="29">
        <v>0</v>
      </c>
      <c r="D310" s="28">
        <v>0</v>
      </c>
      <c r="E310" s="30">
        <v>667</v>
      </c>
      <c r="F310" s="30">
        <v>5870</v>
      </c>
      <c r="G310" s="30">
        <v>0.11362862010221465</v>
      </c>
      <c r="H310" s="28">
        <v>66.04265312296009</v>
      </c>
      <c r="I310" s="49">
        <v>11.07</v>
      </c>
      <c r="J310" s="30">
        <v>59.324758842443728</v>
      </c>
      <c r="K310" s="27">
        <f t="shared" si="8"/>
        <v>41.78913732180127</v>
      </c>
      <c r="L310" s="71">
        <f t="shared" si="9"/>
        <v>24.091047532621594</v>
      </c>
      <c r="M310" s="1" t="str">
        <f>VLOOKUP(A310,Dados!A$2:C$400,3,FALSE)</f>
        <v>P2</v>
      </c>
    </row>
    <row r="311" spans="1:13" ht="18" x14ac:dyDescent="0.25">
      <c r="A311" s="47" t="s">
        <v>329</v>
      </c>
      <c r="B311" s="48">
        <v>4120408</v>
      </c>
      <c r="C311" s="29">
        <v>39.22</v>
      </c>
      <c r="D311" s="28">
        <v>70.590352771778257</v>
      </c>
      <c r="E311" s="30">
        <v>523</v>
      </c>
      <c r="F311" s="30">
        <v>4336</v>
      </c>
      <c r="G311" s="30">
        <v>0.12061808118081181</v>
      </c>
      <c r="H311" s="28">
        <v>70.105032417146603</v>
      </c>
      <c r="I311" s="49">
        <v>8.5299999999999994</v>
      </c>
      <c r="J311" s="30">
        <v>45.712754555198281</v>
      </c>
      <c r="K311" s="27">
        <f t="shared" si="8"/>
        <v>62.13604658137438</v>
      </c>
      <c r="L311" s="71">
        <f t="shared" si="9"/>
        <v>62.198515389452268</v>
      </c>
      <c r="M311" s="1" t="str">
        <f>VLOOKUP(A311,Dados!A$2:C$400,3,FALSE)</f>
        <v>P1</v>
      </c>
    </row>
    <row r="312" spans="1:13" ht="18" x14ac:dyDescent="0.25">
      <c r="A312" s="47" t="s">
        <v>348</v>
      </c>
      <c r="B312" s="48">
        <v>4113403</v>
      </c>
      <c r="C312" s="29">
        <v>46.51</v>
      </c>
      <c r="D312" s="28">
        <v>83.711303095752328</v>
      </c>
      <c r="E312" s="30">
        <v>463</v>
      </c>
      <c r="F312" s="30">
        <v>3752</v>
      </c>
      <c r="G312" s="30">
        <v>0.12340085287846482</v>
      </c>
      <c r="H312" s="28">
        <v>71.722420939361939</v>
      </c>
      <c r="I312" s="49">
        <v>10.130000000000001</v>
      </c>
      <c r="J312" s="30">
        <v>54.287245444801727</v>
      </c>
      <c r="K312" s="27">
        <f t="shared" si="8"/>
        <v>69.906989826638664</v>
      </c>
      <c r="L312" s="71">
        <f t="shared" si="9"/>
        <v>76.752616268279183</v>
      </c>
      <c r="M312" s="1" t="str">
        <f>VLOOKUP(A312,Dados!A$2:C$400,3,FALSE)</f>
        <v>P1</v>
      </c>
    </row>
    <row r="313" spans="1:13" ht="18" x14ac:dyDescent="0.25">
      <c r="A313" s="47" t="s">
        <v>310</v>
      </c>
      <c r="B313" s="48">
        <v>4107546</v>
      </c>
      <c r="C313" s="29">
        <v>0</v>
      </c>
      <c r="D313" s="28">
        <v>0</v>
      </c>
      <c r="E313" s="30">
        <v>734</v>
      </c>
      <c r="F313" s="30">
        <v>4797</v>
      </c>
      <c r="G313" s="30">
        <v>0.15301229935376276</v>
      </c>
      <c r="H313" s="28">
        <v>88.933036418789783</v>
      </c>
      <c r="I313" s="49">
        <v>11.88</v>
      </c>
      <c r="J313" s="30">
        <v>63.665594855305471</v>
      </c>
      <c r="K313" s="27">
        <f t="shared" si="8"/>
        <v>50.866210424698416</v>
      </c>
      <c r="L313" s="71">
        <f t="shared" si="9"/>
        <v>41.091382428203296</v>
      </c>
      <c r="M313" s="1" t="str">
        <f>VLOOKUP(A313,Dados!A$2:C$400,3,FALSE)</f>
        <v>P1</v>
      </c>
    </row>
    <row r="314" spans="1:13" ht="18" x14ac:dyDescent="0.25">
      <c r="A314" s="47" t="s">
        <v>335</v>
      </c>
      <c r="B314" s="48">
        <v>4122800</v>
      </c>
      <c r="C314" s="29">
        <v>0</v>
      </c>
      <c r="D314" s="28">
        <v>0</v>
      </c>
      <c r="E314" s="30">
        <v>505</v>
      </c>
      <c r="F314" s="30">
        <v>4075</v>
      </c>
      <c r="G314" s="30">
        <v>0.12392638036809817</v>
      </c>
      <c r="H314" s="28">
        <v>72.027865374691828</v>
      </c>
      <c r="I314" s="49">
        <v>13.01</v>
      </c>
      <c r="J314" s="30">
        <v>69.721329046087888</v>
      </c>
      <c r="K314" s="27">
        <f t="shared" si="8"/>
        <v>47.249731473593236</v>
      </c>
      <c r="L314" s="71">
        <f t="shared" si="9"/>
        <v>34.318124945900216</v>
      </c>
      <c r="M314" s="1" t="str">
        <f>VLOOKUP(A314,Dados!A$2:C$400,3,FALSE)</f>
        <v>P1</v>
      </c>
    </row>
    <row r="315" spans="1:13" ht="18" x14ac:dyDescent="0.25">
      <c r="A315" s="47" t="s">
        <v>319</v>
      </c>
      <c r="B315" s="48">
        <v>4103008</v>
      </c>
      <c r="C315" s="29">
        <v>0</v>
      </c>
      <c r="D315" s="28">
        <v>0</v>
      </c>
      <c r="E315" s="30">
        <v>530</v>
      </c>
      <c r="F315" s="30">
        <v>4558</v>
      </c>
      <c r="G315" s="30">
        <v>0.11627906976744186</v>
      </c>
      <c r="H315" s="28">
        <v>67.58313410128234</v>
      </c>
      <c r="I315" s="49">
        <v>9.2100000000000009</v>
      </c>
      <c r="J315" s="30">
        <v>49.356913183279751</v>
      </c>
      <c r="K315" s="27">
        <f t="shared" si="8"/>
        <v>38.980015761520697</v>
      </c>
      <c r="L315" s="71">
        <f t="shared" si="9"/>
        <v>18.829879450596739</v>
      </c>
      <c r="M315" s="1" t="str">
        <f>VLOOKUP(A315,Dados!A$2:C$400,3,FALSE)</f>
        <v>P1</v>
      </c>
    </row>
    <row r="316" spans="1:13" ht="18" x14ac:dyDescent="0.25">
      <c r="A316" s="47" t="s">
        <v>296</v>
      </c>
      <c r="B316" s="48">
        <v>4126108</v>
      </c>
      <c r="C316" s="29">
        <v>0</v>
      </c>
      <c r="D316" s="28">
        <v>0</v>
      </c>
      <c r="E316" s="30">
        <v>693</v>
      </c>
      <c r="F316" s="30">
        <v>5232</v>
      </c>
      <c r="G316" s="30">
        <v>0.13245412844036697</v>
      </c>
      <c r="H316" s="28">
        <v>76.984320072022641</v>
      </c>
      <c r="I316" s="49">
        <v>10.51</v>
      </c>
      <c r="J316" s="30">
        <v>56.323687031082528</v>
      </c>
      <c r="K316" s="27">
        <f t="shared" si="8"/>
        <v>44.436002367701725</v>
      </c>
      <c r="L316" s="71">
        <f t="shared" si="9"/>
        <v>29.048327450236776</v>
      </c>
      <c r="M316" s="1" t="str">
        <f>VLOOKUP(A316,Dados!A$2:C$400,3,FALSE)</f>
        <v>P2</v>
      </c>
    </row>
    <row r="317" spans="1:13" ht="18" x14ac:dyDescent="0.25">
      <c r="A317" s="47" t="s">
        <v>316</v>
      </c>
      <c r="B317" s="48">
        <v>4113601</v>
      </c>
      <c r="C317" s="29">
        <v>20.83</v>
      </c>
      <c r="D317" s="28">
        <v>37.491000719942406</v>
      </c>
      <c r="E317" s="30">
        <v>563</v>
      </c>
      <c r="F317" s="30">
        <v>4601</v>
      </c>
      <c r="G317" s="30">
        <v>0.12236470332536405</v>
      </c>
      <c r="H317" s="28">
        <v>71.120195325274679</v>
      </c>
      <c r="I317" s="49">
        <v>8.48</v>
      </c>
      <c r="J317" s="30">
        <v>45.444801714898183</v>
      </c>
      <c r="K317" s="27">
        <f t="shared" si="8"/>
        <v>51.351999253371758</v>
      </c>
      <c r="L317" s="71">
        <f t="shared" si="9"/>
        <v>42.001210153766436</v>
      </c>
      <c r="M317" s="1" t="str">
        <f>VLOOKUP(A317,Dados!A$2:C$400,3,FALSE)</f>
        <v>P1</v>
      </c>
    </row>
    <row r="318" spans="1:13" ht="18" x14ac:dyDescent="0.25">
      <c r="A318" s="47" t="s">
        <v>281</v>
      </c>
      <c r="B318" s="48">
        <v>4126900</v>
      </c>
      <c r="C318" s="29">
        <v>0</v>
      </c>
      <c r="D318" s="28">
        <v>0</v>
      </c>
      <c r="E318" s="30">
        <v>690</v>
      </c>
      <c r="F318" s="30">
        <v>5745</v>
      </c>
      <c r="G318" s="30">
        <v>0.12010443864229765</v>
      </c>
      <c r="H318" s="28">
        <v>69.806495693126095</v>
      </c>
      <c r="I318" s="49">
        <v>11.31</v>
      </c>
      <c r="J318" s="30">
        <v>60.610932475884248</v>
      </c>
      <c r="K318" s="27">
        <f t="shared" si="8"/>
        <v>43.472476056336781</v>
      </c>
      <c r="L318" s="71">
        <f t="shared" si="9"/>
        <v>27.243751262712134</v>
      </c>
      <c r="M318" s="1" t="str">
        <f>VLOOKUP(A318,Dados!A$2:C$400,3,FALSE)</f>
        <v>P2</v>
      </c>
    </row>
    <row r="319" spans="1:13" ht="18" x14ac:dyDescent="0.25">
      <c r="A319" s="47" t="s">
        <v>324</v>
      </c>
      <c r="B319" s="48">
        <v>4110904</v>
      </c>
      <c r="C319" s="29">
        <v>0</v>
      </c>
      <c r="D319" s="28">
        <v>0</v>
      </c>
      <c r="E319" s="30">
        <v>632</v>
      </c>
      <c r="F319" s="30">
        <v>4481</v>
      </c>
      <c r="G319" s="30">
        <v>0.14103994644052667</v>
      </c>
      <c r="H319" s="28">
        <v>81.974525879779009</v>
      </c>
      <c r="I319" s="49">
        <v>12.72</v>
      </c>
      <c r="J319" s="30">
        <v>68.167202572347279</v>
      </c>
      <c r="K319" s="27">
        <f t="shared" si="8"/>
        <v>50.047242817375434</v>
      </c>
      <c r="L319" s="71">
        <f t="shared" si="9"/>
        <v>39.557548400946189</v>
      </c>
      <c r="M319" s="1" t="str">
        <f>VLOOKUP(A319,Dados!A$2:C$400,3,FALSE)</f>
        <v>P1</v>
      </c>
    </row>
    <row r="320" spans="1:13" ht="18" x14ac:dyDescent="0.25">
      <c r="A320" s="47" t="s">
        <v>350</v>
      </c>
      <c r="B320" s="48">
        <v>4103370</v>
      </c>
      <c r="C320" s="29">
        <v>23.81</v>
      </c>
      <c r="D320" s="28">
        <v>42.854571634269256</v>
      </c>
      <c r="E320" s="30">
        <v>470</v>
      </c>
      <c r="F320" s="30">
        <v>3708</v>
      </c>
      <c r="G320" s="30">
        <v>0.12675296655879181</v>
      </c>
      <c r="H320" s="28">
        <v>73.670719535432369</v>
      </c>
      <c r="I320" s="49">
        <v>11.6</v>
      </c>
      <c r="J320" s="30">
        <v>62.165058949624864</v>
      </c>
      <c r="K320" s="27">
        <f t="shared" si="8"/>
        <v>59.563450039775496</v>
      </c>
      <c r="L320" s="71">
        <f t="shared" si="9"/>
        <v>57.380332010006164</v>
      </c>
      <c r="M320" s="1" t="str">
        <f>VLOOKUP(A320,Dados!A$2:C$400,3,FALSE)</f>
        <v>P1</v>
      </c>
    </row>
    <row r="321" spans="1:13" ht="18" x14ac:dyDescent="0.25">
      <c r="A321" s="47" t="s">
        <v>294</v>
      </c>
      <c r="B321" s="48">
        <v>4111704</v>
      </c>
      <c r="C321" s="29">
        <v>0</v>
      </c>
      <c r="D321" s="28">
        <v>0</v>
      </c>
      <c r="E321" s="30">
        <v>723</v>
      </c>
      <c r="F321" s="30">
        <v>5427</v>
      </c>
      <c r="G321" s="30">
        <v>0.13322277501381979</v>
      </c>
      <c r="H321" s="28">
        <v>77.431068954293963</v>
      </c>
      <c r="I321" s="49">
        <v>14</v>
      </c>
      <c r="J321" s="30">
        <v>75.026795284030015</v>
      </c>
      <c r="K321" s="27">
        <f t="shared" si="8"/>
        <v>50.819288079441321</v>
      </c>
      <c r="L321" s="71">
        <f t="shared" si="9"/>
        <v>41.003502163891874</v>
      </c>
      <c r="M321" s="1" t="str">
        <f>VLOOKUP(A321,Dados!A$2:C$400,3,FALSE)</f>
        <v>P2</v>
      </c>
    </row>
    <row r="322" spans="1:13" ht="18" x14ac:dyDescent="0.25">
      <c r="A322" s="47" t="s">
        <v>290</v>
      </c>
      <c r="B322" s="48">
        <v>4116950</v>
      </c>
      <c r="C322" s="29">
        <v>27.03</v>
      </c>
      <c r="D322" s="28">
        <v>48.650107991360692</v>
      </c>
      <c r="E322" s="30">
        <v>754</v>
      </c>
      <c r="F322" s="30">
        <v>5597</v>
      </c>
      <c r="G322" s="30">
        <v>0.13471502590673576</v>
      </c>
      <c r="H322" s="28">
        <v>78.29838748728875</v>
      </c>
      <c r="I322" s="49">
        <v>14.29</v>
      </c>
      <c r="J322" s="30">
        <v>76.580921757770625</v>
      </c>
      <c r="K322" s="27">
        <f t="shared" ref="K322:K385" si="10">(D322+H322+J322)/3</f>
        <v>67.843139078806686</v>
      </c>
      <c r="L322" s="71">
        <f t="shared" si="9"/>
        <v>72.887256422665303</v>
      </c>
      <c r="M322" s="1" t="str">
        <f>VLOOKUP(A322,Dados!A$2:C$400,3,FALSE)</f>
        <v>P2</v>
      </c>
    </row>
    <row r="323" spans="1:13" ht="18" x14ac:dyDescent="0.25">
      <c r="A323" s="47" t="s">
        <v>306</v>
      </c>
      <c r="B323" s="48">
        <v>4126702</v>
      </c>
      <c r="C323" s="29">
        <v>0</v>
      </c>
      <c r="D323" s="28">
        <v>0</v>
      </c>
      <c r="E323" s="30">
        <v>615</v>
      </c>
      <c r="F323" s="30">
        <v>4880</v>
      </c>
      <c r="G323" s="30">
        <v>0.12602459016393441</v>
      </c>
      <c r="H323" s="28">
        <v>73.247376283131601</v>
      </c>
      <c r="I323" s="49">
        <v>11.07</v>
      </c>
      <c r="J323" s="30">
        <v>59.324758842443728</v>
      </c>
      <c r="K323" s="27">
        <f t="shared" si="10"/>
        <v>44.190711708525107</v>
      </c>
      <c r="L323" s="71">
        <f t="shared" ref="L323:L386" si="11">(K323-K$401)/(K$402-K$401)*100</f>
        <v>28.588925690937344</v>
      </c>
      <c r="M323" s="1" t="str">
        <f>VLOOKUP(A323,Dados!A$2:C$400,3,FALSE)</f>
        <v>P1</v>
      </c>
    </row>
    <row r="324" spans="1:13" ht="18" x14ac:dyDescent="0.25">
      <c r="A324" s="47" t="s">
        <v>326</v>
      </c>
      <c r="B324" s="48">
        <v>4103479</v>
      </c>
      <c r="C324" s="29">
        <v>15.38</v>
      </c>
      <c r="D324" s="28">
        <v>27.681785457163429</v>
      </c>
      <c r="E324" s="30">
        <v>523</v>
      </c>
      <c r="F324" s="30">
        <v>4473</v>
      </c>
      <c r="G324" s="30">
        <v>0.11692376481108875</v>
      </c>
      <c r="H324" s="28">
        <v>67.957840500949629</v>
      </c>
      <c r="I324" s="49">
        <v>11.18</v>
      </c>
      <c r="J324" s="30">
        <v>59.914255091103961</v>
      </c>
      <c r="K324" s="27">
        <f t="shared" si="10"/>
        <v>51.851293683072335</v>
      </c>
      <c r="L324" s="71">
        <f t="shared" si="11"/>
        <v>42.936332347912817</v>
      </c>
      <c r="M324" s="1" t="str">
        <f>VLOOKUP(A324,Dados!A$2:C$400,3,FALSE)</f>
        <v>P1</v>
      </c>
    </row>
    <row r="325" spans="1:13" ht="18" x14ac:dyDescent="0.25">
      <c r="A325" s="47" t="s">
        <v>300</v>
      </c>
      <c r="B325" s="48">
        <v>4107108</v>
      </c>
      <c r="C325" s="29">
        <v>0</v>
      </c>
      <c r="D325" s="28">
        <v>0</v>
      </c>
      <c r="E325" s="30">
        <v>591</v>
      </c>
      <c r="F325" s="30">
        <v>5142</v>
      </c>
      <c r="G325" s="30">
        <v>0.11493582263710618</v>
      </c>
      <c r="H325" s="28">
        <v>66.802418783192834</v>
      </c>
      <c r="I325" s="49">
        <v>8.17</v>
      </c>
      <c r="J325" s="30">
        <v>43.783494105037512</v>
      </c>
      <c r="K325" s="27">
        <f t="shared" si="10"/>
        <v>36.861970962743449</v>
      </c>
      <c r="L325" s="71">
        <f t="shared" si="11"/>
        <v>14.863020255470765</v>
      </c>
      <c r="M325" s="1" t="str">
        <f>VLOOKUP(A325,Dados!A$2:C$400,3,FALSE)</f>
        <v>P2</v>
      </c>
    </row>
    <row r="326" spans="1:13" ht="18" x14ac:dyDescent="0.25">
      <c r="A326" s="47" t="s">
        <v>304</v>
      </c>
      <c r="B326" s="48">
        <v>4109658</v>
      </c>
      <c r="C326" s="29">
        <v>13.7</v>
      </c>
      <c r="D326" s="28">
        <v>24.658027357811374</v>
      </c>
      <c r="E326" s="30">
        <v>692</v>
      </c>
      <c r="F326" s="30">
        <v>4941</v>
      </c>
      <c r="G326" s="30">
        <v>0.14005262092693788</v>
      </c>
      <c r="H326" s="28">
        <v>81.400677527535208</v>
      </c>
      <c r="I326" s="49">
        <v>12.75</v>
      </c>
      <c r="J326" s="30">
        <v>68.327974276527328</v>
      </c>
      <c r="K326" s="27">
        <f t="shared" si="10"/>
        <v>58.128893053957974</v>
      </c>
      <c r="L326" s="71">
        <f t="shared" si="11"/>
        <v>54.69356845646486</v>
      </c>
      <c r="M326" s="1" t="str">
        <f>VLOOKUP(A326,Dados!A$2:C$400,3,FALSE)</f>
        <v>P1</v>
      </c>
    </row>
    <row r="327" spans="1:13" ht="18" x14ac:dyDescent="0.25">
      <c r="A327" s="47" t="s">
        <v>342</v>
      </c>
      <c r="B327" s="48">
        <v>4116307</v>
      </c>
      <c r="C327" s="29">
        <v>0</v>
      </c>
      <c r="D327" s="28">
        <v>0</v>
      </c>
      <c r="E327" s="30">
        <v>479</v>
      </c>
      <c r="F327" s="30">
        <v>3951</v>
      </c>
      <c r="G327" s="30">
        <v>0.12123513034674765</v>
      </c>
      <c r="H327" s="28">
        <v>70.463670619291946</v>
      </c>
      <c r="I327" s="49">
        <v>11.64</v>
      </c>
      <c r="J327" s="30">
        <v>62.379421221864952</v>
      </c>
      <c r="K327" s="27">
        <f t="shared" si="10"/>
        <v>44.281030613718968</v>
      </c>
      <c r="L327" s="71">
        <f t="shared" si="11"/>
        <v>28.758082821026765</v>
      </c>
      <c r="M327" s="1" t="str">
        <f>VLOOKUP(A327,Dados!A$2:C$400,3,FALSE)</f>
        <v>P1</v>
      </c>
    </row>
    <row r="328" spans="1:13" ht="18" x14ac:dyDescent="0.25">
      <c r="A328" s="47" t="s">
        <v>333</v>
      </c>
      <c r="B328" s="48">
        <v>4106571</v>
      </c>
      <c r="C328" s="29">
        <v>23.26</v>
      </c>
      <c r="D328" s="28">
        <v>41.864650827933765</v>
      </c>
      <c r="E328" s="30">
        <v>561</v>
      </c>
      <c r="F328" s="30">
        <v>4133</v>
      </c>
      <c r="G328" s="30">
        <v>0.13573675296394871</v>
      </c>
      <c r="H328" s="28">
        <v>78.892230531102541</v>
      </c>
      <c r="I328" s="49">
        <v>8.4700000000000006</v>
      </c>
      <c r="J328" s="30">
        <v>45.39121114683816</v>
      </c>
      <c r="K328" s="27">
        <f t="shared" si="10"/>
        <v>55.382697501958148</v>
      </c>
      <c r="L328" s="71">
        <f t="shared" si="11"/>
        <v>49.55025369591138</v>
      </c>
      <c r="M328" s="1" t="str">
        <f>VLOOKUP(A328,Dados!A$2:C$400,3,FALSE)</f>
        <v>P1</v>
      </c>
    </row>
    <row r="329" spans="1:13" ht="18" x14ac:dyDescent="0.25">
      <c r="A329" s="47" t="s">
        <v>370</v>
      </c>
      <c r="B329" s="48">
        <v>4120200</v>
      </c>
      <c r="C329" s="29">
        <v>29.41</v>
      </c>
      <c r="D329" s="28">
        <v>52.933765298776095</v>
      </c>
      <c r="E329" s="30">
        <v>427</v>
      </c>
      <c r="F329" s="30">
        <v>3182</v>
      </c>
      <c r="G329" s="30">
        <v>0.13419233186675047</v>
      </c>
      <c r="H329" s="28">
        <v>77.994589895263672</v>
      </c>
      <c r="I329" s="49">
        <v>8.8000000000000007</v>
      </c>
      <c r="J329" s="30">
        <v>47.159699892818871</v>
      </c>
      <c r="K329" s="27">
        <f t="shared" si="10"/>
        <v>59.362685028952882</v>
      </c>
      <c r="L329" s="71">
        <f t="shared" si="11"/>
        <v>57.004321771836977</v>
      </c>
      <c r="M329" s="1" t="str">
        <f>VLOOKUP(A329,Dados!A$2:C$400,3,FALSE)</f>
        <v>P1</v>
      </c>
    </row>
    <row r="330" spans="1:13" ht="18" x14ac:dyDescent="0.25">
      <c r="A330" s="47" t="s">
        <v>360</v>
      </c>
      <c r="B330" s="48">
        <v>4123105</v>
      </c>
      <c r="C330" s="29">
        <v>26.32</v>
      </c>
      <c r="D330" s="28">
        <v>47.372210223182144</v>
      </c>
      <c r="E330" s="30">
        <v>453</v>
      </c>
      <c r="F330" s="30">
        <v>3394</v>
      </c>
      <c r="G330" s="30">
        <v>0.13347083087802003</v>
      </c>
      <c r="H330" s="28">
        <v>77.575242731813717</v>
      </c>
      <c r="I330" s="49">
        <v>11.49</v>
      </c>
      <c r="J330" s="30">
        <v>61.575562700964625</v>
      </c>
      <c r="K330" s="27">
        <f t="shared" si="10"/>
        <v>62.174338551986828</v>
      </c>
      <c r="L330" s="71">
        <f t="shared" si="11"/>
        <v>62.270231934735534</v>
      </c>
      <c r="M330" s="1" t="str">
        <f>VLOOKUP(A330,Dados!A$2:C$400,3,FALSE)</f>
        <v>P1</v>
      </c>
    </row>
    <row r="331" spans="1:13" ht="18" x14ac:dyDescent="0.25">
      <c r="A331" s="47" t="s">
        <v>366</v>
      </c>
      <c r="B331" s="48">
        <v>4101150</v>
      </c>
      <c r="C331" s="29">
        <v>0</v>
      </c>
      <c r="D331" s="28">
        <v>0</v>
      </c>
      <c r="E331" s="30">
        <v>441</v>
      </c>
      <c r="F331" s="30">
        <v>3235</v>
      </c>
      <c r="G331" s="30">
        <v>0.13632148377125194</v>
      </c>
      <c r="H331" s="28">
        <v>79.232084819945413</v>
      </c>
      <c r="I331" s="49">
        <v>13.6</v>
      </c>
      <c r="J331" s="30">
        <v>72.883172561629152</v>
      </c>
      <c r="K331" s="27">
        <f t="shared" si="10"/>
        <v>50.705085793858188</v>
      </c>
      <c r="L331" s="71">
        <f t="shared" si="11"/>
        <v>40.789614154095581</v>
      </c>
      <c r="M331" s="1" t="str">
        <f>VLOOKUP(A331,Dados!A$2:C$400,3,FALSE)</f>
        <v>P1</v>
      </c>
    </row>
    <row r="332" spans="1:13" ht="18" x14ac:dyDescent="0.25">
      <c r="A332" s="47" t="s">
        <v>341</v>
      </c>
      <c r="B332" s="48">
        <v>4125456</v>
      </c>
      <c r="C332" s="29">
        <v>17.86</v>
      </c>
      <c r="D332" s="28">
        <v>32.145428365730737</v>
      </c>
      <c r="E332" s="30">
        <v>563</v>
      </c>
      <c r="F332" s="30">
        <v>3957</v>
      </c>
      <c r="G332" s="30">
        <v>0.14227950467525904</v>
      </c>
      <c r="H332" s="28">
        <v>82.694975661255711</v>
      </c>
      <c r="I332" s="49">
        <v>13.65</v>
      </c>
      <c r="J332" s="30">
        <v>73.151125401929264</v>
      </c>
      <c r="K332" s="27">
        <f t="shared" si="10"/>
        <v>62.663843142971906</v>
      </c>
      <c r="L332" s="71">
        <f t="shared" si="11"/>
        <v>63.187018864325751</v>
      </c>
      <c r="M332" s="1" t="str">
        <f>VLOOKUP(A332,Dados!A$2:C$400,3,FALSE)</f>
        <v>P1</v>
      </c>
    </row>
    <row r="333" spans="1:13" ht="18" x14ac:dyDescent="0.25">
      <c r="A333" s="47" t="s">
        <v>299</v>
      </c>
      <c r="B333" s="48">
        <v>4125308</v>
      </c>
      <c r="C333" s="29">
        <v>0</v>
      </c>
      <c r="D333" s="28">
        <v>0</v>
      </c>
      <c r="E333" s="30">
        <v>580</v>
      </c>
      <c r="F333" s="30">
        <v>5168</v>
      </c>
      <c r="G333" s="30">
        <v>0.11222910216718267</v>
      </c>
      <c r="H333" s="28">
        <v>65.229232371748509</v>
      </c>
      <c r="I333" s="49">
        <v>8.1300000000000008</v>
      </c>
      <c r="J333" s="30">
        <v>43.569131832797432</v>
      </c>
      <c r="K333" s="27">
        <f t="shared" si="10"/>
        <v>36.266121401515313</v>
      </c>
      <c r="L333" s="71">
        <f t="shared" si="11"/>
        <v>13.747061182162144</v>
      </c>
      <c r="M333" s="1" t="str">
        <f>VLOOKUP(A333,Dados!A$2:C$400,3,FALSE)</f>
        <v>P2</v>
      </c>
    </row>
    <row r="334" spans="1:13" ht="18" x14ac:dyDescent="0.25">
      <c r="A334" s="47" t="s">
        <v>320</v>
      </c>
      <c r="B334" s="48">
        <v>4107157</v>
      </c>
      <c r="C334" s="29">
        <v>40.82</v>
      </c>
      <c r="D334" s="28">
        <v>73.470122390208786</v>
      </c>
      <c r="E334" s="30">
        <v>686</v>
      </c>
      <c r="F334" s="30">
        <v>4557</v>
      </c>
      <c r="G334" s="30">
        <v>0.15053763440860216</v>
      </c>
      <c r="H334" s="28">
        <v>87.49472414832681</v>
      </c>
      <c r="I334" s="49">
        <v>12.07</v>
      </c>
      <c r="J334" s="30">
        <v>64.683815648445872</v>
      </c>
      <c r="K334" s="27">
        <f t="shared" si="10"/>
        <v>75.216220728993832</v>
      </c>
      <c r="L334" s="71">
        <f t="shared" si="11"/>
        <v>86.696207374668006</v>
      </c>
      <c r="M334" s="1" t="str">
        <f>VLOOKUP(A334,Dados!A$2:C$400,3,FALSE)</f>
        <v>P1</v>
      </c>
    </row>
    <row r="335" spans="1:13" ht="18" x14ac:dyDescent="0.25">
      <c r="A335" s="47" t="s">
        <v>301</v>
      </c>
      <c r="B335" s="48">
        <v>4126355</v>
      </c>
      <c r="C335" s="29">
        <v>21.74</v>
      </c>
      <c r="D335" s="28">
        <v>39.128869690424764</v>
      </c>
      <c r="E335" s="30">
        <v>607</v>
      </c>
      <c r="F335" s="30">
        <v>5007</v>
      </c>
      <c r="G335" s="30">
        <v>0.12123027761134411</v>
      </c>
      <c r="H335" s="28">
        <v>70.460850136911134</v>
      </c>
      <c r="I335" s="49">
        <v>13.38</v>
      </c>
      <c r="J335" s="30">
        <v>71.704180064308687</v>
      </c>
      <c r="K335" s="27">
        <f t="shared" si="10"/>
        <v>60.431299963881521</v>
      </c>
      <c r="L335" s="71">
        <f t="shared" si="11"/>
        <v>59.005717107345376</v>
      </c>
      <c r="M335" s="1" t="str">
        <f>VLOOKUP(A335,Dados!A$2:C$400,3,FALSE)</f>
        <v>P2</v>
      </c>
    </row>
    <row r="336" spans="1:13" ht="18" x14ac:dyDescent="0.25">
      <c r="A336" s="47" t="s">
        <v>365</v>
      </c>
      <c r="B336" s="48">
        <v>4115739</v>
      </c>
      <c r="C336" s="29">
        <v>54.05</v>
      </c>
      <c r="D336" s="28">
        <v>97.28221742260618</v>
      </c>
      <c r="E336" s="30">
        <v>394</v>
      </c>
      <c r="F336" s="30">
        <v>3267</v>
      </c>
      <c r="G336" s="30">
        <v>0.12059993878175697</v>
      </c>
      <c r="H336" s="28">
        <v>70.094487783527725</v>
      </c>
      <c r="I336" s="49">
        <v>8.8800000000000008</v>
      </c>
      <c r="J336" s="30">
        <v>47.588424437299039</v>
      </c>
      <c r="K336" s="27">
        <f t="shared" si="10"/>
        <v>71.655043214477658</v>
      </c>
      <c r="L336" s="71">
        <f t="shared" si="11"/>
        <v>80.026523250380492</v>
      </c>
      <c r="M336" s="1" t="str">
        <f>VLOOKUP(A336,Dados!A$2:C$400,3,FALSE)</f>
        <v>P1</v>
      </c>
    </row>
    <row r="337" spans="1:13" ht="18" x14ac:dyDescent="0.25">
      <c r="A337" s="47" t="s">
        <v>307</v>
      </c>
      <c r="B337" s="48">
        <v>4113759</v>
      </c>
      <c r="C337" s="29">
        <v>0</v>
      </c>
      <c r="D337" s="28">
        <v>0</v>
      </c>
      <c r="E337" s="30">
        <v>573</v>
      </c>
      <c r="F337" s="30">
        <v>4872</v>
      </c>
      <c r="G337" s="30">
        <v>0.11761083743842364</v>
      </c>
      <c r="H337" s="28">
        <v>68.357177385939877</v>
      </c>
      <c r="I337" s="49">
        <v>9.0299999999999994</v>
      </c>
      <c r="J337" s="30">
        <v>48.392282958199353</v>
      </c>
      <c r="K337" s="27">
        <f t="shared" si="10"/>
        <v>38.916486781379746</v>
      </c>
      <c r="L337" s="71">
        <f t="shared" si="11"/>
        <v>18.710896830788791</v>
      </c>
      <c r="M337" s="1" t="str">
        <f>VLOOKUP(A337,Dados!A$2:C$400,3,FALSE)</f>
        <v>P1</v>
      </c>
    </row>
    <row r="338" spans="1:13" ht="18" x14ac:dyDescent="0.25">
      <c r="A338" s="47" t="s">
        <v>385</v>
      </c>
      <c r="B338" s="48">
        <v>4108106</v>
      </c>
      <c r="C338" s="29">
        <v>0</v>
      </c>
      <c r="D338" s="28">
        <v>0</v>
      </c>
      <c r="E338" s="30">
        <v>342</v>
      </c>
      <c r="F338" s="30">
        <v>2652</v>
      </c>
      <c r="G338" s="30">
        <v>0.12895927601809956</v>
      </c>
      <c r="H338" s="28">
        <v>74.953059584725352</v>
      </c>
      <c r="I338" s="49">
        <v>13.95</v>
      </c>
      <c r="J338" s="30">
        <v>74.758842443729904</v>
      </c>
      <c r="K338" s="27">
        <f t="shared" si="10"/>
        <v>49.903967342818419</v>
      </c>
      <c r="L338" s="71">
        <f t="shared" si="11"/>
        <v>39.28920958487835</v>
      </c>
      <c r="M338" s="1" t="str">
        <f>VLOOKUP(A338,Dados!A$2:C$400,3,FALSE)</f>
        <v>P1</v>
      </c>
    </row>
    <row r="339" spans="1:13" ht="18" x14ac:dyDescent="0.25">
      <c r="A339" s="47" t="s">
        <v>262</v>
      </c>
      <c r="B339" s="48">
        <v>4118709</v>
      </c>
      <c r="C339" s="29">
        <v>15.15</v>
      </c>
      <c r="D339" s="28">
        <v>27.267818574514042</v>
      </c>
      <c r="E339" s="30">
        <v>747</v>
      </c>
      <c r="F339" s="30">
        <v>6343</v>
      </c>
      <c r="G339" s="30">
        <v>0.11776761784644491</v>
      </c>
      <c r="H339" s="28">
        <v>68.448300503461766</v>
      </c>
      <c r="I339" s="49">
        <v>13.24</v>
      </c>
      <c r="J339" s="30">
        <v>70.953912111468384</v>
      </c>
      <c r="K339" s="27">
        <f t="shared" si="10"/>
        <v>55.556677063148065</v>
      </c>
      <c r="L339" s="71">
        <f t="shared" si="11"/>
        <v>49.87609780575675</v>
      </c>
      <c r="M339" s="1" t="str">
        <f>VLOOKUP(A339,Dados!A$2:C$400,3,FALSE)</f>
        <v>P2</v>
      </c>
    </row>
    <row r="340" spans="1:13" ht="18" x14ac:dyDescent="0.25">
      <c r="A340" s="47" t="s">
        <v>313</v>
      </c>
      <c r="B340" s="48">
        <v>4109203</v>
      </c>
      <c r="C340" s="29">
        <v>0</v>
      </c>
      <c r="D340" s="28">
        <v>0</v>
      </c>
      <c r="E340" s="30">
        <v>568</v>
      </c>
      <c r="F340" s="30">
        <v>4748</v>
      </c>
      <c r="G340" s="30">
        <v>0.11962931760741365</v>
      </c>
      <c r="H340" s="28">
        <v>69.530348243037892</v>
      </c>
      <c r="I340" s="49">
        <v>11.58</v>
      </c>
      <c r="J340" s="30">
        <v>62.057877813504824</v>
      </c>
      <c r="K340" s="27">
        <f t="shared" si="10"/>
        <v>43.86274201884757</v>
      </c>
      <c r="L340" s="71">
        <f t="shared" si="11"/>
        <v>27.974675425800825</v>
      </c>
      <c r="M340" s="1" t="str">
        <f>VLOOKUP(A340,Dados!A$2:C$400,3,FALSE)</f>
        <v>P1</v>
      </c>
    </row>
    <row r="341" spans="1:13" ht="18" x14ac:dyDescent="0.25">
      <c r="A341" s="47" t="s">
        <v>361</v>
      </c>
      <c r="B341" s="48">
        <v>4123204</v>
      </c>
      <c r="C341" s="29">
        <v>29.41</v>
      </c>
      <c r="D341" s="28">
        <v>52.933765298776095</v>
      </c>
      <c r="E341" s="30">
        <v>424</v>
      </c>
      <c r="F341" s="30">
        <v>3365</v>
      </c>
      <c r="G341" s="30">
        <v>0.12600297176820208</v>
      </c>
      <c r="H341" s="28">
        <v>73.234811348266234</v>
      </c>
      <c r="I341" s="49">
        <v>15.75</v>
      </c>
      <c r="J341" s="30">
        <v>84.40514469453376</v>
      </c>
      <c r="K341" s="27">
        <f t="shared" si="10"/>
        <v>70.19124044719203</v>
      </c>
      <c r="L341" s="71">
        <f t="shared" si="11"/>
        <v>77.28498564427791</v>
      </c>
      <c r="M341" s="1" t="str">
        <f>VLOOKUP(A341,Dados!A$2:C$400,3,FALSE)</f>
        <v>P1</v>
      </c>
    </row>
    <row r="342" spans="1:13" ht="18" x14ac:dyDescent="0.25">
      <c r="A342" s="47" t="s">
        <v>328</v>
      </c>
      <c r="B342" s="48">
        <v>4107850</v>
      </c>
      <c r="C342" s="29">
        <v>13.33</v>
      </c>
      <c r="D342" s="28">
        <v>23.992080633549314</v>
      </c>
      <c r="E342" s="30">
        <v>570</v>
      </c>
      <c r="F342" s="30">
        <v>4364</v>
      </c>
      <c r="G342" s="30">
        <v>0.1306141154903758</v>
      </c>
      <c r="H342" s="28">
        <v>75.914877031275438</v>
      </c>
      <c r="I342" s="49">
        <v>15.35</v>
      </c>
      <c r="J342" s="30">
        <v>82.261521972132897</v>
      </c>
      <c r="K342" s="27">
        <f t="shared" si="10"/>
        <v>60.722826545652545</v>
      </c>
      <c r="L342" s="71">
        <f t="shared" si="11"/>
        <v>59.551713538671876</v>
      </c>
      <c r="M342" s="1" t="str">
        <f>VLOOKUP(A342,Dados!A$2:C$400,3,FALSE)</f>
        <v>P1</v>
      </c>
    </row>
    <row r="343" spans="1:13" ht="18" x14ac:dyDescent="0.25">
      <c r="A343" s="47" t="s">
        <v>347</v>
      </c>
      <c r="B343" s="48">
        <v>4106555</v>
      </c>
      <c r="C343" s="29">
        <v>0</v>
      </c>
      <c r="D343" s="28">
        <v>0</v>
      </c>
      <c r="E343" s="30">
        <v>460</v>
      </c>
      <c r="F343" s="30">
        <v>3760</v>
      </c>
      <c r="G343" s="30">
        <v>0.12234042553191489</v>
      </c>
      <c r="H343" s="28">
        <v>71.106084708689593</v>
      </c>
      <c r="I343" s="49">
        <v>10.37</v>
      </c>
      <c r="J343" s="30">
        <v>55.573419078242225</v>
      </c>
      <c r="K343" s="27">
        <f t="shared" si="10"/>
        <v>42.226501262310606</v>
      </c>
      <c r="L343" s="71">
        <f t="shared" si="11"/>
        <v>24.910180900351861</v>
      </c>
      <c r="M343" s="1" t="str">
        <f>VLOOKUP(A343,Dados!A$2:C$400,3,FALSE)</f>
        <v>P1</v>
      </c>
    </row>
    <row r="344" spans="1:13" ht="18" x14ac:dyDescent="0.25">
      <c r="A344" s="47" t="s">
        <v>243</v>
      </c>
      <c r="B344" s="48">
        <v>4101309</v>
      </c>
      <c r="C344" s="29">
        <v>13.33</v>
      </c>
      <c r="D344" s="28">
        <v>23.992080633549314</v>
      </c>
      <c r="E344" s="30">
        <v>883</v>
      </c>
      <c r="F344" s="30">
        <v>7018</v>
      </c>
      <c r="G344" s="30">
        <v>0.12581932174408664</v>
      </c>
      <c r="H344" s="28">
        <v>73.128071208081764</v>
      </c>
      <c r="I344" s="49">
        <v>7.55</v>
      </c>
      <c r="J344" s="30">
        <v>40.460878885316184</v>
      </c>
      <c r="K344" s="27">
        <f t="shared" si="10"/>
        <v>45.86034357564909</v>
      </c>
      <c r="L344" s="71">
        <f t="shared" si="11"/>
        <v>31.715958003190469</v>
      </c>
      <c r="M344" s="1" t="str">
        <f>VLOOKUP(A344,Dados!A$2:C$400,3,FALSE)</f>
        <v>P2</v>
      </c>
    </row>
    <row r="345" spans="1:13" ht="18" x14ac:dyDescent="0.25">
      <c r="A345" s="47" t="s">
        <v>362</v>
      </c>
      <c r="B345" s="48">
        <v>4123956</v>
      </c>
      <c r="C345" s="29">
        <v>25.64</v>
      </c>
      <c r="D345" s="28">
        <v>46.148308135349168</v>
      </c>
      <c r="E345" s="30">
        <v>493</v>
      </c>
      <c r="F345" s="30">
        <v>3356</v>
      </c>
      <c r="G345" s="30">
        <v>0.1469010727056019</v>
      </c>
      <c r="H345" s="28">
        <v>85.381100108050305</v>
      </c>
      <c r="I345" s="49">
        <v>10.43</v>
      </c>
      <c r="J345" s="30">
        <v>55.894962486602353</v>
      </c>
      <c r="K345" s="27">
        <f t="shared" si="10"/>
        <v>62.474790243333949</v>
      </c>
      <c r="L345" s="71">
        <f t="shared" si="11"/>
        <v>62.832944090398868</v>
      </c>
      <c r="M345" s="1" t="str">
        <f>VLOOKUP(A345,Dados!A$2:C$400,3,FALSE)</f>
        <v>P1</v>
      </c>
    </row>
    <row r="346" spans="1:13" ht="18" x14ac:dyDescent="0.25">
      <c r="A346" s="47" t="s">
        <v>374</v>
      </c>
      <c r="B346" s="48">
        <v>4128625</v>
      </c>
      <c r="C346" s="29">
        <v>30.3</v>
      </c>
      <c r="D346" s="28">
        <v>54.535637149028084</v>
      </c>
      <c r="E346" s="30">
        <v>436</v>
      </c>
      <c r="F346" s="30">
        <v>3055</v>
      </c>
      <c r="G346" s="30">
        <v>0.14271685761047465</v>
      </c>
      <c r="H346" s="28">
        <v>82.949171727059991</v>
      </c>
      <c r="I346" s="49">
        <v>18.66</v>
      </c>
      <c r="J346" s="30">
        <v>100</v>
      </c>
      <c r="K346" s="27">
        <f t="shared" si="10"/>
        <v>79.161602958696022</v>
      </c>
      <c r="L346" s="71">
        <f t="shared" si="11"/>
        <v>94.085463628934193</v>
      </c>
      <c r="M346" s="1" t="str">
        <f>VLOOKUP(A346,Dados!A$2:C$400,3,FALSE)</f>
        <v>P1</v>
      </c>
    </row>
    <row r="347" spans="1:13" ht="18" x14ac:dyDescent="0.25">
      <c r="A347" s="47" t="s">
        <v>321</v>
      </c>
      <c r="B347" s="48">
        <v>4115457</v>
      </c>
      <c r="C347" s="29">
        <v>0</v>
      </c>
      <c r="D347" s="28">
        <v>0</v>
      </c>
      <c r="E347" s="30">
        <v>649</v>
      </c>
      <c r="F347" s="30">
        <v>4504</v>
      </c>
      <c r="G347" s="30">
        <v>0.14409413854351688</v>
      </c>
      <c r="H347" s="28">
        <v>83.749668000199208</v>
      </c>
      <c r="I347" s="49">
        <v>11.55</v>
      </c>
      <c r="J347" s="30">
        <v>61.89710610932476</v>
      </c>
      <c r="K347" s="27">
        <f t="shared" si="10"/>
        <v>48.548924703174656</v>
      </c>
      <c r="L347" s="71">
        <f t="shared" si="11"/>
        <v>36.75136744010323</v>
      </c>
      <c r="M347" s="1" t="str">
        <f>VLOOKUP(A347,Dados!A$2:C$400,3,FALSE)</f>
        <v>P1</v>
      </c>
    </row>
    <row r="348" spans="1:13" ht="18" x14ac:dyDescent="0.25">
      <c r="A348" s="47" t="s">
        <v>273</v>
      </c>
      <c r="B348" s="48">
        <v>4107405</v>
      </c>
      <c r="C348" s="29">
        <v>0</v>
      </c>
      <c r="D348" s="28">
        <v>0</v>
      </c>
      <c r="E348" s="30">
        <v>782</v>
      </c>
      <c r="F348" s="30">
        <v>5999</v>
      </c>
      <c r="G348" s="30">
        <v>0.13035505917652943</v>
      </c>
      <c r="H348" s="28">
        <v>75.764309627928654</v>
      </c>
      <c r="I348" s="49">
        <v>14.67</v>
      </c>
      <c r="J348" s="30">
        <v>78.617363344051455</v>
      </c>
      <c r="K348" s="27">
        <f t="shared" si="10"/>
        <v>51.460557657326696</v>
      </c>
      <c r="L348" s="71">
        <f t="shared" si="11"/>
        <v>42.204527809363448</v>
      </c>
      <c r="M348" s="1" t="str">
        <f>VLOOKUP(A348,Dados!A$2:C$400,3,FALSE)</f>
        <v>P2</v>
      </c>
    </row>
    <row r="349" spans="1:13" ht="18" x14ac:dyDescent="0.25">
      <c r="A349" s="47" t="s">
        <v>351</v>
      </c>
      <c r="B349" s="48">
        <v>4116406</v>
      </c>
      <c r="C349" s="29">
        <v>0</v>
      </c>
      <c r="D349" s="28">
        <v>0</v>
      </c>
      <c r="E349" s="30">
        <v>472</v>
      </c>
      <c r="F349" s="30">
        <v>3669</v>
      </c>
      <c r="G349" s="30">
        <v>0.12864540746797493</v>
      </c>
      <c r="H349" s="28">
        <v>74.770634490031412</v>
      </c>
      <c r="I349" s="49">
        <v>15.26</v>
      </c>
      <c r="J349" s="30">
        <v>81.779206859592719</v>
      </c>
      <c r="K349" s="27">
        <f t="shared" si="10"/>
        <v>52.183280449874708</v>
      </c>
      <c r="L349" s="71">
        <f t="shared" si="11"/>
        <v>43.558106145761855</v>
      </c>
      <c r="M349" s="1" t="str">
        <f>VLOOKUP(A349,Dados!A$2:C$400,3,FALSE)</f>
        <v>P1</v>
      </c>
    </row>
    <row r="350" spans="1:13" ht="18" x14ac:dyDescent="0.25">
      <c r="A350" s="47" t="s">
        <v>367</v>
      </c>
      <c r="B350" s="48">
        <v>4103222</v>
      </c>
      <c r="C350" s="29">
        <v>0</v>
      </c>
      <c r="D350" s="28">
        <v>0</v>
      </c>
      <c r="E350" s="30">
        <v>412</v>
      </c>
      <c r="F350" s="30">
        <v>3202</v>
      </c>
      <c r="G350" s="30">
        <v>0.12866958151155528</v>
      </c>
      <c r="H350" s="28">
        <v>74.784684805641348</v>
      </c>
      <c r="I350" s="49">
        <v>12.49</v>
      </c>
      <c r="J350" s="30">
        <v>66.934619506966769</v>
      </c>
      <c r="K350" s="27">
        <f t="shared" si="10"/>
        <v>47.23976810420271</v>
      </c>
      <c r="L350" s="71">
        <f t="shared" si="11"/>
        <v>34.299464677947405</v>
      </c>
      <c r="M350" s="1" t="str">
        <f>VLOOKUP(A350,Dados!A$2:C$400,3,FALSE)</f>
        <v>P1</v>
      </c>
    </row>
    <row r="351" spans="1:13" ht="18" x14ac:dyDescent="0.25">
      <c r="A351" s="47" t="s">
        <v>394</v>
      </c>
      <c r="B351" s="48">
        <v>4115903</v>
      </c>
      <c r="C351" s="29">
        <v>0</v>
      </c>
      <c r="D351" s="28">
        <v>0</v>
      </c>
      <c r="E351" s="30">
        <v>320</v>
      </c>
      <c r="F351" s="30">
        <v>2238</v>
      </c>
      <c r="G351" s="30">
        <v>0.14298480786416443</v>
      </c>
      <c r="H351" s="28">
        <v>83.104908421237255</v>
      </c>
      <c r="I351" s="49">
        <v>12.96</v>
      </c>
      <c r="J351" s="30">
        <v>69.453376205787791</v>
      </c>
      <c r="K351" s="27">
        <f t="shared" si="10"/>
        <v>50.852761542341682</v>
      </c>
      <c r="L351" s="71">
        <f t="shared" si="11"/>
        <v>41.066194187297448</v>
      </c>
      <c r="M351" s="1" t="str">
        <f>VLOOKUP(A351,Dados!A$2:C$400,3,FALSE)</f>
        <v>P1</v>
      </c>
    </row>
    <row r="352" spans="1:13" ht="18" x14ac:dyDescent="0.25">
      <c r="A352" s="47" t="s">
        <v>339</v>
      </c>
      <c r="B352" s="48">
        <v>4102208</v>
      </c>
      <c r="C352" s="29">
        <v>0</v>
      </c>
      <c r="D352" s="28">
        <v>0</v>
      </c>
      <c r="E352" s="30">
        <v>421</v>
      </c>
      <c r="F352" s="30">
        <v>3980</v>
      </c>
      <c r="G352" s="30">
        <v>0.10577889447236181</v>
      </c>
      <c r="H352" s="28">
        <v>61.480275207814785</v>
      </c>
      <c r="I352" s="49">
        <v>8.5399999999999991</v>
      </c>
      <c r="J352" s="30">
        <v>45.766345123258304</v>
      </c>
      <c r="K352" s="27">
        <f t="shared" si="10"/>
        <v>35.748873443691032</v>
      </c>
      <c r="L352" s="71">
        <f t="shared" si="11"/>
        <v>12.778314053281809</v>
      </c>
      <c r="M352" s="1" t="str">
        <f>VLOOKUP(A352,Dados!A$2:C$400,3,FALSE)</f>
        <v>P1</v>
      </c>
    </row>
    <row r="353" spans="1:13" ht="18" x14ac:dyDescent="0.25">
      <c r="A353" s="47" t="s">
        <v>344</v>
      </c>
      <c r="B353" s="48">
        <v>4103958</v>
      </c>
      <c r="C353" s="29">
        <v>0</v>
      </c>
      <c r="D353" s="28">
        <v>0</v>
      </c>
      <c r="E353" s="30">
        <v>557</v>
      </c>
      <c r="F353" s="30">
        <v>3936</v>
      </c>
      <c r="G353" s="30">
        <v>0.14151422764227642</v>
      </c>
      <c r="H353" s="28">
        <v>82.25018520629132</v>
      </c>
      <c r="I353" s="49">
        <v>17.78</v>
      </c>
      <c r="J353" s="30">
        <v>95.284030010718126</v>
      </c>
      <c r="K353" s="27">
        <f t="shared" si="10"/>
        <v>59.178071739003144</v>
      </c>
      <c r="L353" s="71">
        <f t="shared" si="11"/>
        <v>56.658561886492556</v>
      </c>
      <c r="M353" s="1" t="str">
        <f>VLOOKUP(A353,Dados!A$2:C$400,3,FALSE)</f>
        <v>P1</v>
      </c>
    </row>
    <row r="354" spans="1:13" ht="18" x14ac:dyDescent="0.25">
      <c r="A354" s="47" t="s">
        <v>364</v>
      </c>
      <c r="B354" s="48">
        <v>4116604</v>
      </c>
      <c r="C354" s="29">
        <v>0</v>
      </c>
      <c r="D354" s="28">
        <v>0</v>
      </c>
      <c r="E354" s="30">
        <v>402</v>
      </c>
      <c r="F354" s="30">
        <v>3280</v>
      </c>
      <c r="G354" s="30">
        <v>0.1225609756097561</v>
      </c>
      <c r="H354" s="28">
        <v>71.234271711876005</v>
      </c>
      <c r="I354" s="49">
        <v>13.41</v>
      </c>
      <c r="J354" s="30">
        <v>71.864951768488751</v>
      </c>
      <c r="K354" s="27">
        <f t="shared" si="10"/>
        <v>47.699741160121583</v>
      </c>
      <c r="L354" s="71">
        <f t="shared" si="11"/>
        <v>35.160942370692787</v>
      </c>
      <c r="M354" s="1" t="str">
        <f>VLOOKUP(A354,Dados!A$2:C$400,3,FALSE)</f>
        <v>P1</v>
      </c>
    </row>
    <row r="355" spans="1:13" ht="18" x14ac:dyDescent="0.25">
      <c r="A355" s="47" t="s">
        <v>378</v>
      </c>
      <c r="B355" s="48">
        <v>4101051</v>
      </c>
      <c r="C355" s="29">
        <v>0</v>
      </c>
      <c r="D355" s="28">
        <v>0</v>
      </c>
      <c r="E355" s="30">
        <v>366</v>
      </c>
      <c r="F355" s="30">
        <v>2918</v>
      </c>
      <c r="G355" s="30">
        <v>0.12542837559972583</v>
      </c>
      <c r="H355" s="28">
        <v>72.900847463055612</v>
      </c>
      <c r="I355" s="49">
        <v>11.31</v>
      </c>
      <c r="J355" s="30">
        <v>60.610932475884248</v>
      </c>
      <c r="K355" s="27">
        <f t="shared" si="10"/>
        <v>44.503926646313289</v>
      </c>
      <c r="L355" s="71">
        <f t="shared" si="11"/>
        <v>29.175541968710672</v>
      </c>
      <c r="M355" s="1" t="str">
        <f>VLOOKUP(A355,Dados!A$2:C$400,3,FALSE)</f>
        <v>P1</v>
      </c>
    </row>
    <row r="356" spans="1:13" ht="18" x14ac:dyDescent="0.25">
      <c r="A356" s="47" t="s">
        <v>345</v>
      </c>
      <c r="B356" s="48">
        <v>4128658</v>
      </c>
      <c r="C356" s="29">
        <v>19.23</v>
      </c>
      <c r="D356" s="28">
        <v>34.611231101511883</v>
      </c>
      <c r="E356" s="30">
        <v>521</v>
      </c>
      <c r="F356" s="30">
        <v>3811</v>
      </c>
      <c r="G356" s="30">
        <v>0.13670952505903963</v>
      </c>
      <c r="H356" s="28">
        <v>79.457620218894164</v>
      </c>
      <c r="I356" s="49">
        <v>14.17</v>
      </c>
      <c r="J356" s="30">
        <v>75.937834941050369</v>
      </c>
      <c r="K356" s="27">
        <f t="shared" si="10"/>
        <v>63.335562087152141</v>
      </c>
      <c r="L356" s="71">
        <f t="shared" si="11"/>
        <v>64.445072741089831</v>
      </c>
      <c r="M356" s="1" t="str">
        <f>VLOOKUP(A356,Dados!A$2:C$400,3,FALSE)</f>
        <v>P1</v>
      </c>
    </row>
    <row r="357" spans="1:13" ht="18" x14ac:dyDescent="0.25">
      <c r="A357" s="47" t="s">
        <v>358</v>
      </c>
      <c r="B357" s="48">
        <v>4106100</v>
      </c>
      <c r="C357" s="29">
        <v>0</v>
      </c>
      <c r="D357" s="28">
        <v>0</v>
      </c>
      <c r="E357" s="30">
        <v>450</v>
      </c>
      <c r="F357" s="30">
        <v>3461</v>
      </c>
      <c r="G357" s="30">
        <v>0.13002022536839064</v>
      </c>
      <c r="H357" s="28">
        <v>75.569699211777703</v>
      </c>
      <c r="I357" s="49">
        <v>13</v>
      </c>
      <c r="J357" s="30">
        <v>69.667738478027857</v>
      </c>
      <c r="K357" s="27">
        <f t="shared" si="10"/>
        <v>48.412479229935194</v>
      </c>
      <c r="L357" s="71">
        <f t="shared" si="11"/>
        <v>36.495820446731919</v>
      </c>
      <c r="M357" s="1" t="str">
        <f>VLOOKUP(A357,Dados!A$2:C$400,3,FALSE)</f>
        <v>P1</v>
      </c>
    </row>
    <row r="358" spans="1:13" ht="18" x14ac:dyDescent="0.25">
      <c r="A358" s="47" t="s">
        <v>346</v>
      </c>
      <c r="B358" s="48">
        <v>4122172</v>
      </c>
      <c r="C358" s="29">
        <v>0</v>
      </c>
      <c r="D358" s="28">
        <v>0</v>
      </c>
      <c r="E358" s="30">
        <v>587</v>
      </c>
      <c r="F358" s="30">
        <v>3808</v>
      </c>
      <c r="G358" s="30">
        <v>0.15414915966386555</v>
      </c>
      <c r="H358" s="28">
        <v>89.593796630801876</v>
      </c>
      <c r="I358" s="49">
        <v>12.08</v>
      </c>
      <c r="J358" s="30">
        <v>64.737406216505903</v>
      </c>
      <c r="K358" s="27">
        <f t="shared" si="10"/>
        <v>51.443734282435933</v>
      </c>
      <c r="L358" s="71">
        <f t="shared" si="11"/>
        <v>42.173019524261548</v>
      </c>
      <c r="M358" s="1" t="str">
        <f>VLOOKUP(A358,Dados!A$2:C$400,3,FALSE)</f>
        <v>P1</v>
      </c>
    </row>
    <row r="359" spans="1:13" ht="18" x14ac:dyDescent="0.25">
      <c r="A359" s="47" t="s">
        <v>388</v>
      </c>
      <c r="B359" s="48">
        <v>4110300</v>
      </c>
      <c r="C359" s="29">
        <v>0</v>
      </c>
      <c r="D359" s="28">
        <v>0</v>
      </c>
      <c r="E359" s="30">
        <v>334</v>
      </c>
      <c r="F359" s="30">
        <v>2536</v>
      </c>
      <c r="G359" s="30">
        <v>0.13170347003154576</v>
      </c>
      <c r="H359" s="28">
        <v>76.548026180017118</v>
      </c>
      <c r="I359" s="49">
        <v>12.22</v>
      </c>
      <c r="J359" s="30">
        <v>65.487674169346207</v>
      </c>
      <c r="K359" s="27">
        <f t="shared" si="10"/>
        <v>47.34523344978777</v>
      </c>
      <c r="L359" s="71">
        <f t="shared" si="11"/>
        <v>34.496989383818956</v>
      </c>
      <c r="M359" s="1" t="str">
        <f>VLOOKUP(A359,Dados!A$2:C$400,3,FALSE)</f>
        <v>P1</v>
      </c>
    </row>
    <row r="360" spans="1:13" ht="18" x14ac:dyDescent="0.25">
      <c r="A360" s="47" t="s">
        <v>356</v>
      </c>
      <c r="B360" s="48">
        <v>4101655</v>
      </c>
      <c r="C360" s="29">
        <v>0</v>
      </c>
      <c r="D360" s="28">
        <v>0</v>
      </c>
      <c r="E360" s="30">
        <v>433</v>
      </c>
      <c r="F360" s="30">
        <v>3527</v>
      </c>
      <c r="G360" s="30">
        <v>0.12276722426991778</v>
      </c>
      <c r="H360" s="28">
        <v>71.35414651725408</v>
      </c>
      <c r="I360" s="49">
        <v>13.33</v>
      </c>
      <c r="J360" s="30">
        <v>71.436227224008576</v>
      </c>
      <c r="K360" s="27">
        <f t="shared" si="10"/>
        <v>47.596791247087559</v>
      </c>
      <c r="L360" s="71">
        <f t="shared" si="11"/>
        <v>34.968128786488997</v>
      </c>
      <c r="M360" s="1" t="str">
        <f>VLOOKUP(A360,Dados!A$2:C$400,3,FALSE)</f>
        <v>P1</v>
      </c>
    </row>
    <row r="361" spans="1:13" ht="18" x14ac:dyDescent="0.25">
      <c r="A361" s="47" t="s">
        <v>355</v>
      </c>
      <c r="B361" s="48">
        <v>4120309</v>
      </c>
      <c r="C361" s="29">
        <v>0</v>
      </c>
      <c r="D361" s="28">
        <v>0</v>
      </c>
      <c r="E361" s="30">
        <v>497</v>
      </c>
      <c r="F361" s="30">
        <v>3562</v>
      </c>
      <c r="G361" s="30">
        <v>0.13952835485682202</v>
      </c>
      <c r="H361" s="28">
        <v>81.09596624809123</v>
      </c>
      <c r="I361" s="49">
        <v>14.32</v>
      </c>
      <c r="J361" s="30">
        <v>76.741693461950703</v>
      </c>
      <c r="K361" s="27">
        <f t="shared" si="10"/>
        <v>52.61255323668064</v>
      </c>
      <c r="L361" s="71">
        <f t="shared" si="11"/>
        <v>44.362085694514327</v>
      </c>
      <c r="M361" s="1" t="str">
        <f>VLOOKUP(A361,Dados!A$2:C$400,3,FALSE)</f>
        <v>P1</v>
      </c>
    </row>
    <row r="362" spans="1:13" ht="18" x14ac:dyDescent="0.25">
      <c r="A362" s="47" t="s">
        <v>363</v>
      </c>
      <c r="B362" s="48">
        <v>4112900</v>
      </c>
      <c r="C362" s="29">
        <v>23.26</v>
      </c>
      <c r="D362" s="28">
        <v>41.864650827933765</v>
      </c>
      <c r="E362" s="30">
        <v>413</v>
      </c>
      <c r="F362" s="30">
        <v>3333</v>
      </c>
      <c r="G362" s="30">
        <v>0.12391239123912391</v>
      </c>
      <c r="H362" s="28">
        <v>72.019734683748766</v>
      </c>
      <c r="I362" s="49">
        <v>10.199999999999999</v>
      </c>
      <c r="J362" s="30">
        <v>54.662379421221864</v>
      </c>
      <c r="K362" s="27">
        <f t="shared" si="10"/>
        <v>56.182254977634791</v>
      </c>
      <c r="L362" s="71">
        <f t="shared" si="11"/>
        <v>51.04773473420228</v>
      </c>
      <c r="M362" s="1" t="str">
        <f>VLOOKUP(A362,Dados!A$2:C$400,3,FALSE)</f>
        <v>P1</v>
      </c>
    </row>
    <row r="363" spans="1:13" ht="18" x14ac:dyDescent="0.25">
      <c r="A363" s="47" t="s">
        <v>352</v>
      </c>
      <c r="B363" s="48">
        <v>4123824</v>
      </c>
      <c r="C363" s="29">
        <v>0</v>
      </c>
      <c r="D363" s="28">
        <v>0</v>
      </c>
      <c r="E363" s="30">
        <v>475</v>
      </c>
      <c r="F363" s="30">
        <v>3644</v>
      </c>
      <c r="G363" s="30">
        <v>0.13035126234906697</v>
      </c>
      <c r="H363" s="28">
        <v>75.762102855032481</v>
      </c>
      <c r="I363" s="49">
        <v>15.64</v>
      </c>
      <c r="J363" s="30">
        <v>83.815648445873521</v>
      </c>
      <c r="K363" s="27">
        <f t="shared" si="10"/>
        <v>53.192583766968674</v>
      </c>
      <c r="L363" s="71">
        <f t="shared" si="11"/>
        <v>45.448417505746654</v>
      </c>
      <c r="M363" s="1" t="str">
        <f>VLOOKUP(A363,Dados!A$2:C$400,3,FALSE)</f>
        <v>P1</v>
      </c>
    </row>
    <row r="364" spans="1:13" ht="18" x14ac:dyDescent="0.25">
      <c r="A364" s="47" t="s">
        <v>369</v>
      </c>
      <c r="B364" s="48">
        <v>4117404</v>
      </c>
      <c r="C364" s="29">
        <v>0</v>
      </c>
      <c r="D364" s="28">
        <v>0</v>
      </c>
      <c r="E364" s="30">
        <v>388</v>
      </c>
      <c r="F364" s="30">
        <v>3187</v>
      </c>
      <c r="G364" s="30">
        <v>0.12174458738625667</v>
      </c>
      <c r="H364" s="28">
        <v>70.75977466870377</v>
      </c>
      <c r="I364" s="49">
        <v>11.92</v>
      </c>
      <c r="J364" s="30">
        <v>63.879957127545552</v>
      </c>
      <c r="K364" s="27">
        <f t="shared" si="10"/>
        <v>44.879910598749774</v>
      </c>
      <c r="L364" s="71">
        <f t="shared" si="11"/>
        <v>29.879717536575669</v>
      </c>
      <c r="M364" s="1" t="str">
        <f>VLOOKUP(A364,Dados!A$2:C$400,3,FALSE)</f>
        <v>P1</v>
      </c>
    </row>
    <row r="365" spans="1:13" ht="18" x14ac:dyDescent="0.25">
      <c r="A365" s="47" t="s">
        <v>353</v>
      </c>
      <c r="B365" s="48">
        <v>4100459</v>
      </c>
      <c r="C365" s="29">
        <v>19.23</v>
      </c>
      <c r="D365" s="28">
        <v>34.611231101511883</v>
      </c>
      <c r="E365" s="30">
        <v>467</v>
      </c>
      <c r="F365" s="30">
        <v>3590</v>
      </c>
      <c r="G365" s="30">
        <v>0.13008356545961003</v>
      </c>
      <c r="H365" s="28">
        <v>75.606513419935965</v>
      </c>
      <c r="I365" s="49">
        <v>11.98</v>
      </c>
      <c r="J365" s="30">
        <v>64.20150053590568</v>
      </c>
      <c r="K365" s="27">
        <f t="shared" si="10"/>
        <v>58.139748352451171</v>
      </c>
      <c r="L365" s="71">
        <f t="shared" si="11"/>
        <v>54.713899207102635</v>
      </c>
      <c r="M365" s="1" t="str">
        <f>VLOOKUP(A365,Dados!A$2:C$400,3,FALSE)</f>
        <v>P1</v>
      </c>
    </row>
    <row r="366" spans="1:13" ht="18" x14ac:dyDescent="0.25">
      <c r="A366" s="47" t="s">
        <v>375</v>
      </c>
      <c r="B366" s="48">
        <v>4119657</v>
      </c>
      <c r="C366" s="29">
        <v>0</v>
      </c>
      <c r="D366" s="28">
        <v>0</v>
      </c>
      <c r="E366" s="30">
        <v>405</v>
      </c>
      <c r="F366" s="30">
        <v>3046</v>
      </c>
      <c r="G366" s="30">
        <v>0.1329612606697308</v>
      </c>
      <c r="H366" s="28">
        <v>77.279072907014566</v>
      </c>
      <c r="I366" s="49">
        <v>9.52</v>
      </c>
      <c r="J366" s="30">
        <v>51.018220793140401</v>
      </c>
      <c r="K366" s="27">
        <f t="shared" si="10"/>
        <v>42.765764566718325</v>
      </c>
      <c r="L366" s="71">
        <f t="shared" si="11"/>
        <v>25.920160292156382</v>
      </c>
      <c r="M366" s="1" t="str">
        <f>VLOOKUP(A366,Dados!A$2:C$400,3,FALSE)</f>
        <v>P1</v>
      </c>
    </row>
    <row r="367" spans="1:13" ht="18" x14ac:dyDescent="0.25">
      <c r="A367" s="47" t="s">
        <v>357</v>
      </c>
      <c r="B367" s="48">
        <v>4121307</v>
      </c>
      <c r="C367" s="29">
        <v>0</v>
      </c>
      <c r="D367" s="28">
        <v>0</v>
      </c>
      <c r="E367" s="30">
        <v>366</v>
      </c>
      <c r="F367" s="30">
        <v>3512</v>
      </c>
      <c r="G367" s="35">
        <v>0.10421412300683372</v>
      </c>
      <c r="H367" s="28">
        <v>60.570806633598032</v>
      </c>
      <c r="I367" s="49">
        <v>11.39</v>
      </c>
      <c r="J367" s="30">
        <v>61.039657020364423</v>
      </c>
      <c r="K367" s="27">
        <f t="shared" si="10"/>
        <v>40.536821217987487</v>
      </c>
      <c r="L367" s="71">
        <f t="shared" si="11"/>
        <v>21.745600611722686</v>
      </c>
      <c r="M367" s="1" t="str">
        <f>VLOOKUP(A367,Dados!A$2:C$400,3,FALSE)</f>
        <v>P1</v>
      </c>
    </row>
    <row r="368" spans="1:13" ht="18" x14ac:dyDescent="0.25">
      <c r="A368" s="47" t="s">
        <v>343</v>
      </c>
      <c r="B368" s="48">
        <v>4113429</v>
      </c>
      <c r="C368" s="29">
        <v>0</v>
      </c>
      <c r="D368" s="28">
        <v>0</v>
      </c>
      <c r="E368" s="30">
        <v>486</v>
      </c>
      <c r="F368" s="30">
        <v>3938</v>
      </c>
      <c r="G368" s="30">
        <v>0.1234128999492128</v>
      </c>
      <c r="H368" s="28">
        <v>71.729422877023779</v>
      </c>
      <c r="I368" s="49">
        <v>7.11</v>
      </c>
      <c r="J368" s="30">
        <v>38.10289389067524</v>
      </c>
      <c r="K368" s="27">
        <f t="shared" si="10"/>
        <v>36.610772255899668</v>
      </c>
      <c r="L368" s="71">
        <f t="shared" si="11"/>
        <v>14.392553388753749</v>
      </c>
      <c r="M368" s="1" t="str">
        <f>VLOOKUP(A368,Dados!A$2:C$400,3,FALSE)</f>
        <v>P1</v>
      </c>
    </row>
    <row r="369" spans="1:13" ht="18" x14ac:dyDescent="0.25">
      <c r="A369" s="47" t="s">
        <v>390</v>
      </c>
      <c r="B369" s="48">
        <v>4103024</v>
      </c>
      <c r="C369" s="29">
        <v>0</v>
      </c>
      <c r="D369" s="28">
        <v>0</v>
      </c>
      <c r="E369" s="30">
        <v>340</v>
      </c>
      <c r="F369" s="30">
        <v>2455</v>
      </c>
      <c r="G369" s="30">
        <v>0.1384928716904277</v>
      </c>
      <c r="H369" s="28">
        <v>80.494127947922422</v>
      </c>
      <c r="I369" s="49">
        <v>11.41</v>
      </c>
      <c r="J369" s="30">
        <v>61.146838156484463</v>
      </c>
      <c r="K369" s="27">
        <f t="shared" si="10"/>
        <v>47.213655368135626</v>
      </c>
      <c r="L369" s="71">
        <f t="shared" si="11"/>
        <v>34.250558466314203</v>
      </c>
      <c r="M369" s="1" t="str">
        <f>VLOOKUP(A369,Dados!A$2:C$400,3,FALSE)</f>
        <v>P1</v>
      </c>
    </row>
    <row r="370" spans="1:13" ht="18" x14ac:dyDescent="0.25">
      <c r="A370" s="47" t="s">
        <v>384</v>
      </c>
      <c r="B370" s="48">
        <v>4125902</v>
      </c>
      <c r="C370" s="29">
        <v>33.33</v>
      </c>
      <c r="D370" s="28">
        <v>59.989200863930883</v>
      </c>
      <c r="E370" s="30">
        <v>331</v>
      </c>
      <c r="F370" s="30">
        <v>2661</v>
      </c>
      <c r="G370" s="30">
        <v>0.12438932732055619</v>
      </c>
      <c r="H370" s="28">
        <v>72.296937066031688</v>
      </c>
      <c r="I370" s="49">
        <v>12.03</v>
      </c>
      <c r="J370" s="30">
        <v>64.469453376205792</v>
      </c>
      <c r="K370" s="27">
        <f t="shared" si="10"/>
        <v>65.585197102056114</v>
      </c>
      <c r="L370" s="71">
        <f t="shared" si="11"/>
        <v>68.658385580223836</v>
      </c>
      <c r="M370" s="1" t="str">
        <f>VLOOKUP(A370,Dados!A$2:C$400,3,FALSE)</f>
        <v>P1</v>
      </c>
    </row>
    <row r="371" spans="1:13" ht="18" x14ac:dyDescent="0.25">
      <c r="A371" s="47" t="s">
        <v>389</v>
      </c>
      <c r="B371" s="48">
        <v>4124202</v>
      </c>
      <c r="C371" s="29">
        <v>0</v>
      </c>
      <c r="D371" s="28">
        <v>0</v>
      </c>
      <c r="E371" s="30">
        <v>288</v>
      </c>
      <c r="F371" s="30">
        <v>2493</v>
      </c>
      <c r="G371" s="30">
        <v>0.11552346570397112</v>
      </c>
      <c r="H371" s="28">
        <v>67.143965720840797</v>
      </c>
      <c r="I371" s="49">
        <v>11.23</v>
      </c>
      <c r="J371" s="30">
        <v>60.182207931404072</v>
      </c>
      <c r="K371" s="27">
        <f t="shared" si="10"/>
        <v>42.442057884081628</v>
      </c>
      <c r="L371" s="71">
        <f t="shared" si="11"/>
        <v>25.313894158747672</v>
      </c>
      <c r="M371" s="1" t="str">
        <f>VLOOKUP(A371,Dados!A$2:C$400,3,FALSE)</f>
        <v>P1</v>
      </c>
    </row>
    <row r="372" spans="1:13" ht="18" x14ac:dyDescent="0.25">
      <c r="A372" s="47" t="s">
        <v>371</v>
      </c>
      <c r="B372" s="48">
        <v>4107124</v>
      </c>
      <c r="C372" s="29">
        <v>51.28</v>
      </c>
      <c r="D372" s="28">
        <v>92.296616270698337</v>
      </c>
      <c r="E372" s="30">
        <v>407</v>
      </c>
      <c r="F372" s="30">
        <v>3171</v>
      </c>
      <c r="G372" s="30">
        <v>0.12835067801955219</v>
      </c>
      <c r="H372" s="28">
        <v>74.599333327438799</v>
      </c>
      <c r="I372" s="49">
        <v>11.67</v>
      </c>
      <c r="J372" s="30">
        <v>62.540192926045016</v>
      </c>
      <c r="K372" s="27">
        <f t="shared" si="10"/>
        <v>76.478714174727386</v>
      </c>
      <c r="L372" s="71">
        <f t="shared" si="11"/>
        <v>89.060715309951348</v>
      </c>
      <c r="M372" s="1" t="str">
        <f>VLOOKUP(A372,Dados!A$2:C$400,3,FALSE)</f>
        <v>P1</v>
      </c>
    </row>
    <row r="373" spans="1:13" ht="18" x14ac:dyDescent="0.25">
      <c r="A373" s="47" t="s">
        <v>337</v>
      </c>
      <c r="B373" s="48">
        <v>4102752</v>
      </c>
      <c r="C373" s="29">
        <v>25</v>
      </c>
      <c r="D373" s="28">
        <v>44.996400287976961</v>
      </c>
      <c r="E373" s="30">
        <v>517</v>
      </c>
      <c r="F373" s="30">
        <v>4031</v>
      </c>
      <c r="G373" s="30">
        <v>0.12825601587695362</v>
      </c>
      <c r="H373" s="28">
        <v>74.544314274651839</v>
      </c>
      <c r="I373" s="49">
        <v>11.66</v>
      </c>
      <c r="J373" s="30">
        <v>62.486602357984999</v>
      </c>
      <c r="K373" s="27">
        <f t="shared" si="10"/>
        <v>60.675772306871266</v>
      </c>
      <c r="L373" s="71">
        <f t="shared" si="11"/>
        <v>59.463586252654629</v>
      </c>
      <c r="M373" s="1" t="str">
        <f>VLOOKUP(A373,Dados!A$2:C$400,3,FALSE)</f>
        <v>P1</v>
      </c>
    </row>
    <row r="374" spans="1:13" ht="18" x14ac:dyDescent="0.25">
      <c r="A374" s="47" t="s">
        <v>380</v>
      </c>
      <c r="B374" s="48">
        <v>4102703</v>
      </c>
      <c r="C374" s="29">
        <v>0</v>
      </c>
      <c r="D374" s="28">
        <v>0</v>
      </c>
      <c r="E374" s="30">
        <v>319</v>
      </c>
      <c r="F374" s="30">
        <v>2814</v>
      </c>
      <c r="G374" s="30">
        <v>0.11336176261549395</v>
      </c>
      <c r="H374" s="28">
        <v>65.88755156128569</v>
      </c>
      <c r="I374" s="49">
        <v>10.31</v>
      </c>
      <c r="J374" s="30">
        <v>55.251875669882097</v>
      </c>
      <c r="K374" s="27">
        <f t="shared" si="10"/>
        <v>40.379809077055931</v>
      </c>
      <c r="L374" s="71">
        <f t="shared" si="11"/>
        <v>21.451534567718173</v>
      </c>
      <c r="M374" s="1" t="str">
        <f>VLOOKUP(A374,Dados!A$2:C$400,3,FALSE)</f>
        <v>P1</v>
      </c>
    </row>
    <row r="375" spans="1:13" ht="18" x14ac:dyDescent="0.25">
      <c r="A375" s="47" t="s">
        <v>334</v>
      </c>
      <c r="B375" s="48">
        <v>4120101</v>
      </c>
      <c r="C375" s="29">
        <v>0</v>
      </c>
      <c r="D375" s="28">
        <v>0</v>
      </c>
      <c r="E375" s="30">
        <v>566</v>
      </c>
      <c r="F375" s="30">
        <v>4098</v>
      </c>
      <c r="G375" s="30">
        <v>0.1381161542215715</v>
      </c>
      <c r="H375" s="28">
        <v>80.275174121864794</v>
      </c>
      <c r="I375" s="49">
        <v>13.42</v>
      </c>
      <c r="J375" s="30">
        <v>71.918542336548768</v>
      </c>
      <c r="K375" s="27">
        <f t="shared" si="10"/>
        <v>50.731238819471194</v>
      </c>
      <c r="L375" s="71">
        <f t="shared" si="11"/>
        <v>40.83859582350749</v>
      </c>
      <c r="M375" s="1" t="str">
        <f>VLOOKUP(A375,Dados!A$2:C$400,3,FALSE)</f>
        <v>P1</v>
      </c>
    </row>
    <row r="376" spans="1:13" ht="18" x14ac:dyDescent="0.25">
      <c r="A376" s="47" t="s">
        <v>372</v>
      </c>
      <c r="B376" s="48">
        <v>4117297</v>
      </c>
      <c r="C376" s="29">
        <v>47.62</v>
      </c>
      <c r="D376" s="28">
        <v>85.709143268538512</v>
      </c>
      <c r="E376" s="30">
        <v>348</v>
      </c>
      <c r="F376" s="30">
        <v>3125</v>
      </c>
      <c r="G376" s="30">
        <v>0.11136</v>
      </c>
      <c r="H376" s="28">
        <v>64.724097196261681</v>
      </c>
      <c r="I376" s="49">
        <v>11.84</v>
      </c>
      <c r="J376" s="30">
        <v>63.451232583065377</v>
      </c>
      <c r="K376" s="27">
        <f t="shared" si="10"/>
        <v>71.294824349288518</v>
      </c>
      <c r="L376" s="71">
        <f t="shared" si="11"/>
        <v>79.351873914134956</v>
      </c>
      <c r="M376" s="1" t="str">
        <f>VLOOKUP(A376,Dados!A$2:C$400,3,FALSE)</f>
        <v>P1</v>
      </c>
    </row>
    <row r="377" spans="1:13" ht="18" x14ac:dyDescent="0.25">
      <c r="A377" s="47" t="s">
        <v>395</v>
      </c>
      <c r="B377" s="48">
        <v>4109104</v>
      </c>
      <c r="C377" s="29">
        <v>55.56</v>
      </c>
      <c r="D377" s="28">
        <v>100</v>
      </c>
      <c r="E377" s="30">
        <v>260</v>
      </c>
      <c r="F377" s="30">
        <v>2191</v>
      </c>
      <c r="G377" s="30">
        <v>0.11866727521679599</v>
      </c>
      <c r="H377" s="28">
        <v>68.971194819930304</v>
      </c>
      <c r="I377" s="49">
        <v>11.87</v>
      </c>
      <c r="J377" s="30">
        <v>63.612004287245441</v>
      </c>
      <c r="K377" s="27">
        <f t="shared" si="10"/>
        <v>77.527733035725248</v>
      </c>
      <c r="L377" s="71">
        <f t="shared" si="11"/>
        <v>91.025409407551322</v>
      </c>
      <c r="M377" s="1" t="str">
        <f>VLOOKUP(A377,Dados!A$2:C$400,3,FALSE)</f>
        <v>P1</v>
      </c>
    </row>
    <row r="378" spans="1:13" ht="18" x14ac:dyDescent="0.25">
      <c r="A378" s="47" t="s">
        <v>379</v>
      </c>
      <c r="B378" s="48">
        <v>4106852</v>
      </c>
      <c r="C378" s="29">
        <v>0</v>
      </c>
      <c r="D378" s="28">
        <v>0</v>
      </c>
      <c r="E378" s="30">
        <v>367</v>
      </c>
      <c r="F378" s="30">
        <v>2892</v>
      </c>
      <c r="G378" s="30">
        <v>0.12690179806362378</v>
      </c>
      <c r="H378" s="28">
        <v>73.757222631558534</v>
      </c>
      <c r="I378" s="49">
        <v>12.79</v>
      </c>
      <c r="J378" s="30">
        <v>68.542336548767409</v>
      </c>
      <c r="K378" s="27">
        <f t="shared" si="10"/>
        <v>47.433186393441986</v>
      </c>
      <c r="L378" s="71">
        <f t="shared" si="11"/>
        <v>34.66171533459891</v>
      </c>
      <c r="M378" s="1" t="str">
        <f>VLOOKUP(A378,Dados!A$2:C$400,3,FALSE)</f>
        <v>P1</v>
      </c>
    </row>
    <row r="379" spans="1:13" ht="18" x14ac:dyDescent="0.25">
      <c r="A379" s="47" t="s">
        <v>382</v>
      </c>
      <c r="B379" s="48">
        <v>4119251</v>
      </c>
      <c r="C379" s="29">
        <v>0</v>
      </c>
      <c r="D379" s="28">
        <v>0</v>
      </c>
      <c r="E379" s="30">
        <v>352</v>
      </c>
      <c r="F379" s="30">
        <v>2761</v>
      </c>
      <c r="G379" s="30">
        <v>0.12749003984063745</v>
      </c>
      <c r="H379" s="28">
        <v>74.099117548497603</v>
      </c>
      <c r="I379" s="49">
        <v>9.0500000000000007</v>
      </c>
      <c r="J379" s="30">
        <v>48.499464094319407</v>
      </c>
      <c r="K379" s="27">
        <f t="shared" si="10"/>
        <v>40.866193880939001</v>
      </c>
      <c r="L379" s="71">
        <f t="shared" si="11"/>
        <v>22.362478487680093</v>
      </c>
      <c r="M379" s="1" t="str">
        <f>VLOOKUP(A379,Dados!A$2:C$400,3,FALSE)</f>
        <v>P1</v>
      </c>
    </row>
    <row r="380" spans="1:13" ht="18" x14ac:dyDescent="0.25">
      <c r="A380" s="47" t="s">
        <v>373</v>
      </c>
      <c r="B380" s="48">
        <v>4120150</v>
      </c>
      <c r="C380" s="29">
        <v>19.61</v>
      </c>
      <c r="D380" s="28">
        <v>35.295176385889128</v>
      </c>
      <c r="E380" s="30">
        <v>397</v>
      </c>
      <c r="F380" s="30">
        <v>3110</v>
      </c>
      <c r="G380" s="30">
        <v>0.12765273311897107</v>
      </c>
      <c r="H380" s="28">
        <v>74.193677314661784</v>
      </c>
      <c r="I380" s="49">
        <v>13.5</v>
      </c>
      <c r="J380" s="30">
        <v>72.347266881028943</v>
      </c>
      <c r="K380" s="27">
        <f t="shared" si="10"/>
        <v>60.612040193859947</v>
      </c>
      <c r="L380" s="71">
        <f t="shared" si="11"/>
        <v>59.344223187874455</v>
      </c>
      <c r="M380" s="1" t="str">
        <f>VLOOKUP(A380,Dados!A$2:C$400,3,FALSE)</f>
        <v>P1</v>
      </c>
    </row>
    <row r="381" spans="1:13" ht="18" x14ac:dyDescent="0.25">
      <c r="A381" s="47" t="s">
        <v>383</v>
      </c>
      <c r="B381" s="48">
        <v>4111605</v>
      </c>
      <c r="C381" s="29">
        <v>29.41</v>
      </c>
      <c r="D381" s="28">
        <v>52.933765298776095</v>
      </c>
      <c r="E381" s="30">
        <v>318</v>
      </c>
      <c r="F381" s="30">
        <v>2708</v>
      </c>
      <c r="G381" s="30">
        <v>0.11742983751846381</v>
      </c>
      <c r="H381" s="28">
        <v>68.251977525918363</v>
      </c>
      <c r="I381" s="49">
        <v>10.34</v>
      </c>
      <c r="J381" s="30">
        <v>55.412647374062161</v>
      </c>
      <c r="K381" s="27">
        <f t="shared" si="10"/>
        <v>58.866130066252204</v>
      </c>
      <c r="L381" s="71">
        <f t="shared" si="11"/>
        <v>56.074330290631401</v>
      </c>
      <c r="M381" s="1" t="str">
        <f>VLOOKUP(A381,Dados!A$2:C$400,3,FALSE)</f>
        <v>P1</v>
      </c>
    </row>
    <row r="382" spans="1:13" ht="18" x14ac:dyDescent="0.25">
      <c r="A382" s="47" t="s">
        <v>391</v>
      </c>
      <c r="B382" s="48">
        <v>4118303</v>
      </c>
      <c r="C382" s="29">
        <v>0</v>
      </c>
      <c r="D382" s="28">
        <v>0</v>
      </c>
      <c r="E382" s="30">
        <v>362</v>
      </c>
      <c r="F382" s="30">
        <v>2398</v>
      </c>
      <c r="G382" s="30">
        <v>0.15095913261050875</v>
      </c>
      <c r="H382" s="28">
        <v>87.739705206051781</v>
      </c>
      <c r="I382" s="49">
        <v>12.51</v>
      </c>
      <c r="J382" s="30">
        <v>67.041800643086816</v>
      </c>
      <c r="K382" s="27">
        <f t="shared" si="10"/>
        <v>51.593835283046197</v>
      </c>
      <c r="L382" s="71">
        <f t="shared" si="11"/>
        <v>42.454141781360249</v>
      </c>
      <c r="M382" s="1" t="str">
        <f>VLOOKUP(A382,Dados!A$2:C$400,3,FALSE)</f>
        <v>P1</v>
      </c>
    </row>
    <row r="383" spans="1:13" ht="18" x14ac:dyDescent="0.25">
      <c r="A383" s="47" t="s">
        <v>396</v>
      </c>
      <c r="B383" s="48">
        <v>4110052</v>
      </c>
      <c r="C383" s="29">
        <v>0</v>
      </c>
      <c r="D383" s="28">
        <v>0</v>
      </c>
      <c r="E383" s="30">
        <v>243</v>
      </c>
      <c r="F383" s="30">
        <v>2144</v>
      </c>
      <c r="G383" s="30">
        <v>0.11333955223880597</v>
      </c>
      <c r="H383" s="28">
        <v>65.874642558236857</v>
      </c>
      <c r="I383" s="49">
        <v>7.93</v>
      </c>
      <c r="J383" s="30">
        <v>42.497320471596993</v>
      </c>
      <c r="K383" s="27">
        <f t="shared" si="10"/>
        <v>36.123987676611286</v>
      </c>
      <c r="L383" s="71">
        <f t="shared" si="11"/>
        <v>13.480860734514129</v>
      </c>
      <c r="M383" s="1" t="str">
        <f>VLOOKUP(A383,Dados!A$2:C$400,3,FALSE)</f>
        <v>P1</v>
      </c>
    </row>
    <row r="384" spans="1:13" ht="18" x14ac:dyDescent="0.25">
      <c r="A384" s="47" t="s">
        <v>392</v>
      </c>
      <c r="B384" s="48">
        <v>4110656</v>
      </c>
      <c r="C384" s="29">
        <v>0</v>
      </c>
      <c r="D384" s="28">
        <v>0</v>
      </c>
      <c r="E384" s="30">
        <v>272</v>
      </c>
      <c r="F384" s="30">
        <v>2343</v>
      </c>
      <c r="G384" s="30">
        <v>0.11609048228766539</v>
      </c>
      <c r="H384" s="28">
        <v>67.473524238036546</v>
      </c>
      <c r="I384" s="49">
        <v>11.52</v>
      </c>
      <c r="J384" s="30">
        <v>61.736334405144689</v>
      </c>
      <c r="K384" s="27">
        <f t="shared" si="10"/>
        <v>43.069952881060409</v>
      </c>
      <c r="L384" s="71">
        <f t="shared" si="11"/>
        <v>26.489870721555413</v>
      </c>
      <c r="M384" s="1" t="str">
        <f>VLOOKUP(A384,Dados!A$2:C$400,3,FALSE)</f>
        <v>P1</v>
      </c>
    </row>
    <row r="385" spans="1:13" ht="18" x14ac:dyDescent="0.25">
      <c r="A385" s="47" t="s">
        <v>397</v>
      </c>
      <c r="B385" s="48">
        <v>4125555</v>
      </c>
      <c r="C385" s="29">
        <v>0</v>
      </c>
      <c r="D385" s="28">
        <v>0</v>
      </c>
      <c r="E385" s="30">
        <v>248</v>
      </c>
      <c r="F385" s="30">
        <v>2138</v>
      </c>
      <c r="G385" s="30">
        <v>0.11599625818521983</v>
      </c>
      <c r="H385" s="28">
        <v>67.41875978073665</v>
      </c>
      <c r="I385" s="49">
        <v>11.69</v>
      </c>
      <c r="J385" s="30">
        <v>62.647374062165049</v>
      </c>
      <c r="K385" s="27">
        <f t="shared" si="10"/>
        <v>43.355377947633905</v>
      </c>
      <c r="L385" s="71">
        <f t="shared" si="11"/>
        <v>27.024439702584598</v>
      </c>
      <c r="M385" s="1" t="str">
        <f>VLOOKUP(A385,Dados!A$2:C$400,3,FALSE)</f>
        <v>P1</v>
      </c>
    </row>
    <row r="386" spans="1:13" ht="18" x14ac:dyDescent="0.25">
      <c r="A386" s="47" t="s">
        <v>387</v>
      </c>
      <c r="B386" s="48">
        <v>4121356</v>
      </c>
      <c r="C386" s="29">
        <v>0</v>
      </c>
      <c r="D386" s="28">
        <v>0</v>
      </c>
      <c r="E386" s="30">
        <v>341</v>
      </c>
      <c r="F386" s="30">
        <v>2618</v>
      </c>
      <c r="G386" s="30">
        <v>0.13025210084033614</v>
      </c>
      <c r="H386" s="28">
        <v>75.704468703369216</v>
      </c>
      <c r="I386" s="49">
        <v>8.7899999999999991</v>
      </c>
      <c r="J386" s="30">
        <v>47.10610932475884</v>
      </c>
      <c r="K386" s="27">
        <f t="shared" ref="K386:K400" si="12">(D386+H386+J386)/3</f>
        <v>40.936859342709347</v>
      </c>
      <c r="L386" s="71">
        <f t="shared" si="11"/>
        <v>22.49482693326696</v>
      </c>
      <c r="M386" s="1" t="str">
        <f>VLOOKUP(A386,Dados!A$2:C$400,3,FALSE)</f>
        <v>P1</v>
      </c>
    </row>
    <row r="387" spans="1:13" ht="18" x14ac:dyDescent="0.25">
      <c r="A387" s="47" t="s">
        <v>398</v>
      </c>
      <c r="B387" s="48">
        <v>4128302</v>
      </c>
      <c r="C387" s="29">
        <v>0</v>
      </c>
      <c r="D387" s="28">
        <v>0</v>
      </c>
      <c r="E387" s="30">
        <v>268</v>
      </c>
      <c r="F387" s="30">
        <v>2136</v>
      </c>
      <c r="G387" s="30">
        <v>0.12546816479400749</v>
      </c>
      <c r="H387" s="28">
        <v>72.923973537750726</v>
      </c>
      <c r="I387" s="49">
        <v>8.43</v>
      </c>
      <c r="J387" s="30">
        <v>45.176848874598072</v>
      </c>
      <c r="K387" s="27">
        <f t="shared" si="12"/>
        <v>39.366940804116268</v>
      </c>
      <c r="L387" s="71">
        <f t="shared" ref="L387:L400" si="13">(K387-K$401)/(K$402-K$401)*100</f>
        <v>19.554546447220623</v>
      </c>
      <c r="M387" s="1" t="str">
        <f>VLOOKUP(A387,Dados!A$2:C$400,3,FALSE)</f>
        <v>P1</v>
      </c>
    </row>
    <row r="388" spans="1:13" ht="18" x14ac:dyDescent="0.25">
      <c r="A388" s="47" t="s">
        <v>376</v>
      </c>
      <c r="B388" s="48">
        <v>4107553</v>
      </c>
      <c r="C388" s="29">
        <v>0</v>
      </c>
      <c r="D388" s="28">
        <v>0</v>
      </c>
      <c r="E388" s="30">
        <v>397</v>
      </c>
      <c r="F388" s="30">
        <v>3039</v>
      </c>
      <c r="G388" s="30">
        <v>0.13063507732806845</v>
      </c>
      <c r="H388" s="28">
        <v>75.927060364790449</v>
      </c>
      <c r="I388" s="49">
        <v>9.2100000000000009</v>
      </c>
      <c r="J388" s="30">
        <v>49.356913183279751</v>
      </c>
      <c r="K388" s="27">
        <f t="shared" si="12"/>
        <v>41.7613245160234</v>
      </c>
      <c r="L388" s="71">
        <f t="shared" si="13"/>
        <v>24.038957282025432</v>
      </c>
      <c r="M388" s="1" t="str">
        <f>VLOOKUP(A388,Dados!A$2:C$400,3,FALSE)</f>
        <v>P1</v>
      </c>
    </row>
    <row r="389" spans="1:13" ht="18" x14ac:dyDescent="0.25">
      <c r="A389" s="47" t="s">
        <v>381</v>
      </c>
      <c r="B389" s="48">
        <v>4114351</v>
      </c>
      <c r="C389" s="29">
        <v>0</v>
      </c>
      <c r="D389" s="28">
        <v>0</v>
      </c>
      <c r="E389" s="30">
        <v>365</v>
      </c>
      <c r="F389" s="30">
        <v>2770</v>
      </c>
      <c r="G389" s="30">
        <v>0.13176895306859207</v>
      </c>
      <c r="H389" s="28">
        <v>76.586085900334027</v>
      </c>
      <c r="I389" s="49">
        <v>13.72</v>
      </c>
      <c r="J389" s="30">
        <v>73.526259378349408</v>
      </c>
      <c r="K389" s="27">
        <f t="shared" si="12"/>
        <v>50.037448426227819</v>
      </c>
      <c r="L389" s="71">
        <f t="shared" si="13"/>
        <v>39.539204610197757</v>
      </c>
      <c r="M389" s="1" t="str">
        <f>VLOOKUP(A389,Dados!A$2:C$400,3,FALSE)</f>
        <v>P1</v>
      </c>
    </row>
    <row r="390" spans="1:13" ht="18" x14ac:dyDescent="0.25">
      <c r="A390" s="47" t="s">
        <v>386</v>
      </c>
      <c r="B390" s="48">
        <v>4103404</v>
      </c>
      <c r="C390" s="29">
        <v>0</v>
      </c>
      <c r="D390" s="28">
        <v>0</v>
      </c>
      <c r="E390" s="30">
        <v>309</v>
      </c>
      <c r="F390" s="30">
        <v>2627</v>
      </c>
      <c r="G390" s="30">
        <v>0.11762466692044157</v>
      </c>
      <c r="H390" s="28">
        <v>68.365215287684691</v>
      </c>
      <c r="I390" s="49">
        <v>8.76</v>
      </c>
      <c r="J390" s="30">
        <v>46.945337620578776</v>
      </c>
      <c r="K390" s="27">
        <f t="shared" si="12"/>
        <v>38.436850969421158</v>
      </c>
      <c r="L390" s="71">
        <f t="shared" si="13"/>
        <v>17.812593012060297</v>
      </c>
      <c r="M390" s="1" t="str">
        <f>VLOOKUP(A390,Dados!A$2:C$400,3,FALSE)</f>
        <v>P1</v>
      </c>
    </row>
    <row r="391" spans="1:13" ht="18" x14ac:dyDescent="0.25">
      <c r="A391" s="47" t="s">
        <v>399</v>
      </c>
      <c r="B391" s="48">
        <v>4124301</v>
      </c>
      <c r="C391" s="29">
        <v>0</v>
      </c>
      <c r="D391" s="28">
        <v>0</v>
      </c>
      <c r="E391" s="30">
        <v>252</v>
      </c>
      <c r="F391" s="30">
        <v>2125</v>
      </c>
      <c r="G391" s="30">
        <v>0.11858823529411765</v>
      </c>
      <c r="H391" s="28">
        <v>68.925255634964273</v>
      </c>
      <c r="I391" s="49">
        <v>12.24</v>
      </c>
      <c r="J391" s="30">
        <v>65.59485530546624</v>
      </c>
      <c r="K391" s="27">
        <f t="shared" si="12"/>
        <v>44.840036980143509</v>
      </c>
      <c r="L391" s="71">
        <f t="shared" si="13"/>
        <v>29.805038742858692</v>
      </c>
      <c r="M391" s="1" t="str">
        <f>VLOOKUP(A391,Dados!A$2:C$400,3,FALSE)</f>
        <v>P1</v>
      </c>
    </row>
    <row r="392" spans="1:13" ht="18" x14ac:dyDescent="0.25">
      <c r="A392" s="47" t="s">
        <v>402</v>
      </c>
      <c r="B392" s="48">
        <v>4123600</v>
      </c>
      <c r="C392" s="29">
        <v>0</v>
      </c>
      <c r="D392" s="28">
        <v>0</v>
      </c>
      <c r="E392" s="30">
        <v>199</v>
      </c>
      <c r="F392" s="30">
        <v>1748</v>
      </c>
      <c r="G392" s="30">
        <v>0.11384439359267734</v>
      </c>
      <c r="H392" s="28">
        <v>66.168063902136481</v>
      </c>
      <c r="I392" s="49">
        <v>14.3</v>
      </c>
      <c r="J392" s="30">
        <v>76.634512325830656</v>
      </c>
      <c r="K392" s="27">
        <f t="shared" si="12"/>
        <v>47.60085874265571</v>
      </c>
      <c r="L392" s="71">
        <f t="shared" si="13"/>
        <v>34.975746747263464</v>
      </c>
      <c r="M392" s="1" t="str">
        <f>VLOOKUP(A392,Dados!A$2:C$400,3,FALSE)</f>
        <v>P1</v>
      </c>
    </row>
    <row r="393" spans="1:13" ht="18" x14ac:dyDescent="0.25">
      <c r="A393" s="47" t="s">
        <v>401</v>
      </c>
      <c r="B393" s="48">
        <v>4107520</v>
      </c>
      <c r="C393" s="29">
        <v>0</v>
      </c>
      <c r="D393" s="28">
        <v>0</v>
      </c>
      <c r="E393" s="30">
        <v>224</v>
      </c>
      <c r="F393" s="30">
        <v>1849</v>
      </c>
      <c r="G393" s="30">
        <v>0.12114656571119524</v>
      </c>
      <c r="H393" s="28">
        <v>70.412195528777872</v>
      </c>
      <c r="I393" s="49">
        <v>6.49</v>
      </c>
      <c r="J393" s="30">
        <v>34.780278670953912</v>
      </c>
      <c r="K393" s="27">
        <f t="shared" si="12"/>
        <v>35.064158066577257</v>
      </c>
      <c r="L393" s="71">
        <f t="shared" si="13"/>
        <v>11.495919322388497</v>
      </c>
      <c r="M393" s="1" t="str">
        <f>VLOOKUP(A393,Dados!A$2:C$400,3,FALSE)</f>
        <v>P1</v>
      </c>
    </row>
    <row r="394" spans="1:13" ht="18" x14ac:dyDescent="0.25">
      <c r="A394" s="47" t="s">
        <v>368</v>
      </c>
      <c r="B394" s="48">
        <v>4122107</v>
      </c>
      <c r="C394" s="29">
        <v>0</v>
      </c>
      <c r="D394" s="28">
        <v>0</v>
      </c>
      <c r="E394" s="30">
        <v>372</v>
      </c>
      <c r="F394" s="30">
        <v>3197</v>
      </c>
      <c r="G394" s="30">
        <v>0.1163590866437285</v>
      </c>
      <c r="H394" s="28">
        <v>67.629641106294173</v>
      </c>
      <c r="I394" s="49">
        <v>12.51</v>
      </c>
      <c r="J394" s="30">
        <v>67.041800643086816</v>
      </c>
      <c r="K394" s="27">
        <f t="shared" si="12"/>
        <v>44.890480583126994</v>
      </c>
      <c r="L394" s="71">
        <f t="shared" si="13"/>
        <v>29.89951392603038</v>
      </c>
      <c r="M394" s="1" t="str">
        <f>VLOOKUP(A394,Dados!A$2:C$400,3,FALSE)</f>
        <v>P1</v>
      </c>
    </row>
    <row r="395" spans="1:13" ht="18" x14ac:dyDescent="0.25">
      <c r="A395" s="47" t="s">
        <v>393</v>
      </c>
      <c r="B395" s="48">
        <v>4101853</v>
      </c>
      <c r="C395" s="29">
        <v>0</v>
      </c>
      <c r="D395" s="28">
        <v>0</v>
      </c>
      <c r="E395" s="30">
        <v>295</v>
      </c>
      <c r="F395" s="30">
        <v>2329</v>
      </c>
      <c r="G395" s="30">
        <v>0.12666380420781451</v>
      </c>
      <c r="H395" s="28">
        <v>73.618897043775561</v>
      </c>
      <c r="I395" s="49">
        <v>11.16</v>
      </c>
      <c r="J395" s="30">
        <v>59.807073954983927</v>
      </c>
      <c r="K395" s="27">
        <f t="shared" si="12"/>
        <v>44.475323666253161</v>
      </c>
      <c r="L395" s="71">
        <f t="shared" si="13"/>
        <v>29.121971810739964</v>
      </c>
      <c r="M395" s="1" t="str">
        <f>VLOOKUP(A395,Dados!A$2:C$400,3,FALSE)</f>
        <v>P1</v>
      </c>
    </row>
    <row r="396" spans="1:13" ht="18" x14ac:dyDescent="0.25">
      <c r="A396" s="47" t="s">
        <v>377</v>
      </c>
      <c r="B396" s="48">
        <v>4108551</v>
      </c>
      <c r="C396" s="29">
        <v>0</v>
      </c>
      <c r="D396" s="28">
        <v>0</v>
      </c>
      <c r="E396" s="30">
        <v>369</v>
      </c>
      <c r="F396" s="30">
        <v>2977</v>
      </c>
      <c r="G396" s="30">
        <v>0.12395028552233793</v>
      </c>
      <c r="H396" s="28">
        <v>72.041759407796221</v>
      </c>
      <c r="I396" s="49">
        <v>10.75</v>
      </c>
      <c r="J396" s="30">
        <v>57.60986066452304</v>
      </c>
      <c r="K396" s="27">
        <f t="shared" si="12"/>
        <v>43.217206690773082</v>
      </c>
      <c r="L396" s="71">
        <f t="shared" si="13"/>
        <v>26.765660510993893</v>
      </c>
      <c r="M396" s="1" t="str">
        <f>VLOOKUP(A396,Dados!A$2:C$400,3,FALSE)</f>
        <v>P1</v>
      </c>
    </row>
    <row r="397" spans="1:13" ht="18" x14ac:dyDescent="0.25">
      <c r="A397" s="47" t="s">
        <v>404</v>
      </c>
      <c r="B397" s="48">
        <v>4116505</v>
      </c>
      <c r="C397" s="29">
        <v>0</v>
      </c>
      <c r="D397" s="28">
        <v>0</v>
      </c>
      <c r="E397" s="30">
        <v>176</v>
      </c>
      <c r="F397" s="30">
        <v>1323</v>
      </c>
      <c r="G397" s="30">
        <v>0.13303099017384731</v>
      </c>
      <c r="H397" s="28">
        <v>77.319600737491271</v>
      </c>
      <c r="I397" s="49">
        <v>12.09</v>
      </c>
      <c r="J397" s="30">
        <v>64.79099678456592</v>
      </c>
      <c r="K397" s="27">
        <f t="shared" si="12"/>
        <v>47.370199174019064</v>
      </c>
      <c r="L397" s="71">
        <f t="shared" si="13"/>
        <v>34.543747371557011</v>
      </c>
      <c r="M397" s="1" t="str">
        <f>VLOOKUP(A397,Dados!A$2:C$400,3,FALSE)</f>
        <v>P1</v>
      </c>
    </row>
    <row r="398" spans="1:13" ht="18" x14ac:dyDescent="0.25">
      <c r="A398" s="47" t="s">
        <v>400</v>
      </c>
      <c r="B398" s="48">
        <v>4116000</v>
      </c>
      <c r="C398" s="29">
        <v>0</v>
      </c>
      <c r="D398" s="28">
        <v>0</v>
      </c>
      <c r="E398" s="30">
        <v>229</v>
      </c>
      <c r="F398" s="30">
        <v>1966</v>
      </c>
      <c r="G398" s="30">
        <v>0.11648016276703968</v>
      </c>
      <c r="H398" s="28">
        <v>67.700012359646706</v>
      </c>
      <c r="I398" s="49">
        <v>3.56</v>
      </c>
      <c r="J398" s="30">
        <v>19.078242229367632</v>
      </c>
      <c r="K398" s="27">
        <f t="shared" si="12"/>
        <v>28.926084863004778</v>
      </c>
      <c r="L398" s="71">
        <f t="shared" si="13"/>
        <v>0</v>
      </c>
      <c r="M398" s="1" t="str">
        <f>VLOOKUP(A398,Dados!A$2:C$400,3,FALSE)</f>
        <v>P1</v>
      </c>
    </row>
    <row r="399" spans="1:13" ht="18" x14ac:dyDescent="0.25">
      <c r="A399" s="47" t="s">
        <v>403</v>
      </c>
      <c r="B399" s="48">
        <v>4112603</v>
      </c>
      <c r="C399" s="29">
        <v>0</v>
      </c>
      <c r="D399" s="28">
        <v>0</v>
      </c>
      <c r="E399" s="30">
        <v>211</v>
      </c>
      <c r="F399" s="30">
        <v>1343</v>
      </c>
      <c r="G399" s="30">
        <v>0.15711094564408043</v>
      </c>
      <c r="H399" s="28">
        <v>91.315230930891246</v>
      </c>
      <c r="I399" s="49">
        <v>10.42</v>
      </c>
      <c r="J399" s="30">
        <v>55.841371918542336</v>
      </c>
      <c r="K399" s="27">
        <f t="shared" si="12"/>
        <v>49.052200949811187</v>
      </c>
      <c r="L399" s="71">
        <f t="shared" si="13"/>
        <v>37.693947128602332</v>
      </c>
      <c r="M399" s="1" t="str">
        <f>VLOOKUP(A399,Dados!A$2:C$400,3,FALSE)</f>
        <v>P1</v>
      </c>
    </row>
    <row r="400" spans="1:13" ht="18" x14ac:dyDescent="0.25">
      <c r="A400" s="47" t="s">
        <v>359</v>
      </c>
      <c r="B400" s="48">
        <v>4126652</v>
      </c>
      <c r="C400" s="29">
        <v>0</v>
      </c>
      <c r="D400" s="28">
        <v>0</v>
      </c>
      <c r="E400" s="30">
        <v>415</v>
      </c>
      <c r="F400" s="30">
        <v>3440</v>
      </c>
      <c r="G400" s="30">
        <v>0.12063953488372094</v>
      </c>
      <c r="H400" s="28">
        <v>70.117501630080426</v>
      </c>
      <c r="I400" s="49">
        <v>12.79</v>
      </c>
      <c r="J400" s="30">
        <v>68.542336548767409</v>
      </c>
      <c r="K400" s="27">
        <f t="shared" si="12"/>
        <v>46.21994605961595</v>
      </c>
      <c r="L400" s="71">
        <f t="shared" si="13"/>
        <v>32.389452926875556</v>
      </c>
      <c r="M400" s="1" t="str">
        <f>VLOOKUP(A400,Dados!A$2:C$400,3,FALSE)</f>
        <v>P1</v>
      </c>
    </row>
    <row r="401" spans="3:13" x14ac:dyDescent="0.25">
      <c r="C401" s="32">
        <v>0</v>
      </c>
      <c r="D401" s="32">
        <v>0</v>
      </c>
      <c r="E401" s="32">
        <v>176</v>
      </c>
      <c r="F401" s="32">
        <v>1323</v>
      </c>
      <c r="G401" s="36">
        <v>0.10421412300683372</v>
      </c>
      <c r="H401" s="36">
        <v>60.570806633598032</v>
      </c>
      <c r="I401" s="35">
        <v>3.56</v>
      </c>
      <c r="J401" s="35">
        <v>19.078242229367632</v>
      </c>
      <c r="K401" s="36">
        <f t="shared" ref="K401" si="14">QUARTILE(K2:K400,0)</f>
        <v>28.926084863004778</v>
      </c>
      <c r="L401" s="71"/>
      <c r="M401" s="1" t="e">
        <f>VLOOKUP(A401,Dados!A$2:C$400,3,FALSE)</f>
        <v>#N/A</v>
      </c>
    </row>
    <row r="402" spans="3:13" x14ac:dyDescent="0.25">
      <c r="C402" s="32">
        <v>55.56</v>
      </c>
      <c r="D402" s="32">
        <v>100</v>
      </c>
      <c r="E402" s="32">
        <v>202402</v>
      </c>
      <c r="F402" s="32">
        <v>1773718</v>
      </c>
      <c r="G402" s="32">
        <v>0.1720533847885512</v>
      </c>
      <c r="H402" s="32">
        <v>100</v>
      </c>
      <c r="I402" s="30">
        <v>18.66</v>
      </c>
      <c r="J402" s="30">
        <v>100</v>
      </c>
      <c r="K402" s="32">
        <f t="shared" ref="K402" si="15">QUARTILE(K2:K400,4)</f>
        <v>82.319580689114801</v>
      </c>
      <c r="L402" s="71"/>
      <c r="M402" s="1" t="e">
        <f>VLOOKUP(A402,Dados!A$2:C$400,3,FALSE)</f>
        <v>#N/A</v>
      </c>
    </row>
    <row r="405" spans="3:13" x14ac:dyDescent="0.25">
      <c r="E405" s="24">
        <f>SUM(E$2:E$400)</f>
        <v>1497164</v>
      </c>
    </row>
  </sheetData>
  <autoFilter ref="A1:K1" xr:uid="{FBD63426-0313-4D9D-A048-FFCC4AE2C85F}"/>
  <conditionalFormatting sqref="K2:L2 K3:K400 L3:L4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A132-B639-4CFA-933D-AC4E34B89389}">
  <sheetPr>
    <tabColor rgb="FF92D050"/>
  </sheetPr>
  <dimension ref="A1:O403"/>
  <sheetViews>
    <sheetView workbookViewId="0">
      <selection activeCell="E9" sqref="E9"/>
    </sheetView>
  </sheetViews>
  <sheetFormatPr defaultRowHeight="15" x14ac:dyDescent="0.25"/>
  <cols>
    <col min="1" max="1" width="24.5703125" bestFit="1" customWidth="1"/>
    <col min="3" max="3" width="0" hidden="1" customWidth="1"/>
    <col min="4" max="4" width="10" bestFit="1" customWidth="1"/>
    <col min="5" max="5" width="13.140625" customWidth="1"/>
    <col min="6" max="6" width="9.85546875" bestFit="1" customWidth="1"/>
    <col min="7" max="7" width="15.5703125" style="1" bestFit="1" customWidth="1"/>
    <col min="8" max="8" width="10" bestFit="1" customWidth="1"/>
    <col min="9" max="9" width="22.140625" bestFit="1" customWidth="1"/>
    <col min="10" max="10" width="14" bestFit="1" customWidth="1"/>
    <col min="11" max="11" width="14" customWidth="1"/>
    <col min="12" max="12" width="17.85546875" customWidth="1"/>
    <col min="13" max="13" width="10.5703125" bestFit="1" customWidth="1"/>
  </cols>
  <sheetData>
    <row r="1" spans="1:13" ht="72" x14ac:dyDescent="0.25">
      <c r="A1" s="60"/>
      <c r="B1" s="61" t="s">
        <v>442</v>
      </c>
      <c r="C1" s="7" t="s">
        <v>443</v>
      </c>
      <c r="D1" s="64" t="s">
        <v>419</v>
      </c>
      <c r="E1" s="50" t="s">
        <v>433</v>
      </c>
      <c r="F1" s="64" t="s">
        <v>448</v>
      </c>
      <c r="G1" s="64" t="s">
        <v>426</v>
      </c>
      <c r="H1" s="64" t="s">
        <v>419</v>
      </c>
      <c r="I1" s="51" t="s">
        <v>450</v>
      </c>
      <c r="J1" s="64" t="s">
        <v>449</v>
      </c>
      <c r="K1" s="50" t="s">
        <v>432</v>
      </c>
      <c r="L1" s="52" t="s">
        <v>439</v>
      </c>
    </row>
    <row r="2" spans="1:13" ht="18" x14ac:dyDescent="0.25">
      <c r="A2" s="62" t="s">
        <v>6</v>
      </c>
      <c r="B2" s="63">
        <v>410690</v>
      </c>
      <c r="C2" s="37">
        <v>2</v>
      </c>
      <c r="D2" s="39">
        <v>3.952118563556907E-2</v>
      </c>
      <c r="E2" s="38">
        <v>3.9521185635569069</v>
      </c>
      <c r="F2" s="6">
        <v>23579</v>
      </c>
      <c r="G2" s="6">
        <v>185447</v>
      </c>
      <c r="H2" s="40">
        <v>0.12714683979789373</v>
      </c>
      <c r="I2" s="38">
        <v>16.666236721262447</v>
      </c>
      <c r="J2" s="39">
        <v>0.83316572474837647</v>
      </c>
      <c r="K2" s="38">
        <v>0</v>
      </c>
      <c r="L2" s="27">
        <f>(K2+I2+E2)/3</f>
        <v>6.8727850949397853</v>
      </c>
      <c r="M2" s="74">
        <f>(L2-L$402)/(L$403-L$402)*100</f>
        <v>0</v>
      </c>
    </row>
    <row r="3" spans="1:13" ht="18" x14ac:dyDescent="0.25">
      <c r="A3" s="62" t="s">
        <v>12</v>
      </c>
      <c r="B3" s="63">
        <v>410830</v>
      </c>
      <c r="C3" s="37">
        <v>4</v>
      </c>
      <c r="D3" s="39">
        <v>3.8194444444444448E-2</v>
      </c>
      <c r="E3" s="38">
        <v>3.8194444444444446</v>
      </c>
      <c r="F3" s="6">
        <v>9447</v>
      </c>
      <c r="G3" s="6">
        <v>38190</v>
      </c>
      <c r="H3" s="40">
        <v>0.24736842105263157</v>
      </c>
      <c r="I3" s="38">
        <v>37.344134366520962</v>
      </c>
      <c r="J3" s="39">
        <v>0.5994202099601269</v>
      </c>
      <c r="K3" s="38">
        <v>38.905251957824319</v>
      </c>
      <c r="L3" s="27">
        <f t="shared" ref="L3:L66" si="0">(K3+I3+E3)/3</f>
        <v>26.68961025626324</v>
      </c>
      <c r="M3" s="74">
        <f t="shared" ref="M3:M66" si="1">(L3-L$402)/(L$403-L$402)*100</f>
        <v>30.757392976440158</v>
      </c>
    </row>
    <row r="4" spans="1:13" ht="18" x14ac:dyDescent="0.25">
      <c r="A4" s="62" t="s">
        <v>8</v>
      </c>
      <c r="B4" s="63">
        <v>411520</v>
      </c>
      <c r="C4" s="37">
        <v>0</v>
      </c>
      <c r="D4" s="39">
        <v>3.7075180226570546E-2</v>
      </c>
      <c r="E4" s="38">
        <v>3.7075180226570548</v>
      </c>
      <c r="F4" s="6">
        <v>5145</v>
      </c>
      <c r="G4" s="6">
        <v>44828</v>
      </c>
      <c r="H4" s="40">
        <v>0.11477201748906933</v>
      </c>
      <c r="I4" s="38">
        <v>14.537789345928593</v>
      </c>
      <c r="J4" s="39">
        <v>0.67167541036744671</v>
      </c>
      <c r="K4" s="38">
        <v>26.878895945575472</v>
      </c>
      <c r="L4" s="27">
        <f t="shared" si="0"/>
        <v>15.041401104720373</v>
      </c>
      <c r="M4" s="74">
        <f t="shared" si="1"/>
        <v>12.678384687816605</v>
      </c>
    </row>
    <row r="5" spans="1:13" ht="18" x14ac:dyDescent="0.25">
      <c r="A5" s="62" t="s">
        <v>10</v>
      </c>
      <c r="B5" s="63">
        <v>410480</v>
      </c>
      <c r="C5" s="37">
        <v>8</v>
      </c>
      <c r="D5" s="39">
        <v>2.4749868351764088E-2</v>
      </c>
      <c r="E5" s="38">
        <v>2.4749868351764088</v>
      </c>
      <c r="F5" s="6">
        <v>6125</v>
      </c>
      <c r="G5" s="6">
        <v>46503</v>
      </c>
      <c r="H5" s="40">
        <v>0.13171193256349054</v>
      </c>
      <c r="I5" s="38">
        <v>17.451424538315891</v>
      </c>
      <c r="J5" s="39">
        <v>0.68869660029732638</v>
      </c>
      <c r="K5" s="38">
        <v>24.045841872029499</v>
      </c>
      <c r="L5" s="27">
        <f t="shared" si="0"/>
        <v>14.657417748507266</v>
      </c>
      <c r="M5" s="74">
        <f t="shared" si="1"/>
        <v>12.082409959911693</v>
      </c>
    </row>
    <row r="6" spans="1:13" ht="18" x14ac:dyDescent="0.25">
      <c r="A6" s="62" t="s">
        <v>7</v>
      </c>
      <c r="B6" s="63">
        <v>411370</v>
      </c>
      <c r="C6" s="37">
        <v>0</v>
      </c>
      <c r="D6" s="39">
        <v>4.80859010270775E-2</v>
      </c>
      <c r="E6" s="38">
        <v>4.8085901027077504</v>
      </c>
      <c r="F6" s="6">
        <v>12581</v>
      </c>
      <c r="G6" s="6">
        <v>63953</v>
      </c>
      <c r="H6" s="40">
        <v>0.19672259315434773</v>
      </c>
      <c r="I6" s="38">
        <v>28.633142259196475</v>
      </c>
      <c r="J6" s="39">
        <v>0.62865828403003354</v>
      </c>
      <c r="K6" s="38">
        <v>34.038785794904683</v>
      </c>
      <c r="L6" s="27">
        <f t="shared" si="0"/>
        <v>22.493506052269638</v>
      </c>
      <c r="M6" s="74">
        <f t="shared" si="1"/>
        <v>24.244683451999634</v>
      </c>
    </row>
    <row r="7" spans="1:13" ht="18" x14ac:dyDescent="0.25">
      <c r="A7" s="62" t="s">
        <v>9</v>
      </c>
      <c r="B7" s="63">
        <v>411990</v>
      </c>
      <c r="C7" s="37">
        <v>5</v>
      </c>
      <c r="D7" s="39">
        <v>2.1359223300970873E-2</v>
      </c>
      <c r="E7" s="38">
        <v>2.1359223300970873</v>
      </c>
      <c r="F7" s="6">
        <v>8465</v>
      </c>
      <c r="G7" s="6">
        <v>48349</v>
      </c>
      <c r="H7" s="40">
        <v>0.17508118058284555</v>
      </c>
      <c r="I7" s="38">
        <v>24.910857879122261</v>
      </c>
      <c r="J7" s="39">
        <v>0.59499453895117604</v>
      </c>
      <c r="K7" s="38">
        <v>39.641872918622866</v>
      </c>
      <c r="L7" s="27">
        <f t="shared" si="0"/>
        <v>22.229551042614073</v>
      </c>
      <c r="M7" s="74">
        <f t="shared" si="1"/>
        <v>23.835002895503568</v>
      </c>
    </row>
    <row r="8" spans="1:13" ht="18" x14ac:dyDescent="0.25">
      <c r="A8" s="62" t="s">
        <v>11</v>
      </c>
      <c r="B8" s="63">
        <v>412550</v>
      </c>
      <c r="C8" s="37">
        <v>6</v>
      </c>
      <c r="D8" s="39">
        <v>6.5654493229380384E-2</v>
      </c>
      <c r="E8" s="38">
        <v>6.5654493229380382</v>
      </c>
      <c r="F8" s="6">
        <v>6404</v>
      </c>
      <c r="G8" s="6">
        <v>45199</v>
      </c>
      <c r="H8" s="40">
        <v>0.1416845505431536</v>
      </c>
      <c r="I8" s="38">
        <v>19.166697051674312</v>
      </c>
      <c r="J8" s="39">
        <v>0.6941604083470263</v>
      </c>
      <c r="K8" s="38">
        <v>23.136430502081577</v>
      </c>
      <c r="L8" s="27">
        <f t="shared" si="0"/>
        <v>16.289525625564639</v>
      </c>
      <c r="M8" s="74">
        <f t="shared" si="1"/>
        <v>14.615579776264079</v>
      </c>
    </row>
    <row r="9" spans="1:13" ht="18" x14ac:dyDescent="0.25">
      <c r="A9" s="62" t="s">
        <v>13</v>
      </c>
      <c r="B9" s="63">
        <v>410580</v>
      </c>
      <c r="C9" s="37">
        <v>5</v>
      </c>
      <c r="D9" s="39">
        <v>5.6998556998557E-2</v>
      </c>
      <c r="E9" s="38">
        <v>5.6998556998557</v>
      </c>
      <c r="F9" s="6">
        <v>6643</v>
      </c>
      <c r="G9" s="6">
        <v>31809</v>
      </c>
      <c r="H9" s="40">
        <v>0.20884026533371058</v>
      </c>
      <c r="I9" s="38">
        <v>30.717360270709165</v>
      </c>
      <c r="J9" s="39">
        <v>0.49567604945517524</v>
      </c>
      <c r="K9" s="38">
        <v>56.172717848044741</v>
      </c>
      <c r="L9" s="27">
        <f t="shared" si="0"/>
        <v>30.863311272869868</v>
      </c>
      <c r="M9" s="74">
        <f t="shared" si="1"/>
        <v>37.23533085442488</v>
      </c>
    </row>
    <row r="10" spans="1:13" ht="18" x14ac:dyDescent="0.25">
      <c r="A10" s="62" t="s">
        <v>15</v>
      </c>
      <c r="B10" s="63">
        <v>410180</v>
      </c>
      <c r="C10" s="37">
        <v>4</v>
      </c>
      <c r="D10" s="39">
        <v>3.4263959390862943E-2</v>
      </c>
      <c r="E10" s="38">
        <v>3.4263959390862944</v>
      </c>
      <c r="F10" s="6">
        <v>3496</v>
      </c>
      <c r="G10" s="6">
        <v>21525</v>
      </c>
      <c r="H10" s="40">
        <v>0.1624157955865273</v>
      </c>
      <c r="I10" s="38">
        <v>22.732434239553463</v>
      </c>
      <c r="J10" s="39">
        <v>0.67840838849459584</v>
      </c>
      <c r="K10" s="38">
        <v>25.758240386898517</v>
      </c>
      <c r="L10" s="27">
        <f t="shared" si="0"/>
        <v>17.305690188512756</v>
      </c>
      <c r="M10" s="74">
        <f t="shared" si="1"/>
        <v>16.192753341499312</v>
      </c>
    </row>
    <row r="11" spans="1:13" ht="18" x14ac:dyDescent="0.25">
      <c r="A11" s="62" t="s">
        <v>14</v>
      </c>
      <c r="B11" s="63">
        <v>410940</v>
      </c>
      <c r="C11" s="37">
        <v>1</v>
      </c>
      <c r="D11" s="39">
        <v>6.4459930313588848E-2</v>
      </c>
      <c r="E11" s="38">
        <v>6.4459930313588849</v>
      </c>
      <c r="F11" s="6">
        <v>6158</v>
      </c>
      <c r="G11" s="6">
        <v>25977</v>
      </c>
      <c r="H11" s="40">
        <v>0.23705585710436156</v>
      </c>
      <c r="I11" s="38">
        <v>35.570391752616473</v>
      </c>
      <c r="J11" s="39">
        <v>0.63210580895735213</v>
      </c>
      <c r="K11" s="38">
        <v>33.464970181588143</v>
      </c>
      <c r="L11" s="27">
        <f t="shared" si="0"/>
        <v>25.160451655187831</v>
      </c>
      <c r="M11" s="74">
        <f t="shared" si="1"/>
        <v>28.3840091657794</v>
      </c>
    </row>
    <row r="12" spans="1:13" ht="18" x14ac:dyDescent="0.25">
      <c r="A12" s="62" t="s">
        <v>17</v>
      </c>
      <c r="B12" s="63">
        <v>410765</v>
      </c>
      <c r="C12" s="37">
        <v>2</v>
      </c>
      <c r="D12" s="39">
        <v>5.4669703872437359E-2</v>
      </c>
      <c r="E12" s="38">
        <v>5.4669703872437356</v>
      </c>
      <c r="F12" s="6">
        <v>3274</v>
      </c>
      <c r="G12" s="6">
        <v>23587</v>
      </c>
      <c r="H12" s="40">
        <v>0.13880527409166066</v>
      </c>
      <c r="I12" s="38">
        <v>18.671466635180117</v>
      </c>
      <c r="J12" s="39">
        <v>0.53134106942940418</v>
      </c>
      <c r="K12" s="38">
        <v>50.236532978635786</v>
      </c>
      <c r="L12" s="27">
        <f t="shared" si="0"/>
        <v>24.791656667019879</v>
      </c>
      <c r="M12" s="74">
        <f t="shared" si="1"/>
        <v>27.811608072946335</v>
      </c>
    </row>
    <row r="13" spans="1:13" ht="18" x14ac:dyDescent="0.25">
      <c r="A13" s="62" t="s">
        <v>16</v>
      </c>
      <c r="B13" s="63">
        <v>412770</v>
      </c>
      <c r="C13" s="37">
        <v>0</v>
      </c>
      <c r="D13" s="39">
        <v>3.5890218156228011E-2</v>
      </c>
      <c r="E13" s="38">
        <v>3.5890218156228011</v>
      </c>
      <c r="F13" s="6">
        <v>1500</v>
      </c>
      <c r="G13" s="6">
        <v>19622</v>
      </c>
      <c r="H13" s="40">
        <v>7.6444806849454691E-2</v>
      </c>
      <c r="I13" s="38">
        <v>7.9455774455133996</v>
      </c>
      <c r="J13" s="39">
        <v>0.69373053620178626</v>
      </c>
      <c r="K13" s="38">
        <v>23.207979614522792</v>
      </c>
      <c r="L13" s="27">
        <f t="shared" si="0"/>
        <v>11.580859625219665</v>
      </c>
      <c r="M13" s="74">
        <f t="shared" si="1"/>
        <v>7.3073308822852958</v>
      </c>
    </row>
    <row r="14" spans="1:13" ht="18" x14ac:dyDescent="0.25">
      <c r="A14" s="62" t="s">
        <v>18</v>
      </c>
      <c r="B14" s="63">
        <v>411820</v>
      </c>
      <c r="C14" s="37">
        <v>4</v>
      </c>
      <c r="D14" s="39">
        <v>3.4104750304506701E-2</v>
      </c>
      <c r="E14" s="38">
        <v>3.4104750304506699</v>
      </c>
      <c r="F14" s="6">
        <v>4679</v>
      </c>
      <c r="G14" s="6">
        <v>20803</v>
      </c>
      <c r="H14" s="40">
        <v>0.22491948276690862</v>
      </c>
      <c r="I14" s="38">
        <v>33.482957003254413</v>
      </c>
      <c r="J14" s="39">
        <v>0.61147872707682727</v>
      </c>
      <c r="K14" s="38">
        <v>36.898198915168251</v>
      </c>
      <c r="L14" s="27">
        <f t="shared" si="0"/>
        <v>24.597210316291111</v>
      </c>
      <c r="M14" s="74">
        <f t="shared" si="1"/>
        <v>27.509810848945399</v>
      </c>
    </row>
    <row r="15" spans="1:13" ht="18" x14ac:dyDescent="0.25">
      <c r="A15" s="62" t="s">
        <v>20</v>
      </c>
      <c r="B15" s="63">
        <v>410140</v>
      </c>
      <c r="C15" s="37">
        <v>8</v>
      </c>
      <c r="D15" s="39">
        <v>5.8458813108945969E-2</v>
      </c>
      <c r="E15" s="38">
        <v>5.8458813108945966</v>
      </c>
      <c r="F15" s="6">
        <v>2629</v>
      </c>
      <c r="G15" s="6">
        <v>16342</v>
      </c>
      <c r="H15" s="40">
        <v>0.1608738220536042</v>
      </c>
      <c r="I15" s="38">
        <v>22.467217540914973</v>
      </c>
      <c r="J15" s="39">
        <v>0.52250303610222759</v>
      </c>
      <c r="K15" s="38">
        <v>51.707559764826492</v>
      </c>
      <c r="L15" s="27">
        <f t="shared" si="0"/>
        <v>26.673552872212017</v>
      </c>
      <c r="M15" s="74">
        <f t="shared" si="1"/>
        <v>30.732470554840507</v>
      </c>
    </row>
    <row r="16" spans="1:13" ht="18" x14ac:dyDescent="0.25">
      <c r="A16" s="62" t="s">
        <v>19</v>
      </c>
      <c r="B16" s="63">
        <v>410420</v>
      </c>
      <c r="C16" s="37">
        <v>4</v>
      </c>
      <c r="D16" s="39">
        <v>4.0126715945089757E-2</v>
      </c>
      <c r="E16" s="38">
        <v>4.0126715945089755</v>
      </c>
      <c r="F16" s="6">
        <v>2739</v>
      </c>
      <c r="G16" s="6">
        <v>17585</v>
      </c>
      <c r="H16" s="40">
        <v>0.15575774808075063</v>
      </c>
      <c r="I16" s="38">
        <v>21.587261938500465</v>
      </c>
      <c r="J16" s="39">
        <v>0.55549642506227204</v>
      </c>
      <c r="K16" s="38">
        <v>46.216048573281888</v>
      </c>
      <c r="L16" s="27">
        <f t="shared" si="0"/>
        <v>23.93866070209711</v>
      </c>
      <c r="M16" s="74">
        <f t="shared" si="1"/>
        <v>26.48768600738499</v>
      </c>
    </row>
    <row r="17" spans="1:13" ht="18" x14ac:dyDescent="0.25">
      <c r="A17" s="62" t="s">
        <v>21</v>
      </c>
      <c r="B17" s="63">
        <v>411915</v>
      </c>
      <c r="C17" s="37">
        <v>2</v>
      </c>
      <c r="D17" s="39">
        <v>3.783783783783784E-2</v>
      </c>
      <c r="E17" s="38">
        <v>3.7837837837837842</v>
      </c>
      <c r="F17" s="6">
        <v>2807</v>
      </c>
      <c r="G17" s="6">
        <v>15256</v>
      </c>
      <c r="H17" s="40">
        <v>0.18399318300996328</v>
      </c>
      <c r="I17" s="38">
        <v>26.443706408304074</v>
      </c>
      <c r="J17" s="39">
        <v>0.60486986404668064</v>
      </c>
      <c r="K17" s="38">
        <v>37.998196412769566</v>
      </c>
      <c r="L17" s="27">
        <f t="shared" si="0"/>
        <v>22.741895534952477</v>
      </c>
      <c r="M17" s="74">
        <f t="shared" si="1"/>
        <v>24.630204990787867</v>
      </c>
    </row>
    <row r="18" spans="1:13" ht="18" x14ac:dyDescent="0.25">
      <c r="A18" s="62" t="s">
        <v>24</v>
      </c>
      <c r="B18" s="63">
        <v>411950</v>
      </c>
      <c r="C18" s="37">
        <v>9</v>
      </c>
      <c r="D18" s="39">
        <v>6.0240963855421686E-2</v>
      </c>
      <c r="E18" s="38">
        <v>6.024096385542169</v>
      </c>
      <c r="F18" s="6">
        <v>4118</v>
      </c>
      <c r="G18" s="6">
        <v>17143</v>
      </c>
      <c r="H18" s="40">
        <v>0.24021466487779269</v>
      </c>
      <c r="I18" s="38">
        <v>36.113701058136705</v>
      </c>
      <c r="J18" s="39">
        <v>0.43321065968045636</v>
      </c>
      <c r="K18" s="38">
        <v>66.569630618887388</v>
      </c>
      <c r="L18" s="27">
        <f t="shared" si="0"/>
        <v>36.235809354188753</v>
      </c>
      <c r="M18" s="74">
        <f t="shared" si="1"/>
        <v>45.573903426322161</v>
      </c>
    </row>
    <row r="19" spans="1:13" ht="18" x14ac:dyDescent="0.25">
      <c r="A19" s="62" t="s">
        <v>25</v>
      </c>
      <c r="B19" s="63">
        <v>412625</v>
      </c>
      <c r="C19" s="37">
        <v>6</v>
      </c>
      <c r="D19" s="39">
        <v>2.6595744680851064E-2</v>
      </c>
      <c r="E19" s="38">
        <v>2.6595744680851063</v>
      </c>
      <c r="F19" s="6">
        <v>1025</v>
      </c>
      <c r="G19" s="6">
        <v>17398</v>
      </c>
      <c r="H19" s="40">
        <v>5.8914817795148865E-2</v>
      </c>
      <c r="I19" s="38">
        <v>4.9304505805674852</v>
      </c>
      <c r="J19" s="39">
        <v>0.45157106730684771</v>
      </c>
      <c r="K19" s="38">
        <v>63.513673436563636</v>
      </c>
      <c r="L19" s="27">
        <f t="shared" si="0"/>
        <v>23.701232828405409</v>
      </c>
      <c r="M19" s="74">
        <f t="shared" si="1"/>
        <v>26.119177815217618</v>
      </c>
    </row>
    <row r="20" spans="1:13" ht="18" x14ac:dyDescent="0.25">
      <c r="A20" s="62" t="s">
        <v>22</v>
      </c>
      <c r="B20" s="63">
        <v>410040</v>
      </c>
      <c r="C20" s="37">
        <v>0</v>
      </c>
      <c r="D20" s="39">
        <v>2.9713114754098359E-2</v>
      </c>
      <c r="E20" s="38">
        <v>2.971311475409836</v>
      </c>
      <c r="F20" s="6">
        <v>3173</v>
      </c>
      <c r="G20" s="6">
        <v>18188</v>
      </c>
      <c r="H20" s="40">
        <v>0.1744556850670772</v>
      </c>
      <c r="I20" s="38">
        <v>24.803273765541022</v>
      </c>
      <c r="J20" s="39">
        <v>0.42542018905881746</v>
      </c>
      <c r="K20" s="38">
        <v>67.866298162131827</v>
      </c>
      <c r="L20" s="27">
        <f t="shared" si="0"/>
        <v>31.880294467694227</v>
      </c>
      <c r="M20" s="74">
        <f t="shared" si="1"/>
        <v>38.813775005746209</v>
      </c>
    </row>
    <row r="21" spans="1:13" ht="18" x14ac:dyDescent="0.25">
      <c r="A21" s="62" t="s">
        <v>23</v>
      </c>
      <c r="B21" s="63">
        <v>410150</v>
      </c>
      <c r="C21" s="37">
        <v>7</v>
      </c>
      <c r="D21" s="39">
        <v>2.3622047244094488E-2</v>
      </c>
      <c r="E21" s="38">
        <v>2.3622047244094486</v>
      </c>
      <c r="F21" s="6">
        <v>1985</v>
      </c>
      <c r="G21" s="6">
        <v>15056</v>
      </c>
      <c r="H21" s="40">
        <v>0.13184112646121149</v>
      </c>
      <c r="I21" s="38">
        <v>17.47364565839753</v>
      </c>
      <c r="J21" s="39">
        <v>0.56047044450471184</v>
      </c>
      <c r="K21" s="38">
        <v>45.388158977939092</v>
      </c>
      <c r="L21" s="27">
        <f t="shared" si="0"/>
        <v>21.741336453582022</v>
      </c>
      <c r="M21" s="74">
        <f t="shared" si="1"/>
        <v>23.0772524561952</v>
      </c>
    </row>
    <row r="22" spans="1:13" ht="18" x14ac:dyDescent="0.25">
      <c r="A22" s="62" t="s">
        <v>26</v>
      </c>
      <c r="B22" s="63">
        <v>412810</v>
      </c>
      <c r="C22" s="37">
        <v>4</v>
      </c>
      <c r="D22" s="39">
        <v>1.9498607242339833E-2</v>
      </c>
      <c r="E22" s="38">
        <v>1.9498607242339834</v>
      </c>
      <c r="F22" s="6">
        <v>2318</v>
      </c>
      <c r="G22" s="6">
        <v>15111</v>
      </c>
      <c r="H22" s="40">
        <v>0.15339818675137318</v>
      </c>
      <c r="I22" s="38">
        <v>21.181421596464084</v>
      </c>
      <c r="J22" s="39">
        <v>0.54299762993636957</v>
      </c>
      <c r="K22" s="38">
        <v>48.29638270924584</v>
      </c>
      <c r="L22" s="27">
        <f t="shared" si="0"/>
        <v>23.809221676647969</v>
      </c>
      <c r="M22" s="74">
        <f t="shared" si="1"/>
        <v>26.286785664377639</v>
      </c>
    </row>
    <row r="23" spans="1:13" ht="18" x14ac:dyDescent="0.25">
      <c r="A23" s="62" t="s">
        <v>29</v>
      </c>
      <c r="B23" s="63">
        <v>410840</v>
      </c>
      <c r="C23" s="37">
        <v>3</v>
      </c>
      <c r="D23" s="39">
        <v>4.5045045045045043E-2</v>
      </c>
      <c r="E23" s="38">
        <v>4.5045045045045047</v>
      </c>
      <c r="F23" s="6">
        <v>1665</v>
      </c>
      <c r="G23" s="6">
        <v>12580</v>
      </c>
      <c r="H23" s="40">
        <v>0.13235294117647059</v>
      </c>
      <c r="I23" s="38">
        <v>17.561676876960856</v>
      </c>
      <c r="J23" s="39">
        <v>0.61733054856708991</v>
      </c>
      <c r="K23" s="38">
        <v>35.924205511713545</v>
      </c>
      <c r="L23" s="27">
        <f t="shared" si="0"/>
        <v>19.330128964392966</v>
      </c>
      <c r="M23" s="74">
        <f t="shared" si="1"/>
        <v>19.334853979699254</v>
      </c>
    </row>
    <row r="24" spans="1:13" ht="18" x14ac:dyDescent="0.25">
      <c r="A24" s="62" t="s">
        <v>28</v>
      </c>
      <c r="B24" s="63">
        <v>410430</v>
      </c>
      <c r="C24" s="37">
        <v>3</v>
      </c>
      <c r="D24" s="39">
        <v>8.1081081081081086E-2</v>
      </c>
      <c r="E24" s="38">
        <v>8.1081081081081088</v>
      </c>
      <c r="F24" s="6">
        <v>2409</v>
      </c>
      <c r="G24" s="6">
        <v>12915</v>
      </c>
      <c r="H24" s="40">
        <v>0.186527293844367</v>
      </c>
      <c r="I24" s="38">
        <v>26.879568954018801</v>
      </c>
      <c r="J24" s="39">
        <v>0.62592017210914774</v>
      </c>
      <c r="K24" s="38">
        <v>34.49452473931732</v>
      </c>
      <c r="L24" s="27">
        <f t="shared" si="0"/>
        <v>23.160733933814743</v>
      </c>
      <c r="M24" s="74">
        <f t="shared" si="1"/>
        <v>25.280277700344406</v>
      </c>
    </row>
    <row r="25" spans="1:13" ht="18" x14ac:dyDescent="0.25">
      <c r="A25" s="62" t="s">
        <v>27</v>
      </c>
      <c r="B25" s="63">
        <v>410370</v>
      </c>
      <c r="C25" s="37">
        <v>1</v>
      </c>
      <c r="D25" s="39">
        <v>5.5555555555555552E-2</v>
      </c>
      <c r="E25" s="38">
        <v>5.5555555555555554</v>
      </c>
      <c r="F25" s="6">
        <v>2072</v>
      </c>
      <c r="G25" s="6">
        <v>13122</v>
      </c>
      <c r="H25" s="40">
        <v>0.157902758725804</v>
      </c>
      <c r="I25" s="38">
        <v>21.956199945333204</v>
      </c>
      <c r="J25" s="39">
        <v>0.55140377399695217</v>
      </c>
      <c r="K25" s="38">
        <v>46.897240770770551</v>
      </c>
      <c r="L25" s="27">
        <f t="shared" si="0"/>
        <v>24.802998757219772</v>
      </c>
      <c r="M25" s="74">
        <f t="shared" si="1"/>
        <v>27.829211958665283</v>
      </c>
    </row>
    <row r="26" spans="1:13" ht="18" x14ac:dyDescent="0.25">
      <c r="A26" s="62" t="s">
        <v>31</v>
      </c>
      <c r="B26" s="63">
        <v>411850</v>
      </c>
      <c r="C26" s="37">
        <v>1</v>
      </c>
      <c r="D26" s="39">
        <v>2.2151898734177215E-2</v>
      </c>
      <c r="E26" s="38">
        <v>2.2151898734177213</v>
      </c>
      <c r="F26" s="6">
        <v>1474</v>
      </c>
      <c r="G26" s="6">
        <v>12042</v>
      </c>
      <c r="H26" s="40">
        <v>0.12240491612688922</v>
      </c>
      <c r="I26" s="38">
        <v>15.850634303732312</v>
      </c>
      <c r="J26" s="39">
        <v>0.68707965762719325</v>
      </c>
      <c r="K26" s="38">
        <v>24.314970295904818</v>
      </c>
      <c r="L26" s="27">
        <f t="shared" si="0"/>
        <v>14.126931491018283</v>
      </c>
      <c r="M26" s="74">
        <f t="shared" si="1"/>
        <v>11.259050306820823</v>
      </c>
    </row>
    <row r="27" spans="1:13" ht="18" x14ac:dyDescent="0.25">
      <c r="A27" s="62" t="s">
        <v>32</v>
      </c>
      <c r="B27" s="63">
        <v>410550</v>
      </c>
      <c r="C27" s="37">
        <v>8</v>
      </c>
      <c r="D27" s="39">
        <v>3.9735099337748346E-2</v>
      </c>
      <c r="E27" s="38">
        <v>3.9735099337748347</v>
      </c>
      <c r="F27" s="6">
        <v>1201</v>
      </c>
      <c r="G27" s="6">
        <v>10202</v>
      </c>
      <c r="H27" s="40">
        <v>0.11772201529111939</v>
      </c>
      <c r="I27" s="38">
        <v>15.045183708636866</v>
      </c>
      <c r="J27" s="39">
        <v>0.56867080279877291</v>
      </c>
      <c r="K27" s="38">
        <v>44.02326859335183</v>
      </c>
      <c r="L27" s="27">
        <f t="shared" si="0"/>
        <v>21.013987411921178</v>
      </c>
      <c r="M27" s="74">
        <f t="shared" si="1"/>
        <v>21.948345069503311</v>
      </c>
    </row>
    <row r="28" spans="1:13" ht="18" x14ac:dyDescent="0.25">
      <c r="A28" s="62" t="s">
        <v>42</v>
      </c>
      <c r="B28" s="63">
        <v>411760</v>
      </c>
      <c r="C28" s="37">
        <v>2</v>
      </c>
      <c r="D28" s="39">
        <v>3.4782608695652174E-2</v>
      </c>
      <c r="E28" s="38">
        <v>3.4782608695652173</v>
      </c>
      <c r="F28" s="6">
        <v>2032</v>
      </c>
      <c r="G28" s="6">
        <v>7693</v>
      </c>
      <c r="H28" s="40">
        <v>0.26413622773950346</v>
      </c>
      <c r="I28" s="38">
        <v>40.228167223083929</v>
      </c>
      <c r="J28" s="39">
        <v>0.52865274596808587</v>
      </c>
      <c r="K28" s="38">
        <v>50.683984993710673</v>
      </c>
      <c r="L28" s="27">
        <f t="shared" si="0"/>
        <v>31.463471028786604</v>
      </c>
      <c r="M28" s="74">
        <f t="shared" si="1"/>
        <v>38.166829684893578</v>
      </c>
    </row>
    <row r="29" spans="1:13" ht="18" x14ac:dyDescent="0.25">
      <c r="A29" s="62" t="s">
        <v>30</v>
      </c>
      <c r="B29" s="63">
        <v>411840</v>
      </c>
      <c r="C29" s="37">
        <v>2</v>
      </c>
      <c r="D29" s="39">
        <v>3.021978021978022E-2</v>
      </c>
      <c r="E29" s="38">
        <v>3.0219780219780219</v>
      </c>
      <c r="F29" s="6">
        <v>2205</v>
      </c>
      <c r="G29" s="6">
        <v>11779</v>
      </c>
      <c r="H29" s="40">
        <v>0.18719755497071058</v>
      </c>
      <c r="I29" s="38">
        <v>26.994852672811039</v>
      </c>
      <c r="J29" s="39">
        <v>0.57190465249326639</v>
      </c>
      <c r="K29" s="38">
        <v>43.485017678582508</v>
      </c>
      <c r="L29" s="27">
        <f t="shared" si="0"/>
        <v>24.500616124457185</v>
      </c>
      <c r="M29" s="74">
        <f t="shared" si="1"/>
        <v>27.359888472717529</v>
      </c>
    </row>
    <row r="30" spans="1:13" ht="18" x14ac:dyDescent="0.25">
      <c r="A30" s="62" t="s">
        <v>34</v>
      </c>
      <c r="B30" s="63">
        <v>410490</v>
      </c>
      <c r="C30" s="37">
        <v>7</v>
      </c>
      <c r="D30" s="39">
        <v>4.3918918918918921E-2</v>
      </c>
      <c r="E30" s="38">
        <v>4.3918918918918921</v>
      </c>
      <c r="F30" s="6">
        <v>2993</v>
      </c>
      <c r="G30" s="6">
        <v>10845</v>
      </c>
      <c r="H30" s="40">
        <v>0.27597971415398803</v>
      </c>
      <c r="I30" s="38">
        <v>42.265225771854851</v>
      </c>
      <c r="J30" s="39">
        <v>0.61328279614184933</v>
      </c>
      <c r="K30" s="38">
        <v>36.597924654985839</v>
      </c>
      <c r="L30" s="27">
        <f t="shared" si="0"/>
        <v>27.751680772910859</v>
      </c>
      <c r="M30" s="74">
        <f t="shared" si="1"/>
        <v>32.405816474315941</v>
      </c>
    </row>
    <row r="31" spans="1:13" ht="18" x14ac:dyDescent="0.25">
      <c r="A31" s="62" t="s">
        <v>33</v>
      </c>
      <c r="B31" s="63">
        <v>412710</v>
      </c>
      <c r="C31" s="37">
        <v>6</v>
      </c>
      <c r="D31" s="39">
        <v>2.9411764705882353E-2</v>
      </c>
      <c r="E31" s="38">
        <v>2.9411764705882351</v>
      </c>
      <c r="F31" s="6">
        <v>984</v>
      </c>
      <c r="G31" s="6">
        <v>10714</v>
      </c>
      <c r="H31" s="40">
        <v>9.1842449131976853E-2</v>
      </c>
      <c r="I31" s="38">
        <v>10.593944467251855</v>
      </c>
      <c r="J31" s="39">
        <v>0.60730612615350532</v>
      </c>
      <c r="K31" s="38">
        <v>37.592698188826404</v>
      </c>
      <c r="L31" s="27">
        <f t="shared" si="0"/>
        <v>17.042606375555497</v>
      </c>
      <c r="M31" s="74">
        <f t="shared" si="1"/>
        <v>15.78442495615031</v>
      </c>
    </row>
    <row r="32" spans="1:13" ht="18" x14ac:dyDescent="0.25">
      <c r="A32" s="62" t="s">
        <v>35</v>
      </c>
      <c r="B32" s="63">
        <v>412240</v>
      </c>
      <c r="C32" s="37">
        <v>4</v>
      </c>
      <c r="D32" s="39">
        <v>3.8235294117647062E-2</v>
      </c>
      <c r="E32" s="38">
        <v>3.8235294117647061</v>
      </c>
      <c r="F32" s="6">
        <v>1368</v>
      </c>
      <c r="G32" s="6">
        <v>9839</v>
      </c>
      <c r="H32" s="40">
        <v>0.13903852017481452</v>
      </c>
      <c r="I32" s="38">
        <v>18.711584545652396</v>
      </c>
      <c r="J32" s="39">
        <v>0.60285433910674024</v>
      </c>
      <c r="K32" s="38">
        <v>38.33366597541206</v>
      </c>
      <c r="L32" s="27">
        <f t="shared" si="0"/>
        <v>20.289593310943054</v>
      </c>
      <c r="M32" s="74">
        <f t="shared" si="1"/>
        <v>20.824024001308992</v>
      </c>
    </row>
    <row r="33" spans="1:13" ht="18" x14ac:dyDescent="0.25">
      <c r="A33" s="62" t="s">
        <v>40</v>
      </c>
      <c r="B33" s="63">
        <v>410980</v>
      </c>
      <c r="C33" s="37">
        <v>7</v>
      </c>
      <c r="D33" s="39">
        <v>4.7619047619047616E-2</v>
      </c>
      <c r="E33" s="38">
        <v>4.7619047619047619</v>
      </c>
      <c r="F33" s="6">
        <v>1507</v>
      </c>
      <c r="G33" s="6">
        <v>6408</v>
      </c>
      <c r="H33" s="40">
        <v>0.23517478152309612</v>
      </c>
      <c r="I33" s="38">
        <v>35.246850106212868</v>
      </c>
      <c r="J33" s="39">
        <v>0.54764851390071856</v>
      </c>
      <c r="K33" s="38">
        <v>47.522276679346106</v>
      </c>
      <c r="L33" s="27">
        <f t="shared" si="0"/>
        <v>29.177010515821241</v>
      </c>
      <c r="M33" s="74">
        <f t="shared" si="1"/>
        <v>34.618049093154632</v>
      </c>
    </row>
    <row r="34" spans="1:13" ht="18" x14ac:dyDescent="0.25">
      <c r="A34" s="62" t="s">
        <v>44</v>
      </c>
      <c r="B34" s="63">
        <v>411750</v>
      </c>
      <c r="C34" s="37">
        <v>3</v>
      </c>
      <c r="D34" s="39">
        <v>2.3121387283236993E-2</v>
      </c>
      <c r="E34" s="38">
        <v>2.3121387283236992</v>
      </c>
      <c r="F34" s="6">
        <v>1305</v>
      </c>
      <c r="G34" s="6">
        <v>6689</v>
      </c>
      <c r="H34" s="40">
        <v>0.19509642696965165</v>
      </c>
      <c r="I34" s="38">
        <v>28.35344457455135</v>
      </c>
      <c r="J34" s="39">
        <v>0.43068889776087893</v>
      </c>
      <c r="K34" s="38">
        <v>66.989359668865873</v>
      </c>
      <c r="L34" s="27">
        <f t="shared" si="0"/>
        <v>32.551647657246974</v>
      </c>
      <c r="M34" s="74">
        <f t="shared" si="1"/>
        <v>39.855772081915667</v>
      </c>
    </row>
    <row r="35" spans="1:13" ht="18" x14ac:dyDescent="0.25">
      <c r="A35" s="62" t="s">
        <v>39</v>
      </c>
      <c r="B35" s="63">
        <v>411580</v>
      </c>
      <c r="C35" s="37">
        <v>4</v>
      </c>
      <c r="D35" s="39">
        <v>1.5600624024960999E-2</v>
      </c>
      <c r="E35" s="38">
        <v>1.5600624024960998</v>
      </c>
      <c r="F35" s="6">
        <v>763</v>
      </c>
      <c r="G35" s="6">
        <v>7219</v>
      </c>
      <c r="H35" s="40">
        <v>0.10569330932262086</v>
      </c>
      <c r="I35" s="38">
        <v>12.976267726784227</v>
      </c>
      <c r="J35" s="39">
        <v>0.69664178584911818</v>
      </c>
      <c r="K35" s="38">
        <v>22.723423146587223</v>
      </c>
      <c r="L35" s="27">
        <f t="shared" si="0"/>
        <v>12.419917758622518</v>
      </c>
      <c r="M35" s="74">
        <f t="shared" si="1"/>
        <v>8.6096202514985816</v>
      </c>
    </row>
    <row r="36" spans="1:13" ht="18" x14ac:dyDescent="0.25">
      <c r="A36" s="62" t="s">
        <v>37</v>
      </c>
      <c r="B36" s="63">
        <v>411460</v>
      </c>
      <c r="C36" s="37">
        <v>9</v>
      </c>
      <c r="D36" s="39">
        <v>3.0054644808743168E-2</v>
      </c>
      <c r="E36" s="38">
        <v>3.0054644808743167</v>
      </c>
      <c r="F36" s="6">
        <v>721</v>
      </c>
      <c r="G36" s="6">
        <v>7234</v>
      </c>
      <c r="H36" s="40">
        <v>9.9668233342549067E-2</v>
      </c>
      <c r="I36" s="38">
        <v>11.939965399693344</v>
      </c>
      <c r="J36" s="39">
        <v>0.63693171398198889</v>
      </c>
      <c r="K36" s="38">
        <v>32.661733160855967</v>
      </c>
      <c r="L36" s="27">
        <f t="shared" si="0"/>
        <v>15.869054347141208</v>
      </c>
      <c r="M36" s="74">
        <f t="shared" si="1"/>
        <v>13.962972699172022</v>
      </c>
    </row>
    <row r="37" spans="1:13" ht="18" x14ac:dyDescent="0.25">
      <c r="A37" s="62" t="s">
        <v>38</v>
      </c>
      <c r="B37" s="63">
        <v>412820</v>
      </c>
      <c r="C37" s="37">
        <v>3</v>
      </c>
      <c r="D37" s="39">
        <v>2.7777777777777776E-2</v>
      </c>
      <c r="E37" s="38">
        <v>2.7777777777777777</v>
      </c>
      <c r="F37" s="6">
        <v>1442</v>
      </c>
      <c r="G37" s="6">
        <v>7187</v>
      </c>
      <c r="H37" s="40">
        <v>0.2006400445248365</v>
      </c>
      <c r="I37" s="38">
        <v>29.306936910903836</v>
      </c>
      <c r="J37" s="39">
        <v>0.51933166257566898</v>
      </c>
      <c r="K37" s="38">
        <v>52.235411972878097</v>
      </c>
      <c r="L37" s="27">
        <f t="shared" si="0"/>
        <v>28.106708887186567</v>
      </c>
      <c r="M37" s="74">
        <f t="shared" si="1"/>
        <v>32.956850211535091</v>
      </c>
    </row>
    <row r="38" spans="1:13" ht="18" x14ac:dyDescent="0.25">
      <c r="A38" s="62" t="s">
        <v>50</v>
      </c>
      <c r="B38" s="63">
        <v>410960</v>
      </c>
      <c r="C38" s="37">
        <v>9</v>
      </c>
      <c r="D38" s="39">
        <v>3.0716723549488054E-2</v>
      </c>
      <c r="E38" s="38">
        <v>3.0716723549488054</v>
      </c>
      <c r="F38" s="6">
        <v>1799</v>
      </c>
      <c r="G38" s="6">
        <v>5732</v>
      </c>
      <c r="H38" s="40">
        <v>0.3138520586182833</v>
      </c>
      <c r="I38" s="38">
        <v>48.779201501048718</v>
      </c>
      <c r="J38" s="39">
        <v>0.47722450058489968</v>
      </c>
      <c r="K38" s="38">
        <v>59.243844831852279</v>
      </c>
      <c r="L38" s="27">
        <f t="shared" si="0"/>
        <v>37.031572895949935</v>
      </c>
      <c r="M38" s="74">
        <f t="shared" si="1"/>
        <v>46.808995918233613</v>
      </c>
    </row>
    <row r="39" spans="1:13" ht="18" x14ac:dyDescent="0.25">
      <c r="A39" s="62" t="s">
        <v>47</v>
      </c>
      <c r="B39" s="63">
        <v>410720</v>
      </c>
      <c r="C39" s="37">
        <v>7</v>
      </c>
      <c r="D39" s="39">
        <v>3.1914893617021274E-2</v>
      </c>
      <c r="E39" s="38">
        <v>3.1914893617021276</v>
      </c>
      <c r="F39" s="6">
        <v>828</v>
      </c>
      <c r="G39" s="6">
        <v>6119</v>
      </c>
      <c r="H39" s="40">
        <v>0.13531622814185323</v>
      </c>
      <c r="I39" s="38">
        <v>18.07135695207047</v>
      </c>
      <c r="J39" s="39">
        <v>0.62605902491639132</v>
      </c>
      <c r="K39" s="38">
        <v>34.471413692862555</v>
      </c>
      <c r="L39" s="27">
        <f t="shared" si="0"/>
        <v>18.578086668878385</v>
      </c>
      <c r="M39" s="74">
        <f t="shared" si="1"/>
        <v>18.167620569213771</v>
      </c>
    </row>
    <row r="40" spans="1:13" ht="18" x14ac:dyDescent="0.25">
      <c r="A40" s="62" t="s">
        <v>52</v>
      </c>
      <c r="B40" s="63">
        <v>411180</v>
      </c>
      <c r="C40" s="37">
        <v>3</v>
      </c>
      <c r="D40" s="39">
        <v>3.5460992907801421E-2</v>
      </c>
      <c r="E40" s="38">
        <v>3.5460992907801421</v>
      </c>
      <c r="F40" s="6">
        <v>1555</v>
      </c>
      <c r="G40" s="6">
        <v>5423</v>
      </c>
      <c r="H40" s="40">
        <v>0.28674165591001288</v>
      </c>
      <c r="I40" s="38">
        <v>44.116260567544217</v>
      </c>
      <c r="J40" s="39">
        <v>0.56818281443719543</v>
      </c>
      <c r="K40" s="38">
        <v>44.104490730071149</v>
      </c>
      <c r="L40" s="27">
        <f t="shared" si="0"/>
        <v>30.588950196131837</v>
      </c>
      <c r="M40" s="74">
        <f t="shared" si="1"/>
        <v>36.809499199456219</v>
      </c>
    </row>
    <row r="41" spans="1:13" ht="18" x14ac:dyDescent="0.25">
      <c r="A41" s="62" t="s">
        <v>43</v>
      </c>
      <c r="B41" s="63">
        <v>410400</v>
      </c>
      <c r="C41" s="37">
        <v>6</v>
      </c>
      <c r="D41" s="39">
        <v>2.8901734104046242E-2</v>
      </c>
      <c r="E41" s="38">
        <v>2.8901734104046244</v>
      </c>
      <c r="F41" s="6">
        <v>1465</v>
      </c>
      <c r="G41" s="6">
        <v>6784</v>
      </c>
      <c r="H41" s="40">
        <v>0.21594929245283018</v>
      </c>
      <c r="I41" s="38">
        <v>31.940100261252496</v>
      </c>
      <c r="J41" s="39">
        <v>0.53971747853909979</v>
      </c>
      <c r="K41" s="38">
        <v>48.842340207879332</v>
      </c>
      <c r="L41" s="27">
        <f t="shared" si="0"/>
        <v>27.890871293178819</v>
      </c>
      <c r="M41" s="74">
        <f t="shared" si="1"/>
        <v>32.621851964139623</v>
      </c>
    </row>
    <row r="42" spans="1:13" ht="18" x14ac:dyDescent="0.25">
      <c r="A42" s="62" t="s">
        <v>36</v>
      </c>
      <c r="B42" s="63">
        <v>411070</v>
      </c>
      <c r="C42" s="37">
        <v>6</v>
      </c>
      <c r="D42" s="39">
        <v>3.6866359447004608E-2</v>
      </c>
      <c r="E42" s="38">
        <v>3.6866359447004609</v>
      </c>
      <c r="F42" s="6">
        <v>1796</v>
      </c>
      <c r="G42" s="6">
        <v>7341</v>
      </c>
      <c r="H42" s="40">
        <v>0.24465331698678655</v>
      </c>
      <c r="I42" s="38">
        <v>36.877141307672339</v>
      </c>
      <c r="J42" s="39">
        <v>0.48422803692876543</v>
      </c>
      <c r="K42" s="38">
        <v>58.078156812979657</v>
      </c>
      <c r="L42" s="27">
        <f t="shared" si="0"/>
        <v>32.880644688450822</v>
      </c>
      <c r="M42" s="74">
        <f t="shared" si="1"/>
        <v>40.36640337095627</v>
      </c>
    </row>
    <row r="43" spans="1:13" ht="18" x14ac:dyDescent="0.25">
      <c r="A43" s="62" t="s">
        <v>41</v>
      </c>
      <c r="B43" s="63">
        <v>412060</v>
      </c>
      <c r="C43" s="37">
        <v>6</v>
      </c>
      <c r="D43" s="39">
        <v>3.7470725995316159E-2</v>
      </c>
      <c r="E43" s="38">
        <v>3.7470725995316161</v>
      </c>
      <c r="F43" s="6">
        <v>1691</v>
      </c>
      <c r="G43" s="6">
        <v>6333</v>
      </c>
      <c r="H43" s="40">
        <v>0.26701405337123008</v>
      </c>
      <c r="I43" s="38">
        <v>40.723148101164831</v>
      </c>
      <c r="J43" s="39">
        <v>0.44480310824361946</v>
      </c>
      <c r="K43" s="38">
        <v>64.640151319288634</v>
      </c>
      <c r="L43" s="27">
        <f t="shared" si="0"/>
        <v>36.370124006661698</v>
      </c>
      <c r="M43" s="74">
        <f t="shared" si="1"/>
        <v>45.78237115588901</v>
      </c>
    </row>
    <row r="44" spans="1:13" ht="18" x14ac:dyDescent="0.25">
      <c r="A44" s="62" t="s">
        <v>62</v>
      </c>
      <c r="B44" s="63">
        <v>411330</v>
      </c>
      <c r="C44" s="37">
        <v>4</v>
      </c>
      <c r="D44" s="39">
        <v>2.553191489361702E-2</v>
      </c>
      <c r="E44" s="38">
        <v>2.5531914893617018</v>
      </c>
      <c r="F44" s="6">
        <v>701</v>
      </c>
      <c r="G44" s="6">
        <v>4547</v>
      </c>
      <c r="H44" s="40">
        <v>0.15416758302177261</v>
      </c>
      <c r="I44" s="38">
        <v>21.31375638329618</v>
      </c>
      <c r="J44" s="39">
        <v>0.47675243585115962</v>
      </c>
      <c r="K44" s="38">
        <v>59.322416595777675</v>
      </c>
      <c r="L44" s="27">
        <f t="shared" si="0"/>
        <v>27.729788156145187</v>
      </c>
      <c r="M44" s="74">
        <f t="shared" si="1"/>
        <v>32.371837276757162</v>
      </c>
    </row>
    <row r="45" spans="1:13" ht="18" x14ac:dyDescent="0.25">
      <c r="A45" s="62" t="s">
        <v>49</v>
      </c>
      <c r="B45" s="63">
        <v>412560</v>
      </c>
      <c r="C45" s="37">
        <v>5</v>
      </c>
      <c r="D45" s="39">
        <v>1.9867549668874173E-2</v>
      </c>
      <c r="E45" s="38">
        <v>1.9867549668874174</v>
      </c>
      <c r="F45" s="6">
        <v>1198</v>
      </c>
      <c r="G45" s="6">
        <v>5578</v>
      </c>
      <c r="H45" s="40">
        <v>0.2147723198278953</v>
      </c>
      <c r="I45" s="38">
        <v>31.737663068065803</v>
      </c>
      <c r="J45" s="39">
        <v>0.52705075871706741</v>
      </c>
      <c r="K45" s="38">
        <v>50.950624196137959</v>
      </c>
      <c r="L45" s="27">
        <f t="shared" si="0"/>
        <v>28.225014077030394</v>
      </c>
      <c r="M45" s="74">
        <f t="shared" si="1"/>
        <v>33.140469897612789</v>
      </c>
    </row>
    <row r="46" spans="1:13" ht="18" x14ac:dyDescent="0.25">
      <c r="A46" s="62" t="s">
        <v>64</v>
      </c>
      <c r="B46" s="63">
        <v>411410</v>
      </c>
      <c r="C46" s="37">
        <v>4</v>
      </c>
      <c r="D46" s="39">
        <v>1.8518518518518517E-2</v>
      </c>
      <c r="E46" s="38">
        <v>1.8518518518518516</v>
      </c>
      <c r="F46" s="6">
        <v>549</v>
      </c>
      <c r="G46" s="6">
        <v>4538</v>
      </c>
      <c r="H46" s="40">
        <v>0.12097840458351697</v>
      </c>
      <c r="I46" s="38">
        <v>15.605276861451383</v>
      </c>
      <c r="J46" s="39">
        <v>0.46749113449398794</v>
      </c>
      <c r="K46" s="38">
        <v>60.863893287146539</v>
      </c>
      <c r="L46" s="27">
        <f t="shared" si="0"/>
        <v>26.107007333483256</v>
      </c>
      <c r="M46" s="74">
        <f t="shared" si="1"/>
        <v>29.853143839694489</v>
      </c>
    </row>
    <row r="47" spans="1:13" ht="18" x14ac:dyDescent="0.25">
      <c r="A47" s="62" t="s">
        <v>63</v>
      </c>
      <c r="B47" s="63">
        <v>410880</v>
      </c>
      <c r="C47" s="37">
        <v>9</v>
      </c>
      <c r="D47" s="39">
        <v>3.0973451327433628E-2</v>
      </c>
      <c r="E47" s="38">
        <v>3.0973451327433628</v>
      </c>
      <c r="F47" s="6">
        <v>772</v>
      </c>
      <c r="G47" s="6">
        <v>4536</v>
      </c>
      <c r="H47" s="40">
        <v>0.17019400352733685</v>
      </c>
      <c r="I47" s="38">
        <v>24.070272138414563</v>
      </c>
      <c r="J47" s="39">
        <v>0.46248192224784246</v>
      </c>
      <c r="K47" s="38">
        <v>61.697640470372939</v>
      </c>
      <c r="L47" s="27">
        <f t="shared" si="0"/>
        <v>29.621752580510286</v>
      </c>
      <c r="M47" s="74">
        <f t="shared" si="1"/>
        <v>35.308326488521267</v>
      </c>
    </row>
    <row r="48" spans="1:13" ht="18" x14ac:dyDescent="0.25">
      <c r="A48" s="62" t="s">
        <v>54</v>
      </c>
      <c r="B48" s="63">
        <v>412220</v>
      </c>
      <c r="C48" s="37">
        <v>6</v>
      </c>
      <c r="D48" s="39">
        <v>2.8938906752411574E-2</v>
      </c>
      <c r="E48" s="38">
        <v>2.8938906752411575</v>
      </c>
      <c r="F48" s="6">
        <v>1696</v>
      </c>
      <c r="G48" s="6">
        <v>5464</v>
      </c>
      <c r="H48" s="40">
        <v>0.31039531478770133</v>
      </c>
      <c r="I48" s="38">
        <v>48.184647724857761</v>
      </c>
      <c r="J48" s="39">
        <v>0.47507288021276978</v>
      </c>
      <c r="K48" s="38">
        <v>59.6019664957958</v>
      </c>
      <c r="L48" s="27">
        <f t="shared" si="0"/>
        <v>36.893501631964902</v>
      </c>
      <c r="M48" s="74">
        <f t="shared" si="1"/>
        <v>46.594697609066017</v>
      </c>
    </row>
    <row r="49" spans="1:13" ht="18" x14ac:dyDescent="0.25">
      <c r="A49" s="62" t="s">
        <v>48</v>
      </c>
      <c r="B49" s="63">
        <v>412410</v>
      </c>
      <c r="C49" s="37">
        <v>3</v>
      </c>
      <c r="D49" s="39">
        <v>2.3904382470119521E-2</v>
      </c>
      <c r="E49" s="38">
        <v>2.3904382470119523</v>
      </c>
      <c r="F49" s="6">
        <v>1391</v>
      </c>
      <c r="G49" s="6">
        <v>5691</v>
      </c>
      <c r="H49" s="40">
        <v>0.24442101563872781</v>
      </c>
      <c r="I49" s="38">
        <v>36.83718588995216</v>
      </c>
      <c r="J49" s="39">
        <v>0.45739720770104347</v>
      </c>
      <c r="K49" s="38">
        <v>62.543954465984953</v>
      </c>
      <c r="L49" s="27">
        <f t="shared" si="0"/>
        <v>33.923859534316357</v>
      </c>
      <c r="M49" s="74">
        <f t="shared" si="1"/>
        <v>41.985561268951258</v>
      </c>
    </row>
    <row r="50" spans="1:13" ht="18" x14ac:dyDescent="0.25">
      <c r="A50" s="62" t="s">
        <v>58</v>
      </c>
      <c r="B50" s="63">
        <v>411790</v>
      </c>
      <c r="C50" s="37">
        <v>9</v>
      </c>
      <c r="D50" s="39">
        <v>2.4229074889867842E-2</v>
      </c>
      <c r="E50" s="38">
        <v>2.4229074889867843</v>
      </c>
      <c r="F50" s="6">
        <v>483</v>
      </c>
      <c r="G50" s="6">
        <v>4889</v>
      </c>
      <c r="H50" s="40">
        <v>9.8793209245244429E-2</v>
      </c>
      <c r="I50" s="38">
        <v>11.789462814946425</v>
      </c>
      <c r="J50" s="39">
        <v>0.7233745524701366</v>
      </c>
      <c r="K50" s="38">
        <v>18.273947305895195</v>
      </c>
      <c r="L50" s="27">
        <f t="shared" si="0"/>
        <v>10.828772536609469</v>
      </c>
      <c r="M50" s="74">
        <f t="shared" si="1"/>
        <v>6.1400279491172816</v>
      </c>
    </row>
    <row r="51" spans="1:13" ht="18" x14ac:dyDescent="0.25">
      <c r="A51" s="62" t="s">
        <v>72</v>
      </c>
      <c r="B51" s="63">
        <v>411930</v>
      </c>
      <c r="C51" s="37">
        <v>1</v>
      </c>
      <c r="D51" s="39">
        <v>0.10679611650485436</v>
      </c>
      <c r="E51" s="38">
        <v>10.679611650485436</v>
      </c>
      <c r="F51" s="6">
        <v>1604</v>
      </c>
      <c r="G51" s="6">
        <v>4813</v>
      </c>
      <c r="H51" s="40">
        <v>0.33326407645958861</v>
      </c>
      <c r="I51" s="38">
        <v>52.118033962085121</v>
      </c>
      <c r="J51" s="39">
        <v>0.43149184228412829</v>
      </c>
      <c r="K51" s="38">
        <v>66.85571535482002</v>
      </c>
      <c r="L51" s="27">
        <f t="shared" si="0"/>
        <v>43.21778698913019</v>
      </c>
      <c r="M51" s="74">
        <f t="shared" si="1"/>
        <v>56.410524737879832</v>
      </c>
    </row>
    <row r="52" spans="1:13" ht="18" x14ac:dyDescent="0.25">
      <c r="A52" s="62" t="s">
        <v>51</v>
      </c>
      <c r="B52" s="63">
        <v>411480</v>
      </c>
      <c r="C52" s="37">
        <v>7</v>
      </c>
      <c r="D52" s="39">
        <v>5.2816901408450703E-2</v>
      </c>
      <c r="E52" s="38">
        <v>5.28169014084507</v>
      </c>
      <c r="F52" s="6">
        <v>901</v>
      </c>
      <c r="G52" s="6">
        <v>5410</v>
      </c>
      <c r="H52" s="40">
        <v>0.166543438077634</v>
      </c>
      <c r="I52" s="38">
        <v>23.44238138927922</v>
      </c>
      <c r="J52" s="39">
        <v>0.55804095069628601</v>
      </c>
      <c r="K52" s="38">
        <v>45.792530667519564</v>
      </c>
      <c r="L52" s="27">
        <f t="shared" si="0"/>
        <v>24.838867399214617</v>
      </c>
      <c r="M52" s="74">
        <f t="shared" si="1"/>
        <v>27.884883132447445</v>
      </c>
    </row>
    <row r="53" spans="1:13" ht="18" x14ac:dyDescent="0.25">
      <c r="A53" s="62" t="s">
        <v>68</v>
      </c>
      <c r="B53" s="63">
        <v>412090</v>
      </c>
      <c r="C53" s="37">
        <v>3</v>
      </c>
      <c r="D53" s="39">
        <v>5.3030303030303032E-2</v>
      </c>
      <c r="E53" s="38">
        <v>5.3030303030303028</v>
      </c>
      <c r="F53" s="6">
        <v>1522</v>
      </c>
      <c r="G53" s="6">
        <v>4473</v>
      </c>
      <c r="H53" s="40">
        <v>0.34026380505253745</v>
      </c>
      <c r="I53" s="38">
        <v>53.321974800984052</v>
      </c>
      <c r="J53" s="39">
        <v>0.45294824310246601</v>
      </c>
      <c r="K53" s="38">
        <v>63.28445247646399</v>
      </c>
      <c r="L53" s="27">
        <f t="shared" si="0"/>
        <v>40.636485860159446</v>
      </c>
      <c r="M53" s="74">
        <f t="shared" si="1"/>
        <v>52.404126509709791</v>
      </c>
    </row>
    <row r="54" spans="1:13" ht="18" x14ac:dyDescent="0.25">
      <c r="A54" s="62" t="s">
        <v>56</v>
      </c>
      <c r="B54" s="63">
        <v>411420</v>
      </c>
      <c r="C54" s="37">
        <v>3</v>
      </c>
      <c r="D54" s="39">
        <v>0</v>
      </c>
      <c r="E54" s="38">
        <v>0</v>
      </c>
      <c r="F54" s="6">
        <v>408</v>
      </c>
      <c r="G54" s="6">
        <v>4580</v>
      </c>
      <c r="H54" s="40">
        <v>8.9082969432314404E-2</v>
      </c>
      <c r="I54" s="38">
        <v>10.119318878499337</v>
      </c>
      <c r="J54" s="39">
        <v>0.59473516744184529</v>
      </c>
      <c r="K54" s="38">
        <v>39.685043432206136</v>
      </c>
      <c r="L54" s="27">
        <f t="shared" si="0"/>
        <v>16.601454103568489</v>
      </c>
      <c r="M54" s="74">
        <f t="shared" si="1"/>
        <v>15.09971922344617</v>
      </c>
    </row>
    <row r="55" spans="1:13" ht="18" x14ac:dyDescent="0.25">
      <c r="A55" s="62" t="s">
        <v>59</v>
      </c>
      <c r="B55" s="63">
        <v>411770</v>
      </c>
      <c r="C55" s="37">
        <v>1</v>
      </c>
      <c r="D55" s="39">
        <v>2.9411764705882353E-2</v>
      </c>
      <c r="E55" s="38">
        <v>2.9411764705882351</v>
      </c>
      <c r="F55" s="6">
        <v>592</v>
      </c>
      <c r="G55" s="6">
        <v>4436</v>
      </c>
      <c r="H55" s="40">
        <v>0.13345356176735798</v>
      </c>
      <c r="I55" s="38">
        <v>17.750981656411483</v>
      </c>
      <c r="J55" s="39">
        <v>0.53842096049895183</v>
      </c>
      <c r="K55" s="38">
        <v>49.058136267390957</v>
      </c>
      <c r="L55" s="27">
        <f t="shared" si="0"/>
        <v>23.250098131463556</v>
      </c>
      <c r="M55" s="74">
        <f t="shared" si="1"/>
        <v>25.418978512544804</v>
      </c>
    </row>
    <row r="56" spans="1:13" ht="18" x14ac:dyDescent="0.25">
      <c r="A56" s="62" t="s">
        <v>71</v>
      </c>
      <c r="B56" s="63">
        <v>411010</v>
      </c>
      <c r="C56" s="37">
        <v>2</v>
      </c>
      <c r="D56" s="39">
        <v>3.8690476190476192E-2</v>
      </c>
      <c r="E56" s="38">
        <v>3.8690476190476191</v>
      </c>
      <c r="F56" s="6">
        <v>941</v>
      </c>
      <c r="G56" s="6">
        <v>4402</v>
      </c>
      <c r="H56" s="40">
        <v>0.21376646978646069</v>
      </c>
      <c r="I56" s="38">
        <v>31.5646586541645</v>
      </c>
      <c r="J56" s="39">
        <v>0.49800759598468403</v>
      </c>
      <c r="K56" s="38">
        <v>55.784648775300795</v>
      </c>
      <c r="L56" s="27">
        <f t="shared" si="0"/>
        <v>30.406118349504307</v>
      </c>
      <c r="M56" s="74">
        <f t="shared" si="1"/>
        <v>36.525728670647887</v>
      </c>
    </row>
    <row r="57" spans="1:13" ht="18" x14ac:dyDescent="0.25">
      <c r="A57" s="62" t="s">
        <v>67</v>
      </c>
      <c r="B57" s="63">
        <v>411125</v>
      </c>
      <c r="C57" s="37">
        <v>8</v>
      </c>
      <c r="D57" s="39">
        <v>3.0456852791878174E-2</v>
      </c>
      <c r="E57" s="38">
        <v>3.0456852791878175</v>
      </c>
      <c r="F57" s="6">
        <v>1825</v>
      </c>
      <c r="G57" s="6">
        <v>4942</v>
      </c>
      <c r="H57" s="40">
        <v>0.36928369081343587</v>
      </c>
      <c r="I57" s="38">
        <v>58.313343415321796</v>
      </c>
      <c r="J57" s="39">
        <v>0.34894041114093099</v>
      </c>
      <c r="K57" s="38">
        <v>80.595804575417674</v>
      </c>
      <c r="L57" s="27">
        <f t="shared" si="0"/>
        <v>47.318277756642431</v>
      </c>
      <c r="M57" s="74">
        <f t="shared" si="1"/>
        <v>62.774834101560764</v>
      </c>
    </row>
    <row r="58" spans="1:13" ht="18" x14ac:dyDescent="0.25">
      <c r="A58" s="62" t="s">
        <v>53</v>
      </c>
      <c r="B58" s="63">
        <v>411570</v>
      </c>
      <c r="C58" s="37">
        <v>5</v>
      </c>
      <c r="D58" s="39">
        <v>3.4482758620689655E-2</v>
      </c>
      <c r="E58" s="38">
        <v>3.4482758620689653</v>
      </c>
      <c r="F58" s="6">
        <v>1057</v>
      </c>
      <c r="G58" s="6">
        <v>4865</v>
      </c>
      <c r="H58" s="40">
        <v>0.21726618705035972</v>
      </c>
      <c r="I58" s="38">
        <v>32.166603784273128</v>
      </c>
      <c r="J58" s="39">
        <v>0.45494103457006585</v>
      </c>
      <c r="K58" s="38">
        <v>62.952766736026966</v>
      </c>
      <c r="L58" s="27">
        <f t="shared" si="0"/>
        <v>32.855882127456354</v>
      </c>
      <c r="M58" s="74">
        <f t="shared" si="1"/>
        <v>40.32796977660351</v>
      </c>
    </row>
    <row r="59" spans="1:13" ht="18" x14ac:dyDescent="0.25">
      <c r="A59" s="62" t="s">
        <v>55</v>
      </c>
      <c r="B59" s="63">
        <v>410200</v>
      </c>
      <c r="C59" s="37">
        <v>0</v>
      </c>
      <c r="D59" s="39">
        <v>1.4204545454545454E-2</v>
      </c>
      <c r="E59" s="38">
        <v>1.4204545454545454</v>
      </c>
      <c r="F59" s="6">
        <v>683</v>
      </c>
      <c r="G59" s="6">
        <v>4485</v>
      </c>
      <c r="H59" s="40">
        <v>0.15228539576365663</v>
      </c>
      <c r="I59" s="38">
        <v>20.990023530456181</v>
      </c>
      <c r="J59" s="39">
        <v>0.46979130390139712</v>
      </c>
      <c r="K59" s="38">
        <v>60.48104670965391</v>
      </c>
      <c r="L59" s="27">
        <f t="shared" si="0"/>
        <v>27.630508261854882</v>
      </c>
      <c r="M59" s="74">
        <f t="shared" si="1"/>
        <v>32.217746462588501</v>
      </c>
    </row>
    <row r="60" spans="1:13" ht="18" x14ac:dyDescent="0.25">
      <c r="A60" s="62" t="s">
        <v>74</v>
      </c>
      <c r="B60" s="63">
        <v>410970</v>
      </c>
      <c r="C60" s="37">
        <v>8</v>
      </c>
      <c r="D60" s="39">
        <v>2.8446389496717725E-2</v>
      </c>
      <c r="E60" s="38">
        <v>2.8446389496717726</v>
      </c>
      <c r="F60" s="6">
        <v>694</v>
      </c>
      <c r="G60" s="6">
        <v>3685</v>
      </c>
      <c r="H60" s="40">
        <v>0.18833107191316145</v>
      </c>
      <c r="I60" s="38">
        <v>27.189815566083087</v>
      </c>
      <c r="J60" s="39">
        <v>0.44954025393525943</v>
      </c>
      <c r="K60" s="38">
        <v>63.851687648184054</v>
      </c>
      <c r="L60" s="27">
        <f t="shared" si="0"/>
        <v>31.29538072131297</v>
      </c>
      <c r="M60" s="74">
        <f t="shared" si="1"/>
        <v>37.905939274829933</v>
      </c>
    </row>
    <row r="61" spans="1:13" ht="18" x14ac:dyDescent="0.25">
      <c r="A61" s="62" t="s">
        <v>76</v>
      </c>
      <c r="B61" s="63">
        <v>411430</v>
      </c>
      <c r="C61" s="37">
        <v>2</v>
      </c>
      <c r="D61" s="39">
        <v>0.16923076923076924</v>
      </c>
      <c r="E61" s="38">
        <v>16.923076923076923</v>
      </c>
      <c r="F61" s="6">
        <v>802</v>
      </c>
      <c r="G61" s="6">
        <v>3729</v>
      </c>
      <c r="H61" s="40">
        <v>0.21507106462858674</v>
      </c>
      <c r="I61" s="38">
        <v>31.789046641183699</v>
      </c>
      <c r="J61" s="39">
        <v>0.4623089919331464</v>
      </c>
      <c r="K61" s="38">
        <v>61.726423471708777</v>
      </c>
      <c r="L61" s="27">
        <f t="shared" si="0"/>
        <v>36.812849011989798</v>
      </c>
      <c r="M61" s="74">
        <f t="shared" si="1"/>
        <v>46.469517904095149</v>
      </c>
    </row>
    <row r="62" spans="1:13" ht="18" x14ac:dyDescent="0.25">
      <c r="A62" s="62" t="s">
        <v>73</v>
      </c>
      <c r="B62" s="63">
        <v>412570</v>
      </c>
      <c r="C62" s="37">
        <v>4</v>
      </c>
      <c r="D62" s="39">
        <v>3.4482758620689655E-2</v>
      </c>
      <c r="E62" s="38">
        <v>3.4482758620689653</v>
      </c>
      <c r="F62" s="6">
        <v>689</v>
      </c>
      <c r="G62" s="6">
        <v>4109</v>
      </c>
      <c r="H62" s="40">
        <v>0.16768070090046239</v>
      </c>
      <c r="I62" s="38">
        <v>23.63798856729807</v>
      </c>
      <c r="J62" s="39">
        <v>0.55746446808417816</v>
      </c>
      <c r="K62" s="38">
        <v>45.888482032805342</v>
      </c>
      <c r="L62" s="27">
        <f t="shared" si="0"/>
        <v>24.324915487390793</v>
      </c>
      <c r="M62" s="74">
        <f t="shared" si="1"/>
        <v>27.087186185824013</v>
      </c>
    </row>
    <row r="63" spans="1:13" ht="18" x14ac:dyDescent="0.25">
      <c r="A63" s="62" t="s">
        <v>79</v>
      </c>
      <c r="B63" s="63">
        <v>412350</v>
      </c>
      <c r="C63" s="37">
        <v>1</v>
      </c>
      <c r="D63" s="39">
        <v>3.2000000000000001E-2</v>
      </c>
      <c r="E63" s="38">
        <v>3.2</v>
      </c>
      <c r="F63" s="6">
        <v>516</v>
      </c>
      <c r="G63" s="6">
        <v>3396</v>
      </c>
      <c r="H63" s="40">
        <v>0.1519434628975265</v>
      </c>
      <c r="I63" s="38">
        <v>20.931211687078353</v>
      </c>
      <c r="J63" s="39">
        <v>0.541305306181732</v>
      </c>
      <c r="K63" s="38">
        <v>48.578057769954619</v>
      </c>
      <c r="L63" s="27">
        <f t="shared" si="0"/>
        <v>24.236423152344326</v>
      </c>
      <c r="M63" s="74">
        <f t="shared" si="1"/>
        <v>26.949838578310221</v>
      </c>
    </row>
    <row r="64" spans="1:13" ht="18" x14ac:dyDescent="0.25">
      <c r="A64" s="62" t="s">
        <v>46</v>
      </c>
      <c r="B64" s="63">
        <v>411320</v>
      </c>
      <c r="C64" s="37">
        <v>5</v>
      </c>
      <c r="D64" s="39">
        <v>4.1237113402061855E-2</v>
      </c>
      <c r="E64" s="38">
        <v>4.1237113402061851</v>
      </c>
      <c r="F64" s="6">
        <v>1121</v>
      </c>
      <c r="G64" s="6">
        <v>5429</v>
      </c>
      <c r="H64" s="40">
        <v>0.20648369865536931</v>
      </c>
      <c r="I64" s="38">
        <v>30.312035003312161</v>
      </c>
      <c r="J64" s="39">
        <v>0.52223835279899089</v>
      </c>
      <c r="K64" s="38">
        <v>51.751614388123897</v>
      </c>
      <c r="L64" s="27">
        <f t="shared" si="0"/>
        <v>28.729120243880747</v>
      </c>
      <c r="M64" s="74">
        <f t="shared" si="1"/>
        <v>33.922885413188133</v>
      </c>
    </row>
    <row r="65" spans="1:13" ht="18" x14ac:dyDescent="0.25">
      <c r="A65" s="62" t="s">
        <v>84</v>
      </c>
      <c r="B65" s="63">
        <v>411730</v>
      </c>
      <c r="C65" s="37">
        <v>5</v>
      </c>
      <c r="D65" s="39">
        <v>3.4375000000000003E-2</v>
      </c>
      <c r="E65" s="38">
        <v>3.4375000000000004</v>
      </c>
      <c r="F65" s="6">
        <v>1357</v>
      </c>
      <c r="G65" s="6">
        <v>3549</v>
      </c>
      <c r="H65" s="40">
        <v>0.38236122851507465</v>
      </c>
      <c r="I65" s="38">
        <v>60.562656585421514</v>
      </c>
      <c r="J65" s="39">
        <v>0.67350889755948962</v>
      </c>
      <c r="K65" s="38">
        <v>26.573725250717462</v>
      </c>
      <c r="L65" s="27">
        <f t="shared" si="0"/>
        <v>30.191293945379659</v>
      </c>
      <c r="M65" s="74">
        <f t="shared" si="1"/>
        <v>36.192302979862298</v>
      </c>
    </row>
    <row r="66" spans="1:13" ht="18" x14ac:dyDescent="0.25">
      <c r="A66" s="62" t="s">
        <v>75</v>
      </c>
      <c r="B66" s="63">
        <v>410860</v>
      </c>
      <c r="C66" s="37">
        <v>1</v>
      </c>
      <c r="D66" s="39">
        <v>1.7543859649122806E-2</v>
      </c>
      <c r="E66" s="38">
        <v>1.7543859649122806</v>
      </c>
      <c r="F66" s="6">
        <v>972</v>
      </c>
      <c r="G66" s="6">
        <v>3526</v>
      </c>
      <c r="H66" s="40">
        <v>0.27566647759500851</v>
      </c>
      <c r="I66" s="38">
        <v>42.211349642147269</v>
      </c>
      <c r="J66" s="39">
        <v>0.47610969200049597</v>
      </c>
      <c r="K66" s="38">
        <v>59.429396665436187</v>
      </c>
      <c r="L66" s="27">
        <f t="shared" si="0"/>
        <v>34.46504409083191</v>
      </c>
      <c r="M66" s="74">
        <f t="shared" si="1"/>
        <v>42.825525589271166</v>
      </c>
    </row>
    <row r="67" spans="1:13" ht="18" x14ac:dyDescent="0.25">
      <c r="A67" s="62" t="s">
        <v>45</v>
      </c>
      <c r="B67" s="63">
        <v>410640</v>
      </c>
      <c r="C67" s="37">
        <v>7</v>
      </c>
      <c r="D67" s="39">
        <v>5.5555555555555552E-2</v>
      </c>
      <c r="E67" s="38">
        <v>5.5555555555555554</v>
      </c>
      <c r="F67" s="6">
        <v>637</v>
      </c>
      <c r="G67" s="6">
        <v>4773</v>
      </c>
      <c r="H67" s="40">
        <v>0.13345904043578463</v>
      </c>
      <c r="I67" s="38">
        <v>17.751923977613519</v>
      </c>
      <c r="J67" s="39">
        <v>0.57726043607080757</v>
      </c>
      <c r="K67" s="38">
        <v>42.593586201471268</v>
      </c>
      <c r="L67" s="27">
        <f t="shared" ref="L67:L130" si="2">(K67+I67+E67)/3</f>
        <v>21.96702191154678</v>
      </c>
      <c r="M67" s="74">
        <f t="shared" ref="M67:M130" si="3">(L67-L$402)/(L$403-L$402)*100</f>
        <v>23.427535423480879</v>
      </c>
    </row>
    <row r="68" spans="1:13" ht="18" x14ac:dyDescent="0.25">
      <c r="A68" s="62" t="s">
        <v>70</v>
      </c>
      <c r="B68" s="63">
        <v>410425</v>
      </c>
      <c r="C68" s="37">
        <v>3</v>
      </c>
      <c r="D68" s="39">
        <v>6.6929133858267723E-2</v>
      </c>
      <c r="E68" s="38">
        <v>6.6929133858267722</v>
      </c>
      <c r="F68" s="6">
        <v>836</v>
      </c>
      <c r="G68" s="6">
        <v>3983</v>
      </c>
      <c r="H68" s="40">
        <v>0.20989204117499372</v>
      </c>
      <c r="I68" s="38">
        <v>30.898263840308083</v>
      </c>
      <c r="J68" s="39">
        <v>0.441871734359986</v>
      </c>
      <c r="K68" s="38">
        <v>65.128057320944592</v>
      </c>
      <c r="L68" s="27">
        <f t="shared" si="2"/>
        <v>34.239744849026479</v>
      </c>
      <c r="M68" s="74">
        <f t="shared" si="3"/>
        <v>42.47584206221314</v>
      </c>
    </row>
    <row r="69" spans="1:13" ht="18" x14ac:dyDescent="0.25">
      <c r="A69" s="62" t="s">
        <v>57</v>
      </c>
      <c r="B69" s="63">
        <v>411200</v>
      </c>
      <c r="C69" s="37">
        <v>9</v>
      </c>
      <c r="D69" s="39">
        <v>0.04</v>
      </c>
      <c r="E69" s="38">
        <v>4</v>
      </c>
      <c r="F69" s="6">
        <v>1123</v>
      </c>
      <c r="G69" s="6">
        <v>5191</v>
      </c>
      <c r="H69" s="40">
        <v>0.2163359660951647</v>
      </c>
      <c r="I69" s="38">
        <v>32.006607438373806</v>
      </c>
      <c r="J69" s="39">
        <v>0.56046895698292798</v>
      </c>
      <c r="K69" s="38">
        <v>45.388406565191609</v>
      </c>
      <c r="L69" s="27">
        <f t="shared" si="2"/>
        <v>27.131671334521808</v>
      </c>
      <c r="M69" s="74">
        <f t="shared" si="3"/>
        <v>31.443509253538078</v>
      </c>
    </row>
    <row r="70" spans="1:13" ht="18" x14ac:dyDescent="0.25">
      <c r="A70" s="62" t="s">
        <v>60</v>
      </c>
      <c r="B70" s="63">
        <v>411960</v>
      </c>
      <c r="C70" s="37">
        <v>8</v>
      </c>
      <c r="D70" s="39">
        <v>2.7906976744186046E-2</v>
      </c>
      <c r="E70" s="38">
        <v>2.7906976744186047</v>
      </c>
      <c r="F70" s="6">
        <v>1297</v>
      </c>
      <c r="G70" s="6">
        <v>4472</v>
      </c>
      <c r="H70" s="40">
        <v>0.29002683363148479</v>
      </c>
      <c r="I70" s="38">
        <v>44.681305278835623</v>
      </c>
      <c r="J70" s="39">
        <v>0.50736361515509665</v>
      </c>
      <c r="K70" s="38">
        <v>54.227406988321981</v>
      </c>
      <c r="L70" s="27">
        <f t="shared" si="2"/>
        <v>33.899803313858733</v>
      </c>
      <c r="M70" s="74">
        <f t="shared" si="3"/>
        <v>41.948223975004346</v>
      </c>
    </row>
    <row r="71" spans="1:13" ht="18" x14ac:dyDescent="0.25">
      <c r="A71" s="62" t="s">
        <v>65</v>
      </c>
      <c r="B71" s="63">
        <v>412230</v>
      </c>
      <c r="C71" s="37">
        <v>5</v>
      </c>
      <c r="D71" s="39">
        <v>4.8192771084337352E-2</v>
      </c>
      <c r="E71" s="38">
        <v>4.8192771084337354</v>
      </c>
      <c r="F71" s="6">
        <v>533</v>
      </c>
      <c r="G71" s="6">
        <v>4030</v>
      </c>
      <c r="H71" s="40">
        <v>0.13225806451612904</v>
      </c>
      <c r="I71" s="38">
        <v>17.545358260527845</v>
      </c>
      <c r="J71" s="39">
        <v>0.50872299912014163</v>
      </c>
      <c r="K71" s="38">
        <v>54.001147349862556</v>
      </c>
      <c r="L71" s="27">
        <f t="shared" si="2"/>
        <v>25.455260906274713</v>
      </c>
      <c r="M71" s="74">
        <f t="shared" si="3"/>
        <v>28.841578121197468</v>
      </c>
    </row>
    <row r="72" spans="1:13" ht="18" x14ac:dyDescent="0.25">
      <c r="A72" s="62" t="s">
        <v>66</v>
      </c>
      <c r="B72" s="63">
        <v>410240</v>
      </c>
      <c r="C72" s="37">
        <v>6</v>
      </c>
      <c r="D72" s="39">
        <v>2.4489795918367346E-2</v>
      </c>
      <c r="E72" s="38">
        <v>2.4489795918367347</v>
      </c>
      <c r="F72" s="6">
        <v>852</v>
      </c>
      <c r="G72" s="6">
        <v>3780</v>
      </c>
      <c r="H72" s="40">
        <v>0.2253968253968254</v>
      </c>
      <c r="I72" s="38">
        <v>33.565059084595561</v>
      </c>
      <c r="J72" s="39">
        <v>0.47821662013538607</v>
      </c>
      <c r="K72" s="38">
        <v>59.078713701447818</v>
      </c>
      <c r="L72" s="27">
        <f t="shared" si="2"/>
        <v>31.697584125960034</v>
      </c>
      <c r="M72" s="74">
        <f t="shared" si="3"/>
        <v>38.530193062835082</v>
      </c>
    </row>
    <row r="73" spans="1:13" ht="18" x14ac:dyDescent="0.25">
      <c r="A73" s="62" t="s">
        <v>61</v>
      </c>
      <c r="B73" s="63">
        <v>411150</v>
      </c>
      <c r="C73" s="37">
        <v>6</v>
      </c>
      <c r="D73" s="39">
        <v>5.2631578947368418E-2</v>
      </c>
      <c r="E73" s="38">
        <v>5.2631578947368416</v>
      </c>
      <c r="F73" s="6">
        <v>423</v>
      </c>
      <c r="G73" s="6">
        <v>3701</v>
      </c>
      <c r="H73" s="40">
        <v>0.11429343420697109</v>
      </c>
      <c r="I73" s="38">
        <v>14.455473874624063</v>
      </c>
      <c r="J73" s="39">
        <v>0.46064046610278053</v>
      </c>
      <c r="K73" s="38">
        <v>62.004137539879579</v>
      </c>
      <c r="L73" s="27">
        <f t="shared" si="2"/>
        <v>27.24092310308016</v>
      </c>
      <c r="M73" s="74">
        <f t="shared" si="3"/>
        <v>31.613077262114881</v>
      </c>
    </row>
    <row r="74" spans="1:13" ht="18" x14ac:dyDescent="0.25">
      <c r="A74" s="62" t="s">
        <v>69</v>
      </c>
      <c r="B74" s="63">
        <v>411995</v>
      </c>
      <c r="C74" s="37">
        <v>4</v>
      </c>
      <c r="D74" s="39">
        <v>4.9586776859504134E-2</v>
      </c>
      <c r="E74" s="38">
        <v>4.9586776859504136</v>
      </c>
      <c r="F74" s="6">
        <v>868</v>
      </c>
      <c r="G74" s="6">
        <v>3711</v>
      </c>
      <c r="H74" s="40">
        <v>0.23389921853947723</v>
      </c>
      <c r="I74" s="38">
        <v>35.027455547099038</v>
      </c>
      <c r="J74" s="39">
        <v>0.44784653481718761</v>
      </c>
      <c r="K74" s="38">
        <v>64.133594957053958</v>
      </c>
      <c r="L74" s="27">
        <f t="shared" si="2"/>
        <v>34.706576063367805</v>
      </c>
      <c r="M74" s="74">
        <f t="shared" si="3"/>
        <v>43.200403690843167</v>
      </c>
    </row>
    <row r="75" spans="1:13" ht="18" x14ac:dyDescent="0.25">
      <c r="A75" s="62" t="s">
        <v>82</v>
      </c>
      <c r="B75" s="63">
        <v>412170</v>
      </c>
      <c r="C75" s="37">
        <v>3</v>
      </c>
      <c r="D75" s="39">
        <v>2.0618556701030927E-2</v>
      </c>
      <c r="E75" s="38">
        <v>2.0618556701030926</v>
      </c>
      <c r="F75" s="6">
        <v>1266</v>
      </c>
      <c r="G75" s="6">
        <v>3414</v>
      </c>
      <c r="H75" s="40">
        <v>0.37082601054481545</v>
      </c>
      <c r="I75" s="38">
        <v>58.578619659477603</v>
      </c>
      <c r="J75" s="39">
        <v>0.41107133434454596</v>
      </c>
      <c r="K75" s="38">
        <v>70.254561348574853</v>
      </c>
      <c r="L75" s="27">
        <f t="shared" si="2"/>
        <v>43.631678892718519</v>
      </c>
      <c r="M75" s="74">
        <f t="shared" si="3"/>
        <v>57.052920067343535</v>
      </c>
    </row>
    <row r="76" spans="1:13" ht="18" x14ac:dyDescent="0.25">
      <c r="A76" s="62" t="s">
        <v>91</v>
      </c>
      <c r="B76" s="63">
        <v>411350</v>
      </c>
      <c r="C76" s="37">
        <v>2</v>
      </c>
      <c r="D76" s="39">
        <v>4.0404040404040407E-2</v>
      </c>
      <c r="E76" s="38">
        <v>4.0404040404040407</v>
      </c>
      <c r="F76" s="6">
        <v>552</v>
      </c>
      <c r="G76" s="6">
        <v>3069</v>
      </c>
      <c r="H76" s="40">
        <v>0.1798631476050831</v>
      </c>
      <c r="I76" s="38">
        <v>25.733347681675351</v>
      </c>
      <c r="J76" s="39">
        <v>0.48825422849992295</v>
      </c>
      <c r="K76" s="38">
        <v>57.408026318076885</v>
      </c>
      <c r="L76" s="27">
        <f t="shared" si="2"/>
        <v>29.060592680052093</v>
      </c>
      <c r="M76" s="74">
        <f t="shared" si="3"/>
        <v>34.437358740635055</v>
      </c>
    </row>
    <row r="77" spans="1:13" ht="18" x14ac:dyDescent="0.25">
      <c r="A77" s="62" t="s">
        <v>81</v>
      </c>
      <c r="B77" s="63">
        <v>412800</v>
      </c>
      <c r="C77" s="37">
        <v>5</v>
      </c>
      <c r="D77" s="39">
        <v>3.8461538461538464E-2</v>
      </c>
      <c r="E77" s="38">
        <v>3.8461538461538463</v>
      </c>
      <c r="F77" s="6">
        <v>626</v>
      </c>
      <c r="G77" s="6">
        <v>3128</v>
      </c>
      <c r="H77" s="40">
        <v>0.20012787723785166</v>
      </c>
      <c r="I77" s="38">
        <v>29.218845050632247</v>
      </c>
      <c r="J77" s="39">
        <v>0.62021569613436811</v>
      </c>
      <c r="K77" s="38">
        <v>35.443993546396705</v>
      </c>
      <c r="L77" s="27">
        <f t="shared" si="2"/>
        <v>22.836330814394262</v>
      </c>
      <c r="M77" s="74">
        <f t="shared" si="3"/>
        <v>24.776776551922687</v>
      </c>
    </row>
    <row r="78" spans="1:13" ht="18" x14ac:dyDescent="0.25">
      <c r="A78" s="62" t="s">
        <v>80</v>
      </c>
      <c r="B78" s="63">
        <v>410210</v>
      </c>
      <c r="C78" s="37">
        <v>9</v>
      </c>
      <c r="D78" s="39">
        <v>1.6853932584269662E-2</v>
      </c>
      <c r="E78" s="38">
        <v>1.6853932584269662</v>
      </c>
      <c r="F78" s="6">
        <v>494</v>
      </c>
      <c r="G78" s="6">
        <v>3088</v>
      </c>
      <c r="H78" s="40">
        <v>0.15997409326424872</v>
      </c>
      <c r="I78" s="38">
        <v>22.312465793178728</v>
      </c>
      <c r="J78" s="39">
        <v>0.46551613075704529</v>
      </c>
      <c r="K78" s="38">
        <v>61.192618388344769</v>
      </c>
      <c r="L78" s="27">
        <f t="shared" si="2"/>
        <v>28.396825813316823</v>
      </c>
      <c r="M78" s="74">
        <f t="shared" si="3"/>
        <v>33.407136280744631</v>
      </c>
    </row>
    <row r="79" spans="1:13" ht="18" x14ac:dyDescent="0.25">
      <c r="A79" s="62" t="s">
        <v>87</v>
      </c>
      <c r="B79" s="63">
        <v>412440</v>
      </c>
      <c r="C79" s="37">
        <v>0</v>
      </c>
      <c r="D79" s="39">
        <v>5.1094890510948905E-2</v>
      </c>
      <c r="E79" s="38">
        <v>5.1094890510948909</v>
      </c>
      <c r="F79" s="6">
        <v>522</v>
      </c>
      <c r="G79" s="6">
        <v>3189</v>
      </c>
      <c r="H79" s="40">
        <v>0.1636876763875823</v>
      </c>
      <c r="I79" s="38">
        <v>22.9511954698309</v>
      </c>
      <c r="J79" s="39">
        <v>0.47228252833656215</v>
      </c>
      <c r="K79" s="38">
        <v>60.066400403300676</v>
      </c>
      <c r="L79" s="27">
        <f t="shared" si="2"/>
        <v>29.375694974742157</v>
      </c>
      <c r="M79" s="74">
        <f t="shared" si="3"/>
        <v>34.926424220431265</v>
      </c>
    </row>
    <row r="80" spans="1:13" ht="18" x14ac:dyDescent="0.25">
      <c r="A80" s="62" t="s">
        <v>104</v>
      </c>
      <c r="B80" s="63">
        <v>410345</v>
      </c>
      <c r="C80" s="37">
        <v>3</v>
      </c>
      <c r="D80" s="39">
        <v>2.8846153846153848E-2</v>
      </c>
      <c r="E80" s="38">
        <v>2.8846153846153846</v>
      </c>
      <c r="F80" s="6">
        <v>394</v>
      </c>
      <c r="G80" s="6">
        <v>2790</v>
      </c>
      <c r="H80" s="40">
        <v>0.14121863799283155</v>
      </c>
      <c r="I80" s="38">
        <v>19.086560923645955</v>
      </c>
      <c r="J80" s="39">
        <v>0.65985804548092852</v>
      </c>
      <c r="K80" s="38">
        <v>28.845810942015216</v>
      </c>
      <c r="L80" s="27">
        <f t="shared" si="2"/>
        <v>16.938995750092186</v>
      </c>
      <c r="M80" s="74">
        <f t="shared" si="3"/>
        <v>15.623612479985891</v>
      </c>
    </row>
    <row r="81" spans="1:13" ht="18" x14ac:dyDescent="0.25">
      <c r="A81" s="62" t="s">
        <v>94</v>
      </c>
      <c r="B81" s="63">
        <v>412660</v>
      </c>
      <c r="C81" s="37">
        <v>3</v>
      </c>
      <c r="D81" s="39">
        <v>8.6419753086419748E-2</v>
      </c>
      <c r="E81" s="38">
        <v>8.6419753086419746</v>
      </c>
      <c r="F81" s="6">
        <v>521</v>
      </c>
      <c r="G81" s="6">
        <v>2959</v>
      </c>
      <c r="H81" s="40">
        <v>0.17607299763433593</v>
      </c>
      <c r="I81" s="38">
        <v>25.081448643771115</v>
      </c>
      <c r="J81" s="39">
        <v>0.50631568286442241</v>
      </c>
      <c r="K81" s="38">
        <v>54.401827746043708</v>
      </c>
      <c r="L81" s="27">
        <f t="shared" si="2"/>
        <v>29.375083899485599</v>
      </c>
      <c r="M81" s="74">
        <f t="shared" si="3"/>
        <v>34.92547577981825</v>
      </c>
    </row>
    <row r="82" spans="1:13" ht="18" x14ac:dyDescent="0.25">
      <c r="A82" s="62" t="s">
        <v>85</v>
      </c>
      <c r="B82" s="63">
        <v>412080</v>
      </c>
      <c r="C82" s="37">
        <v>4</v>
      </c>
      <c r="D82" s="39">
        <v>2.336448598130841E-2</v>
      </c>
      <c r="E82" s="38">
        <v>2.3364485981308412</v>
      </c>
      <c r="F82" s="6">
        <v>492</v>
      </c>
      <c r="G82" s="6">
        <v>3188</v>
      </c>
      <c r="H82" s="40">
        <v>0.15432873274780426</v>
      </c>
      <c r="I82" s="38">
        <v>21.341473848876532</v>
      </c>
      <c r="J82" s="39">
        <v>0.72059466756637469</v>
      </c>
      <c r="K82" s="38">
        <v>18.736639061467848</v>
      </c>
      <c r="L82" s="27">
        <f t="shared" si="2"/>
        <v>14.138187169491742</v>
      </c>
      <c r="M82" s="74">
        <f t="shared" si="3"/>
        <v>11.276520074213249</v>
      </c>
    </row>
    <row r="83" spans="1:13" ht="18" x14ac:dyDescent="0.25">
      <c r="A83" s="62" t="s">
        <v>153</v>
      </c>
      <c r="B83" s="63">
        <v>410230</v>
      </c>
      <c r="C83" s="37">
        <v>7</v>
      </c>
      <c r="D83" s="39">
        <v>9.3457943925233638E-3</v>
      </c>
      <c r="E83" s="38">
        <v>0.93457943925233633</v>
      </c>
      <c r="F83" s="6">
        <v>434</v>
      </c>
      <c r="G83" s="6">
        <v>1820</v>
      </c>
      <c r="H83" s="40">
        <v>0.23846153846153847</v>
      </c>
      <c r="I83" s="38">
        <v>35.812166440007772</v>
      </c>
      <c r="J83" s="39">
        <v>0.59445205792449829</v>
      </c>
      <c r="K83" s="38">
        <v>39.73216496569961</v>
      </c>
      <c r="L83" s="27">
        <f t="shared" si="2"/>
        <v>25.492970281653239</v>
      </c>
      <c r="M83" s="74">
        <f t="shared" si="3"/>
        <v>28.900106269272218</v>
      </c>
    </row>
    <row r="84" spans="1:13" ht="18" x14ac:dyDescent="0.25">
      <c r="A84" s="62" t="s">
        <v>97</v>
      </c>
      <c r="B84" s="63">
        <v>410450</v>
      </c>
      <c r="C84" s="37">
        <v>1</v>
      </c>
      <c r="D84" s="39">
        <v>1.3605442176870748E-2</v>
      </c>
      <c r="E84" s="38">
        <v>1.3605442176870748</v>
      </c>
      <c r="F84" s="6">
        <v>291</v>
      </c>
      <c r="G84" s="6">
        <v>2562</v>
      </c>
      <c r="H84" s="40">
        <v>0.11358313817330211</v>
      </c>
      <c r="I84" s="38">
        <v>14.333304223145941</v>
      </c>
      <c r="J84" s="39">
        <v>0.52874342165872257</v>
      </c>
      <c r="K84" s="38">
        <v>50.668892680200969</v>
      </c>
      <c r="L84" s="27">
        <f t="shared" si="2"/>
        <v>22.120913707011329</v>
      </c>
      <c r="M84" s="74">
        <f t="shared" si="3"/>
        <v>23.666388538973422</v>
      </c>
    </row>
    <row r="85" spans="1:13" ht="18" x14ac:dyDescent="0.25">
      <c r="A85" s="62" t="s">
        <v>106</v>
      </c>
      <c r="B85" s="63">
        <v>411560</v>
      </c>
      <c r="C85" s="37">
        <v>6</v>
      </c>
      <c r="D85" s="39">
        <v>2.0618556701030927E-2</v>
      </c>
      <c r="E85" s="38">
        <v>2.0618556701030926</v>
      </c>
      <c r="F85" s="6">
        <v>193</v>
      </c>
      <c r="G85" s="6">
        <v>2680</v>
      </c>
      <c r="H85" s="40">
        <v>7.2014925373134323E-2</v>
      </c>
      <c r="I85" s="38">
        <v>7.1836457291613529</v>
      </c>
      <c r="J85" s="39">
        <v>0.63977395833460715</v>
      </c>
      <c r="K85" s="38">
        <v>32.188662125612829</v>
      </c>
      <c r="L85" s="27">
        <f t="shared" si="2"/>
        <v>13.811387841625759</v>
      </c>
      <c r="M85" s="74">
        <f t="shared" si="3"/>
        <v>10.769299807102648</v>
      </c>
    </row>
    <row r="86" spans="1:13" ht="18" x14ac:dyDescent="0.25">
      <c r="A86" s="62" t="s">
        <v>96</v>
      </c>
      <c r="B86" s="63">
        <v>410540</v>
      </c>
      <c r="C86" s="37">
        <v>9</v>
      </c>
      <c r="D86" s="39">
        <v>2.7906976744186046E-2</v>
      </c>
      <c r="E86" s="38">
        <v>2.7906976744186047</v>
      </c>
      <c r="F86" s="6">
        <v>604</v>
      </c>
      <c r="G86" s="6">
        <v>2826</v>
      </c>
      <c r="H86" s="40">
        <v>0.21372965322009907</v>
      </c>
      <c r="I86" s="38">
        <v>31.558326270386733</v>
      </c>
      <c r="J86" s="39">
        <v>0.50511076587344739</v>
      </c>
      <c r="K86" s="38">
        <v>54.602377472803653</v>
      </c>
      <c r="L86" s="27">
        <f t="shared" si="2"/>
        <v>29.650467139202998</v>
      </c>
      <c r="M86" s="74">
        <f t="shared" si="3"/>
        <v>35.352893918403048</v>
      </c>
    </row>
    <row r="87" spans="1:13" ht="18" x14ac:dyDescent="0.25">
      <c r="A87" s="62" t="s">
        <v>78</v>
      </c>
      <c r="B87" s="63">
        <v>410160</v>
      </c>
      <c r="C87" s="37">
        <v>6</v>
      </c>
      <c r="D87" s="39">
        <v>3.5087719298245612E-2</v>
      </c>
      <c r="E87" s="38">
        <v>3.5087719298245612</v>
      </c>
      <c r="F87" s="6">
        <v>887</v>
      </c>
      <c r="G87" s="6">
        <v>3698</v>
      </c>
      <c r="H87" s="40">
        <v>0.2398593834505138</v>
      </c>
      <c r="I87" s="38">
        <v>36.052593286039055</v>
      </c>
      <c r="J87" s="39">
        <v>0.5512473116252089</v>
      </c>
      <c r="K87" s="38">
        <v>46.923282801994574</v>
      </c>
      <c r="L87" s="27">
        <f t="shared" si="2"/>
        <v>28.828216005952729</v>
      </c>
      <c r="M87" s="74">
        <f t="shared" si="3"/>
        <v>34.076690438540844</v>
      </c>
    </row>
    <row r="88" spans="1:13" ht="18" x14ac:dyDescent="0.25">
      <c r="A88" s="62" t="s">
        <v>86</v>
      </c>
      <c r="B88" s="63">
        <v>410660</v>
      </c>
      <c r="C88" s="37">
        <v>5</v>
      </c>
      <c r="D88" s="39">
        <v>0</v>
      </c>
      <c r="E88" s="38">
        <v>0</v>
      </c>
      <c r="F88" s="6">
        <v>556</v>
      </c>
      <c r="G88" s="6">
        <v>2858</v>
      </c>
      <c r="H88" s="40">
        <v>0.19454163750874737</v>
      </c>
      <c r="I88" s="38">
        <v>28.258021776352248</v>
      </c>
      <c r="J88" s="39">
        <v>0.47838679110937005</v>
      </c>
      <c r="K88" s="38">
        <v>59.050389972435305</v>
      </c>
      <c r="L88" s="27">
        <f t="shared" si="2"/>
        <v>29.102803916262516</v>
      </c>
      <c r="M88" s="74">
        <f t="shared" si="3"/>
        <v>34.502874158446744</v>
      </c>
    </row>
    <row r="89" spans="1:13" ht="18" x14ac:dyDescent="0.25">
      <c r="A89" s="62" t="s">
        <v>98</v>
      </c>
      <c r="B89" s="63">
        <v>412750</v>
      </c>
      <c r="C89" s="37">
        <v>2</v>
      </c>
      <c r="D89" s="39">
        <v>4.2918454935622317E-2</v>
      </c>
      <c r="E89" s="38">
        <v>4.2918454935622314</v>
      </c>
      <c r="F89" s="6">
        <v>1171</v>
      </c>
      <c r="G89" s="6">
        <v>2947</v>
      </c>
      <c r="H89" s="40">
        <v>0.39735324058364441</v>
      </c>
      <c r="I89" s="38">
        <v>63.141255933516092</v>
      </c>
      <c r="J89" s="39">
        <v>0.56040908836169256</v>
      </c>
      <c r="K89" s="38">
        <v>45.398371264602595</v>
      </c>
      <c r="L89" s="27">
        <f t="shared" si="2"/>
        <v>37.610490897226974</v>
      </c>
      <c r="M89" s="74">
        <f t="shared" si="3"/>
        <v>47.707525744351528</v>
      </c>
    </row>
    <row r="90" spans="1:13" ht="18" x14ac:dyDescent="0.25">
      <c r="A90" s="62" t="s">
        <v>113</v>
      </c>
      <c r="B90" s="63">
        <v>410630</v>
      </c>
      <c r="C90" s="37">
        <v>8</v>
      </c>
      <c r="D90" s="39">
        <v>3.0567685589519649E-2</v>
      </c>
      <c r="E90" s="38">
        <v>3.0567685589519651</v>
      </c>
      <c r="F90" s="6">
        <v>451</v>
      </c>
      <c r="G90" s="6">
        <v>2332</v>
      </c>
      <c r="H90" s="40">
        <v>0.19339622641509435</v>
      </c>
      <c r="I90" s="38">
        <v>28.061013110278267</v>
      </c>
      <c r="J90" s="39">
        <v>0.48783454543148191</v>
      </c>
      <c r="K90" s="38">
        <v>57.477879532308286</v>
      </c>
      <c r="L90" s="27">
        <f t="shared" si="2"/>
        <v>29.5318870671795</v>
      </c>
      <c r="M90" s="74">
        <f t="shared" si="3"/>
        <v>35.168847591874439</v>
      </c>
    </row>
    <row r="91" spans="1:13" ht="18" x14ac:dyDescent="0.25">
      <c r="A91" s="62" t="s">
        <v>77</v>
      </c>
      <c r="B91" s="63">
        <v>411690</v>
      </c>
      <c r="C91" s="37">
        <v>1</v>
      </c>
      <c r="D91" s="39">
        <v>1.1299435028248588E-2</v>
      </c>
      <c r="E91" s="38">
        <v>1.1299435028248588</v>
      </c>
      <c r="F91" s="6">
        <v>734</v>
      </c>
      <c r="G91" s="6">
        <v>3123</v>
      </c>
      <c r="H91" s="40">
        <v>0.23503041946845982</v>
      </c>
      <c r="I91" s="38">
        <v>35.22202009018352</v>
      </c>
      <c r="J91" s="39">
        <v>0.46811277175911475</v>
      </c>
      <c r="K91" s="38">
        <v>60.760426256140441</v>
      </c>
      <c r="L91" s="27">
        <f t="shared" si="2"/>
        <v>32.37079661638294</v>
      </c>
      <c r="M91" s="74">
        <f t="shared" si="3"/>
        <v>39.575075931610534</v>
      </c>
    </row>
    <row r="92" spans="1:13" ht="18" x14ac:dyDescent="0.25">
      <c r="A92" s="62" t="s">
        <v>83</v>
      </c>
      <c r="B92" s="63">
        <v>412405</v>
      </c>
      <c r="C92" s="37">
        <v>3</v>
      </c>
      <c r="D92" s="39">
        <v>5.8823529411764705E-2</v>
      </c>
      <c r="E92" s="38">
        <v>5.8823529411764701</v>
      </c>
      <c r="F92" s="6">
        <v>479</v>
      </c>
      <c r="G92" s="6">
        <v>3193</v>
      </c>
      <c r="H92" s="40">
        <v>0.15001565925461949</v>
      </c>
      <c r="I92" s="38">
        <v>20.599632897379003</v>
      </c>
      <c r="J92" s="39">
        <v>0.44390151239056991</v>
      </c>
      <c r="K92" s="38">
        <v>64.790215434353257</v>
      </c>
      <c r="L92" s="27">
        <f t="shared" si="2"/>
        <v>30.424067090969572</v>
      </c>
      <c r="M92" s="74">
        <f t="shared" si="3"/>
        <v>36.553586639327804</v>
      </c>
    </row>
    <row r="93" spans="1:13" ht="18" x14ac:dyDescent="0.25">
      <c r="A93" s="62" t="s">
        <v>130</v>
      </c>
      <c r="B93" s="63">
        <v>410442</v>
      </c>
      <c r="C93" s="37">
        <v>8</v>
      </c>
      <c r="D93" s="39">
        <v>8.1395348837209308E-2</v>
      </c>
      <c r="E93" s="38">
        <v>8.1395348837209305</v>
      </c>
      <c r="F93" s="6">
        <v>628</v>
      </c>
      <c r="G93" s="6">
        <v>2250</v>
      </c>
      <c r="H93" s="40">
        <v>0.27911111111111109</v>
      </c>
      <c r="I93" s="38">
        <v>42.803820465837987</v>
      </c>
      <c r="J93" s="39">
        <v>0.53364889500316082</v>
      </c>
      <c r="K93" s="38">
        <v>49.852412087575907</v>
      </c>
      <c r="L93" s="27">
        <f t="shared" si="2"/>
        <v>33.598589145711607</v>
      </c>
      <c r="M93" s="74">
        <f t="shared" si="3"/>
        <v>41.48071404521729</v>
      </c>
    </row>
    <row r="94" spans="1:13" ht="18" x14ac:dyDescent="0.25">
      <c r="A94" s="62" t="s">
        <v>116</v>
      </c>
      <c r="B94" s="63">
        <v>411440</v>
      </c>
      <c r="C94" s="37">
        <v>1</v>
      </c>
      <c r="D94" s="39">
        <v>1.5384615384615385E-2</v>
      </c>
      <c r="E94" s="38">
        <v>1.5384615384615385</v>
      </c>
      <c r="F94" s="6">
        <v>638</v>
      </c>
      <c r="G94" s="6">
        <v>2422</v>
      </c>
      <c r="H94" s="40">
        <v>0.26341866226259292</v>
      </c>
      <c r="I94" s="38">
        <v>40.104747240328194</v>
      </c>
      <c r="J94" s="39">
        <v>0.48875527624966064</v>
      </c>
      <c r="K94" s="38">
        <v>57.324630540561742</v>
      </c>
      <c r="L94" s="27">
        <f t="shared" si="2"/>
        <v>32.989279773117154</v>
      </c>
      <c r="M94" s="74">
        <f t="shared" si="3"/>
        <v>40.535014233842247</v>
      </c>
    </row>
    <row r="95" spans="1:13" ht="18" x14ac:dyDescent="0.25">
      <c r="A95" s="62" t="s">
        <v>89</v>
      </c>
      <c r="B95" s="63">
        <v>410650</v>
      </c>
      <c r="C95" s="37">
        <v>6</v>
      </c>
      <c r="D95" s="39">
        <v>1.953125E-2</v>
      </c>
      <c r="E95" s="38">
        <v>1.953125</v>
      </c>
      <c r="F95" s="6">
        <v>576</v>
      </c>
      <c r="G95" s="6">
        <v>3078</v>
      </c>
      <c r="H95" s="40">
        <v>0.1871345029239766</v>
      </c>
      <c r="I95" s="38">
        <v>26.984007833181721</v>
      </c>
      <c r="J95" s="39">
        <v>0.51529932455570604</v>
      </c>
      <c r="K95" s="38">
        <v>52.906565499772043</v>
      </c>
      <c r="L95" s="27">
        <f t="shared" si="2"/>
        <v>27.281232777651255</v>
      </c>
      <c r="M95" s="74">
        <f t="shared" si="3"/>
        <v>31.675641295023411</v>
      </c>
    </row>
    <row r="96" spans="1:13" ht="18" x14ac:dyDescent="0.25">
      <c r="A96" s="62" t="s">
        <v>109</v>
      </c>
      <c r="B96" s="63">
        <v>412740</v>
      </c>
      <c r="C96" s="37">
        <v>3</v>
      </c>
      <c r="D96" s="39">
        <v>7.9207920792079209E-2</v>
      </c>
      <c r="E96" s="38">
        <v>7.9207920792079207</v>
      </c>
      <c r="F96" s="6">
        <v>323</v>
      </c>
      <c r="G96" s="6">
        <v>2433</v>
      </c>
      <c r="H96" s="40">
        <v>0.13275791204274559</v>
      </c>
      <c r="I96" s="38">
        <v>17.631331143979708</v>
      </c>
      <c r="J96" s="39">
        <v>0.47246380617134076</v>
      </c>
      <c r="K96" s="38">
        <v>60.036228017563907</v>
      </c>
      <c r="L96" s="27">
        <f t="shared" si="2"/>
        <v>28.529450413583845</v>
      </c>
      <c r="M96" s="74">
        <f t="shared" si="3"/>
        <v>33.612980905983463</v>
      </c>
    </row>
    <row r="97" spans="1:13" ht="18" x14ac:dyDescent="0.25">
      <c r="A97" s="62" t="s">
        <v>118</v>
      </c>
      <c r="B97" s="63">
        <v>410520</v>
      </c>
      <c r="C97" s="37">
        <v>1</v>
      </c>
      <c r="D97" s="39">
        <v>3.2520325203252036E-2</v>
      </c>
      <c r="E97" s="38">
        <v>3.2520325203252036</v>
      </c>
      <c r="F97" s="6">
        <v>1054</v>
      </c>
      <c r="G97" s="6">
        <v>2271</v>
      </c>
      <c r="H97" s="40">
        <v>0.46411272567151035</v>
      </c>
      <c r="I97" s="38">
        <v>74.623768350084831</v>
      </c>
      <c r="J97" s="39">
        <v>0.36728914917428584</v>
      </c>
      <c r="K97" s="38">
        <v>77.541789712533671</v>
      </c>
      <c r="L97" s="27">
        <f t="shared" si="2"/>
        <v>51.805863527647908</v>
      </c>
      <c r="M97" s="74">
        <f t="shared" si="3"/>
        <v>69.739947733570958</v>
      </c>
    </row>
    <row r="98" spans="1:13" ht="18" x14ac:dyDescent="0.25">
      <c r="A98" s="62" t="s">
        <v>90</v>
      </c>
      <c r="B98" s="63">
        <v>410465</v>
      </c>
      <c r="C98" s="37">
        <v>9</v>
      </c>
      <c r="D98" s="39">
        <v>3.8834951456310676E-2</v>
      </c>
      <c r="E98" s="38">
        <v>3.8834951456310676</v>
      </c>
      <c r="F98" s="6">
        <v>795</v>
      </c>
      <c r="G98" s="6">
        <v>3699</v>
      </c>
      <c r="H98" s="40">
        <v>0.21492295214922952</v>
      </c>
      <c r="I98" s="38">
        <v>31.763571558788588</v>
      </c>
      <c r="J98" s="39">
        <v>0.70316633379770732</v>
      </c>
      <c r="K98" s="38">
        <v>21.637459285074332</v>
      </c>
      <c r="L98" s="27">
        <f t="shared" si="2"/>
        <v>19.094841996497994</v>
      </c>
      <c r="M98" s="74">
        <f t="shared" si="3"/>
        <v>18.969668654862012</v>
      </c>
    </row>
    <row r="99" spans="1:13" ht="18" x14ac:dyDescent="0.25">
      <c r="A99" s="62" t="s">
        <v>101</v>
      </c>
      <c r="B99" s="63">
        <v>412140</v>
      </c>
      <c r="C99" s="37">
        <v>6</v>
      </c>
      <c r="D99" s="39">
        <v>0</v>
      </c>
      <c r="E99" s="38">
        <v>0</v>
      </c>
      <c r="F99" s="6">
        <v>292</v>
      </c>
      <c r="G99" s="6">
        <v>2353</v>
      </c>
      <c r="H99" s="40">
        <v>0.12409689757756057</v>
      </c>
      <c r="I99" s="38">
        <v>16.14165209678999</v>
      </c>
      <c r="J99" s="39">
        <v>0.48712999875092922</v>
      </c>
      <c r="K99" s="38">
        <v>57.595146236432136</v>
      </c>
      <c r="L99" s="27">
        <f t="shared" si="2"/>
        <v>24.578932777740707</v>
      </c>
      <c r="M99" s="74">
        <f t="shared" si="3"/>
        <v>27.481442559309677</v>
      </c>
    </row>
    <row r="100" spans="1:13" ht="18" x14ac:dyDescent="0.25">
      <c r="A100" s="62" t="s">
        <v>88</v>
      </c>
      <c r="B100" s="63">
        <v>411940</v>
      </c>
      <c r="C100" s="37">
        <v>0</v>
      </c>
      <c r="D100" s="39">
        <v>3.0612244897959183E-2</v>
      </c>
      <c r="E100" s="38">
        <v>3.0612244897959182</v>
      </c>
      <c r="F100" s="6">
        <v>840</v>
      </c>
      <c r="G100" s="6">
        <v>3346</v>
      </c>
      <c r="H100" s="40">
        <v>0.2510460251046025</v>
      </c>
      <c r="I100" s="38">
        <v>37.976675707042098</v>
      </c>
      <c r="J100" s="39">
        <v>0.50834813735101758</v>
      </c>
      <c r="K100" s="38">
        <v>54.063540382688615</v>
      </c>
      <c r="L100" s="27">
        <f t="shared" si="2"/>
        <v>31.70048019317554</v>
      </c>
      <c r="M100" s="74">
        <f t="shared" si="3"/>
        <v>38.534688004719477</v>
      </c>
    </row>
    <row r="101" spans="1:13" ht="18" x14ac:dyDescent="0.25">
      <c r="A101" s="62" t="s">
        <v>114</v>
      </c>
      <c r="B101" s="63">
        <v>412630</v>
      </c>
      <c r="C101" s="37">
        <v>6</v>
      </c>
      <c r="D101" s="39">
        <v>2.6373626373626374E-2</v>
      </c>
      <c r="E101" s="38">
        <v>2.6373626373626373</v>
      </c>
      <c r="F101" s="6">
        <v>587</v>
      </c>
      <c r="G101" s="6">
        <v>2516</v>
      </c>
      <c r="H101" s="40">
        <v>0.23330683624801271</v>
      </c>
      <c r="I101" s="38">
        <v>34.925566849063927</v>
      </c>
      <c r="J101" s="39">
        <v>0.53197622823625135</v>
      </c>
      <c r="K101" s="38">
        <v>50.130815384713159</v>
      </c>
      <c r="L101" s="27">
        <f t="shared" si="2"/>
        <v>29.231248290379909</v>
      </c>
      <c r="M101" s="74">
        <f t="shared" si="3"/>
        <v>34.702230718247854</v>
      </c>
    </row>
    <row r="102" spans="1:13" ht="18" x14ac:dyDescent="0.25">
      <c r="A102" s="62" t="s">
        <v>117</v>
      </c>
      <c r="B102" s="63">
        <v>410760</v>
      </c>
      <c r="C102" s="37">
        <v>3</v>
      </c>
      <c r="D102" s="39">
        <v>0.1111111111111111</v>
      </c>
      <c r="E102" s="38">
        <v>11.111111111111111</v>
      </c>
      <c r="F102" s="6">
        <v>779</v>
      </c>
      <c r="G102" s="6">
        <v>2316</v>
      </c>
      <c r="H102" s="40">
        <v>0.33635578583765113</v>
      </c>
      <c r="I102" s="38">
        <v>52.649802463224702</v>
      </c>
      <c r="J102" s="39">
        <v>0.42372631306167913</v>
      </c>
      <c r="K102" s="38">
        <v>68.148231582388803</v>
      </c>
      <c r="L102" s="27">
        <f t="shared" si="2"/>
        <v>43.969715052241533</v>
      </c>
      <c r="M102" s="74">
        <f t="shared" si="3"/>
        <v>57.577580849989396</v>
      </c>
    </row>
    <row r="103" spans="1:13" ht="18" x14ac:dyDescent="0.25">
      <c r="A103" s="62" t="s">
        <v>111</v>
      </c>
      <c r="B103" s="63">
        <v>412760</v>
      </c>
      <c r="C103" s="37">
        <v>1</v>
      </c>
      <c r="D103" s="39">
        <v>2.9045643153526972E-2</v>
      </c>
      <c r="E103" s="38">
        <v>2.904564315352697</v>
      </c>
      <c r="F103" s="6">
        <v>818</v>
      </c>
      <c r="G103" s="6">
        <v>2495</v>
      </c>
      <c r="H103" s="40">
        <v>0.3278557114228457</v>
      </c>
      <c r="I103" s="38">
        <v>51.187804817776993</v>
      </c>
      <c r="J103" s="39">
        <v>0.41736271964028726</v>
      </c>
      <c r="K103" s="38">
        <v>69.207405725861392</v>
      </c>
      <c r="L103" s="27">
        <f t="shared" si="2"/>
        <v>41.099924952997029</v>
      </c>
      <c r="M103" s="74">
        <f t="shared" si="3"/>
        <v>53.123423278138183</v>
      </c>
    </row>
    <row r="104" spans="1:13" ht="18" x14ac:dyDescent="0.25">
      <c r="A104" s="62" t="s">
        <v>112</v>
      </c>
      <c r="B104" s="63">
        <v>412720</v>
      </c>
      <c r="C104" s="37">
        <v>5</v>
      </c>
      <c r="D104" s="39">
        <v>2.7586206896551724E-2</v>
      </c>
      <c r="E104" s="38">
        <v>2.7586206896551726</v>
      </c>
      <c r="F104" s="6">
        <v>269</v>
      </c>
      <c r="G104" s="6">
        <v>2268</v>
      </c>
      <c r="H104" s="40">
        <v>0.11860670194003527</v>
      </c>
      <c r="I104" s="38">
        <v>15.197348235034561</v>
      </c>
      <c r="J104" s="39">
        <v>0.49664509279761471</v>
      </c>
      <c r="K104" s="38">
        <v>56.01142758572756</v>
      </c>
      <c r="L104" s="27">
        <f t="shared" si="2"/>
        <v>24.655798836805769</v>
      </c>
      <c r="M104" s="74">
        <f t="shared" si="3"/>
        <v>27.60074520067468</v>
      </c>
    </row>
    <row r="105" spans="1:13" ht="18" x14ac:dyDescent="0.25">
      <c r="A105" s="62" t="s">
        <v>129</v>
      </c>
      <c r="B105" s="63">
        <v>410570</v>
      </c>
      <c r="C105" s="37">
        <v>6</v>
      </c>
      <c r="D105" s="39">
        <v>5.2631578947368418E-2</v>
      </c>
      <c r="E105" s="38">
        <v>5.2631578947368416</v>
      </c>
      <c r="F105" s="6">
        <v>631</v>
      </c>
      <c r="G105" s="6">
        <v>2205</v>
      </c>
      <c r="H105" s="40">
        <v>0.28616780045351475</v>
      </c>
      <c r="I105" s="38">
        <v>44.017558452093759</v>
      </c>
      <c r="J105" s="39">
        <v>0.4882965992546407</v>
      </c>
      <c r="K105" s="38">
        <v>57.40097401211316</v>
      </c>
      <c r="L105" s="27">
        <f t="shared" si="2"/>
        <v>35.560563452981249</v>
      </c>
      <c r="M105" s="74">
        <f t="shared" si="3"/>
        <v>44.525864531590216</v>
      </c>
    </row>
    <row r="106" spans="1:13" ht="18" x14ac:dyDescent="0.25">
      <c r="A106" s="62" t="s">
        <v>102</v>
      </c>
      <c r="B106" s="63">
        <v>412850</v>
      </c>
      <c r="C106" s="37">
        <v>0</v>
      </c>
      <c r="D106" s="39">
        <v>8.6092715231788075E-2</v>
      </c>
      <c r="E106" s="38">
        <v>8.6092715231788084</v>
      </c>
      <c r="F106" s="6">
        <v>648</v>
      </c>
      <c r="G106" s="6">
        <v>2637</v>
      </c>
      <c r="H106" s="40">
        <v>0.24573378839590443</v>
      </c>
      <c r="I106" s="38">
        <v>37.062980463780484</v>
      </c>
      <c r="J106" s="39">
        <v>0.49219719853492311</v>
      </c>
      <c r="K106" s="38">
        <v>56.751747446532342</v>
      </c>
      <c r="L106" s="27">
        <f t="shared" si="2"/>
        <v>34.14133314449721</v>
      </c>
      <c r="M106" s="74">
        <f t="shared" si="3"/>
        <v>42.323098752169933</v>
      </c>
    </row>
    <row r="107" spans="1:13" ht="18" x14ac:dyDescent="0.25">
      <c r="A107" s="62" t="s">
        <v>158</v>
      </c>
      <c r="B107" s="63">
        <v>412402</v>
      </c>
      <c r="C107" s="37">
        <v>0</v>
      </c>
      <c r="D107" s="39">
        <v>3.5714285714285712E-2</v>
      </c>
      <c r="E107" s="38">
        <v>3.5714285714285712</v>
      </c>
      <c r="F107" s="6">
        <v>491</v>
      </c>
      <c r="G107" s="6">
        <v>2063</v>
      </c>
      <c r="H107" s="40">
        <v>0.23800290838584587</v>
      </c>
      <c r="I107" s="38">
        <v>35.733282884632516</v>
      </c>
      <c r="J107" s="39">
        <v>0.54500221871454502</v>
      </c>
      <c r="K107" s="38">
        <v>47.962733391707516</v>
      </c>
      <c r="L107" s="27">
        <f t="shared" si="2"/>
        <v>29.089148282589534</v>
      </c>
      <c r="M107" s="74">
        <f t="shared" si="3"/>
        <v>34.481679457085498</v>
      </c>
    </row>
    <row r="108" spans="1:13" ht="18" x14ac:dyDescent="0.25">
      <c r="A108" s="62" t="s">
        <v>173</v>
      </c>
      <c r="B108" s="63">
        <v>411095</v>
      </c>
      <c r="C108" s="37">
        <v>3</v>
      </c>
      <c r="D108" s="39">
        <v>1.4492753623188406E-2</v>
      </c>
      <c r="E108" s="38">
        <v>1.4492753623188406</v>
      </c>
      <c r="F108" s="6">
        <v>235</v>
      </c>
      <c r="G108" s="6">
        <v>1662</v>
      </c>
      <c r="H108" s="40">
        <v>0.14139590854392298</v>
      </c>
      <c r="I108" s="38">
        <v>19.117051142396452</v>
      </c>
      <c r="J108" s="39">
        <v>0.63363945360379714</v>
      </c>
      <c r="K108" s="38">
        <v>33.20970611186786</v>
      </c>
      <c r="L108" s="27">
        <f t="shared" si="2"/>
        <v>17.925344205527718</v>
      </c>
      <c r="M108" s="74">
        <f t="shared" si="3"/>
        <v>17.154508918167384</v>
      </c>
    </row>
    <row r="109" spans="1:13" ht="18" x14ac:dyDescent="0.25">
      <c r="A109" s="62" t="s">
        <v>99</v>
      </c>
      <c r="B109" s="63">
        <v>410110</v>
      </c>
      <c r="C109" s="37">
        <v>1</v>
      </c>
      <c r="D109" s="39">
        <v>3.2467532467532464E-2</v>
      </c>
      <c r="E109" s="38">
        <v>3.2467532467532463</v>
      </c>
      <c r="F109" s="6">
        <v>673</v>
      </c>
      <c r="G109" s="6">
        <v>2283</v>
      </c>
      <c r="H109" s="40">
        <v>0.29478756022777047</v>
      </c>
      <c r="I109" s="38">
        <v>45.500141765992339</v>
      </c>
      <c r="J109" s="39">
        <v>0.48931614776209936</v>
      </c>
      <c r="K109" s="38">
        <v>57.231277530014509</v>
      </c>
      <c r="L109" s="27">
        <f t="shared" si="2"/>
        <v>35.326057514253364</v>
      </c>
      <c r="M109" s="74">
        <f t="shared" si="3"/>
        <v>44.161891430246023</v>
      </c>
    </row>
    <row r="110" spans="1:13" ht="18" x14ac:dyDescent="0.25">
      <c r="A110" s="62" t="s">
        <v>166</v>
      </c>
      <c r="B110" s="63">
        <v>411705</v>
      </c>
      <c r="C110" s="37">
        <v>7</v>
      </c>
      <c r="D110" s="39">
        <v>2.7272727272727271E-2</v>
      </c>
      <c r="E110" s="38">
        <v>2.7272727272727271</v>
      </c>
      <c r="F110" s="6">
        <v>807</v>
      </c>
      <c r="G110" s="6">
        <v>1974</v>
      </c>
      <c r="H110" s="40">
        <v>0.40881458966565348</v>
      </c>
      <c r="I110" s="38">
        <v>65.112587542374143</v>
      </c>
      <c r="J110" s="39">
        <v>0.4303585388980119</v>
      </c>
      <c r="K110" s="38">
        <v>67.044345514510823</v>
      </c>
      <c r="L110" s="27">
        <f t="shared" si="2"/>
        <v>44.96140192805256</v>
      </c>
      <c r="M110" s="74">
        <f t="shared" si="3"/>
        <v>59.116762969253799</v>
      </c>
    </row>
    <row r="111" spans="1:13" ht="18" x14ac:dyDescent="0.25">
      <c r="A111" s="62" t="s">
        <v>149</v>
      </c>
      <c r="B111" s="63">
        <v>411910</v>
      </c>
      <c r="C111" s="37">
        <v>3</v>
      </c>
      <c r="D111" s="39">
        <v>5.263157894736842E-3</v>
      </c>
      <c r="E111" s="38">
        <v>0.52631578947368418</v>
      </c>
      <c r="F111" s="6">
        <v>322</v>
      </c>
      <c r="G111" s="6">
        <v>2024</v>
      </c>
      <c r="H111" s="40">
        <v>0.15909090909090909</v>
      </c>
      <c r="I111" s="38">
        <v>22.160559689901543</v>
      </c>
      <c r="J111" s="39">
        <v>0.57188700929247072</v>
      </c>
      <c r="K111" s="38">
        <v>43.487954261870193</v>
      </c>
      <c r="L111" s="27">
        <f t="shared" si="2"/>
        <v>22.058276580415139</v>
      </c>
      <c r="M111" s="74">
        <f t="shared" si="3"/>
        <v>23.569170407312548</v>
      </c>
    </row>
    <row r="112" spans="1:13" ht="18" x14ac:dyDescent="0.25">
      <c r="A112" s="62" t="s">
        <v>92</v>
      </c>
      <c r="B112" s="63">
        <v>410360</v>
      </c>
      <c r="C112" s="37">
        <v>2</v>
      </c>
      <c r="D112" s="39">
        <v>3.7037037037037035E-2</v>
      </c>
      <c r="E112" s="38">
        <v>3.7037037037037033</v>
      </c>
      <c r="F112" s="6">
        <v>830</v>
      </c>
      <c r="G112" s="6">
        <v>2900</v>
      </c>
      <c r="H112" s="40">
        <v>0.28620689655172415</v>
      </c>
      <c r="I112" s="38">
        <v>44.024282911285404</v>
      </c>
      <c r="J112" s="39">
        <v>0.47022321969609876</v>
      </c>
      <c r="K112" s="38">
        <v>60.409157446526642</v>
      </c>
      <c r="L112" s="27">
        <f t="shared" si="2"/>
        <v>36.045714687171916</v>
      </c>
      <c r="M112" s="74">
        <f t="shared" si="3"/>
        <v>45.278860384434019</v>
      </c>
    </row>
    <row r="113" spans="1:13" ht="18" x14ac:dyDescent="0.25">
      <c r="A113" s="62" t="s">
        <v>125</v>
      </c>
      <c r="B113" s="63">
        <v>410290</v>
      </c>
      <c r="C113" s="37">
        <v>1</v>
      </c>
      <c r="D113" s="39">
        <v>5.5900621118012424E-2</v>
      </c>
      <c r="E113" s="38">
        <v>5.5900621118012426</v>
      </c>
      <c r="F113" s="6">
        <v>703</v>
      </c>
      <c r="G113" s="6">
        <v>2346</v>
      </c>
      <c r="H113" s="40">
        <v>0.29965899403239554</v>
      </c>
      <c r="I113" s="38">
        <v>46.33801969561506</v>
      </c>
      <c r="J113" s="39">
        <v>0.47806034479726528</v>
      </c>
      <c r="K113" s="38">
        <v>59.104724602276839</v>
      </c>
      <c r="L113" s="27">
        <f t="shared" si="2"/>
        <v>37.01093546989771</v>
      </c>
      <c r="M113" s="74">
        <f t="shared" si="3"/>
        <v>46.776964883093363</v>
      </c>
    </row>
    <row r="114" spans="1:13" ht="18" x14ac:dyDescent="0.25">
      <c r="A114" s="62" t="s">
        <v>156</v>
      </c>
      <c r="B114" s="63">
        <v>411800</v>
      </c>
      <c r="C114" s="37">
        <v>6</v>
      </c>
      <c r="D114" s="39">
        <v>7.0921985815602835E-3</v>
      </c>
      <c r="E114" s="38">
        <v>0.70921985815602839</v>
      </c>
      <c r="F114" s="6">
        <v>190</v>
      </c>
      <c r="G114" s="6">
        <v>1798</v>
      </c>
      <c r="H114" s="40">
        <v>0.10567296996662959</v>
      </c>
      <c r="I114" s="38">
        <v>12.972769393814652</v>
      </c>
      <c r="J114" s="39">
        <v>0.57743655966730223</v>
      </c>
      <c r="K114" s="38">
        <v>42.564271701453798</v>
      </c>
      <c r="L114" s="27">
        <f t="shared" si="2"/>
        <v>18.748753651141492</v>
      </c>
      <c r="M114" s="74">
        <f t="shared" si="3"/>
        <v>18.432510197034404</v>
      </c>
    </row>
    <row r="115" spans="1:13" ht="18" x14ac:dyDescent="0.25">
      <c r="A115" s="62" t="s">
        <v>138</v>
      </c>
      <c r="B115" s="63">
        <v>411450</v>
      </c>
      <c r="C115" s="37">
        <v>0</v>
      </c>
      <c r="D115" s="39">
        <v>3.8461538461538464E-2</v>
      </c>
      <c r="E115" s="38">
        <v>3.8461538461538463</v>
      </c>
      <c r="F115" s="6">
        <v>600</v>
      </c>
      <c r="G115" s="6">
        <v>2085</v>
      </c>
      <c r="H115" s="40">
        <v>0.28776978417266186</v>
      </c>
      <c r="I115" s="38">
        <v>44.293096795776862</v>
      </c>
      <c r="J115" s="39">
        <v>0.4674241476668809</v>
      </c>
      <c r="K115" s="38">
        <v>60.875042760490729</v>
      </c>
      <c r="L115" s="27">
        <f t="shared" si="2"/>
        <v>36.338097800807141</v>
      </c>
      <c r="M115" s="74">
        <f t="shared" si="3"/>
        <v>45.732663768807882</v>
      </c>
    </row>
    <row r="116" spans="1:13" ht="18" x14ac:dyDescent="0.25">
      <c r="A116" s="62" t="s">
        <v>100</v>
      </c>
      <c r="B116" s="63">
        <v>410100</v>
      </c>
      <c r="C116" s="37">
        <v>2</v>
      </c>
      <c r="D116" s="39">
        <v>9.9750623441396506E-3</v>
      </c>
      <c r="E116" s="38">
        <v>0.99750623441396502</v>
      </c>
      <c r="F116" s="6">
        <v>277</v>
      </c>
      <c r="G116" s="6">
        <v>2663</v>
      </c>
      <c r="H116" s="40">
        <v>0.10401802478407811</v>
      </c>
      <c r="I116" s="38">
        <v>12.688121772845479</v>
      </c>
      <c r="J116" s="39">
        <v>0.51480443624980776</v>
      </c>
      <c r="K116" s="38">
        <v>52.988936082366514</v>
      </c>
      <c r="L116" s="27">
        <f t="shared" si="2"/>
        <v>22.224854696541986</v>
      </c>
      <c r="M116" s="74">
        <f t="shared" si="3"/>
        <v>23.827713768182885</v>
      </c>
    </row>
    <row r="117" spans="1:13" ht="18" x14ac:dyDescent="0.25">
      <c r="A117" s="62" t="s">
        <v>95</v>
      </c>
      <c r="B117" s="63">
        <v>411210</v>
      </c>
      <c r="C117" s="37">
        <v>8</v>
      </c>
      <c r="D117" s="39">
        <v>1.6393442622950821E-2</v>
      </c>
      <c r="E117" s="38">
        <v>1.639344262295082</v>
      </c>
      <c r="F117" s="6">
        <v>531</v>
      </c>
      <c r="G117" s="6">
        <v>2443</v>
      </c>
      <c r="H117" s="40">
        <v>0.21735571019238642</v>
      </c>
      <c r="I117" s="38">
        <v>32.182001605100226</v>
      </c>
      <c r="J117" s="39">
        <v>0.52460736895194537</v>
      </c>
      <c r="K117" s="38">
        <v>51.357308767302278</v>
      </c>
      <c r="L117" s="27">
        <f t="shared" si="2"/>
        <v>28.392884878232525</v>
      </c>
      <c r="M117" s="74">
        <f t="shared" si="3"/>
        <v>33.40101961533049</v>
      </c>
    </row>
    <row r="118" spans="1:13" ht="18" x14ac:dyDescent="0.25">
      <c r="A118" s="62" t="s">
        <v>144</v>
      </c>
      <c r="B118" s="63">
        <v>410060</v>
      </c>
      <c r="C118" s="37">
        <v>8</v>
      </c>
      <c r="D118" s="39">
        <v>8.6206896551724137E-3</v>
      </c>
      <c r="E118" s="38">
        <v>0.86206896551724133</v>
      </c>
      <c r="F118" s="6">
        <v>562</v>
      </c>
      <c r="G118" s="6">
        <v>1897</v>
      </c>
      <c r="H118" s="40">
        <v>0.29625724828676858</v>
      </c>
      <c r="I118" s="38">
        <v>45.752925491985991</v>
      </c>
      <c r="J118" s="39">
        <v>0.40340381531492064</v>
      </c>
      <c r="K118" s="38">
        <v>71.530764487741919</v>
      </c>
      <c r="L118" s="27">
        <f t="shared" si="2"/>
        <v>39.38191964841505</v>
      </c>
      <c r="M118" s="74">
        <f t="shared" si="3"/>
        <v>50.456933370775658</v>
      </c>
    </row>
    <row r="119" spans="1:13" ht="18" x14ac:dyDescent="0.25">
      <c r="A119" s="62" t="s">
        <v>122</v>
      </c>
      <c r="B119" s="63">
        <v>412680</v>
      </c>
      <c r="C119" s="37">
        <v>1</v>
      </c>
      <c r="D119" s="39">
        <v>2.9585798816568046E-2</v>
      </c>
      <c r="E119" s="38">
        <v>2.9585798816568047</v>
      </c>
      <c r="F119" s="6">
        <v>339</v>
      </c>
      <c r="G119" s="6">
        <v>2073</v>
      </c>
      <c r="H119" s="40">
        <v>0.16353111432706222</v>
      </c>
      <c r="I119" s="38">
        <v>22.924267074539664</v>
      </c>
      <c r="J119" s="39">
        <v>0.54160416520597876</v>
      </c>
      <c r="K119" s="38">
        <v>48.528314844839151</v>
      </c>
      <c r="L119" s="27">
        <f t="shared" si="2"/>
        <v>24.803720600345205</v>
      </c>
      <c r="M119" s="74">
        <f t="shared" si="3"/>
        <v>27.83033232040313</v>
      </c>
    </row>
    <row r="120" spans="1:13" ht="18" x14ac:dyDescent="0.25">
      <c r="A120" s="62" t="s">
        <v>146</v>
      </c>
      <c r="B120" s="63">
        <v>411670</v>
      </c>
      <c r="C120" s="37">
        <v>3</v>
      </c>
      <c r="D120" s="39">
        <v>1.8181818181818181E-2</v>
      </c>
      <c r="E120" s="38">
        <v>1.8181818181818181</v>
      </c>
      <c r="F120" s="6">
        <v>259</v>
      </c>
      <c r="G120" s="6">
        <v>1861</v>
      </c>
      <c r="H120" s="40">
        <v>0.13917248790972594</v>
      </c>
      <c r="I120" s="38">
        <v>18.734626757220017</v>
      </c>
      <c r="J120" s="39">
        <v>0.51201707028725119</v>
      </c>
      <c r="K120" s="38">
        <v>53.452873006119539</v>
      </c>
      <c r="L120" s="27">
        <f t="shared" si="2"/>
        <v>24.668560527173792</v>
      </c>
      <c r="M120" s="74">
        <f t="shared" si="3"/>
        <v>27.620552426226585</v>
      </c>
    </row>
    <row r="121" spans="1:13" ht="18" x14ac:dyDescent="0.25">
      <c r="A121" s="62" t="s">
        <v>133</v>
      </c>
      <c r="B121" s="63">
        <v>410460</v>
      </c>
      <c r="C121" s="37">
        <v>0</v>
      </c>
      <c r="D121" s="39">
        <v>0</v>
      </c>
      <c r="E121" s="38">
        <v>0</v>
      </c>
      <c r="F121" s="6">
        <v>554</v>
      </c>
      <c r="G121" s="6">
        <v>1955</v>
      </c>
      <c r="H121" s="40">
        <v>0.28337595907928387</v>
      </c>
      <c r="I121" s="38">
        <v>43.537366713009732</v>
      </c>
      <c r="J121" s="39">
        <v>0.45148052932690608</v>
      </c>
      <c r="K121" s="38">
        <v>63.528742829123196</v>
      </c>
      <c r="L121" s="27">
        <f t="shared" si="2"/>
        <v>35.688703180710974</v>
      </c>
      <c r="M121" s="74">
        <f t="shared" si="3"/>
        <v>44.724748254365814</v>
      </c>
    </row>
    <row r="122" spans="1:13" ht="18" x14ac:dyDescent="0.25">
      <c r="A122" s="62" t="s">
        <v>93</v>
      </c>
      <c r="B122" s="63">
        <v>410590</v>
      </c>
      <c r="C122" s="37">
        <v>4</v>
      </c>
      <c r="D122" s="39">
        <v>0</v>
      </c>
      <c r="E122" s="38">
        <v>0</v>
      </c>
      <c r="F122" s="6">
        <v>340</v>
      </c>
      <c r="G122" s="6">
        <v>2591</v>
      </c>
      <c r="H122" s="40">
        <v>0.13122346584330374</v>
      </c>
      <c r="I122" s="38">
        <v>17.367409133280287</v>
      </c>
      <c r="J122" s="39">
        <v>0.532216889610719</v>
      </c>
      <c r="K122" s="38">
        <v>50.090759037883728</v>
      </c>
      <c r="L122" s="27">
        <f t="shared" si="2"/>
        <v>22.486056057054672</v>
      </c>
      <c r="M122" s="74">
        <f t="shared" si="3"/>
        <v>24.233120427719314</v>
      </c>
    </row>
    <row r="123" spans="1:13" ht="18" x14ac:dyDescent="0.25">
      <c r="A123" s="62" t="s">
        <v>124</v>
      </c>
      <c r="B123" s="63">
        <v>410390</v>
      </c>
      <c r="C123" s="37">
        <v>9</v>
      </c>
      <c r="D123" s="39">
        <v>5.6701030927835051E-2</v>
      </c>
      <c r="E123" s="38">
        <v>5.6701030927835054</v>
      </c>
      <c r="F123" s="6">
        <v>617</v>
      </c>
      <c r="G123" s="6">
        <v>2063</v>
      </c>
      <c r="H123" s="40">
        <v>0.29907901114881241</v>
      </c>
      <c r="I123" s="38">
        <v>46.238263673629938</v>
      </c>
      <c r="J123" s="39">
        <v>0.3936425382805292</v>
      </c>
      <c r="K123" s="38">
        <v>73.155458517901835</v>
      </c>
      <c r="L123" s="27">
        <f t="shared" si="2"/>
        <v>41.687941761438424</v>
      </c>
      <c r="M123" s="74">
        <f t="shared" si="3"/>
        <v>54.036075224489423</v>
      </c>
    </row>
    <row r="124" spans="1:13" ht="18" x14ac:dyDescent="0.25">
      <c r="A124" s="62" t="s">
        <v>168</v>
      </c>
      <c r="B124" s="63">
        <v>411280</v>
      </c>
      <c r="C124" s="37">
        <v>1</v>
      </c>
      <c r="D124" s="39">
        <v>4.3478260869565216E-2</v>
      </c>
      <c r="E124" s="38">
        <v>4.3478260869565215</v>
      </c>
      <c r="F124" s="6">
        <v>295</v>
      </c>
      <c r="G124" s="6">
        <v>1668</v>
      </c>
      <c r="H124" s="40">
        <v>0.17685851318944845</v>
      </c>
      <c r="I124" s="38">
        <v>25.216555918836463</v>
      </c>
      <c r="J124" s="39">
        <v>0.6472846067094199</v>
      </c>
      <c r="K124" s="38">
        <v>30.938568973436531</v>
      </c>
      <c r="L124" s="27">
        <f t="shared" si="2"/>
        <v>20.167650326409838</v>
      </c>
      <c r="M124" s="74">
        <f t="shared" si="3"/>
        <v>20.634758149414196</v>
      </c>
    </row>
    <row r="125" spans="1:13" ht="18" x14ac:dyDescent="0.25">
      <c r="A125" s="62" t="s">
        <v>127</v>
      </c>
      <c r="B125" s="63">
        <v>412300</v>
      </c>
      <c r="C125" s="37">
        <v>6</v>
      </c>
      <c r="D125" s="39">
        <v>1.2779552715654952E-2</v>
      </c>
      <c r="E125" s="38">
        <v>1.2779552715654952</v>
      </c>
      <c r="F125" s="6">
        <v>350</v>
      </c>
      <c r="G125" s="6">
        <v>2019</v>
      </c>
      <c r="H125" s="40">
        <v>0.1733531451213472</v>
      </c>
      <c r="I125" s="38">
        <v>24.613638860479284</v>
      </c>
      <c r="J125" s="39">
        <v>0.39554786497812766</v>
      </c>
      <c r="K125" s="38">
        <v>72.838330656435943</v>
      </c>
      <c r="L125" s="27">
        <f t="shared" si="2"/>
        <v>32.909974929493572</v>
      </c>
      <c r="M125" s="74">
        <f t="shared" si="3"/>
        <v>40.411926392050802</v>
      </c>
    </row>
    <row r="126" spans="1:13" ht="18" x14ac:dyDescent="0.25">
      <c r="A126" s="62" t="s">
        <v>155</v>
      </c>
      <c r="B126" s="63">
        <v>410310</v>
      </c>
      <c r="C126" s="37">
        <v>7</v>
      </c>
      <c r="D126" s="39">
        <v>6.0606060606060608E-2</v>
      </c>
      <c r="E126" s="38">
        <v>6.0606060606060606</v>
      </c>
      <c r="F126" s="6">
        <v>770</v>
      </c>
      <c r="G126" s="6">
        <v>1997</v>
      </c>
      <c r="H126" s="40">
        <v>0.38557836755132702</v>
      </c>
      <c r="I126" s="38">
        <v>61.115998764154256</v>
      </c>
      <c r="J126" s="39">
        <v>0.47582947628728195</v>
      </c>
      <c r="K126" s="38">
        <v>59.476036546141522</v>
      </c>
      <c r="L126" s="27">
        <f t="shared" si="2"/>
        <v>42.217547123633949</v>
      </c>
      <c r="M126" s="74">
        <f t="shared" si="3"/>
        <v>54.858067653391188</v>
      </c>
    </row>
    <row r="127" spans="1:13" ht="18" x14ac:dyDescent="0.25">
      <c r="A127" s="62" t="s">
        <v>139</v>
      </c>
      <c r="B127" s="63">
        <v>412796</v>
      </c>
      <c r="C127" s="37">
        <v>5</v>
      </c>
      <c r="D127" s="39">
        <v>3.111111111111111E-2</v>
      </c>
      <c r="E127" s="38">
        <v>3.1111111111111112</v>
      </c>
      <c r="F127" s="6">
        <v>474</v>
      </c>
      <c r="G127" s="6">
        <v>2030</v>
      </c>
      <c r="H127" s="40">
        <v>0.23349753694581279</v>
      </c>
      <c r="I127" s="38">
        <v>34.958367029105098</v>
      </c>
      <c r="J127" s="39">
        <v>0.47992488139153033</v>
      </c>
      <c r="K127" s="38">
        <v>58.794385958773113</v>
      </c>
      <c r="L127" s="27">
        <f t="shared" si="2"/>
        <v>32.287954699663111</v>
      </c>
      <c r="M127" s="74">
        <f t="shared" si="3"/>
        <v>39.446498252455036</v>
      </c>
    </row>
    <row r="128" spans="1:13" ht="18" x14ac:dyDescent="0.25">
      <c r="A128" s="62" t="s">
        <v>123</v>
      </c>
      <c r="B128" s="63">
        <v>411060</v>
      </c>
      <c r="C128" s="37">
        <v>7</v>
      </c>
      <c r="D128" s="39">
        <v>0</v>
      </c>
      <c r="E128" s="38">
        <v>0</v>
      </c>
      <c r="F128" s="6">
        <v>441</v>
      </c>
      <c r="G128" s="6">
        <v>2080</v>
      </c>
      <c r="H128" s="40">
        <v>0.21201923076923077</v>
      </c>
      <c r="I128" s="38">
        <v>31.264136658171722</v>
      </c>
      <c r="J128" s="39">
        <v>0.48403769606030445</v>
      </c>
      <c r="K128" s="38">
        <v>58.10983767518595</v>
      </c>
      <c r="L128" s="27">
        <f t="shared" si="2"/>
        <v>29.791324777785889</v>
      </c>
      <c r="M128" s="74">
        <f t="shared" si="3"/>
        <v>35.571516917211298</v>
      </c>
    </row>
    <row r="129" spans="1:13" ht="18" x14ac:dyDescent="0.25">
      <c r="A129" s="62" t="s">
        <v>115</v>
      </c>
      <c r="B129" s="63">
        <v>410470</v>
      </c>
      <c r="C129" s="37">
        <v>9</v>
      </c>
      <c r="D129" s="39">
        <v>5.0632911392405063E-2</v>
      </c>
      <c r="E129" s="38">
        <v>5.0632911392405067</v>
      </c>
      <c r="F129" s="6">
        <v>554</v>
      </c>
      <c r="G129" s="6">
        <v>2248</v>
      </c>
      <c r="H129" s="40">
        <v>0.24644128113879005</v>
      </c>
      <c r="I129" s="38">
        <v>37.184667954241569</v>
      </c>
      <c r="J129" s="39">
        <v>0.42647170013372682</v>
      </c>
      <c r="K129" s="38">
        <v>67.69128174163346</v>
      </c>
      <c r="L129" s="27">
        <f t="shared" si="2"/>
        <v>36.646413611705178</v>
      </c>
      <c r="M129" s="74">
        <f t="shared" si="3"/>
        <v>46.211196050313234</v>
      </c>
    </row>
    <row r="130" spans="1:13" ht="18" x14ac:dyDescent="0.25">
      <c r="A130" s="62" t="s">
        <v>108</v>
      </c>
      <c r="B130" s="63">
        <v>411620</v>
      </c>
      <c r="C130" s="37">
        <v>8</v>
      </c>
      <c r="D130" s="39">
        <v>3.0303030303030304E-2</v>
      </c>
      <c r="E130" s="38">
        <v>3.0303030303030303</v>
      </c>
      <c r="F130" s="6">
        <v>716</v>
      </c>
      <c r="G130" s="6">
        <v>2419</v>
      </c>
      <c r="H130" s="40">
        <v>0.29599007854485326</v>
      </c>
      <c r="I130" s="38">
        <v>45.70697277268571</v>
      </c>
      <c r="J130" s="39">
        <v>0.39175501706334803</v>
      </c>
      <c r="K130" s="38">
        <v>73.469622785809591</v>
      </c>
      <c r="L130" s="27">
        <f t="shared" si="2"/>
        <v>40.735632862932782</v>
      </c>
      <c r="M130" s="74">
        <f t="shared" si="3"/>
        <v>52.558011064975865</v>
      </c>
    </row>
    <row r="131" spans="1:13" ht="18" x14ac:dyDescent="0.25">
      <c r="A131" s="62" t="s">
        <v>154</v>
      </c>
      <c r="B131" s="63">
        <v>411880</v>
      </c>
      <c r="C131" s="37">
        <v>8</v>
      </c>
      <c r="D131" s="39">
        <v>5.5555555555555552E-2</v>
      </c>
      <c r="E131" s="38">
        <v>5.5555555555555554</v>
      </c>
      <c r="F131" s="6">
        <v>448</v>
      </c>
      <c r="G131" s="6">
        <v>1765</v>
      </c>
      <c r="H131" s="40">
        <v>0.25382436260623231</v>
      </c>
      <c r="I131" s="38">
        <v>38.454544804113397</v>
      </c>
      <c r="J131" s="39">
        <v>0.43350541213799232</v>
      </c>
      <c r="K131" s="38">
        <v>66.520571202128025</v>
      </c>
      <c r="L131" s="27">
        <f t="shared" ref="L131:L194" si="4">(K131+I131+E131)/3</f>
        <v>36.84355718726566</v>
      </c>
      <c r="M131" s="74">
        <f t="shared" ref="M131:M194" si="5">(L131-L$402)/(L$403-L$402)*100</f>
        <v>46.51717959595851</v>
      </c>
    </row>
    <row r="132" spans="1:13" ht="18" x14ac:dyDescent="0.25">
      <c r="A132" s="62" t="s">
        <v>121</v>
      </c>
      <c r="B132" s="63">
        <v>411540</v>
      </c>
      <c r="C132" s="37">
        <v>8</v>
      </c>
      <c r="D132" s="39">
        <v>4.1825095057034217E-2</v>
      </c>
      <c r="E132" s="38">
        <v>4.1825095057034218</v>
      </c>
      <c r="F132" s="6">
        <v>543</v>
      </c>
      <c r="G132" s="6">
        <v>2199</v>
      </c>
      <c r="H132" s="40">
        <v>0.24693042291950887</v>
      </c>
      <c r="I132" s="38">
        <v>37.268799468485192</v>
      </c>
      <c r="J132" s="39">
        <v>0.52409164742579906</v>
      </c>
      <c r="K132" s="38">
        <v>51.443146888872107</v>
      </c>
      <c r="L132" s="27">
        <f t="shared" si="4"/>
        <v>30.964818621020243</v>
      </c>
      <c r="M132" s="74">
        <f t="shared" si="5"/>
        <v>37.392878865856638</v>
      </c>
    </row>
    <row r="133" spans="1:13" ht="18" x14ac:dyDescent="0.25">
      <c r="A133" s="62" t="s">
        <v>161</v>
      </c>
      <c r="B133" s="63">
        <v>411710</v>
      </c>
      <c r="C133" s="37">
        <v>7</v>
      </c>
      <c r="D133" s="39">
        <v>3.2786885245901641E-2</v>
      </c>
      <c r="E133" s="38">
        <v>3.278688524590164</v>
      </c>
      <c r="F133" s="6">
        <v>362</v>
      </c>
      <c r="G133" s="6">
        <v>1699</v>
      </c>
      <c r="H133" s="40">
        <v>0.21306650971159505</v>
      </c>
      <c r="I133" s="38">
        <v>31.444266769173652</v>
      </c>
      <c r="J133" s="39">
        <v>0.51751916706353551</v>
      </c>
      <c r="K133" s="38">
        <v>52.537088754295105</v>
      </c>
      <c r="L133" s="27">
        <f t="shared" si="4"/>
        <v>29.086681349352972</v>
      </c>
      <c r="M133" s="74">
        <f t="shared" si="5"/>
        <v>34.477850567523937</v>
      </c>
    </row>
    <row r="134" spans="1:13" ht="18" x14ac:dyDescent="0.25">
      <c r="A134" s="62" t="s">
        <v>147</v>
      </c>
      <c r="B134" s="63">
        <v>410930</v>
      </c>
      <c r="C134" s="37">
        <v>2</v>
      </c>
      <c r="D134" s="39">
        <v>1.9801980198019802E-2</v>
      </c>
      <c r="E134" s="38">
        <v>1.9801980198019802</v>
      </c>
      <c r="F134" s="6">
        <v>300</v>
      </c>
      <c r="G134" s="6">
        <v>1810</v>
      </c>
      <c r="H134" s="40">
        <v>0.16574585635359115</v>
      </c>
      <c r="I134" s="38">
        <v>23.305198754669377</v>
      </c>
      <c r="J134" s="39">
        <v>0.47725146105970506</v>
      </c>
      <c r="K134" s="38">
        <v>59.239357455629658</v>
      </c>
      <c r="L134" s="27">
        <f t="shared" si="4"/>
        <v>28.174918076700337</v>
      </c>
      <c r="M134" s="74">
        <f t="shared" si="5"/>
        <v>33.06271665731542</v>
      </c>
    </row>
    <row r="135" spans="1:13" ht="18" x14ac:dyDescent="0.25">
      <c r="A135" s="62" t="s">
        <v>137</v>
      </c>
      <c r="B135" s="63">
        <v>411007</v>
      </c>
      <c r="C135" s="37">
        <v>8</v>
      </c>
      <c r="D135" s="39">
        <v>4.2857142857142858E-2</v>
      </c>
      <c r="E135" s="38">
        <v>4.2857142857142856</v>
      </c>
      <c r="F135" s="6">
        <v>542</v>
      </c>
      <c r="G135" s="6">
        <v>2355</v>
      </c>
      <c r="H135" s="40">
        <v>0.23014861995753716</v>
      </c>
      <c r="I135" s="38">
        <v>34.382359277557555</v>
      </c>
      <c r="J135" s="39">
        <v>0.41689558832320456</v>
      </c>
      <c r="K135" s="38">
        <v>69.285156358231632</v>
      </c>
      <c r="L135" s="27">
        <f t="shared" si="4"/>
        <v>35.984409973834495</v>
      </c>
      <c r="M135" s="74">
        <f t="shared" si="5"/>
        <v>45.183710271129932</v>
      </c>
    </row>
    <row r="136" spans="1:13" ht="18" x14ac:dyDescent="0.25">
      <c r="A136" s="62" t="s">
        <v>162</v>
      </c>
      <c r="B136" s="63">
        <v>411725</v>
      </c>
      <c r="C136" s="37">
        <v>5</v>
      </c>
      <c r="D136" s="39">
        <v>0</v>
      </c>
      <c r="E136" s="38">
        <v>0</v>
      </c>
      <c r="F136" s="6">
        <v>252</v>
      </c>
      <c r="G136" s="6">
        <v>1746</v>
      </c>
      <c r="H136" s="40">
        <v>0.14432989690721648</v>
      </c>
      <c r="I136" s="38">
        <v>19.621691910180161</v>
      </c>
      <c r="J136" s="39">
        <v>0.45106315701486882</v>
      </c>
      <c r="K136" s="38">
        <v>63.598211434648043</v>
      </c>
      <c r="L136" s="27">
        <f t="shared" si="4"/>
        <v>27.739967781609398</v>
      </c>
      <c r="M136" s="74">
        <f t="shared" si="5"/>
        <v>32.387636918637583</v>
      </c>
    </row>
    <row r="137" spans="1:13" ht="18" x14ac:dyDescent="0.25">
      <c r="A137" s="62" t="s">
        <v>103</v>
      </c>
      <c r="B137" s="63">
        <v>410620</v>
      </c>
      <c r="C137" s="37">
        <v>9</v>
      </c>
      <c r="D137" s="39">
        <v>3.5211267605633804E-2</v>
      </c>
      <c r="E137" s="38">
        <v>3.5211267605633805</v>
      </c>
      <c r="F137" s="6">
        <v>545</v>
      </c>
      <c r="G137" s="6">
        <v>2623</v>
      </c>
      <c r="H137" s="40">
        <v>0.20777735417460921</v>
      </c>
      <c r="I137" s="38">
        <v>30.534541446297521</v>
      </c>
      <c r="J137" s="39">
        <v>0.4582118165841374</v>
      </c>
      <c r="K137" s="38">
        <v>62.408368703526321</v>
      </c>
      <c r="L137" s="27">
        <f t="shared" si="4"/>
        <v>32.154678970129076</v>
      </c>
      <c r="M137" s="74">
        <f t="shared" si="5"/>
        <v>39.239643019382662</v>
      </c>
    </row>
    <row r="138" spans="1:13" ht="18" x14ac:dyDescent="0.25">
      <c r="A138" s="62" t="s">
        <v>143</v>
      </c>
      <c r="B138" s="63">
        <v>412215</v>
      </c>
      <c r="C138" s="37">
        <v>6</v>
      </c>
      <c r="D138" s="39">
        <v>3.6900369003690037E-2</v>
      </c>
      <c r="E138" s="38">
        <v>3.6900369003690034</v>
      </c>
      <c r="F138" s="6">
        <v>886</v>
      </c>
      <c r="G138" s="6">
        <v>2069</v>
      </c>
      <c r="H138" s="40">
        <v>0.42822619623006281</v>
      </c>
      <c r="I138" s="38">
        <v>68.451349264517646</v>
      </c>
      <c r="J138" s="39">
        <v>0.41390472969544306</v>
      </c>
      <c r="K138" s="38">
        <v>69.782963165727836</v>
      </c>
      <c r="L138" s="27">
        <f t="shared" si="4"/>
        <v>47.308116443538161</v>
      </c>
      <c r="M138" s="74">
        <f t="shared" si="5"/>
        <v>62.759062882015741</v>
      </c>
    </row>
    <row r="139" spans="1:13" ht="18" x14ac:dyDescent="0.25">
      <c r="A139" s="62" t="s">
        <v>193</v>
      </c>
      <c r="B139" s="63">
        <v>410790</v>
      </c>
      <c r="C139" s="37">
        <v>0</v>
      </c>
      <c r="D139" s="39">
        <v>3.125E-2</v>
      </c>
      <c r="E139" s="38">
        <v>3.125</v>
      </c>
      <c r="F139" s="6">
        <v>162</v>
      </c>
      <c r="G139" s="6">
        <v>1533</v>
      </c>
      <c r="H139" s="40">
        <v>0.10567514677103718</v>
      </c>
      <c r="I139" s="38">
        <v>12.973143800291956</v>
      </c>
      <c r="J139" s="39">
        <v>0.43777256512818424</v>
      </c>
      <c r="K139" s="38">
        <v>65.81033442014575</v>
      </c>
      <c r="L139" s="27">
        <f t="shared" si="4"/>
        <v>27.302826073479235</v>
      </c>
      <c r="M139" s="74">
        <f t="shared" si="5"/>
        <v>31.709155921106603</v>
      </c>
    </row>
    <row r="140" spans="1:13" ht="18" x14ac:dyDescent="0.25">
      <c r="A140" s="62" t="s">
        <v>131</v>
      </c>
      <c r="B140" s="63">
        <v>412730</v>
      </c>
      <c r="C140" s="37">
        <v>4</v>
      </c>
      <c r="D140" s="39">
        <v>3.9735099337748346E-2</v>
      </c>
      <c r="E140" s="38">
        <v>3.9735099337748347</v>
      </c>
      <c r="F140" s="6">
        <v>432</v>
      </c>
      <c r="G140" s="6">
        <v>1865</v>
      </c>
      <c r="H140" s="40">
        <v>0.23163538873994638</v>
      </c>
      <c r="I140" s="38">
        <v>34.638080857526475</v>
      </c>
      <c r="J140" s="39">
        <v>0.42539426575617501</v>
      </c>
      <c r="K140" s="38">
        <v>67.870612908542256</v>
      </c>
      <c r="L140" s="27">
        <f t="shared" si="4"/>
        <v>35.494067899947858</v>
      </c>
      <c r="M140" s="74">
        <f t="shared" si="5"/>
        <v>44.422657794931638</v>
      </c>
    </row>
    <row r="141" spans="1:13" ht="18" x14ac:dyDescent="0.25">
      <c r="A141" s="62" t="s">
        <v>128</v>
      </c>
      <c r="B141" s="63">
        <v>411190</v>
      </c>
      <c r="C141" s="37">
        <v>2</v>
      </c>
      <c r="D141" s="39">
        <v>0</v>
      </c>
      <c r="E141" s="38">
        <v>0</v>
      </c>
      <c r="F141" s="6">
        <v>368</v>
      </c>
      <c r="G141" s="6">
        <v>2126</v>
      </c>
      <c r="H141" s="40">
        <v>0.17309501411100658</v>
      </c>
      <c r="I141" s="38">
        <v>24.569240786895634</v>
      </c>
      <c r="J141" s="39">
        <v>0.68587741211117326</v>
      </c>
      <c r="K141" s="38">
        <v>24.515075374961821</v>
      </c>
      <c r="L141" s="27">
        <f t="shared" si="4"/>
        <v>16.361438720619152</v>
      </c>
      <c r="M141" s="74">
        <f t="shared" si="5"/>
        <v>14.72719499750853</v>
      </c>
    </row>
    <row r="142" spans="1:13" ht="18" x14ac:dyDescent="0.25">
      <c r="A142" s="62" t="s">
        <v>163</v>
      </c>
      <c r="B142" s="63">
        <v>410750</v>
      </c>
      <c r="C142" s="37">
        <v>4</v>
      </c>
      <c r="D142" s="39">
        <v>1.3888888888888888E-2</v>
      </c>
      <c r="E142" s="38">
        <v>1.3888888888888888</v>
      </c>
      <c r="F142" s="6">
        <v>427</v>
      </c>
      <c r="G142" s="6">
        <v>1398</v>
      </c>
      <c r="H142" s="40">
        <v>0.3054363376251788</v>
      </c>
      <c r="I142" s="38">
        <v>47.331712493748626</v>
      </c>
      <c r="J142" s="39">
        <v>0.43922318534822241</v>
      </c>
      <c r="K142" s="38">
        <v>65.568889166289964</v>
      </c>
      <c r="L142" s="27">
        <f t="shared" si="4"/>
        <v>38.096496849642492</v>
      </c>
      <c r="M142" s="74">
        <f t="shared" si="5"/>
        <v>48.461848192354338</v>
      </c>
    </row>
    <row r="143" spans="1:13" ht="18" x14ac:dyDescent="0.25">
      <c r="A143" s="62" t="s">
        <v>107</v>
      </c>
      <c r="B143" s="63">
        <v>412120</v>
      </c>
      <c r="C143" s="37">
        <v>8</v>
      </c>
      <c r="D143" s="39">
        <v>2.7522935779816515E-2</v>
      </c>
      <c r="E143" s="38">
        <v>2.7522935779816518</v>
      </c>
      <c r="F143" s="6">
        <v>450</v>
      </c>
      <c r="G143" s="6">
        <v>2357</v>
      </c>
      <c r="H143" s="40">
        <v>0.19092066185829445</v>
      </c>
      <c r="I143" s="38">
        <v>27.635220419935326</v>
      </c>
      <c r="J143" s="39">
        <v>0.43027673519693077</v>
      </c>
      <c r="K143" s="38">
        <v>67.057961149465456</v>
      </c>
      <c r="L143" s="27">
        <f t="shared" si="4"/>
        <v>32.481825049127472</v>
      </c>
      <c r="M143" s="74">
        <f t="shared" si="5"/>
        <v>39.747401473652801</v>
      </c>
    </row>
    <row r="144" spans="1:13" ht="18" x14ac:dyDescent="0.25">
      <c r="A144" s="62" t="s">
        <v>184</v>
      </c>
      <c r="B144" s="63">
        <v>410445</v>
      </c>
      <c r="C144" s="37">
        <v>1</v>
      </c>
      <c r="D144" s="39">
        <v>9.0909090909090912E-2</v>
      </c>
      <c r="E144" s="38">
        <v>9.0909090909090917</v>
      </c>
      <c r="F144" s="6">
        <v>472</v>
      </c>
      <c r="G144" s="6">
        <v>1577</v>
      </c>
      <c r="H144" s="40">
        <v>0.29930247305009511</v>
      </c>
      <c r="I144" s="38">
        <v>46.276698722263568</v>
      </c>
      <c r="J144" s="39">
        <v>0.37596339246526955</v>
      </c>
      <c r="K144" s="38">
        <v>76.098024594367004</v>
      </c>
      <c r="L144" s="27">
        <f t="shared" si="4"/>
        <v>43.821877469179888</v>
      </c>
      <c r="M144" s="74">
        <f t="shared" si="5"/>
        <v>57.348124385500384</v>
      </c>
    </row>
    <row r="145" spans="1:13" ht="18" x14ac:dyDescent="0.25">
      <c r="A145" s="62" t="s">
        <v>169</v>
      </c>
      <c r="B145" s="63">
        <v>412480</v>
      </c>
      <c r="C145" s="37">
        <v>6</v>
      </c>
      <c r="D145" s="39">
        <v>2.7272727272727271E-2</v>
      </c>
      <c r="E145" s="38">
        <v>2.7272727272727271</v>
      </c>
      <c r="F145" s="6">
        <v>234</v>
      </c>
      <c r="G145" s="6">
        <v>1565</v>
      </c>
      <c r="H145" s="40">
        <v>0.14952076677316295</v>
      </c>
      <c r="I145" s="38">
        <v>20.514512272860824</v>
      </c>
      <c r="J145" s="39">
        <v>0.55407090280863347</v>
      </c>
      <c r="K145" s="38">
        <v>46.45331645198123</v>
      </c>
      <c r="L145" s="27">
        <f t="shared" si="4"/>
        <v>23.23170048403826</v>
      </c>
      <c r="M145" s="74">
        <f t="shared" si="5"/>
        <v>25.39042380375087</v>
      </c>
    </row>
    <row r="146" spans="1:13" ht="18" x14ac:dyDescent="0.25">
      <c r="A146" s="62" t="s">
        <v>142</v>
      </c>
      <c r="B146" s="63">
        <v>412200</v>
      </c>
      <c r="C146" s="37">
        <v>8</v>
      </c>
      <c r="D146" s="39">
        <v>4.0935672514619881E-2</v>
      </c>
      <c r="E146" s="38">
        <v>4.0935672514619883</v>
      </c>
      <c r="F146" s="6">
        <v>321</v>
      </c>
      <c r="G146" s="6">
        <v>1829</v>
      </c>
      <c r="H146" s="40">
        <v>0.17550574084199017</v>
      </c>
      <c r="I146" s="38">
        <v>24.983881486790796</v>
      </c>
      <c r="J146" s="39">
        <v>0.4681970684093763</v>
      </c>
      <c r="K146" s="38">
        <v>60.746395687808054</v>
      </c>
      <c r="L146" s="27">
        <f t="shared" si="4"/>
        <v>29.941281475353616</v>
      </c>
      <c r="M146" s="74">
        <f t="shared" si="5"/>
        <v>35.804262427099616</v>
      </c>
    </row>
    <row r="147" spans="1:13" ht="18" x14ac:dyDescent="0.25">
      <c r="A147" s="62" t="s">
        <v>141</v>
      </c>
      <c r="B147" s="63">
        <v>412380</v>
      </c>
      <c r="C147" s="37">
        <v>8</v>
      </c>
      <c r="D147" s="39">
        <v>6.0606060606060608E-2</v>
      </c>
      <c r="E147" s="38">
        <v>6.0606060606060606</v>
      </c>
      <c r="F147" s="6">
        <v>228</v>
      </c>
      <c r="G147" s="6">
        <v>1821</v>
      </c>
      <c r="H147" s="40">
        <v>0.12520593080724876</v>
      </c>
      <c r="I147" s="38">
        <v>16.332403835116331</v>
      </c>
      <c r="J147" s="39">
        <v>0.43651249717801116</v>
      </c>
      <c r="K147" s="38">
        <v>66.020063625559047</v>
      </c>
      <c r="L147" s="27">
        <f t="shared" si="4"/>
        <v>29.471024507093812</v>
      </c>
      <c r="M147" s="74">
        <f t="shared" si="5"/>
        <v>35.074383737908505</v>
      </c>
    </row>
    <row r="148" spans="1:13" ht="18" x14ac:dyDescent="0.25">
      <c r="A148" s="62" t="s">
        <v>175</v>
      </c>
      <c r="B148" s="63">
        <v>410800</v>
      </c>
      <c r="C148" s="37">
        <v>7</v>
      </c>
      <c r="D148" s="39">
        <v>2.1582733812949641E-2</v>
      </c>
      <c r="E148" s="38">
        <v>2.1582733812949639</v>
      </c>
      <c r="F148" s="6">
        <v>641</v>
      </c>
      <c r="G148" s="6">
        <v>1475</v>
      </c>
      <c r="H148" s="40">
        <v>0.43457627118644065</v>
      </c>
      <c r="I148" s="38">
        <v>69.543550836126286</v>
      </c>
      <c r="J148" s="39">
        <v>0.48959757247154573</v>
      </c>
      <c r="K148" s="38">
        <v>57.184436420622156</v>
      </c>
      <c r="L148" s="27">
        <f t="shared" si="4"/>
        <v>42.962086879347801</v>
      </c>
      <c r="M148" s="74">
        <f t="shared" si="5"/>
        <v>56.013656485943827</v>
      </c>
    </row>
    <row r="149" spans="1:13" ht="18" x14ac:dyDescent="0.25">
      <c r="A149" s="62" t="s">
        <v>205</v>
      </c>
      <c r="B149" s="63">
        <v>411020</v>
      </c>
      <c r="C149" s="37">
        <v>1</v>
      </c>
      <c r="D149" s="39">
        <v>8.0645161290322578E-3</v>
      </c>
      <c r="E149" s="38">
        <v>0.80645161290322576</v>
      </c>
      <c r="F149" s="6">
        <v>649</v>
      </c>
      <c r="G149" s="6">
        <v>1428</v>
      </c>
      <c r="H149" s="40">
        <v>0.45448179271708683</v>
      </c>
      <c r="I149" s="38">
        <v>72.967265051912904</v>
      </c>
      <c r="J149" s="39">
        <v>0.4137635562575816</v>
      </c>
      <c r="K149" s="38">
        <v>69.80646046438072</v>
      </c>
      <c r="L149" s="27">
        <f t="shared" si="4"/>
        <v>47.860059043065611</v>
      </c>
      <c r="M149" s="74">
        <f t="shared" si="5"/>
        <v>63.615724597295767</v>
      </c>
    </row>
    <row r="150" spans="1:13" ht="18" x14ac:dyDescent="0.25">
      <c r="A150" s="62" t="s">
        <v>119</v>
      </c>
      <c r="B150" s="63">
        <v>410680</v>
      </c>
      <c r="C150" s="37">
        <v>3</v>
      </c>
      <c r="D150" s="39">
        <v>1.5151515151515152E-2</v>
      </c>
      <c r="E150" s="38">
        <v>1.5151515151515151</v>
      </c>
      <c r="F150" s="6">
        <v>396</v>
      </c>
      <c r="G150" s="6">
        <v>1916</v>
      </c>
      <c r="H150" s="40">
        <v>0.20668058455114824</v>
      </c>
      <c r="I150" s="38">
        <v>30.345899026378742</v>
      </c>
      <c r="J150" s="39">
        <v>0.36582975384832112</v>
      </c>
      <c r="K150" s="38">
        <v>77.784695519364504</v>
      </c>
      <c r="L150" s="27">
        <f t="shared" si="4"/>
        <v>36.548582020298255</v>
      </c>
      <c r="M150" s="74">
        <f t="shared" si="5"/>
        <v>46.059353125025382</v>
      </c>
    </row>
    <row r="151" spans="1:13" ht="18" x14ac:dyDescent="0.25">
      <c r="A151" s="62" t="s">
        <v>160</v>
      </c>
      <c r="B151" s="63">
        <v>411780</v>
      </c>
      <c r="C151" s="37">
        <v>0</v>
      </c>
      <c r="D151" s="39">
        <v>3.2258064516129031E-2</v>
      </c>
      <c r="E151" s="38">
        <v>3.225806451612903</v>
      </c>
      <c r="F151" s="6">
        <v>733</v>
      </c>
      <c r="G151" s="6">
        <v>1832</v>
      </c>
      <c r="H151" s="40">
        <v>0.40010917030567683</v>
      </c>
      <c r="I151" s="38">
        <v>63.615270932445135</v>
      </c>
      <c r="J151" s="39">
        <v>0.39247601389639553</v>
      </c>
      <c r="K151" s="38">
        <v>73.349618072667099</v>
      </c>
      <c r="L151" s="27">
        <f t="shared" si="4"/>
        <v>46.730231818908379</v>
      </c>
      <c r="M151" s="74">
        <f t="shared" si="5"/>
        <v>61.862136944077363</v>
      </c>
    </row>
    <row r="152" spans="1:13" ht="18" x14ac:dyDescent="0.25">
      <c r="A152" s="62" t="s">
        <v>176</v>
      </c>
      <c r="B152" s="63">
        <v>412340</v>
      </c>
      <c r="C152" s="37">
        <v>2</v>
      </c>
      <c r="D152" s="39">
        <v>0</v>
      </c>
      <c r="E152" s="38">
        <v>0</v>
      </c>
      <c r="F152" s="6">
        <v>193</v>
      </c>
      <c r="G152" s="6">
        <v>1343</v>
      </c>
      <c r="H152" s="40">
        <v>0.14370811615785556</v>
      </c>
      <c r="I152" s="38">
        <v>19.514746729798325</v>
      </c>
      <c r="J152" s="39">
        <v>0.46049201102111825</v>
      </c>
      <c r="K152" s="38">
        <v>62.028846815528027</v>
      </c>
      <c r="L152" s="27">
        <f t="shared" si="4"/>
        <v>27.181197848442121</v>
      </c>
      <c r="M152" s="74">
        <f t="shared" si="5"/>
        <v>31.520378602639127</v>
      </c>
    </row>
    <row r="153" spans="1:13" ht="18" x14ac:dyDescent="0.25">
      <c r="A153" s="62" t="s">
        <v>174</v>
      </c>
      <c r="B153" s="63">
        <v>410560</v>
      </c>
      <c r="C153" s="37">
        <v>7</v>
      </c>
      <c r="D153" s="39">
        <v>0</v>
      </c>
      <c r="E153" s="38">
        <v>0</v>
      </c>
      <c r="F153" s="6">
        <v>269</v>
      </c>
      <c r="G153" s="6">
        <v>1572</v>
      </c>
      <c r="H153" s="40">
        <v>0.17111959287531806</v>
      </c>
      <c r="I153" s="38">
        <v>24.229471856130328</v>
      </c>
      <c r="J153" s="39">
        <v>0.50962799915131185</v>
      </c>
      <c r="K153" s="38">
        <v>53.850516633947379</v>
      </c>
      <c r="L153" s="27">
        <f t="shared" si="4"/>
        <v>26.026662830025902</v>
      </c>
      <c r="M153" s="74">
        <f t="shared" si="5"/>
        <v>29.728442357685264</v>
      </c>
    </row>
    <row r="154" spans="1:13" ht="18" x14ac:dyDescent="0.25">
      <c r="A154" s="62" t="s">
        <v>157</v>
      </c>
      <c r="B154" s="63">
        <v>411140</v>
      </c>
      <c r="C154" s="37">
        <v>7</v>
      </c>
      <c r="D154" s="39">
        <v>0</v>
      </c>
      <c r="E154" s="38">
        <v>0</v>
      </c>
      <c r="F154" s="6">
        <v>692</v>
      </c>
      <c r="G154" s="6">
        <v>1881</v>
      </c>
      <c r="H154" s="40">
        <v>0.36788942052099949</v>
      </c>
      <c r="I154" s="38">
        <v>58.073531410722254</v>
      </c>
      <c r="J154" s="39">
        <v>0.40349106590346434</v>
      </c>
      <c r="K154" s="38">
        <v>71.516242257726788</v>
      </c>
      <c r="L154" s="27">
        <f t="shared" si="4"/>
        <v>43.196591222816345</v>
      </c>
      <c r="M154" s="74">
        <f t="shared" si="5"/>
        <v>56.377627111310261</v>
      </c>
    </row>
    <row r="155" spans="1:13" ht="18" x14ac:dyDescent="0.25">
      <c r="A155" s="62" t="s">
        <v>188</v>
      </c>
      <c r="B155" s="63">
        <v>412667</v>
      </c>
      <c r="C155" s="37">
        <v>8</v>
      </c>
      <c r="D155" s="39">
        <v>2.7522935779816515E-2</v>
      </c>
      <c r="E155" s="38">
        <v>2.7522935779816518</v>
      </c>
      <c r="F155" s="6">
        <v>382</v>
      </c>
      <c r="G155" s="6">
        <v>1562</v>
      </c>
      <c r="H155" s="40">
        <v>0.24455825864276567</v>
      </c>
      <c r="I155" s="38">
        <v>36.860791441970392</v>
      </c>
      <c r="J155" s="39">
        <v>0.4247112090776381</v>
      </c>
      <c r="K155" s="38">
        <v>67.984302757111223</v>
      </c>
      <c r="L155" s="27">
        <f t="shared" si="4"/>
        <v>35.865795925687756</v>
      </c>
      <c r="M155" s="74">
        <f t="shared" si="5"/>
        <v>44.999611210777125</v>
      </c>
    </row>
    <row r="156" spans="1:13" ht="18" x14ac:dyDescent="0.25">
      <c r="A156" s="62" t="s">
        <v>136</v>
      </c>
      <c r="B156" s="63">
        <v>411980</v>
      </c>
      <c r="C156" s="37">
        <v>6</v>
      </c>
      <c r="D156" s="39">
        <v>1.7241379310344827E-2</v>
      </c>
      <c r="E156" s="38">
        <v>1.7241379310344827</v>
      </c>
      <c r="F156" s="6">
        <v>305</v>
      </c>
      <c r="G156" s="6">
        <v>1696</v>
      </c>
      <c r="H156" s="40">
        <v>0.17983490566037735</v>
      </c>
      <c r="I156" s="38">
        <v>25.728490117535589</v>
      </c>
      <c r="J156" s="39">
        <v>0.47481894011426296</v>
      </c>
      <c r="K156" s="38">
        <v>59.644232990293254</v>
      </c>
      <c r="L156" s="27">
        <f t="shared" si="4"/>
        <v>29.032287012954441</v>
      </c>
      <c r="M156" s="74">
        <f t="shared" si="5"/>
        <v>34.393425945179914</v>
      </c>
    </row>
    <row r="157" spans="1:13" ht="18" x14ac:dyDescent="0.25">
      <c r="A157" s="62" t="s">
        <v>165</v>
      </c>
      <c r="B157" s="63">
        <v>411120</v>
      </c>
      <c r="C157" s="37">
        <v>9</v>
      </c>
      <c r="D157" s="39">
        <v>1.9230769230769232E-2</v>
      </c>
      <c r="E157" s="38">
        <v>1.9230769230769231</v>
      </c>
      <c r="F157" s="6">
        <v>387</v>
      </c>
      <c r="G157" s="6">
        <v>1690</v>
      </c>
      <c r="H157" s="40">
        <v>0.22899408284023667</v>
      </c>
      <c r="I157" s="38">
        <v>34.183780951686053</v>
      </c>
      <c r="J157" s="39">
        <v>0.52610784017786616</v>
      </c>
      <c r="K157" s="38">
        <v>51.107566173726539</v>
      </c>
      <c r="L157" s="27">
        <f t="shared" si="4"/>
        <v>29.071474682829834</v>
      </c>
      <c r="M157" s="74">
        <f t="shared" si="5"/>
        <v>34.454248531662678</v>
      </c>
    </row>
    <row r="158" spans="1:13" ht="18" x14ac:dyDescent="0.25">
      <c r="A158" s="62" t="s">
        <v>204</v>
      </c>
      <c r="B158" s="63">
        <v>412853</v>
      </c>
      <c r="C158" s="37">
        <v>4</v>
      </c>
      <c r="D158" s="39">
        <v>0</v>
      </c>
      <c r="E158" s="38">
        <v>0</v>
      </c>
      <c r="F158" s="6">
        <v>302</v>
      </c>
      <c r="G158" s="6">
        <v>1364</v>
      </c>
      <c r="H158" s="40">
        <v>0.22140762463343108</v>
      </c>
      <c r="I158" s="38">
        <v>32.878923665222977</v>
      </c>
      <c r="J158" s="39">
        <v>0.46824224344545823</v>
      </c>
      <c r="K158" s="38">
        <v>60.738876629474191</v>
      </c>
      <c r="L158" s="27">
        <f t="shared" si="4"/>
        <v>31.205933431565722</v>
      </c>
      <c r="M158" s="74">
        <f t="shared" si="5"/>
        <v>37.767109496647144</v>
      </c>
    </row>
    <row r="159" spans="1:13" ht="18" x14ac:dyDescent="0.25">
      <c r="A159" s="62" t="s">
        <v>126</v>
      </c>
      <c r="B159" s="63">
        <v>410440</v>
      </c>
      <c r="C159" s="37">
        <v>2</v>
      </c>
      <c r="D159" s="39">
        <v>2.9126213592233011E-2</v>
      </c>
      <c r="E159" s="38">
        <v>2.912621359223301</v>
      </c>
      <c r="F159" s="6">
        <v>658</v>
      </c>
      <c r="G159" s="6">
        <v>1981</v>
      </c>
      <c r="H159" s="40">
        <v>0.33215547703180209</v>
      </c>
      <c r="I159" s="38">
        <v>51.927356836912487</v>
      </c>
      <c r="J159" s="39">
        <v>0.25878331485935552</v>
      </c>
      <c r="K159" s="38">
        <v>95.601801801922932</v>
      </c>
      <c r="L159" s="27">
        <f t="shared" si="4"/>
        <v>50.147259999352904</v>
      </c>
      <c r="M159" s="74">
        <f t="shared" si="5"/>
        <v>67.165654419854675</v>
      </c>
    </row>
    <row r="160" spans="1:13" ht="18" x14ac:dyDescent="0.25">
      <c r="A160" s="62" t="s">
        <v>201</v>
      </c>
      <c r="B160" s="63">
        <v>410260</v>
      </c>
      <c r="C160" s="37">
        <v>4</v>
      </c>
      <c r="D160" s="39">
        <v>1.0752688172043012E-2</v>
      </c>
      <c r="E160" s="38">
        <v>1.0752688172043012</v>
      </c>
      <c r="F160" s="6">
        <v>377</v>
      </c>
      <c r="G160" s="6">
        <v>1361</v>
      </c>
      <c r="H160" s="40">
        <v>0.27700220426157235</v>
      </c>
      <c r="I160" s="38">
        <v>42.441092247468063</v>
      </c>
      <c r="J160" s="39">
        <v>0.43255258774846517</v>
      </c>
      <c r="K160" s="38">
        <v>66.679161936926505</v>
      </c>
      <c r="L160" s="27">
        <f t="shared" si="4"/>
        <v>36.73184100053296</v>
      </c>
      <c r="M160" s="74">
        <f t="shared" si="5"/>
        <v>46.343786601409953</v>
      </c>
    </row>
    <row r="161" spans="1:13" ht="18" x14ac:dyDescent="0.25">
      <c r="A161" s="62" t="s">
        <v>134</v>
      </c>
      <c r="B161" s="63">
        <v>412150</v>
      </c>
      <c r="C161" s="37">
        <v>5</v>
      </c>
      <c r="D161" s="39">
        <v>1.8450184501845018E-2</v>
      </c>
      <c r="E161" s="38">
        <v>1.8450184501845017</v>
      </c>
      <c r="F161" s="6">
        <v>660</v>
      </c>
      <c r="G161" s="6">
        <v>1934</v>
      </c>
      <c r="H161" s="40">
        <v>0.34126163391933817</v>
      </c>
      <c r="I161" s="38">
        <v>53.493599587148445</v>
      </c>
      <c r="J161" s="39">
        <v>0.40654514355663429</v>
      </c>
      <c r="K161" s="38">
        <v>71.007913100254058</v>
      </c>
      <c r="L161" s="27">
        <f t="shared" si="4"/>
        <v>42.115510379195669</v>
      </c>
      <c r="M161" s="74">
        <f t="shared" si="5"/>
        <v>54.699697974031544</v>
      </c>
    </row>
    <row r="162" spans="1:13" ht="18" x14ac:dyDescent="0.25">
      <c r="A162" s="62" t="s">
        <v>180</v>
      </c>
      <c r="B162" s="63">
        <v>410530</v>
      </c>
      <c r="C162" s="37">
        <v>0</v>
      </c>
      <c r="D162" s="39">
        <v>2.5000000000000001E-2</v>
      </c>
      <c r="E162" s="38">
        <v>2.5</v>
      </c>
      <c r="F162" s="6">
        <v>138</v>
      </c>
      <c r="G162" s="6">
        <v>1337</v>
      </c>
      <c r="H162" s="40">
        <v>0.10321615557217652</v>
      </c>
      <c r="I162" s="38">
        <v>12.550201697967642</v>
      </c>
      <c r="J162" s="39">
        <v>0.52335259621347252</v>
      </c>
      <c r="K162" s="38">
        <v>51.566156622989766</v>
      </c>
      <c r="L162" s="27">
        <f t="shared" si="4"/>
        <v>22.205452773652468</v>
      </c>
      <c r="M162" s="74">
        <f t="shared" si="5"/>
        <v>23.797600338713057</v>
      </c>
    </row>
    <row r="163" spans="1:13" ht="18" x14ac:dyDescent="0.25">
      <c r="A163" s="62" t="s">
        <v>140</v>
      </c>
      <c r="B163" s="63">
        <v>411050</v>
      </c>
      <c r="C163" s="37">
        <v>8</v>
      </c>
      <c r="D163" s="39">
        <v>1.9801980198019802E-2</v>
      </c>
      <c r="E163" s="38">
        <v>1.9801980198019802</v>
      </c>
      <c r="F163" s="6">
        <v>412</v>
      </c>
      <c r="G163" s="6">
        <v>1994</v>
      </c>
      <c r="H163" s="40">
        <v>0.20661985957873621</v>
      </c>
      <c r="I163" s="38">
        <v>30.335454439384119</v>
      </c>
      <c r="J163" s="39">
        <v>0.42737409102304813</v>
      </c>
      <c r="K163" s="38">
        <v>67.541085298526099</v>
      </c>
      <c r="L163" s="27">
        <f t="shared" si="4"/>
        <v>33.285579252570734</v>
      </c>
      <c r="M163" s="74">
        <f t="shared" si="5"/>
        <v>40.994896150046209</v>
      </c>
    </row>
    <row r="164" spans="1:13" ht="18" x14ac:dyDescent="0.25">
      <c r="A164" s="62" t="s">
        <v>179</v>
      </c>
      <c r="B164" s="63">
        <v>412785</v>
      </c>
      <c r="C164" s="37">
        <v>8</v>
      </c>
      <c r="D164" s="39">
        <v>2.8985507246376812E-2</v>
      </c>
      <c r="E164" s="38">
        <v>2.8985507246376812</v>
      </c>
      <c r="F164" s="6">
        <v>521</v>
      </c>
      <c r="G164" s="6">
        <v>1511</v>
      </c>
      <c r="H164" s="40">
        <v>0.34480476505625413</v>
      </c>
      <c r="I164" s="38">
        <v>54.103011826017898</v>
      </c>
      <c r="J164" s="39">
        <v>0.44776749993310783</v>
      </c>
      <c r="K164" s="38">
        <v>64.146749742425442</v>
      </c>
      <c r="L164" s="27">
        <f t="shared" si="4"/>
        <v>40.382770764360345</v>
      </c>
      <c r="M164" s="74">
        <f t="shared" si="5"/>
        <v>52.010339167790946</v>
      </c>
    </row>
    <row r="165" spans="1:13" ht="18" x14ac:dyDescent="0.25">
      <c r="A165" s="62" t="s">
        <v>217</v>
      </c>
      <c r="B165" s="63">
        <v>410350</v>
      </c>
      <c r="C165" s="37">
        <v>3</v>
      </c>
      <c r="D165" s="39">
        <v>0.02</v>
      </c>
      <c r="E165" s="38">
        <v>2</v>
      </c>
      <c r="F165" s="6">
        <v>360</v>
      </c>
      <c r="G165" s="6">
        <v>1180</v>
      </c>
      <c r="H165" s="40">
        <v>0.30508474576271188</v>
      </c>
      <c r="I165" s="38">
        <v>47.271239320220886</v>
      </c>
      <c r="J165" s="39">
        <v>0.46082503248537443</v>
      </c>
      <c r="K165" s="38">
        <v>61.973417799121066</v>
      </c>
      <c r="L165" s="27">
        <f t="shared" si="4"/>
        <v>37.081552373113986</v>
      </c>
      <c r="M165" s="74">
        <f t="shared" si="5"/>
        <v>46.886568304697008</v>
      </c>
    </row>
    <row r="166" spans="1:13" ht="18" x14ac:dyDescent="0.25">
      <c r="A166" s="62" t="s">
        <v>145</v>
      </c>
      <c r="B166" s="63">
        <v>410190</v>
      </c>
      <c r="C166" s="37">
        <v>3</v>
      </c>
      <c r="D166" s="39">
        <v>2.3255813953488372E-2</v>
      </c>
      <c r="E166" s="38">
        <v>2.3255813953488373</v>
      </c>
      <c r="F166" s="6">
        <v>382</v>
      </c>
      <c r="G166" s="6">
        <v>1526</v>
      </c>
      <c r="H166" s="40">
        <v>0.25032765399737877</v>
      </c>
      <c r="I166" s="38">
        <v>37.853117157308773</v>
      </c>
      <c r="J166" s="39">
        <v>0.40930898755644191</v>
      </c>
      <c r="K166" s="38">
        <v>70.547891237237579</v>
      </c>
      <c r="L166" s="27">
        <f t="shared" si="4"/>
        <v>36.908863263298393</v>
      </c>
      <c r="M166" s="74">
        <f t="shared" si="5"/>
        <v>46.618540163452863</v>
      </c>
    </row>
    <row r="167" spans="1:13" ht="18" x14ac:dyDescent="0.25">
      <c r="A167" s="62" t="s">
        <v>199</v>
      </c>
      <c r="B167" s="63">
        <v>412385</v>
      </c>
      <c r="C167" s="37">
        <v>7</v>
      </c>
      <c r="D167" s="39">
        <v>2.564102564102564E-2</v>
      </c>
      <c r="E167" s="38">
        <v>2.5641025641025639</v>
      </c>
      <c r="F167" s="6">
        <v>588</v>
      </c>
      <c r="G167" s="6">
        <v>1344</v>
      </c>
      <c r="H167" s="40">
        <v>0.4375</v>
      </c>
      <c r="I167" s="38">
        <v>70.046426979646412</v>
      </c>
      <c r="J167" s="39">
        <v>0.40216879298191066</v>
      </c>
      <c r="K167" s="38">
        <v>71.73632503115094</v>
      </c>
      <c r="L167" s="27">
        <f t="shared" si="4"/>
        <v>48.11561819163331</v>
      </c>
      <c r="M167" s="74">
        <f t="shared" si="5"/>
        <v>64.012374065474049</v>
      </c>
    </row>
    <row r="168" spans="1:13" ht="18" x14ac:dyDescent="0.25">
      <c r="A168" s="62" t="s">
        <v>189</v>
      </c>
      <c r="B168" s="63">
        <v>412100</v>
      </c>
      <c r="C168" s="37">
        <v>0</v>
      </c>
      <c r="D168" s="39">
        <v>0</v>
      </c>
      <c r="E168" s="38">
        <v>0</v>
      </c>
      <c r="F168" s="6">
        <v>481</v>
      </c>
      <c r="G168" s="6">
        <v>1529</v>
      </c>
      <c r="H168" s="40">
        <v>0.31458469587965993</v>
      </c>
      <c r="I168" s="38">
        <v>48.905213803862708</v>
      </c>
      <c r="J168" s="39">
        <v>0.41112511982346944</v>
      </c>
      <c r="K168" s="38">
        <v>70.245609144246629</v>
      </c>
      <c r="L168" s="27">
        <f t="shared" si="4"/>
        <v>39.716940982703115</v>
      </c>
      <c r="M168" s="74">
        <f t="shared" si="5"/>
        <v>50.976914889021096</v>
      </c>
    </row>
    <row r="169" spans="1:13" ht="18" x14ac:dyDescent="0.25">
      <c r="A169" s="62" t="s">
        <v>171</v>
      </c>
      <c r="B169" s="63">
        <v>411270</v>
      </c>
      <c r="C169" s="37">
        <v>2</v>
      </c>
      <c r="D169" s="39">
        <v>2.3255813953488372E-2</v>
      </c>
      <c r="E169" s="38">
        <v>2.3255813953488373</v>
      </c>
      <c r="F169" s="6">
        <v>408</v>
      </c>
      <c r="G169" s="6">
        <v>1577</v>
      </c>
      <c r="H169" s="40">
        <v>0.25871908687381101</v>
      </c>
      <c r="I169" s="38">
        <v>39.296428651842</v>
      </c>
      <c r="J169" s="39">
        <v>0.41448900433071073</v>
      </c>
      <c r="K169" s="38">
        <v>69.685714874490046</v>
      </c>
      <c r="L169" s="27">
        <f t="shared" si="4"/>
        <v>37.102574973893624</v>
      </c>
      <c r="M169" s="74">
        <f t="shared" si="5"/>
        <v>46.919197163674284</v>
      </c>
    </row>
    <row r="170" spans="1:13" ht="18" x14ac:dyDescent="0.25">
      <c r="A170" s="62" t="s">
        <v>183</v>
      </c>
      <c r="B170" s="63">
        <v>410850</v>
      </c>
      <c r="C170" s="37">
        <v>2</v>
      </c>
      <c r="D170" s="39">
        <v>3.482587064676617E-2</v>
      </c>
      <c r="E170" s="38">
        <v>3.4825870646766171</v>
      </c>
      <c r="F170" s="6">
        <v>818</v>
      </c>
      <c r="G170" s="6">
        <v>1752</v>
      </c>
      <c r="H170" s="40">
        <v>0.46689497716894979</v>
      </c>
      <c r="I170" s="38">
        <v>75.102310647457514</v>
      </c>
      <c r="J170" s="39">
        <v>0.44065254266268283</v>
      </c>
      <c r="K170" s="38">
        <v>65.330982969427893</v>
      </c>
      <c r="L170" s="27">
        <f t="shared" si="4"/>
        <v>47.971960227187338</v>
      </c>
      <c r="M170" s="74">
        <f t="shared" si="5"/>
        <v>63.789404723478548</v>
      </c>
    </row>
    <row r="171" spans="1:13" ht="18" x14ac:dyDescent="0.25">
      <c r="A171" s="62" t="s">
        <v>191</v>
      </c>
      <c r="B171" s="63">
        <v>412500</v>
      </c>
      <c r="C171" s="37">
        <v>1</v>
      </c>
      <c r="D171" s="39">
        <v>0</v>
      </c>
      <c r="E171" s="38">
        <v>0</v>
      </c>
      <c r="F171" s="6">
        <v>345</v>
      </c>
      <c r="G171" s="6">
        <v>1176</v>
      </c>
      <c r="H171" s="40">
        <v>0.29336734693877553</v>
      </c>
      <c r="I171" s="38">
        <v>45.255867612235804</v>
      </c>
      <c r="J171" s="39">
        <v>0.42674242514966554</v>
      </c>
      <c r="K171" s="38">
        <v>67.646221518912498</v>
      </c>
      <c r="L171" s="27">
        <f t="shared" si="4"/>
        <v>37.634029710382769</v>
      </c>
      <c r="M171" s="74">
        <f t="shared" si="5"/>
        <v>47.744059978293549</v>
      </c>
    </row>
    <row r="172" spans="1:13" ht="18" x14ac:dyDescent="0.25">
      <c r="A172" s="62" t="s">
        <v>202</v>
      </c>
      <c r="B172" s="63">
        <v>410070</v>
      </c>
      <c r="C172" s="37">
        <v>7</v>
      </c>
      <c r="D172" s="39">
        <v>4.1666666666666664E-2</v>
      </c>
      <c r="E172" s="38">
        <v>4.1666666666666661</v>
      </c>
      <c r="F172" s="6">
        <v>354</v>
      </c>
      <c r="G172" s="6">
        <v>1263</v>
      </c>
      <c r="H172" s="40">
        <v>0.28028503562945367</v>
      </c>
      <c r="I172" s="38">
        <v>43.005733390124959</v>
      </c>
      <c r="J172" s="39">
        <v>0.45795583868880585</v>
      </c>
      <c r="K172" s="38">
        <v>62.450974374580703</v>
      </c>
      <c r="L172" s="27">
        <f t="shared" si="4"/>
        <v>36.541124810457447</v>
      </c>
      <c r="M172" s="74">
        <f t="shared" si="5"/>
        <v>46.047778903034001</v>
      </c>
    </row>
    <row r="173" spans="1:13" ht="18" x14ac:dyDescent="0.25">
      <c r="A173" s="62" t="s">
        <v>135</v>
      </c>
      <c r="B173" s="63">
        <v>410170</v>
      </c>
      <c r="C173" s="37">
        <v>5</v>
      </c>
      <c r="D173" s="39">
        <v>6.3829787234042548E-2</v>
      </c>
      <c r="E173" s="38">
        <v>6.3829787234042552</v>
      </c>
      <c r="F173" s="6">
        <v>382</v>
      </c>
      <c r="G173" s="6">
        <v>1842</v>
      </c>
      <c r="H173" s="40">
        <v>0.20738327904451684</v>
      </c>
      <c r="I173" s="38">
        <v>30.466761226477203</v>
      </c>
      <c r="J173" s="39">
        <v>0.49759707134398601</v>
      </c>
      <c r="K173" s="38">
        <v>55.852977635410561</v>
      </c>
      <c r="L173" s="27">
        <f t="shared" si="4"/>
        <v>30.900905861764006</v>
      </c>
      <c r="M173" s="74">
        <f t="shared" si="5"/>
        <v>37.293680844142777</v>
      </c>
    </row>
    <row r="174" spans="1:13" ht="18" x14ac:dyDescent="0.25">
      <c r="A174" s="62" t="s">
        <v>190</v>
      </c>
      <c r="B174" s="63">
        <v>411080</v>
      </c>
      <c r="C174" s="37">
        <v>5</v>
      </c>
      <c r="D174" s="39">
        <v>2.2900763358778626E-2</v>
      </c>
      <c r="E174" s="38">
        <v>2.2900763358778624</v>
      </c>
      <c r="F174" s="6">
        <v>409</v>
      </c>
      <c r="G174" s="6">
        <v>1368</v>
      </c>
      <c r="H174" s="40">
        <v>0.29897660818713451</v>
      </c>
      <c r="I174" s="38">
        <v>46.220650546784931</v>
      </c>
      <c r="J174" s="39">
        <v>0.448052814537788</v>
      </c>
      <c r="K174" s="38">
        <v>64.099261188078685</v>
      </c>
      <c r="L174" s="27">
        <f t="shared" si="4"/>
        <v>37.536662690247155</v>
      </c>
      <c r="M174" s="74">
        <f t="shared" si="5"/>
        <v>47.592938107011115</v>
      </c>
    </row>
    <row r="175" spans="1:13" ht="18" x14ac:dyDescent="0.25">
      <c r="A175" s="62" t="s">
        <v>148</v>
      </c>
      <c r="B175" s="63">
        <v>412510</v>
      </c>
      <c r="C175" s="37">
        <v>0</v>
      </c>
      <c r="D175" s="39">
        <v>3.90625E-2</v>
      </c>
      <c r="E175" s="38">
        <v>3.90625</v>
      </c>
      <c r="F175" s="6">
        <v>360</v>
      </c>
      <c r="G175" s="6">
        <v>1814</v>
      </c>
      <c r="H175" s="40">
        <v>0.19845644983461963</v>
      </c>
      <c r="I175" s="38">
        <v>28.931362517090452</v>
      </c>
      <c r="J175" s="39">
        <v>0.42347802208545965</v>
      </c>
      <c r="K175" s="38">
        <v>68.189557821300482</v>
      </c>
      <c r="L175" s="27">
        <f t="shared" si="4"/>
        <v>33.675723446130313</v>
      </c>
      <c r="M175" s="74">
        <f t="shared" si="5"/>
        <v>41.60043301990811</v>
      </c>
    </row>
    <row r="176" spans="1:13" ht="18" x14ac:dyDescent="0.25">
      <c r="A176" s="62" t="s">
        <v>178</v>
      </c>
      <c r="B176" s="63">
        <v>411610</v>
      </c>
      <c r="C176" s="37">
        <v>9</v>
      </c>
      <c r="D176" s="39">
        <v>3.0303030303030304E-2</v>
      </c>
      <c r="E176" s="38">
        <v>3.0303030303030303</v>
      </c>
      <c r="F176" s="6">
        <v>411</v>
      </c>
      <c r="G176" s="6">
        <v>1268</v>
      </c>
      <c r="H176" s="40">
        <v>0.32413249211356465</v>
      </c>
      <c r="I176" s="38">
        <v>50.547417734321208</v>
      </c>
      <c r="J176" s="39">
        <v>0.42655626933417029</v>
      </c>
      <c r="K176" s="38">
        <v>67.677205809292644</v>
      </c>
      <c r="L176" s="27">
        <f t="shared" si="4"/>
        <v>40.418308857972299</v>
      </c>
      <c r="M176" s="74">
        <f t="shared" si="5"/>
        <v>52.065497302454702</v>
      </c>
    </row>
    <row r="177" spans="1:13" ht="18" x14ac:dyDescent="0.25">
      <c r="A177" s="62" t="s">
        <v>182</v>
      </c>
      <c r="B177" s="63">
        <v>411605</v>
      </c>
      <c r="C177" s="37">
        <v>9</v>
      </c>
      <c r="D177" s="39">
        <v>2.3809523809523808E-2</v>
      </c>
      <c r="E177" s="38">
        <v>2.3809523809523809</v>
      </c>
      <c r="F177" s="6">
        <v>305</v>
      </c>
      <c r="G177" s="6">
        <v>1296</v>
      </c>
      <c r="H177" s="40">
        <v>0.2353395061728395</v>
      </c>
      <c r="I177" s="38">
        <v>35.275182452298282</v>
      </c>
      <c r="J177" s="39">
        <v>0.48800040427375241</v>
      </c>
      <c r="K177" s="38">
        <v>57.450273526461224</v>
      </c>
      <c r="L177" s="27">
        <f t="shared" si="4"/>
        <v>31.702136119903958</v>
      </c>
      <c r="M177" s="74">
        <f t="shared" si="5"/>
        <v>38.537258143412814</v>
      </c>
    </row>
    <row r="178" spans="1:13" ht="18" x14ac:dyDescent="0.25">
      <c r="A178" s="62" t="s">
        <v>203</v>
      </c>
      <c r="B178" s="63">
        <v>412870</v>
      </c>
      <c r="C178" s="37">
        <v>8</v>
      </c>
      <c r="D178" s="39">
        <v>6.7796610169491525E-2</v>
      </c>
      <c r="E178" s="38">
        <v>6.7796610169491522</v>
      </c>
      <c r="F178" s="6">
        <v>288</v>
      </c>
      <c r="G178" s="6">
        <v>1709</v>
      </c>
      <c r="H178" s="40">
        <v>0.16851960210649503</v>
      </c>
      <c r="I178" s="38">
        <v>23.782278079145954</v>
      </c>
      <c r="J178" s="39">
        <v>0.55158033152097152</v>
      </c>
      <c r="K178" s="38">
        <v>46.867854046652042</v>
      </c>
      <c r="L178" s="27">
        <f t="shared" si="4"/>
        <v>25.809931047582381</v>
      </c>
      <c r="M178" s="74">
        <f t="shared" si="5"/>
        <v>29.392056254016651</v>
      </c>
    </row>
    <row r="179" spans="1:13" ht="18" x14ac:dyDescent="0.25">
      <c r="A179" s="62" t="s">
        <v>218</v>
      </c>
      <c r="B179" s="63">
        <v>412580</v>
      </c>
      <c r="C179" s="37">
        <v>3</v>
      </c>
      <c r="D179" s="39">
        <v>2.097902097902098E-2</v>
      </c>
      <c r="E179" s="38">
        <v>2.0979020979020979</v>
      </c>
      <c r="F179" s="6">
        <v>303</v>
      </c>
      <c r="G179" s="6">
        <v>1004</v>
      </c>
      <c r="H179" s="40">
        <v>0.30179282868525897</v>
      </c>
      <c r="I179" s="38">
        <v>46.705035451715645</v>
      </c>
      <c r="J179" s="39">
        <v>0.48037788945197762</v>
      </c>
      <c r="K179" s="38">
        <v>58.718986040419196</v>
      </c>
      <c r="L179" s="27">
        <f t="shared" si="4"/>
        <v>35.84064119667898</v>
      </c>
      <c r="M179" s="74">
        <f t="shared" si="5"/>
        <v>44.96056893841309</v>
      </c>
    </row>
    <row r="180" spans="1:13" ht="18" x14ac:dyDescent="0.25">
      <c r="A180" s="62" t="s">
        <v>208</v>
      </c>
      <c r="B180" s="63">
        <v>410380</v>
      </c>
      <c r="C180" s="37">
        <v>0</v>
      </c>
      <c r="D180" s="39">
        <v>2.4E-2</v>
      </c>
      <c r="E180" s="38">
        <v>2.4</v>
      </c>
      <c r="F180" s="6">
        <v>250</v>
      </c>
      <c r="G180" s="6">
        <v>1239</v>
      </c>
      <c r="H180" s="40">
        <v>0.20177562550443906</v>
      </c>
      <c r="I180" s="38">
        <v>29.502254814886225</v>
      </c>
      <c r="J180" s="39">
        <v>0.5123298967592117</v>
      </c>
      <c r="K180" s="38">
        <v>53.400805300256913</v>
      </c>
      <c r="L180" s="27">
        <f t="shared" si="4"/>
        <v>28.43435337171438</v>
      </c>
      <c r="M180" s="74">
        <f t="shared" si="5"/>
        <v>33.465382233448132</v>
      </c>
    </row>
    <row r="181" spans="1:13" ht="18" x14ac:dyDescent="0.25">
      <c r="A181" s="62" t="s">
        <v>209</v>
      </c>
      <c r="B181" s="63">
        <v>411575</v>
      </c>
      <c r="C181" s="37">
        <v>4</v>
      </c>
      <c r="D181" s="39">
        <v>0</v>
      </c>
      <c r="E181" s="38">
        <v>0</v>
      </c>
      <c r="F181" s="6">
        <v>489</v>
      </c>
      <c r="G181" s="6">
        <v>1503</v>
      </c>
      <c r="H181" s="40">
        <v>0.32534930139720558</v>
      </c>
      <c r="I181" s="38">
        <v>50.756706761784699</v>
      </c>
      <c r="J181" s="39">
        <v>0.44008530804003931</v>
      </c>
      <c r="K181" s="38">
        <v>65.42539507369068</v>
      </c>
      <c r="L181" s="27">
        <f t="shared" si="4"/>
        <v>38.727367278491791</v>
      </c>
      <c r="M181" s="74">
        <f t="shared" si="5"/>
        <v>49.441012591261376</v>
      </c>
    </row>
    <row r="182" spans="1:13" ht="18" x14ac:dyDescent="0.25">
      <c r="A182" s="62" t="s">
        <v>159</v>
      </c>
      <c r="B182" s="63">
        <v>412190</v>
      </c>
      <c r="C182" s="37">
        <v>1</v>
      </c>
      <c r="D182" s="39">
        <v>7.6923076923076927E-2</v>
      </c>
      <c r="E182" s="38">
        <v>7.6923076923076925</v>
      </c>
      <c r="F182" s="6">
        <v>568</v>
      </c>
      <c r="G182" s="6">
        <v>1662</v>
      </c>
      <c r="H182" s="40">
        <v>0.3417569193742479</v>
      </c>
      <c r="I182" s="38">
        <v>53.578787802399987</v>
      </c>
      <c r="J182" s="39">
        <v>0.28258997866516233</v>
      </c>
      <c r="K182" s="38">
        <v>91.639354631635285</v>
      </c>
      <c r="L182" s="27">
        <f t="shared" si="4"/>
        <v>50.970150042114312</v>
      </c>
      <c r="M182" s="74">
        <f t="shared" si="5"/>
        <v>68.442849541453157</v>
      </c>
    </row>
    <row r="183" spans="1:13" ht="18" x14ac:dyDescent="0.25">
      <c r="A183" s="62" t="s">
        <v>167</v>
      </c>
      <c r="B183" s="63">
        <v>411250</v>
      </c>
      <c r="C183" s="37">
        <v>4</v>
      </c>
      <c r="D183" s="39">
        <v>3.3333333333333333E-2</v>
      </c>
      <c r="E183" s="38">
        <v>3.3333333333333335</v>
      </c>
      <c r="F183" s="6">
        <v>366</v>
      </c>
      <c r="G183" s="6">
        <v>1381</v>
      </c>
      <c r="H183" s="40">
        <v>0.26502534395365679</v>
      </c>
      <c r="I183" s="38">
        <v>40.381093626805459</v>
      </c>
      <c r="J183" s="39">
        <v>0.40015772572788888</v>
      </c>
      <c r="K183" s="38">
        <v>72.071052644182259</v>
      </c>
      <c r="L183" s="27">
        <f t="shared" si="4"/>
        <v>38.595159868107018</v>
      </c>
      <c r="M183" s="74">
        <f t="shared" si="5"/>
        <v>49.235815480094544</v>
      </c>
    </row>
    <row r="184" spans="1:13" ht="18" x14ac:dyDescent="0.25">
      <c r="A184" s="62" t="s">
        <v>211</v>
      </c>
      <c r="B184" s="63">
        <v>410725</v>
      </c>
      <c r="C184" s="37">
        <v>6</v>
      </c>
      <c r="D184" s="39">
        <v>9.0909090909090912E-2</v>
      </c>
      <c r="E184" s="38">
        <v>9.0909090909090917</v>
      </c>
      <c r="F184" s="6">
        <v>168</v>
      </c>
      <c r="G184" s="6">
        <v>1199</v>
      </c>
      <c r="H184" s="40">
        <v>0.14011676396997497</v>
      </c>
      <c r="I184" s="38">
        <v>18.897040556131248</v>
      </c>
      <c r="J184" s="39">
        <v>0.61699033519152591</v>
      </c>
      <c r="K184" s="38">
        <v>35.980831569790986</v>
      </c>
      <c r="L184" s="27">
        <f t="shared" si="4"/>
        <v>21.32292707227711</v>
      </c>
      <c r="M184" s="74">
        <f t="shared" si="5"/>
        <v>22.427845618265319</v>
      </c>
    </row>
    <row r="185" spans="1:13" ht="18" x14ac:dyDescent="0.25">
      <c r="A185" s="62" t="s">
        <v>181</v>
      </c>
      <c r="B185" s="63">
        <v>412390</v>
      </c>
      <c r="C185" s="37">
        <v>7</v>
      </c>
      <c r="D185" s="39">
        <v>0</v>
      </c>
      <c r="E185" s="38">
        <v>0</v>
      </c>
      <c r="F185" s="6">
        <v>506</v>
      </c>
      <c r="G185" s="6">
        <v>1283</v>
      </c>
      <c r="H185" s="40">
        <v>0.39438815276695244</v>
      </c>
      <c r="I185" s="38">
        <v>62.631266115191821</v>
      </c>
      <c r="J185" s="39">
        <v>0.43952394625253982</v>
      </c>
      <c r="K185" s="38">
        <v>65.518829686979174</v>
      </c>
      <c r="L185" s="27">
        <f t="shared" si="4"/>
        <v>42.716698600723667</v>
      </c>
      <c r="M185" s="74">
        <f t="shared" si="5"/>
        <v>55.632793070335509</v>
      </c>
    </row>
    <row r="186" spans="1:13" ht="18" x14ac:dyDescent="0.25">
      <c r="A186" s="62" t="s">
        <v>151</v>
      </c>
      <c r="B186" s="63">
        <v>411400</v>
      </c>
      <c r="C186" s="37">
        <v>5</v>
      </c>
      <c r="D186" s="39">
        <v>0.15</v>
      </c>
      <c r="E186" s="38">
        <v>15</v>
      </c>
      <c r="F186" s="6">
        <v>507</v>
      </c>
      <c r="G186" s="6">
        <v>1623</v>
      </c>
      <c r="H186" s="40">
        <v>0.3123844731977819</v>
      </c>
      <c r="I186" s="38">
        <v>48.526779425127927</v>
      </c>
      <c r="J186" s="39">
        <v>0.37942849056467676</v>
      </c>
      <c r="K186" s="38">
        <v>75.521284053535055</v>
      </c>
      <c r="L186" s="27">
        <f t="shared" si="4"/>
        <v>46.349354492887663</v>
      </c>
      <c r="M186" s="74">
        <f t="shared" si="5"/>
        <v>61.270983038400352</v>
      </c>
    </row>
    <row r="187" spans="1:13" ht="18" x14ac:dyDescent="0.25">
      <c r="A187" s="62" t="s">
        <v>110</v>
      </c>
      <c r="B187" s="63">
        <v>410120</v>
      </c>
      <c r="C187" s="37">
        <v>0</v>
      </c>
      <c r="D187" s="39">
        <v>5.6818181818181816E-2</v>
      </c>
      <c r="E187" s="38">
        <v>5.6818181818181817</v>
      </c>
      <c r="F187" s="6">
        <v>959</v>
      </c>
      <c r="G187" s="6">
        <v>2348</v>
      </c>
      <c r="H187" s="40">
        <v>0.40843270868824533</v>
      </c>
      <c r="I187" s="38">
        <v>65.046904695075824</v>
      </c>
      <c r="J187" s="39">
        <v>0.39346274262975434</v>
      </c>
      <c r="K187" s="38">
        <v>73.18538420482102</v>
      </c>
      <c r="L187" s="27">
        <f t="shared" si="4"/>
        <v>47.971369027238346</v>
      </c>
      <c r="M187" s="74">
        <f t="shared" si="5"/>
        <v>63.788487131028162</v>
      </c>
    </row>
    <row r="188" spans="1:13" ht="18" x14ac:dyDescent="0.25">
      <c r="A188" s="62" t="s">
        <v>170</v>
      </c>
      <c r="B188" s="63">
        <v>411890</v>
      </c>
      <c r="C188" s="37">
        <v>7</v>
      </c>
      <c r="D188" s="39">
        <v>0</v>
      </c>
      <c r="E188" s="38">
        <v>0</v>
      </c>
      <c r="F188" s="6">
        <v>207</v>
      </c>
      <c r="G188" s="6">
        <v>1494</v>
      </c>
      <c r="H188" s="40">
        <v>0.13855421686746988</v>
      </c>
      <c r="I188" s="38">
        <v>18.628285240203123</v>
      </c>
      <c r="J188" s="39">
        <v>0.43102161598035565</v>
      </c>
      <c r="K188" s="38">
        <v>66.933981125361299</v>
      </c>
      <c r="L188" s="27">
        <f t="shared" si="4"/>
        <v>28.520755455188141</v>
      </c>
      <c r="M188" s="74">
        <f t="shared" si="5"/>
        <v>33.599485593282594</v>
      </c>
    </row>
    <row r="189" spans="1:13" ht="18" x14ac:dyDescent="0.25">
      <c r="A189" s="62" t="s">
        <v>220</v>
      </c>
      <c r="B189" s="63">
        <v>412330</v>
      </c>
      <c r="C189" s="37">
        <v>3</v>
      </c>
      <c r="D189" s="39">
        <v>3.8461538461538464E-2</v>
      </c>
      <c r="E189" s="38">
        <v>3.8461538461538463</v>
      </c>
      <c r="F189" s="6">
        <v>327</v>
      </c>
      <c r="G189" s="6">
        <v>1095</v>
      </c>
      <c r="H189" s="40">
        <v>0.29863013698630136</v>
      </c>
      <c r="I189" s="38">
        <v>46.161058117929102</v>
      </c>
      <c r="J189" s="39">
        <v>0.39828918472604524</v>
      </c>
      <c r="K189" s="38">
        <v>72.382057792392715</v>
      </c>
      <c r="L189" s="27">
        <f t="shared" si="4"/>
        <v>40.796423252158554</v>
      </c>
      <c r="M189" s="74">
        <f t="shared" si="5"/>
        <v>52.652362903647628</v>
      </c>
    </row>
    <row r="190" spans="1:13" ht="18" x14ac:dyDescent="0.25">
      <c r="A190" s="62" t="s">
        <v>177</v>
      </c>
      <c r="B190" s="63">
        <v>412250</v>
      </c>
      <c r="C190" s="37">
        <v>3</v>
      </c>
      <c r="D190" s="39">
        <v>9.0090090090090089E-3</v>
      </c>
      <c r="E190" s="38">
        <v>0.90090090090090091</v>
      </c>
      <c r="F190" s="6">
        <v>379</v>
      </c>
      <c r="G190" s="6">
        <v>1484</v>
      </c>
      <c r="H190" s="40">
        <v>0.25539083557951481</v>
      </c>
      <c r="I190" s="38">
        <v>38.723975362816205</v>
      </c>
      <c r="J190" s="39">
        <v>0.45056736978132339</v>
      </c>
      <c r="K190" s="38">
        <v>63.680731637253999</v>
      </c>
      <c r="L190" s="27">
        <f t="shared" si="4"/>
        <v>34.435202633657035</v>
      </c>
      <c r="M190" s="74">
        <f t="shared" si="5"/>
        <v>42.779209117392078</v>
      </c>
    </row>
    <row r="191" spans="1:13" ht="18" x14ac:dyDescent="0.25">
      <c r="A191" s="62" t="s">
        <v>196</v>
      </c>
      <c r="B191" s="63">
        <v>410080</v>
      </c>
      <c r="C191" s="37">
        <v>6</v>
      </c>
      <c r="D191" s="39">
        <v>1.6393442622950821E-2</v>
      </c>
      <c r="E191" s="38">
        <v>1.639344262295082</v>
      </c>
      <c r="F191" s="6">
        <v>308</v>
      </c>
      <c r="G191" s="6">
        <v>1191</v>
      </c>
      <c r="H191" s="40">
        <v>0.2586062132661629</v>
      </c>
      <c r="I191" s="38">
        <v>39.277014592557137</v>
      </c>
      <c r="J191" s="39">
        <v>0.40941085934594595</v>
      </c>
      <c r="K191" s="38">
        <v>70.530935413971235</v>
      </c>
      <c r="L191" s="27">
        <f t="shared" si="4"/>
        <v>37.149098089607818</v>
      </c>
      <c r="M191" s="74">
        <f t="shared" si="5"/>
        <v>46.991404984092597</v>
      </c>
    </row>
    <row r="192" spans="1:13" ht="18" x14ac:dyDescent="0.25">
      <c r="A192" s="62" t="s">
        <v>216</v>
      </c>
      <c r="B192" s="63">
        <v>412270</v>
      </c>
      <c r="C192" s="37">
        <v>1</v>
      </c>
      <c r="D192" s="39">
        <v>0.11538461538461539</v>
      </c>
      <c r="E192" s="38">
        <v>11.538461538461538</v>
      </c>
      <c r="F192" s="6">
        <v>166</v>
      </c>
      <c r="G192" s="6">
        <v>1201</v>
      </c>
      <c r="H192" s="40">
        <v>0.13821815154038303</v>
      </c>
      <c r="I192" s="38">
        <v>18.570482603080112</v>
      </c>
      <c r="J192" s="39">
        <v>0.64742558396121297</v>
      </c>
      <c r="K192" s="38">
        <v>30.915104328537147</v>
      </c>
      <c r="L192" s="27">
        <f t="shared" si="4"/>
        <v>20.341349490026268</v>
      </c>
      <c r="M192" s="74">
        <f t="shared" si="5"/>
        <v>20.904353979802632</v>
      </c>
    </row>
    <row r="193" spans="1:13" ht="18" x14ac:dyDescent="0.25">
      <c r="A193" s="62" t="s">
        <v>105</v>
      </c>
      <c r="B193" s="63">
        <v>410050</v>
      </c>
      <c r="C193" s="37">
        <v>9</v>
      </c>
      <c r="D193" s="39">
        <v>0</v>
      </c>
      <c r="E193" s="38">
        <v>0</v>
      </c>
      <c r="F193" s="6">
        <v>398</v>
      </c>
      <c r="G193" s="6">
        <v>2207</v>
      </c>
      <c r="H193" s="40">
        <v>0.18033529678296331</v>
      </c>
      <c r="I193" s="38">
        <v>25.814556498525075</v>
      </c>
      <c r="J193" s="39">
        <v>0.40104356045213241</v>
      </c>
      <c r="K193" s="38">
        <v>71.923611855121962</v>
      </c>
      <c r="L193" s="27">
        <f t="shared" si="4"/>
        <v>32.579389451215683</v>
      </c>
      <c r="M193" s="74">
        <f t="shared" si="5"/>
        <v>39.898829698462251</v>
      </c>
    </row>
    <row r="194" spans="1:13" ht="18" x14ac:dyDescent="0.25">
      <c r="A194" s="62" t="s">
        <v>197</v>
      </c>
      <c r="B194" s="63">
        <v>410030</v>
      </c>
      <c r="C194" s="37">
        <v>1</v>
      </c>
      <c r="D194" s="39">
        <v>7.1428571428571425E-2</v>
      </c>
      <c r="E194" s="38">
        <v>7.1428571428571423</v>
      </c>
      <c r="F194" s="6">
        <v>501</v>
      </c>
      <c r="G194" s="6">
        <v>1461</v>
      </c>
      <c r="H194" s="40">
        <v>0.34291581108829566</v>
      </c>
      <c r="I194" s="38">
        <v>53.778115111148658</v>
      </c>
      <c r="J194" s="39">
        <v>0.38104275981488595</v>
      </c>
      <c r="K194" s="38">
        <v>75.252600601088702</v>
      </c>
      <c r="L194" s="27">
        <f t="shared" si="4"/>
        <v>45.391190951698171</v>
      </c>
      <c r="M194" s="74">
        <f t="shared" si="5"/>
        <v>59.783831977009314</v>
      </c>
    </row>
    <row r="195" spans="1:13" ht="18" x14ac:dyDescent="0.25">
      <c r="A195" s="62" t="s">
        <v>207</v>
      </c>
      <c r="B195" s="63">
        <v>412700</v>
      </c>
      <c r="C195" s="37">
        <v>7</v>
      </c>
      <c r="D195" s="39">
        <v>3.125E-2</v>
      </c>
      <c r="E195" s="38">
        <v>3.125</v>
      </c>
      <c r="F195" s="6">
        <v>485</v>
      </c>
      <c r="G195" s="6">
        <v>1301</v>
      </c>
      <c r="H195" s="40">
        <v>0.37279016141429672</v>
      </c>
      <c r="I195" s="38">
        <v>58.916450107348027</v>
      </c>
      <c r="J195" s="39">
        <v>0.4437511055781449</v>
      </c>
      <c r="K195" s="38">
        <v>64.815249561484507</v>
      </c>
      <c r="L195" s="27">
        <f t="shared" ref="L195:L258" si="6">(K195+I195+E195)/3</f>
        <v>42.285566556277509</v>
      </c>
      <c r="M195" s="74">
        <f t="shared" ref="M195:M258" si="7">(L195-L$402)/(L$403-L$402)*100</f>
        <v>54.963639580418914</v>
      </c>
    </row>
    <row r="196" spans="1:13" ht="18" x14ac:dyDescent="0.25">
      <c r="A196" s="62" t="s">
        <v>214</v>
      </c>
      <c r="B196" s="63">
        <v>410990</v>
      </c>
      <c r="C196" s="37">
        <v>6</v>
      </c>
      <c r="D196" s="39">
        <v>1.9607843137254902E-2</v>
      </c>
      <c r="E196" s="38">
        <v>1.9607843137254901</v>
      </c>
      <c r="F196" s="6">
        <v>363</v>
      </c>
      <c r="G196" s="6">
        <v>1123</v>
      </c>
      <c r="H196" s="40">
        <v>0.3232413178984862</v>
      </c>
      <c r="I196" s="38">
        <v>50.39413735810956</v>
      </c>
      <c r="J196" s="39">
        <v>0.40644178257936048</v>
      </c>
      <c r="K196" s="38">
        <v>71.025116788064238</v>
      </c>
      <c r="L196" s="27">
        <f t="shared" si="6"/>
        <v>41.126679486633094</v>
      </c>
      <c r="M196" s="74">
        <f t="shared" si="7"/>
        <v>53.164948582935843</v>
      </c>
    </row>
    <row r="197" spans="1:13" ht="18" x14ac:dyDescent="0.25">
      <c r="A197" s="62" t="s">
        <v>236</v>
      </c>
      <c r="B197" s="63">
        <v>410820</v>
      </c>
      <c r="C197" s="37">
        <v>5</v>
      </c>
      <c r="D197" s="39">
        <v>0.33333333333333331</v>
      </c>
      <c r="E197" s="38">
        <v>33.333333333333329</v>
      </c>
      <c r="F197" s="6">
        <v>135</v>
      </c>
      <c r="G197" s="6">
        <v>888</v>
      </c>
      <c r="H197" s="40">
        <v>0.15202702702702703</v>
      </c>
      <c r="I197" s="38">
        <v>20.945584568374645</v>
      </c>
      <c r="J197" s="39">
        <v>0.43138480160640691</v>
      </c>
      <c r="K197" s="38">
        <v>66.873531502181223</v>
      </c>
      <c r="L197" s="27">
        <f t="shared" si="6"/>
        <v>40.384149801296395</v>
      </c>
      <c r="M197" s="74">
        <f t="shared" si="7"/>
        <v>52.012479550048226</v>
      </c>
    </row>
    <row r="198" spans="1:13" ht="18" x14ac:dyDescent="0.25">
      <c r="A198" s="62" t="s">
        <v>164</v>
      </c>
      <c r="B198" s="63">
        <v>412180</v>
      </c>
      <c r="C198" s="37">
        <v>2</v>
      </c>
      <c r="D198" s="39">
        <v>3.7037037037037035E-2</v>
      </c>
      <c r="E198" s="38">
        <v>3.7037037037037033</v>
      </c>
      <c r="F198" s="6">
        <v>369</v>
      </c>
      <c r="G198" s="6">
        <v>1550</v>
      </c>
      <c r="H198" s="40">
        <v>0.23806451612903226</v>
      </c>
      <c r="I198" s="38">
        <v>35.743879306626539</v>
      </c>
      <c r="J198" s="39">
        <v>0.46378366995834264</v>
      </c>
      <c r="K198" s="38">
        <v>61.480973970019306</v>
      </c>
      <c r="L198" s="27">
        <f t="shared" si="6"/>
        <v>33.642852326783185</v>
      </c>
      <c r="M198" s="74">
        <f t="shared" si="7"/>
        <v>41.549414255443843</v>
      </c>
    </row>
    <row r="199" spans="1:13" ht="18" x14ac:dyDescent="0.25">
      <c r="A199" s="62" t="s">
        <v>213</v>
      </c>
      <c r="B199" s="63">
        <v>412260</v>
      </c>
      <c r="C199" s="37">
        <v>2</v>
      </c>
      <c r="D199" s="39">
        <v>0</v>
      </c>
      <c r="E199" s="38">
        <v>0</v>
      </c>
      <c r="F199" s="6">
        <v>253</v>
      </c>
      <c r="G199" s="6">
        <v>1144</v>
      </c>
      <c r="H199" s="40">
        <v>0.22115384615384615</v>
      </c>
      <c r="I199" s="38">
        <v>32.835274219169627</v>
      </c>
      <c r="J199" s="39">
        <v>0.51961602206714186</v>
      </c>
      <c r="K199" s="38">
        <v>52.188082390223336</v>
      </c>
      <c r="L199" s="27">
        <f t="shared" si="6"/>
        <v>28.341118869797654</v>
      </c>
      <c r="M199" s="74">
        <f t="shared" si="7"/>
        <v>33.32067438084961</v>
      </c>
    </row>
    <row r="200" spans="1:13" ht="18" x14ac:dyDescent="0.25">
      <c r="A200" s="62" t="s">
        <v>286</v>
      </c>
      <c r="B200" s="63">
        <v>410645</v>
      </c>
      <c r="C200" s="37">
        <v>6</v>
      </c>
      <c r="D200" s="39">
        <v>2.3809523809523808E-2</v>
      </c>
      <c r="E200" s="38">
        <v>2.3809523809523809</v>
      </c>
      <c r="F200" s="6">
        <v>419</v>
      </c>
      <c r="G200" s="6">
        <v>903</v>
      </c>
      <c r="H200" s="40">
        <v>0.46400885935769659</v>
      </c>
      <c r="I200" s="38">
        <v>74.605903529281306</v>
      </c>
      <c r="J200" s="39">
        <v>0.45867992301450272</v>
      </c>
      <c r="K200" s="38">
        <v>62.330455770596082</v>
      </c>
      <c r="L200" s="27">
        <f t="shared" si="6"/>
        <v>46.439103893609918</v>
      </c>
      <c r="M200" s="74">
        <f t="shared" si="7"/>
        <v>61.410281718433211</v>
      </c>
    </row>
    <row r="201" spans="1:13" ht="18" x14ac:dyDescent="0.25">
      <c r="A201" s="62" t="s">
        <v>206</v>
      </c>
      <c r="B201" s="63">
        <v>411810</v>
      </c>
      <c r="C201" s="37">
        <v>5</v>
      </c>
      <c r="D201" s="39">
        <v>2.0202020202020204E-2</v>
      </c>
      <c r="E201" s="38">
        <v>2.0202020202020203</v>
      </c>
      <c r="F201" s="6">
        <v>273</v>
      </c>
      <c r="G201" s="6">
        <v>1218</v>
      </c>
      <c r="H201" s="40">
        <v>0.22413793103448276</v>
      </c>
      <c r="I201" s="38">
        <v>33.348531498624482</v>
      </c>
      <c r="J201" s="39">
        <v>0.5026638971801769</v>
      </c>
      <c r="K201" s="38">
        <v>55.009641086420537</v>
      </c>
      <c r="L201" s="27">
        <f t="shared" si="6"/>
        <v>30.126124868415683</v>
      </c>
      <c r="M201" s="74">
        <f t="shared" si="7"/>
        <v>36.091155046539207</v>
      </c>
    </row>
    <row r="202" spans="1:13" ht="18" x14ac:dyDescent="0.25">
      <c r="A202" s="62" t="s">
        <v>172</v>
      </c>
      <c r="B202" s="63">
        <v>412000</v>
      </c>
      <c r="C202" s="37">
        <v>2</v>
      </c>
      <c r="D202" s="39">
        <v>4.0540540540540543E-2</v>
      </c>
      <c r="E202" s="38">
        <v>4.0540540540540544</v>
      </c>
      <c r="F202" s="6">
        <v>339</v>
      </c>
      <c r="G202" s="6">
        <v>1261</v>
      </c>
      <c r="H202" s="40">
        <v>0.26883425852498016</v>
      </c>
      <c r="I202" s="38">
        <v>41.036220142555344</v>
      </c>
      <c r="J202" s="39">
        <v>0.36886748093254745</v>
      </c>
      <c r="K202" s="38">
        <v>77.279087795947888</v>
      </c>
      <c r="L202" s="27">
        <f t="shared" si="6"/>
        <v>40.789787330852427</v>
      </c>
      <c r="M202" s="74">
        <f t="shared" si="7"/>
        <v>52.642063391101516</v>
      </c>
    </row>
    <row r="203" spans="1:13" ht="18" x14ac:dyDescent="0.25">
      <c r="A203" s="62" t="s">
        <v>210</v>
      </c>
      <c r="B203" s="63">
        <v>412520</v>
      </c>
      <c r="C203" s="37">
        <v>9</v>
      </c>
      <c r="D203" s="39">
        <v>2.0202020202020204E-2</v>
      </c>
      <c r="E203" s="38">
        <v>2.0202020202020203</v>
      </c>
      <c r="F203" s="6">
        <v>170</v>
      </c>
      <c r="G203" s="6">
        <v>1150</v>
      </c>
      <c r="H203" s="40">
        <v>0.14782608695652175</v>
      </c>
      <c r="I203" s="38">
        <v>20.223030365666965</v>
      </c>
      <c r="J203" s="39">
        <v>0.50113519067814827</v>
      </c>
      <c r="K203" s="38">
        <v>55.264083237684339</v>
      </c>
      <c r="L203" s="27">
        <f t="shared" si="6"/>
        <v>25.835771874517775</v>
      </c>
      <c r="M203" s="74">
        <f t="shared" si="7"/>
        <v>29.432163408539026</v>
      </c>
    </row>
    <row r="204" spans="1:13" ht="18" x14ac:dyDescent="0.25">
      <c r="A204" s="62" t="s">
        <v>152</v>
      </c>
      <c r="B204" s="63">
        <v>411390</v>
      </c>
      <c r="C204" s="37">
        <v>8</v>
      </c>
      <c r="D204" s="39">
        <v>8.4745762711864406E-3</v>
      </c>
      <c r="E204" s="38">
        <v>0.84745762711864403</v>
      </c>
      <c r="F204" s="6">
        <v>258</v>
      </c>
      <c r="G204" s="6">
        <v>1645</v>
      </c>
      <c r="H204" s="40">
        <v>0.15683890577507598</v>
      </c>
      <c r="I204" s="38">
        <v>21.773219134440787</v>
      </c>
      <c r="J204" s="39">
        <v>0.53625280952930976</v>
      </c>
      <c r="K204" s="38">
        <v>49.419009329844968</v>
      </c>
      <c r="L204" s="27">
        <f t="shared" si="6"/>
        <v>24.013228697134803</v>
      </c>
      <c r="M204" s="74">
        <f t="shared" si="7"/>
        <v>26.603421858520012</v>
      </c>
    </row>
    <row r="205" spans="1:13" ht="18" x14ac:dyDescent="0.25">
      <c r="A205" s="62" t="s">
        <v>291</v>
      </c>
      <c r="B205" s="63">
        <v>412490</v>
      </c>
      <c r="C205" s="37">
        <v>5</v>
      </c>
      <c r="D205" s="39">
        <v>1.0309278350515464E-2</v>
      </c>
      <c r="E205" s="38">
        <v>1.0309278350515463</v>
      </c>
      <c r="F205" s="6">
        <v>292</v>
      </c>
      <c r="G205" s="6">
        <v>746</v>
      </c>
      <c r="H205" s="40">
        <v>0.39142091152815012</v>
      </c>
      <c r="I205" s="38">
        <v>62.120905912103687</v>
      </c>
      <c r="J205" s="39">
        <v>0.38550964982545965</v>
      </c>
      <c r="K205" s="38">
        <v>74.509119035306824</v>
      </c>
      <c r="L205" s="27">
        <f t="shared" si="6"/>
        <v>45.886984260820689</v>
      </c>
      <c r="M205" s="74">
        <f t="shared" si="7"/>
        <v>60.553345232519739</v>
      </c>
    </row>
    <row r="206" spans="1:13" ht="18" x14ac:dyDescent="0.25">
      <c r="A206" s="62" t="s">
        <v>186</v>
      </c>
      <c r="B206" s="63">
        <v>412470</v>
      </c>
      <c r="C206" s="37">
        <v>7</v>
      </c>
      <c r="D206" s="39">
        <v>9.0909090909090912E-2</v>
      </c>
      <c r="E206" s="38">
        <v>9.0909090909090917</v>
      </c>
      <c r="F206" s="6">
        <v>407</v>
      </c>
      <c r="G206" s="6">
        <v>1484</v>
      </c>
      <c r="H206" s="40">
        <v>0.27425876010781669</v>
      </c>
      <c r="I206" s="38">
        <v>41.969224744023407</v>
      </c>
      <c r="J206" s="39">
        <v>0.35616300064565604</v>
      </c>
      <c r="K206" s="38">
        <v>79.393656740735921</v>
      </c>
      <c r="L206" s="27">
        <f t="shared" si="6"/>
        <v>43.484596858556138</v>
      </c>
      <c r="M206" s="74">
        <f t="shared" si="7"/>
        <v>56.824636278811369</v>
      </c>
    </row>
    <row r="207" spans="1:13" ht="18" x14ac:dyDescent="0.25">
      <c r="A207" s="62" t="s">
        <v>238</v>
      </c>
      <c r="B207" s="63">
        <v>410950</v>
      </c>
      <c r="C207" s="37">
        <v>0</v>
      </c>
      <c r="D207" s="39">
        <v>1.4492753623188406E-2</v>
      </c>
      <c r="E207" s="38">
        <v>1.4492753623188406</v>
      </c>
      <c r="F207" s="6">
        <v>630</v>
      </c>
      <c r="G207" s="6">
        <v>1030</v>
      </c>
      <c r="H207" s="40">
        <v>0.61165048543689315</v>
      </c>
      <c r="I207" s="38">
        <v>100</v>
      </c>
      <c r="J207" s="39">
        <v>0.33676785336338383</v>
      </c>
      <c r="K207" s="38">
        <v>82.621838862046275</v>
      </c>
      <c r="L207" s="27">
        <f t="shared" si="6"/>
        <v>61.35703807478837</v>
      </c>
      <c r="M207" s="74">
        <f t="shared" si="7"/>
        <v>84.564180502517331</v>
      </c>
    </row>
    <row r="208" spans="1:13" ht="18" x14ac:dyDescent="0.25">
      <c r="A208" s="62" t="s">
        <v>194</v>
      </c>
      <c r="B208" s="63">
        <v>410500</v>
      </c>
      <c r="C208" s="37">
        <v>3</v>
      </c>
      <c r="D208" s="39">
        <v>4.6728971962616821E-2</v>
      </c>
      <c r="E208" s="38">
        <v>4.6728971962616823</v>
      </c>
      <c r="F208" s="6">
        <v>303</v>
      </c>
      <c r="G208" s="6">
        <v>1426</v>
      </c>
      <c r="H208" s="40">
        <v>0.21248246844319776</v>
      </c>
      <c r="I208" s="38">
        <v>31.343812712235763</v>
      </c>
      <c r="J208" s="39">
        <v>0.43080535576489137</v>
      </c>
      <c r="K208" s="38">
        <v>66.969976075590452</v>
      </c>
      <c r="L208" s="27">
        <f t="shared" si="6"/>
        <v>34.328895328029297</v>
      </c>
      <c r="M208" s="74">
        <f t="shared" si="7"/>
        <v>42.614211164953133</v>
      </c>
    </row>
    <row r="209" spans="1:13" ht="18" x14ac:dyDescent="0.25">
      <c r="A209" s="62" t="s">
        <v>254</v>
      </c>
      <c r="B209" s="63">
        <v>410320</v>
      </c>
      <c r="C209" s="37">
        <v>6</v>
      </c>
      <c r="D209" s="39">
        <v>0.14285714285714285</v>
      </c>
      <c r="E209" s="38">
        <v>14.285714285714285</v>
      </c>
      <c r="F209" s="6">
        <v>160</v>
      </c>
      <c r="G209" s="6">
        <v>924</v>
      </c>
      <c r="H209" s="40">
        <v>0.17316017316017315</v>
      </c>
      <c r="I209" s="38">
        <v>24.580448027186996</v>
      </c>
      <c r="J209" s="39">
        <v>0.36868845799950928</v>
      </c>
      <c r="K209" s="38">
        <v>77.308884869583252</v>
      </c>
      <c r="L209" s="27">
        <f t="shared" si="6"/>
        <v>38.725015727494842</v>
      </c>
      <c r="M209" s="74">
        <f t="shared" si="7"/>
        <v>49.437362784719291</v>
      </c>
    </row>
    <row r="210" spans="1:13" ht="18" x14ac:dyDescent="0.25">
      <c r="A210" s="62" t="s">
        <v>132</v>
      </c>
      <c r="B210" s="63">
        <v>410280</v>
      </c>
      <c r="C210" s="37">
        <v>2</v>
      </c>
      <c r="D210" s="39">
        <v>0.15384615384615385</v>
      </c>
      <c r="E210" s="38">
        <v>15.384615384615385</v>
      </c>
      <c r="F210" s="6">
        <v>428</v>
      </c>
      <c r="G210" s="6">
        <v>1749</v>
      </c>
      <c r="H210" s="40">
        <v>0.2447112635791881</v>
      </c>
      <c r="I210" s="38">
        <v>36.887108018258452</v>
      </c>
      <c r="J210" s="39">
        <v>0.41790932170783635</v>
      </c>
      <c r="K210" s="38">
        <v>69.116427761309097</v>
      </c>
      <c r="L210" s="27">
        <f t="shared" si="6"/>
        <v>40.462717054727648</v>
      </c>
      <c r="M210" s="74">
        <f t="shared" si="7"/>
        <v>52.13442258931876</v>
      </c>
    </row>
    <row r="211" spans="1:13" ht="18" x14ac:dyDescent="0.25">
      <c r="A211" s="62" t="s">
        <v>150</v>
      </c>
      <c r="B211" s="63">
        <v>410700</v>
      </c>
      <c r="C211" s="37">
        <v>9</v>
      </c>
      <c r="D211" s="39">
        <v>0</v>
      </c>
      <c r="E211" s="38">
        <v>0</v>
      </c>
      <c r="F211" s="6">
        <v>567</v>
      </c>
      <c r="G211" s="6">
        <v>1805</v>
      </c>
      <c r="H211" s="40">
        <v>0.31412742382271469</v>
      </c>
      <c r="I211" s="38">
        <v>48.826563825290933</v>
      </c>
      <c r="J211" s="39">
        <v>0.37274511468739396</v>
      </c>
      <c r="K211" s="38">
        <v>76.633683676133529</v>
      </c>
      <c r="L211" s="27">
        <f t="shared" si="6"/>
        <v>41.820082500474818</v>
      </c>
      <c r="M211" s="74">
        <f t="shared" si="7"/>
        <v>54.241168856070331</v>
      </c>
    </row>
    <row r="212" spans="1:13" ht="18" x14ac:dyDescent="0.25">
      <c r="A212" s="62" t="s">
        <v>253</v>
      </c>
      <c r="B212" s="63">
        <v>412460</v>
      </c>
      <c r="C212" s="37">
        <v>8</v>
      </c>
      <c r="D212" s="39">
        <v>0</v>
      </c>
      <c r="E212" s="38">
        <v>0</v>
      </c>
      <c r="F212" s="6">
        <v>281</v>
      </c>
      <c r="G212" s="6">
        <v>878</v>
      </c>
      <c r="H212" s="40">
        <v>0.32004555808656038</v>
      </c>
      <c r="I212" s="38">
        <v>49.84447236784618</v>
      </c>
      <c r="J212" s="39">
        <v>0.53127943315228265</v>
      </c>
      <c r="K212" s="38">
        <v>50.24679189159643</v>
      </c>
      <c r="L212" s="27">
        <f t="shared" si="6"/>
        <v>33.363754753147539</v>
      </c>
      <c r="M212" s="74">
        <f t="shared" si="7"/>
        <v>41.116231155668785</v>
      </c>
    </row>
    <row r="213" spans="1:13" ht="18" x14ac:dyDescent="0.25">
      <c r="A213" s="62" t="s">
        <v>222</v>
      </c>
      <c r="B213" s="63">
        <v>411722</v>
      </c>
      <c r="C213" s="37">
        <v>2</v>
      </c>
      <c r="D213" s="39">
        <v>4.7619047619047616E-2</v>
      </c>
      <c r="E213" s="38">
        <v>4.7619047619047619</v>
      </c>
      <c r="F213" s="6">
        <v>145</v>
      </c>
      <c r="G213" s="6">
        <v>1074</v>
      </c>
      <c r="H213" s="40">
        <v>0.13500931098696461</v>
      </c>
      <c r="I213" s="38">
        <v>18.018567748600308</v>
      </c>
      <c r="J213" s="39">
        <v>0.51119639718983323</v>
      </c>
      <c r="K213" s="38">
        <v>53.589468113234119</v>
      </c>
      <c r="L213" s="27">
        <f t="shared" si="6"/>
        <v>25.456646874579729</v>
      </c>
      <c r="M213" s="74">
        <f t="shared" si="7"/>
        <v>28.843729261527123</v>
      </c>
    </row>
    <row r="214" spans="1:13" ht="18" x14ac:dyDescent="0.25">
      <c r="A214" s="62" t="s">
        <v>248</v>
      </c>
      <c r="B214" s="63">
        <v>411745</v>
      </c>
      <c r="C214" s="37">
        <v>3</v>
      </c>
      <c r="D214" s="39">
        <v>0</v>
      </c>
      <c r="E214" s="38">
        <v>0</v>
      </c>
      <c r="F214" s="6">
        <v>121</v>
      </c>
      <c r="G214" s="6">
        <v>933</v>
      </c>
      <c r="H214" s="40">
        <v>0.12968917470525188</v>
      </c>
      <c r="I214" s="38">
        <v>17.103513792863499</v>
      </c>
      <c r="J214" s="39">
        <v>0.47547720410186561</v>
      </c>
      <c r="K214" s="38">
        <v>59.534669705985344</v>
      </c>
      <c r="L214" s="27">
        <f t="shared" si="6"/>
        <v>25.54606116628295</v>
      </c>
      <c r="M214" s="74">
        <f t="shared" si="7"/>
        <v>28.982507823947586</v>
      </c>
    </row>
    <row r="215" spans="1:13" ht="18" x14ac:dyDescent="0.25">
      <c r="A215" s="62" t="s">
        <v>261</v>
      </c>
      <c r="B215" s="63">
        <v>411530</v>
      </c>
      <c r="C215" s="37">
        <v>9</v>
      </c>
      <c r="D215" s="39">
        <v>0.17647058823529413</v>
      </c>
      <c r="E215" s="38">
        <v>17.647058823529413</v>
      </c>
      <c r="F215" s="6">
        <v>146</v>
      </c>
      <c r="G215" s="6">
        <v>861</v>
      </c>
      <c r="H215" s="40">
        <v>0.16957026713124274</v>
      </c>
      <c r="I215" s="38">
        <v>23.962990590281137</v>
      </c>
      <c r="J215" s="39">
        <v>0.47998686106324628</v>
      </c>
      <c r="K215" s="38">
        <v>58.784069890263481</v>
      </c>
      <c r="L215" s="27">
        <f t="shared" si="6"/>
        <v>33.464706434691344</v>
      </c>
      <c r="M215" s="74">
        <f t="shared" si="7"/>
        <v>41.272916725410568</v>
      </c>
    </row>
    <row r="216" spans="1:13" ht="18" x14ac:dyDescent="0.25">
      <c r="A216" s="62" t="s">
        <v>228</v>
      </c>
      <c r="B216" s="63">
        <v>412790</v>
      </c>
      <c r="C216" s="37">
        <v>8</v>
      </c>
      <c r="D216" s="39">
        <v>0</v>
      </c>
      <c r="E216" s="38">
        <v>0</v>
      </c>
      <c r="F216" s="6">
        <v>195</v>
      </c>
      <c r="G216" s="6">
        <v>1026</v>
      </c>
      <c r="H216" s="40">
        <v>0.19005847953216373</v>
      </c>
      <c r="I216" s="38">
        <v>27.486926596936058</v>
      </c>
      <c r="J216" s="39">
        <v>0.3352836547004035</v>
      </c>
      <c r="K216" s="38">
        <v>82.868873005101477</v>
      </c>
      <c r="L216" s="27">
        <f t="shared" si="6"/>
        <v>36.785266534012514</v>
      </c>
      <c r="M216" s="74">
        <f t="shared" si="7"/>
        <v>46.426707559476114</v>
      </c>
    </row>
    <row r="217" spans="1:13" ht="18" x14ac:dyDescent="0.25">
      <c r="A217" s="62" t="s">
        <v>283</v>
      </c>
      <c r="B217" s="63">
        <v>411845</v>
      </c>
      <c r="C217" s="37">
        <v>1</v>
      </c>
      <c r="D217" s="39">
        <v>0</v>
      </c>
      <c r="E217" s="38">
        <v>0</v>
      </c>
      <c r="F217" s="6">
        <v>118</v>
      </c>
      <c r="G217" s="6">
        <v>779</v>
      </c>
      <c r="H217" s="40">
        <v>0.1514762516046213</v>
      </c>
      <c r="I217" s="38">
        <v>20.850852177641091</v>
      </c>
      <c r="J217" s="39">
        <v>0.5182891145071441</v>
      </c>
      <c r="K217" s="38">
        <v>52.408936565727927</v>
      </c>
      <c r="L217" s="27">
        <f t="shared" si="6"/>
        <v>24.419929581123004</v>
      </c>
      <c r="M217" s="74">
        <f t="shared" si="7"/>
        <v>27.234656115816918</v>
      </c>
    </row>
    <row r="218" spans="1:13" ht="18" x14ac:dyDescent="0.25">
      <c r="A218" s="62" t="s">
        <v>212</v>
      </c>
      <c r="B218" s="63">
        <v>411240</v>
      </c>
      <c r="C218" s="37">
        <v>5</v>
      </c>
      <c r="D218" s="39">
        <v>3.9215686274509803E-2</v>
      </c>
      <c r="E218" s="38">
        <v>3.9215686274509802</v>
      </c>
      <c r="F218" s="6">
        <v>243</v>
      </c>
      <c r="G218" s="6">
        <v>956</v>
      </c>
      <c r="H218" s="40">
        <v>0.25418410041841005</v>
      </c>
      <c r="I218" s="38">
        <v>38.516419066468828</v>
      </c>
      <c r="J218" s="39">
        <v>0.50765071394827888</v>
      </c>
      <c r="K218" s="38">
        <v>54.17962146869111</v>
      </c>
      <c r="L218" s="27">
        <f t="shared" si="6"/>
        <v>32.205869720870304</v>
      </c>
      <c r="M218" s="74">
        <f t="shared" si="7"/>
        <v>39.319095405145234</v>
      </c>
    </row>
    <row r="219" spans="1:13" ht="18" x14ac:dyDescent="0.25">
      <c r="A219" s="62" t="s">
        <v>200</v>
      </c>
      <c r="B219" s="63">
        <v>411510</v>
      </c>
      <c r="C219" s="37">
        <v>1</v>
      </c>
      <c r="D219" s="39">
        <v>2.9411764705882353E-2</v>
      </c>
      <c r="E219" s="38">
        <v>2.9411764705882351</v>
      </c>
      <c r="F219" s="6">
        <v>441</v>
      </c>
      <c r="G219" s="6">
        <v>1350</v>
      </c>
      <c r="H219" s="40">
        <v>0.32666666666666666</v>
      </c>
      <c r="I219" s="38">
        <v>50.983291239538453</v>
      </c>
      <c r="J219" s="39">
        <v>0.40625276791828835</v>
      </c>
      <c r="K219" s="38">
        <v>71.056576912633446</v>
      </c>
      <c r="L219" s="27">
        <f t="shared" si="6"/>
        <v>41.660348207586708</v>
      </c>
      <c r="M219" s="74">
        <f t="shared" si="7"/>
        <v>53.993247689174119</v>
      </c>
    </row>
    <row r="220" spans="1:13" ht="18" x14ac:dyDescent="0.25">
      <c r="A220" s="62" t="s">
        <v>239</v>
      </c>
      <c r="B220" s="63">
        <v>411500</v>
      </c>
      <c r="C220" s="37">
        <v>2</v>
      </c>
      <c r="D220" s="39">
        <v>3.2258064516129031E-2</v>
      </c>
      <c r="E220" s="38">
        <v>3.225806451612903</v>
      </c>
      <c r="F220" s="6">
        <v>187</v>
      </c>
      <c r="G220" s="6">
        <v>925</v>
      </c>
      <c r="H220" s="40">
        <v>0.20216216216216215</v>
      </c>
      <c r="I220" s="38">
        <v>29.568738430898584</v>
      </c>
      <c r="J220" s="39">
        <v>0.39796400245270774</v>
      </c>
      <c r="K220" s="38">
        <v>72.436182032115028</v>
      </c>
      <c r="L220" s="27">
        <f t="shared" si="6"/>
        <v>35.076908971542167</v>
      </c>
      <c r="M220" s="74">
        <f t="shared" si="7"/>
        <v>43.775191765930877</v>
      </c>
    </row>
    <row r="221" spans="1:13" ht="18" x14ac:dyDescent="0.25">
      <c r="A221" s="62" t="s">
        <v>258</v>
      </c>
      <c r="B221" s="63">
        <v>412175</v>
      </c>
      <c r="C221" s="37">
        <v>2</v>
      </c>
      <c r="D221" s="39">
        <v>0</v>
      </c>
      <c r="E221" s="38">
        <v>0</v>
      </c>
      <c r="F221" s="6">
        <v>383</v>
      </c>
      <c r="G221" s="6">
        <v>1123</v>
      </c>
      <c r="H221" s="40">
        <v>0.3410507569011576</v>
      </c>
      <c r="I221" s="38">
        <v>53.457329115972094</v>
      </c>
      <c r="J221" s="39">
        <v>0.43852562453357641</v>
      </c>
      <c r="K221" s="38">
        <v>65.684993123511532</v>
      </c>
      <c r="L221" s="27">
        <f t="shared" si="6"/>
        <v>39.714107413161209</v>
      </c>
      <c r="M221" s="74">
        <f t="shared" si="7"/>
        <v>50.972516948825486</v>
      </c>
    </row>
    <row r="222" spans="1:13" ht="18" x14ac:dyDescent="0.25">
      <c r="A222" s="62" t="s">
        <v>252</v>
      </c>
      <c r="B222" s="63">
        <v>410890</v>
      </c>
      <c r="C222" s="37">
        <v>8</v>
      </c>
      <c r="D222" s="39">
        <v>2.5510204081632654E-2</v>
      </c>
      <c r="E222" s="38">
        <v>2.5510204081632653</v>
      </c>
      <c r="F222" s="6">
        <v>233</v>
      </c>
      <c r="G222" s="6">
        <v>906</v>
      </c>
      <c r="H222" s="40">
        <v>0.25717439293598232</v>
      </c>
      <c r="I222" s="38">
        <v>39.030744048409659</v>
      </c>
      <c r="J222" s="39">
        <v>0.45253906648768377</v>
      </c>
      <c r="K222" s="38">
        <v>63.352556967400517</v>
      </c>
      <c r="L222" s="27">
        <f t="shared" si="6"/>
        <v>34.978107141324479</v>
      </c>
      <c r="M222" s="74">
        <f t="shared" si="7"/>
        <v>43.621842947739353</v>
      </c>
    </row>
    <row r="223" spans="1:13" ht="18" x14ac:dyDescent="0.25">
      <c r="A223" s="62" t="s">
        <v>237</v>
      </c>
      <c r="B223" s="63">
        <v>410410</v>
      </c>
      <c r="C223" s="37">
        <v>5</v>
      </c>
      <c r="D223" s="39">
        <v>2.3076923076923078E-2</v>
      </c>
      <c r="E223" s="38">
        <v>2.3076923076923079</v>
      </c>
      <c r="F223" s="6">
        <v>449</v>
      </c>
      <c r="G223" s="6">
        <v>1182</v>
      </c>
      <c r="H223" s="40">
        <v>0.37986463620981387</v>
      </c>
      <c r="I223" s="38">
        <v>60.133247159831484</v>
      </c>
      <c r="J223" s="39">
        <v>0.44491732765631664</v>
      </c>
      <c r="K223" s="38">
        <v>64.621140323362226</v>
      </c>
      <c r="L223" s="27">
        <f t="shared" si="6"/>
        <v>42.354026596962008</v>
      </c>
      <c r="M223" s="74">
        <f t="shared" si="7"/>
        <v>55.069895368486613</v>
      </c>
    </row>
    <row r="224" spans="1:13" ht="18" x14ac:dyDescent="0.25">
      <c r="A224" s="62" t="s">
        <v>240</v>
      </c>
      <c r="B224" s="63">
        <v>410010</v>
      </c>
      <c r="C224" s="37">
        <v>3</v>
      </c>
      <c r="D224" s="39">
        <v>4.5454545454545456E-2</v>
      </c>
      <c r="E224" s="38">
        <v>4.5454545454545459</v>
      </c>
      <c r="F224" s="6">
        <v>280</v>
      </c>
      <c r="G224" s="6">
        <v>944</v>
      </c>
      <c r="H224" s="40">
        <v>0.29661016949152541</v>
      </c>
      <c r="I224" s="38">
        <v>45.813627310017644</v>
      </c>
      <c r="J224" s="39">
        <v>0.41007672130977268</v>
      </c>
      <c r="K224" s="38">
        <v>70.420107501421654</v>
      </c>
      <c r="L224" s="27">
        <f t="shared" si="6"/>
        <v>40.259729785631279</v>
      </c>
      <c r="M224" s="74">
        <f t="shared" si="7"/>
        <v>51.819369135802077</v>
      </c>
    </row>
    <row r="225" spans="1:13" ht="18" x14ac:dyDescent="0.25">
      <c r="A225" s="62" t="s">
        <v>267</v>
      </c>
      <c r="B225" s="63">
        <v>412788</v>
      </c>
      <c r="C225" s="37">
        <v>2</v>
      </c>
      <c r="D225" s="39">
        <v>6.25E-2</v>
      </c>
      <c r="E225" s="38">
        <v>6.25</v>
      </c>
      <c r="F225" s="6">
        <v>486</v>
      </c>
      <c r="G225" s="6">
        <v>1079</v>
      </c>
      <c r="H225" s="40">
        <v>0.45041705282669137</v>
      </c>
      <c r="I225" s="38">
        <v>72.268137037366969</v>
      </c>
      <c r="J225" s="39">
        <v>0.48760015070143353</v>
      </c>
      <c r="K225" s="38">
        <v>57.516892841455117</v>
      </c>
      <c r="L225" s="27">
        <f t="shared" si="6"/>
        <v>45.34500995960736</v>
      </c>
      <c r="M225" s="74">
        <f t="shared" si="7"/>
        <v>59.712155161464139</v>
      </c>
    </row>
    <row r="226" spans="1:13" ht="18" x14ac:dyDescent="0.25">
      <c r="A226" s="62" t="s">
        <v>242</v>
      </c>
      <c r="B226" s="63">
        <v>411885</v>
      </c>
      <c r="C226" s="37">
        <v>7</v>
      </c>
      <c r="D226" s="39">
        <v>1.7857142857142856E-2</v>
      </c>
      <c r="E226" s="38">
        <v>1.7857142857142856</v>
      </c>
      <c r="F226" s="6">
        <v>202</v>
      </c>
      <c r="G226" s="6">
        <v>945</v>
      </c>
      <c r="H226" s="40">
        <v>0.21375661375661376</v>
      </c>
      <c r="I226" s="38">
        <v>31.562963434602121</v>
      </c>
      <c r="J226" s="39">
        <v>0.45840152196092232</v>
      </c>
      <c r="K226" s="38">
        <v>62.376793614317613</v>
      </c>
      <c r="L226" s="27">
        <f t="shared" si="6"/>
        <v>31.908490444878009</v>
      </c>
      <c r="M226" s="74">
        <f t="shared" si="7"/>
        <v>38.857537553154103</v>
      </c>
    </row>
    <row r="227" spans="1:13" ht="18" x14ac:dyDescent="0.25">
      <c r="A227" s="62" t="s">
        <v>225</v>
      </c>
      <c r="B227" s="63">
        <v>410832</v>
      </c>
      <c r="C227" s="37">
        <v>0</v>
      </c>
      <c r="D227" s="39">
        <v>1.6666666666666666E-2</v>
      </c>
      <c r="E227" s="38">
        <v>1.6666666666666667</v>
      </c>
      <c r="F227" s="6">
        <v>270</v>
      </c>
      <c r="G227" s="6">
        <v>1152</v>
      </c>
      <c r="H227" s="40">
        <v>0.234375</v>
      </c>
      <c r="I227" s="38">
        <v>35.109289110087651</v>
      </c>
      <c r="J227" s="39">
        <v>0.38302844113292156</v>
      </c>
      <c r="K227" s="38">
        <v>74.922098293670729</v>
      </c>
      <c r="L227" s="27">
        <f t="shared" si="6"/>
        <v>37.232684690141681</v>
      </c>
      <c r="M227" s="74">
        <f t="shared" si="7"/>
        <v>47.121138475671373</v>
      </c>
    </row>
    <row r="228" spans="1:13" ht="18" x14ac:dyDescent="0.25">
      <c r="A228" s="62" t="s">
        <v>287</v>
      </c>
      <c r="B228" s="63">
        <v>410870</v>
      </c>
      <c r="C228" s="37">
        <v>0</v>
      </c>
      <c r="D228" s="39">
        <v>2.6315789473684209E-2</v>
      </c>
      <c r="E228" s="38">
        <v>2.6315789473684208</v>
      </c>
      <c r="F228" s="6">
        <v>328</v>
      </c>
      <c r="G228" s="6">
        <v>731</v>
      </c>
      <c r="H228" s="40">
        <v>0.44870041039671682</v>
      </c>
      <c r="I228" s="38">
        <v>71.972877599834646</v>
      </c>
      <c r="J228" s="39">
        <v>0.3596436251634374</v>
      </c>
      <c r="K228" s="38">
        <v>78.814331939755093</v>
      </c>
      <c r="L228" s="27">
        <f t="shared" si="6"/>
        <v>51.139596162319386</v>
      </c>
      <c r="M228" s="74">
        <f t="shared" si="7"/>
        <v>68.705844287839284</v>
      </c>
    </row>
    <row r="229" spans="1:13" ht="18" x14ac:dyDescent="0.25">
      <c r="A229" s="62" t="s">
        <v>120</v>
      </c>
      <c r="B229" s="63">
        <v>412650</v>
      </c>
      <c r="C229" s="37">
        <v>4</v>
      </c>
      <c r="D229" s="39">
        <v>1.4925373134328358E-2</v>
      </c>
      <c r="E229" s="38">
        <v>1.4925373134328357</v>
      </c>
      <c r="F229" s="6">
        <v>327</v>
      </c>
      <c r="G229" s="6">
        <v>1864</v>
      </c>
      <c r="H229" s="40">
        <v>0.17542918454935622</v>
      </c>
      <c r="I229" s="38">
        <v>24.970713940942012</v>
      </c>
      <c r="J229" s="39">
        <v>0.50042578968907936</v>
      </c>
      <c r="K229" s="38">
        <v>55.382157906384869</v>
      </c>
      <c r="L229" s="27">
        <f t="shared" si="6"/>
        <v>27.281803053586572</v>
      </c>
      <c r="M229" s="74">
        <f t="shared" si="7"/>
        <v>31.676526411630373</v>
      </c>
    </row>
    <row r="230" spans="1:13" ht="18" x14ac:dyDescent="0.25">
      <c r="A230" s="62" t="s">
        <v>247</v>
      </c>
      <c r="B230" s="63">
        <v>411680</v>
      </c>
      <c r="C230" s="37">
        <v>2</v>
      </c>
      <c r="D230" s="39">
        <v>0</v>
      </c>
      <c r="E230" s="38">
        <v>0</v>
      </c>
      <c r="F230" s="6">
        <v>322</v>
      </c>
      <c r="G230" s="6">
        <v>859</v>
      </c>
      <c r="H230" s="40">
        <v>0.37485448195576254</v>
      </c>
      <c r="I230" s="38">
        <v>59.271509560217709</v>
      </c>
      <c r="J230" s="39">
        <v>0.41628790537790322</v>
      </c>
      <c r="K230" s="38">
        <v>69.386300793532726</v>
      </c>
      <c r="L230" s="27">
        <f t="shared" si="6"/>
        <v>42.885936784583485</v>
      </c>
      <c r="M230" s="74">
        <f t="shared" si="7"/>
        <v>55.895465081882264</v>
      </c>
    </row>
    <row r="231" spans="1:13" ht="18" x14ac:dyDescent="0.25">
      <c r="A231" s="62" t="s">
        <v>280</v>
      </c>
      <c r="B231" s="63">
        <v>412575</v>
      </c>
      <c r="C231" s="37">
        <v>3</v>
      </c>
      <c r="D231" s="39">
        <v>0</v>
      </c>
      <c r="E231" s="38">
        <v>0</v>
      </c>
      <c r="F231" s="6">
        <v>269</v>
      </c>
      <c r="G231" s="6">
        <v>754</v>
      </c>
      <c r="H231" s="40">
        <v>0.35676392572944299</v>
      </c>
      <c r="I231" s="38">
        <v>56.159966141062355</v>
      </c>
      <c r="J231" s="39">
        <v>0.42718908253924148</v>
      </c>
      <c r="K231" s="38">
        <v>67.57187862383698</v>
      </c>
      <c r="L231" s="27">
        <f t="shared" si="6"/>
        <v>41.243948254966448</v>
      </c>
      <c r="M231" s="74">
        <f t="shared" si="7"/>
        <v>53.346959654948101</v>
      </c>
    </row>
    <row r="232" spans="1:13" ht="18" x14ac:dyDescent="0.25">
      <c r="A232" s="62" t="s">
        <v>232</v>
      </c>
      <c r="B232" s="63">
        <v>410305</v>
      </c>
      <c r="C232" s="37">
        <v>7</v>
      </c>
      <c r="D232" s="39">
        <v>1.9417475728155338E-2</v>
      </c>
      <c r="E232" s="38">
        <v>1.9417475728155338</v>
      </c>
      <c r="F232" s="6">
        <v>410</v>
      </c>
      <c r="G232" s="6">
        <v>1093</v>
      </c>
      <c r="H232" s="40">
        <v>0.37511436413540716</v>
      </c>
      <c r="I232" s="38">
        <v>59.316208831799663</v>
      </c>
      <c r="J232" s="39">
        <v>0.37263815337465295</v>
      </c>
      <c r="K232" s="38">
        <v>76.651486613767204</v>
      </c>
      <c r="L232" s="27">
        <f t="shared" si="6"/>
        <v>45.969814339460804</v>
      </c>
      <c r="M232" s="74">
        <f t="shared" si="7"/>
        <v>60.681904537971739</v>
      </c>
    </row>
    <row r="233" spans="1:13" ht="18" x14ac:dyDescent="0.25">
      <c r="A233" s="62" t="s">
        <v>192</v>
      </c>
      <c r="B233" s="63">
        <v>411275</v>
      </c>
      <c r="C233" s="37">
        <v>1</v>
      </c>
      <c r="D233" s="39">
        <v>6.6666666666666666E-2</v>
      </c>
      <c r="E233" s="38">
        <v>6.666666666666667</v>
      </c>
      <c r="F233" s="6">
        <v>267</v>
      </c>
      <c r="G233" s="6">
        <v>1200</v>
      </c>
      <c r="H233" s="40">
        <v>0.2225</v>
      </c>
      <c r="I233" s="38">
        <v>33.066810280790378</v>
      </c>
      <c r="J233" s="39">
        <v>0.42909572482161934</v>
      </c>
      <c r="K233" s="38">
        <v>67.254531792790615</v>
      </c>
      <c r="L233" s="27">
        <f t="shared" si="6"/>
        <v>35.662669580082557</v>
      </c>
      <c r="M233" s="74">
        <f t="shared" si="7"/>
        <v>44.684341898726025</v>
      </c>
    </row>
    <row r="234" spans="1:13" ht="18" x14ac:dyDescent="0.25">
      <c r="A234" s="62" t="s">
        <v>198</v>
      </c>
      <c r="B234" s="63">
        <v>412050</v>
      </c>
      <c r="C234" s="37">
        <v>7</v>
      </c>
      <c r="D234" s="39">
        <v>0</v>
      </c>
      <c r="E234" s="38">
        <v>0</v>
      </c>
      <c r="F234" s="6">
        <v>273</v>
      </c>
      <c r="G234" s="6">
        <v>1045</v>
      </c>
      <c r="H234" s="40">
        <v>0.261244019138756</v>
      </c>
      <c r="I234" s="38">
        <v>39.73071249997335</v>
      </c>
      <c r="J234" s="39">
        <v>0.41520850671243675</v>
      </c>
      <c r="K234" s="38">
        <v>69.565958901971541</v>
      </c>
      <c r="L234" s="27">
        <f t="shared" si="6"/>
        <v>36.432223800648295</v>
      </c>
      <c r="M234" s="74">
        <f t="shared" si="7"/>
        <v>45.878755301777808</v>
      </c>
    </row>
    <row r="235" spans="1:13" ht="18" x14ac:dyDescent="0.25">
      <c r="A235" s="62" t="s">
        <v>259</v>
      </c>
      <c r="B235" s="63">
        <v>412535</v>
      </c>
      <c r="C235" s="37">
        <v>7</v>
      </c>
      <c r="D235" s="39">
        <v>3.5714285714285712E-2</v>
      </c>
      <c r="E235" s="38">
        <v>3.5714285714285712</v>
      </c>
      <c r="F235" s="6">
        <v>108</v>
      </c>
      <c r="G235" s="6">
        <v>801</v>
      </c>
      <c r="H235" s="40">
        <v>0.1348314606741573</v>
      </c>
      <c r="I235" s="38">
        <v>17.98797781186828</v>
      </c>
      <c r="J235" s="39">
        <v>0.29059139087233665</v>
      </c>
      <c r="K235" s="38">
        <v>90.307577385682421</v>
      </c>
      <c r="L235" s="27">
        <f t="shared" si="6"/>
        <v>37.288994589659758</v>
      </c>
      <c r="M235" s="74">
        <f t="shared" si="7"/>
        <v>47.208536214403082</v>
      </c>
    </row>
    <row r="236" spans="1:13" ht="18" x14ac:dyDescent="0.25">
      <c r="A236" s="62" t="s">
        <v>268</v>
      </c>
      <c r="B236" s="63">
        <v>410975</v>
      </c>
      <c r="C236" s="37">
        <v>7</v>
      </c>
      <c r="D236" s="39">
        <v>7.6923076923076927E-2</v>
      </c>
      <c r="E236" s="38">
        <v>7.6923076923076925</v>
      </c>
      <c r="F236" s="6">
        <v>312</v>
      </c>
      <c r="G236" s="6">
        <v>909</v>
      </c>
      <c r="H236" s="40">
        <v>0.34323432343234322</v>
      </c>
      <c r="I236" s="38">
        <v>53.832898666482301</v>
      </c>
      <c r="J236" s="39">
        <v>0.43130731140717177</v>
      </c>
      <c r="K236" s="38">
        <v>66.886429185921742</v>
      </c>
      <c r="L236" s="27">
        <f t="shared" si="6"/>
        <v>42.803878514903907</v>
      </c>
      <c r="M236" s="74">
        <f t="shared" si="7"/>
        <v>55.768103689380943</v>
      </c>
    </row>
    <row r="237" spans="1:13" ht="18" x14ac:dyDescent="0.25">
      <c r="A237" s="62" t="s">
        <v>227</v>
      </c>
      <c r="B237" s="63">
        <v>412795</v>
      </c>
      <c r="C237" s="37">
        <v>7</v>
      </c>
      <c r="D237" s="39">
        <v>0</v>
      </c>
      <c r="E237" s="38">
        <v>0</v>
      </c>
      <c r="F237" s="6">
        <v>118</v>
      </c>
      <c r="G237" s="6">
        <v>925</v>
      </c>
      <c r="H237" s="40">
        <v>0.12756756756756757</v>
      </c>
      <c r="I237" s="38">
        <v>16.738601147574556</v>
      </c>
      <c r="J237" s="39">
        <v>0.48951387949530872</v>
      </c>
      <c r="K237" s="38">
        <v>57.198366511775134</v>
      </c>
      <c r="L237" s="27">
        <f t="shared" si="6"/>
        <v>24.645655886449898</v>
      </c>
      <c r="M237" s="74">
        <f t="shared" si="7"/>
        <v>27.585002481672198</v>
      </c>
    </row>
    <row r="238" spans="1:13" ht="18" x14ac:dyDescent="0.25">
      <c r="A238" s="62" t="s">
        <v>269</v>
      </c>
      <c r="B238" s="63">
        <v>412450</v>
      </c>
      <c r="C238" s="37">
        <v>9</v>
      </c>
      <c r="D238" s="39">
        <v>3.5211267605633804E-2</v>
      </c>
      <c r="E238" s="38">
        <v>3.5211267605633805</v>
      </c>
      <c r="F238" s="6">
        <v>67</v>
      </c>
      <c r="G238" s="6">
        <v>879</v>
      </c>
      <c r="H238" s="40">
        <v>7.6222980659840733E-2</v>
      </c>
      <c r="I238" s="38">
        <v>7.9074237363706459</v>
      </c>
      <c r="J238" s="39">
        <v>0.70762100202393496</v>
      </c>
      <c r="K238" s="38">
        <v>20.896011946985716</v>
      </c>
      <c r="L238" s="27">
        <f t="shared" si="6"/>
        <v>10.774854147973249</v>
      </c>
      <c r="M238" s="74">
        <f t="shared" si="7"/>
        <v>6.0563420380573554</v>
      </c>
    </row>
    <row r="239" spans="1:13" ht="18" x14ac:dyDescent="0.25">
      <c r="A239" s="62" t="s">
        <v>234</v>
      </c>
      <c r="B239" s="63">
        <v>411295</v>
      </c>
      <c r="C239" s="37">
        <v>9</v>
      </c>
      <c r="D239" s="39">
        <v>4.6511627906976744E-2</v>
      </c>
      <c r="E239" s="38">
        <v>4.6511627906976747</v>
      </c>
      <c r="F239" s="6">
        <v>254</v>
      </c>
      <c r="G239" s="6">
        <v>1002</v>
      </c>
      <c r="H239" s="40">
        <v>0.25349301397205587</v>
      </c>
      <c r="I239" s="38">
        <v>38.39755342976207</v>
      </c>
      <c r="J239" s="39">
        <v>0.43268521637131718</v>
      </c>
      <c r="K239" s="38">
        <v>66.657086860989537</v>
      </c>
      <c r="L239" s="27">
        <f t="shared" si="6"/>
        <v>36.568601027149761</v>
      </c>
      <c r="M239" s="74">
        <f t="shared" si="7"/>
        <v>46.090424321128552</v>
      </c>
    </row>
    <row r="240" spans="1:13" ht="18" x14ac:dyDescent="0.25">
      <c r="A240" s="62" t="s">
        <v>215</v>
      </c>
      <c r="B240" s="63">
        <v>412370</v>
      </c>
      <c r="C240" s="37">
        <v>9</v>
      </c>
      <c r="D240" s="39">
        <v>0</v>
      </c>
      <c r="E240" s="38">
        <v>0</v>
      </c>
      <c r="F240" s="6">
        <v>143</v>
      </c>
      <c r="G240" s="6">
        <v>1077</v>
      </c>
      <c r="H240" s="40">
        <v>0.13277623026926649</v>
      </c>
      <c r="I240" s="38">
        <v>17.634481846283645</v>
      </c>
      <c r="J240" s="39">
        <v>0.39290897331115826</v>
      </c>
      <c r="K240" s="38">
        <v>73.277555106521561</v>
      </c>
      <c r="L240" s="27">
        <f t="shared" si="6"/>
        <v>30.304012317601735</v>
      </c>
      <c r="M240" s="74">
        <f t="shared" si="7"/>
        <v>36.367251451268579</v>
      </c>
    </row>
    <row r="241" spans="1:13" ht="18" x14ac:dyDescent="0.25">
      <c r="A241" s="62" t="s">
        <v>187</v>
      </c>
      <c r="B241" s="63">
        <v>410250</v>
      </c>
      <c r="C241" s="37">
        <v>5</v>
      </c>
      <c r="D241" s="39">
        <v>4.8387096774193547E-2</v>
      </c>
      <c r="E241" s="38">
        <v>4.838709677419355</v>
      </c>
      <c r="F241" s="6">
        <v>402</v>
      </c>
      <c r="G241" s="6">
        <v>1203</v>
      </c>
      <c r="H241" s="40">
        <v>0.33416458852867831</v>
      </c>
      <c r="I241" s="38">
        <v>52.272920432539216</v>
      </c>
      <c r="J241" s="39">
        <v>0.39940530804745644</v>
      </c>
      <c r="K241" s="38">
        <v>72.196287130333843</v>
      </c>
      <c r="L241" s="27">
        <f t="shared" si="6"/>
        <v>43.102639080097475</v>
      </c>
      <c r="M241" s="74">
        <f t="shared" si="7"/>
        <v>56.23180541933597</v>
      </c>
    </row>
    <row r="242" spans="1:13" ht="18" x14ac:dyDescent="0.25">
      <c r="A242" s="62" t="s">
        <v>224</v>
      </c>
      <c r="B242" s="63">
        <v>412855</v>
      </c>
      <c r="C242" s="37">
        <v>9</v>
      </c>
      <c r="D242" s="39">
        <v>3.125E-2</v>
      </c>
      <c r="E242" s="38">
        <v>3.125</v>
      </c>
      <c r="F242" s="6">
        <v>174</v>
      </c>
      <c r="G242" s="6">
        <v>1019</v>
      </c>
      <c r="H242" s="40">
        <v>0.17075564278704614</v>
      </c>
      <c r="I242" s="38">
        <v>24.166873089796319</v>
      </c>
      <c r="J242" s="39">
        <v>0.38167275303682802</v>
      </c>
      <c r="K242" s="38">
        <v>75.147742781448486</v>
      </c>
      <c r="L242" s="27">
        <f t="shared" si="6"/>
        <v>34.146538623748263</v>
      </c>
      <c r="M242" s="74">
        <f t="shared" si="7"/>
        <v>42.331178097355256</v>
      </c>
    </row>
    <row r="243" spans="1:13" ht="18" x14ac:dyDescent="0.25">
      <c r="A243" s="62" t="s">
        <v>260</v>
      </c>
      <c r="B243" s="63">
        <v>410304</v>
      </c>
      <c r="C243" s="37">
        <v>0</v>
      </c>
      <c r="D243" s="39">
        <v>0</v>
      </c>
      <c r="E243" s="38">
        <v>0</v>
      </c>
      <c r="F243" s="6">
        <v>347</v>
      </c>
      <c r="G243" s="6">
        <v>888</v>
      </c>
      <c r="H243" s="40">
        <v>0.39076576576576577</v>
      </c>
      <c r="I243" s="38">
        <v>62.008222008964843</v>
      </c>
      <c r="J243" s="39">
        <v>0.47880504601269158</v>
      </c>
      <c r="K243" s="38">
        <v>58.98077446596853</v>
      </c>
      <c r="L243" s="27">
        <f t="shared" si="6"/>
        <v>40.329665491644455</v>
      </c>
      <c r="M243" s="74">
        <f t="shared" si="7"/>
        <v>51.927915281585825</v>
      </c>
    </row>
    <row r="244" spans="1:13" ht="18" x14ac:dyDescent="0.25">
      <c r="A244" s="62" t="s">
        <v>255</v>
      </c>
      <c r="B244" s="63">
        <v>410865</v>
      </c>
      <c r="C244" s="37">
        <v>0</v>
      </c>
      <c r="D244" s="39">
        <v>1.8518518518518517E-2</v>
      </c>
      <c r="E244" s="38">
        <v>1.8518518518518516</v>
      </c>
      <c r="F244" s="6">
        <v>446</v>
      </c>
      <c r="G244" s="6">
        <v>946</v>
      </c>
      <c r="H244" s="40">
        <v>0.47145877378435519</v>
      </c>
      <c r="I244" s="38">
        <v>75.887275528988809</v>
      </c>
      <c r="J244" s="39">
        <v>0.40406125421357603</v>
      </c>
      <c r="K244" s="38">
        <v>71.421338533527418</v>
      </c>
      <c r="L244" s="27">
        <f t="shared" si="6"/>
        <v>49.720155304789358</v>
      </c>
      <c r="M244" s="74">
        <f t="shared" si="7"/>
        <v>66.502751718446575</v>
      </c>
    </row>
    <row r="245" spans="1:13" ht="18" x14ac:dyDescent="0.25">
      <c r="A245" s="62" t="s">
        <v>244</v>
      </c>
      <c r="B245" s="63">
        <v>411727</v>
      </c>
      <c r="C245" s="37">
        <v>1</v>
      </c>
      <c r="D245" s="39">
        <v>5.1948051948051951E-2</v>
      </c>
      <c r="E245" s="38">
        <v>5.1948051948051948</v>
      </c>
      <c r="F245" s="6">
        <v>215</v>
      </c>
      <c r="G245" s="6">
        <v>813</v>
      </c>
      <c r="H245" s="40">
        <v>0.26445264452644529</v>
      </c>
      <c r="I245" s="38">
        <v>40.28259034633134</v>
      </c>
      <c r="J245" s="39">
        <v>0.36202978347681525</v>
      </c>
      <c r="K245" s="38">
        <v>78.41717313019538</v>
      </c>
      <c r="L245" s="27">
        <f t="shared" si="6"/>
        <v>41.298189557110639</v>
      </c>
      <c r="M245" s="74">
        <f t="shared" si="7"/>
        <v>53.431146755153179</v>
      </c>
    </row>
    <row r="246" spans="1:13" ht="18" x14ac:dyDescent="0.25">
      <c r="A246" s="62" t="s">
        <v>231</v>
      </c>
      <c r="B246" s="63">
        <v>412860</v>
      </c>
      <c r="C246" s="37">
        <v>9</v>
      </c>
      <c r="D246" s="39">
        <v>1.2987012987012988E-2</v>
      </c>
      <c r="E246" s="38">
        <v>1.2987012987012987</v>
      </c>
      <c r="F246" s="6">
        <v>139</v>
      </c>
      <c r="G246" s="6">
        <v>949</v>
      </c>
      <c r="H246" s="40">
        <v>0.14646996838777659</v>
      </c>
      <c r="I246" s="38">
        <v>19.989780389525585</v>
      </c>
      <c r="J246" s="39">
        <v>0.4856259457221121</v>
      </c>
      <c r="K246" s="38">
        <v>57.845484995218875</v>
      </c>
      <c r="L246" s="27">
        <f t="shared" si="6"/>
        <v>26.37798889448192</v>
      </c>
      <c r="M246" s="74">
        <f t="shared" si="7"/>
        <v>30.273730199676706</v>
      </c>
    </row>
    <row r="247" spans="1:13" ht="18" x14ac:dyDescent="0.25">
      <c r="A247" s="62" t="s">
        <v>295</v>
      </c>
      <c r="B247" s="63">
        <v>411000</v>
      </c>
      <c r="C247" s="37">
        <v>3</v>
      </c>
      <c r="D247" s="39">
        <v>0</v>
      </c>
      <c r="E247" s="38">
        <v>0</v>
      </c>
      <c r="F247" s="6">
        <v>146</v>
      </c>
      <c r="G247" s="6">
        <v>735</v>
      </c>
      <c r="H247" s="40">
        <v>0.19863945578231293</v>
      </c>
      <c r="I247" s="38">
        <v>28.962839213831426</v>
      </c>
      <c r="J247" s="39">
        <v>0.57439243284031094</v>
      </c>
      <c r="K247" s="38">
        <v>43.070944615810923</v>
      </c>
      <c r="L247" s="27">
        <f t="shared" si="6"/>
        <v>24.011261276547447</v>
      </c>
      <c r="M247" s="74">
        <f t="shared" si="7"/>
        <v>26.600368254945135</v>
      </c>
    </row>
    <row r="248" spans="1:13" ht="18" x14ac:dyDescent="0.25">
      <c r="A248" s="62" t="s">
        <v>226</v>
      </c>
      <c r="B248" s="63">
        <v>412070</v>
      </c>
      <c r="C248" s="37">
        <v>5</v>
      </c>
      <c r="D248" s="39">
        <v>3.125E-2</v>
      </c>
      <c r="E248" s="38">
        <v>3.125</v>
      </c>
      <c r="F248" s="6">
        <v>244</v>
      </c>
      <c r="G248" s="6">
        <v>973</v>
      </c>
      <c r="H248" s="40">
        <v>0.25077081192189105</v>
      </c>
      <c r="I248" s="38">
        <v>37.929339530264699</v>
      </c>
      <c r="J248" s="39">
        <v>0.44768087724967187</v>
      </c>
      <c r="K248" s="38">
        <v>64.161167462172443</v>
      </c>
      <c r="L248" s="27">
        <f t="shared" si="6"/>
        <v>35.071835664145716</v>
      </c>
      <c r="M248" s="74">
        <f t="shared" si="7"/>
        <v>43.767317562671138</v>
      </c>
    </row>
    <row r="249" spans="1:13" ht="18" x14ac:dyDescent="0.25">
      <c r="A249" s="62" t="s">
        <v>223</v>
      </c>
      <c r="B249" s="63">
        <v>410600</v>
      </c>
      <c r="C249" s="37">
        <v>1</v>
      </c>
      <c r="D249" s="39">
        <v>0</v>
      </c>
      <c r="E249" s="38">
        <v>0</v>
      </c>
      <c r="F249" s="6">
        <v>427</v>
      </c>
      <c r="G249" s="6">
        <v>1117</v>
      </c>
      <c r="H249" s="40">
        <v>0.38227394807520143</v>
      </c>
      <c r="I249" s="38">
        <v>60.547644505366534</v>
      </c>
      <c r="J249" s="39">
        <v>0.39471389492093029</v>
      </c>
      <c r="K249" s="38">
        <v>72.977138946425754</v>
      </c>
      <c r="L249" s="27">
        <f t="shared" si="6"/>
        <v>44.508261150597434</v>
      </c>
      <c r="M249" s="74">
        <f t="shared" si="7"/>
        <v>58.413450059523001</v>
      </c>
    </row>
    <row r="250" spans="1:13" ht="18" x14ac:dyDescent="0.25">
      <c r="A250" s="62" t="s">
        <v>185</v>
      </c>
      <c r="B250" s="63">
        <v>410510</v>
      </c>
      <c r="C250" s="37">
        <v>2</v>
      </c>
      <c r="D250" s="39">
        <v>0</v>
      </c>
      <c r="E250" s="38">
        <v>0</v>
      </c>
      <c r="F250" s="6">
        <v>326</v>
      </c>
      <c r="G250" s="6">
        <v>1366</v>
      </c>
      <c r="H250" s="40">
        <v>0.23865300146412885</v>
      </c>
      <c r="I250" s="38">
        <v>35.845097735113839</v>
      </c>
      <c r="J250" s="39">
        <v>0.51911051283448073</v>
      </c>
      <c r="K250" s="38">
        <v>52.272220749333684</v>
      </c>
      <c r="L250" s="27">
        <f t="shared" si="6"/>
        <v>29.37243949481584</v>
      </c>
      <c r="M250" s="74">
        <f t="shared" si="7"/>
        <v>34.921371439544039</v>
      </c>
    </row>
    <row r="251" spans="1:13" ht="18" x14ac:dyDescent="0.25">
      <c r="A251" s="62" t="s">
        <v>250</v>
      </c>
      <c r="B251" s="63">
        <v>411300</v>
      </c>
      <c r="C251" s="37">
        <v>7</v>
      </c>
      <c r="D251" s="39">
        <v>0</v>
      </c>
      <c r="E251" s="38">
        <v>0</v>
      </c>
      <c r="F251" s="6">
        <v>119</v>
      </c>
      <c r="G251" s="6">
        <v>817</v>
      </c>
      <c r="H251" s="40">
        <v>0.14565483476132191</v>
      </c>
      <c r="I251" s="38">
        <v>19.849578858992363</v>
      </c>
      <c r="J251" s="39">
        <v>0.59667315439305191</v>
      </c>
      <c r="K251" s="38">
        <v>39.362479507520895</v>
      </c>
      <c r="L251" s="27">
        <f t="shared" si="6"/>
        <v>19.737352788837754</v>
      </c>
      <c r="M251" s="74">
        <f t="shared" si="7"/>
        <v>19.966899884926423</v>
      </c>
    </row>
    <row r="252" spans="1:13" ht="18" x14ac:dyDescent="0.25">
      <c r="A252" s="62" t="s">
        <v>245</v>
      </c>
      <c r="B252" s="63">
        <v>412160</v>
      </c>
      <c r="C252" s="37">
        <v>4</v>
      </c>
      <c r="D252" s="39">
        <v>0</v>
      </c>
      <c r="E252" s="38">
        <v>0</v>
      </c>
      <c r="F252" s="6">
        <v>80</v>
      </c>
      <c r="G252" s="6">
        <v>912</v>
      </c>
      <c r="H252" s="40">
        <v>8.771929824561403E-2</v>
      </c>
      <c r="I252" s="38">
        <v>9.8847698655344338</v>
      </c>
      <c r="J252" s="39">
        <v>0.48108464922290661</v>
      </c>
      <c r="K252" s="38">
        <v>58.601350983393374</v>
      </c>
      <c r="L252" s="27">
        <f t="shared" si="6"/>
        <v>22.828706949642605</v>
      </c>
      <c r="M252" s="74">
        <f t="shared" si="7"/>
        <v>24.764943667378517</v>
      </c>
    </row>
    <row r="253" spans="1:13" ht="18" x14ac:dyDescent="0.25">
      <c r="A253" s="62" t="s">
        <v>271</v>
      </c>
      <c r="B253" s="63">
        <v>412627</v>
      </c>
      <c r="C253" s="37">
        <v>2</v>
      </c>
      <c r="D253" s="39">
        <v>0</v>
      </c>
      <c r="E253" s="38">
        <v>0</v>
      </c>
      <c r="F253" s="6">
        <v>223</v>
      </c>
      <c r="G253" s="6">
        <v>902</v>
      </c>
      <c r="H253" s="40">
        <v>0.24722838137472283</v>
      </c>
      <c r="I253" s="38">
        <v>37.320047791582844</v>
      </c>
      <c r="J253" s="39">
        <v>0.63705954797094799</v>
      </c>
      <c r="K253" s="38">
        <v>32.640456117085805</v>
      </c>
      <c r="L253" s="27">
        <f t="shared" si="6"/>
        <v>23.320167969556213</v>
      </c>
      <c r="M253" s="74">
        <f t="shared" si="7"/>
        <v>25.52773284268935</v>
      </c>
    </row>
    <row r="254" spans="1:13" ht="18" x14ac:dyDescent="0.25">
      <c r="A254" s="62" t="s">
        <v>249</v>
      </c>
      <c r="B254" s="63">
        <v>412620</v>
      </c>
      <c r="C254" s="37">
        <v>7</v>
      </c>
      <c r="D254" s="39">
        <v>3.125E-2</v>
      </c>
      <c r="E254" s="38">
        <v>3.125</v>
      </c>
      <c r="F254" s="6">
        <v>307</v>
      </c>
      <c r="G254" s="6">
        <v>835</v>
      </c>
      <c r="H254" s="40">
        <v>0.36766467065868264</v>
      </c>
      <c r="I254" s="38">
        <v>58.03487483508691</v>
      </c>
      <c r="J254" s="39">
        <v>0.39729222383317891</v>
      </c>
      <c r="K254" s="38">
        <v>72.547994729254157</v>
      </c>
      <c r="L254" s="27">
        <f t="shared" si="6"/>
        <v>44.569289854780358</v>
      </c>
      <c r="M254" s="74">
        <f t="shared" si="7"/>
        <v>58.50817178321568</v>
      </c>
    </row>
    <row r="255" spans="1:13" ht="18" x14ac:dyDescent="0.25">
      <c r="A255" s="62" t="s">
        <v>289</v>
      </c>
      <c r="B255" s="63">
        <v>411325</v>
      </c>
      <c r="C255" s="37">
        <v>4</v>
      </c>
      <c r="D255" s="39">
        <v>7.8947368421052627E-2</v>
      </c>
      <c r="E255" s="38">
        <v>7.8947368421052628</v>
      </c>
      <c r="F255" s="6">
        <v>397</v>
      </c>
      <c r="G255" s="6">
        <v>861</v>
      </c>
      <c r="H255" s="40">
        <v>0.46109175377468059</v>
      </c>
      <c r="I255" s="38">
        <v>74.104166569606775</v>
      </c>
      <c r="J255" s="39">
        <v>0.31986662621791667</v>
      </c>
      <c r="K255" s="38">
        <v>85.434925996943761</v>
      </c>
      <c r="L255" s="27">
        <f t="shared" si="6"/>
        <v>55.811276469551935</v>
      </c>
      <c r="M255" s="74">
        <f t="shared" si="7"/>
        <v>75.956688249983415</v>
      </c>
    </row>
    <row r="256" spans="1:13" ht="18" x14ac:dyDescent="0.25">
      <c r="A256" s="62" t="s">
        <v>221</v>
      </c>
      <c r="B256" s="63">
        <v>412780</v>
      </c>
      <c r="C256" s="37">
        <v>9</v>
      </c>
      <c r="D256" s="39">
        <v>4.1666666666666664E-2</v>
      </c>
      <c r="E256" s="38">
        <v>4.1666666666666661</v>
      </c>
      <c r="F256" s="6">
        <v>256</v>
      </c>
      <c r="G256" s="6">
        <v>1004</v>
      </c>
      <c r="H256" s="40">
        <v>0.2549800796812749</v>
      </c>
      <c r="I256" s="38">
        <v>38.653326080612921</v>
      </c>
      <c r="J256" s="39">
        <v>0.40001939388188867</v>
      </c>
      <c r="K256" s="38">
        <v>72.094076980402363</v>
      </c>
      <c r="L256" s="27">
        <f t="shared" si="6"/>
        <v>38.304689909227321</v>
      </c>
      <c r="M256" s="74">
        <f t="shared" si="7"/>
        <v>48.784981474123192</v>
      </c>
    </row>
    <row r="257" spans="1:13" ht="18" x14ac:dyDescent="0.25">
      <c r="A257" s="62" t="s">
        <v>241</v>
      </c>
      <c r="B257" s="63">
        <v>411700</v>
      </c>
      <c r="C257" s="37">
        <v>8</v>
      </c>
      <c r="D257" s="39">
        <v>0.16666666666666666</v>
      </c>
      <c r="E257" s="38">
        <v>16.666666666666664</v>
      </c>
      <c r="F257" s="6">
        <v>194</v>
      </c>
      <c r="G257" s="6">
        <v>801</v>
      </c>
      <c r="H257" s="40">
        <v>0.2421972534332085</v>
      </c>
      <c r="I257" s="38">
        <v>36.454702755117239</v>
      </c>
      <c r="J257" s="39">
        <v>0.42048790161776561</v>
      </c>
      <c r="K257" s="38">
        <v>68.687241767387192</v>
      </c>
      <c r="L257" s="27">
        <f t="shared" si="6"/>
        <v>40.602870396390365</v>
      </c>
      <c r="M257" s="74">
        <f t="shared" si="7"/>
        <v>52.351952459587537</v>
      </c>
    </row>
    <row r="258" spans="1:13" ht="18" x14ac:dyDescent="0.25">
      <c r="A258" s="62" t="s">
        <v>219</v>
      </c>
      <c r="B258" s="63">
        <v>411490</v>
      </c>
      <c r="C258" s="37">
        <v>6</v>
      </c>
      <c r="D258" s="39">
        <v>0</v>
      </c>
      <c r="E258" s="38">
        <v>0</v>
      </c>
      <c r="F258" s="6">
        <v>394</v>
      </c>
      <c r="G258" s="6">
        <v>1162</v>
      </c>
      <c r="H258" s="40">
        <v>0.33907056798623064</v>
      </c>
      <c r="I258" s="38">
        <v>53.116740152877576</v>
      </c>
      <c r="J258" s="39">
        <v>0.43762753592760228</v>
      </c>
      <c r="K258" s="38">
        <v>65.834473482642821</v>
      </c>
      <c r="L258" s="27">
        <f t="shared" si="6"/>
        <v>39.650404545173465</v>
      </c>
      <c r="M258" s="74">
        <f t="shared" si="7"/>
        <v>50.873644696157619</v>
      </c>
    </row>
    <row r="259" spans="1:13" ht="18" x14ac:dyDescent="0.25">
      <c r="A259" s="62" t="s">
        <v>246</v>
      </c>
      <c r="B259" s="63">
        <v>411155</v>
      </c>
      <c r="C259" s="37">
        <v>5</v>
      </c>
      <c r="D259" s="39">
        <v>6.25E-2</v>
      </c>
      <c r="E259" s="38">
        <v>6.25</v>
      </c>
      <c r="F259" s="6">
        <v>213</v>
      </c>
      <c r="G259" s="6">
        <v>842</v>
      </c>
      <c r="H259" s="40">
        <v>0.25296912114014253</v>
      </c>
      <c r="I259" s="38">
        <v>38.307444796667035</v>
      </c>
      <c r="J259" s="39">
        <v>0.49868429357356858</v>
      </c>
      <c r="K259" s="38">
        <v>55.672017351255491</v>
      </c>
      <c r="L259" s="27">
        <f t="shared" ref="L259:L322" si="8">(K259+I259+E259)/3</f>
        <v>33.409820715974178</v>
      </c>
      <c r="M259" s="74">
        <f t="shared" ref="M259:M322" si="9">(L259-L$402)/(L$403-L$402)*100</f>
        <v>41.187729436042289</v>
      </c>
    </row>
    <row r="260" spans="1:13" ht="18" x14ac:dyDescent="0.25">
      <c r="A260" s="62" t="s">
        <v>270</v>
      </c>
      <c r="B260" s="63">
        <v>411110</v>
      </c>
      <c r="C260" s="37">
        <v>0</v>
      </c>
      <c r="D260" s="39">
        <v>0</v>
      </c>
      <c r="E260" s="38">
        <v>0</v>
      </c>
      <c r="F260" s="6">
        <v>32</v>
      </c>
      <c r="G260" s="6">
        <v>661</v>
      </c>
      <c r="H260" s="40">
        <v>4.8411497730711045E-2</v>
      </c>
      <c r="I260" s="38">
        <v>3.1238982547613716</v>
      </c>
      <c r="J260" s="39">
        <v>0.4139017379556339</v>
      </c>
      <c r="K260" s="38">
        <v>69.783461119201604</v>
      </c>
      <c r="L260" s="27">
        <f t="shared" si="8"/>
        <v>24.302453124654324</v>
      </c>
      <c r="M260" s="74">
        <f t="shared" si="9"/>
        <v>27.052322694208147</v>
      </c>
    </row>
    <row r="261" spans="1:13" ht="18" x14ac:dyDescent="0.25">
      <c r="A261" s="62" t="s">
        <v>284</v>
      </c>
      <c r="B261" s="63">
        <v>412863</v>
      </c>
      <c r="C261" s="37">
        <v>3</v>
      </c>
      <c r="D261" s="39">
        <v>5.5555555555555552E-2</v>
      </c>
      <c r="E261" s="38">
        <v>5.5555555555555554</v>
      </c>
      <c r="F261" s="6">
        <v>386</v>
      </c>
      <c r="G261" s="6">
        <v>779</v>
      </c>
      <c r="H261" s="40">
        <v>0.49550706033376124</v>
      </c>
      <c r="I261" s="38">
        <v>80.023537942297139</v>
      </c>
      <c r="J261" s="39">
        <v>0.36976031245244984</v>
      </c>
      <c r="K261" s="38">
        <v>77.130482440807029</v>
      </c>
      <c r="L261" s="27">
        <f t="shared" si="8"/>
        <v>54.236525312886577</v>
      </c>
      <c r="M261" s="74">
        <f t="shared" si="9"/>
        <v>73.512540927122075</v>
      </c>
    </row>
    <row r="262" spans="1:13" ht="18" x14ac:dyDescent="0.25">
      <c r="A262" s="62" t="s">
        <v>302</v>
      </c>
      <c r="B262" s="63">
        <v>412110</v>
      </c>
      <c r="C262" s="37">
        <v>9</v>
      </c>
      <c r="D262" s="39">
        <v>0</v>
      </c>
      <c r="E262" s="38">
        <v>0</v>
      </c>
      <c r="F262" s="6">
        <v>162</v>
      </c>
      <c r="G262" s="6">
        <v>623</v>
      </c>
      <c r="H262" s="40">
        <v>0.26003210272873195</v>
      </c>
      <c r="I262" s="38">
        <v>39.522265038048957</v>
      </c>
      <c r="J262" s="39">
        <v>0.43438773689899302</v>
      </c>
      <c r="K262" s="38">
        <v>66.373714621087515</v>
      </c>
      <c r="L262" s="27">
        <f t="shared" si="8"/>
        <v>35.298659886378822</v>
      </c>
      <c r="M262" s="74">
        <f t="shared" si="9"/>
        <v>44.119367988660422</v>
      </c>
    </row>
    <row r="263" spans="1:13" ht="18" x14ac:dyDescent="0.25">
      <c r="A263" s="62" t="s">
        <v>195</v>
      </c>
      <c r="B263" s="63">
        <v>412840</v>
      </c>
      <c r="C263" s="37">
        <v>1</v>
      </c>
      <c r="D263" s="39">
        <v>0</v>
      </c>
      <c r="E263" s="38">
        <v>0</v>
      </c>
      <c r="F263" s="6">
        <v>339</v>
      </c>
      <c r="G263" s="6">
        <v>1099</v>
      </c>
      <c r="H263" s="40">
        <v>0.30846223839854414</v>
      </c>
      <c r="I263" s="38">
        <v>47.852162032203609</v>
      </c>
      <c r="J263" s="39">
        <v>0.40736872346510067</v>
      </c>
      <c r="K263" s="38">
        <v>70.870834175444259</v>
      </c>
      <c r="L263" s="27">
        <f t="shared" si="8"/>
        <v>39.574332069215956</v>
      </c>
      <c r="M263" s="74">
        <f t="shared" si="9"/>
        <v>50.75557376306574</v>
      </c>
    </row>
    <row r="264" spans="1:13" ht="18" x14ac:dyDescent="0.25">
      <c r="A264" s="62" t="s">
        <v>330</v>
      </c>
      <c r="B264" s="63">
        <v>412125</v>
      </c>
      <c r="C264" s="37">
        <v>7</v>
      </c>
      <c r="D264" s="39">
        <v>0</v>
      </c>
      <c r="E264" s="38">
        <v>0</v>
      </c>
      <c r="F264" s="6">
        <v>106</v>
      </c>
      <c r="G264" s="6">
        <v>636</v>
      </c>
      <c r="H264" s="40">
        <v>0.16666666666666666</v>
      </c>
      <c r="I264" s="38">
        <v>23.463576486901403</v>
      </c>
      <c r="J264" s="39">
        <v>0.39998289702343243</v>
      </c>
      <c r="K264" s="38">
        <v>72.100151618776479</v>
      </c>
      <c r="L264" s="27">
        <f t="shared" si="8"/>
        <v>31.854576035225961</v>
      </c>
      <c r="M264" s="74">
        <f t="shared" si="9"/>
        <v>38.773857817814999</v>
      </c>
    </row>
    <row r="265" spans="1:13" ht="18" x14ac:dyDescent="0.25">
      <c r="A265" s="62" t="s">
        <v>256</v>
      </c>
      <c r="B265" s="63">
        <v>411920</v>
      </c>
      <c r="C265" s="37">
        <v>2</v>
      </c>
      <c r="D265" s="39">
        <v>4.0540540540540543E-2</v>
      </c>
      <c r="E265" s="38">
        <v>4.0540540540540544</v>
      </c>
      <c r="F265" s="6">
        <v>277</v>
      </c>
      <c r="G265" s="6">
        <v>793</v>
      </c>
      <c r="H265" s="40">
        <v>0.34930643127364441</v>
      </c>
      <c r="I265" s="38">
        <v>54.877290389856427</v>
      </c>
      <c r="J265" s="39">
        <v>0.39047606921704281</v>
      </c>
      <c r="K265" s="38">
        <v>73.682494413513311</v>
      </c>
      <c r="L265" s="27">
        <f t="shared" si="8"/>
        <v>44.204612952474598</v>
      </c>
      <c r="M265" s="74">
        <f t="shared" si="9"/>
        <v>57.942162308825175</v>
      </c>
    </row>
    <row r="266" spans="1:13" ht="18" x14ac:dyDescent="0.25">
      <c r="A266" s="62" t="s">
        <v>325</v>
      </c>
      <c r="B266" s="63">
        <v>412085</v>
      </c>
      <c r="C266" s="37">
        <v>3</v>
      </c>
      <c r="D266" s="39">
        <v>0</v>
      </c>
      <c r="E266" s="38">
        <v>0</v>
      </c>
      <c r="F266" s="6">
        <v>17</v>
      </c>
      <c r="G266" s="6">
        <v>562</v>
      </c>
      <c r="H266" s="40">
        <v>3.0249110320284697E-2</v>
      </c>
      <c r="I266" s="38">
        <v>0</v>
      </c>
      <c r="J266" s="39">
        <v>0.59561547713367657</v>
      </c>
      <c r="K266" s="38">
        <v>39.538522244868545</v>
      </c>
      <c r="L266" s="27">
        <f t="shared" si="8"/>
        <v>13.179507414956182</v>
      </c>
      <c r="M266" s="74">
        <f t="shared" si="9"/>
        <v>9.7885678059378911</v>
      </c>
    </row>
    <row r="267" spans="1:13" ht="18" x14ac:dyDescent="0.25">
      <c r="A267" s="62" t="s">
        <v>305</v>
      </c>
      <c r="B267" s="63">
        <v>410845</v>
      </c>
      <c r="C267" s="37">
        <v>2</v>
      </c>
      <c r="D267" s="39">
        <v>0</v>
      </c>
      <c r="E267" s="38">
        <v>0</v>
      </c>
      <c r="F267" s="6">
        <v>275</v>
      </c>
      <c r="G267" s="6">
        <v>730</v>
      </c>
      <c r="H267" s="40">
        <v>0.37671232876712329</v>
      </c>
      <c r="I267" s="38">
        <v>59.591055899609856</v>
      </c>
      <c r="J267" s="39">
        <v>0.4444041796249677</v>
      </c>
      <c r="K267" s="38">
        <v>64.706550105318371</v>
      </c>
      <c r="L267" s="27">
        <f t="shared" si="8"/>
        <v>41.432535334976073</v>
      </c>
      <c r="M267" s="74">
        <f t="shared" si="9"/>
        <v>53.639662793968377</v>
      </c>
    </row>
    <row r="268" spans="1:13" ht="18" x14ac:dyDescent="0.25">
      <c r="A268" s="62" t="s">
        <v>265</v>
      </c>
      <c r="B268" s="63">
        <v>410773</v>
      </c>
      <c r="C268" s="37">
        <v>6</v>
      </c>
      <c r="D268" s="39">
        <v>4.3859649122807015E-2</v>
      </c>
      <c r="E268" s="38">
        <v>4.3859649122807012</v>
      </c>
      <c r="F268" s="6">
        <v>371</v>
      </c>
      <c r="G268" s="6">
        <v>849</v>
      </c>
      <c r="H268" s="40">
        <v>0.43698468786808009</v>
      </c>
      <c r="I268" s="38">
        <v>69.957794211652597</v>
      </c>
      <c r="J268" s="39">
        <v>0.42738388386982656</v>
      </c>
      <c r="K268" s="38">
        <v>67.53945534994017</v>
      </c>
      <c r="L268" s="27">
        <f t="shared" si="8"/>
        <v>47.294404824624486</v>
      </c>
      <c r="M268" s="74">
        <f t="shared" si="9"/>
        <v>62.737781286813785</v>
      </c>
    </row>
    <row r="269" spans="1:13" ht="18" x14ac:dyDescent="0.25">
      <c r="A269" s="62" t="s">
        <v>230</v>
      </c>
      <c r="B269" s="63">
        <v>410775</v>
      </c>
      <c r="C269" s="37">
        <v>1</v>
      </c>
      <c r="D269" s="39">
        <v>3.2967032967032968E-2</v>
      </c>
      <c r="E269" s="38">
        <v>3.296703296703297</v>
      </c>
      <c r="F269" s="6">
        <v>343</v>
      </c>
      <c r="G269" s="6">
        <v>927</v>
      </c>
      <c r="H269" s="40">
        <v>0.37001078748651567</v>
      </c>
      <c r="I269" s="38">
        <v>58.438402746826455</v>
      </c>
      <c r="J269" s="39">
        <v>0.45774566195452115</v>
      </c>
      <c r="K269" s="38">
        <v>62.485956773325022</v>
      </c>
      <c r="L269" s="27">
        <f t="shared" si="8"/>
        <v>41.407020938951597</v>
      </c>
      <c r="M269" s="74">
        <f t="shared" si="9"/>
        <v>53.600062287898773</v>
      </c>
    </row>
    <row r="270" spans="1:13" ht="18" x14ac:dyDescent="0.25">
      <c r="A270" s="62" t="s">
        <v>263</v>
      </c>
      <c r="B270" s="63">
        <v>410730</v>
      </c>
      <c r="C270" s="37">
        <v>6</v>
      </c>
      <c r="D270" s="39">
        <v>0</v>
      </c>
      <c r="E270" s="38">
        <v>0</v>
      </c>
      <c r="F270" s="6">
        <v>148</v>
      </c>
      <c r="G270" s="6">
        <v>706</v>
      </c>
      <c r="H270" s="40">
        <v>0.20963172804532579</v>
      </c>
      <c r="I270" s="38">
        <v>30.853490446090415</v>
      </c>
      <c r="J270" s="39">
        <v>0.39280616531959778</v>
      </c>
      <c r="K270" s="38">
        <v>73.294666753855466</v>
      </c>
      <c r="L270" s="27">
        <f t="shared" si="8"/>
        <v>34.716052399981962</v>
      </c>
      <c r="M270" s="74">
        <f t="shared" si="9"/>
        <v>43.215111768794394</v>
      </c>
    </row>
    <row r="271" spans="1:13" ht="18" x14ac:dyDescent="0.25">
      <c r="A271" s="62" t="s">
        <v>279</v>
      </c>
      <c r="B271" s="63">
        <v>412880</v>
      </c>
      <c r="C271" s="37">
        <v>7</v>
      </c>
      <c r="D271" s="39">
        <v>0</v>
      </c>
      <c r="E271" s="38">
        <v>0</v>
      </c>
      <c r="F271" s="6">
        <v>179</v>
      </c>
      <c r="G271" s="6">
        <v>731</v>
      </c>
      <c r="H271" s="40">
        <v>0.24487004103967169</v>
      </c>
      <c r="I271" s="38">
        <v>36.914417458393807</v>
      </c>
      <c r="J271" s="39">
        <v>0.33651760765021099</v>
      </c>
      <c r="K271" s="38">
        <v>82.663490452799465</v>
      </c>
      <c r="L271" s="27">
        <f t="shared" si="8"/>
        <v>39.859302637064424</v>
      </c>
      <c r="M271" s="74">
        <f t="shared" si="9"/>
        <v>51.197872247847307</v>
      </c>
    </row>
    <row r="272" spans="1:13" ht="18" x14ac:dyDescent="0.25">
      <c r="A272" s="62" t="s">
        <v>298</v>
      </c>
      <c r="B272" s="63">
        <v>411345</v>
      </c>
      <c r="C272" s="37">
        <v>2</v>
      </c>
      <c r="D272" s="39">
        <v>0</v>
      </c>
      <c r="E272" s="38">
        <v>0</v>
      </c>
      <c r="F272" s="6">
        <v>273</v>
      </c>
      <c r="G272" s="6">
        <v>729</v>
      </c>
      <c r="H272" s="40">
        <v>0.37448559670781895</v>
      </c>
      <c r="I272" s="38">
        <v>59.208061955218561</v>
      </c>
      <c r="J272" s="39">
        <v>0.44178966317646984</v>
      </c>
      <c r="K272" s="38">
        <v>65.141717476417796</v>
      </c>
      <c r="L272" s="27">
        <f t="shared" si="8"/>
        <v>41.449926477212124</v>
      </c>
      <c r="M272" s="74">
        <f t="shared" si="9"/>
        <v>53.666655321364111</v>
      </c>
    </row>
    <row r="273" spans="1:13" ht="18" x14ac:dyDescent="0.25">
      <c r="A273" s="62" t="s">
        <v>251</v>
      </c>
      <c r="B273" s="63">
        <v>411373</v>
      </c>
      <c r="C273" s="37">
        <v>4</v>
      </c>
      <c r="D273" s="39">
        <v>3.5555555555555556E-2</v>
      </c>
      <c r="E273" s="38">
        <v>3.5555555555555554</v>
      </c>
      <c r="F273" s="6">
        <v>329</v>
      </c>
      <c r="G273" s="6">
        <v>919</v>
      </c>
      <c r="H273" s="40">
        <v>0.35799782372143635</v>
      </c>
      <c r="I273" s="38">
        <v>56.372194395896791</v>
      </c>
      <c r="J273" s="39">
        <v>0.48213184735748954</v>
      </c>
      <c r="K273" s="38">
        <v>58.427052420648238</v>
      </c>
      <c r="L273" s="27">
        <f t="shared" si="8"/>
        <v>39.451600790700198</v>
      </c>
      <c r="M273" s="74">
        <f t="shared" si="9"/>
        <v>50.565084412068309</v>
      </c>
    </row>
    <row r="274" spans="1:13" ht="18" x14ac:dyDescent="0.25">
      <c r="A274" s="62" t="s">
        <v>323</v>
      </c>
      <c r="B274" s="63">
        <v>410770</v>
      </c>
      <c r="C274" s="37">
        <v>2</v>
      </c>
      <c r="D274" s="39">
        <v>0</v>
      </c>
      <c r="E274" s="38">
        <v>0</v>
      </c>
      <c r="F274" s="6">
        <v>215</v>
      </c>
      <c r="G274" s="6">
        <v>543</v>
      </c>
      <c r="H274" s="40">
        <v>0.39594843462246776</v>
      </c>
      <c r="I274" s="38">
        <v>62.899631812676184</v>
      </c>
      <c r="J274" s="39">
        <v>0.41227904185818082</v>
      </c>
      <c r="K274" s="38">
        <v>70.053547159481695</v>
      </c>
      <c r="L274" s="27">
        <f t="shared" si="8"/>
        <v>44.317726324052622</v>
      </c>
      <c r="M274" s="74">
        <f t="shared" si="9"/>
        <v>58.117723852725035</v>
      </c>
    </row>
    <row r="275" spans="1:13" ht="18" x14ac:dyDescent="0.25">
      <c r="A275" s="62" t="s">
        <v>282</v>
      </c>
      <c r="B275" s="63">
        <v>412035</v>
      </c>
      <c r="C275" s="37">
        <v>8</v>
      </c>
      <c r="D275" s="39">
        <v>0</v>
      </c>
      <c r="E275" s="38">
        <v>0</v>
      </c>
      <c r="F275" s="6">
        <v>141</v>
      </c>
      <c r="G275" s="6">
        <v>716</v>
      </c>
      <c r="H275" s="40">
        <v>0.19692737430167598</v>
      </c>
      <c r="I275" s="38">
        <v>28.668364251453919</v>
      </c>
      <c r="J275" s="39">
        <v>0.50023412443763371</v>
      </c>
      <c r="K275" s="38">
        <v>55.414059202569341</v>
      </c>
      <c r="L275" s="27">
        <f t="shared" si="8"/>
        <v>28.027474484674418</v>
      </c>
      <c r="M275" s="74">
        <f t="shared" si="9"/>
        <v>32.833871700321495</v>
      </c>
    </row>
    <row r="276" spans="1:13" ht="18" x14ac:dyDescent="0.25">
      <c r="A276" s="62" t="s">
        <v>317</v>
      </c>
      <c r="B276" s="63">
        <v>411310</v>
      </c>
      <c r="C276" s="37">
        <v>6</v>
      </c>
      <c r="D276" s="39">
        <v>5.6603773584905662E-2</v>
      </c>
      <c r="E276" s="38">
        <v>5.6603773584905666</v>
      </c>
      <c r="F276" s="6">
        <v>153</v>
      </c>
      <c r="G276" s="6">
        <v>510</v>
      </c>
      <c r="H276" s="40">
        <v>0.3</v>
      </c>
      <c r="I276" s="38">
        <v>46.396672114098941</v>
      </c>
      <c r="J276" s="39">
        <v>0.39997718056376014</v>
      </c>
      <c r="K276" s="38">
        <v>72.101103082183414</v>
      </c>
      <c r="L276" s="27">
        <f t="shared" si="8"/>
        <v>41.386050851590973</v>
      </c>
      <c r="M276" s="74">
        <f t="shared" si="9"/>
        <v>53.567514934200574</v>
      </c>
    </row>
    <row r="277" spans="1:13" ht="18" x14ac:dyDescent="0.25">
      <c r="A277" s="62" t="s">
        <v>309</v>
      </c>
      <c r="B277" s="63">
        <v>411380</v>
      </c>
      <c r="C277" s="37">
        <v>9</v>
      </c>
      <c r="D277" s="39">
        <v>3.125E-2</v>
      </c>
      <c r="E277" s="38">
        <v>3.125</v>
      </c>
      <c r="F277" s="6">
        <v>171</v>
      </c>
      <c r="G277" s="6">
        <v>566</v>
      </c>
      <c r="H277" s="40">
        <v>0.30212014134275617</v>
      </c>
      <c r="I277" s="38">
        <v>46.761332645273455</v>
      </c>
      <c r="J277" s="39">
        <v>0.41357468049911983</v>
      </c>
      <c r="K277" s="38">
        <v>69.837897469614106</v>
      </c>
      <c r="L277" s="27">
        <f t="shared" si="8"/>
        <v>39.908076704962518</v>
      </c>
      <c r="M277" s="74">
        <f t="shared" si="9"/>
        <v>51.273573736919801</v>
      </c>
    </row>
    <row r="278" spans="1:13" ht="18" x14ac:dyDescent="0.25">
      <c r="A278" s="62" t="s">
        <v>285</v>
      </c>
      <c r="B278" s="63">
        <v>411860</v>
      </c>
      <c r="C278" s="37">
        <v>0</v>
      </c>
      <c r="D278" s="39">
        <v>1.3157894736842105E-2</v>
      </c>
      <c r="E278" s="38">
        <v>1.3157894736842104</v>
      </c>
      <c r="F278" s="6">
        <v>128</v>
      </c>
      <c r="G278" s="6">
        <v>706</v>
      </c>
      <c r="H278" s="40">
        <v>0.18130311614730879</v>
      </c>
      <c r="I278" s="38">
        <v>25.981019703767995</v>
      </c>
      <c r="J278" s="39">
        <v>0.4266695030201445</v>
      </c>
      <c r="K278" s="38">
        <v>67.658358880456689</v>
      </c>
      <c r="L278" s="27">
        <f t="shared" si="8"/>
        <v>31.651722685969631</v>
      </c>
      <c r="M278" s="74">
        <f t="shared" si="9"/>
        <v>38.459012219245494</v>
      </c>
    </row>
    <row r="279" spans="1:13" ht="18" x14ac:dyDescent="0.25">
      <c r="A279" s="62" t="s">
        <v>308</v>
      </c>
      <c r="B279" s="63">
        <v>410335</v>
      </c>
      <c r="C279" s="37">
        <v>4</v>
      </c>
      <c r="D279" s="39">
        <v>0</v>
      </c>
      <c r="E279" s="38">
        <v>0</v>
      </c>
      <c r="F279" s="6">
        <v>161</v>
      </c>
      <c r="G279" s="6">
        <v>569</v>
      </c>
      <c r="H279" s="40">
        <v>0.28295254833040423</v>
      </c>
      <c r="I279" s="38">
        <v>43.464540819057433</v>
      </c>
      <c r="J279" s="39">
        <v>0.41838691290180019</v>
      </c>
      <c r="K279" s="38">
        <v>69.036936158012097</v>
      </c>
      <c r="L279" s="27">
        <f t="shared" si="8"/>
        <v>37.500492325689841</v>
      </c>
      <c r="M279" s="74">
        <f t="shared" si="9"/>
        <v>47.53679863422807</v>
      </c>
    </row>
    <row r="280" spans="1:13" ht="18" x14ac:dyDescent="0.25">
      <c r="A280" s="62" t="s">
        <v>293</v>
      </c>
      <c r="B280" s="63">
        <v>412265</v>
      </c>
      <c r="C280" s="37">
        <v>1</v>
      </c>
      <c r="D280" s="39">
        <v>2.6315789473684209E-2</v>
      </c>
      <c r="E280" s="38">
        <v>2.6315789473684208</v>
      </c>
      <c r="F280" s="6">
        <v>212</v>
      </c>
      <c r="G280" s="6">
        <v>619</v>
      </c>
      <c r="H280" s="40">
        <v>0.34248788368336025</v>
      </c>
      <c r="I280" s="38">
        <v>53.704512360407044</v>
      </c>
      <c r="J280" s="39">
        <v>0.3468983292843999</v>
      </c>
      <c r="K280" s="38">
        <v>80.93569434493395</v>
      </c>
      <c r="L280" s="27">
        <f t="shared" si="8"/>
        <v>45.75726188423647</v>
      </c>
      <c r="M280" s="74">
        <f t="shared" si="9"/>
        <v>60.352005104524572</v>
      </c>
    </row>
    <row r="281" spans="1:13" ht="18" x14ac:dyDescent="0.25">
      <c r="A281" s="62" t="s">
        <v>292</v>
      </c>
      <c r="B281" s="63">
        <v>412400</v>
      </c>
      <c r="C281" s="37">
        <v>4</v>
      </c>
      <c r="D281" s="39">
        <v>0</v>
      </c>
      <c r="E281" s="38">
        <v>0</v>
      </c>
      <c r="F281" s="6">
        <v>180</v>
      </c>
      <c r="G281" s="6">
        <v>695</v>
      </c>
      <c r="H281" s="40">
        <v>0.25899280575539568</v>
      </c>
      <c r="I281" s="38">
        <v>39.343507811489623</v>
      </c>
      <c r="J281" s="39">
        <v>0.37947181336731095</v>
      </c>
      <c r="K281" s="38">
        <v>75.514073286074861</v>
      </c>
      <c r="L281" s="27">
        <f t="shared" si="8"/>
        <v>38.28586036585483</v>
      </c>
      <c r="M281" s="74">
        <f t="shared" si="9"/>
        <v>48.755756426197507</v>
      </c>
    </row>
    <row r="282" spans="1:13" ht="18" x14ac:dyDescent="0.25">
      <c r="A282" s="62" t="s">
        <v>278</v>
      </c>
      <c r="B282" s="63">
        <v>411720</v>
      </c>
      <c r="C282" s="37">
        <v>6</v>
      </c>
      <c r="D282" s="39">
        <v>0</v>
      </c>
      <c r="E282" s="38">
        <v>0</v>
      </c>
      <c r="F282" s="6">
        <v>156</v>
      </c>
      <c r="G282" s="6">
        <v>686</v>
      </c>
      <c r="H282" s="40">
        <v>0.22740524781341107</v>
      </c>
      <c r="I282" s="38">
        <v>33.910504159640809</v>
      </c>
      <c r="J282" s="39">
        <v>0.43147615754082491</v>
      </c>
      <c r="K282" s="38">
        <v>66.858325967009364</v>
      </c>
      <c r="L282" s="27">
        <f t="shared" si="8"/>
        <v>33.589610042216727</v>
      </c>
      <c r="M282" s="74">
        <f t="shared" si="9"/>
        <v>41.466777715229014</v>
      </c>
    </row>
    <row r="283" spans="1:13" ht="18" x14ac:dyDescent="0.25">
      <c r="A283" s="62" t="s">
        <v>332</v>
      </c>
      <c r="B283" s="63">
        <v>411721</v>
      </c>
      <c r="C283" s="37">
        <v>4</v>
      </c>
      <c r="D283" s="39">
        <v>7.9365079365079361E-2</v>
      </c>
      <c r="E283" s="38">
        <v>7.9365079365079358</v>
      </c>
      <c r="F283" s="6">
        <v>201</v>
      </c>
      <c r="G283" s="6">
        <v>560</v>
      </c>
      <c r="H283" s="40">
        <v>0.35892857142857143</v>
      </c>
      <c r="I283" s="38">
        <v>56.532281342190714</v>
      </c>
      <c r="J283" s="39">
        <v>0.38698726584521348</v>
      </c>
      <c r="K283" s="38">
        <v>74.263180525652345</v>
      </c>
      <c r="L283" s="27">
        <f t="shared" si="8"/>
        <v>46.243989934783663</v>
      </c>
      <c r="M283" s="74">
        <f t="shared" si="9"/>
        <v>61.107448310056547</v>
      </c>
    </row>
    <row r="284" spans="1:13" ht="18" x14ac:dyDescent="0.25">
      <c r="A284" s="62" t="s">
        <v>318</v>
      </c>
      <c r="B284" s="63">
        <v>410753</v>
      </c>
      <c r="C284" s="37">
        <v>8</v>
      </c>
      <c r="D284" s="39">
        <v>1.1904761904761904E-2</v>
      </c>
      <c r="E284" s="38">
        <v>1.1904761904761905</v>
      </c>
      <c r="F284" s="6">
        <v>63</v>
      </c>
      <c r="G284" s="6">
        <v>593</v>
      </c>
      <c r="H284" s="40">
        <v>0.10623946037099494</v>
      </c>
      <c r="I284" s="38">
        <v>13.070204733428653</v>
      </c>
      <c r="J284" s="39">
        <v>0.54000508230691868</v>
      </c>
      <c r="K284" s="38">
        <v>48.794470638868994</v>
      </c>
      <c r="L284" s="27">
        <f t="shared" si="8"/>
        <v>21.018383854257944</v>
      </c>
      <c r="M284" s="74">
        <f t="shared" si="9"/>
        <v>21.955168720797065</v>
      </c>
    </row>
    <row r="285" spans="1:13" ht="18" x14ac:dyDescent="0.25">
      <c r="A285" s="62" t="s">
        <v>266</v>
      </c>
      <c r="B285" s="63">
        <v>411900</v>
      </c>
      <c r="C285" s="37">
        <v>4</v>
      </c>
      <c r="D285" s="39">
        <v>0</v>
      </c>
      <c r="E285" s="38">
        <v>0</v>
      </c>
      <c r="F285" s="6">
        <v>113</v>
      </c>
      <c r="G285" s="6">
        <v>703</v>
      </c>
      <c r="H285" s="40">
        <v>0.16073968705547653</v>
      </c>
      <c r="I285" s="38">
        <v>22.444146560372349</v>
      </c>
      <c r="J285" s="39">
        <v>0.31256253675879986</v>
      </c>
      <c r="K285" s="38">
        <v>86.650638910138525</v>
      </c>
      <c r="L285" s="27">
        <f t="shared" si="8"/>
        <v>36.364928490170293</v>
      </c>
      <c r="M285" s="74">
        <f t="shared" si="9"/>
        <v>45.77430727375144</v>
      </c>
    </row>
    <row r="286" spans="1:13" ht="18" x14ac:dyDescent="0.25">
      <c r="A286" s="62" t="s">
        <v>264</v>
      </c>
      <c r="B286" s="63">
        <v>410020</v>
      </c>
      <c r="C286" s="37">
        <v>2</v>
      </c>
      <c r="D286" s="39">
        <v>2.4390243902439025E-2</v>
      </c>
      <c r="E286" s="38">
        <v>2.4390243902439024</v>
      </c>
      <c r="F286" s="6">
        <v>241</v>
      </c>
      <c r="G286" s="6">
        <v>826</v>
      </c>
      <c r="H286" s="40">
        <v>0.29176755447941888</v>
      </c>
      <c r="I286" s="38">
        <v>44.980706161330083</v>
      </c>
      <c r="J286" s="39">
        <v>0.53345403716246764</v>
      </c>
      <c r="K286" s="38">
        <v>49.884844767171884</v>
      </c>
      <c r="L286" s="27">
        <f t="shared" si="8"/>
        <v>32.434858439581951</v>
      </c>
      <c r="M286" s="74">
        <f t="shared" si="9"/>
        <v>39.674505313203149</v>
      </c>
    </row>
    <row r="287" spans="1:13" ht="18" x14ac:dyDescent="0.25">
      <c r="A287" s="62" t="s">
        <v>349</v>
      </c>
      <c r="B287" s="63">
        <v>412033</v>
      </c>
      <c r="C287" s="37">
        <v>3</v>
      </c>
      <c r="D287" s="39">
        <v>0</v>
      </c>
      <c r="E287" s="38">
        <v>0</v>
      </c>
      <c r="F287" s="6">
        <v>128</v>
      </c>
      <c r="G287" s="6">
        <v>499</v>
      </c>
      <c r="H287" s="40">
        <v>0.25651302605210419</v>
      </c>
      <c r="I287" s="38">
        <v>38.916990123464871</v>
      </c>
      <c r="J287" s="39">
        <v>0.52716661588912483</v>
      </c>
      <c r="K287" s="38">
        <v>50.93134060700001</v>
      </c>
      <c r="L287" s="27">
        <f t="shared" si="8"/>
        <v>29.949443576821626</v>
      </c>
      <c r="M287" s="74">
        <f t="shared" si="9"/>
        <v>35.816930700666212</v>
      </c>
    </row>
    <row r="288" spans="1:13" ht="18" x14ac:dyDescent="0.25">
      <c r="A288" s="62" t="s">
        <v>235</v>
      </c>
      <c r="B288" s="63">
        <v>410330</v>
      </c>
      <c r="C288" s="37">
        <v>5</v>
      </c>
      <c r="D288" s="39">
        <v>0.04</v>
      </c>
      <c r="E288" s="38">
        <v>4</v>
      </c>
      <c r="F288" s="6">
        <v>228</v>
      </c>
      <c r="G288" s="6">
        <v>818</v>
      </c>
      <c r="H288" s="40">
        <v>0.27872860635696822</v>
      </c>
      <c r="I288" s="38">
        <v>42.73803033005337</v>
      </c>
      <c r="J288" s="39">
        <v>0.3960488029842863</v>
      </c>
      <c r="K288" s="38">
        <v>72.754953144946555</v>
      </c>
      <c r="L288" s="27">
        <f t="shared" si="8"/>
        <v>39.830994491666644</v>
      </c>
      <c r="M288" s="74">
        <f t="shared" si="9"/>
        <v>51.153935605860227</v>
      </c>
    </row>
    <row r="289" spans="1:13" ht="18" x14ac:dyDescent="0.25">
      <c r="A289" s="62" t="s">
        <v>229</v>
      </c>
      <c r="B289" s="63">
        <v>412600</v>
      </c>
      <c r="C289" s="37">
        <v>9</v>
      </c>
      <c r="D289" s="39">
        <v>5.5555555555555552E-2</v>
      </c>
      <c r="E289" s="38">
        <v>5.5555555555555554</v>
      </c>
      <c r="F289" s="6">
        <v>349</v>
      </c>
      <c r="G289" s="6">
        <v>986</v>
      </c>
      <c r="H289" s="40">
        <v>0.3539553752535497</v>
      </c>
      <c r="I289" s="38">
        <v>55.676900466281317</v>
      </c>
      <c r="J289" s="39">
        <v>0.35364729502352965</v>
      </c>
      <c r="K289" s="38">
        <v>79.812377763764772</v>
      </c>
      <c r="L289" s="27">
        <f t="shared" si="8"/>
        <v>47.014944595200546</v>
      </c>
      <c r="M289" s="74">
        <f t="shared" si="9"/>
        <v>62.304035314504659</v>
      </c>
    </row>
    <row r="290" spans="1:13" ht="18" x14ac:dyDescent="0.25">
      <c r="A290" s="62" t="s">
        <v>331</v>
      </c>
      <c r="B290" s="63">
        <v>412065</v>
      </c>
      <c r="C290" s="37">
        <v>5</v>
      </c>
      <c r="D290" s="39">
        <v>3.5087719298245612E-2</v>
      </c>
      <c r="E290" s="38">
        <v>3.5087719298245612</v>
      </c>
      <c r="F290" s="6">
        <v>109</v>
      </c>
      <c r="G290" s="6">
        <v>541</v>
      </c>
      <c r="H290" s="40">
        <v>0.20147874306839186</v>
      </c>
      <c r="I290" s="38">
        <v>29.45119156516693</v>
      </c>
      <c r="J290" s="39">
        <v>0.49676425884941527</v>
      </c>
      <c r="K290" s="38">
        <v>55.991593257465389</v>
      </c>
      <c r="L290" s="27">
        <f t="shared" si="8"/>
        <v>29.650518917485627</v>
      </c>
      <c r="M290" s="74">
        <f t="shared" si="9"/>
        <v>35.352974282688123</v>
      </c>
    </row>
    <row r="291" spans="1:13" ht="18" x14ac:dyDescent="0.25">
      <c r="A291" s="62" t="s">
        <v>275</v>
      </c>
      <c r="B291" s="63">
        <v>411100</v>
      </c>
      <c r="C291" s="37">
        <v>1</v>
      </c>
      <c r="D291" s="39">
        <v>0</v>
      </c>
      <c r="E291" s="38">
        <v>0</v>
      </c>
      <c r="F291" s="6">
        <v>227</v>
      </c>
      <c r="G291" s="6">
        <v>663</v>
      </c>
      <c r="H291" s="40">
        <v>0.34238310708898945</v>
      </c>
      <c r="I291" s="38">
        <v>53.68649097297056</v>
      </c>
      <c r="J291" s="39">
        <v>0.39917042761239885</v>
      </c>
      <c r="K291" s="38">
        <v>72.235381281569886</v>
      </c>
      <c r="L291" s="27">
        <f t="shared" si="8"/>
        <v>41.973957418180149</v>
      </c>
      <c r="M291" s="74">
        <f t="shared" si="9"/>
        <v>54.479995775849446</v>
      </c>
    </row>
    <row r="292" spans="1:13" ht="18" x14ac:dyDescent="0.25">
      <c r="A292" s="62" t="s">
        <v>336</v>
      </c>
      <c r="B292" s="63">
        <v>411970</v>
      </c>
      <c r="C292" s="37">
        <v>7</v>
      </c>
      <c r="D292" s="39">
        <v>2.0833333333333332E-2</v>
      </c>
      <c r="E292" s="38">
        <v>2.083333333333333</v>
      </c>
      <c r="F292" s="6">
        <v>209</v>
      </c>
      <c r="G292" s="6">
        <v>542</v>
      </c>
      <c r="H292" s="40">
        <v>0.38560885608856088</v>
      </c>
      <c r="I292" s="38">
        <v>61.121242738203641</v>
      </c>
      <c r="J292" s="39">
        <v>0.42306562404300951</v>
      </c>
      <c r="K292" s="38">
        <v>68.258198495595224</v>
      </c>
      <c r="L292" s="27">
        <f t="shared" si="8"/>
        <v>43.820924855710736</v>
      </c>
      <c r="M292" s="74">
        <f t="shared" si="9"/>
        <v>57.346645848621399</v>
      </c>
    </row>
    <row r="293" spans="1:13" ht="18" x14ac:dyDescent="0.25">
      <c r="A293" s="62" t="s">
        <v>312</v>
      </c>
      <c r="B293" s="63">
        <v>410090</v>
      </c>
      <c r="C293" s="37">
        <v>5</v>
      </c>
      <c r="D293" s="39">
        <v>1.7857142857142856E-2</v>
      </c>
      <c r="E293" s="38">
        <v>1.7857142857142856</v>
      </c>
      <c r="F293" s="6">
        <v>292</v>
      </c>
      <c r="G293" s="6">
        <v>616</v>
      </c>
      <c r="H293" s="40">
        <v>0.47402597402597402</v>
      </c>
      <c r="I293" s="38">
        <v>76.328829393752883</v>
      </c>
      <c r="J293" s="39">
        <v>0.43144540590649444</v>
      </c>
      <c r="K293" s="38">
        <v>66.863444354341112</v>
      </c>
      <c r="L293" s="27">
        <f t="shared" si="8"/>
        <v>48.325996011269432</v>
      </c>
      <c r="M293" s="74">
        <f t="shared" si="9"/>
        <v>64.338898280094654</v>
      </c>
    </row>
    <row r="294" spans="1:13" ht="18" x14ac:dyDescent="0.25">
      <c r="A294" s="62" t="s">
        <v>274</v>
      </c>
      <c r="B294" s="63">
        <v>411585</v>
      </c>
      <c r="C294" s="37">
        <v>3</v>
      </c>
      <c r="D294" s="39">
        <v>0</v>
      </c>
      <c r="E294" s="38">
        <v>0</v>
      </c>
      <c r="F294" s="6">
        <v>64</v>
      </c>
      <c r="G294" s="6">
        <v>725</v>
      </c>
      <c r="H294" s="40">
        <v>8.827586206896551E-2</v>
      </c>
      <c r="I294" s="38">
        <v>9.9804978509111208</v>
      </c>
      <c r="J294" s="39">
        <v>0.51162069192362569</v>
      </c>
      <c r="K294" s="38">
        <v>53.518847320627557</v>
      </c>
      <c r="L294" s="27">
        <f t="shared" si="8"/>
        <v>21.166448390512894</v>
      </c>
      <c r="M294" s="74">
        <f t="shared" si="9"/>
        <v>22.184977435886104</v>
      </c>
    </row>
    <row r="295" spans="1:13" ht="18" x14ac:dyDescent="0.25">
      <c r="A295" s="62" t="s">
        <v>233</v>
      </c>
      <c r="B295" s="63">
        <v>410895</v>
      </c>
      <c r="C295" s="37">
        <v>7</v>
      </c>
      <c r="D295" s="39">
        <v>5.2631578947368418E-2</v>
      </c>
      <c r="E295" s="38">
        <v>5.2631578947368416</v>
      </c>
      <c r="F295" s="6">
        <v>276</v>
      </c>
      <c r="G295" s="6">
        <v>1043</v>
      </c>
      <c r="H295" s="40">
        <v>0.26462128475551294</v>
      </c>
      <c r="I295" s="38">
        <v>40.311596165079841</v>
      </c>
      <c r="J295" s="39">
        <v>0.40741931980246265</v>
      </c>
      <c r="K295" s="38">
        <v>70.862412780685119</v>
      </c>
      <c r="L295" s="27">
        <f t="shared" si="8"/>
        <v>38.812388946833934</v>
      </c>
      <c r="M295" s="74">
        <f t="shared" si="9"/>
        <v>49.572973429762172</v>
      </c>
    </row>
    <row r="296" spans="1:13" ht="18" x14ac:dyDescent="0.25">
      <c r="A296" s="62" t="s">
        <v>327</v>
      </c>
      <c r="B296" s="63">
        <v>411040</v>
      </c>
      <c r="C296" s="37">
        <v>9</v>
      </c>
      <c r="D296" s="39">
        <v>2.3809523809523808E-2</v>
      </c>
      <c r="E296" s="38">
        <v>2.3809523809523809</v>
      </c>
      <c r="F296" s="6">
        <v>91</v>
      </c>
      <c r="G296" s="6">
        <v>547</v>
      </c>
      <c r="H296" s="40">
        <v>0.1663619744058501</v>
      </c>
      <c r="I296" s="38">
        <v>23.411169961245097</v>
      </c>
      <c r="J296" s="39">
        <v>0.50928199515740435</v>
      </c>
      <c r="K296" s="38">
        <v>53.90810649860672</v>
      </c>
      <c r="L296" s="27">
        <f t="shared" si="8"/>
        <v>26.566742946934735</v>
      </c>
      <c r="M296" s="74">
        <f t="shared" si="9"/>
        <v>30.566692494086894</v>
      </c>
    </row>
    <row r="297" spans="1:13" ht="18" x14ac:dyDescent="0.25">
      <c r="A297" s="62" t="s">
        <v>354</v>
      </c>
      <c r="B297" s="63">
        <v>411130</v>
      </c>
      <c r="C297" s="37">
        <v>8</v>
      </c>
      <c r="D297" s="39">
        <v>0</v>
      </c>
      <c r="E297" s="38">
        <v>0</v>
      </c>
      <c r="F297" s="6">
        <v>162</v>
      </c>
      <c r="G297" s="6">
        <v>448</v>
      </c>
      <c r="H297" s="40">
        <v>0.36160714285714285</v>
      </c>
      <c r="I297" s="38">
        <v>56.99299085255852</v>
      </c>
      <c r="J297" s="39">
        <v>0.40274961802130627</v>
      </c>
      <c r="K297" s="38">
        <v>71.639650900220246</v>
      </c>
      <c r="L297" s="27">
        <f t="shared" si="8"/>
        <v>42.877547250926256</v>
      </c>
      <c r="M297" s="74">
        <f t="shared" si="9"/>
        <v>55.882443814273365</v>
      </c>
    </row>
    <row r="298" spans="1:13" ht="18" x14ac:dyDescent="0.25">
      <c r="A298" s="62" t="s">
        <v>322</v>
      </c>
      <c r="B298" s="63">
        <v>410670</v>
      </c>
      <c r="C298" s="37">
        <v>4</v>
      </c>
      <c r="D298" s="39">
        <v>0</v>
      </c>
      <c r="E298" s="38">
        <v>0</v>
      </c>
      <c r="F298" s="6">
        <v>141</v>
      </c>
      <c r="G298" s="6">
        <v>532</v>
      </c>
      <c r="H298" s="40">
        <v>0.26503759398496241</v>
      </c>
      <c r="I298" s="38">
        <v>40.38320061035072</v>
      </c>
      <c r="J298" s="39">
        <v>0.3770356354040299</v>
      </c>
      <c r="K298" s="38">
        <v>75.919557504933181</v>
      </c>
      <c r="L298" s="27">
        <f t="shared" si="8"/>
        <v>38.767586038427964</v>
      </c>
      <c r="M298" s="74">
        <f t="shared" si="9"/>
        <v>49.503435516947597</v>
      </c>
    </row>
    <row r="299" spans="1:13" ht="18" x14ac:dyDescent="0.25">
      <c r="A299" s="62" t="s">
        <v>303</v>
      </c>
      <c r="B299" s="63">
        <v>411230</v>
      </c>
      <c r="C299" s="37">
        <v>6</v>
      </c>
      <c r="D299" s="39">
        <v>4.8387096774193547E-2</v>
      </c>
      <c r="E299" s="38">
        <v>4.838709677419355</v>
      </c>
      <c r="F299" s="6">
        <v>183</v>
      </c>
      <c r="G299" s="6">
        <v>647</v>
      </c>
      <c r="H299" s="40">
        <v>0.28284389489953632</v>
      </c>
      <c r="I299" s="38">
        <v>43.445852622655053</v>
      </c>
      <c r="J299" s="39">
        <v>0.37662262625943305</v>
      </c>
      <c r="K299" s="38">
        <v>75.988299892764587</v>
      </c>
      <c r="L299" s="27">
        <f t="shared" si="8"/>
        <v>41.424287397613</v>
      </c>
      <c r="M299" s="74">
        <f t="shared" si="9"/>
        <v>53.626861295814365</v>
      </c>
    </row>
    <row r="300" spans="1:13" ht="18" x14ac:dyDescent="0.25">
      <c r="A300" s="62" t="s">
        <v>338</v>
      </c>
      <c r="B300" s="63">
        <v>410405</v>
      </c>
      <c r="C300" s="37">
        <v>5</v>
      </c>
      <c r="D300" s="39">
        <v>3.3333333333333333E-2</v>
      </c>
      <c r="E300" s="38">
        <v>3.3333333333333335</v>
      </c>
      <c r="F300" s="6">
        <v>173</v>
      </c>
      <c r="G300" s="6">
        <v>526</v>
      </c>
      <c r="H300" s="40">
        <v>0.32889733840304181</v>
      </c>
      <c r="I300" s="38">
        <v>51.366962801362284</v>
      </c>
      <c r="J300" s="39">
        <v>0.41352017469510088</v>
      </c>
      <c r="K300" s="38">
        <v>69.846969566849609</v>
      </c>
      <c r="L300" s="27">
        <f t="shared" si="8"/>
        <v>41.515755233848402</v>
      </c>
      <c r="M300" s="74">
        <f t="shared" si="9"/>
        <v>53.768827133474772</v>
      </c>
    </row>
    <row r="301" spans="1:13" ht="18" x14ac:dyDescent="0.25">
      <c r="A301" s="62" t="s">
        <v>314</v>
      </c>
      <c r="B301" s="63">
        <v>411550</v>
      </c>
      <c r="C301" s="37">
        <v>7</v>
      </c>
      <c r="D301" s="39">
        <v>0</v>
      </c>
      <c r="E301" s="38">
        <v>0</v>
      </c>
      <c r="F301" s="6">
        <v>133</v>
      </c>
      <c r="G301" s="6">
        <v>578</v>
      </c>
      <c r="H301" s="40">
        <v>0.2301038062283737</v>
      </c>
      <c r="I301" s="38">
        <v>34.374651396035183</v>
      </c>
      <c r="J301" s="39">
        <v>0.42660860426194325</v>
      </c>
      <c r="K301" s="38">
        <v>67.66849503872217</v>
      </c>
      <c r="L301" s="27">
        <f t="shared" si="8"/>
        <v>34.014382144919118</v>
      </c>
      <c r="M301" s="74">
        <f t="shared" si="9"/>
        <v>42.126060036281373</v>
      </c>
    </row>
    <row r="302" spans="1:13" ht="18" x14ac:dyDescent="0.25">
      <c r="A302" s="62" t="s">
        <v>257</v>
      </c>
      <c r="B302" s="63">
        <v>411535</v>
      </c>
      <c r="C302" s="37">
        <v>8</v>
      </c>
      <c r="D302" s="39">
        <v>0</v>
      </c>
      <c r="E302" s="38">
        <v>0</v>
      </c>
      <c r="F302" s="6">
        <v>89</v>
      </c>
      <c r="G302" s="6">
        <v>827</v>
      </c>
      <c r="H302" s="40">
        <v>0.10761789600967352</v>
      </c>
      <c r="I302" s="38">
        <v>13.307293205811799</v>
      </c>
      <c r="J302" s="39">
        <v>0.50687367860631949</v>
      </c>
      <c r="K302" s="38">
        <v>54.308953386723637</v>
      </c>
      <c r="L302" s="27">
        <f t="shared" si="8"/>
        <v>22.538748864178476</v>
      </c>
      <c r="M302" s="74">
        <f t="shared" si="9"/>
        <v>24.314904132351362</v>
      </c>
    </row>
    <row r="303" spans="1:13" ht="18" x14ac:dyDescent="0.25">
      <c r="A303" s="62" t="s">
        <v>315</v>
      </c>
      <c r="B303" s="63">
        <v>410900</v>
      </c>
      <c r="C303" s="37">
        <v>5</v>
      </c>
      <c r="D303" s="39">
        <v>0</v>
      </c>
      <c r="E303" s="38">
        <v>0</v>
      </c>
      <c r="F303" s="6">
        <v>133</v>
      </c>
      <c r="G303" s="6">
        <v>645</v>
      </c>
      <c r="H303" s="40">
        <v>0.20620155038759691</v>
      </c>
      <c r="I303" s="38">
        <v>30.263506004268116</v>
      </c>
      <c r="J303" s="39">
        <v>0.43212029801771096</v>
      </c>
      <c r="K303" s="38">
        <v>66.751113439007767</v>
      </c>
      <c r="L303" s="27">
        <f t="shared" si="8"/>
        <v>32.338206481091959</v>
      </c>
      <c r="M303" s="74">
        <f t="shared" si="9"/>
        <v>39.524493278226863</v>
      </c>
    </row>
    <row r="304" spans="1:13" ht="18" x14ac:dyDescent="0.25">
      <c r="A304" s="62" t="s">
        <v>277</v>
      </c>
      <c r="B304" s="63">
        <v>411470</v>
      </c>
      <c r="C304" s="37">
        <v>8</v>
      </c>
      <c r="D304" s="39">
        <v>0</v>
      </c>
      <c r="E304" s="38">
        <v>0</v>
      </c>
      <c r="F304" s="6">
        <v>189</v>
      </c>
      <c r="G304" s="6">
        <v>689</v>
      </c>
      <c r="H304" s="40">
        <v>0.27431059506531202</v>
      </c>
      <c r="I304" s="38">
        <v>41.978140264301445</v>
      </c>
      <c r="J304" s="39">
        <v>0.41409381851185667</v>
      </c>
      <c r="K304" s="38">
        <v>69.75149069853785</v>
      </c>
      <c r="L304" s="27">
        <f t="shared" si="8"/>
        <v>37.243210320946432</v>
      </c>
      <c r="M304" s="74">
        <f t="shared" si="9"/>
        <v>47.137475147179103</v>
      </c>
    </row>
    <row r="305" spans="1:13" ht="18" x14ac:dyDescent="0.25">
      <c r="A305" s="62" t="s">
        <v>288</v>
      </c>
      <c r="B305" s="63">
        <v>412640</v>
      </c>
      <c r="C305" s="37">
        <v>5</v>
      </c>
      <c r="D305" s="39">
        <v>3.0303030303030304E-2</v>
      </c>
      <c r="E305" s="38">
        <v>3.0303030303030303</v>
      </c>
      <c r="F305" s="6">
        <v>102</v>
      </c>
      <c r="G305" s="6">
        <v>590</v>
      </c>
      <c r="H305" s="40">
        <v>0.17288135593220338</v>
      </c>
      <c r="I305" s="38">
        <v>24.532491961050436</v>
      </c>
      <c r="J305" s="39">
        <v>0.48567541522275359</v>
      </c>
      <c r="K305" s="38">
        <v>57.83725115428966</v>
      </c>
      <c r="L305" s="27">
        <f t="shared" si="8"/>
        <v>28.46668204854771</v>
      </c>
      <c r="M305" s="74">
        <f t="shared" si="9"/>
        <v>33.515559081135713</v>
      </c>
    </row>
    <row r="306" spans="1:13" ht="18" x14ac:dyDescent="0.25">
      <c r="A306" s="62" t="s">
        <v>272</v>
      </c>
      <c r="B306" s="63">
        <v>412540</v>
      </c>
      <c r="C306" s="37">
        <v>7</v>
      </c>
      <c r="D306" s="39">
        <v>2.0408163265306121E-2</v>
      </c>
      <c r="E306" s="38">
        <v>2.0408163265306123</v>
      </c>
      <c r="F306" s="6">
        <v>241</v>
      </c>
      <c r="G306" s="6">
        <v>787</v>
      </c>
      <c r="H306" s="40">
        <v>0.3062261753494282</v>
      </c>
      <c r="I306" s="38">
        <v>47.467563174199974</v>
      </c>
      <c r="J306" s="39">
        <v>0.36626397246278036</v>
      </c>
      <c r="K306" s="38">
        <v>77.712422968528116</v>
      </c>
      <c r="L306" s="27">
        <f t="shared" si="8"/>
        <v>42.406934156419574</v>
      </c>
      <c r="M306" s="74">
        <f t="shared" si="9"/>
        <v>55.152012386950119</v>
      </c>
    </row>
    <row r="307" spans="1:13" ht="18" x14ac:dyDescent="0.25">
      <c r="A307" s="62" t="s">
        <v>340</v>
      </c>
      <c r="B307" s="63">
        <v>410315</v>
      </c>
      <c r="C307" s="37">
        <v>6</v>
      </c>
      <c r="D307" s="39">
        <v>6.6666666666666666E-2</v>
      </c>
      <c r="E307" s="38">
        <v>6.666666666666667</v>
      </c>
      <c r="F307" s="6">
        <v>147</v>
      </c>
      <c r="G307" s="6">
        <v>527</v>
      </c>
      <c r="H307" s="40">
        <v>0.27893738140417457</v>
      </c>
      <c r="I307" s="38">
        <v>42.773939265969538</v>
      </c>
      <c r="J307" s="39">
        <v>0.41318653061951049</v>
      </c>
      <c r="K307" s="38">
        <v>69.902502212414333</v>
      </c>
      <c r="L307" s="27">
        <f t="shared" si="8"/>
        <v>39.781036048350181</v>
      </c>
      <c r="M307" s="74">
        <f t="shared" si="9"/>
        <v>51.07639586571181</v>
      </c>
    </row>
    <row r="308" spans="1:13" ht="18" x14ac:dyDescent="0.25">
      <c r="A308" s="62" t="s">
        <v>311</v>
      </c>
      <c r="B308" s="63">
        <v>410780</v>
      </c>
      <c r="C308" s="37">
        <v>1</v>
      </c>
      <c r="D308" s="39">
        <v>0</v>
      </c>
      <c r="E308" s="38">
        <v>0</v>
      </c>
      <c r="F308" s="6">
        <v>90</v>
      </c>
      <c r="G308" s="6">
        <v>516</v>
      </c>
      <c r="H308" s="40">
        <v>0.1744186046511628</v>
      </c>
      <c r="I308" s="38">
        <v>24.796896000110564</v>
      </c>
      <c r="J308" s="39">
        <v>0.41351014791564256</v>
      </c>
      <c r="K308" s="38">
        <v>69.84863845183979</v>
      </c>
      <c r="L308" s="27">
        <f t="shared" si="8"/>
        <v>31.54851148398345</v>
      </c>
      <c r="M308" s="74">
        <f t="shared" si="9"/>
        <v>38.298819682185858</v>
      </c>
    </row>
    <row r="309" spans="1:13" ht="18" x14ac:dyDescent="0.25">
      <c r="A309" s="62" t="s">
        <v>297</v>
      </c>
      <c r="B309" s="63">
        <v>412290</v>
      </c>
      <c r="C309" s="37">
        <v>9</v>
      </c>
      <c r="D309" s="39">
        <v>6.9767441860465115E-2</v>
      </c>
      <c r="E309" s="38">
        <v>6.9767441860465116</v>
      </c>
      <c r="F309" s="6">
        <v>163</v>
      </c>
      <c r="G309" s="6">
        <v>645</v>
      </c>
      <c r="H309" s="40">
        <v>0.25271317829457363</v>
      </c>
      <c r="I309" s="38">
        <v>38.263423083523065</v>
      </c>
      <c r="J309" s="39">
        <v>0.34519071042287636</v>
      </c>
      <c r="K309" s="38">
        <v>81.21991516566581</v>
      </c>
      <c r="L309" s="27">
        <f t="shared" si="8"/>
        <v>42.153360811745131</v>
      </c>
      <c r="M309" s="74">
        <f t="shared" si="9"/>
        <v>54.758445054796233</v>
      </c>
    </row>
    <row r="310" spans="1:13" ht="18" x14ac:dyDescent="0.25">
      <c r="A310" s="62" t="s">
        <v>276</v>
      </c>
      <c r="B310" s="63">
        <v>411220</v>
      </c>
      <c r="C310" s="37">
        <v>7</v>
      </c>
      <c r="D310" s="39">
        <v>5.8823529411764705E-2</v>
      </c>
      <c r="E310" s="38">
        <v>5.8823529411764701</v>
      </c>
      <c r="F310" s="6">
        <v>125</v>
      </c>
      <c r="G310" s="6">
        <v>644</v>
      </c>
      <c r="H310" s="40">
        <v>0.19409937888198758</v>
      </c>
      <c r="I310" s="38">
        <v>28.181954081006484</v>
      </c>
      <c r="J310" s="39">
        <v>0.41589879779988964</v>
      </c>
      <c r="K310" s="38">
        <v>69.451064938312285</v>
      </c>
      <c r="L310" s="27">
        <f t="shared" si="8"/>
        <v>34.505123986831741</v>
      </c>
      <c r="M310" s="74">
        <f t="shared" si="9"/>
        <v>42.887732986353491</v>
      </c>
    </row>
    <row r="311" spans="1:13" ht="18" x14ac:dyDescent="0.25">
      <c r="A311" s="62" t="s">
        <v>329</v>
      </c>
      <c r="B311" s="63">
        <v>412040</v>
      </c>
      <c r="C311" s="37">
        <v>8</v>
      </c>
      <c r="D311" s="39">
        <v>6.8965517241379309E-2</v>
      </c>
      <c r="E311" s="38">
        <v>6.8965517241379306</v>
      </c>
      <c r="F311" s="6">
        <v>75</v>
      </c>
      <c r="G311" s="6">
        <v>535</v>
      </c>
      <c r="H311" s="40">
        <v>0.14018691588785046</v>
      </c>
      <c r="I311" s="38">
        <v>18.909106560939271</v>
      </c>
      <c r="J311" s="39">
        <v>0.39818231771630369</v>
      </c>
      <c r="K311" s="38">
        <v>72.399845033973548</v>
      </c>
      <c r="L311" s="27">
        <f t="shared" si="8"/>
        <v>32.735167773016919</v>
      </c>
      <c r="M311" s="74">
        <f t="shared" si="9"/>
        <v>40.140610862793366</v>
      </c>
    </row>
    <row r="312" spans="1:13" ht="18" x14ac:dyDescent="0.25">
      <c r="A312" s="62" t="s">
        <v>348</v>
      </c>
      <c r="B312" s="63">
        <v>411340</v>
      </c>
      <c r="C312" s="37">
        <v>3</v>
      </c>
      <c r="D312" s="39">
        <v>0</v>
      </c>
      <c r="E312" s="38">
        <v>0</v>
      </c>
      <c r="F312" s="6">
        <v>92</v>
      </c>
      <c r="G312" s="6">
        <v>436</v>
      </c>
      <c r="H312" s="40">
        <v>0.21100917431192662</v>
      </c>
      <c r="I312" s="38">
        <v>31.090408748240034</v>
      </c>
      <c r="J312" s="39">
        <v>0.44523227867191495</v>
      </c>
      <c r="K312" s="38">
        <v>64.568719002562432</v>
      </c>
      <c r="L312" s="27">
        <f t="shared" si="8"/>
        <v>31.886375916934156</v>
      </c>
      <c r="M312" s="74">
        <f t="shared" si="9"/>
        <v>38.823213930630295</v>
      </c>
    </row>
    <row r="313" spans="1:13" ht="18" x14ac:dyDescent="0.25">
      <c r="A313" s="62" t="s">
        <v>310</v>
      </c>
      <c r="B313" s="63">
        <v>410754</v>
      </c>
      <c r="C313" s="37">
        <v>6</v>
      </c>
      <c r="D313" s="39">
        <v>4.7619047619047616E-2</v>
      </c>
      <c r="E313" s="38">
        <v>4.7619047619047619</v>
      </c>
      <c r="F313" s="6">
        <v>325</v>
      </c>
      <c r="G313" s="6">
        <v>737</v>
      </c>
      <c r="H313" s="40">
        <v>0.44097693351424694</v>
      </c>
      <c r="I313" s="38">
        <v>70.644453345433661</v>
      </c>
      <c r="J313" s="39">
        <v>0.36290025842970247</v>
      </c>
      <c r="K313" s="38">
        <v>78.272288864092005</v>
      </c>
      <c r="L313" s="27">
        <f t="shared" si="8"/>
        <v>51.226215657143477</v>
      </c>
      <c r="M313" s="74">
        <f t="shared" si="9"/>
        <v>68.840285088524396</v>
      </c>
    </row>
    <row r="314" spans="1:13" ht="18" x14ac:dyDescent="0.25">
      <c r="A314" s="62" t="s">
        <v>335</v>
      </c>
      <c r="B314" s="63">
        <v>412280</v>
      </c>
      <c r="C314" s="37">
        <v>0</v>
      </c>
      <c r="D314" s="39">
        <v>0</v>
      </c>
      <c r="E314" s="38">
        <v>0</v>
      </c>
      <c r="F314" s="6">
        <v>77</v>
      </c>
      <c r="G314" s="6">
        <v>526</v>
      </c>
      <c r="H314" s="40">
        <v>0.14638783269961977</v>
      </c>
      <c r="I314" s="38">
        <v>19.97565319759379</v>
      </c>
      <c r="J314" s="39">
        <v>0.40508079758232368</v>
      </c>
      <c r="K314" s="38">
        <v>71.251642906730098</v>
      </c>
      <c r="L314" s="27">
        <f t="shared" si="8"/>
        <v>30.409098701441295</v>
      </c>
      <c r="M314" s="74">
        <f t="shared" si="9"/>
        <v>36.530354429566771</v>
      </c>
    </row>
    <row r="315" spans="1:13" ht="18" x14ac:dyDescent="0.25">
      <c r="A315" s="62" t="s">
        <v>319</v>
      </c>
      <c r="B315" s="63">
        <v>410300</v>
      </c>
      <c r="C315" s="37">
        <v>8</v>
      </c>
      <c r="D315" s="39">
        <v>0</v>
      </c>
      <c r="E315" s="38">
        <v>0</v>
      </c>
      <c r="F315" s="6">
        <v>126</v>
      </c>
      <c r="G315" s="6">
        <v>533</v>
      </c>
      <c r="H315" s="40">
        <v>0.23639774859287055</v>
      </c>
      <c r="I315" s="38">
        <v>35.457198261913248</v>
      </c>
      <c r="J315" s="39">
        <v>0.51340212129340257</v>
      </c>
      <c r="K315" s="38">
        <v>53.222341274130699</v>
      </c>
      <c r="L315" s="27">
        <f t="shared" si="8"/>
        <v>29.559846512014648</v>
      </c>
      <c r="M315" s="74">
        <f t="shared" si="9"/>
        <v>35.212243021020981</v>
      </c>
    </row>
    <row r="316" spans="1:13" ht="18" x14ac:dyDescent="0.25">
      <c r="A316" s="62" t="s">
        <v>296</v>
      </c>
      <c r="B316" s="63">
        <v>412610</v>
      </c>
      <c r="C316" s="37">
        <v>8</v>
      </c>
      <c r="D316" s="39">
        <v>9.0909090909090912E-2</v>
      </c>
      <c r="E316" s="38">
        <v>9.0909090909090917</v>
      </c>
      <c r="F316" s="6">
        <v>132</v>
      </c>
      <c r="G316" s="6">
        <v>659</v>
      </c>
      <c r="H316" s="40">
        <v>0.20030349013657056</v>
      </c>
      <c r="I316" s="38">
        <v>29.249050156129915</v>
      </c>
      <c r="J316" s="39">
        <v>0.44978929832800024</v>
      </c>
      <c r="K316" s="38">
        <v>63.810236008536371</v>
      </c>
      <c r="L316" s="27">
        <f t="shared" si="8"/>
        <v>34.050065085191797</v>
      </c>
      <c r="M316" s="74">
        <f t="shared" si="9"/>
        <v>42.181442985244551</v>
      </c>
    </row>
    <row r="317" spans="1:13" ht="18" x14ac:dyDescent="0.25">
      <c r="A317" s="62" t="s">
        <v>316</v>
      </c>
      <c r="B317" s="63">
        <v>411360</v>
      </c>
      <c r="C317" s="37">
        <v>1</v>
      </c>
      <c r="D317" s="39">
        <v>0</v>
      </c>
      <c r="E317" s="38">
        <v>0</v>
      </c>
      <c r="F317" s="6">
        <v>128</v>
      </c>
      <c r="G317" s="6">
        <v>530</v>
      </c>
      <c r="H317" s="40">
        <v>0.24150943396226415</v>
      </c>
      <c r="I317" s="38">
        <v>36.336399032356624</v>
      </c>
      <c r="J317" s="39">
        <v>0.45420495181816301</v>
      </c>
      <c r="K317" s="38">
        <v>63.07528239135636</v>
      </c>
      <c r="L317" s="27">
        <f t="shared" si="8"/>
        <v>33.137227141237666</v>
      </c>
      <c r="M317" s="74">
        <f t="shared" si="9"/>
        <v>40.764641094051612</v>
      </c>
    </row>
    <row r="318" spans="1:13" ht="18" x14ac:dyDescent="0.25">
      <c r="A318" s="62" t="s">
        <v>281</v>
      </c>
      <c r="B318" s="63">
        <v>412690</v>
      </c>
      <c r="C318" s="37">
        <v>0</v>
      </c>
      <c r="D318" s="39">
        <v>0</v>
      </c>
      <c r="E318" s="38">
        <v>0</v>
      </c>
      <c r="F318" s="6">
        <v>165</v>
      </c>
      <c r="G318" s="6">
        <v>686</v>
      </c>
      <c r="H318" s="40">
        <v>0.24052478134110788</v>
      </c>
      <c r="I318" s="38">
        <v>36.16704053695252</v>
      </c>
      <c r="J318" s="39">
        <v>0.41586505466300072</v>
      </c>
      <c r="K318" s="38">
        <v>69.45668123962912</v>
      </c>
      <c r="L318" s="27">
        <f t="shared" si="8"/>
        <v>35.207907258860551</v>
      </c>
      <c r="M318" s="74">
        <f t="shared" si="9"/>
        <v>43.97851221557363</v>
      </c>
    </row>
    <row r="319" spans="1:13" ht="18" x14ac:dyDescent="0.25">
      <c r="A319" s="62" t="s">
        <v>324</v>
      </c>
      <c r="B319" s="63">
        <v>411090</v>
      </c>
      <c r="C319" s="37">
        <v>4</v>
      </c>
      <c r="D319" s="39">
        <v>0</v>
      </c>
      <c r="E319" s="38">
        <v>0</v>
      </c>
      <c r="F319" s="6">
        <v>124</v>
      </c>
      <c r="G319" s="6">
        <v>616</v>
      </c>
      <c r="H319" s="40">
        <v>0.20129870129870131</v>
      </c>
      <c r="I319" s="38">
        <v>29.420224701757906</v>
      </c>
      <c r="J319" s="39">
        <v>0.3919971141407862</v>
      </c>
      <c r="K319" s="38">
        <v>73.429327476594693</v>
      </c>
      <c r="L319" s="27">
        <f t="shared" si="8"/>
        <v>34.283184059450868</v>
      </c>
      <c r="M319" s="74">
        <f t="shared" si="9"/>
        <v>42.543263400128403</v>
      </c>
    </row>
    <row r="320" spans="1:13" ht="18" x14ac:dyDescent="0.25">
      <c r="A320" s="62" t="s">
        <v>350</v>
      </c>
      <c r="B320" s="63">
        <v>410337</v>
      </c>
      <c r="C320" s="37">
        <v>0</v>
      </c>
      <c r="D320" s="39">
        <v>0</v>
      </c>
      <c r="E320" s="38">
        <v>0</v>
      </c>
      <c r="F320" s="6">
        <v>110</v>
      </c>
      <c r="G320" s="6">
        <v>506</v>
      </c>
      <c r="H320" s="40">
        <v>0.21739130434782608</v>
      </c>
      <c r="I320" s="38">
        <v>32.188123736378735</v>
      </c>
      <c r="J320" s="39">
        <v>0.47110705892819205</v>
      </c>
      <c r="K320" s="38">
        <v>60.262048792715895</v>
      </c>
      <c r="L320" s="27">
        <f t="shared" si="8"/>
        <v>30.816724176364875</v>
      </c>
      <c r="M320" s="74">
        <f t="shared" si="9"/>
        <v>37.163023730394137</v>
      </c>
    </row>
    <row r="321" spans="1:13" ht="18" x14ac:dyDescent="0.25">
      <c r="A321" s="62" t="s">
        <v>294</v>
      </c>
      <c r="B321" s="63">
        <v>411170</v>
      </c>
      <c r="C321" s="37">
        <v>4</v>
      </c>
      <c r="D321" s="39">
        <v>0</v>
      </c>
      <c r="E321" s="38">
        <v>0</v>
      </c>
      <c r="F321" s="6">
        <v>189</v>
      </c>
      <c r="G321" s="6">
        <v>634</v>
      </c>
      <c r="H321" s="40">
        <v>0.29810725552050471</v>
      </c>
      <c r="I321" s="38">
        <v>46.071123438003077</v>
      </c>
      <c r="J321" s="39">
        <v>0.38335700909207965</v>
      </c>
      <c r="K321" s="38">
        <v>74.867410531007579</v>
      </c>
      <c r="L321" s="27">
        <f t="shared" si="8"/>
        <v>40.312844656336885</v>
      </c>
      <c r="M321" s="74">
        <f t="shared" si="9"/>
        <v>51.901807918901078</v>
      </c>
    </row>
    <row r="322" spans="1:13" ht="18" x14ac:dyDescent="0.25">
      <c r="A322" s="62" t="s">
        <v>290</v>
      </c>
      <c r="B322" s="63">
        <v>411695</v>
      </c>
      <c r="C322" s="37">
        <v>0</v>
      </c>
      <c r="D322" s="39">
        <v>9.2592592592592587E-2</v>
      </c>
      <c r="E322" s="38">
        <v>9.2592592592592595</v>
      </c>
      <c r="F322" s="6">
        <v>113</v>
      </c>
      <c r="G322" s="6">
        <v>728</v>
      </c>
      <c r="H322" s="40">
        <v>0.15521978021978022</v>
      </c>
      <c r="I322" s="38">
        <v>21.494732425500516</v>
      </c>
      <c r="J322" s="39">
        <v>0.44944308800314159</v>
      </c>
      <c r="K322" s="38">
        <v>63.867860215491646</v>
      </c>
      <c r="L322" s="27">
        <f t="shared" si="8"/>
        <v>31.540617300083806</v>
      </c>
      <c r="M322" s="74">
        <f t="shared" si="9"/>
        <v>38.286567239402871</v>
      </c>
    </row>
    <row r="323" spans="1:13" ht="18" x14ac:dyDescent="0.25">
      <c r="A323" s="62" t="s">
        <v>306</v>
      </c>
      <c r="B323" s="63">
        <v>412670</v>
      </c>
      <c r="C323" s="37">
        <v>2</v>
      </c>
      <c r="D323" s="39">
        <v>2.564102564102564E-2</v>
      </c>
      <c r="E323" s="38">
        <v>2.5641025641025639</v>
      </c>
      <c r="F323" s="6">
        <v>148</v>
      </c>
      <c r="G323" s="6">
        <v>617</v>
      </c>
      <c r="H323" s="40">
        <v>0.23987034035656402</v>
      </c>
      <c r="I323" s="38">
        <v>36.054477854345755</v>
      </c>
      <c r="J323" s="39">
        <v>0.47054517337407215</v>
      </c>
      <c r="K323" s="38">
        <v>60.35557058317378</v>
      </c>
      <c r="L323" s="27">
        <f t="shared" ref="L323:L386" si="10">(K323+I323+E323)/3</f>
        <v>32.991383667207366</v>
      </c>
      <c r="M323" s="74">
        <f t="shared" ref="M323:M386" si="11">(L323-L$402)/(L$403-L$402)*100</f>
        <v>40.53827965586553</v>
      </c>
    </row>
    <row r="324" spans="1:13" ht="18" x14ac:dyDescent="0.25">
      <c r="A324" s="62" t="s">
        <v>326</v>
      </c>
      <c r="B324" s="63">
        <v>410347</v>
      </c>
      <c r="C324" s="37">
        <v>9</v>
      </c>
      <c r="D324" s="39">
        <v>0</v>
      </c>
      <c r="E324" s="38">
        <v>0</v>
      </c>
      <c r="F324" s="6">
        <v>124</v>
      </c>
      <c r="G324" s="6">
        <v>525</v>
      </c>
      <c r="H324" s="40">
        <v>0.2361904761904762</v>
      </c>
      <c r="I324" s="38">
        <v>35.421547778225836</v>
      </c>
      <c r="J324" s="39">
        <v>0.38189420615017328</v>
      </c>
      <c r="K324" s="38">
        <v>75.110883510889437</v>
      </c>
      <c r="L324" s="27">
        <f t="shared" si="10"/>
        <v>36.844143763038424</v>
      </c>
      <c r="M324" s="74">
        <f t="shared" si="11"/>
        <v>46.5180900112953</v>
      </c>
    </row>
    <row r="325" spans="1:13" ht="18" x14ac:dyDescent="0.25">
      <c r="A325" s="62" t="s">
        <v>300</v>
      </c>
      <c r="B325" s="63">
        <v>410710</v>
      </c>
      <c r="C325" s="37">
        <v>8</v>
      </c>
      <c r="D325" s="39">
        <v>0</v>
      </c>
      <c r="E325" s="38">
        <v>0</v>
      </c>
      <c r="F325" s="6">
        <v>141</v>
      </c>
      <c r="G325" s="6">
        <v>513</v>
      </c>
      <c r="H325" s="40">
        <v>0.27485380116959063</v>
      </c>
      <c r="I325" s="38">
        <v>42.071570745811684</v>
      </c>
      <c r="J325" s="39">
        <v>0.40627333442588182</v>
      </c>
      <c r="K325" s="38">
        <v>71.053153766052262</v>
      </c>
      <c r="L325" s="27">
        <f t="shared" si="10"/>
        <v>37.708241503954646</v>
      </c>
      <c r="M325" s="74">
        <f t="shared" si="11"/>
        <v>47.859242974550256</v>
      </c>
    </row>
    <row r="326" spans="1:13" ht="18" x14ac:dyDescent="0.25">
      <c r="A326" s="62" t="s">
        <v>304</v>
      </c>
      <c r="B326" s="63">
        <v>410965</v>
      </c>
      <c r="C326" s="37">
        <v>8</v>
      </c>
      <c r="D326" s="39">
        <v>3.7037037037037035E-2</v>
      </c>
      <c r="E326" s="38">
        <v>3.7037037037037033</v>
      </c>
      <c r="F326" s="6">
        <v>235</v>
      </c>
      <c r="G326" s="6">
        <v>726</v>
      </c>
      <c r="H326" s="40">
        <v>0.32369146005509641</v>
      </c>
      <c r="I326" s="38">
        <v>50.47156100653487</v>
      </c>
      <c r="J326" s="39">
        <v>0.48399768207308785</v>
      </c>
      <c r="K326" s="38">
        <v>58.116497714228444</v>
      </c>
      <c r="L326" s="27">
        <f t="shared" si="10"/>
        <v>37.430587474822339</v>
      </c>
      <c r="M326" s="74">
        <f t="shared" si="11"/>
        <v>47.428300378246711</v>
      </c>
    </row>
    <row r="327" spans="1:13" ht="18" x14ac:dyDescent="0.25">
      <c r="A327" s="62" t="s">
        <v>342</v>
      </c>
      <c r="B327" s="63">
        <v>411630</v>
      </c>
      <c r="C327" s="37">
        <v>7</v>
      </c>
      <c r="D327" s="39">
        <v>0</v>
      </c>
      <c r="E327" s="38">
        <v>0</v>
      </c>
      <c r="F327" s="6">
        <v>125</v>
      </c>
      <c r="G327" s="6">
        <v>510</v>
      </c>
      <c r="H327" s="40">
        <v>0.24509803921568626</v>
      </c>
      <c r="I327" s="38">
        <v>36.953632738194074</v>
      </c>
      <c r="J327" s="39">
        <v>0.39648491099114336</v>
      </c>
      <c r="K327" s="38">
        <v>72.682366118397752</v>
      </c>
      <c r="L327" s="27">
        <f t="shared" si="10"/>
        <v>36.545332952197278</v>
      </c>
      <c r="M327" s="74">
        <f t="shared" si="11"/>
        <v>46.05431029583476</v>
      </c>
    </row>
    <row r="328" spans="1:13" ht="18" x14ac:dyDescent="0.25">
      <c r="A328" s="62" t="s">
        <v>333</v>
      </c>
      <c r="B328" s="63">
        <v>410657</v>
      </c>
      <c r="C328" s="37">
        <v>1</v>
      </c>
      <c r="D328" s="39">
        <v>0</v>
      </c>
      <c r="E328" s="38">
        <v>0</v>
      </c>
      <c r="F328" s="6">
        <v>108</v>
      </c>
      <c r="G328" s="6">
        <v>541</v>
      </c>
      <c r="H328" s="40">
        <v>0.19963031423290203</v>
      </c>
      <c r="I328" s="38">
        <v>29.133265100834254</v>
      </c>
      <c r="J328" s="39">
        <v>0.47079474948195132</v>
      </c>
      <c r="K328" s="38">
        <v>60.314030443383338</v>
      </c>
      <c r="L328" s="27">
        <f t="shared" si="10"/>
        <v>29.815765181405865</v>
      </c>
      <c r="M328" s="74">
        <f t="shared" si="11"/>
        <v>35.609450496002196</v>
      </c>
    </row>
    <row r="329" spans="1:13" ht="18" x14ac:dyDescent="0.25">
      <c r="A329" s="62" t="s">
        <v>370</v>
      </c>
      <c r="B329" s="63">
        <v>412020</v>
      </c>
      <c r="C329" s="37">
        <v>0</v>
      </c>
      <c r="D329" s="39">
        <v>0</v>
      </c>
      <c r="E329" s="38">
        <v>0</v>
      </c>
      <c r="F329" s="6">
        <v>100</v>
      </c>
      <c r="G329" s="6">
        <v>395</v>
      </c>
      <c r="H329" s="40">
        <v>0.25316455696202533</v>
      </c>
      <c r="I329" s="38">
        <v>38.341059409608668</v>
      </c>
      <c r="J329" s="39">
        <v>0.52594478182520565</v>
      </c>
      <c r="K329" s="38">
        <v>51.134706058313547</v>
      </c>
      <c r="L329" s="27">
        <f t="shared" si="10"/>
        <v>29.825255155974073</v>
      </c>
      <c r="M329" s="74">
        <f t="shared" si="11"/>
        <v>35.624179741214512</v>
      </c>
    </row>
    <row r="330" spans="1:13" ht="18" x14ac:dyDescent="0.25">
      <c r="A330" s="62" t="s">
        <v>360</v>
      </c>
      <c r="B330" s="63">
        <v>412310</v>
      </c>
      <c r="C330" s="37">
        <v>5</v>
      </c>
      <c r="D330" s="39">
        <v>0.14285714285714285</v>
      </c>
      <c r="E330" s="38">
        <v>14.285714285714285</v>
      </c>
      <c r="F330" s="6">
        <v>140</v>
      </c>
      <c r="G330" s="6">
        <v>416</v>
      </c>
      <c r="H330" s="40">
        <v>0.33653846153846156</v>
      </c>
      <c r="I330" s="38">
        <v>52.681222358090587</v>
      </c>
      <c r="J330" s="39">
        <v>0.36381835498575832</v>
      </c>
      <c r="K330" s="38">
        <v>78.119478326241378</v>
      </c>
      <c r="L330" s="27">
        <f t="shared" si="10"/>
        <v>48.362138323348745</v>
      </c>
      <c r="M330" s="74">
        <f t="shared" si="11"/>
        <v>64.394994213053181</v>
      </c>
    </row>
    <row r="331" spans="1:13" ht="18" x14ac:dyDescent="0.25">
      <c r="A331" s="62" t="s">
        <v>366</v>
      </c>
      <c r="B331" s="63">
        <v>410115</v>
      </c>
      <c r="C331" s="37">
        <v>0</v>
      </c>
      <c r="D331" s="39">
        <v>7.1428571428571425E-2</v>
      </c>
      <c r="E331" s="38">
        <v>7.1428571428571423</v>
      </c>
      <c r="F331" s="6">
        <v>100</v>
      </c>
      <c r="G331" s="6">
        <v>444</v>
      </c>
      <c r="H331" s="40">
        <v>0.22522522522522523</v>
      </c>
      <c r="I331" s="38">
        <v>33.535544161008431</v>
      </c>
      <c r="J331" s="39">
        <v>0.44413769968450606</v>
      </c>
      <c r="K331" s="38">
        <v>64.750903765899864</v>
      </c>
      <c r="L331" s="27">
        <f t="shared" si="10"/>
        <v>35.143101689921814</v>
      </c>
      <c r="M331" s="74">
        <f t="shared" si="11"/>
        <v>43.877928477528613</v>
      </c>
    </row>
    <row r="332" spans="1:13" ht="18" x14ac:dyDescent="0.25">
      <c r="A332" s="62" t="s">
        <v>341</v>
      </c>
      <c r="B332" s="63">
        <v>412545</v>
      </c>
      <c r="C332" s="37">
        <v>6</v>
      </c>
      <c r="D332" s="39">
        <v>0</v>
      </c>
      <c r="E332" s="38">
        <v>0</v>
      </c>
      <c r="F332" s="6">
        <v>146</v>
      </c>
      <c r="G332" s="6">
        <v>555</v>
      </c>
      <c r="H332" s="40">
        <v>0.26306306306306304</v>
      </c>
      <c r="I332" s="38">
        <v>40.043584811969893</v>
      </c>
      <c r="J332" s="39">
        <v>0.38530743102202419</v>
      </c>
      <c r="K332" s="38">
        <v>74.542776893963037</v>
      </c>
      <c r="L332" s="27">
        <f t="shared" si="10"/>
        <v>38.195453901977643</v>
      </c>
      <c r="M332" s="74">
        <f t="shared" si="11"/>
        <v>48.615437928433899</v>
      </c>
    </row>
    <row r="333" spans="1:13" ht="18" x14ac:dyDescent="0.25">
      <c r="A333" s="62" t="s">
        <v>299</v>
      </c>
      <c r="B333" s="63">
        <v>412530</v>
      </c>
      <c r="C333" s="37">
        <v>8</v>
      </c>
      <c r="D333" s="39">
        <v>0.10526315789473684</v>
      </c>
      <c r="E333" s="38">
        <v>10.526315789473683</v>
      </c>
      <c r="F333" s="6">
        <v>70</v>
      </c>
      <c r="G333" s="6">
        <v>518</v>
      </c>
      <c r="H333" s="40">
        <v>0.13513513513513514</v>
      </c>
      <c r="I333" s="38">
        <v>18.040209277766849</v>
      </c>
      <c r="J333" s="39">
        <v>0.45182225593105563</v>
      </c>
      <c r="K333" s="38">
        <v>63.471864905081851</v>
      </c>
      <c r="L333" s="27">
        <f t="shared" si="10"/>
        <v>30.679463324107459</v>
      </c>
      <c r="M333" s="74">
        <f t="shared" si="11"/>
        <v>36.94998324894496</v>
      </c>
    </row>
    <row r="334" spans="1:13" ht="18" x14ac:dyDescent="0.25">
      <c r="A334" s="62" t="s">
        <v>320</v>
      </c>
      <c r="B334" s="63">
        <v>410715</v>
      </c>
      <c r="C334" s="37">
        <v>7</v>
      </c>
      <c r="D334" s="39">
        <v>6.5217391304347824E-2</v>
      </c>
      <c r="E334" s="38">
        <v>6.5217391304347823</v>
      </c>
      <c r="F334" s="6">
        <v>165</v>
      </c>
      <c r="G334" s="6">
        <v>621</v>
      </c>
      <c r="H334" s="40">
        <v>0.26570048309178745</v>
      </c>
      <c r="I334" s="38">
        <v>40.497216354928561</v>
      </c>
      <c r="J334" s="39">
        <v>0.3880627620367873</v>
      </c>
      <c r="K334" s="38">
        <v>74.084171955794815</v>
      </c>
      <c r="L334" s="27">
        <f t="shared" si="10"/>
        <v>40.367709147052722</v>
      </c>
      <c r="M334" s="74">
        <f t="shared" si="11"/>
        <v>51.9869622606113</v>
      </c>
    </row>
    <row r="335" spans="1:13" ht="18" x14ac:dyDescent="0.25">
      <c r="A335" s="62" t="s">
        <v>301</v>
      </c>
      <c r="B335" s="63">
        <v>412635</v>
      </c>
      <c r="C335" s="37">
        <v>5</v>
      </c>
      <c r="D335" s="39">
        <v>2.3255813953488372E-2</v>
      </c>
      <c r="E335" s="38">
        <v>2.3255813953488373</v>
      </c>
      <c r="F335" s="6">
        <v>59</v>
      </c>
      <c r="G335" s="6">
        <v>571</v>
      </c>
      <c r="H335" s="40">
        <v>0.10332749562171628</v>
      </c>
      <c r="I335" s="38">
        <v>12.569351987991883</v>
      </c>
      <c r="J335" s="39">
        <v>0.44584856878949586</v>
      </c>
      <c r="K335" s="38">
        <v>64.466141965628381</v>
      </c>
      <c r="L335" s="27">
        <f t="shared" si="10"/>
        <v>26.453691782989697</v>
      </c>
      <c r="M335" s="74">
        <f t="shared" si="11"/>
        <v>30.391227501708201</v>
      </c>
    </row>
    <row r="336" spans="1:13" ht="18" x14ac:dyDescent="0.25">
      <c r="A336" s="62" t="s">
        <v>365</v>
      </c>
      <c r="B336" s="63">
        <v>411573</v>
      </c>
      <c r="C336" s="37">
        <v>9</v>
      </c>
      <c r="D336" s="39">
        <v>3.4482758620689655E-2</v>
      </c>
      <c r="E336" s="38">
        <v>3.4482758620689653</v>
      </c>
      <c r="F336" s="6">
        <v>153</v>
      </c>
      <c r="G336" s="6">
        <v>390</v>
      </c>
      <c r="H336" s="40">
        <v>0.3923076923076923</v>
      </c>
      <c r="I336" s="38">
        <v>62.273430625235704</v>
      </c>
      <c r="J336" s="39">
        <v>0.37707479050933873</v>
      </c>
      <c r="K336" s="38">
        <v>75.913040420578184</v>
      </c>
      <c r="L336" s="27">
        <f t="shared" si="10"/>
        <v>47.211582302627619</v>
      </c>
      <c r="M336" s="74">
        <f t="shared" si="11"/>
        <v>62.609233709912857</v>
      </c>
    </row>
    <row r="337" spans="1:13" ht="18" x14ac:dyDescent="0.25">
      <c r="A337" s="62" t="s">
        <v>307</v>
      </c>
      <c r="B337" s="63">
        <v>411375</v>
      </c>
      <c r="C337" s="37">
        <v>9</v>
      </c>
      <c r="D337" s="39">
        <v>3.7037037037037035E-2</v>
      </c>
      <c r="E337" s="38">
        <v>3.7037037037037033</v>
      </c>
      <c r="F337" s="6">
        <v>180</v>
      </c>
      <c r="G337" s="6">
        <v>522</v>
      </c>
      <c r="H337" s="40">
        <v>0.34482758620689657</v>
      </c>
      <c r="I337" s="38">
        <v>54.106937023242949</v>
      </c>
      <c r="J337" s="39">
        <v>0.39488650605363679</v>
      </c>
      <c r="K337" s="38">
        <v>72.948409070625758</v>
      </c>
      <c r="L337" s="27">
        <f t="shared" si="10"/>
        <v>43.586349932524136</v>
      </c>
      <c r="M337" s="74">
        <f t="shared" si="11"/>
        <v>56.982565677547889</v>
      </c>
    </row>
    <row r="338" spans="1:13" ht="18" x14ac:dyDescent="0.25">
      <c r="A338" s="62" t="s">
        <v>385</v>
      </c>
      <c r="B338" s="63">
        <v>410810</v>
      </c>
      <c r="C338" s="37">
        <v>6</v>
      </c>
      <c r="D338" s="39">
        <v>0</v>
      </c>
      <c r="E338" s="38">
        <v>0</v>
      </c>
      <c r="F338" s="6">
        <v>61</v>
      </c>
      <c r="G338" s="6">
        <v>334</v>
      </c>
      <c r="H338" s="40">
        <v>0.18263473053892215</v>
      </c>
      <c r="I338" s="38">
        <v>26.210055005128652</v>
      </c>
      <c r="J338" s="39">
        <v>0.46801440625068497</v>
      </c>
      <c r="K338" s="38">
        <v>60.77679848425737</v>
      </c>
      <c r="L338" s="27">
        <f t="shared" si="10"/>
        <v>28.995617829795339</v>
      </c>
      <c r="M338" s="74">
        <f t="shared" si="11"/>
        <v>34.336512263630617</v>
      </c>
    </row>
    <row r="339" spans="1:13" ht="18" x14ac:dyDescent="0.25">
      <c r="A339" s="62" t="s">
        <v>262</v>
      </c>
      <c r="B339" s="63">
        <v>411870</v>
      </c>
      <c r="C339" s="37">
        <v>9</v>
      </c>
      <c r="D339" s="39">
        <v>1.282051282051282E-2</v>
      </c>
      <c r="E339" s="38">
        <v>1.2820512820512819</v>
      </c>
      <c r="F339" s="6">
        <v>108</v>
      </c>
      <c r="G339" s="6">
        <v>688</v>
      </c>
      <c r="H339" s="40">
        <v>0.15697674418604651</v>
      </c>
      <c r="I339" s="38">
        <v>21.79692709538995</v>
      </c>
      <c r="J339" s="39">
        <v>0.390718923071943</v>
      </c>
      <c r="K339" s="38">
        <v>73.642073144158132</v>
      </c>
      <c r="L339" s="27">
        <f t="shared" si="10"/>
        <v>32.240350507199786</v>
      </c>
      <c r="M339" s="74">
        <f t="shared" si="11"/>
        <v>39.372612509254438</v>
      </c>
    </row>
    <row r="340" spans="1:13" ht="18" x14ac:dyDescent="0.25">
      <c r="A340" s="62" t="s">
        <v>313</v>
      </c>
      <c r="B340" s="63">
        <v>410920</v>
      </c>
      <c r="C340" s="37">
        <v>3</v>
      </c>
      <c r="D340" s="39">
        <v>0</v>
      </c>
      <c r="E340" s="38">
        <v>0</v>
      </c>
      <c r="F340" s="6">
        <v>129</v>
      </c>
      <c r="G340" s="6">
        <v>560</v>
      </c>
      <c r="H340" s="40">
        <v>0.23035714285714284</v>
      </c>
      <c r="I340" s="38">
        <v>34.418224844535942</v>
      </c>
      <c r="J340" s="39">
        <v>0.31870720660865837</v>
      </c>
      <c r="K340" s="38">
        <v>85.627903013268138</v>
      </c>
      <c r="L340" s="27">
        <f t="shared" si="10"/>
        <v>40.01537595260136</v>
      </c>
      <c r="M340" s="74">
        <f t="shared" si="11"/>
        <v>51.440111267469611</v>
      </c>
    </row>
    <row r="341" spans="1:13" ht="18" x14ac:dyDescent="0.25">
      <c r="A341" s="62" t="s">
        <v>361</v>
      </c>
      <c r="B341" s="63">
        <v>412320</v>
      </c>
      <c r="C341" s="37">
        <v>4</v>
      </c>
      <c r="D341" s="39">
        <v>0</v>
      </c>
      <c r="E341" s="38">
        <v>0</v>
      </c>
      <c r="F341" s="6">
        <v>116</v>
      </c>
      <c r="G341" s="6">
        <v>428</v>
      </c>
      <c r="H341" s="40">
        <v>0.27102803738317754</v>
      </c>
      <c r="I341" s="38">
        <v>41.413546195105077</v>
      </c>
      <c r="J341" s="39">
        <v>0.40211930355244652</v>
      </c>
      <c r="K341" s="38">
        <v>71.744562189088697</v>
      </c>
      <c r="L341" s="27">
        <f t="shared" si="10"/>
        <v>37.719369461397925</v>
      </c>
      <c r="M341" s="74">
        <f t="shared" si="11"/>
        <v>47.87651450807401</v>
      </c>
    </row>
    <row r="342" spans="1:13" ht="18" x14ac:dyDescent="0.25">
      <c r="A342" s="62" t="s">
        <v>328</v>
      </c>
      <c r="B342" s="63">
        <v>410785</v>
      </c>
      <c r="C342" s="37">
        <v>0</v>
      </c>
      <c r="D342" s="39">
        <v>3.3613445378151259E-2</v>
      </c>
      <c r="E342" s="38">
        <v>3.3613445378151261</v>
      </c>
      <c r="F342" s="6">
        <v>176</v>
      </c>
      <c r="G342" s="6">
        <v>578</v>
      </c>
      <c r="H342" s="40">
        <v>0.30449826989619377</v>
      </c>
      <c r="I342" s="38">
        <v>47.170366516746611</v>
      </c>
      <c r="J342" s="39">
        <v>0.41943551387048905</v>
      </c>
      <c r="K342" s="38">
        <v>68.862404103666506</v>
      </c>
      <c r="L342" s="27">
        <f t="shared" si="10"/>
        <v>39.79803838607608</v>
      </c>
      <c r="M342" s="74">
        <f t="shared" si="11"/>
        <v>51.102784935539923</v>
      </c>
    </row>
    <row r="343" spans="1:13" ht="18" x14ac:dyDescent="0.25">
      <c r="A343" s="62" t="s">
        <v>347</v>
      </c>
      <c r="B343" s="63">
        <v>410655</v>
      </c>
      <c r="C343" s="37">
        <v>5</v>
      </c>
      <c r="D343" s="39">
        <v>3.125E-2</v>
      </c>
      <c r="E343" s="38">
        <v>3.125</v>
      </c>
      <c r="F343" s="6">
        <v>121</v>
      </c>
      <c r="G343" s="6">
        <v>432</v>
      </c>
      <c r="H343" s="40">
        <v>0.28009259259259262</v>
      </c>
      <c r="I343" s="38">
        <v>42.972633530871533</v>
      </c>
      <c r="J343" s="39">
        <v>0.40522855450342748</v>
      </c>
      <c r="K343" s="38">
        <v>71.227049834861901</v>
      </c>
      <c r="L343" s="27">
        <f t="shared" si="10"/>
        <v>39.108227788577814</v>
      </c>
      <c r="M343" s="74">
        <f t="shared" si="11"/>
        <v>50.032140397181877</v>
      </c>
    </row>
    <row r="344" spans="1:13" ht="18" x14ac:dyDescent="0.25">
      <c r="A344" s="62" t="s">
        <v>243</v>
      </c>
      <c r="B344" s="63">
        <v>410130</v>
      </c>
      <c r="C344" s="37">
        <v>9</v>
      </c>
      <c r="D344" s="39">
        <v>2.7272727272727271E-2</v>
      </c>
      <c r="E344" s="38">
        <v>2.7272727272727271</v>
      </c>
      <c r="F344" s="6">
        <v>340</v>
      </c>
      <c r="G344" s="6">
        <v>824</v>
      </c>
      <c r="H344" s="40">
        <v>0.41262135922330095</v>
      </c>
      <c r="I344" s="38">
        <v>65.767345119595902</v>
      </c>
      <c r="J344" s="39">
        <v>0.35812301555789183</v>
      </c>
      <c r="K344" s="38">
        <v>79.067426421105154</v>
      </c>
      <c r="L344" s="27">
        <f t="shared" si="10"/>
        <v>49.187348089324594</v>
      </c>
      <c r="M344" s="74">
        <f t="shared" si="11"/>
        <v>65.675789741776541</v>
      </c>
    </row>
    <row r="345" spans="1:13" ht="18" x14ac:dyDescent="0.25">
      <c r="A345" s="62" t="s">
        <v>362</v>
      </c>
      <c r="B345" s="63">
        <v>412395</v>
      </c>
      <c r="C345" s="37">
        <v>6</v>
      </c>
      <c r="D345" s="39">
        <v>4.5454545454545456E-2</v>
      </c>
      <c r="E345" s="38">
        <v>4.5454545454545459</v>
      </c>
      <c r="F345" s="6">
        <v>167</v>
      </c>
      <c r="G345" s="6">
        <v>488</v>
      </c>
      <c r="H345" s="40">
        <v>0.34221311475409838</v>
      </c>
      <c r="I345" s="38">
        <v>53.657252594430958</v>
      </c>
      <c r="J345" s="39">
        <v>0.39689651164689776</v>
      </c>
      <c r="K345" s="38">
        <v>72.613858163356824</v>
      </c>
      <c r="L345" s="27">
        <f t="shared" si="10"/>
        <v>43.60552176774744</v>
      </c>
      <c r="M345" s="74">
        <f t="shared" si="11"/>
        <v>57.012321991449951</v>
      </c>
    </row>
    <row r="346" spans="1:13" ht="18" x14ac:dyDescent="0.25">
      <c r="A346" s="62" t="s">
        <v>374</v>
      </c>
      <c r="B346" s="63">
        <v>412862</v>
      </c>
      <c r="C346" s="37">
        <v>5</v>
      </c>
      <c r="D346" s="39">
        <v>7.407407407407407E-2</v>
      </c>
      <c r="E346" s="38">
        <v>7.4074074074074066</v>
      </c>
      <c r="F346" s="6">
        <v>128</v>
      </c>
      <c r="G346" s="6">
        <v>439</v>
      </c>
      <c r="H346" s="40">
        <v>0.29157175398633256</v>
      </c>
      <c r="I346" s="38">
        <v>44.94702882559158</v>
      </c>
      <c r="J346" s="39">
        <v>0.49395377410227914</v>
      </c>
      <c r="K346" s="38">
        <v>56.459378135861918</v>
      </c>
      <c r="L346" s="27">
        <f t="shared" si="10"/>
        <v>36.271271456286968</v>
      </c>
      <c r="M346" s="74">
        <f t="shared" si="11"/>
        <v>45.628943615713055</v>
      </c>
    </row>
    <row r="347" spans="1:13" ht="18" x14ac:dyDescent="0.25">
      <c r="A347" s="62" t="s">
        <v>321</v>
      </c>
      <c r="B347" s="63">
        <v>411545</v>
      </c>
      <c r="C347" s="37">
        <v>7</v>
      </c>
      <c r="D347" s="39">
        <v>0</v>
      </c>
      <c r="E347" s="38">
        <v>0</v>
      </c>
      <c r="F347" s="6">
        <v>236</v>
      </c>
      <c r="G347" s="6">
        <v>627</v>
      </c>
      <c r="H347" s="40">
        <v>0.37639553429027112</v>
      </c>
      <c r="I347" s="38">
        <v>59.536567814371224</v>
      </c>
      <c r="J347" s="39">
        <v>0.45793668690558054</v>
      </c>
      <c r="K347" s="38">
        <v>62.454162050513219</v>
      </c>
      <c r="L347" s="27">
        <f t="shared" si="10"/>
        <v>40.663576621628145</v>
      </c>
      <c r="M347" s="74">
        <f t="shared" si="11"/>
        <v>52.446173668613426</v>
      </c>
    </row>
    <row r="348" spans="1:13" ht="18" x14ac:dyDescent="0.25">
      <c r="A348" s="62" t="s">
        <v>273</v>
      </c>
      <c r="B348" s="63">
        <v>410740</v>
      </c>
      <c r="C348" s="37">
        <v>5</v>
      </c>
      <c r="D348" s="39">
        <v>0</v>
      </c>
      <c r="E348" s="38">
        <v>0</v>
      </c>
      <c r="F348" s="6">
        <v>180</v>
      </c>
      <c r="G348" s="6">
        <v>753</v>
      </c>
      <c r="H348" s="40">
        <v>0.23904382470119523</v>
      </c>
      <c r="I348" s="38">
        <v>35.912318635131143</v>
      </c>
      <c r="J348" s="39">
        <v>0.46431656554855971</v>
      </c>
      <c r="K348" s="38">
        <v>61.392277349579807</v>
      </c>
      <c r="L348" s="27">
        <f t="shared" si="10"/>
        <v>32.434865328236981</v>
      </c>
      <c r="M348" s="74">
        <f t="shared" si="11"/>
        <v>39.674516004979857</v>
      </c>
    </row>
    <row r="349" spans="1:13" ht="18" x14ac:dyDescent="0.25">
      <c r="A349" s="62" t="s">
        <v>351</v>
      </c>
      <c r="B349" s="63">
        <v>411640</v>
      </c>
      <c r="C349" s="37">
        <v>6</v>
      </c>
      <c r="D349" s="39">
        <v>5.8823529411764705E-2</v>
      </c>
      <c r="E349" s="38">
        <v>5.8823529411764701</v>
      </c>
      <c r="F349" s="6">
        <v>77</v>
      </c>
      <c r="G349" s="6">
        <v>462</v>
      </c>
      <c r="H349" s="40">
        <v>0.16666666666666666</v>
      </c>
      <c r="I349" s="38">
        <v>23.463576486901403</v>
      </c>
      <c r="J349" s="39">
        <v>0.3966473978949982</v>
      </c>
      <c r="K349" s="38">
        <v>72.655321347335317</v>
      </c>
      <c r="L349" s="27">
        <f t="shared" si="10"/>
        <v>34.000416925137728</v>
      </c>
      <c r="M349" s="74">
        <f t="shared" si="11"/>
        <v>42.104384831029186</v>
      </c>
    </row>
    <row r="350" spans="1:13" ht="18" x14ac:dyDescent="0.25">
      <c r="A350" s="62" t="s">
        <v>367</v>
      </c>
      <c r="B350" s="63">
        <v>410322</v>
      </c>
      <c r="C350" s="37">
        <v>2</v>
      </c>
      <c r="D350" s="39">
        <v>0</v>
      </c>
      <c r="E350" s="38">
        <v>0</v>
      </c>
      <c r="F350" s="6">
        <v>77</v>
      </c>
      <c r="G350" s="6">
        <v>421</v>
      </c>
      <c r="H350" s="40">
        <v>0.1828978622327791</v>
      </c>
      <c r="I350" s="38">
        <v>26.255313187361907</v>
      </c>
      <c r="J350" s="39">
        <v>0.49993068536354679</v>
      </c>
      <c r="K350" s="38">
        <v>55.464564443886566</v>
      </c>
      <c r="L350" s="27">
        <f t="shared" si="10"/>
        <v>27.239959210416156</v>
      </c>
      <c r="M350" s="74">
        <f t="shared" si="11"/>
        <v>31.611581218969093</v>
      </c>
    </row>
    <row r="351" spans="1:13" ht="18" x14ac:dyDescent="0.25">
      <c r="A351" s="62" t="s">
        <v>394</v>
      </c>
      <c r="B351" s="63">
        <v>411590</v>
      </c>
      <c r="C351" s="37">
        <v>3</v>
      </c>
      <c r="D351" s="39">
        <v>0</v>
      </c>
      <c r="E351" s="38">
        <v>0</v>
      </c>
      <c r="F351" s="6">
        <v>95</v>
      </c>
      <c r="G351" s="6">
        <v>339</v>
      </c>
      <c r="H351" s="40">
        <v>0.28023598820058998</v>
      </c>
      <c r="I351" s="38">
        <v>42.997297319801966</v>
      </c>
      <c r="J351" s="39">
        <v>0.48362922004020859</v>
      </c>
      <c r="K351" s="38">
        <v>58.177825557199235</v>
      </c>
      <c r="L351" s="27">
        <f t="shared" si="10"/>
        <v>33.725040959000403</v>
      </c>
      <c r="M351" s="74">
        <f t="shared" si="11"/>
        <v>41.676977981657402</v>
      </c>
    </row>
    <row r="352" spans="1:13" ht="18" x14ac:dyDescent="0.25">
      <c r="A352" s="62" t="s">
        <v>339</v>
      </c>
      <c r="B352" s="63">
        <v>410220</v>
      </c>
      <c r="C352" s="37">
        <v>8</v>
      </c>
      <c r="D352" s="39">
        <v>0</v>
      </c>
      <c r="E352" s="38">
        <v>0</v>
      </c>
      <c r="F352" s="6">
        <v>78</v>
      </c>
      <c r="G352" s="6">
        <v>405</v>
      </c>
      <c r="H352" s="40">
        <v>0.19259259259259259</v>
      </c>
      <c r="I352" s="38">
        <v>27.922789525523147</v>
      </c>
      <c r="J352" s="39">
        <v>0.47907025358426392</v>
      </c>
      <c r="K352" s="38">
        <v>58.936632581994871</v>
      </c>
      <c r="L352" s="27">
        <f t="shared" si="10"/>
        <v>28.953140702506005</v>
      </c>
      <c r="M352" s="74">
        <f t="shared" si="11"/>
        <v>34.270584160318784</v>
      </c>
    </row>
    <row r="353" spans="1:13" ht="18" x14ac:dyDescent="0.25">
      <c r="A353" s="62" t="s">
        <v>344</v>
      </c>
      <c r="B353" s="63">
        <v>410395</v>
      </c>
      <c r="C353" s="37">
        <v>8</v>
      </c>
      <c r="D353" s="39">
        <v>0.1</v>
      </c>
      <c r="E353" s="38">
        <v>10</v>
      </c>
      <c r="F353" s="6">
        <v>224</v>
      </c>
      <c r="G353" s="6">
        <v>562</v>
      </c>
      <c r="H353" s="40">
        <v>0.39857651245551601</v>
      </c>
      <c r="I353" s="38">
        <v>63.351656514633781</v>
      </c>
      <c r="J353" s="39">
        <v>0.47950911423491072</v>
      </c>
      <c r="K353" s="38">
        <v>58.863587397777096</v>
      </c>
      <c r="L353" s="27">
        <f t="shared" si="10"/>
        <v>44.071747970803621</v>
      </c>
      <c r="M353" s="74">
        <f t="shared" si="11"/>
        <v>57.735944591264776</v>
      </c>
    </row>
    <row r="354" spans="1:13" ht="18" x14ac:dyDescent="0.25">
      <c r="A354" s="62" t="s">
        <v>364</v>
      </c>
      <c r="B354" s="63">
        <v>411660</v>
      </c>
      <c r="C354" s="37">
        <v>4</v>
      </c>
      <c r="D354" s="39">
        <v>0</v>
      </c>
      <c r="E354" s="38">
        <v>0</v>
      </c>
      <c r="F354" s="6">
        <v>115</v>
      </c>
      <c r="G354" s="6">
        <v>370</v>
      </c>
      <c r="H354" s="40">
        <v>0.3108108108108108</v>
      </c>
      <c r="I354" s="38">
        <v>48.256112300087935</v>
      </c>
      <c r="J354" s="39">
        <v>0.45363669963940217</v>
      </c>
      <c r="K354" s="38">
        <v>63.169863860482302</v>
      </c>
      <c r="L354" s="27">
        <f t="shared" si="10"/>
        <v>37.14199205352341</v>
      </c>
      <c r="M354" s="74">
        <f t="shared" si="11"/>
        <v>46.980375813548186</v>
      </c>
    </row>
    <row r="355" spans="1:13" ht="18" x14ac:dyDescent="0.25">
      <c r="A355" s="62" t="s">
        <v>378</v>
      </c>
      <c r="B355" s="63">
        <v>410105</v>
      </c>
      <c r="C355" s="37">
        <v>1</v>
      </c>
      <c r="D355" s="39">
        <v>0</v>
      </c>
      <c r="E355" s="38">
        <v>0</v>
      </c>
      <c r="F355" s="6">
        <v>76</v>
      </c>
      <c r="G355" s="6">
        <v>342</v>
      </c>
      <c r="H355" s="40">
        <v>0.22222222222222221</v>
      </c>
      <c r="I355" s="38">
        <v>33.019032998233705</v>
      </c>
      <c r="J355" s="39">
        <v>0.39082430826998299</v>
      </c>
      <c r="K355" s="38">
        <v>73.624532539427875</v>
      </c>
      <c r="L355" s="27">
        <f t="shared" si="10"/>
        <v>35.547855179220527</v>
      </c>
      <c r="M355" s="74">
        <f t="shared" si="11"/>
        <v>44.506140213142196</v>
      </c>
    </row>
    <row r="356" spans="1:13" ht="18" x14ac:dyDescent="0.25">
      <c r="A356" s="62" t="s">
        <v>345</v>
      </c>
      <c r="B356" s="63">
        <v>412865</v>
      </c>
      <c r="C356" s="37">
        <v>8</v>
      </c>
      <c r="D356" s="39">
        <v>0</v>
      </c>
      <c r="E356" s="38">
        <v>0</v>
      </c>
      <c r="F356" s="6">
        <v>115</v>
      </c>
      <c r="G356" s="6">
        <v>508</v>
      </c>
      <c r="H356" s="40">
        <v>0.2263779527559055</v>
      </c>
      <c r="I356" s="38">
        <v>33.733811241207384</v>
      </c>
      <c r="J356" s="39">
        <v>0.44555302125655738</v>
      </c>
      <c r="K356" s="38">
        <v>64.515333716943502</v>
      </c>
      <c r="L356" s="27">
        <f t="shared" si="10"/>
        <v>32.749714986050293</v>
      </c>
      <c r="M356" s="74">
        <f t="shared" si="11"/>
        <v>40.163189370921543</v>
      </c>
    </row>
    <row r="357" spans="1:13" ht="18" x14ac:dyDescent="0.25">
      <c r="A357" s="62" t="s">
        <v>358</v>
      </c>
      <c r="B357" s="63">
        <v>410610</v>
      </c>
      <c r="C357" s="37">
        <v>0</v>
      </c>
      <c r="D357" s="39">
        <v>4.4444444444444446E-2</v>
      </c>
      <c r="E357" s="38">
        <v>4.4444444444444446</v>
      </c>
      <c r="F357" s="6">
        <v>147</v>
      </c>
      <c r="G357" s="6">
        <v>441</v>
      </c>
      <c r="H357" s="40">
        <v>0.33333333333333331</v>
      </c>
      <c r="I357" s="38">
        <v>52.129946020898323</v>
      </c>
      <c r="J357" s="39">
        <v>0.40847405039297852</v>
      </c>
      <c r="K357" s="38">
        <v>70.68686049507734</v>
      </c>
      <c r="L357" s="27">
        <f t="shared" si="10"/>
        <v>42.4204169868067</v>
      </c>
      <c r="M357" s="74">
        <f t="shared" si="11"/>
        <v>55.17293888295923</v>
      </c>
    </row>
    <row r="358" spans="1:13" ht="18" x14ac:dyDescent="0.25">
      <c r="A358" s="62" t="s">
        <v>346</v>
      </c>
      <c r="B358" s="63">
        <v>412217</v>
      </c>
      <c r="C358" s="37">
        <v>2</v>
      </c>
      <c r="D358" s="39">
        <v>0.2</v>
      </c>
      <c r="E358" s="38">
        <v>20</v>
      </c>
      <c r="F358" s="6">
        <v>244</v>
      </c>
      <c r="G358" s="6">
        <v>546</v>
      </c>
      <c r="H358" s="40">
        <v>0.44688644688644691</v>
      </c>
      <c r="I358" s="38">
        <v>71.66087910999515</v>
      </c>
      <c r="J358" s="39">
        <v>0.23235862795423656</v>
      </c>
      <c r="K358" s="38">
        <v>100</v>
      </c>
      <c r="L358" s="27">
        <f t="shared" si="10"/>
        <v>63.886959703331719</v>
      </c>
      <c r="M358" s="74">
        <f t="shared" si="11"/>
        <v>88.490833389407229</v>
      </c>
    </row>
    <row r="359" spans="1:13" ht="18" x14ac:dyDescent="0.25">
      <c r="A359" s="62" t="s">
        <v>388</v>
      </c>
      <c r="B359" s="63">
        <v>411030</v>
      </c>
      <c r="C359" s="37">
        <v>0</v>
      </c>
      <c r="D359" s="39">
        <v>0</v>
      </c>
      <c r="E359" s="38">
        <v>0</v>
      </c>
      <c r="F359" s="6">
        <v>106</v>
      </c>
      <c r="G359" s="6">
        <v>312</v>
      </c>
      <c r="H359" s="40">
        <v>0.33974358974358976</v>
      </c>
      <c r="I359" s="38">
        <v>53.232498695282828</v>
      </c>
      <c r="J359" s="39">
        <v>0.36668495014413766</v>
      </c>
      <c r="K359" s="38">
        <v>77.642354275331314</v>
      </c>
      <c r="L359" s="27">
        <f t="shared" si="10"/>
        <v>43.624950990204717</v>
      </c>
      <c r="M359" s="74">
        <f t="shared" si="11"/>
        <v>57.042477792163758</v>
      </c>
    </row>
    <row r="360" spans="1:13" ht="18" x14ac:dyDescent="0.25">
      <c r="A360" s="62" t="s">
        <v>356</v>
      </c>
      <c r="B360" s="63">
        <v>410165</v>
      </c>
      <c r="C360" s="37">
        <v>5</v>
      </c>
      <c r="D360" s="39">
        <v>0.16666666666666666</v>
      </c>
      <c r="E360" s="38">
        <v>16.666666666666664</v>
      </c>
      <c r="F360" s="6">
        <v>158</v>
      </c>
      <c r="G360" s="6">
        <v>396</v>
      </c>
      <c r="H360" s="40">
        <v>0.39898989898989901</v>
      </c>
      <c r="I360" s="38">
        <v>63.422758261563793</v>
      </c>
      <c r="J360" s="39">
        <v>0.42394687330909048</v>
      </c>
      <c r="K360" s="38">
        <v>68.111520922912874</v>
      </c>
      <c r="L360" s="27">
        <f t="shared" si="10"/>
        <v>49.400315283714441</v>
      </c>
      <c r="M360" s="74">
        <f t="shared" si="11"/>
        <v>66.006332885575503</v>
      </c>
    </row>
    <row r="361" spans="1:13" ht="18" x14ac:dyDescent="0.25">
      <c r="A361" s="62" t="s">
        <v>355</v>
      </c>
      <c r="B361" s="63">
        <v>412030</v>
      </c>
      <c r="C361" s="37">
        <v>9</v>
      </c>
      <c r="D361" s="39">
        <v>0</v>
      </c>
      <c r="E361" s="38">
        <v>0</v>
      </c>
      <c r="F361" s="6">
        <v>110</v>
      </c>
      <c r="G361" s="6">
        <v>472</v>
      </c>
      <c r="H361" s="40">
        <v>0.23305084745762711</v>
      </c>
      <c r="I361" s="38">
        <v>34.88153723349339</v>
      </c>
      <c r="J361" s="39">
        <v>0.41244629380304132</v>
      </c>
      <c r="K361" s="38">
        <v>70.025709281774709</v>
      </c>
      <c r="L361" s="27">
        <f t="shared" si="10"/>
        <v>34.969082171756035</v>
      </c>
      <c r="M361" s="74">
        <f t="shared" si="11"/>
        <v>43.607835429715792</v>
      </c>
    </row>
    <row r="362" spans="1:13" ht="18" x14ac:dyDescent="0.25">
      <c r="A362" s="62" t="s">
        <v>363</v>
      </c>
      <c r="B362" s="63">
        <v>411290</v>
      </c>
      <c r="C362" s="37">
        <v>0</v>
      </c>
      <c r="D362" s="39">
        <v>0.13333333333333333</v>
      </c>
      <c r="E362" s="38">
        <v>13.333333333333334</v>
      </c>
      <c r="F362" s="6">
        <v>164</v>
      </c>
      <c r="G362" s="6">
        <v>448</v>
      </c>
      <c r="H362" s="40">
        <v>0.36607142857142855</v>
      </c>
      <c r="I362" s="38">
        <v>57.760840036504867</v>
      </c>
      <c r="J362" s="39">
        <v>0.3996414768403273</v>
      </c>
      <c r="K362" s="38">
        <v>72.156978541249089</v>
      </c>
      <c r="L362" s="27">
        <f t="shared" si="10"/>
        <v>47.750383970362435</v>
      </c>
      <c r="M362" s="74">
        <f t="shared" si="11"/>
        <v>63.445499584792998</v>
      </c>
    </row>
    <row r="363" spans="1:13" ht="18" x14ac:dyDescent="0.25">
      <c r="A363" s="62" t="s">
        <v>352</v>
      </c>
      <c r="B363" s="63">
        <v>412382</v>
      </c>
      <c r="C363" s="37">
        <v>4</v>
      </c>
      <c r="D363" s="39">
        <v>4.6511627906976744E-2</v>
      </c>
      <c r="E363" s="38">
        <v>4.6511627906976747</v>
      </c>
      <c r="F363" s="6">
        <v>88</v>
      </c>
      <c r="G363" s="6">
        <v>447</v>
      </c>
      <c r="H363" s="40">
        <v>0.19686800894854586</v>
      </c>
      <c r="I363" s="38">
        <v>28.658153516551856</v>
      </c>
      <c r="J363" s="39">
        <v>0.42001716662756422</v>
      </c>
      <c r="K363" s="38">
        <v>68.765592205108916</v>
      </c>
      <c r="L363" s="27">
        <f t="shared" si="10"/>
        <v>34.024969504119476</v>
      </c>
      <c r="M363" s="74">
        <f t="shared" si="11"/>
        <v>42.142492515493217</v>
      </c>
    </row>
    <row r="364" spans="1:13" ht="18" x14ac:dyDescent="0.25">
      <c r="A364" s="62" t="s">
        <v>369</v>
      </c>
      <c r="B364" s="63">
        <v>411740</v>
      </c>
      <c r="C364" s="37">
        <v>4</v>
      </c>
      <c r="D364" s="39">
        <v>0</v>
      </c>
      <c r="E364" s="38">
        <v>0</v>
      </c>
      <c r="F364" s="6">
        <v>56</v>
      </c>
      <c r="G364" s="6">
        <v>349</v>
      </c>
      <c r="H364" s="40">
        <v>0.16045845272206305</v>
      </c>
      <c r="I364" s="38">
        <v>22.395774756408677</v>
      </c>
      <c r="J364" s="39">
        <v>0.43253957858422498</v>
      </c>
      <c r="K364" s="38">
        <v>66.681327218313754</v>
      </c>
      <c r="L364" s="27">
        <f t="shared" si="10"/>
        <v>29.69236732490748</v>
      </c>
      <c r="M364" s="74">
        <f t="shared" si="11"/>
        <v>35.417926559454642</v>
      </c>
    </row>
    <row r="365" spans="1:13" ht="18" x14ac:dyDescent="0.25">
      <c r="A365" s="62" t="s">
        <v>353</v>
      </c>
      <c r="B365" s="63">
        <v>410045</v>
      </c>
      <c r="C365" s="37">
        <v>9</v>
      </c>
      <c r="D365" s="39">
        <v>4.7619047619047616E-2</v>
      </c>
      <c r="E365" s="38">
        <v>4.7619047619047619</v>
      </c>
      <c r="F365" s="6">
        <v>139</v>
      </c>
      <c r="G365" s="6">
        <v>455</v>
      </c>
      <c r="H365" s="40">
        <v>0.30549450549450552</v>
      </c>
      <c r="I365" s="38">
        <v>47.341717263571375</v>
      </c>
      <c r="J365" s="39">
        <v>0.39366654048743888</v>
      </c>
      <c r="K365" s="38">
        <v>73.151463523994835</v>
      </c>
      <c r="L365" s="27">
        <f t="shared" si="10"/>
        <v>41.75169518315699</v>
      </c>
      <c r="M365" s="74">
        <f t="shared" si="11"/>
        <v>54.135025940834126</v>
      </c>
    </row>
    <row r="366" spans="1:13" ht="18" x14ac:dyDescent="0.25">
      <c r="A366" s="62" t="s">
        <v>375</v>
      </c>
      <c r="B366" s="63">
        <v>411965</v>
      </c>
      <c r="C366" s="37">
        <v>7</v>
      </c>
      <c r="D366" s="39">
        <v>0</v>
      </c>
      <c r="E366" s="38">
        <v>0</v>
      </c>
      <c r="F366" s="6">
        <v>91</v>
      </c>
      <c r="G366" s="6">
        <v>377</v>
      </c>
      <c r="H366" s="40">
        <v>0.2413793103448276</v>
      </c>
      <c r="I366" s="38">
        <v>36.31401800214141</v>
      </c>
      <c r="J366" s="39">
        <v>0.42911008940460649</v>
      </c>
      <c r="K366" s="38">
        <v>67.252140911746807</v>
      </c>
      <c r="L366" s="27">
        <f t="shared" si="10"/>
        <v>34.52205297129607</v>
      </c>
      <c r="M366" s="74">
        <f t="shared" si="11"/>
        <v>42.914008205699815</v>
      </c>
    </row>
    <row r="367" spans="1:13" ht="18" x14ac:dyDescent="0.25">
      <c r="A367" s="62" t="s">
        <v>357</v>
      </c>
      <c r="B367" s="63">
        <v>412130</v>
      </c>
      <c r="C367" s="37">
        <v>7</v>
      </c>
      <c r="D367" s="39">
        <v>0</v>
      </c>
      <c r="E367" s="38">
        <v>0</v>
      </c>
      <c r="F367" s="6">
        <v>107</v>
      </c>
      <c r="G367" s="6">
        <v>344</v>
      </c>
      <c r="H367" s="40">
        <v>0.31104651162790697</v>
      </c>
      <c r="I367" s="38">
        <v>48.296652420421992</v>
      </c>
      <c r="J367" s="39">
        <v>0.38819158676838639</v>
      </c>
      <c r="K367" s="38">
        <v>74.06273001007105</v>
      </c>
      <c r="L367" s="27">
        <f t="shared" si="10"/>
        <v>40.78646081016435</v>
      </c>
      <c r="M367" s="74">
        <f t="shared" si="11"/>
        <v>52.636900348928272</v>
      </c>
    </row>
    <row r="368" spans="1:13" ht="18" x14ac:dyDescent="0.25">
      <c r="A368" s="62" t="s">
        <v>343</v>
      </c>
      <c r="B368" s="63">
        <v>411342</v>
      </c>
      <c r="C368" s="37">
        <v>9</v>
      </c>
      <c r="D368" s="39">
        <v>2.8571428571428571E-2</v>
      </c>
      <c r="E368" s="38">
        <v>2.8571428571428572</v>
      </c>
      <c r="F368" s="6">
        <v>134</v>
      </c>
      <c r="G368" s="6">
        <v>456</v>
      </c>
      <c r="H368" s="40">
        <v>0.29385964912280704</v>
      </c>
      <c r="I368" s="38">
        <v>45.340542710214848</v>
      </c>
      <c r="J368" s="39">
        <v>0.3719054722467946</v>
      </c>
      <c r="K368" s="38">
        <v>76.773436093353567</v>
      </c>
      <c r="L368" s="27">
        <f t="shared" si="10"/>
        <v>41.657040553570425</v>
      </c>
      <c r="M368" s="74">
        <f t="shared" si="11"/>
        <v>53.988113929675272</v>
      </c>
    </row>
    <row r="369" spans="1:13" ht="18" x14ac:dyDescent="0.25">
      <c r="A369" s="62" t="s">
        <v>390</v>
      </c>
      <c r="B369" s="63">
        <v>410302</v>
      </c>
      <c r="C369" s="37">
        <v>4</v>
      </c>
      <c r="D369" s="39">
        <v>0</v>
      </c>
      <c r="E369" s="38">
        <v>0</v>
      </c>
      <c r="F369" s="6">
        <v>59</v>
      </c>
      <c r="G369" s="6">
        <v>319</v>
      </c>
      <c r="H369" s="40">
        <v>0.18495297805642633</v>
      </c>
      <c r="I369" s="38">
        <v>26.608789445176928</v>
      </c>
      <c r="J369" s="39">
        <v>0.4084300931685424</v>
      </c>
      <c r="K369" s="38">
        <v>70.694176857462324</v>
      </c>
      <c r="L369" s="27">
        <f t="shared" si="10"/>
        <v>32.434322100879747</v>
      </c>
      <c r="M369" s="74">
        <f t="shared" si="11"/>
        <v>39.673672870059612</v>
      </c>
    </row>
    <row r="370" spans="1:13" ht="18" x14ac:dyDescent="0.25">
      <c r="A370" s="62" t="s">
        <v>384</v>
      </c>
      <c r="B370" s="63">
        <v>412590</v>
      </c>
      <c r="C370" s="37">
        <v>2</v>
      </c>
      <c r="D370" s="39">
        <v>0.08</v>
      </c>
      <c r="E370" s="38">
        <v>8</v>
      </c>
      <c r="F370" s="6">
        <v>38</v>
      </c>
      <c r="G370" s="6">
        <v>325</v>
      </c>
      <c r="H370" s="40">
        <v>0.11692307692307692</v>
      </c>
      <c r="I370" s="38">
        <v>14.907767733677701</v>
      </c>
      <c r="J370" s="39">
        <v>0.51436559270336923</v>
      </c>
      <c r="K370" s="38">
        <v>53.061978419712418</v>
      </c>
      <c r="L370" s="27">
        <f t="shared" si="10"/>
        <v>25.323248717796705</v>
      </c>
      <c r="M370" s="74">
        <f t="shared" si="11"/>
        <v>28.636684010983359</v>
      </c>
    </row>
    <row r="371" spans="1:13" ht="18" x14ac:dyDescent="0.25">
      <c r="A371" s="62" t="s">
        <v>389</v>
      </c>
      <c r="B371" s="63">
        <v>412420</v>
      </c>
      <c r="C371" s="37">
        <v>2</v>
      </c>
      <c r="D371" s="39">
        <v>0.125</v>
      </c>
      <c r="E371" s="38">
        <v>12.5</v>
      </c>
      <c r="F371" s="6">
        <v>92</v>
      </c>
      <c r="G371" s="6">
        <v>302</v>
      </c>
      <c r="H371" s="40">
        <v>0.30463576158940397</v>
      </c>
      <c r="I371" s="38">
        <v>47.194014842859119</v>
      </c>
      <c r="J371" s="39">
        <v>0.36974664324461404</v>
      </c>
      <c r="K371" s="38">
        <v>77.132757581681503</v>
      </c>
      <c r="L371" s="27">
        <f t="shared" si="10"/>
        <v>45.60892414151354</v>
      </c>
      <c r="M371" s="74">
        <f t="shared" si="11"/>
        <v>60.121772349831268</v>
      </c>
    </row>
    <row r="372" spans="1:13" ht="18" x14ac:dyDescent="0.25">
      <c r="A372" s="62" t="s">
        <v>371</v>
      </c>
      <c r="B372" s="63">
        <v>410712</v>
      </c>
      <c r="C372" s="37">
        <v>4</v>
      </c>
      <c r="D372" s="39">
        <v>0.125</v>
      </c>
      <c r="E372" s="38">
        <v>12.5</v>
      </c>
      <c r="F372" s="6">
        <v>178</v>
      </c>
      <c r="G372" s="6">
        <v>413</v>
      </c>
      <c r="H372" s="40">
        <v>0.43099273607748184</v>
      </c>
      <c r="I372" s="38">
        <v>68.927189186097507</v>
      </c>
      <c r="J372" s="39">
        <v>0.36196915143113284</v>
      </c>
      <c r="K372" s="38">
        <v>78.427264896089284</v>
      </c>
      <c r="L372" s="27">
        <f t="shared" si="10"/>
        <v>53.284818027395602</v>
      </c>
      <c r="M372" s="74">
        <f t="shared" si="11"/>
        <v>72.035410522019788</v>
      </c>
    </row>
    <row r="373" spans="1:13" ht="18" x14ac:dyDescent="0.25">
      <c r="A373" s="62" t="s">
        <v>337</v>
      </c>
      <c r="B373" s="63">
        <v>410275</v>
      </c>
      <c r="C373" s="37">
        <v>2</v>
      </c>
      <c r="D373" s="39">
        <v>3.2258064516129031E-2</v>
      </c>
      <c r="E373" s="38">
        <v>3.225806451612903</v>
      </c>
      <c r="F373" s="6">
        <v>104</v>
      </c>
      <c r="G373" s="6">
        <v>476</v>
      </c>
      <c r="H373" s="40">
        <v>0.21848739495798319</v>
      </c>
      <c r="I373" s="38">
        <v>32.37664936721977</v>
      </c>
      <c r="J373" s="39">
        <v>0.37125038314311565</v>
      </c>
      <c r="K373" s="38">
        <v>76.882470941173182</v>
      </c>
      <c r="L373" s="27">
        <f t="shared" si="10"/>
        <v>37.494975586668616</v>
      </c>
      <c r="M373" s="74">
        <f t="shared" si="11"/>
        <v>47.528236187486826</v>
      </c>
    </row>
    <row r="374" spans="1:13" ht="18" x14ac:dyDescent="0.25">
      <c r="A374" s="62" t="s">
        <v>380</v>
      </c>
      <c r="B374" s="63">
        <v>410270</v>
      </c>
      <c r="C374" s="37">
        <v>3</v>
      </c>
      <c r="D374" s="39">
        <v>0</v>
      </c>
      <c r="E374" s="38">
        <v>0</v>
      </c>
      <c r="F374" s="6">
        <v>93</v>
      </c>
      <c r="G374" s="6">
        <v>333</v>
      </c>
      <c r="H374" s="40">
        <v>0.27927927927927926</v>
      </c>
      <c r="I374" s="38">
        <v>42.832745090953381</v>
      </c>
      <c r="J374" s="39">
        <v>0.41572167229745544</v>
      </c>
      <c r="K374" s="38">
        <v>69.480546198333897</v>
      </c>
      <c r="L374" s="27">
        <f t="shared" si="10"/>
        <v>37.437763763095759</v>
      </c>
      <c r="M374" s="74">
        <f t="shared" si="11"/>
        <v>47.439438586145343</v>
      </c>
    </row>
    <row r="375" spans="1:13" ht="18" x14ac:dyDescent="0.25">
      <c r="A375" s="62" t="s">
        <v>334</v>
      </c>
      <c r="B375" s="63">
        <v>412010</v>
      </c>
      <c r="C375" s="37">
        <v>1</v>
      </c>
      <c r="D375" s="39">
        <v>0.05</v>
      </c>
      <c r="E375" s="38">
        <v>5</v>
      </c>
      <c r="F375" s="6">
        <v>99</v>
      </c>
      <c r="G375" s="6">
        <v>503</v>
      </c>
      <c r="H375" s="40">
        <v>0.19681908548707752</v>
      </c>
      <c r="I375" s="38">
        <v>28.649738768399853</v>
      </c>
      <c r="J375" s="39">
        <v>0.51992548310602138</v>
      </c>
      <c r="K375" s="38">
        <v>52.136574836379388</v>
      </c>
      <c r="L375" s="27">
        <f t="shared" si="10"/>
        <v>28.595437868259747</v>
      </c>
      <c r="M375" s="74">
        <f t="shared" si="11"/>
        <v>33.715399030908081</v>
      </c>
    </row>
    <row r="376" spans="1:13" ht="18" x14ac:dyDescent="0.25">
      <c r="A376" s="62" t="s">
        <v>372</v>
      </c>
      <c r="B376" s="63">
        <v>411729</v>
      </c>
      <c r="C376" s="37">
        <v>7</v>
      </c>
      <c r="D376" s="39">
        <v>0</v>
      </c>
      <c r="E376" s="38">
        <v>0</v>
      </c>
      <c r="F376" s="6">
        <v>85</v>
      </c>
      <c r="G376" s="6">
        <v>357</v>
      </c>
      <c r="H376" s="40">
        <v>0.23809523809523808</v>
      </c>
      <c r="I376" s="38">
        <v>35.749163430042941</v>
      </c>
      <c r="J376" s="39">
        <v>0.45809237512726586</v>
      </c>
      <c r="K376" s="38">
        <v>62.428248870972546</v>
      </c>
      <c r="L376" s="27">
        <f t="shared" si="10"/>
        <v>32.7258041003385</v>
      </c>
      <c r="M376" s="74">
        <f t="shared" si="11"/>
        <v>40.126077648823511</v>
      </c>
    </row>
    <row r="377" spans="1:13" ht="18" x14ac:dyDescent="0.25">
      <c r="A377" s="62" t="s">
        <v>395</v>
      </c>
      <c r="B377" s="63">
        <v>410910</v>
      </c>
      <c r="C377" s="37">
        <v>4</v>
      </c>
      <c r="D377" s="39">
        <v>6.6666666666666666E-2</v>
      </c>
      <c r="E377" s="38">
        <v>6.666666666666667</v>
      </c>
      <c r="F377" s="6">
        <v>49</v>
      </c>
      <c r="G377" s="6">
        <v>244</v>
      </c>
      <c r="H377" s="40">
        <v>0.20081967213114754</v>
      </c>
      <c r="I377" s="38">
        <v>29.337832538949947</v>
      </c>
      <c r="J377" s="39">
        <v>0.41018132085748504</v>
      </c>
      <c r="K377" s="38">
        <v>70.402697662511542</v>
      </c>
      <c r="L377" s="27">
        <f t="shared" si="10"/>
        <v>35.469065622709387</v>
      </c>
      <c r="M377" s="74">
        <f t="shared" si="11"/>
        <v>44.383852140641949</v>
      </c>
    </row>
    <row r="378" spans="1:13" ht="18" x14ac:dyDescent="0.25">
      <c r="A378" s="62" t="s">
        <v>379</v>
      </c>
      <c r="B378" s="63">
        <v>410685</v>
      </c>
      <c r="C378" s="37">
        <v>2</v>
      </c>
      <c r="D378" s="39">
        <v>1</v>
      </c>
      <c r="E378" s="38">
        <v>100</v>
      </c>
      <c r="F378" s="6">
        <v>108</v>
      </c>
      <c r="G378" s="6">
        <v>352</v>
      </c>
      <c r="H378" s="40">
        <v>0.30681818181818182</v>
      </c>
      <c r="I378" s="38">
        <v>47.569387231398821</v>
      </c>
      <c r="J378" s="39">
        <v>0.43460605656236523</v>
      </c>
      <c r="K378" s="38">
        <v>66.33737689063507</v>
      </c>
      <c r="L378" s="27">
        <f t="shared" si="10"/>
        <v>71.30225470734463</v>
      </c>
      <c r="M378" s="74">
        <f t="shared" si="11"/>
        <v>100</v>
      </c>
    </row>
    <row r="379" spans="1:13" ht="18" x14ac:dyDescent="0.25">
      <c r="A379" s="62" t="s">
        <v>382</v>
      </c>
      <c r="B379" s="63">
        <v>411925</v>
      </c>
      <c r="C379" s="37">
        <v>1</v>
      </c>
      <c r="D379" s="39">
        <v>0</v>
      </c>
      <c r="E379" s="38">
        <v>0</v>
      </c>
      <c r="F379" s="6">
        <v>111</v>
      </c>
      <c r="G379" s="6">
        <v>338</v>
      </c>
      <c r="H379" s="40">
        <v>0.32840236686390534</v>
      </c>
      <c r="I379" s="38">
        <v>51.281828579064104</v>
      </c>
      <c r="J379" s="39">
        <v>0.42064891846857427</v>
      </c>
      <c r="K379" s="38">
        <v>68.660441676032107</v>
      </c>
      <c r="L379" s="27">
        <f t="shared" si="10"/>
        <v>39.980756751698742</v>
      </c>
      <c r="M379" s="74">
        <f t="shared" si="11"/>
        <v>51.386379332206324</v>
      </c>
    </row>
    <row r="380" spans="1:13" ht="18" x14ac:dyDescent="0.25">
      <c r="A380" s="62" t="s">
        <v>373</v>
      </c>
      <c r="B380" s="63">
        <v>412015</v>
      </c>
      <c r="C380" s="37">
        <v>0</v>
      </c>
      <c r="D380" s="39">
        <v>3.4482758620689655E-2</v>
      </c>
      <c r="E380" s="38">
        <v>3.4482758620689653</v>
      </c>
      <c r="F380" s="6">
        <v>136</v>
      </c>
      <c r="G380" s="6">
        <v>418</v>
      </c>
      <c r="H380" s="40">
        <v>0.32535885167464113</v>
      </c>
      <c r="I380" s="38">
        <v>50.75834939247742</v>
      </c>
      <c r="J380" s="39">
        <v>0.53735483729318301</v>
      </c>
      <c r="K380" s="38">
        <v>49.235584771487787</v>
      </c>
      <c r="L380" s="27">
        <f t="shared" si="10"/>
        <v>34.480736675344723</v>
      </c>
      <c r="M380" s="74">
        <f t="shared" si="11"/>
        <v>42.849881811054793</v>
      </c>
    </row>
    <row r="381" spans="1:13" ht="18" x14ac:dyDescent="0.25">
      <c r="A381" s="62" t="s">
        <v>383</v>
      </c>
      <c r="B381" s="63">
        <v>411160</v>
      </c>
      <c r="C381" s="37">
        <v>5</v>
      </c>
      <c r="D381" s="39">
        <v>8.3333333333333329E-2</v>
      </c>
      <c r="E381" s="38">
        <v>8.3333333333333321</v>
      </c>
      <c r="F381" s="6">
        <v>45</v>
      </c>
      <c r="G381" s="6">
        <v>283</v>
      </c>
      <c r="H381" s="40">
        <v>0.15901060070671377</v>
      </c>
      <c r="I381" s="38">
        <v>22.146746790993415</v>
      </c>
      <c r="J381" s="39">
        <v>0.5199681158414281</v>
      </c>
      <c r="K381" s="38">
        <v>52.129478925622976</v>
      </c>
      <c r="L381" s="27">
        <f t="shared" si="10"/>
        <v>27.536519683316573</v>
      </c>
      <c r="M381" s="74">
        <f t="shared" si="11"/>
        <v>32.071868219132945</v>
      </c>
    </row>
    <row r="382" spans="1:13" ht="18" x14ac:dyDescent="0.25">
      <c r="A382" s="62" t="s">
        <v>391</v>
      </c>
      <c r="B382" s="63">
        <v>411830</v>
      </c>
      <c r="C382" s="37">
        <v>3</v>
      </c>
      <c r="D382" s="39">
        <v>8.3333333333333329E-2</v>
      </c>
      <c r="E382" s="38">
        <v>8.3333333333333321</v>
      </c>
      <c r="F382" s="6">
        <v>95</v>
      </c>
      <c r="G382" s="6">
        <v>313</v>
      </c>
      <c r="H382" s="40">
        <v>0.30351437699680511</v>
      </c>
      <c r="I382" s="38">
        <v>47.001138692132102</v>
      </c>
      <c r="J382" s="39">
        <v>0.34467024820818742</v>
      </c>
      <c r="K382" s="38">
        <v>81.306542340588692</v>
      </c>
      <c r="L382" s="27">
        <f t="shared" si="10"/>
        <v>45.54700478868471</v>
      </c>
      <c r="M382" s="74">
        <f t="shared" si="11"/>
        <v>60.025668263919449</v>
      </c>
    </row>
    <row r="383" spans="1:13" ht="18" x14ac:dyDescent="0.25">
      <c r="A383" s="62" t="s">
        <v>396</v>
      </c>
      <c r="B383" s="63">
        <v>411005</v>
      </c>
      <c r="C383" s="37">
        <v>2</v>
      </c>
      <c r="D383" s="39">
        <v>0</v>
      </c>
      <c r="E383" s="38">
        <v>0</v>
      </c>
      <c r="F383" s="6">
        <v>44</v>
      </c>
      <c r="G383" s="6">
        <v>220</v>
      </c>
      <c r="H383" s="40">
        <v>0.2</v>
      </c>
      <c r="I383" s="38">
        <v>29.196850393700785</v>
      </c>
      <c r="J383" s="39">
        <v>0.41757658265108616</v>
      </c>
      <c r="K383" s="38">
        <v>69.171809773027277</v>
      </c>
      <c r="L383" s="27">
        <f t="shared" si="10"/>
        <v>32.789553388909354</v>
      </c>
      <c r="M383" s="74">
        <f t="shared" si="11"/>
        <v>40.225021950172497</v>
      </c>
    </row>
    <row r="384" spans="1:13" ht="18" x14ac:dyDescent="0.25">
      <c r="A384" s="62" t="s">
        <v>392</v>
      </c>
      <c r="B384" s="63">
        <v>411065</v>
      </c>
      <c r="C384" s="37">
        <v>6</v>
      </c>
      <c r="D384" s="39">
        <v>0</v>
      </c>
      <c r="E384" s="38">
        <v>0</v>
      </c>
      <c r="F384" s="6">
        <v>61</v>
      </c>
      <c r="G384" s="6">
        <v>264</v>
      </c>
      <c r="H384" s="40">
        <v>0.23106060606060605</v>
      </c>
      <c r="I384" s="38">
        <v>34.53921926140022</v>
      </c>
      <c r="J384" s="39">
        <v>0.42829195217173721</v>
      </c>
      <c r="K384" s="38">
        <v>67.388313942530701</v>
      </c>
      <c r="L384" s="27">
        <f t="shared" si="10"/>
        <v>33.975844401310304</v>
      </c>
      <c r="M384" s="74">
        <f t="shared" si="11"/>
        <v>42.066246190473478</v>
      </c>
    </row>
    <row r="385" spans="1:13" ht="18" x14ac:dyDescent="0.25">
      <c r="A385" s="62" t="s">
        <v>397</v>
      </c>
      <c r="B385" s="63">
        <v>412555</v>
      </c>
      <c r="C385" s="37">
        <v>5</v>
      </c>
      <c r="D385" s="39">
        <v>0</v>
      </c>
      <c r="E385" s="38">
        <v>0</v>
      </c>
      <c r="F385" s="6">
        <v>35</v>
      </c>
      <c r="G385" s="6">
        <v>233</v>
      </c>
      <c r="H385" s="40">
        <v>0.15021459227467812</v>
      </c>
      <c r="I385" s="38">
        <v>20.633849022172093</v>
      </c>
      <c r="J385" s="39">
        <v>0.45062580637262672</v>
      </c>
      <c r="K385" s="38">
        <v>63.671005288877758</v>
      </c>
      <c r="L385" s="27">
        <f t="shared" si="10"/>
        <v>28.101618103683283</v>
      </c>
      <c r="M385" s="74">
        <f t="shared" si="11"/>
        <v>32.948948883875694</v>
      </c>
    </row>
    <row r="386" spans="1:13" ht="18" x14ac:dyDescent="0.25">
      <c r="A386" s="62" t="s">
        <v>387</v>
      </c>
      <c r="B386" s="63">
        <v>412135</v>
      </c>
      <c r="C386" s="37">
        <v>6</v>
      </c>
      <c r="D386" s="39">
        <v>0</v>
      </c>
      <c r="E386" s="38">
        <v>0</v>
      </c>
      <c r="F386" s="6">
        <v>68</v>
      </c>
      <c r="G386" s="6">
        <v>322</v>
      </c>
      <c r="H386" s="40">
        <v>0.21118012422360249</v>
      </c>
      <c r="I386" s="38">
        <v>31.119811828279463</v>
      </c>
      <c r="J386" s="39">
        <v>0.51977869140021382</v>
      </c>
      <c r="K386" s="38">
        <v>52.161007255135893</v>
      </c>
      <c r="L386" s="27">
        <f t="shared" si="10"/>
        <v>27.760273027805116</v>
      </c>
      <c r="M386" s="74">
        <f t="shared" si="11"/>
        <v>32.419152382474039</v>
      </c>
    </row>
    <row r="387" spans="1:13" ht="18" x14ac:dyDescent="0.25">
      <c r="A387" s="62" t="s">
        <v>398</v>
      </c>
      <c r="B387" s="63">
        <v>412830</v>
      </c>
      <c r="C387" s="37">
        <v>2</v>
      </c>
      <c r="D387" s="39">
        <v>0</v>
      </c>
      <c r="E387" s="38">
        <v>0</v>
      </c>
      <c r="F387" s="6">
        <v>50</v>
      </c>
      <c r="G387" s="6">
        <v>243</v>
      </c>
      <c r="H387" s="40">
        <v>0.20576131687242799</v>
      </c>
      <c r="I387" s="38">
        <v>30.18778662450562</v>
      </c>
      <c r="J387" s="39">
        <v>0.42116446231637139</v>
      </c>
      <c r="K387" s="38">
        <v>68.574633127739645</v>
      </c>
      <c r="L387" s="27">
        <f t="shared" ref="L387:L400" si="12">(K387+I387+E387)/3</f>
        <v>32.920806584081753</v>
      </c>
      <c r="M387" s="74">
        <f t="shared" ref="M387:M400" si="13">(L387-L$402)/(L$403-L$402)*100</f>
        <v>40.428738038419063</v>
      </c>
    </row>
    <row r="388" spans="1:13" ht="18" x14ac:dyDescent="0.25">
      <c r="A388" s="62" t="s">
        <v>376</v>
      </c>
      <c r="B388" s="63">
        <v>410755</v>
      </c>
      <c r="C388" s="37">
        <v>3</v>
      </c>
      <c r="D388" s="39">
        <v>6.0606060606060608E-2</v>
      </c>
      <c r="E388" s="38">
        <v>6.0606060606060606</v>
      </c>
      <c r="F388" s="6">
        <v>91</v>
      </c>
      <c r="G388" s="6">
        <v>372</v>
      </c>
      <c r="H388" s="40">
        <v>0.2446236559139785</v>
      </c>
      <c r="I388" s="38">
        <v>36.872039656028996</v>
      </c>
      <c r="J388" s="39">
        <v>0.46010057848568026</v>
      </c>
      <c r="K388" s="38">
        <v>62.093997932671385</v>
      </c>
      <c r="L388" s="27">
        <f t="shared" si="12"/>
        <v>35.008881216435476</v>
      </c>
      <c r="M388" s="74">
        <f t="shared" si="13"/>
        <v>43.669606921734683</v>
      </c>
    </row>
    <row r="389" spans="1:13" ht="18" x14ac:dyDescent="0.25">
      <c r="A389" s="62" t="s">
        <v>381</v>
      </c>
      <c r="B389" s="63">
        <v>411435</v>
      </c>
      <c r="C389" s="37">
        <v>1</v>
      </c>
      <c r="D389" s="39">
        <v>0</v>
      </c>
      <c r="E389" s="38">
        <v>0</v>
      </c>
      <c r="F389" s="6">
        <v>55</v>
      </c>
      <c r="G389" s="6">
        <v>356</v>
      </c>
      <c r="H389" s="40">
        <v>0.1544943820224719</v>
      </c>
      <c r="I389" s="38">
        <v>21.369965228800499</v>
      </c>
      <c r="J389" s="39">
        <v>0.41485845188368564</v>
      </c>
      <c r="K389" s="38">
        <v>69.624222998820414</v>
      </c>
      <c r="L389" s="27">
        <f t="shared" si="12"/>
        <v>30.331396075873638</v>
      </c>
      <c r="M389" s="74">
        <f t="shared" si="13"/>
        <v>36.409753366054836</v>
      </c>
    </row>
    <row r="390" spans="1:13" ht="18" x14ac:dyDescent="0.25">
      <c r="A390" s="62" t="s">
        <v>386</v>
      </c>
      <c r="B390" s="63">
        <v>410340</v>
      </c>
      <c r="C390" s="37">
        <v>4</v>
      </c>
      <c r="D390" s="39">
        <v>0</v>
      </c>
      <c r="E390" s="38">
        <v>0</v>
      </c>
      <c r="F390" s="6">
        <v>51</v>
      </c>
      <c r="G390" s="6">
        <v>296</v>
      </c>
      <c r="H390" s="40">
        <v>0.17229729729729729</v>
      </c>
      <c r="I390" s="38">
        <v>24.432034917104001</v>
      </c>
      <c r="J390" s="39">
        <v>0.42762255305126967</v>
      </c>
      <c r="K390" s="38">
        <v>67.499730589244649</v>
      </c>
      <c r="L390" s="27">
        <f t="shared" si="12"/>
        <v>30.64392183544955</v>
      </c>
      <c r="M390" s="74">
        <f t="shared" si="13"/>
        <v>36.894819844882001</v>
      </c>
    </row>
    <row r="391" spans="1:13" ht="18" x14ac:dyDescent="0.25">
      <c r="A391" s="62" t="s">
        <v>399</v>
      </c>
      <c r="B391" s="63">
        <v>412430</v>
      </c>
      <c r="C391" s="37">
        <v>1</v>
      </c>
      <c r="D391" s="39">
        <v>5.5555555555555552E-2</v>
      </c>
      <c r="E391" s="38">
        <v>5.5555555555555554</v>
      </c>
      <c r="F391" s="6">
        <v>55</v>
      </c>
      <c r="G391" s="6">
        <v>218</v>
      </c>
      <c r="H391" s="40">
        <v>0.25229357798165136</v>
      </c>
      <c r="I391" s="38">
        <v>38.191252577762199</v>
      </c>
      <c r="J391" s="39">
        <v>0.41931624400165418</v>
      </c>
      <c r="K391" s="38">
        <v>68.882255711523882</v>
      </c>
      <c r="L391" s="27">
        <f t="shared" si="12"/>
        <v>37.543021281613882</v>
      </c>
      <c r="M391" s="74">
        <f t="shared" si="13"/>
        <v>47.60280717997567</v>
      </c>
    </row>
    <row r="392" spans="1:13" ht="18" x14ac:dyDescent="0.25">
      <c r="A392" s="62" t="s">
        <v>402</v>
      </c>
      <c r="B392" s="63">
        <v>412360</v>
      </c>
      <c r="C392" s="37">
        <v>0</v>
      </c>
      <c r="D392" s="39">
        <v>0</v>
      </c>
      <c r="E392" s="38">
        <v>0</v>
      </c>
      <c r="F392" s="6">
        <v>53</v>
      </c>
      <c r="G392" s="6">
        <v>211</v>
      </c>
      <c r="H392" s="40">
        <v>0.25118483412322273</v>
      </c>
      <c r="I392" s="38">
        <v>38.000550610776621</v>
      </c>
      <c r="J392" s="39">
        <v>0.417382813403051</v>
      </c>
      <c r="K392" s="38">
        <v>69.20406126424119</v>
      </c>
      <c r="L392" s="27">
        <f t="shared" si="12"/>
        <v>35.734870625005932</v>
      </c>
      <c r="M392" s="74">
        <f t="shared" si="13"/>
        <v>44.796404042583056</v>
      </c>
    </row>
    <row r="393" spans="1:13" ht="18" x14ac:dyDescent="0.25">
      <c r="A393" s="62" t="s">
        <v>401</v>
      </c>
      <c r="B393" s="63">
        <v>410752</v>
      </c>
      <c r="C393" s="37">
        <v>0</v>
      </c>
      <c r="D393" s="39">
        <v>4.7619047619047616E-2</v>
      </c>
      <c r="E393" s="38">
        <v>4.7619047619047619</v>
      </c>
      <c r="F393" s="6">
        <v>61</v>
      </c>
      <c r="G393" s="6">
        <v>210</v>
      </c>
      <c r="H393" s="40">
        <v>0.2904761904761905</v>
      </c>
      <c r="I393" s="38">
        <v>44.758593855013409</v>
      </c>
      <c r="J393" s="39">
        <v>0.43939623706413333</v>
      </c>
      <c r="K393" s="38">
        <v>65.540085958599121</v>
      </c>
      <c r="L393" s="27">
        <f t="shared" si="12"/>
        <v>38.353528191839096</v>
      </c>
      <c r="M393" s="74">
        <f t="shared" si="13"/>
        <v>48.860782629876262</v>
      </c>
    </row>
    <row r="394" spans="1:13" ht="18" x14ac:dyDescent="0.25">
      <c r="A394" s="62" t="s">
        <v>368</v>
      </c>
      <c r="B394" s="63">
        <v>412210</v>
      </c>
      <c r="C394" s="37">
        <v>7</v>
      </c>
      <c r="D394" s="39">
        <v>0</v>
      </c>
      <c r="E394" s="38">
        <v>0</v>
      </c>
      <c r="F394" s="6">
        <v>101</v>
      </c>
      <c r="G394" s="6">
        <v>348</v>
      </c>
      <c r="H394" s="40">
        <v>0.29022988505747127</v>
      </c>
      <c r="I394" s="38">
        <v>44.716229762106018</v>
      </c>
      <c r="J394" s="39">
        <v>0.38235675317123469</v>
      </c>
      <c r="K394" s="38">
        <v>75.033895901467133</v>
      </c>
      <c r="L394" s="27">
        <f t="shared" si="12"/>
        <v>39.916708554524384</v>
      </c>
      <c r="M394" s="74">
        <f t="shared" si="13"/>
        <v>51.28697109935937</v>
      </c>
    </row>
    <row r="395" spans="1:13" ht="18" x14ac:dyDescent="0.25">
      <c r="A395" s="62" t="s">
        <v>393</v>
      </c>
      <c r="B395" s="63">
        <v>410185</v>
      </c>
      <c r="C395" s="37">
        <v>3</v>
      </c>
      <c r="D395" s="39">
        <v>0.1111111111111111</v>
      </c>
      <c r="E395" s="38">
        <v>11.111111111111111</v>
      </c>
      <c r="F395" s="6">
        <v>84</v>
      </c>
      <c r="G395" s="6">
        <v>249</v>
      </c>
      <c r="H395" s="40">
        <v>0.33734939759036142</v>
      </c>
      <c r="I395" s="38">
        <v>52.820701913283798</v>
      </c>
      <c r="J395" s="39">
        <v>0.43286093751806326</v>
      </c>
      <c r="K395" s="38">
        <v>66.627839345824725</v>
      </c>
      <c r="L395" s="27">
        <f t="shared" si="12"/>
        <v>43.519884123406541</v>
      </c>
      <c r="M395" s="74">
        <f t="shared" si="13"/>
        <v>56.879405105968708</v>
      </c>
    </row>
    <row r="396" spans="1:13" ht="18" x14ac:dyDescent="0.25">
      <c r="A396" s="62" t="s">
        <v>377</v>
      </c>
      <c r="B396" s="63">
        <v>410855</v>
      </c>
      <c r="C396" s="37">
        <v>1</v>
      </c>
      <c r="D396" s="39">
        <v>1.4925373134328358E-2</v>
      </c>
      <c r="E396" s="38">
        <v>1.4925373134328357</v>
      </c>
      <c r="F396" s="6">
        <v>104</v>
      </c>
      <c r="G396" s="6">
        <v>304</v>
      </c>
      <c r="H396" s="40">
        <v>0.34210526315789475</v>
      </c>
      <c r="I396" s="38">
        <v>53.638702312161321</v>
      </c>
      <c r="J396" s="39">
        <v>0.38259798899520459</v>
      </c>
      <c r="K396" s="38">
        <v>74.993743941668868</v>
      </c>
      <c r="L396" s="27">
        <f t="shared" si="12"/>
        <v>43.374994522421012</v>
      </c>
      <c r="M396" s="74">
        <f t="shared" si="13"/>
        <v>56.654524159629773</v>
      </c>
    </row>
    <row r="397" spans="1:13" ht="18" x14ac:dyDescent="0.25">
      <c r="A397" s="62" t="s">
        <v>404</v>
      </c>
      <c r="B397" s="63">
        <v>411650</v>
      </c>
      <c r="C397" s="37">
        <v>5</v>
      </c>
      <c r="D397" s="39">
        <v>0</v>
      </c>
      <c r="E397" s="38">
        <v>0</v>
      </c>
      <c r="F397" s="6">
        <v>37</v>
      </c>
      <c r="G397" s="6">
        <v>164</v>
      </c>
      <c r="H397" s="40">
        <v>0.22560975609756098</v>
      </c>
      <c r="I397" s="38">
        <v>33.601682785510071</v>
      </c>
      <c r="J397" s="39">
        <v>0.4193017631961406</v>
      </c>
      <c r="K397" s="38">
        <v>68.884665936967437</v>
      </c>
      <c r="L397" s="27">
        <f t="shared" si="12"/>
        <v>34.162116240825839</v>
      </c>
      <c r="M397" s="74">
        <f t="shared" si="13"/>
        <v>42.355355879930968</v>
      </c>
    </row>
    <row r="398" spans="1:13" ht="18" x14ac:dyDescent="0.25">
      <c r="A398" s="62" t="s">
        <v>400</v>
      </c>
      <c r="B398" s="63">
        <v>411600</v>
      </c>
      <c r="C398" s="37">
        <v>0</v>
      </c>
      <c r="D398" s="39">
        <v>0</v>
      </c>
      <c r="E398" s="38">
        <v>0</v>
      </c>
      <c r="F398" s="6">
        <v>47</v>
      </c>
      <c r="G398" s="6">
        <v>220</v>
      </c>
      <c r="H398" s="40">
        <v>0.21363636363636362</v>
      </c>
      <c r="I398" s="38">
        <v>31.542280628300535</v>
      </c>
      <c r="J398" s="39">
        <v>0.43117316631501501</v>
      </c>
      <c r="K398" s="38">
        <v>66.90875666721692</v>
      </c>
      <c r="L398" s="27">
        <f t="shared" si="12"/>
        <v>32.817012431839153</v>
      </c>
      <c r="M398" s="74">
        <f t="shared" si="13"/>
        <v>40.267640713131414</v>
      </c>
    </row>
    <row r="399" spans="1:13" ht="18" x14ac:dyDescent="0.25">
      <c r="A399" s="62" t="s">
        <v>403</v>
      </c>
      <c r="B399" s="63">
        <v>411260</v>
      </c>
      <c r="C399" s="37">
        <v>3</v>
      </c>
      <c r="D399" s="39">
        <v>0</v>
      </c>
      <c r="E399" s="38">
        <v>0</v>
      </c>
      <c r="F399" s="6">
        <v>49</v>
      </c>
      <c r="G399" s="6">
        <v>165</v>
      </c>
      <c r="H399" s="40">
        <v>0.29696969696969699</v>
      </c>
      <c r="I399" s="38">
        <v>45.875465395299003</v>
      </c>
      <c r="J399" s="39">
        <v>0.47356947973152663</v>
      </c>
      <c r="K399" s="38">
        <v>59.852196642753974</v>
      </c>
      <c r="L399" s="27">
        <f t="shared" si="12"/>
        <v>35.24255401268433</v>
      </c>
      <c r="M399" s="74">
        <f t="shared" si="13"/>
        <v>44.032286915306855</v>
      </c>
    </row>
    <row r="400" spans="1:13" ht="18" x14ac:dyDescent="0.25">
      <c r="A400" s="62" t="s">
        <v>359</v>
      </c>
      <c r="B400" s="63">
        <v>412665</v>
      </c>
      <c r="C400" s="37">
        <v>2</v>
      </c>
      <c r="D400" s="39">
        <v>0</v>
      </c>
      <c r="E400" s="38">
        <v>0</v>
      </c>
      <c r="F400" s="6">
        <v>75</v>
      </c>
      <c r="G400" s="6">
        <v>412</v>
      </c>
      <c r="H400" s="40">
        <v>0.18203883495145631</v>
      </c>
      <c r="I400" s="38">
        <v>26.107562026444807</v>
      </c>
      <c r="J400" s="39">
        <v>0.45482776349439558</v>
      </c>
      <c r="K400" s="38">
        <v>62.971619888107668</v>
      </c>
      <c r="L400" s="27">
        <f t="shared" si="12"/>
        <v>29.693060638184161</v>
      </c>
      <c r="M400" s="74">
        <f t="shared" si="13"/>
        <v>35.419002640448092</v>
      </c>
    </row>
    <row r="401" spans="4:15" x14ac:dyDescent="0.25">
      <c r="J401" s="41"/>
      <c r="K401" s="43"/>
    </row>
    <row r="402" spans="4:15" x14ac:dyDescent="0.25">
      <c r="D402" s="12">
        <f>QUARTILE(D2:D400,0)</f>
        <v>0</v>
      </c>
      <c r="E402" s="12">
        <f t="shared" ref="E402:O402" si="14">QUARTILE(E2:E400,0)</f>
        <v>0</v>
      </c>
      <c r="F402" s="12">
        <f t="shared" si="14"/>
        <v>17</v>
      </c>
      <c r="G402" s="12">
        <f t="shared" si="14"/>
        <v>164</v>
      </c>
      <c r="H402" s="12">
        <f t="shared" si="14"/>
        <v>3.0249110320284697E-2</v>
      </c>
      <c r="I402" s="12">
        <f t="shared" si="14"/>
        <v>0</v>
      </c>
      <c r="J402" s="42">
        <f t="shared" si="14"/>
        <v>0.23235862795423656</v>
      </c>
      <c r="K402" s="44">
        <f t="shared" si="14"/>
        <v>0</v>
      </c>
      <c r="L402" s="12">
        <f t="shared" si="14"/>
        <v>6.8727850949397853</v>
      </c>
      <c r="M402" s="12">
        <f t="shared" si="14"/>
        <v>0</v>
      </c>
      <c r="N402" s="12" t="e">
        <f t="shared" si="14"/>
        <v>#NUM!</v>
      </c>
      <c r="O402" s="12" t="e">
        <f t="shared" si="14"/>
        <v>#NUM!</v>
      </c>
    </row>
    <row r="403" spans="4:15" x14ac:dyDescent="0.25">
      <c r="D403" s="12">
        <f>QUARTILE(D2:D400,4)</f>
        <v>1</v>
      </c>
      <c r="E403" s="12">
        <f t="shared" ref="E403:O403" si="15">QUARTILE(E2:E400,4)</f>
        <v>100</v>
      </c>
      <c r="F403" s="12">
        <f t="shared" si="15"/>
        <v>23579</v>
      </c>
      <c r="G403" s="12">
        <f t="shared" si="15"/>
        <v>185447</v>
      </c>
      <c r="H403" s="12">
        <f t="shared" si="15"/>
        <v>0.61165048543689315</v>
      </c>
      <c r="I403" s="12">
        <f t="shared" si="15"/>
        <v>100</v>
      </c>
      <c r="J403" s="12">
        <f t="shared" si="15"/>
        <v>0.83316572474837647</v>
      </c>
      <c r="K403" s="12">
        <f t="shared" si="15"/>
        <v>100</v>
      </c>
      <c r="L403" s="12">
        <f t="shared" si="15"/>
        <v>71.30225470734463</v>
      </c>
      <c r="M403" s="12">
        <f t="shared" si="15"/>
        <v>100</v>
      </c>
      <c r="N403" s="12" t="e">
        <f t="shared" si="15"/>
        <v>#NUM!</v>
      </c>
      <c r="O403" s="12" t="e">
        <f t="shared" si="15"/>
        <v>#NUM!</v>
      </c>
    </row>
  </sheetData>
  <conditionalFormatting sqref="L2:L4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113B-9814-41A8-BEB7-B07E848E790D}">
  <dimension ref="A1:C44"/>
  <sheetViews>
    <sheetView topLeftCell="A23" workbookViewId="0">
      <selection activeCell="B41" sqref="B41"/>
    </sheetView>
  </sheetViews>
  <sheetFormatPr defaultRowHeight="15" x14ac:dyDescent="0.25"/>
  <cols>
    <col min="1" max="1" width="32.28515625" bestFit="1" customWidth="1"/>
  </cols>
  <sheetData>
    <row r="1" spans="1:3" x14ac:dyDescent="0.25">
      <c r="A1" t="s">
        <v>456</v>
      </c>
    </row>
    <row r="2" spans="1:3" x14ac:dyDescent="0.25">
      <c r="A2" s="75" t="s">
        <v>197</v>
      </c>
      <c r="B2">
        <v>1</v>
      </c>
      <c r="C2" t="e">
        <f>VLOOKUP(A2,Dados!A$2:Q$400,18,FALSE)</f>
        <v>#REF!</v>
      </c>
    </row>
    <row r="3" spans="1:3" x14ac:dyDescent="0.25">
      <c r="A3" s="75" t="s">
        <v>243</v>
      </c>
      <c r="B3">
        <v>1</v>
      </c>
      <c r="C3" t="e">
        <f>VLOOKUP(A3,Dados!A$2:Q$400,18,FALSE)</f>
        <v>#REF!</v>
      </c>
    </row>
    <row r="4" spans="1:3" x14ac:dyDescent="0.25">
      <c r="A4" s="75" t="s">
        <v>201</v>
      </c>
      <c r="B4">
        <v>1</v>
      </c>
      <c r="C4" t="e">
        <f>VLOOKUP(A4,Dados!A$2:Q$400,18,FALSE)</f>
        <v>#REF!</v>
      </c>
    </row>
    <row r="5" spans="1:3" x14ac:dyDescent="0.25">
      <c r="A5" s="75" t="s">
        <v>155</v>
      </c>
      <c r="B5">
        <v>1</v>
      </c>
      <c r="C5" t="e">
        <f>VLOOKUP(A5,Dados!A$2:Q$400,18,FALSE)</f>
        <v>#REF!</v>
      </c>
    </row>
    <row r="6" spans="1:3" x14ac:dyDescent="0.25">
      <c r="A6" s="75" t="s">
        <v>237</v>
      </c>
      <c r="B6">
        <v>1</v>
      </c>
      <c r="C6" t="e">
        <f>VLOOKUP(A6,Dados!A$2:Q$400,18,FALSE)</f>
        <v>#REF!</v>
      </c>
    </row>
    <row r="7" spans="1:3" x14ac:dyDescent="0.25">
      <c r="A7" s="75" t="s">
        <v>115</v>
      </c>
      <c r="B7">
        <v>1</v>
      </c>
      <c r="C7" t="e">
        <f>VLOOKUP(A7,Dados!A$2:Q$400,18,FALSE)</f>
        <v>#REF!</v>
      </c>
    </row>
    <row r="8" spans="1:3" x14ac:dyDescent="0.25">
      <c r="A8" s="75" t="s">
        <v>118</v>
      </c>
      <c r="B8">
        <v>1</v>
      </c>
      <c r="C8" t="e">
        <f>VLOOKUP(A8,Dados!A$2:Q$400,18,FALSE)</f>
        <v>#REF!</v>
      </c>
    </row>
    <row r="9" spans="1:3" x14ac:dyDescent="0.25">
      <c r="A9" s="75" t="s">
        <v>96</v>
      </c>
      <c r="B9">
        <v>1</v>
      </c>
      <c r="C9" t="e">
        <f>VLOOKUP(A9,Dados!A$2:Q$400,18,FALSE)</f>
        <v>#REF!</v>
      </c>
    </row>
    <row r="10" spans="1:3" x14ac:dyDescent="0.25">
      <c r="A10" s="75" t="s">
        <v>103</v>
      </c>
      <c r="B10">
        <v>1</v>
      </c>
      <c r="C10" t="e">
        <f>VLOOKUP(A10,Dados!A$2:Q$400,18,FALSE)</f>
        <v>#REF!</v>
      </c>
    </row>
    <row r="11" spans="1:3" x14ac:dyDescent="0.25">
      <c r="A11" s="75" t="s">
        <v>284</v>
      </c>
      <c r="B11">
        <v>1</v>
      </c>
      <c r="C11" t="e">
        <f>VLOOKUP(A11,Dados!A$2:Q$400,18,FALSE)</f>
        <v>#REF!</v>
      </c>
    </row>
    <row r="12" spans="1:3" x14ac:dyDescent="0.25">
      <c r="A12" s="75" t="s">
        <v>310</v>
      </c>
      <c r="B12">
        <v>1</v>
      </c>
      <c r="C12" t="e">
        <f>VLOOKUP(A12,Dados!A$2:Q$400,18,FALSE)</f>
        <v>#REF!</v>
      </c>
    </row>
    <row r="13" spans="1:3" x14ac:dyDescent="0.25">
      <c r="A13" s="75" t="s">
        <v>17</v>
      </c>
      <c r="B13">
        <v>1</v>
      </c>
      <c r="C13" t="e">
        <f>VLOOKUP(A13,Dados!A$2:Q$400,18,FALSE)</f>
        <v>#REF!</v>
      </c>
    </row>
    <row r="14" spans="1:3" x14ac:dyDescent="0.25">
      <c r="A14" s="75" t="s">
        <v>225</v>
      </c>
      <c r="B14">
        <v>1</v>
      </c>
      <c r="C14" t="e">
        <f>VLOOKUP(A14,Dados!A$2:Q$400,18,FALSE)</f>
        <v>#REF!</v>
      </c>
    </row>
    <row r="15" spans="1:3" x14ac:dyDescent="0.25">
      <c r="A15" s="75" t="s">
        <v>252</v>
      </c>
      <c r="B15">
        <v>1</v>
      </c>
      <c r="C15" t="e">
        <f>VLOOKUP(A15,Dados!A$2:Q$400,18,FALSE)</f>
        <v>#REF!</v>
      </c>
    </row>
    <row r="16" spans="1:3" x14ac:dyDescent="0.25">
      <c r="A16" s="75" t="s">
        <v>14</v>
      </c>
      <c r="B16">
        <v>1</v>
      </c>
      <c r="C16" t="e">
        <f>VLOOKUP(A16,Dados!A$2:Q$400,18,FALSE)</f>
        <v>#REF!</v>
      </c>
    </row>
    <row r="17" spans="1:3" x14ac:dyDescent="0.25">
      <c r="A17" s="75" t="s">
        <v>238</v>
      </c>
      <c r="B17">
        <v>1</v>
      </c>
      <c r="C17" t="e">
        <f>VLOOKUP(A17,Dados!A$2:Q$400,18,FALSE)</f>
        <v>#REF!</v>
      </c>
    </row>
    <row r="18" spans="1:3" x14ac:dyDescent="0.25">
      <c r="A18" s="75" t="s">
        <v>214</v>
      </c>
      <c r="B18">
        <v>1</v>
      </c>
      <c r="C18" t="e">
        <f>VLOOKUP(A18,Dados!A$2:Q$400,18,FALSE)</f>
        <v>#REF!</v>
      </c>
    </row>
    <row r="19" spans="1:3" x14ac:dyDescent="0.25">
      <c r="A19" s="75" t="s">
        <v>137</v>
      </c>
      <c r="B19">
        <v>1</v>
      </c>
      <c r="C19" t="e">
        <f>VLOOKUP(A19,Dados!A$2:Q$400,18,FALSE)</f>
        <v>#REF!</v>
      </c>
    </row>
    <row r="20" spans="1:3" x14ac:dyDescent="0.25">
      <c r="A20" s="75" t="s">
        <v>67</v>
      </c>
      <c r="B20">
        <v>1</v>
      </c>
      <c r="C20" t="e">
        <f>VLOOKUP(A20,Dados!A$2:Q$400,18,FALSE)</f>
        <v>#REF!</v>
      </c>
    </row>
    <row r="21" spans="1:3" x14ac:dyDescent="0.25">
      <c r="A21" s="75" t="s">
        <v>128</v>
      </c>
      <c r="B21">
        <v>1</v>
      </c>
      <c r="C21" t="e">
        <f>VLOOKUP(A21,Dados!A$2:Q$400,18,FALSE)</f>
        <v>#REF!</v>
      </c>
    </row>
    <row r="22" spans="1:3" x14ac:dyDescent="0.25">
      <c r="A22" s="75" t="s">
        <v>363</v>
      </c>
      <c r="B22">
        <v>1</v>
      </c>
      <c r="C22" t="e">
        <f>VLOOKUP(A22,Dados!A$2:Q$400,18,FALSE)</f>
        <v>#REF!</v>
      </c>
    </row>
    <row r="23" spans="1:3" x14ac:dyDescent="0.25">
      <c r="A23" s="75" t="s">
        <v>234</v>
      </c>
      <c r="B23">
        <v>1</v>
      </c>
      <c r="C23" t="e">
        <f>VLOOKUP(A23,Dados!A$2:Q$400,18,FALSE)</f>
        <v>#REF!</v>
      </c>
    </row>
    <row r="24" spans="1:3" x14ac:dyDescent="0.25">
      <c r="A24" s="75" t="s">
        <v>289</v>
      </c>
      <c r="B24">
        <v>1</v>
      </c>
      <c r="C24" t="e">
        <f>VLOOKUP(A24,Dados!A$2:Q$400,18,FALSE)</f>
        <v>#REF!</v>
      </c>
    </row>
    <row r="25" spans="1:3" x14ac:dyDescent="0.25">
      <c r="A25" s="75" t="s">
        <v>138</v>
      </c>
      <c r="B25">
        <v>1</v>
      </c>
      <c r="C25" t="e">
        <f>VLOOKUP(A25,Dados!A$2:Q$400,18,FALSE)</f>
        <v>#REF!</v>
      </c>
    </row>
    <row r="26" spans="1:3" x14ac:dyDescent="0.25">
      <c r="A26" s="75" t="s">
        <v>277</v>
      </c>
      <c r="B26">
        <v>1</v>
      </c>
      <c r="C26" t="e">
        <f>VLOOKUP(A26,Dados!A$2:Q$400,18,FALSE)</f>
        <v>#REF!</v>
      </c>
    </row>
    <row r="27" spans="1:3" x14ac:dyDescent="0.25">
      <c r="A27" s="75" t="s">
        <v>219</v>
      </c>
      <c r="B27">
        <v>1</v>
      </c>
      <c r="C27" t="e">
        <f>VLOOKUP(A27,Dados!A$2:Q$400,18,FALSE)</f>
        <v>#REF!</v>
      </c>
    </row>
    <row r="28" spans="1:3" x14ac:dyDescent="0.25">
      <c r="A28" s="75" t="s">
        <v>121</v>
      </c>
      <c r="B28">
        <v>1</v>
      </c>
      <c r="C28" t="e">
        <f>VLOOKUP(A28,Dados!A$2:Q$400,18,FALSE)</f>
        <v>#REF!</v>
      </c>
    </row>
    <row r="29" spans="1:3" x14ac:dyDescent="0.25">
      <c r="A29" s="75" t="s">
        <v>108</v>
      </c>
      <c r="B29">
        <v>1</v>
      </c>
      <c r="C29" t="e">
        <f>VLOOKUP(A29,Dados!A$2:Q$400,18,FALSE)</f>
        <v>#REF!</v>
      </c>
    </row>
    <row r="30" spans="1:3" x14ac:dyDescent="0.25">
      <c r="A30" s="75" t="s">
        <v>166</v>
      </c>
      <c r="B30">
        <v>1</v>
      </c>
      <c r="C30" t="e">
        <f>VLOOKUP(A30,Dados!A$2:Q$400,18,FALSE)</f>
        <v>#REF!</v>
      </c>
    </row>
    <row r="31" spans="1:3" x14ac:dyDescent="0.25">
      <c r="A31" s="75" t="s">
        <v>84</v>
      </c>
      <c r="B31">
        <v>1</v>
      </c>
      <c r="C31" t="e">
        <f>VLOOKUP(A31,Dados!A$2:Q$400,18,FALSE)</f>
        <v>#REF!</v>
      </c>
    </row>
    <row r="32" spans="1:3" x14ac:dyDescent="0.25">
      <c r="A32" s="75" t="s">
        <v>18</v>
      </c>
      <c r="B32">
        <v>1</v>
      </c>
      <c r="C32" t="e">
        <f>VLOOKUP(A32,Dados!A$2:Q$400,18,FALSE)</f>
        <v>#REF!</v>
      </c>
    </row>
    <row r="33" spans="1:3" x14ac:dyDescent="0.25">
      <c r="A33" s="75" t="s">
        <v>72</v>
      </c>
      <c r="B33">
        <v>1</v>
      </c>
      <c r="C33" t="e">
        <f>VLOOKUP(A33,Dados!A$2:Q$400,18,FALSE)</f>
        <v>#REF!</v>
      </c>
    </row>
    <row r="34" spans="1:3" x14ac:dyDescent="0.25">
      <c r="A34" s="75" t="s">
        <v>24</v>
      </c>
      <c r="B34">
        <v>1</v>
      </c>
      <c r="C34" t="e">
        <f>VLOOKUP(A34,Dados!A$2:Q$400,18,FALSE)</f>
        <v>#REF!</v>
      </c>
    </row>
    <row r="35" spans="1:3" x14ac:dyDescent="0.25">
      <c r="A35" s="75" t="s">
        <v>69</v>
      </c>
      <c r="B35">
        <v>1</v>
      </c>
      <c r="C35" t="e">
        <f>VLOOKUP(A35,Dados!A$2:Q$400,18,FALSE)</f>
        <v>#REF!</v>
      </c>
    </row>
    <row r="36" spans="1:3" x14ac:dyDescent="0.25">
      <c r="A36" s="75" t="s">
        <v>164</v>
      </c>
      <c r="B36">
        <v>1</v>
      </c>
      <c r="C36" t="e">
        <f>VLOOKUP(A36,Dados!A$2:Q$400,18,FALSE)</f>
        <v>#REF!</v>
      </c>
    </row>
    <row r="37" spans="1:3" x14ac:dyDescent="0.25">
      <c r="A37" s="75" t="s">
        <v>143</v>
      </c>
      <c r="B37">
        <v>1</v>
      </c>
      <c r="C37" t="e">
        <f>VLOOKUP(A37,Dados!A$2:Q$400,18,FALSE)</f>
        <v>#REF!</v>
      </c>
    </row>
    <row r="38" spans="1:3" x14ac:dyDescent="0.25">
      <c r="A38" s="75" t="s">
        <v>158</v>
      </c>
      <c r="B38">
        <v>1</v>
      </c>
      <c r="C38" t="e">
        <f>VLOOKUP(A38,Dados!A$2:Q$400,18,FALSE)</f>
        <v>#REF!</v>
      </c>
    </row>
    <row r="39" spans="1:3" x14ac:dyDescent="0.25">
      <c r="A39" s="75" t="s">
        <v>25</v>
      </c>
      <c r="B39">
        <v>1</v>
      </c>
      <c r="C39" t="e">
        <f>VLOOKUP(A39,Dados!A$2:Q$400,18,FALSE)</f>
        <v>#REF!</v>
      </c>
    </row>
    <row r="40" spans="1:3" x14ac:dyDescent="0.25">
      <c r="A40" s="75" t="s">
        <v>359</v>
      </c>
      <c r="B40">
        <v>1</v>
      </c>
      <c r="C40" t="e">
        <f>VLOOKUP(A40,Dados!A$2:Q$400,18,FALSE)</f>
        <v>#REF!</v>
      </c>
    </row>
    <row r="41" spans="1:3" x14ac:dyDescent="0.25">
      <c r="A41" s="75" t="s">
        <v>111</v>
      </c>
      <c r="B41">
        <v>1</v>
      </c>
      <c r="C41" t="e">
        <f>VLOOKUP(A41,Dados!A$2:Q$400,18,FALSE)</f>
        <v>#REF!</v>
      </c>
    </row>
    <row r="42" spans="1:3" x14ac:dyDescent="0.25">
      <c r="A42" s="75" t="s">
        <v>26</v>
      </c>
      <c r="B42">
        <v>1</v>
      </c>
      <c r="C42" t="e">
        <f>VLOOKUP(A42,Dados!A$2:Q$400,18,FALSE)</f>
        <v>#REF!</v>
      </c>
    </row>
    <row r="43" spans="1:3" x14ac:dyDescent="0.25">
      <c r="A43" s="75" t="s">
        <v>203</v>
      </c>
      <c r="B43">
        <v>1</v>
      </c>
      <c r="C43" t="e">
        <f>VLOOKUP(A43,Dados!A$2:Q$400,18,FALSE)</f>
        <v>#REF!</v>
      </c>
    </row>
    <row r="44" spans="1:3" x14ac:dyDescent="0.25">
      <c r="A44" s="75" t="s">
        <v>102</v>
      </c>
      <c r="B44">
        <v>1</v>
      </c>
      <c r="C44" t="e">
        <f>VLOOKUP(A44,Dados!A$2:Q$400,18,FALSE)</f>
        <v>#REF!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154635-AF04-4BD7-9213-003C0D26A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Resultados</vt:lpstr>
      <vt:lpstr>Metodologia</vt:lpstr>
      <vt:lpstr>Dados</vt:lpstr>
      <vt:lpstr>Educacional</vt:lpstr>
      <vt:lpstr>Demográfico</vt:lpstr>
      <vt:lpstr>Socioeconômico</vt:lpstr>
      <vt:lpstr>Planilha1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revision/>
  <dcterms:created xsi:type="dcterms:W3CDTF">2024-03-02T22:51:01Z</dcterms:created>
  <dcterms:modified xsi:type="dcterms:W3CDTF">2024-03-27T19:34:27Z</dcterms:modified>
  <cp:category/>
  <cp:contentStatus/>
</cp:coreProperties>
</file>