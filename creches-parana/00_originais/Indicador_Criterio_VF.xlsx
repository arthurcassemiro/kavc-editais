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:\CAF - Coordenação de Acompanhamento da Governança Fiscal\Análises\2024.02.19 Creches\"/>
    </mc:Choice>
  </mc:AlternateContent>
  <xr:revisionPtr revIDLastSave="0" documentId="13_ncr:1_{4A82D8EA-FB8F-4149-B865-462BECC04D3E}" xr6:coauthVersionLast="47" xr6:coauthVersionMax="47" xr10:uidLastSave="{00000000-0000-0000-0000-000000000000}"/>
  <bookViews>
    <workbookView xWindow="-120" yWindow="-120" windowWidth="29040" windowHeight="15840" tabRatio="581" xr2:uid="{00000000-000D-0000-FFFF-FFFF00000000}"/>
  </bookViews>
  <sheets>
    <sheet name="CI" sheetId="1" r:id="rId1"/>
    <sheet name="Controle" sheetId="5" r:id="rId2"/>
    <sheet name="Educacional" sheetId="2" r:id="rId3"/>
    <sheet name="Demográfico" sheetId="3" r:id="rId4"/>
    <sheet name="Socioeconômico" sheetId="4" r:id="rId5"/>
    <sheet name="Municipios" sheetId="6" r:id="rId6"/>
  </sheets>
  <externalReferences>
    <externalReference r:id="rId7"/>
  </externalReferences>
  <definedNames>
    <definedName name="_xlnm._FilterDatabase" localSheetId="0" hidden="1">CI!$A$1:$R$1</definedName>
    <definedName name="_xlnm._FilterDatabase" localSheetId="3" hidden="1">Demográfico!$A$1:$K$1</definedName>
    <definedName name="_xlnm._FilterDatabase" localSheetId="5" hidden="1">Municipios!$A$1:$H$1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H367" i="1"/>
  <c r="H280" i="1"/>
  <c r="H114" i="1"/>
  <c r="H306" i="1"/>
  <c r="H285" i="1"/>
  <c r="H179" i="1"/>
  <c r="H375" i="1"/>
  <c r="H162" i="1"/>
  <c r="H342" i="1"/>
  <c r="H239" i="1"/>
  <c r="H229" i="1"/>
  <c r="H282" i="1"/>
  <c r="H139" i="1"/>
  <c r="H201" i="1"/>
  <c r="H316" i="1"/>
  <c r="H107" i="1"/>
  <c r="H68" i="1"/>
  <c r="H263" i="1"/>
  <c r="H268" i="1"/>
  <c r="H221" i="1"/>
  <c r="H340" i="1"/>
  <c r="H18" i="1"/>
  <c r="H155" i="1"/>
  <c r="H122" i="1"/>
  <c r="H361" i="1"/>
  <c r="H299" i="1"/>
  <c r="H233" i="1"/>
  <c r="H63" i="1"/>
  <c r="H251" i="1"/>
  <c r="H196" i="1"/>
  <c r="H133" i="1"/>
  <c r="H256" i="1"/>
  <c r="H153" i="1"/>
  <c r="H151" i="1"/>
  <c r="H195" i="1"/>
  <c r="H138" i="1"/>
  <c r="H283" i="1"/>
  <c r="H203" i="1"/>
  <c r="H193" i="1"/>
  <c r="H182" i="1"/>
  <c r="H300" i="1"/>
  <c r="H78" i="1"/>
  <c r="H246" i="1"/>
  <c r="H64" i="1"/>
  <c r="H156" i="1"/>
  <c r="H20" i="1"/>
  <c r="H106" i="1"/>
  <c r="H115" i="1"/>
  <c r="H219" i="1"/>
  <c r="H369" i="1"/>
  <c r="H254" i="1"/>
  <c r="H146" i="1"/>
  <c r="H66" i="1"/>
  <c r="H121" i="1"/>
  <c r="H38" i="1"/>
  <c r="H99" i="1"/>
  <c r="H337" i="1"/>
  <c r="H180" i="1"/>
  <c r="H350" i="1"/>
  <c r="H130" i="1"/>
  <c r="H308" i="1"/>
  <c r="H352" i="1"/>
  <c r="H261" i="1"/>
  <c r="H348" i="1"/>
  <c r="H184" i="1"/>
  <c r="H210" i="1"/>
  <c r="H332" i="1"/>
  <c r="H94" i="1"/>
  <c r="H215" i="1"/>
  <c r="H140" i="1"/>
  <c r="H359" i="1"/>
  <c r="H50" i="1"/>
  <c r="H318" i="1"/>
  <c r="H72" i="1"/>
  <c r="H226" i="1"/>
  <c r="H136" i="1"/>
  <c r="H144" i="1"/>
  <c r="H120" i="1"/>
  <c r="H301" i="1"/>
  <c r="H333" i="1"/>
  <c r="H147" i="1"/>
  <c r="H248" i="1"/>
  <c r="H349" i="1"/>
  <c r="H372" i="1"/>
  <c r="H356" i="1"/>
  <c r="H128" i="1"/>
  <c r="H125" i="1"/>
  <c r="H294" i="1"/>
  <c r="H200" i="1"/>
  <c r="H84" i="1"/>
  <c r="H183" i="1"/>
  <c r="H377" i="1"/>
  <c r="H104" i="1"/>
  <c r="H37" i="1"/>
  <c r="H112" i="1"/>
  <c r="H228" i="1"/>
  <c r="H341" i="1"/>
  <c r="H175" i="1"/>
  <c r="H281" i="1"/>
  <c r="H113" i="1"/>
  <c r="H328" i="1"/>
  <c r="H126" i="1"/>
  <c r="H80" i="1"/>
  <c r="H111" i="1"/>
  <c r="H286" i="1"/>
  <c r="H56" i="1"/>
  <c r="H134" i="1"/>
  <c r="H174" i="1"/>
  <c r="H287" i="1"/>
  <c r="H44" i="1"/>
  <c r="H177" i="1"/>
  <c r="H243" i="1"/>
  <c r="H351" i="1"/>
  <c r="H322" i="1"/>
  <c r="H13" i="1"/>
  <c r="H67" i="1"/>
  <c r="H260" i="1"/>
  <c r="H30" i="1"/>
  <c r="H167" i="1"/>
  <c r="H317" i="1"/>
  <c r="H289" i="1"/>
  <c r="H358" i="1"/>
  <c r="H53" i="1"/>
  <c r="H103" i="1"/>
  <c r="H298" i="1"/>
  <c r="H220" i="1"/>
  <c r="H339" i="1"/>
  <c r="H186" i="1"/>
  <c r="H225" i="1"/>
  <c r="H171" i="1"/>
  <c r="H123" i="1"/>
  <c r="H252" i="1"/>
  <c r="H199" i="1"/>
  <c r="H173" i="1"/>
  <c r="H245" i="1"/>
  <c r="H217" i="1"/>
  <c r="H309" i="1"/>
  <c r="H387" i="1"/>
  <c r="H324" i="1"/>
  <c r="H205" i="1"/>
  <c r="H9" i="1"/>
  <c r="H163" i="1"/>
  <c r="H129" i="1"/>
  <c r="H303" i="1"/>
  <c r="H110" i="1"/>
  <c r="H343" i="1"/>
  <c r="H325" i="1"/>
  <c r="H74" i="1"/>
  <c r="H21" i="1"/>
  <c r="H32" i="1"/>
  <c r="H158" i="1"/>
  <c r="H185" i="1"/>
  <c r="H347" i="1"/>
  <c r="H240" i="1"/>
  <c r="H230" i="1"/>
  <c r="H277" i="1"/>
  <c r="H368" i="1"/>
  <c r="H190" i="1"/>
  <c r="H198" i="1"/>
  <c r="H290" i="1"/>
  <c r="H131" i="1"/>
  <c r="H255" i="1"/>
  <c r="H88" i="1"/>
  <c r="H231" i="1"/>
  <c r="H42" i="1"/>
  <c r="H326" i="1"/>
  <c r="H346" i="1"/>
  <c r="H214" i="1"/>
  <c r="H224" i="1"/>
  <c r="H39" i="1"/>
  <c r="H238" i="1"/>
  <c r="H271" i="1"/>
  <c r="H275" i="1"/>
  <c r="H355" i="1"/>
  <c r="H276" i="1"/>
  <c r="H311" i="1"/>
  <c r="H235" i="1"/>
  <c r="H79" i="1"/>
  <c r="H264" i="1"/>
  <c r="H364" i="1"/>
  <c r="H269" i="1"/>
  <c r="H135" i="1"/>
  <c r="H310" i="1"/>
  <c r="H149" i="1"/>
  <c r="H197" i="1"/>
  <c r="H83" i="1"/>
  <c r="H191" i="1"/>
  <c r="H370" i="1"/>
  <c r="H357" i="1"/>
  <c r="H59" i="1"/>
  <c r="H116" i="1"/>
  <c r="H14" i="1"/>
  <c r="H293" i="1"/>
  <c r="H259" i="1"/>
  <c r="H117" i="1"/>
  <c r="H45" i="1"/>
  <c r="H305" i="1"/>
  <c r="H297" i="1"/>
  <c r="H86" i="1"/>
  <c r="H143" i="1"/>
  <c r="H373" i="1"/>
  <c r="H345" i="1"/>
  <c r="H98" i="1"/>
  <c r="H40" i="1"/>
  <c r="H49" i="1"/>
  <c r="H5" i="1"/>
  <c r="H85" i="1"/>
  <c r="H154" i="1"/>
  <c r="H391" i="1"/>
  <c r="H236" i="1"/>
  <c r="H319" i="1"/>
  <c r="H267" i="1"/>
  <c r="H383" i="1"/>
  <c r="H241" i="1"/>
  <c r="H168" i="1"/>
  <c r="H273" i="1"/>
  <c r="H160" i="1"/>
  <c r="H8" i="1"/>
  <c r="H213" i="1"/>
  <c r="H10" i="1"/>
  <c r="H137" i="1"/>
  <c r="H242" i="1"/>
  <c r="H244" i="1"/>
  <c r="H208" i="1"/>
  <c r="H188" i="1"/>
  <c r="H65" i="1"/>
  <c r="H211" i="1"/>
  <c r="H148" i="1"/>
  <c r="H70" i="1"/>
  <c r="H272" i="1"/>
  <c r="H161" i="1"/>
  <c r="H258" i="1"/>
  <c r="H150" i="1"/>
  <c r="H142" i="1"/>
  <c r="H58" i="1"/>
  <c r="H22" i="1"/>
  <c r="H181" i="1"/>
  <c r="H262" i="1"/>
  <c r="H390" i="1"/>
  <c r="H95" i="1"/>
  <c r="H73" i="1"/>
  <c r="H34" i="1"/>
  <c r="H353" i="1"/>
  <c r="H250" i="1"/>
  <c r="H76" i="1"/>
  <c r="H15" i="1"/>
  <c r="H334" i="1"/>
  <c r="H132" i="1"/>
  <c r="H338" i="1"/>
  <c r="H202" i="1"/>
  <c r="H344" i="1"/>
  <c r="H330" i="1"/>
  <c r="H92" i="1"/>
  <c r="H105" i="1"/>
  <c r="H127" i="1"/>
  <c r="H90" i="1"/>
  <c r="H376" i="1"/>
  <c r="H3" i="1"/>
  <c r="H7" i="1"/>
  <c r="H192" i="1"/>
  <c r="H388" i="1"/>
  <c r="H354" i="1"/>
  <c r="H141" i="1"/>
  <c r="H178" i="1"/>
  <c r="H384" i="1"/>
  <c r="H216" i="1"/>
  <c r="H23" i="1"/>
  <c r="H119" i="1"/>
  <c r="H26" i="1"/>
  <c r="H29" i="1"/>
  <c r="H302" i="1"/>
  <c r="H187" i="1"/>
  <c r="H89" i="1"/>
  <c r="H96" i="1"/>
  <c r="H62" i="1"/>
  <c r="H31" i="1"/>
  <c r="H101" i="1"/>
  <c r="H36" i="1"/>
  <c r="H399" i="1"/>
  <c r="H389" i="1"/>
  <c r="H55" i="1"/>
  <c r="H57" i="1"/>
  <c r="H304" i="1"/>
  <c r="H48" i="1"/>
  <c r="H71" i="1"/>
  <c r="H227" i="1"/>
  <c r="H145" i="1"/>
  <c r="H312" i="1"/>
  <c r="H47" i="1"/>
  <c r="H288" i="1"/>
  <c r="H237" i="1"/>
  <c r="H249" i="1"/>
  <c r="H374" i="1"/>
  <c r="H194" i="1"/>
  <c r="H371" i="1"/>
  <c r="H204" i="1"/>
  <c r="H257" i="1"/>
  <c r="H222" i="1"/>
  <c r="H320" i="1"/>
  <c r="H329" i="1"/>
  <c r="H313" i="1"/>
  <c r="H278" i="1"/>
  <c r="H109" i="1"/>
  <c r="H24" i="1"/>
  <c r="H46" i="1"/>
  <c r="H16" i="1"/>
  <c r="H292" i="1"/>
  <c r="H232" i="1"/>
  <c r="H60" i="1"/>
  <c r="H61" i="1"/>
  <c r="H166" i="1"/>
  <c r="H69" i="1"/>
  <c r="H398" i="1"/>
  <c r="H209" i="1"/>
  <c r="H366" i="1"/>
  <c r="H365" i="1"/>
  <c r="H41" i="1"/>
  <c r="H170" i="1"/>
  <c r="H295" i="1"/>
  <c r="H82" i="1"/>
  <c r="H385" i="1"/>
  <c r="H19" i="1"/>
  <c r="H118" i="1"/>
  <c r="H159" i="1"/>
  <c r="H362" i="1"/>
  <c r="H327" i="1"/>
  <c r="H274" i="1"/>
  <c r="H378" i="1"/>
  <c r="H165" i="1"/>
  <c r="H51" i="1"/>
  <c r="H6" i="1"/>
  <c r="H108" i="1"/>
  <c r="H124" i="1"/>
  <c r="H394" i="1"/>
  <c r="H381" i="1"/>
  <c r="H253" i="1"/>
  <c r="H91" i="1"/>
  <c r="H386" i="1"/>
  <c r="H397" i="1"/>
  <c r="H81" i="1"/>
  <c r="H28" i="1"/>
  <c r="H400" i="1"/>
  <c r="H157" i="1"/>
  <c r="H87" i="1"/>
  <c r="H206" i="1"/>
  <c r="H176" i="1"/>
  <c r="H164" i="1"/>
  <c r="H360" i="1"/>
  <c r="H17" i="1"/>
  <c r="H152" i="1"/>
  <c r="H77" i="1"/>
  <c r="H189" i="1"/>
  <c r="H97" i="1"/>
  <c r="H380" i="1"/>
  <c r="H382" i="1"/>
  <c r="H223" i="1"/>
  <c r="H11" i="1"/>
  <c r="H296" i="1"/>
  <c r="H270" i="1"/>
  <c r="H93" i="1"/>
  <c r="H25" i="1"/>
  <c r="H43" i="1"/>
  <c r="H75" i="1"/>
  <c r="H335" i="1"/>
  <c r="H396" i="1"/>
  <c r="H315" i="1"/>
  <c r="H27" i="1"/>
  <c r="H52" i="1"/>
  <c r="H33" i="1"/>
  <c r="H314" i="1"/>
  <c r="H284" i="1"/>
  <c r="H266" i="1"/>
  <c r="H392" i="1"/>
  <c r="H393" i="1"/>
  <c r="H331" i="1"/>
  <c r="H12" i="1"/>
  <c r="H169" i="1"/>
  <c r="H363" i="1"/>
  <c r="H207" i="1"/>
  <c r="H291" i="1"/>
  <c r="H395" i="1"/>
  <c r="H218" i="1"/>
  <c r="H100" i="1"/>
  <c r="H35" i="1"/>
  <c r="H172" i="1"/>
  <c r="H4" i="1"/>
  <c r="H212" i="1"/>
  <c r="H307" i="1"/>
  <c r="H247" i="1"/>
  <c r="H102" i="1"/>
  <c r="H323" i="1"/>
  <c r="H336" i="1"/>
  <c r="H2" i="1"/>
  <c r="H279" i="1"/>
  <c r="H54" i="1"/>
  <c r="H265" i="1"/>
  <c r="H321" i="1"/>
  <c r="H379" i="1"/>
  <c r="H234" i="1"/>
  <c r="G367" i="1"/>
  <c r="G280" i="1"/>
  <c r="G114" i="1"/>
  <c r="G306" i="1"/>
  <c r="G285" i="1"/>
  <c r="G179" i="1"/>
  <c r="G375" i="1"/>
  <c r="G162" i="1"/>
  <c r="G342" i="1"/>
  <c r="G239" i="1"/>
  <c r="G229" i="1"/>
  <c r="G282" i="1"/>
  <c r="G139" i="1"/>
  <c r="G201" i="1"/>
  <c r="G316" i="1"/>
  <c r="G107" i="1"/>
  <c r="G68" i="1"/>
  <c r="G263" i="1"/>
  <c r="G268" i="1"/>
  <c r="G221" i="1"/>
  <c r="G340" i="1"/>
  <c r="G18" i="1"/>
  <c r="G155" i="1"/>
  <c r="G122" i="1"/>
  <c r="G361" i="1"/>
  <c r="G299" i="1"/>
  <c r="G233" i="1"/>
  <c r="G63" i="1"/>
  <c r="G251" i="1"/>
  <c r="G196" i="1"/>
  <c r="G133" i="1"/>
  <c r="G256" i="1"/>
  <c r="G153" i="1"/>
  <c r="G151" i="1"/>
  <c r="G195" i="1"/>
  <c r="G138" i="1"/>
  <c r="G283" i="1"/>
  <c r="G203" i="1"/>
  <c r="G193" i="1"/>
  <c r="G182" i="1"/>
  <c r="G300" i="1"/>
  <c r="G78" i="1"/>
  <c r="G246" i="1"/>
  <c r="G64" i="1"/>
  <c r="G156" i="1"/>
  <c r="G20" i="1"/>
  <c r="G106" i="1"/>
  <c r="G115" i="1"/>
  <c r="G219" i="1"/>
  <c r="G369" i="1"/>
  <c r="G254" i="1"/>
  <c r="G146" i="1"/>
  <c r="G66" i="1"/>
  <c r="G121" i="1"/>
  <c r="G38" i="1"/>
  <c r="G99" i="1"/>
  <c r="G337" i="1"/>
  <c r="G180" i="1"/>
  <c r="G350" i="1"/>
  <c r="G130" i="1"/>
  <c r="G308" i="1"/>
  <c r="G352" i="1"/>
  <c r="G261" i="1"/>
  <c r="G348" i="1"/>
  <c r="G184" i="1"/>
  <c r="G210" i="1"/>
  <c r="G332" i="1"/>
  <c r="G94" i="1"/>
  <c r="G215" i="1"/>
  <c r="G140" i="1"/>
  <c r="G359" i="1"/>
  <c r="G50" i="1"/>
  <c r="G318" i="1"/>
  <c r="G72" i="1"/>
  <c r="G226" i="1"/>
  <c r="G136" i="1"/>
  <c r="G144" i="1"/>
  <c r="G120" i="1"/>
  <c r="G301" i="1"/>
  <c r="G333" i="1"/>
  <c r="G147" i="1"/>
  <c r="G248" i="1"/>
  <c r="G349" i="1"/>
  <c r="G372" i="1"/>
  <c r="G356" i="1"/>
  <c r="G128" i="1"/>
  <c r="G125" i="1"/>
  <c r="G294" i="1"/>
  <c r="G200" i="1"/>
  <c r="G84" i="1"/>
  <c r="G183" i="1"/>
  <c r="G377" i="1"/>
  <c r="G104" i="1"/>
  <c r="G37" i="1"/>
  <c r="G112" i="1"/>
  <c r="G228" i="1"/>
  <c r="G341" i="1"/>
  <c r="G175" i="1"/>
  <c r="G281" i="1"/>
  <c r="G113" i="1"/>
  <c r="G328" i="1"/>
  <c r="G126" i="1"/>
  <c r="G80" i="1"/>
  <c r="G111" i="1"/>
  <c r="G286" i="1"/>
  <c r="G56" i="1"/>
  <c r="G134" i="1"/>
  <c r="G174" i="1"/>
  <c r="G287" i="1"/>
  <c r="G44" i="1"/>
  <c r="G177" i="1"/>
  <c r="G243" i="1"/>
  <c r="G351" i="1"/>
  <c r="G322" i="1"/>
  <c r="G13" i="1"/>
  <c r="G67" i="1"/>
  <c r="G260" i="1"/>
  <c r="G30" i="1"/>
  <c r="G167" i="1"/>
  <c r="G317" i="1"/>
  <c r="G289" i="1"/>
  <c r="G358" i="1"/>
  <c r="G53" i="1"/>
  <c r="G103" i="1"/>
  <c r="G298" i="1"/>
  <c r="G220" i="1"/>
  <c r="G339" i="1"/>
  <c r="G186" i="1"/>
  <c r="G225" i="1"/>
  <c r="G171" i="1"/>
  <c r="G123" i="1"/>
  <c r="G252" i="1"/>
  <c r="G199" i="1"/>
  <c r="G173" i="1"/>
  <c r="G245" i="1"/>
  <c r="G217" i="1"/>
  <c r="G309" i="1"/>
  <c r="G387" i="1"/>
  <c r="G324" i="1"/>
  <c r="G205" i="1"/>
  <c r="G9" i="1"/>
  <c r="G163" i="1"/>
  <c r="G129" i="1"/>
  <c r="G303" i="1"/>
  <c r="G110" i="1"/>
  <c r="G343" i="1"/>
  <c r="G325" i="1"/>
  <c r="G74" i="1"/>
  <c r="G21" i="1"/>
  <c r="G32" i="1"/>
  <c r="G158" i="1"/>
  <c r="G185" i="1"/>
  <c r="G347" i="1"/>
  <c r="G240" i="1"/>
  <c r="G230" i="1"/>
  <c r="G277" i="1"/>
  <c r="G368" i="1"/>
  <c r="G190" i="1"/>
  <c r="G198" i="1"/>
  <c r="G290" i="1"/>
  <c r="G131" i="1"/>
  <c r="G255" i="1"/>
  <c r="G88" i="1"/>
  <c r="G231" i="1"/>
  <c r="G42" i="1"/>
  <c r="G326" i="1"/>
  <c r="G346" i="1"/>
  <c r="G214" i="1"/>
  <c r="G224" i="1"/>
  <c r="G39" i="1"/>
  <c r="G238" i="1"/>
  <c r="G271" i="1"/>
  <c r="G275" i="1"/>
  <c r="G355" i="1"/>
  <c r="G276" i="1"/>
  <c r="G311" i="1"/>
  <c r="G235" i="1"/>
  <c r="G79" i="1"/>
  <c r="G264" i="1"/>
  <c r="G364" i="1"/>
  <c r="G269" i="1"/>
  <c r="G135" i="1"/>
  <c r="G310" i="1"/>
  <c r="G149" i="1"/>
  <c r="G197" i="1"/>
  <c r="G83" i="1"/>
  <c r="G191" i="1"/>
  <c r="G370" i="1"/>
  <c r="G357" i="1"/>
  <c r="G59" i="1"/>
  <c r="G116" i="1"/>
  <c r="G14" i="1"/>
  <c r="G293" i="1"/>
  <c r="G259" i="1"/>
  <c r="G117" i="1"/>
  <c r="G45" i="1"/>
  <c r="G305" i="1"/>
  <c r="G297" i="1"/>
  <c r="G86" i="1"/>
  <c r="G143" i="1"/>
  <c r="G373" i="1"/>
  <c r="G345" i="1"/>
  <c r="G98" i="1"/>
  <c r="G40" i="1"/>
  <c r="G49" i="1"/>
  <c r="G5" i="1"/>
  <c r="G85" i="1"/>
  <c r="G154" i="1"/>
  <c r="G391" i="1"/>
  <c r="G236" i="1"/>
  <c r="G319" i="1"/>
  <c r="G267" i="1"/>
  <c r="G383" i="1"/>
  <c r="G241" i="1"/>
  <c r="G168" i="1"/>
  <c r="G273" i="1"/>
  <c r="G160" i="1"/>
  <c r="G8" i="1"/>
  <c r="G213" i="1"/>
  <c r="G10" i="1"/>
  <c r="G137" i="1"/>
  <c r="G242" i="1"/>
  <c r="G244" i="1"/>
  <c r="G208" i="1"/>
  <c r="G188" i="1"/>
  <c r="G65" i="1"/>
  <c r="G211" i="1"/>
  <c r="G148" i="1"/>
  <c r="G70" i="1"/>
  <c r="G272" i="1"/>
  <c r="G161" i="1"/>
  <c r="G258" i="1"/>
  <c r="G150" i="1"/>
  <c r="G142" i="1"/>
  <c r="G58" i="1"/>
  <c r="G22" i="1"/>
  <c r="G181" i="1"/>
  <c r="G262" i="1"/>
  <c r="G390" i="1"/>
  <c r="G95" i="1"/>
  <c r="G73" i="1"/>
  <c r="G34" i="1"/>
  <c r="G353" i="1"/>
  <c r="G250" i="1"/>
  <c r="G76" i="1"/>
  <c r="G15" i="1"/>
  <c r="G334" i="1"/>
  <c r="G132" i="1"/>
  <c r="G338" i="1"/>
  <c r="G202" i="1"/>
  <c r="G344" i="1"/>
  <c r="G330" i="1"/>
  <c r="G92" i="1"/>
  <c r="G105" i="1"/>
  <c r="G127" i="1"/>
  <c r="G90" i="1"/>
  <c r="G376" i="1"/>
  <c r="G3" i="1"/>
  <c r="G7" i="1"/>
  <c r="G192" i="1"/>
  <c r="G388" i="1"/>
  <c r="G354" i="1"/>
  <c r="G141" i="1"/>
  <c r="G178" i="1"/>
  <c r="G384" i="1"/>
  <c r="G216" i="1"/>
  <c r="G23" i="1"/>
  <c r="G119" i="1"/>
  <c r="G26" i="1"/>
  <c r="G29" i="1"/>
  <c r="G302" i="1"/>
  <c r="G187" i="1"/>
  <c r="G89" i="1"/>
  <c r="G96" i="1"/>
  <c r="G62" i="1"/>
  <c r="G31" i="1"/>
  <c r="G101" i="1"/>
  <c r="G36" i="1"/>
  <c r="G399" i="1"/>
  <c r="G389" i="1"/>
  <c r="G55" i="1"/>
  <c r="G57" i="1"/>
  <c r="G304" i="1"/>
  <c r="G48" i="1"/>
  <c r="G71" i="1"/>
  <c r="G227" i="1"/>
  <c r="G145" i="1"/>
  <c r="G312" i="1"/>
  <c r="G47" i="1"/>
  <c r="G288" i="1"/>
  <c r="G237" i="1"/>
  <c r="G249" i="1"/>
  <c r="G374" i="1"/>
  <c r="G194" i="1"/>
  <c r="G371" i="1"/>
  <c r="G204" i="1"/>
  <c r="G257" i="1"/>
  <c r="G222" i="1"/>
  <c r="G320" i="1"/>
  <c r="G329" i="1"/>
  <c r="G313" i="1"/>
  <c r="G278" i="1"/>
  <c r="G109" i="1"/>
  <c r="G24" i="1"/>
  <c r="G46" i="1"/>
  <c r="G16" i="1"/>
  <c r="G292" i="1"/>
  <c r="G232" i="1"/>
  <c r="G60" i="1"/>
  <c r="G61" i="1"/>
  <c r="G166" i="1"/>
  <c r="G69" i="1"/>
  <c r="G398" i="1"/>
  <c r="G209" i="1"/>
  <c r="G366" i="1"/>
  <c r="G365" i="1"/>
  <c r="G41" i="1"/>
  <c r="G170" i="1"/>
  <c r="G295" i="1"/>
  <c r="G82" i="1"/>
  <c r="G385" i="1"/>
  <c r="G19" i="1"/>
  <c r="G118" i="1"/>
  <c r="G159" i="1"/>
  <c r="G362" i="1"/>
  <c r="G327" i="1"/>
  <c r="G274" i="1"/>
  <c r="G378" i="1"/>
  <c r="G165" i="1"/>
  <c r="G51" i="1"/>
  <c r="G6" i="1"/>
  <c r="G108" i="1"/>
  <c r="G124" i="1"/>
  <c r="G394" i="1"/>
  <c r="G381" i="1"/>
  <c r="G253" i="1"/>
  <c r="G91" i="1"/>
  <c r="G386" i="1"/>
  <c r="G397" i="1"/>
  <c r="G81" i="1"/>
  <c r="G28" i="1"/>
  <c r="G400" i="1"/>
  <c r="G157" i="1"/>
  <c r="G87" i="1"/>
  <c r="G206" i="1"/>
  <c r="G176" i="1"/>
  <c r="G164" i="1"/>
  <c r="G360" i="1"/>
  <c r="G17" i="1"/>
  <c r="G152" i="1"/>
  <c r="G77" i="1"/>
  <c r="G189" i="1"/>
  <c r="G97" i="1"/>
  <c r="G380" i="1"/>
  <c r="G382" i="1"/>
  <c r="G223" i="1"/>
  <c r="G11" i="1"/>
  <c r="G296" i="1"/>
  <c r="G270" i="1"/>
  <c r="G93" i="1"/>
  <c r="G25" i="1"/>
  <c r="G43" i="1"/>
  <c r="G75" i="1"/>
  <c r="G335" i="1"/>
  <c r="G396" i="1"/>
  <c r="G315" i="1"/>
  <c r="G27" i="1"/>
  <c r="G52" i="1"/>
  <c r="G33" i="1"/>
  <c r="G314" i="1"/>
  <c r="G284" i="1"/>
  <c r="G266" i="1"/>
  <c r="G392" i="1"/>
  <c r="G393" i="1"/>
  <c r="G331" i="1"/>
  <c r="G12" i="1"/>
  <c r="G169" i="1"/>
  <c r="G363" i="1"/>
  <c r="G207" i="1"/>
  <c r="G291" i="1"/>
  <c r="G395" i="1"/>
  <c r="G218" i="1"/>
  <c r="G100" i="1"/>
  <c r="G35" i="1"/>
  <c r="G172" i="1"/>
  <c r="G4" i="1"/>
  <c r="G212" i="1"/>
  <c r="G307" i="1"/>
  <c r="G247" i="1"/>
  <c r="G102" i="1"/>
  <c r="G323" i="1"/>
  <c r="G336" i="1"/>
  <c r="G2" i="1"/>
  <c r="G279" i="1"/>
  <c r="G54" i="1"/>
  <c r="G265" i="1"/>
  <c r="G321" i="1"/>
  <c r="G379" i="1"/>
  <c r="G234" i="1"/>
  <c r="F367" i="1"/>
  <c r="F280" i="1"/>
  <c r="F114" i="1"/>
  <c r="F306" i="1"/>
  <c r="F285" i="1"/>
  <c r="F179" i="1"/>
  <c r="F375" i="1"/>
  <c r="F162" i="1"/>
  <c r="F342" i="1"/>
  <c r="F239" i="1"/>
  <c r="F229" i="1"/>
  <c r="F282" i="1"/>
  <c r="F139" i="1"/>
  <c r="F201" i="1"/>
  <c r="F316" i="1"/>
  <c r="F107" i="1"/>
  <c r="F68" i="1"/>
  <c r="F263" i="1"/>
  <c r="F268" i="1"/>
  <c r="F221" i="1"/>
  <c r="F340" i="1"/>
  <c r="F18" i="1"/>
  <c r="F155" i="1"/>
  <c r="F122" i="1"/>
  <c r="F361" i="1"/>
  <c r="F299" i="1"/>
  <c r="F233" i="1"/>
  <c r="F63" i="1"/>
  <c r="F251" i="1"/>
  <c r="F196" i="1"/>
  <c r="F133" i="1"/>
  <c r="F256" i="1"/>
  <c r="F153" i="1"/>
  <c r="F151" i="1"/>
  <c r="F195" i="1"/>
  <c r="F138" i="1"/>
  <c r="F283" i="1"/>
  <c r="F203" i="1"/>
  <c r="F193" i="1"/>
  <c r="F182" i="1"/>
  <c r="F300" i="1"/>
  <c r="F78" i="1"/>
  <c r="F246" i="1"/>
  <c r="F64" i="1"/>
  <c r="F156" i="1"/>
  <c r="F20" i="1"/>
  <c r="F106" i="1"/>
  <c r="F115" i="1"/>
  <c r="F219" i="1"/>
  <c r="F369" i="1"/>
  <c r="F254" i="1"/>
  <c r="F146" i="1"/>
  <c r="F66" i="1"/>
  <c r="F121" i="1"/>
  <c r="F38" i="1"/>
  <c r="F99" i="1"/>
  <c r="F337" i="1"/>
  <c r="F180" i="1"/>
  <c r="F350" i="1"/>
  <c r="F130" i="1"/>
  <c r="F308" i="1"/>
  <c r="F352" i="1"/>
  <c r="F261" i="1"/>
  <c r="F348" i="1"/>
  <c r="F184" i="1"/>
  <c r="F210" i="1"/>
  <c r="F332" i="1"/>
  <c r="F94" i="1"/>
  <c r="F215" i="1"/>
  <c r="F140" i="1"/>
  <c r="F359" i="1"/>
  <c r="F50" i="1"/>
  <c r="F318" i="1"/>
  <c r="F72" i="1"/>
  <c r="F226" i="1"/>
  <c r="F136" i="1"/>
  <c r="F144" i="1"/>
  <c r="F120" i="1"/>
  <c r="F301" i="1"/>
  <c r="F333" i="1"/>
  <c r="F147" i="1"/>
  <c r="F248" i="1"/>
  <c r="F349" i="1"/>
  <c r="F372" i="1"/>
  <c r="F356" i="1"/>
  <c r="F128" i="1"/>
  <c r="F125" i="1"/>
  <c r="F294" i="1"/>
  <c r="F200" i="1"/>
  <c r="F84" i="1"/>
  <c r="F183" i="1"/>
  <c r="F377" i="1"/>
  <c r="F104" i="1"/>
  <c r="F37" i="1"/>
  <c r="F112" i="1"/>
  <c r="F228" i="1"/>
  <c r="F341" i="1"/>
  <c r="F175" i="1"/>
  <c r="F281" i="1"/>
  <c r="F113" i="1"/>
  <c r="F328" i="1"/>
  <c r="F126" i="1"/>
  <c r="F80" i="1"/>
  <c r="F111" i="1"/>
  <c r="F286" i="1"/>
  <c r="F56" i="1"/>
  <c r="F134" i="1"/>
  <c r="F174" i="1"/>
  <c r="F287" i="1"/>
  <c r="F44" i="1"/>
  <c r="F177" i="1"/>
  <c r="F243" i="1"/>
  <c r="F351" i="1"/>
  <c r="F322" i="1"/>
  <c r="F13" i="1"/>
  <c r="F67" i="1"/>
  <c r="F260" i="1"/>
  <c r="F30" i="1"/>
  <c r="F167" i="1"/>
  <c r="F317" i="1"/>
  <c r="F289" i="1"/>
  <c r="F358" i="1"/>
  <c r="F53" i="1"/>
  <c r="F103" i="1"/>
  <c r="F298" i="1"/>
  <c r="F220" i="1"/>
  <c r="F339" i="1"/>
  <c r="F186" i="1"/>
  <c r="F225" i="1"/>
  <c r="F171" i="1"/>
  <c r="F123" i="1"/>
  <c r="F252" i="1"/>
  <c r="F199" i="1"/>
  <c r="F173" i="1"/>
  <c r="F245" i="1"/>
  <c r="F217" i="1"/>
  <c r="F309" i="1"/>
  <c r="F387" i="1"/>
  <c r="F324" i="1"/>
  <c r="F205" i="1"/>
  <c r="F9" i="1"/>
  <c r="F163" i="1"/>
  <c r="F129" i="1"/>
  <c r="F303" i="1"/>
  <c r="F110" i="1"/>
  <c r="F343" i="1"/>
  <c r="F325" i="1"/>
  <c r="F74" i="1"/>
  <c r="F21" i="1"/>
  <c r="F32" i="1"/>
  <c r="F158" i="1"/>
  <c r="F185" i="1"/>
  <c r="F347" i="1"/>
  <c r="F240" i="1"/>
  <c r="F230" i="1"/>
  <c r="F277" i="1"/>
  <c r="F368" i="1"/>
  <c r="F190" i="1"/>
  <c r="F198" i="1"/>
  <c r="F290" i="1"/>
  <c r="F131" i="1"/>
  <c r="F255" i="1"/>
  <c r="F88" i="1"/>
  <c r="F231" i="1"/>
  <c r="F42" i="1"/>
  <c r="F326" i="1"/>
  <c r="F346" i="1"/>
  <c r="F214" i="1"/>
  <c r="F224" i="1"/>
  <c r="F39" i="1"/>
  <c r="F238" i="1"/>
  <c r="F271" i="1"/>
  <c r="F275" i="1"/>
  <c r="F355" i="1"/>
  <c r="F276" i="1"/>
  <c r="F311" i="1"/>
  <c r="F235" i="1"/>
  <c r="F79" i="1"/>
  <c r="F264" i="1"/>
  <c r="F364" i="1"/>
  <c r="F269" i="1"/>
  <c r="F135" i="1"/>
  <c r="F310" i="1"/>
  <c r="F149" i="1"/>
  <c r="F197" i="1"/>
  <c r="F83" i="1"/>
  <c r="F191" i="1"/>
  <c r="F370" i="1"/>
  <c r="F357" i="1"/>
  <c r="F59" i="1"/>
  <c r="F116" i="1"/>
  <c r="F14" i="1"/>
  <c r="F293" i="1"/>
  <c r="F259" i="1"/>
  <c r="F117" i="1"/>
  <c r="F45" i="1"/>
  <c r="F305" i="1"/>
  <c r="F297" i="1"/>
  <c r="F86" i="1"/>
  <c r="F143" i="1"/>
  <c r="F373" i="1"/>
  <c r="F345" i="1"/>
  <c r="F98" i="1"/>
  <c r="F40" i="1"/>
  <c r="F49" i="1"/>
  <c r="F5" i="1"/>
  <c r="F85" i="1"/>
  <c r="F154" i="1"/>
  <c r="F391" i="1"/>
  <c r="F236" i="1"/>
  <c r="F319" i="1"/>
  <c r="F267" i="1"/>
  <c r="F383" i="1"/>
  <c r="F241" i="1"/>
  <c r="F168" i="1"/>
  <c r="F273" i="1"/>
  <c r="F160" i="1"/>
  <c r="F8" i="1"/>
  <c r="F213" i="1"/>
  <c r="F10" i="1"/>
  <c r="F137" i="1"/>
  <c r="F242" i="1"/>
  <c r="F244" i="1"/>
  <c r="F208" i="1"/>
  <c r="F188" i="1"/>
  <c r="F65" i="1"/>
  <c r="F211" i="1"/>
  <c r="F148" i="1"/>
  <c r="F70" i="1"/>
  <c r="F272" i="1"/>
  <c r="F161" i="1"/>
  <c r="F258" i="1"/>
  <c r="F150" i="1"/>
  <c r="F142" i="1"/>
  <c r="F58" i="1"/>
  <c r="F22" i="1"/>
  <c r="F181" i="1"/>
  <c r="F262" i="1"/>
  <c r="F390" i="1"/>
  <c r="F95" i="1"/>
  <c r="F73" i="1"/>
  <c r="F34" i="1"/>
  <c r="F353" i="1"/>
  <c r="F250" i="1"/>
  <c r="F76" i="1"/>
  <c r="F15" i="1"/>
  <c r="F334" i="1"/>
  <c r="F132" i="1"/>
  <c r="F338" i="1"/>
  <c r="F202" i="1"/>
  <c r="F344" i="1"/>
  <c r="F330" i="1"/>
  <c r="F92" i="1"/>
  <c r="F105" i="1"/>
  <c r="F127" i="1"/>
  <c r="F90" i="1"/>
  <c r="F376" i="1"/>
  <c r="F3" i="1"/>
  <c r="F7" i="1"/>
  <c r="F192" i="1"/>
  <c r="F388" i="1"/>
  <c r="F354" i="1"/>
  <c r="F141" i="1"/>
  <c r="F178" i="1"/>
  <c r="F384" i="1"/>
  <c r="F216" i="1"/>
  <c r="F23" i="1"/>
  <c r="F119" i="1"/>
  <c r="F26" i="1"/>
  <c r="F29" i="1"/>
  <c r="F302" i="1"/>
  <c r="F187" i="1"/>
  <c r="F89" i="1"/>
  <c r="F96" i="1"/>
  <c r="F62" i="1"/>
  <c r="F31" i="1"/>
  <c r="F101" i="1"/>
  <c r="F36" i="1"/>
  <c r="F399" i="1"/>
  <c r="F389" i="1"/>
  <c r="F55" i="1"/>
  <c r="F57" i="1"/>
  <c r="F304" i="1"/>
  <c r="F48" i="1"/>
  <c r="F71" i="1"/>
  <c r="F227" i="1"/>
  <c r="F145" i="1"/>
  <c r="F312" i="1"/>
  <c r="F47" i="1"/>
  <c r="F288" i="1"/>
  <c r="F237" i="1"/>
  <c r="F249" i="1"/>
  <c r="F374" i="1"/>
  <c r="F194" i="1"/>
  <c r="F371" i="1"/>
  <c r="F204" i="1"/>
  <c r="F257" i="1"/>
  <c r="F222" i="1"/>
  <c r="F320" i="1"/>
  <c r="F329" i="1"/>
  <c r="F313" i="1"/>
  <c r="F278" i="1"/>
  <c r="F109" i="1"/>
  <c r="F24" i="1"/>
  <c r="F46" i="1"/>
  <c r="F16" i="1"/>
  <c r="F292" i="1"/>
  <c r="F232" i="1"/>
  <c r="F60" i="1"/>
  <c r="F61" i="1"/>
  <c r="F166" i="1"/>
  <c r="F69" i="1"/>
  <c r="F398" i="1"/>
  <c r="F209" i="1"/>
  <c r="F366" i="1"/>
  <c r="F365" i="1"/>
  <c r="F41" i="1"/>
  <c r="F170" i="1"/>
  <c r="F295" i="1"/>
  <c r="F82" i="1"/>
  <c r="F385" i="1"/>
  <c r="F19" i="1"/>
  <c r="F118" i="1"/>
  <c r="F159" i="1"/>
  <c r="F362" i="1"/>
  <c r="F327" i="1"/>
  <c r="F274" i="1"/>
  <c r="F378" i="1"/>
  <c r="F165" i="1"/>
  <c r="F51" i="1"/>
  <c r="F6" i="1"/>
  <c r="F108" i="1"/>
  <c r="F124" i="1"/>
  <c r="F394" i="1"/>
  <c r="F381" i="1"/>
  <c r="F253" i="1"/>
  <c r="F91" i="1"/>
  <c r="F386" i="1"/>
  <c r="F397" i="1"/>
  <c r="F81" i="1"/>
  <c r="F28" i="1"/>
  <c r="F400" i="1"/>
  <c r="F157" i="1"/>
  <c r="F87" i="1"/>
  <c r="F206" i="1"/>
  <c r="F176" i="1"/>
  <c r="F164" i="1"/>
  <c r="F360" i="1"/>
  <c r="F17" i="1"/>
  <c r="F152" i="1"/>
  <c r="F77" i="1"/>
  <c r="F189" i="1"/>
  <c r="F97" i="1"/>
  <c r="F380" i="1"/>
  <c r="F382" i="1"/>
  <c r="F223" i="1"/>
  <c r="F11" i="1"/>
  <c r="F296" i="1"/>
  <c r="F270" i="1"/>
  <c r="F93" i="1"/>
  <c r="F25" i="1"/>
  <c r="F43" i="1"/>
  <c r="F75" i="1"/>
  <c r="F335" i="1"/>
  <c r="F396" i="1"/>
  <c r="F315" i="1"/>
  <c r="F27" i="1"/>
  <c r="F52" i="1"/>
  <c r="F33" i="1"/>
  <c r="F314" i="1"/>
  <c r="F284" i="1"/>
  <c r="F266" i="1"/>
  <c r="F392" i="1"/>
  <c r="F393" i="1"/>
  <c r="F331" i="1"/>
  <c r="F12" i="1"/>
  <c r="F169" i="1"/>
  <c r="F363" i="1"/>
  <c r="F207" i="1"/>
  <c r="F291" i="1"/>
  <c r="F395" i="1"/>
  <c r="F218" i="1"/>
  <c r="F100" i="1"/>
  <c r="F35" i="1"/>
  <c r="F172" i="1"/>
  <c r="F4" i="1"/>
  <c r="F212" i="1"/>
  <c r="F307" i="1"/>
  <c r="F247" i="1"/>
  <c r="F102" i="1"/>
  <c r="F323" i="1"/>
  <c r="F336" i="1"/>
  <c r="F2" i="1"/>
  <c r="F279" i="1"/>
  <c r="F54" i="1"/>
  <c r="F265" i="1"/>
  <c r="F321" i="1"/>
  <c r="F379" i="1"/>
  <c r="F234" i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2" i="3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3" i="2"/>
  <c r="P4" i="2"/>
  <c r="P5" i="2"/>
  <c r="P6" i="2"/>
  <c r="P2" i="2"/>
  <c r="N402" i="2"/>
  <c r="O402" i="2"/>
  <c r="N403" i="2"/>
  <c r="O403" i="2"/>
  <c r="G3" i="6"/>
  <c r="H3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F25" i="5"/>
  <c r="C3" i="1" l="1" a="1"/>
  <c r="C3" i="1" s="1"/>
  <c r="C5" i="1" a="1"/>
  <c r="C5" i="1" s="1"/>
  <c r="C7" i="1" a="1"/>
  <c r="C7" i="1" s="1"/>
  <c r="C8" i="1" a="1"/>
  <c r="C8" i="1" s="1"/>
  <c r="C6" i="1" a="1"/>
  <c r="C6" i="1" s="1"/>
  <c r="C4" i="1" a="1"/>
  <c r="C4" i="1" s="1"/>
  <c r="C18" i="1" a="1"/>
  <c r="C18" i="1" s="1"/>
  <c r="C20" i="1" a="1"/>
  <c r="C20" i="1" s="1"/>
  <c r="C13" i="1" a="1"/>
  <c r="C13" i="1" s="1"/>
  <c r="C9" i="1" a="1"/>
  <c r="C9" i="1" s="1"/>
  <c r="C14" i="1" a="1"/>
  <c r="C14" i="1" s="1"/>
  <c r="C10" i="1" a="1"/>
  <c r="C10" i="1" s="1"/>
  <c r="C15" i="1" a="1"/>
  <c r="C15" i="1" s="1"/>
  <c r="C11" i="1" a="1"/>
  <c r="C11" i="1" s="1"/>
  <c r="C12" i="1" a="1"/>
  <c r="C12" i="1" s="1"/>
  <c r="C367" i="1" a="1"/>
  <c r="C367" i="1" s="1"/>
  <c r="C280" i="1" a="1"/>
  <c r="C280" i="1" s="1"/>
  <c r="C234" i="1" a="1"/>
  <c r="C234" i="1" s="1"/>
  <c r="C229" i="1" a="1"/>
  <c r="C229" i="1" s="1"/>
  <c r="C114" i="1" a="1"/>
  <c r="C114" i="1" s="1"/>
  <c r="C179" i="1" a="1"/>
  <c r="C179" i="1" s="1"/>
  <c r="C306" i="1" a="1"/>
  <c r="C306" i="1" s="1"/>
  <c r="C239" i="1" a="1"/>
  <c r="C239" i="1" s="1"/>
  <c r="C162" i="1" a="1"/>
  <c r="C162" i="1" s="1"/>
  <c r="C221" i="1" a="1"/>
  <c r="C221" i="1" s="1"/>
  <c r="C138" i="1" a="1"/>
  <c r="C138" i="1" s="1"/>
  <c r="C107" i="1" a="1"/>
  <c r="C107" i="1" s="1"/>
  <c r="C316" i="1" a="1"/>
  <c r="C316" i="1" s="1"/>
  <c r="C133" i="1" a="1"/>
  <c r="C133" i="1" s="1"/>
  <c r="C268" i="1" a="1"/>
  <c r="C268" i="1" s="1"/>
  <c r="C201" i="1" a="1"/>
  <c r="C201" i="1" s="1"/>
  <c r="C68" i="1" a="1"/>
  <c r="C68" i="1" s="1"/>
  <c r="C285" i="1" a="1"/>
  <c r="C285" i="1" s="1"/>
  <c r="C340" i="1" a="1"/>
  <c r="C340" i="1" s="1"/>
  <c r="C196" i="1" a="1"/>
  <c r="C196" i="1" s="1"/>
  <c r="C139" i="1" a="1"/>
  <c r="C139" i="1" s="1"/>
  <c r="C299" i="1" a="1"/>
  <c r="C299" i="1" s="1"/>
  <c r="C282" i="1" a="1"/>
  <c r="C282" i="1" s="1"/>
  <c r="C263" i="1" a="1"/>
  <c r="C263" i="1" s="1"/>
  <c r="C300" i="1" a="1"/>
  <c r="C300" i="1" s="1"/>
  <c r="C256" i="1" a="1"/>
  <c r="C256" i="1" s="1"/>
  <c r="C246" i="1" a="1"/>
  <c r="C246" i="1" s="1"/>
  <c r="C233" i="1" a="1"/>
  <c r="C233" i="1" s="1"/>
  <c r="C66" i="1" a="1"/>
  <c r="C66" i="1" s="1"/>
  <c r="C99" i="1" a="1"/>
  <c r="C99" i="1" s="1"/>
  <c r="C151" i="1" a="1"/>
  <c r="C151" i="1" s="1"/>
  <c r="C122" i="1" a="1"/>
  <c r="C122" i="1" s="1"/>
  <c r="C63" i="1" a="1"/>
  <c r="C63" i="1" s="1"/>
  <c r="C182" i="1" a="1"/>
  <c r="C182" i="1" s="1"/>
  <c r="C369" i="1" a="1"/>
  <c r="C369" i="1" s="1"/>
  <c r="C203" i="1" a="1"/>
  <c r="C203" i="1" s="1"/>
  <c r="C153" i="1" a="1"/>
  <c r="C153" i="1" s="1"/>
  <c r="C115" i="1" a="1"/>
  <c r="C115" i="1" s="1"/>
  <c r="C38" i="1" a="1"/>
  <c r="C38" i="1" s="1"/>
  <c r="C348" i="1" a="1"/>
  <c r="C348" i="1" s="1"/>
  <c r="C361" i="1" a="1"/>
  <c r="C361" i="1" s="1"/>
  <c r="C342" i="1" a="1"/>
  <c r="C342" i="1" s="1"/>
  <c r="C155" i="1" a="1"/>
  <c r="C155" i="1" s="1"/>
  <c r="C144" i="1" a="1"/>
  <c r="C144" i="1" s="1"/>
  <c r="C193" i="1" a="1"/>
  <c r="C193" i="1" s="1"/>
  <c r="C78" i="1" a="1"/>
  <c r="C78" i="1" s="1"/>
  <c r="C64" i="1" a="1"/>
  <c r="C64" i="1" s="1"/>
  <c r="C251" i="1" a="1"/>
  <c r="C251" i="1" s="1"/>
  <c r="C372" i="1" a="1"/>
  <c r="C372" i="1" s="1"/>
  <c r="C377" i="1" a="1"/>
  <c r="C377" i="1" s="1"/>
  <c r="C184" i="1" a="1"/>
  <c r="C184" i="1" s="1"/>
  <c r="C136" i="1" a="1"/>
  <c r="C136" i="1" s="1"/>
  <c r="C195" i="1" a="1"/>
  <c r="C195" i="1" s="1"/>
  <c r="C121" i="1" a="1"/>
  <c r="C121" i="1" s="1"/>
  <c r="C254" i="1" a="1"/>
  <c r="C254" i="1" s="1"/>
  <c r="C375" i="1" a="1"/>
  <c r="C375" i="1" s="1"/>
  <c r="C146" i="1" a="1"/>
  <c r="C146" i="1" s="1"/>
  <c r="C50" i="1" a="1"/>
  <c r="C50" i="1" s="1"/>
  <c r="C106" i="1" a="1"/>
  <c r="C106" i="1" s="1"/>
  <c r="C84" i="1" a="1"/>
  <c r="C84" i="1" s="1"/>
  <c r="C156" i="1" a="1"/>
  <c r="C156" i="1" s="1"/>
  <c r="C53" i="1" a="1"/>
  <c r="C53" i="1" s="1"/>
  <c r="C337" i="1" a="1"/>
  <c r="C337" i="1" s="1"/>
  <c r="C94" i="1" a="1"/>
  <c r="C94" i="1" s="1"/>
  <c r="C80" i="1" a="1"/>
  <c r="C80" i="1" s="1"/>
  <c r="C199" i="1" a="1"/>
  <c r="C199" i="1" s="1"/>
  <c r="C215" i="1" a="1"/>
  <c r="C215" i="1" s="1"/>
  <c r="C72" i="1" a="1"/>
  <c r="C72" i="1" s="1"/>
  <c r="C30" i="1" a="1"/>
  <c r="C30" i="1" s="1"/>
  <c r="C219" i="1" a="1"/>
  <c r="C219" i="1" s="1"/>
  <c r="C21" i="1" a="1"/>
  <c r="C21" i="1" s="1"/>
  <c r="C130" i="1" a="1"/>
  <c r="C130" i="1" s="1"/>
  <c r="C140" i="1" a="1"/>
  <c r="C140" i="1" s="1"/>
  <c r="C226" i="1" a="1"/>
  <c r="C226" i="1" s="1"/>
  <c r="C200" i="1" a="1"/>
  <c r="C200" i="1" s="1"/>
  <c r="C260" i="1" a="1"/>
  <c r="C260" i="1" s="1"/>
  <c r="C333" i="1" a="1"/>
  <c r="C333" i="1" s="1"/>
  <c r="C158" i="1" a="1"/>
  <c r="C158" i="1" s="1"/>
  <c r="C283" i="1" a="1"/>
  <c r="C283" i="1" s="1"/>
  <c r="C67" i="1" a="1"/>
  <c r="C67" i="1" s="1"/>
  <c r="C281" i="1" a="1"/>
  <c r="C281" i="1" s="1"/>
  <c r="C126" i="1" a="1"/>
  <c r="C126" i="1" s="1"/>
  <c r="C341" i="1" a="1"/>
  <c r="C341" i="1" s="1"/>
  <c r="C350" i="1" a="1"/>
  <c r="C350" i="1" s="1"/>
  <c r="C37" i="1" a="1"/>
  <c r="C37" i="1" s="1"/>
  <c r="C44" i="1" a="1"/>
  <c r="C44" i="1" s="1"/>
  <c r="C56" i="1" a="1"/>
  <c r="C56" i="1" s="1"/>
  <c r="C103" i="1" a="1"/>
  <c r="C103" i="1" s="1"/>
  <c r="C220" i="1" a="1"/>
  <c r="C220" i="1" s="1"/>
  <c r="C210" i="1" a="1"/>
  <c r="C210" i="1" s="1"/>
  <c r="C286" i="1" a="1"/>
  <c r="C286" i="1" s="1"/>
  <c r="C86" i="1" a="1"/>
  <c r="C86" i="1" s="1"/>
  <c r="C123" i="1" a="1"/>
  <c r="C123" i="1" s="1"/>
  <c r="C248" i="1" a="1"/>
  <c r="C248" i="1" s="1"/>
  <c r="C125" i="1" a="1"/>
  <c r="C125" i="1" s="1"/>
  <c r="C112" i="1" a="1"/>
  <c r="C112" i="1" s="1"/>
  <c r="C301" i="1" a="1"/>
  <c r="C301" i="1" s="1"/>
  <c r="C318" i="1" a="1"/>
  <c r="C318" i="1" s="1"/>
  <c r="C351" i="1" a="1"/>
  <c r="C351" i="1" s="1"/>
  <c r="C261" i="1" a="1"/>
  <c r="C261" i="1" s="1"/>
  <c r="C128" i="1" a="1"/>
  <c r="C128" i="1" s="1"/>
  <c r="C180" i="1" a="1"/>
  <c r="C180" i="1" s="1"/>
  <c r="C308" i="1" a="1"/>
  <c r="C308" i="1" s="1"/>
  <c r="C111" i="1" a="1"/>
  <c r="C111" i="1" s="1"/>
  <c r="C120" i="1" a="1"/>
  <c r="C120" i="1" s="1"/>
  <c r="C134" i="1" a="1"/>
  <c r="C134" i="1" s="1"/>
  <c r="C241" i="1" a="1"/>
  <c r="C241" i="1" s="1"/>
  <c r="C74" i="1" a="1"/>
  <c r="C74" i="1" s="1"/>
  <c r="C104" i="1" a="1"/>
  <c r="C104" i="1" s="1"/>
  <c r="C322" i="1" a="1"/>
  <c r="C322" i="1" s="1"/>
  <c r="C147" i="1" a="1"/>
  <c r="C147" i="1" s="1"/>
  <c r="C183" i="1" a="1"/>
  <c r="C183" i="1" s="1"/>
  <c r="C349" i="1" a="1"/>
  <c r="C349" i="1" s="1"/>
  <c r="C131" i="1" a="1"/>
  <c r="C131" i="1" s="1"/>
  <c r="C42" i="1" a="1"/>
  <c r="C42" i="1" s="1"/>
  <c r="C352" i="1" a="1"/>
  <c r="C352" i="1" s="1"/>
  <c r="C110" i="1" a="1"/>
  <c r="C110" i="1" s="1"/>
  <c r="C298" i="1" a="1"/>
  <c r="C298" i="1" s="1"/>
  <c r="C355" i="1" a="1"/>
  <c r="C355" i="1" s="1"/>
  <c r="C32" i="1" a="1"/>
  <c r="C32" i="1" s="1"/>
  <c r="C116" i="1" a="1"/>
  <c r="C116" i="1" s="1"/>
  <c r="C173" i="1" a="1"/>
  <c r="C173" i="1" s="1"/>
  <c r="C149" i="1" a="1"/>
  <c r="C149" i="1" s="1"/>
  <c r="C39" i="1" a="1"/>
  <c r="C39" i="1" s="1"/>
  <c r="C148" i="1" a="1"/>
  <c r="C148" i="1" s="1"/>
  <c r="C174" i="1" a="1"/>
  <c r="C174" i="1" s="1"/>
  <c r="C83" i="1" a="1"/>
  <c r="C83" i="1" s="1"/>
  <c r="C190" i="1" a="1"/>
  <c r="C190" i="1" s="1"/>
  <c r="C175" i="1" a="1"/>
  <c r="C175" i="1" s="1"/>
  <c r="C167" i="1" a="1"/>
  <c r="C167" i="1" s="1"/>
  <c r="C143" i="1" a="1"/>
  <c r="C143" i="1" s="1"/>
  <c r="C332" i="1" a="1"/>
  <c r="C332" i="1" s="1"/>
  <c r="C277" i="1" a="1"/>
  <c r="C277" i="1" s="1"/>
  <c r="C339" i="1" a="1"/>
  <c r="C339" i="1" s="1"/>
  <c r="C347" i="1" a="1"/>
  <c r="C347" i="1" s="1"/>
  <c r="C238" i="1" a="1"/>
  <c r="C238" i="1" s="1"/>
  <c r="C325" i="1" a="1"/>
  <c r="C325" i="1" s="1"/>
  <c r="C317" i="1" a="1"/>
  <c r="C317" i="1" s="1"/>
  <c r="C297" i="1" a="1"/>
  <c r="C297" i="1" s="1"/>
  <c r="C230" i="1" a="1"/>
  <c r="C230" i="1" s="1"/>
  <c r="C186" i="1" a="1"/>
  <c r="C186" i="1" s="1"/>
  <c r="C45" i="1" a="1"/>
  <c r="C45" i="1" s="1"/>
  <c r="C29" i="1" a="1"/>
  <c r="C29" i="1" s="1"/>
  <c r="C326" i="1" a="1"/>
  <c r="C326" i="1" s="1"/>
  <c r="C59" i="1" a="1"/>
  <c r="C59" i="1" s="1"/>
  <c r="C309" i="1" a="1"/>
  <c r="C309" i="1" s="1"/>
  <c r="C294" i="1" a="1"/>
  <c r="C294" i="1" s="1"/>
  <c r="C85" i="1" a="1"/>
  <c r="C85" i="1" s="1"/>
  <c r="C129" i="1" a="1"/>
  <c r="C129" i="1" s="1"/>
  <c r="C163" i="1" a="1"/>
  <c r="C163" i="1" s="1"/>
  <c r="C269" i="1" a="1"/>
  <c r="C269" i="1" s="1"/>
  <c r="C88" i="1" a="1"/>
  <c r="C88" i="1" s="1"/>
  <c r="C79" i="1" a="1"/>
  <c r="C79" i="1" s="1"/>
  <c r="C267" i="1" a="1"/>
  <c r="C267" i="1" s="1"/>
  <c r="C142" i="1" a="1"/>
  <c r="C142" i="1" s="1"/>
  <c r="C217" i="1" a="1"/>
  <c r="C217" i="1" s="1"/>
  <c r="C22" i="1" a="1"/>
  <c r="C22" i="1" s="1"/>
  <c r="C228" i="1" a="1"/>
  <c r="C228" i="1" s="1"/>
  <c r="C117" i="1" a="1"/>
  <c r="C117" i="1" s="1"/>
  <c r="C311" i="1" a="1"/>
  <c r="C311" i="1" s="1"/>
  <c r="C255" i="1" a="1"/>
  <c r="C255" i="1" s="1"/>
  <c r="C135" i="1" a="1"/>
  <c r="C135" i="1" s="1"/>
  <c r="C205" i="1" a="1"/>
  <c r="C205" i="1" s="1"/>
  <c r="C137" i="1" a="1"/>
  <c r="C137" i="1" s="1"/>
  <c r="C198" i="1" a="1"/>
  <c r="C198" i="1" s="1"/>
  <c r="C154" i="1" a="1"/>
  <c r="C154" i="1" s="1"/>
  <c r="C113" i="1" a="1"/>
  <c r="C113" i="1" s="1"/>
  <c r="C177" i="1" a="1"/>
  <c r="C177" i="1" s="1"/>
  <c r="C171" i="1" a="1"/>
  <c r="C171" i="1" s="1"/>
  <c r="C243" i="1" a="1"/>
  <c r="C243" i="1" s="1"/>
  <c r="C244" i="1" a="1"/>
  <c r="C244" i="1" s="1"/>
  <c r="C181" i="1" a="1"/>
  <c r="C181" i="1" s="1"/>
  <c r="C31" i="1" a="1"/>
  <c r="C31" i="1" s="1"/>
  <c r="C252" i="1" a="1"/>
  <c r="C252" i="1" s="1"/>
  <c r="C224" i="1" a="1"/>
  <c r="C224" i="1" s="1"/>
  <c r="C96" i="1" a="1"/>
  <c r="C96" i="1" s="1"/>
  <c r="C89" i="1" a="1"/>
  <c r="C89" i="1" s="1"/>
  <c r="C185" i="1" a="1"/>
  <c r="C185" i="1" s="1"/>
  <c r="C235" i="1" a="1"/>
  <c r="C235" i="1" s="1"/>
  <c r="C40" i="1" a="1"/>
  <c r="C40" i="1" s="1"/>
  <c r="C231" i="1" a="1"/>
  <c r="C231" i="1" s="1"/>
  <c r="C23" i="1" a="1"/>
  <c r="C23" i="1" s="1"/>
  <c r="C191" i="1" a="1"/>
  <c r="C191" i="1" s="1"/>
  <c r="C161" i="1" a="1"/>
  <c r="C161" i="1" s="1"/>
  <c r="C197" i="1" a="1"/>
  <c r="C197" i="1" s="1"/>
  <c r="C208" i="1" a="1"/>
  <c r="C208" i="1" s="1"/>
  <c r="C26" i="1" a="1"/>
  <c r="C26" i="1" s="1"/>
  <c r="C98" i="1" a="1"/>
  <c r="C98" i="1" s="1"/>
  <c r="C225" i="1" a="1"/>
  <c r="C225" i="1" s="1"/>
  <c r="C34" i="1" a="1"/>
  <c r="C34" i="1" s="1"/>
  <c r="C160" i="1" a="1"/>
  <c r="C160" i="1" s="1"/>
  <c r="C49" i="1" a="1"/>
  <c r="C49" i="1" s="1"/>
  <c r="C70" i="1" a="1"/>
  <c r="C70" i="1" s="1"/>
  <c r="C58" i="1" a="1"/>
  <c r="C58" i="1" s="1"/>
  <c r="C55" i="1" a="1"/>
  <c r="C55" i="1" s="1"/>
  <c r="C145" i="1" a="1"/>
  <c r="C145" i="1" s="1"/>
  <c r="C132" i="1" a="1"/>
  <c r="C132" i="1" s="1"/>
  <c r="C65" i="1" a="1"/>
  <c r="C65" i="1" s="1"/>
  <c r="C214" i="1" a="1"/>
  <c r="C214" i="1" s="1"/>
  <c r="C105" i="1" a="1"/>
  <c r="C105" i="1" s="1"/>
  <c r="C76" i="1" a="1"/>
  <c r="C76" i="1" s="1"/>
  <c r="C90" i="1" a="1"/>
  <c r="C90" i="1" s="1"/>
  <c r="C188" i="1" a="1"/>
  <c r="C188" i="1" s="1"/>
  <c r="C73" i="1" a="1"/>
  <c r="C73" i="1" s="1"/>
  <c r="C81" i="1" a="1"/>
  <c r="C81" i="1" s="1"/>
  <c r="C92" i="1" a="1"/>
  <c r="C92" i="1" s="1"/>
  <c r="C119" i="1" a="1"/>
  <c r="C119" i="1" s="1"/>
  <c r="C124" i="1" a="1"/>
  <c r="C124" i="1" s="1"/>
  <c r="C24" i="1" a="1"/>
  <c r="C24" i="1" s="1"/>
  <c r="C41" i="1" a="1"/>
  <c r="C41" i="1" s="1"/>
  <c r="C47" i="1" a="1"/>
  <c r="C47" i="1" s="1"/>
  <c r="C178" i="1" a="1"/>
  <c r="C178" i="1" s="1"/>
  <c r="C95" i="1" a="1"/>
  <c r="C95" i="1" s="1"/>
  <c r="C57" i="1" a="1"/>
  <c r="C57" i="1" s="1"/>
  <c r="C19" i="1" a="1"/>
  <c r="C19" i="1" s="1"/>
  <c r="C150" i="1" a="1"/>
  <c r="C150" i="1" s="1"/>
  <c r="C61" i="1" a="1"/>
  <c r="C61" i="1" s="1"/>
  <c r="C62" i="1" a="1"/>
  <c r="C62" i="1" s="1"/>
  <c r="C36" i="1" a="1"/>
  <c r="C36" i="1" s="1"/>
  <c r="C101" i="1" a="1"/>
  <c r="C101" i="1" s="1"/>
  <c r="C69" i="1" a="1"/>
  <c r="C69" i="1" s="1"/>
  <c r="C127" i="1" a="1"/>
  <c r="C127" i="1" s="1"/>
  <c r="C16" i="1" a="1"/>
  <c r="C16" i="1" s="1"/>
  <c r="C48" i="1" a="1"/>
  <c r="C48" i="1" s="1"/>
  <c r="C60" i="1" a="1"/>
  <c r="C60" i="1" s="1"/>
  <c r="C118" i="1" a="1"/>
  <c r="C118" i="1" s="1"/>
  <c r="C28" i="1" a="1"/>
  <c r="C28" i="1" s="1"/>
  <c r="C141" i="1" a="1"/>
  <c r="C141" i="1" s="1"/>
  <c r="C109" i="1" a="1"/>
  <c r="C109" i="1" s="1"/>
  <c r="C27" i="1" a="1"/>
  <c r="C27" i="1" s="1"/>
  <c r="C108" i="1" a="1"/>
  <c r="C108" i="1" s="1"/>
  <c r="C71" i="1" a="1"/>
  <c r="C71" i="1" s="1"/>
  <c r="C51" i="1" a="1"/>
  <c r="C51" i="1" s="1"/>
  <c r="C77" i="1" a="1"/>
  <c r="C77" i="1" s="1"/>
  <c r="C82" i="1" a="1"/>
  <c r="C82" i="1" s="1"/>
  <c r="C17" i="1" a="1"/>
  <c r="C17" i="1" s="1"/>
  <c r="C33" i="1" a="1"/>
  <c r="C33" i="1" s="1"/>
  <c r="C52" i="1" a="1"/>
  <c r="C52" i="1" s="1"/>
  <c r="C43" i="1" a="1"/>
  <c r="C43" i="1" s="1"/>
  <c r="C25" i="1" a="1"/>
  <c r="C25" i="1" s="1"/>
  <c r="C91" i="1" a="1"/>
  <c r="C91" i="1" s="1"/>
  <c r="C97" i="1" a="1"/>
  <c r="C97" i="1" s="1"/>
  <c r="C35" i="1" a="1"/>
  <c r="C35" i="1" s="1"/>
  <c r="C93" i="1" a="1"/>
  <c r="C93" i="1" s="1"/>
  <c r="C100" i="1" a="1"/>
  <c r="C100" i="1" s="1"/>
  <c r="C87" i="1" a="1"/>
  <c r="C87" i="1" s="1"/>
  <c r="C75" i="1" a="1"/>
  <c r="C75" i="1" s="1"/>
  <c r="C46" i="1" a="1"/>
  <c r="C46" i="1" s="1"/>
  <c r="C102" i="1" a="1"/>
  <c r="C102" i="1" s="1"/>
  <c r="C54" i="1" a="1"/>
  <c r="C54" i="1" s="1"/>
  <c r="C383" i="1" a="1"/>
  <c r="C383" i="1" s="1"/>
  <c r="C359" i="1" a="1"/>
  <c r="C359" i="1" s="1"/>
  <c r="C346" i="1" a="1"/>
  <c r="C346" i="1" s="1"/>
  <c r="C343" i="1" a="1"/>
  <c r="C343" i="1" s="1"/>
  <c r="C368" i="1" a="1"/>
  <c r="C368" i="1" s="1"/>
  <c r="C289" i="1" a="1"/>
  <c r="C289" i="1" s="1"/>
  <c r="C303" i="1" a="1"/>
  <c r="C303" i="1" s="1"/>
  <c r="C287" i="1" a="1"/>
  <c r="C287" i="1" s="1"/>
  <c r="C356" i="1" a="1"/>
  <c r="C356" i="1" s="1"/>
  <c r="C324" i="1" a="1"/>
  <c r="C324" i="1" s="1"/>
  <c r="C310" i="1" a="1"/>
  <c r="C310" i="1" s="1"/>
  <c r="C358" i="1" a="1"/>
  <c r="C358" i="1" s="1"/>
  <c r="C245" i="1" a="1"/>
  <c r="C245" i="1" s="1"/>
  <c r="C290" i="1" a="1"/>
  <c r="C290" i="1" s="1"/>
  <c r="C275" i="1" a="1"/>
  <c r="C275" i="1" s="1"/>
  <c r="C259" i="1" a="1"/>
  <c r="C259" i="1" s="1"/>
  <c r="C271" i="1" a="1"/>
  <c r="C271" i="1" s="1"/>
  <c r="C364" i="1" a="1"/>
  <c r="C364" i="1" s="1"/>
  <c r="C240" i="1" a="1"/>
  <c r="C240" i="1" s="1"/>
  <c r="C272" i="1" a="1"/>
  <c r="C272" i="1" s="1"/>
  <c r="C330" i="1" a="1"/>
  <c r="C330" i="1" s="1"/>
  <c r="C328" i="1" a="1"/>
  <c r="C328" i="1" s="1"/>
  <c r="C387" i="1" a="1"/>
  <c r="C387" i="1" s="1"/>
  <c r="C273" i="1" a="1"/>
  <c r="C273" i="1" s="1"/>
  <c r="C258" i="1" a="1"/>
  <c r="C258" i="1" s="1"/>
  <c r="C211" i="1" a="1"/>
  <c r="C211" i="1" s="1"/>
  <c r="C345" i="1" a="1"/>
  <c r="C345" i="1" s="1"/>
  <c r="C242" i="1" a="1"/>
  <c r="C242" i="1" s="1"/>
  <c r="C293" i="1" a="1"/>
  <c r="C293" i="1" s="1"/>
  <c r="C390" i="1" a="1"/>
  <c r="C390" i="1" s="1"/>
  <c r="C236" i="1" a="1"/>
  <c r="C236" i="1" s="1"/>
  <c r="C276" i="1" a="1"/>
  <c r="C276" i="1" s="1"/>
  <c r="C227" i="1" a="1"/>
  <c r="C227" i="1" s="1"/>
  <c r="C264" i="1" a="1"/>
  <c r="C264" i="1" s="1"/>
  <c r="C202" i="1" a="1"/>
  <c r="C202" i="1" s="1"/>
  <c r="C262" i="1" a="1"/>
  <c r="C262" i="1" s="1"/>
  <c r="C388" i="1" a="1"/>
  <c r="C388" i="1" s="1"/>
  <c r="C168" i="1" a="1"/>
  <c r="C168" i="1" s="1"/>
  <c r="C357" i="1" a="1"/>
  <c r="C357" i="1" s="1"/>
  <c r="C204" i="1" a="1"/>
  <c r="C204" i="1" s="1"/>
  <c r="C373" i="1" a="1"/>
  <c r="C373" i="1" s="1"/>
  <c r="C302" i="1" a="1"/>
  <c r="C302" i="1" s="1"/>
  <c r="C370" i="1" a="1"/>
  <c r="C370" i="1" s="1"/>
  <c r="C213" i="1" a="1"/>
  <c r="C213" i="1" s="1"/>
  <c r="C192" i="1" a="1"/>
  <c r="C192" i="1" s="1"/>
  <c r="C338" i="1" a="1"/>
  <c r="C338" i="1" s="1"/>
  <c r="C391" i="1" a="1"/>
  <c r="C391" i="1" s="1"/>
  <c r="C165" i="1" a="1"/>
  <c r="C165" i="1" s="1"/>
  <c r="C376" i="1" a="1"/>
  <c r="C376" i="1" s="1"/>
  <c r="C305" i="1" a="1"/>
  <c r="C305" i="1" s="1"/>
  <c r="C278" i="1" a="1"/>
  <c r="C278" i="1" s="1"/>
  <c r="C250" i="1" a="1"/>
  <c r="C250" i="1" s="1"/>
  <c r="C344" i="1" a="1"/>
  <c r="C344" i="1" s="1"/>
  <c r="C353" i="1" a="1"/>
  <c r="C353" i="1" s="1"/>
  <c r="C166" i="1" a="1"/>
  <c r="C166" i="1" s="1"/>
  <c r="C176" i="1" a="1"/>
  <c r="C176" i="1" s="1"/>
  <c r="C249" i="1" a="1"/>
  <c r="C249" i="1" s="1"/>
  <c r="C329" i="1" a="1"/>
  <c r="C329" i="1" s="1"/>
  <c r="C399" i="1" a="1"/>
  <c r="C399" i="1" s="1"/>
  <c r="C295" i="1" a="1"/>
  <c r="C295" i="1" s="1"/>
  <c r="C253" i="1" a="1"/>
  <c r="C253" i="1" s="1"/>
  <c r="C371" i="1" a="1"/>
  <c r="C371" i="1" s="1"/>
  <c r="C312" i="1" a="1"/>
  <c r="C312" i="1" s="1"/>
  <c r="C170" i="1" a="1"/>
  <c r="C170" i="1" s="1"/>
  <c r="C365" i="1" a="1"/>
  <c r="C365" i="1" s="1"/>
  <c r="C194" i="1" a="1"/>
  <c r="C194" i="1" s="1"/>
  <c r="C209" i="1" a="1"/>
  <c r="C209" i="1" s="1"/>
  <c r="C327" i="1" a="1"/>
  <c r="C327" i="1" s="1"/>
  <c r="C374" i="1" a="1"/>
  <c r="C374" i="1" s="1"/>
  <c r="C319" i="1" a="1"/>
  <c r="C319" i="1" s="1"/>
  <c r="C270" i="1" a="1"/>
  <c r="C270" i="1" s="1"/>
  <c r="C164" i="1" a="1"/>
  <c r="C164" i="1" s="1"/>
  <c r="C320" i="1" a="1"/>
  <c r="C320" i="1" s="1"/>
  <c r="C304" i="1" a="1"/>
  <c r="C304" i="1" s="1"/>
  <c r="C187" i="1" a="1"/>
  <c r="C187" i="1" s="1"/>
  <c r="C222" i="1" a="1"/>
  <c r="C222" i="1" s="1"/>
  <c r="C334" i="1" a="1"/>
  <c r="C334" i="1" s="1"/>
  <c r="C152" i="1" a="1"/>
  <c r="C152" i="1" s="1"/>
  <c r="C288" i="1" a="1"/>
  <c r="C288" i="1" s="1"/>
  <c r="C292" i="1" a="1"/>
  <c r="C292" i="1" s="1"/>
  <c r="C257" i="1" a="1"/>
  <c r="C257" i="1" s="1"/>
  <c r="C223" i="1" a="1"/>
  <c r="C223" i="1" s="1"/>
  <c r="C206" i="1" a="1"/>
  <c r="C206" i="1" s="1"/>
  <c r="C366" i="1" a="1"/>
  <c r="C366" i="1" s="1"/>
  <c r="C381" i="1" a="1"/>
  <c r="C381" i="1" s="1"/>
  <c r="C216" i="1" a="1"/>
  <c r="C216" i="1" s="1"/>
  <c r="C354" i="1" a="1"/>
  <c r="C354" i="1" s="1"/>
  <c r="C394" i="1" a="1"/>
  <c r="C394" i="1" s="1"/>
  <c r="C398" i="1" a="1"/>
  <c r="C398" i="1" s="1"/>
  <c r="C384" i="1" a="1"/>
  <c r="C384" i="1" s="1"/>
  <c r="C157" i="1" a="1"/>
  <c r="C157" i="1" s="1"/>
  <c r="C389" i="1" a="1"/>
  <c r="C389" i="1" s="1"/>
  <c r="C189" i="1" a="1"/>
  <c r="C189" i="1" s="1"/>
  <c r="C382" i="1" a="1"/>
  <c r="C382" i="1" s="1"/>
  <c r="C274" i="1" a="1"/>
  <c r="C274" i="1" s="1"/>
  <c r="C237" i="1" a="1"/>
  <c r="C237" i="1" s="1"/>
  <c r="C386" i="1" a="1"/>
  <c r="C386" i="1" s="1"/>
  <c r="C232" i="1" a="1"/>
  <c r="C232" i="1" s="1"/>
  <c r="C314" i="1" a="1"/>
  <c r="C314" i="1" s="1"/>
  <c r="C362" i="1" a="1"/>
  <c r="C362" i="1" s="1"/>
  <c r="C380" i="1" a="1"/>
  <c r="C380" i="1" s="1"/>
  <c r="C169" i="1" a="1"/>
  <c r="C169" i="1" s="1"/>
  <c r="C207" i="1" a="1"/>
  <c r="C207" i="1" s="1"/>
  <c r="C313" i="1" a="1"/>
  <c r="C313" i="1" s="1"/>
  <c r="C159" i="1" a="1"/>
  <c r="C159" i="1" s="1"/>
  <c r="C266" i="1" a="1"/>
  <c r="C266" i="1" s="1"/>
  <c r="C247" i="1" a="1"/>
  <c r="C247" i="1" s="1"/>
  <c r="C400" i="1" a="1"/>
  <c r="C400" i="1" s="1"/>
  <c r="C291" i="1" a="1"/>
  <c r="C291" i="1" s="1"/>
  <c r="C397" i="1" a="1"/>
  <c r="C397" i="1" s="1"/>
  <c r="C265" i="1" a="1"/>
  <c r="C265" i="1" s="1"/>
  <c r="C315" i="1" a="1"/>
  <c r="C315" i="1" s="1"/>
  <c r="C378" i="1" a="1"/>
  <c r="C378" i="1" s="1"/>
  <c r="C396" i="1" a="1"/>
  <c r="C396" i="1" s="1"/>
  <c r="C212" i="1" a="1"/>
  <c r="C212" i="1" s="1"/>
  <c r="C284" i="1" a="1"/>
  <c r="C284" i="1" s="1"/>
  <c r="C218" i="1" a="1"/>
  <c r="C218" i="1" s="1"/>
  <c r="C393" i="1" a="1"/>
  <c r="C393" i="1" s="1"/>
  <c r="C360" i="1" a="1"/>
  <c r="C360" i="1" s="1"/>
  <c r="C296" i="1" a="1"/>
  <c r="C296" i="1" s="1"/>
  <c r="C363" i="1" a="1"/>
  <c r="C363" i="1" s="1"/>
  <c r="C385" i="1" a="1"/>
  <c r="C385" i="1" s="1"/>
  <c r="C392" i="1" a="1"/>
  <c r="C392" i="1" s="1"/>
  <c r="C331" i="1" a="1"/>
  <c r="C331" i="1" s="1"/>
  <c r="C172" i="1" a="1"/>
  <c r="C172" i="1" s="1"/>
  <c r="C323" i="1" a="1"/>
  <c r="C323" i="1" s="1"/>
  <c r="C321" i="1" a="1"/>
  <c r="C321" i="1" s="1"/>
  <c r="C279" i="1" a="1"/>
  <c r="C279" i="1" s="1"/>
  <c r="C336" i="1" a="1"/>
  <c r="C336" i="1" s="1"/>
  <c r="C307" i="1" a="1"/>
  <c r="C307" i="1" s="1"/>
  <c r="C335" i="1" a="1"/>
  <c r="C335" i="1" s="1"/>
  <c r="C395" i="1" a="1"/>
  <c r="C395" i="1" s="1"/>
  <c r="C379" i="1" a="1"/>
  <c r="C379" i="1" s="1"/>
  <c r="C2" i="1" a="1"/>
  <c r="C2" i="1" s="1"/>
  <c r="M401" i="3"/>
  <c r="M402" i="3"/>
  <c r="M5" i="3"/>
  <c r="M8" i="3"/>
  <c r="M12" i="3"/>
  <c r="M13" i="3"/>
  <c r="M14" i="3"/>
  <c r="M17" i="3"/>
  <c r="M23" i="3"/>
  <c r="M26" i="3"/>
  <c r="M34" i="3"/>
  <c r="M40" i="3"/>
  <c r="M41" i="3"/>
  <c r="M49" i="3"/>
  <c r="M50" i="3"/>
  <c r="M56" i="3"/>
  <c r="M58" i="3"/>
  <c r="M73" i="3"/>
  <c r="M74" i="3"/>
  <c r="M84" i="3"/>
  <c r="M86" i="3"/>
  <c r="M87" i="3"/>
  <c r="M89" i="3"/>
  <c r="M91" i="3"/>
  <c r="M94" i="3"/>
  <c r="M95" i="3"/>
  <c r="M96" i="3"/>
  <c r="M98" i="3"/>
  <c r="M100" i="3"/>
  <c r="M103" i="3"/>
  <c r="M106" i="3"/>
  <c r="M107" i="3"/>
  <c r="M111" i="3"/>
  <c r="M116" i="3"/>
  <c r="M119" i="3"/>
  <c r="M127" i="3"/>
  <c r="M129" i="3"/>
  <c r="M135" i="3"/>
  <c r="M141" i="3"/>
  <c r="M143" i="3"/>
  <c r="M144" i="3"/>
  <c r="M149" i="3"/>
  <c r="M150" i="3"/>
  <c r="M159" i="3"/>
  <c r="M161" i="3"/>
  <c r="M163" i="3"/>
  <c r="M165" i="3"/>
  <c r="M166" i="3"/>
  <c r="M175" i="3"/>
  <c r="M177" i="3"/>
  <c r="M178" i="3"/>
  <c r="M185" i="3"/>
  <c r="M193" i="3"/>
  <c r="M196" i="3"/>
  <c r="M202" i="3"/>
  <c r="M208" i="3"/>
  <c r="M219" i="3"/>
  <c r="M223" i="3"/>
  <c r="M226" i="3"/>
  <c r="M234" i="3"/>
  <c r="M236" i="3"/>
  <c r="M239" i="3"/>
  <c r="M240" i="3"/>
  <c r="M241" i="3"/>
  <c r="M244" i="3"/>
  <c r="M249" i="3"/>
  <c r="M250" i="3"/>
  <c r="M256" i="3"/>
  <c r="M259" i="3"/>
  <c r="M262" i="3"/>
  <c r="M263" i="3"/>
  <c r="M264" i="3"/>
  <c r="M265" i="3"/>
  <c r="M274" i="3"/>
  <c r="M277" i="3"/>
  <c r="M279" i="3"/>
  <c r="M280" i="3"/>
  <c r="M283" i="3"/>
  <c r="M286" i="3"/>
  <c r="M290" i="3"/>
  <c r="M295" i="3"/>
  <c r="M297" i="3"/>
  <c r="M299" i="3"/>
  <c r="M303" i="3"/>
  <c r="M310" i="3"/>
  <c r="M322" i="3"/>
  <c r="M323" i="3"/>
  <c r="M324" i="3"/>
  <c r="M327" i="3"/>
  <c r="M328" i="3"/>
  <c r="M333" i="3"/>
  <c r="M340" i="3"/>
  <c r="M342" i="3"/>
  <c r="M343" i="3"/>
  <c r="M344" i="3"/>
  <c r="M345" i="3"/>
  <c r="M351" i="3"/>
  <c r="M358" i="3"/>
  <c r="M360" i="3"/>
  <c r="M362" i="3"/>
  <c r="M363" i="3"/>
  <c r="M367" i="3"/>
  <c r="M368" i="3"/>
  <c r="M389" i="3"/>
  <c r="M394" i="3"/>
  <c r="M402" i="4"/>
  <c r="N402" i="4"/>
  <c r="O402" i="4"/>
  <c r="M403" i="4"/>
  <c r="N403" i="4"/>
  <c r="O403" i="4"/>
  <c r="M179" i="3" l="1"/>
  <c r="M31" i="3"/>
  <c r="M79" i="3"/>
  <c r="M186" i="3"/>
  <c r="M293" i="3"/>
  <c r="M19" i="3"/>
  <c r="M53" i="3"/>
  <c r="M313" i="3"/>
  <c r="M209" i="3"/>
  <c r="M45" i="3"/>
  <c r="M136" i="3"/>
  <c r="M170" i="3"/>
  <c r="M335" i="3"/>
  <c r="M134" i="3"/>
  <c r="M361" i="3"/>
  <c r="M273" i="3"/>
  <c r="M353" i="3"/>
  <c r="M9" i="3"/>
  <c r="M7" i="3"/>
  <c r="M153" i="3"/>
  <c r="M231" i="3"/>
  <c r="M270" i="3"/>
  <c r="M77" i="3"/>
  <c r="M44" i="3"/>
  <c r="M168" i="3"/>
  <c r="M230" i="3"/>
  <c r="M169" i="3"/>
  <c r="M298" i="3"/>
  <c r="M93" i="3"/>
  <c r="M206" i="3"/>
  <c r="M243" i="3"/>
  <c r="M261" i="3"/>
  <c r="M6" i="3"/>
  <c r="M266" i="3"/>
  <c r="M319" i="3"/>
  <c r="M339" i="3"/>
  <c r="M33" i="3"/>
  <c r="M214" i="3"/>
  <c r="M205" i="3"/>
  <c r="M227" i="3"/>
  <c r="M380" i="3"/>
  <c r="M307" i="3"/>
  <c r="M383" i="3"/>
  <c r="M192" i="3"/>
  <c r="M251" i="3"/>
  <c r="M284" i="3"/>
  <c r="M133" i="3"/>
  <c r="M203" i="3"/>
  <c r="M300" i="3"/>
  <c r="M355" i="3"/>
  <c r="M302" i="3"/>
  <c r="M312" i="3"/>
  <c r="M191" i="3"/>
  <c r="M384" i="3"/>
  <c r="M309" i="3"/>
  <c r="M375" i="3"/>
  <c r="M254" i="3"/>
  <c r="M376" i="3"/>
  <c r="M63" i="3"/>
  <c r="M39" i="3"/>
  <c r="M104" i="3"/>
  <c r="M15" i="3"/>
  <c r="M21" i="3"/>
  <c r="M128" i="3"/>
  <c r="M198" i="3"/>
  <c r="M216" i="3"/>
  <c r="M102" i="3"/>
  <c r="M132" i="3"/>
  <c r="M348" i="3"/>
  <c r="M349" i="3"/>
  <c r="M400" i="3"/>
  <c r="M105" i="3"/>
  <c r="M70" i="3"/>
  <c r="M228" i="3"/>
  <c r="M332" i="3"/>
  <c r="M221" i="3"/>
  <c r="M28" i="3"/>
  <c r="M126" i="3"/>
  <c r="M200" i="3"/>
  <c r="M306" i="3"/>
  <c r="M10" i="3"/>
  <c r="M4" i="3"/>
  <c r="M238" i="3"/>
  <c r="M374" i="3"/>
  <c r="M88" i="3"/>
  <c r="M233" i="3"/>
  <c r="M120" i="3"/>
  <c r="M390" i="3"/>
  <c r="M124" i="3"/>
  <c r="M304" i="3"/>
  <c r="M308" i="3"/>
  <c r="M398" i="3"/>
  <c r="M197" i="3"/>
  <c r="M359" i="3"/>
  <c r="M237" i="3"/>
  <c r="M37" i="3"/>
  <c r="M232" i="3"/>
  <c r="M176" i="3"/>
  <c r="M222" i="3"/>
  <c r="M69" i="3"/>
  <c r="M137" i="3"/>
  <c r="M16" i="3"/>
  <c r="M184" i="3"/>
  <c r="M281" i="3"/>
  <c r="M212" i="3"/>
  <c r="M330" i="3"/>
  <c r="M272" i="3"/>
  <c r="M64" i="3"/>
  <c r="M258" i="3"/>
  <c r="M108" i="3"/>
  <c r="M371" i="3"/>
  <c r="M260" i="3"/>
  <c r="M248" i="3"/>
  <c r="M207" i="3"/>
  <c r="M183" i="3"/>
  <c r="M76" i="3"/>
  <c r="M55" i="3"/>
  <c r="M352" i="3"/>
  <c r="M350" i="3"/>
  <c r="M379" i="3"/>
  <c r="M142" i="3"/>
  <c r="M369" i="3"/>
  <c r="M392" i="3"/>
  <c r="M215" i="3"/>
  <c r="M171" i="3"/>
  <c r="M199" i="3"/>
  <c r="M399" i="3"/>
  <c r="M275" i="3"/>
  <c r="M346" i="3"/>
  <c r="M201" i="3"/>
  <c r="M287" i="3"/>
  <c r="M245" i="3"/>
  <c r="M301" i="3"/>
  <c r="M320" i="3"/>
  <c r="M80" i="3"/>
  <c r="M36" i="3"/>
  <c r="M90" i="3"/>
  <c r="M62" i="3"/>
  <c r="M109" i="3"/>
  <c r="M82" i="3"/>
  <c r="M156" i="3"/>
  <c r="M289" i="3"/>
  <c r="M288" i="3"/>
  <c r="M32" i="3"/>
  <c r="M172" i="3"/>
  <c r="M22" i="3"/>
  <c r="M121" i="3"/>
  <c r="M174" i="3"/>
  <c r="M318" i="3"/>
  <c r="M204" i="3"/>
  <c r="M101" i="3"/>
  <c r="M130" i="3"/>
  <c r="M210" i="3"/>
  <c r="M125" i="3"/>
  <c r="M43" i="3"/>
  <c r="M373" i="3"/>
  <c r="M30" i="3"/>
  <c r="M151" i="3"/>
  <c r="M167" i="3"/>
  <c r="M194" i="3"/>
  <c r="M154" i="3"/>
  <c r="M68" i="3"/>
  <c r="M138" i="3"/>
  <c r="M334" i="3"/>
  <c r="M97" i="3"/>
  <c r="M11" i="3"/>
  <c r="M3" i="3"/>
  <c r="M354" i="3"/>
  <c r="M364" i="3"/>
  <c r="M291" i="3"/>
  <c r="M27" i="3"/>
  <c r="M29" i="3"/>
  <c r="M155" i="3"/>
  <c r="M146" i="3"/>
  <c r="M385" i="3"/>
  <c r="M189" i="3"/>
  <c r="M180" i="3"/>
  <c r="M81" i="3"/>
  <c r="M347" i="3"/>
  <c r="M115" i="3"/>
  <c r="M145" i="3"/>
  <c r="M75" i="3"/>
  <c r="M54" i="3"/>
  <c r="M217" i="3"/>
  <c r="M325" i="3"/>
  <c r="M315" i="3"/>
  <c r="M276" i="3"/>
  <c r="M257" i="3"/>
  <c r="M387" i="3"/>
  <c r="M316" i="3"/>
  <c r="M147" i="3"/>
  <c r="M292" i="3"/>
  <c r="M268" i="3"/>
  <c r="M61" i="3"/>
  <c r="M195" i="3"/>
  <c r="M357" i="3"/>
  <c r="M246" i="3"/>
  <c r="M35" i="3"/>
  <c r="M158" i="3"/>
  <c r="M220" i="3"/>
  <c r="M296" i="3"/>
  <c r="M99" i="3"/>
  <c r="M255" i="3"/>
  <c r="M72" i="3"/>
  <c r="M381" i="3"/>
  <c r="M152" i="3"/>
  <c r="M213" i="3"/>
  <c r="M247" i="3"/>
  <c r="M370" i="3"/>
  <c r="M139" i="3"/>
  <c r="M338" i="3"/>
  <c r="M114" i="3"/>
  <c r="M294" i="3"/>
  <c r="M317" i="3"/>
  <c r="M188" i="3"/>
  <c r="M377" i="3"/>
  <c r="M341" i="3"/>
  <c r="M224" i="3"/>
  <c r="M382" i="3"/>
  <c r="M271" i="3"/>
  <c r="M337" i="3"/>
  <c r="M85" i="3"/>
  <c r="M117" i="3"/>
  <c r="M59" i="3"/>
  <c r="M46" i="3"/>
  <c r="M71" i="3"/>
  <c r="M24" i="3"/>
  <c r="M78" i="3"/>
  <c r="M60" i="3"/>
  <c r="M160" i="3"/>
  <c r="M122" i="3"/>
  <c r="M148" i="3"/>
  <c r="M235" i="3"/>
  <c r="M92" i="3"/>
  <c r="M47" i="3"/>
  <c r="M311" i="3"/>
  <c r="M164" i="3"/>
  <c r="M229" i="3"/>
  <c r="M365" i="3"/>
  <c r="M123" i="3"/>
  <c r="M267" i="3"/>
  <c r="M242" i="3"/>
  <c r="M278" i="3"/>
  <c r="M118" i="3"/>
  <c r="M65" i="3"/>
  <c r="M211" i="3"/>
  <c r="M388" i="3"/>
  <c r="M336" i="3"/>
  <c r="M57" i="3"/>
  <c r="M326" i="3"/>
  <c r="M51" i="3"/>
  <c r="M110" i="3"/>
  <c r="M372" i="3"/>
  <c r="M18" i="3"/>
  <c r="M282" i="3"/>
  <c r="M396" i="3"/>
  <c r="M386" i="3"/>
  <c r="M52" i="3"/>
  <c r="M181" i="3"/>
  <c r="M252" i="3"/>
  <c r="M187" i="3"/>
  <c r="M182" i="3"/>
  <c r="M393" i="3"/>
  <c r="M162" i="3"/>
  <c r="M269" i="3"/>
  <c r="M356" i="3"/>
  <c r="M285" i="3"/>
  <c r="M253" i="3"/>
  <c r="M218" i="3"/>
  <c r="M190" i="3"/>
  <c r="M173" i="3"/>
  <c r="M140" i="3"/>
  <c r="M113" i="3"/>
  <c r="M83" i="3"/>
  <c r="M67" i="3"/>
  <c r="M48" i="3"/>
  <c r="M25" i="3"/>
  <c r="M391" i="3"/>
  <c r="M314" i="3"/>
  <c r="M305" i="3"/>
  <c r="M397" i="3"/>
  <c r="M331" i="3"/>
  <c r="M395" i="3"/>
  <c r="M329" i="3"/>
  <c r="M366" i="3"/>
  <c r="M321" i="3"/>
  <c r="M38" i="3"/>
  <c r="M66" i="3"/>
  <c r="M131" i="3"/>
  <c r="M157" i="3"/>
  <c r="M112" i="3"/>
  <c r="M42" i="3"/>
  <c r="M378" i="3"/>
  <c r="M225" i="3"/>
  <c r="M20" i="3"/>
  <c r="M2" i="3"/>
  <c r="E23" i="5"/>
  <c r="E20" i="5"/>
  <c r="E22" i="5"/>
  <c r="E21" i="5"/>
  <c r="E19" i="5"/>
  <c r="E18" i="5"/>
  <c r="E16" i="5"/>
  <c r="E17" i="5"/>
  <c r="J402" i="4"/>
  <c r="G402" i="4"/>
  <c r="F402" i="4"/>
  <c r="E9" i="5"/>
  <c r="E8" i="5"/>
  <c r="E7" i="5"/>
  <c r="E6" i="5"/>
  <c r="E5" i="5"/>
  <c r="E4" i="5"/>
  <c r="E3" i="5"/>
  <c r="E2" i="5"/>
  <c r="J403" i="4"/>
  <c r="G403" i="4"/>
  <c r="F403" i="4"/>
  <c r="K402" i="2"/>
  <c r="L402" i="2"/>
  <c r="M402" i="2"/>
  <c r="K403" i="2"/>
  <c r="L403" i="2"/>
  <c r="M403" i="2"/>
  <c r="C3" i="5" l="1"/>
  <c r="G23" i="5"/>
  <c r="C23" i="5"/>
  <c r="G21" i="5"/>
  <c r="G22" i="5"/>
  <c r="C22" i="5"/>
  <c r="C21" i="5"/>
  <c r="G20" i="5"/>
  <c r="C20" i="5"/>
  <c r="G19" i="5"/>
  <c r="C19" i="5"/>
  <c r="G16" i="5"/>
  <c r="G18" i="5"/>
  <c r="C18" i="5"/>
  <c r="C16" i="5"/>
  <c r="G17" i="5"/>
  <c r="C17" i="5"/>
  <c r="G3" i="5"/>
  <c r="D402" i="4"/>
  <c r="H402" i="4"/>
  <c r="H403" i="4"/>
  <c r="D403" i="4"/>
  <c r="G6" i="5"/>
  <c r="C24" i="5" l="1"/>
  <c r="K402" i="4"/>
  <c r="K403" i="4"/>
  <c r="C4" i="5"/>
  <c r="G8" i="5"/>
  <c r="C8" i="5"/>
  <c r="G9" i="5"/>
  <c r="C9" i="5"/>
  <c r="C5" i="5"/>
  <c r="C6" i="5"/>
  <c r="E405" i="3"/>
  <c r="C2" i="5"/>
  <c r="G2" i="5"/>
  <c r="G5" i="5"/>
  <c r="G7" i="5"/>
  <c r="C7" i="5"/>
  <c r="G4" i="5"/>
  <c r="L39" i="4"/>
  <c r="L337" i="4"/>
  <c r="L47" i="4"/>
  <c r="L77" i="4"/>
  <c r="L14" i="4"/>
  <c r="L357" i="4"/>
  <c r="L365" i="4"/>
  <c r="L340" i="4"/>
  <c r="L319" i="4"/>
  <c r="L10" i="4"/>
  <c r="L134" i="4"/>
  <c r="L307" i="4"/>
  <c r="L78" i="4"/>
  <c r="L135" i="4"/>
  <c r="L336" i="4"/>
  <c r="L73" i="4"/>
  <c r="L202" i="4"/>
  <c r="L191" i="4"/>
  <c r="L119" i="4"/>
  <c r="L280" i="4"/>
  <c r="L36" i="4"/>
  <c r="L237" i="4"/>
  <c r="L97" i="4"/>
  <c r="L209" i="4"/>
  <c r="L313" i="4"/>
  <c r="L257" i="4"/>
  <c r="L69" i="4"/>
  <c r="L137" i="4"/>
  <c r="L262" i="4"/>
  <c r="L360" i="4"/>
  <c r="L22" i="4"/>
  <c r="L38" i="4"/>
  <c r="L165" i="4"/>
  <c r="L342" i="4"/>
  <c r="L376" i="4"/>
  <c r="L369" i="4"/>
  <c r="L218" i="4"/>
  <c r="L298" i="4"/>
  <c r="L150" i="4"/>
  <c r="L286" i="4"/>
  <c r="L93" i="4"/>
  <c r="L364" i="4"/>
  <c r="L6" i="4"/>
  <c r="L29" i="4"/>
  <c r="L207" i="4"/>
  <c r="L111" i="4"/>
  <c r="L167" i="4"/>
  <c r="L158" i="4"/>
  <c r="L168" i="4"/>
  <c r="L203" i="4"/>
  <c r="L195" i="4"/>
  <c r="L379" i="4"/>
  <c r="L281" i="4"/>
  <c r="L236" i="4"/>
  <c r="L196" i="4"/>
  <c r="L258" i="4"/>
  <c r="L208" i="4"/>
  <c r="L11" i="4"/>
  <c r="L108" i="4"/>
  <c r="L8" i="4"/>
  <c r="L314" i="4"/>
  <c r="L61" i="4"/>
  <c r="L285" i="4"/>
  <c r="L106" i="4"/>
  <c r="L51" i="4"/>
  <c r="L344" i="4"/>
  <c r="L122" i="4"/>
  <c r="L219" i="4"/>
  <c r="L391" i="4"/>
  <c r="L288" i="4"/>
  <c r="L62" i="4"/>
  <c r="L212" i="4"/>
  <c r="L259" i="4"/>
  <c r="L163" i="4"/>
  <c r="L301" i="4"/>
  <c r="L187" i="4"/>
  <c r="L247" i="4"/>
  <c r="L239" i="4"/>
  <c r="L143" i="4"/>
  <c r="L305" i="4"/>
  <c r="L271" i="4"/>
  <c r="L343" i="4"/>
  <c r="L384" i="4"/>
  <c r="L175" i="4"/>
  <c r="L90" i="4"/>
  <c r="L261" i="4"/>
  <c r="L253" i="4"/>
  <c r="L275" i="4"/>
  <c r="L235" i="4"/>
  <c r="L345" i="4"/>
  <c r="L350" i="4"/>
  <c r="L75" i="4"/>
  <c r="L320" i="4"/>
  <c r="L260" i="4"/>
  <c r="L398" i="4"/>
  <c r="L95" i="4"/>
  <c r="L397" i="4"/>
  <c r="L221" i="4"/>
  <c r="L81" i="4"/>
  <c r="L128" i="4"/>
  <c r="L380" i="4"/>
  <c r="L374" i="4"/>
  <c r="L325" i="4"/>
  <c r="L176" i="4"/>
  <c r="L45" i="4"/>
  <c r="L148" i="4"/>
  <c r="L146" i="4"/>
  <c r="L349" i="4"/>
  <c r="L53" i="4"/>
  <c r="L133" i="4"/>
  <c r="L238" i="4"/>
  <c r="L112" i="4"/>
  <c r="L362" i="4"/>
  <c r="L31" i="4"/>
  <c r="L123" i="4"/>
  <c r="L348" i="4"/>
  <c r="L321" i="4"/>
  <c r="L120" i="4"/>
  <c r="L160" i="4"/>
  <c r="L211" i="4"/>
  <c r="L104" i="4"/>
  <c r="L157" i="4"/>
  <c r="L177" i="4"/>
  <c r="L385" i="4"/>
  <c r="L126" i="4"/>
  <c r="L393" i="4"/>
  <c r="L91" i="4"/>
  <c r="L367" i="4"/>
  <c r="L19" i="4"/>
  <c r="L359" i="4"/>
  <c r="L199" i="4"/>
  <c r="L89" i="4"/>
  <c r="L129" i="4"/>
  <c r="L110" i="4"/>
  <c r="L161" i="4"/>
  <c r="L335" i="4"/>
  <c r="L287" i="4"/>
  <c r="L333" i="4"/>
  <c r="L16" i="4"/>
  <c r="L170" i="4"/>
  <c r="L164" i="4"/>
  <c r="L159" i="4"/>
  <c r="L274" i="4"/>
  <c r="L183" i="4"/>
  <c r="L283" i="4"/>
  <c r="L232" i="4"/>
  <c r="L142" i="4"/>
  <c r="L315" i="4"/>
  <c r="L125" i="4"/>
  <c r="L230" i="4"/>
  <c r="L264" i="4"/>
  <c r="L254" i="4"/>
  <c r="L80" i="4"/>
  <c r="L269" i="4"/>
  <c r="L169" i="4"/>
  <c r="L136" i="4"/>
  <c r="L155" i="4"/>
  <c r="L189" i="4"/>
  <c r="L74" i="4"/>
  <c r="L65" i="4"/>
  <c r="L318" i="4"/>
  <c r="L370" i="4"/>
  <c r="L354" i="4"/>
  <c r="L297" i="4"/>
  <c r="L130" i="4"/>
  <c r="L82" i="4"/>
  <c r="L266" i="4"/>
  <c r="L194" i="4"/>
  <c r="L98" i="4"/>
  <c r="L303" i="4"/>
  <c r="L204" i="4"/>
  <c r="L240" i="4"/>
  <c r="L387" i="4"/>
  <c r="L193" i="4"/>
  <c r="L30" i="4"/>
  <c r="L197" i="4"/>
  <c r="L276" i="4"/>
  <c r="L34" i="4"/>
  <c r="L390" i="4"/>
  <c r="L268" i="4"/>
  <c r="L256" i="4"/>
  <c r="L263" i="4"/>
  <c r="L102" i="4"/>
  <c r="L399" i="4"/>
  <c r="L213" i="4"/>
  <c r="L198" i="4"/>
  <c r="L41" i="4"/>
  <c r="L227" i="4"/>
  <c r="L255" i="4"/>
  <c r="L55" i="4"/>
  <c r="L96" i="4"/>
  <c r="L132" i="4"/>
  <c r="L185" i="4"/>
  <c r="L242" i="4"/>
  <c r="L107" i="4"/>
  <c r="L201" i="4"/>
  <c r="L192" i="4"/>
  <c r="L13" i="4"/>
  <c r="I402" i="2"/>
  <c r="I403" i="2"/>
  <c r="O368" i="2" s="1"/>
  <c r="E402" i="2"/>
  <c r="E403" i="2"/>
  <c r="C10" i="5" l="1"/>
  <c r="L7" i="4"/>
  <c r="L118" i="4"/>
  <c r="L114" i="4"/>
  <c r="L190" i="4"/>
  <c r="L231" i="4"/>
  <c r="L381" i="4"/>
  <c r="L127" i="4"/>
  <c r="L392" i="4"/>
  <c r="L139" i="4"/>
  <c r="L179" i="4"/>
  <c r="L85" i="4"/>
  <c r="L304" i="4"/>
  <c r="L166" i="4"/>
  <c r="L371" i="4"/>
  <c r="L302" i="4"/>
  <c r="L366" i="4"/>
  <c r="L172" i="4"/>
  <c r="L330" i="4"/>
  <c r="L188" i="4"/>
  <c r="L84" i="4"/>
  <c r="L382" i="4"/>
  <c r="L291" i="4"/>
  <c r="L300" i="4"/>
  <c r="L54" i="4"/>
  <c r="L351" i="4"/>
  <c r="L308" i="4"/>
  <c r="L341" i="4"/>
  <c r="L394" i="4"/>
  <c r="L181" i="4"/>
  <c r="L217" i="4"/>
  <c r="L361" i="4"/>
  <c r="L37" i="4"/>
  <c r="L115" i="4"/>
  <c r="L310" i="4"/>
  <c r="L246" i="4"/>
  <c r="L70" i="4"/>
  <c r="L346" i="4"/>
  <c r="L83" i="4"/>
  <c r="L228" i="4"/>
  <c r="L200" i="4"/>
  <c r="L270" i="4"/>
  <c r="L44" i="4"/>
  <c r="L105" i="4"/>
  <c r="L378" i="4"/>
  <c r="L121" i="4"/>
  <c r="L243" i="4"/>
  <c r="L296" i="4"/>
  <c r="L324" i="4"/>
  <c r="L28" i="4"/>
  <c r="L386" i="4"/>
  <c r="L174" i="4"/>
  <c r="L64" i="4"/>
  <c r="L4" i="4"/>
  <c r="L21" i="4"/>
  <c r="L273" i="4"/>
  <c r="L292" i="4"/>
  <c r="L326" i="4"/>
  <c r="L178" i="4"/>
  <c r="L226" i="4"/>
  <c r="L26" i="4"/>
  <c r="L48" i="4"/>
  <c r="L156" i="4"/>
  <c r="L395" i="4"/>
  <c r="L147" i="4"/>
  <c r="L20" i="4"/>
  <c r="L299" i="4"/>
  <c r="L294" i="4"/>
  <c r="L141" i="4"/>
  <c r="L71" i="4"/>
  <c r="L248" i="4"/>
  <c r="L2" i="4"/>
  <c r="L229" i="4"/>
  <c r="L388" i="4"/>
  <c r="L220" i="4"/>
  <c r="L9" i="4"/>
  <c r="L383" i="4"/>
  <c r="L43" i="4"/>
  <c r="L92" i="4"/>
  <c r="L50" i="4"/>
  <c r="L72" i="4"/>
  <c r="L12" i="4"/>
  <c r="L234" i="4"/>
  <c r="L67" i="4"/>
  <c r="L144" i="4"/>
  <c r="L353" i="4"/>
  <c r="L88" i="4"/>
  <c r="L52" i="4"/>
  <c r="L372" i="4"/>
  <c r="L272" i="4"/>
  <c r="L94" i="4"/>
  <c r="L162" i="4"/>
  <c r="L25" i="4"/>
  <c r="L76" i="4"/>
  <c r="L279" i="4"/>
  <c r="L373" i="4"/>
  <c r="L244" i="4"/>
  <c r="L100" i="4"/>
  <c r="L293" i="4"/>
  <c r="L332" i="4"/>
  <c r="L338" i="4"/>
  <c r="L267" i="4"/>
  <c r="L173" i="4"/>
  <c r="L317" i="4"/>
  <c r="L400" i="4"/>
  <c r="L68" i="4"/>
  <c r="L138" i="4"/>
  <c r="L40" i="4"/>
  <c r="L368" i="4"/>
  <c r="L252" i="4"/>
  <c r="L355" i="4"/>
  <c r="L396" i="4"/>
  <c r="L57" i="4"/>
  <c r="L35" i="4"/>
  <c r="L329" i="4"/>
  <c r="L206" i="4"/>
  <c r="L363" i="4"/>
  <c r="L101" i="4"/>
  <c r="L124" i="4"/>
  <c r="L152" i="4"/>
  <c r="L117" i="4"/>
  <c r="L63" i="4"/>
  <c r="L86" i="4"/>
  <c r="L327" i="4"/>
  <c r="L251" i="4"/>
  <c r="L241" i="4"/>
  <c r="L347" i="4"/>
  <c r="L284" i="4"/>
  <c r="L356" i="4"/>
  <c r="L5" i="4"/>
  <c r="L277" i="4"/>
  <c r="L331" i="4"/>
  <c r="L46" i="4"/>
  <c r="L328" i="4"/>
  <c r="L60" i="4"/>
  <c r="L180" i="4"/>
  <c r="L311" i="4"/>
  <c r="L182" i="4"/>
  <c r="L290" i="4"/>
  <c r="L323" i="4"/>
  <c r="L58" i="4"/>
  <c r="L316" i="4"/>
  <c r="L389" i="4"/>
  <c r="L205" i="4"/>
  <c r="L151" i="4"/>
  <c r="L245" i="4"/>
  <c r="L154" i="4"/>
  <c r="L312" i="4"/>
  <c r="L33" i="4"/>
  <c r="L49" i="4"/>
  <c r="L289" i="4"/>
  <c r="L66" i="4"/>
  <c r="L59" i="4"/>
  <c r="L116" i="4"/>
  <c r="L278" i="4"/>
  <c r="L186" i="4"/>
  <c r="L225" i="4"/>
  <c r="L309" i="4"/>
  <c r="L171" i="4"/>
  <c r="L306" i="4"/>
  <c r="L224" i="4"/>
  <c r="L27" i="4"/>
  <c r="L375" i="4"/>
  <c r="L131" i="4"/>
  <c r="L233" i="4"/>
  <c r="L140" i="4"/>
  <c r="L32" i="4"/>
  <c r="L322" i="4"/>
  <c r="L334" i="4"/>
  <c r="L153" i="4"/>
  <c r="L295" i="4"/>
  <c r="L352" i="4"/>
  <c r="L215" i="4"/>
  <c r="L149" i="4"/>
  <c r="L24" i="4"/>
  <c r="L15" i="4"/>
  <c r="L103" i="4"/>
  <c r="L249" i="4"/>
  <c r="L250" i="4"/>
  <c r="L216" i="4"/>
  <c r="L377" i="4"/>
  <c r="L18" i="4"/>
  <c r="L214" i="4"/>
  <c r="L222" i="4"/>
  <c r="L184" i="4"/>
  <c r="L282" i="4"/>
  <c r="L23" i="4"/>
  <c r="L3" i="4"/>
  <c r="L42" i="4"/>
  <c r="L210" i="4"/>
  <c r="L339" i="4"/>
  <c r="L113" i="4"/>
  <c r="L109" i="4"/>
  <c r="L358" i="4"/>
  <c r="L99" i="4"/>
  <c r="L56" i="4"/>
  <c r="L223" i="4"/>
  <c r="L87" i="4"/>
  <c r="L265" i="4"/>
  <c r="L145" i="4"/>
  <c r="L17" i="4"/>
  <c r="L79" i="4"/>
  <c r="E402" i="4"/>
  <c r="E403" i="4"/>
  <c r="I403" i="4"/>
  <c r="I402" i="4"/>
  <c r="K357" i="3"/>
  <c r="K264" i="3"/>
  <c r="K123" i="3"/>
  <c r="K206" i="3"/>
  <c r="K373" i="3"/>
  <c r="K169" i="3"/>
  <c r="K301" i="3"/>
  <c r="K175" i="3"/>
  <c r="K33" i="3"/>
  <c r="K205" i="3"/>
  <c r="K120" i="3"/>
  <c r="K115" i="3"/>
  <c r="K189" i="3"/>
  <c r="K104" i="3"/>
  <c r="K198" i="3"/>
  <c r="K142" i="3"/>
  <c r="K370" i="3"/>
  <c r="K57" i="3"/>
  <c r="K8" i="3"/>
  <c r="K322" i="3"/>
  <c r="K28" i="3"/>
  <c r="K371" i="3"/>
  <c r="K210" i="3"/>
  <c r="K59" i="3"/>
  <c r="K143" i="3"/>
  <c r="K312" i="3"/>
  <c r="K330" i="3"/>
  <c r="K331" i="3"/>
  <c r="K45" i="3"/>
  <c r="K226" i="3"/>
  <c r="K192" i="3"/>
  <c r="K56" i="3"/>
  <c r="K140" i="3"/>
  <c r="K160" i="3"/>
  <c r="K270" i="3"/>
  <c r="K40" i="3"/>
  <c r="K65" i="3"/>
  <c r="K152" i="3"/>
  <c r="K190" i="3"/>
  <c r="K272" i="3"/>
  <c r="K126" i="3"/>
  <c r="K218" i="3"/>
  <c r="K165" i="3"/>
  <c r="K17" i="3"/>
  <c r="K99" i="3"/>
  <c r="K349" i="3"/>
  <c r="K151" i="3"/>
  <c r="K374" i="3"/>
  <c r="K164" i="3"/>
  <c r="K201" i="3"/>
  <c r="K155" i="3"/>
  <c r="K277" i="3"/>
  <c r="K14" i="3"/>
  <c r="K217" i="3"/>
  <c r="K135" i="3"/>
  <c r="K62" i="3"/>
  <c r="K69" i="3"/>
  <c r="K147" i="3"/>
  <c r="K358" i="3"/>
  <c r="K344" i="3"/>
  <c r="K378" i="3"/>
  <c r="K127" i="3"/>
  <c r="K319" i="3"/>
  <c r="K363" i="3"/>
  <c r="K111" i="3"/>
  <c r="K248" i="3"/>
  <c r="K268" i="3"/>
  <c r="K12" i="3"/>
  <c r="K392" i="3"/>
  <c r="K232" i="3"/>
  <c r="K346" i="3"/>
  <c r="K124" i="3"/>
  <c r="K21" i="3"/>
  <c r="K95" i="3"/>
  <c r="K187" i="3"/>
  <c r="K172" i="3"/>
  <c r="K41" i="3"/>
  <c r="K288" i="3"/>
  <c r="K131" i="3"/>
  <c r="K178" i="3"/>
  <c r="K67" i="3"/>
  <c r="K340" i="3"/>
  <c r="K194" i="3"/>
  <c r="K202" i="3"/>
  <c r="K117" i="3"/>
  <c r="K177" i="3"/>
  <c r="K27" i="3"/>
  <c r="K60" i="3"/>
  <c r="K80" i="3"/>
  <c r="K280" i="3"/>
  <c r="K139" i="3"/>
  <c r="K51" i="3"/>
  <c r="K108" i="3"/>
  <c r="K128" i="3"/>
  <c r="K256" i="3"/>
  <c r="K393" i="3"/>
  <c r="K360" i="3"/>
  <c r="K352" i="3"/>
  <c r="K274" i="3"/>
  <c r="K154" i="3"/>
  <c r="K70" i="3"/>
  <c r="K396" i="3"/>
  <c r="K249" i="3"/>
  <c r="K323" i="3"/>
  <c r="K204" i="3"/>
  <c r="K116" i="3"/>
  <c r="K247" i="3"/>
  <c r="K168" i="3"/>
  <c r="K193" i="3"/>
  <c r="K345" i="3"/>
  <c r="K289" i="3"/>
  <c r="K356" i="3"/>
  <c r="K266" i="3"/>
  <c r="K106" i="3"/>
  <c r="K66" i="3"/>
  <c r="K381" i="3"/>
  <c r="K176" i="3"/>
  <c r="K196" i="3"/>
  <c r="K239" i="3"/>
  <c r="K203" i="3"/>
  <c r="K48" i="3"/>
  <c r="K241" i="3"/>
  <c r="K173" i="3"/>
  <c r="K375" i="3"/>
  <c r="K361" i="3"/>
  <c r="K321" i="3"/>
  <c r="K250" i="3"/>
  <c r="K98" i="3"/>
  <c r="K273" i="3"/>
  <c r="K384" i="3"/>
  <c r="K309" i="3"/>
  <c r="K68" i="3"/>
  <c r="K267" i="3"/>
  <c r="K231" i="3"/>
  <c r="K32" i="3"/>
  <c r="K233" i="3"/>
  <c r="K54" i="3"/>
  <c r="K305" i="3"/>
  <c r="K367" i="3"/>
  <c r="K314" i="3"/>
  <c r="K134" i="3"/>
  <c r="K90" i="3"/>
  <c r="K34" i="3"/>
  <c r="K265" i="3"/>
  <c r="K180" i="3"/>
  <c r="K263" i="3"/>
  <c r="K227" i="3"/>
  <c r="K183" i="3"/>
  <c r="K16" i="3"/>
  <c r="K38" i="3"/>
  <c r="K397" i="3"/>
  <c r="K369" i="3"/>
  <c r="K299" i="3"/>
  <c r="K234" i="3"/>
  <c r="K170" i="3"/>
  <c r="K130" i="3"/>
  <c r="K261" i="3"/>
  <c r="K365" i="3"/>
  <c r="K287" i="3"/>
  <c r="K379" i="3"/>
  <c r="K52" i="3"/>
  <c r="K259" i="3"/>
  <c r="K4" i="3"/>
  <c r="K225" i="3"/>
  <c r="K26" i="3"/>
  <c r="K391" i="3"/>
  <c r="K385" i="3"/>
  <c r="K355" i="3"/>
  <c r="K162" i="3"/>
  <c r="K118" i="3"/>
  <c r="K74" i="3"/>
  <c r="K400" i="3"/>
  <c r="K253" i="3"/>
  <c r="K212" i="3"/>
  <c r="K286" i="3"/>
  <c r="K251" i="3"/>
  <c r="K215" i="3"/>
  <c r="K209" i="3"/>
  <c r="K174" i="3"/>
  <c r="K50" i="3"/>
  <c r="K24" i="3"/>
  <c r="K293" i="3"/>
  <c r="K36" i="3"/>
  <c r="K237" i="3"/>
  <c r="K221" i="3"/>
  <c r="K377" i="3"/>
  <c r="K351" i="3"/>
  <c r="K315" i="3"/>
  <c r="K258" i="3"/>
  <c r="K166" i="3"/>
  <c r="K316" i="3"/>
  <c r="K235" i="3"/>
  <c r="K146" i="3"/>
  <c r="K219" i="3"/>
  <c r="K200" i="3"/>
  <c r="K122" i="3"/>
  <c r="K317" i="3"/>
  <c r="K199" i="3"/>
  <c r="K148" i="3"/>
  <c r="K243" i="3"/>
  <c r="K82" i="3"/>
  <c r="K281" i="3"/>
  <c r="K84" i="3"/>
  <c r="K63" i="3"/>
  <c r="K228" i="3"/>
  <c r="K395" i="3"/>
  <c r="K81" i="3"/>
  <c r="K87" i="3"/>
  <c r="K303" i="3"/>
  <c r="K119" i="3"/>
  <c r="K394" i="3"/>
  <c r="K153" i="3"/>
  <c r="K163" i="3"/>
  <c r="K278" i="3"/>
  <c r="K53" i="3"/>
  <c r="K362" i="3"/>
  <c r="K167" i="3"/>
  <c r="K389" i="3"/>
  <c r="K382" i="3"/>
  <c r="K75" i="3"/>
  <c r="K328" i="3"/>
  <c r="K334" i="3"/>
  <c r="K197" i="3"/>
  <c r="K46" i="3"/>
  <c r="K347" i="3"/>
  <c r="K19" i="3"/>
  <c r="K208" i="3"/>
  <c r="K327" i="3"/>
  <c r="K307" i="3"/>
  <c r="K47" i="3"/>
  <c r="K336" i="3"/>
  <c r="K161" i="3"/>
  <c r="K79" i="3"/>
  <c r="K372" i="3"/>
  <c r="K326" i="3"/>
  <c r="K89" i="3"/>
  <c r="K109" i="3"/>
  <c r="K214" i="3"/>
  <c r="K294" i="3"/>
  <c r="K73" i="3"/>
  <c r="K179" i="3"/>
  <c r="K101" i="3"/>
  <c r="K364" i="3"/>
  <c r="K388" i="3"/>
  <c r="K269" i="3"/>
  <c r="K11" i="3"/>
  <c r="K376" i="3"/>
  <c r="K292" i="3"/>
  <c r="K156" i="3"/>
  <c r="K171" i="3"/>
  <c r="K97" i="3"/>
  <c r="K238" i="3"/>
  <c r="K368" i="3"/>
  <c r="K325" i="3"/>
  <c r="K3" i="3"/>
  <c r="K343" i="3"/>
  <c r="K129" i="3"/>
  <c r="K276" i="3"/>
  <c r="K25" i="3"/>
  <c r="K159" i="3"/>
  <c r="K262" i="3"/>
  <c r="K37" i="3"/>
  <c r="K390" i="3"/>
  <c r="K121" i="3"/>
  <c r="K211" i="3"/>
  <c r="K85" i="3"/>
  <c r="K342" i="3"/>
  <c r="K92" i="3"/>
  <c r="K112" i="3"/>
  <c r="K125" i="3"/>
  <c r="K88" i="3"/>
  <c r="K105" i="3"/>
  <c r="K136" i="3"/>
  <c r="K398" i="3"/>
  <c r="K230" i="3"/>
  <c r="K222" i="3"/>
  <c r="K310" i="3"/>
  <c r="K96" i="3"/>
  <c r="K72" i="3"/>
  <c r="K302" i="3"/>
  <c r="K224" i="3"/>
  <c r="K5" i="3"/>
  <c r="K308" i="3"/>
  <c r="K110" i="3"/>
  <c r="K107" i="3"/>
  <c r="K244" i="3"/>
  <c r="K236" i="3"/>
  <c r="K366" i="3"/>
  <c r="K78" i="3"/>
  <c r="K220" i="3"/>
  <c r="K149" i="3"/>
  <c r="K246" i="3"/>
  <c r="K324" i="3"/>
  <c r="K216" i="3"/>
  <c r="K213" i="3"/>
  <c r="K43" i="3"/>
  <c r="K254" i="3"/>
  <c r="K141" i="3"/>
  <c r="K137" i="3"/>
  <c r="K49" i="3"/>
  <c r="K113" i="3"/>
  <c r="K145" i="3"/>
  <c r="K186" i="3"/>
  <c r="K15" i="3"/>
  <c r="K31" i="3"/>
  <c r="K184" i="3"/>
  <c r="K229" i="3"/>
  <c r="K275" i="3"/>
  <c r="K182" i="3"/>
  <c r="K257" i="3"/>
  <c r="K383" i="3"/>
  <c r="K245" i="3"/>
  <c r="K150" i="3"/>
  <c r="K291" i="3"/>
  <c r="K329" i="3"/>
  <c r="K103" i="3"/>
  <c r="K191" i="3"/>
  <c r="K23" i="3"/>
  <c r="K7" i="3"/>
  <c r="K114" i="3"/>
  <c r="K335" i="3"/>
  <c r="K341" i="3"/>
  <c r="K353" i="3"/>
  <c r="K282" i="3"/>
  <c r="K320" i="3"/>
  <c r="K348" i="3"/>
  <c r="K185" i="3"/>
  <c r="K86" i="3"/>
  <c r="K339" i="3"/>
  <c r="K311" i="3"/>
  <c r="K271" i="3"/>
  <c r="K313" i="3"/>
  <c r="K255" i="3"/>
  <c r="K332" i="3"/>
  <c r="K55" i="3"/>
  <c r="K399" i="3"/>
  <c r="K359" i="3"/>
  <c r="K188" i="3"/>
  <c r="K304" i="3"/>
  <c r="K6" i="3"/>
  <c r="K102" i="3"/>
  <c r="K132" i="3"/>
  <c r="K58" i="3"/>
  <c r="K333" i="3"/>
  <c r="K295" i="3"/>
  <c r="K297" i="3"/>
  <c r="K300" i="3"/>
  <c r="K83" i="3"/>
  <c r="K71" i="3"/>
  <c r="K39" i="3"/>
  <c r="K42" i="3"/>
  <c r="K380" i="3"/>
  <c r="K296" i="3"/>
  <c r="K283" i="3"/>
  <c r="K207" i="3"/>
  <c r="K387" i="3"/>
  <c r="K61" i="3"/>
  <c r="K284" i="3"/>
  <c r="K306" i="3"/>
  <c r="K29" i="3"/>
  <c r="K35" i="3"/>
  <c r="K100" i="3"/>
  <c r="K64" i="3"/>
  <c r="K223" i="3"/>
  <c r="K242" i="3"/>
  <c r="K285" i="3"/>
  <c r="K337" i="3"/>
  <c r="K290" i="3"/>
  <c r="K13" i="3"/>
  <c r="K18" i="3"/>
  <c r="K138" i="3"/>
  <c r="K10" i="3"/>
  <c r="K279" i="3"/>
  <c r="K298" i="3"/>
  <c r="K240" i="3"/>
  <c r="K22" i="3"/>
  <c r="K76" i="3"/>
  <c r="K77" i="3"/>
  <c r="K350" i="3"/>
  <c r="K158" i="3"/>
  <c r="K318" i="3"/>
  <c r="K93" i="3"/>
  <c r="K181" i="3"/>
  <c r="K20" i="3"/>
  <c r="K338" i="3"/>
  <c r="K133" i="3"/>
  <c r="K144" i="3"/>
  <c r="K260" i="3"/>
  <c r="K252" i="3"/>
  <c r="K9" i="3"/>
  <c r="K94" i="3"/>
  <c r="K354" i="3"/>
  <c r="K91" i="3"/>
  <c r="K386" i="3"/>
  <c r="K44" i="3"/>
  <c r="K157" i="3"/>
  <c r="K195" i="3"/>
  <c r="K30" i="3"/>
  <c r="O384" i="2"/>
  <c r="O96" i="2"/>
  <c r="O192" i="2"/>
  <c r="O88" i="2"/>
  <c r="O144" i="2"/>
  <c r="O200" i="2"/>
  <c r="O104" i="2"/>
  <c r="I108" i="1" s="1"/>
  <c r="O120" i="2"/>
  <c r="O40" i="2"/>
  <c r="I48" i="1" s="1"/>
  <c r="O32" i="2"/>
  <c r="O24" i="2"/>
  <c r="I24" i="1" s="1"/>
  <c r="O80" i="2"/>
  <c r="O136" i="2"/>
  <c r="O56" i="2"/>
  <c r="O16" i="2"/>
  <c r="I15" i="1" s="1"/>
  <c r="O72" i="2"/>
  <c r="O123" i="2"/>
  <c r="O251" i="2"/>
  <c r="I247" i="1" s="1"/>
  <c r="O91" i="2"/>
  <c r="O187" i="2"/>
  <c r="O283" i="2"/>
  <c r="O27" i="2"/>
  <c r="O155" i="2"/>
  <c r="O347" i="2"/>
  <c r="O59" i="2"/>
  <c r="O219" i="2"/>
  <c r="O315" i="2"/>
  <c r="O379" i="2"/>
  <c r="O3" i="2"/>
  <c r="O35" i="2"/>
  <c r="O67" i="2"/>
  <c r="O99" i="2"/>
  <c r="I97" i="1" s="1"/>
  <c r="O131" i="2"/>
  <c r="I150" i="1" s="1"/>
  <c r="O163" i="2"/>
  <c r="O195" i="2"/>
  <c r="I203" i="1" s="1"/>
  <c r="O227" i="2"/>
  <c r="O259" i="2"/>
  <c r="O291" i="2"/>
  <c r="O323" i="2"/>
  <c r="O355" i="2"/>
  <c r="O387" i="2"/>
  <c r="O395" i="2"/>
  <c r="O267" i="2"/>
  <c r="O139" i="2"/>
  <c r="O11" i="2"/>
  <c r="O338" i="2"/>
  <c r="O274" i="2"/>
  <c r="O210" i="2"/>
  <c r="O146" i="2"/>
  <c r="O82" i="2"/>
  <c r="O18" i="2"/>
  <c r="O281" i="2"/>
  <c r="I288" i="1" s="1"/>
  <c r="O217" i="2"/>
  <c r="O153" i="2"/>
  <c r="I170" i="1" s="1"/>
  <c r="O89" i="2"/>
  <c r="O25" i="2"/>
  <c r="O295" i="2"/>
  <c r="O398" i="2"/>
  <c r="O334" i="2"/>
  <c r="O270" i="2"/>
  <c r="O206" i="2"/>
  <c r="I182" i="1" s="1"/>
  <c r="O142" i="2"/>
  <c r="O78" i="2"/>
  <c r="O14" i="2"/>
  <c r="I14" i="1" s="1"/>
  <c r="O127" i="2"/>
  <c r="O357" i="2"/>
  <c r="O293" i="2"/>
  <c r="I308" i="1" s="1"/>
  <c r="O229" i="2"/>
  <c r="O165" i="2"/>
  <c r="I213" i="1" s="1"/>
  <c r="O101" i="2"/>
  <c r="O37" i="2"/>
  <c r="O327" i="2"/>
  <c r="O396" i="2"/>
  <c r="O332" i="2"/>
  <c r="O268" i="2"/>
  <c r="O204" i="2"/>
  <c r="O140" i="2"/>
  <c r="O76" i="2"/>
  <c r="O12" i="2"/>
  <c r="I13" i="1" s="1"/>
  <c r="O247" i="2"/>
  <c r="O359" i="2"/>
  <c r="O103" i="2"/>
  <c r="O51" i="2"/>
  <c r="I68" i="1" s="1"/>
  <c r="O234" i="2"/>
  <c r="I194" i="1" s="1"/>
  <c r="O305" i="2"/>
  <c r="O113" i="2"/>
  <c r="O294" i="2"/>
  <c r="O263" i="2"/>
  <c r="O125" i="2"/>
  <c r="O95" i="2"/>
  <c r="O164" i="2"/>
  <c r="I175" i="1" s="1"/>
  <c r="O319" i="2"/>
  <c r="I320" i="1" s="1"/>
  <c r="F15" i="6" s="1"/>
  <c r="O371" i="2"/>
  <c r="O243" i="2"/>
  <c r="O115" i="2"/>
  <c r="I134" i="1" s="1"/>
  <c r="O394" i="2"/>
  <c r="O330" i="2"/>
  <c r="O266" i="2"/>
  <c r="O202" i="2"/>
  <c r="I168" i="1" s="1"/>
  <c r="F29" i="6" s="1"/>
  <c r="O138" i="2"/>
  <c r="O74" i="2"/>
  <c r="I65" i="1" s="1"/>
  <c r="O10" i="2"/>
  <c r="I11" i="1" s="1"/>
  <c r="O273" i="2"/>
  <c r="O209" i="2"/>
  <c r="O145" i="2"/>
  <c r="O81" i="2"/>
  <c r="I90" i="1" s="1"/>
  <c r="O17" i="2"/>
  <c r="O255" i="2"/>
  <c r="I285" i="1" s="1"/>
  <c r="O390" i="2"/>
  <c r="O326" i="2"/>
  <c r="O262" i="2"/>
  <c r="I298" i="1" s="1"/>
  <c r="F31" i="6" s="1"/>
  <c r="O198" i="2"/>
  <c r="O134" i="2"/>
  <c r="I143" i="1" s="1"/>
  <c r="O70" i="2"/>
  <c r="I56" i="1" s="1"/>
  <c r="O6" i="2"/>
  <c r="O79" i="2"/>
  <c r="O349" i="2"/>
  <c r="I347" i="1" s="1"/>
  <c r="F24" i="6" s="1"/>
  <c r="O285" i="2"/>
  <c r="O221" i="2"/>
  <c r="O157" i="2"/>
  <c r="O93" i="2"/>
  <c r="O29" i="2"/>
  <c r="I26" i="1" s="1"/>
  <c r="O287" i="2"/>
  <c r="O388" i="2"/>
  <c r="I372" i="1" s="1"/>
  <c r="O324" i="2"/>
  <c r="I322" i="1" s="1"/>
  <c r="O260" i="2"/>
  <c r="I266" i="1" s="1"/>
  <c r="F16" i="6" s="1"/>
  <c r="O196" i="2"/>
  <c r="I210" i="1" s="1"/>
  <c r="O132" i="2"/>
  <c r="I117" i="1" s="1"/>
  <c r="O68" i="2"/>
  <c r="I66" i="1" s="1"/>
  <c r="O4" i="2"/>
  <c r="O175" i="2"/>
  <c r="O343" i="2"/>
  <c r="O63" i="2"/>
  <c r="I75" i="1" s="1"/>
  <c r="O307" i="2"/>
  <c r="I335" i="1" s="1"/>
  <c r="O106" i="2"/>
  <c r="O177" i="2"/>
  <c r="I178" i="1" s="1"/>
  <c r="O71" i="2"/>
  <c r="O230" i="2"/>
  <c r="O38" i="2"/>
  <c r="I46" i="1" s="1"/>
  <c r="O189" i="2"/>
  <c r="I216" i="1" s="1"/>
  <c r="O356" i="2"/>
  <c r="O39" i="2"/>
  <c r="O363" i="2"/>
  <c r="O235" i="2"/>
  <c r="O107" i="2"/>
  <c r="O386" i="2"/>
  <c r="O322" i="2"/>
  <c r="O258" i="2"/>
  <c r="I215" i="1" s="1"/>
  <c r="O194" i="2"/>
  <c r="I193" i="1" s="1"/>
  <c r="O130" i="2"/>
  <c r="I104" i="1" s="1"/>
  <c r="O66" i="2"/>
  <c r="O329" i="2"/>
  <c r="O265" i="2"/>
  <c r="O201" i="2"/>
  <c r="O137" i="2"/>
  <c r="O73" i="2"/>
  <c r="O9" i="2"/>
  <c r="O199" i="2"/>
  <c r="I209" i="1" s="1"/>
  <c r="O382" i="2"/>
  <c r="O318" i="2"/>
  <c r="I277" i="1" s="1"/>
  <c r="O254" i="2"/>
  <c r="O190" i="2"/>
  <c r="I173" i="1" s="1"/>
  <c r="O126" i="2"/>
  <c r="I151" i="1" s="1"/>
  <c r="O62" i="2"/>
  <c r="O393" i="2"/>
  <c r="O7" i="2"/>
  <c r="O341" i="2"/>
  <c r="O277" i="2"/>
  <c r="I305" i="1" s="1"/>
  <c r="F19" i="6" s="1"/>
  <c r="O213" i="2"/>
  <c r="I218" i="1" s="1"/>
  <c r="O149" i="2"/>
  <c r="O85" i="2"/>
  <c r="O21" i="2"/>
  <c r="O231" i="2"/>
  <c r="O380" i="2"/>
  <c r="O316" i="2"/>
  <c r="O252" i="2"/>
  <c r="O188" i="2"/>
  <c r="O124" i="2"/>
  <c r="O60" i="2"/>
  <c r="O377" i="2"/>
  <c r="I391" i="1" s="1"/>
  <c r="O159" i="2"/>
  <c r="I122" i="1" s="1"/>
  <c r="O271" i="2"/>
  <c r="O23" i="2"/>
  <c r="O362" i="2"/>
  <c r="O170" i="2"/>
  <c r="O241" i="2"/>
  <c r="O49" i="2"/>
  <c r="O358" i="2"/>
  <c r="O102" i="2"/>
  <c r="I113" i="1" s="1"/>
  <c r="F12" i="6" s="1"/>
  <c r="O317" i="2"/>
  <c r="O61" i="2"/>
  <c r="I72" i="1" s="1"/>
  <c r="O292" i="2"/>
  <c r="O36" i="2"/>
  <c r="I33" i="1" s="1"/>
  <c r="O339" i="2"/>
  <c r="O211" i="2"/>
  <c r="I146" i="1" s="1"/>
  <c r="O83" i="2"/>
  <c r="O378" i="2"/>
  <c r="O314" i="2"/>
  <c r="I331" i="1" s="1"/>
  <c r="O250" i="2"/>
  <c r="O186" i="2"/>
  <c r="O122" i="2"/>
  <c r="O58" i="2"/>
  <c r="I49" i="1" s="1"/>
  <c r="O321" i="2"/>
  <c r="I290" i="1" s="1"/>
  <c r="O257" i="2"/>
  <c r="O193" i="2"/>
  <c r="I101" i="1" s="1"/>
  <c r="O129" i="2"/>
  <c r="O65" i="2"/>
  <c r="I80" i="1" s="1"/>
  <c r="O385" i="2"/>
  <c r="O143" i="2"/>
  <c r="O374" i="2"/>
  <c r="I376" i="1" s="1"/>
  <c r="O310" i="2"/>
  <c r="I272" i="1" s="1"/>
  <c r="O246" i="2"/>
  <c r="I227" i="1" s="1"/>
  <c r="O182" i="2"/>
  <c r="I155" i="1" s="1"/>
  <c r="O118" i="2"/>
  <c r="O54" i="2"/>
  <c r="O383" i="2"/>
  <c r="O397" i="2"/>
  <c r="I400" i="1" s="1"/>
  <c r="O333" i="2"/>
  <c r="I295" i="1" s="1"/>
  <c r="O269" i="2"/>
  <c r="I226" i="1" s="1"/>
  <c r="O205" i="2"/>
  <c r="I287" i="1" s="1"/>
  <c r="O141" i="2"/>
  <c r="O77" i="2"/>
  <c r="O13" i="2"/>
  <c r="O167" i="2"/>
  <c r="O372" i="2"/>
  <c r="O308" i="2"/>
  <c r="O244" i="2"/>
  <c r="O180" i="2"/>
  <c r="O116" i="2"/>
  <c r="O52" i="2"/>
  <c r="O337" i="2"/>
  <c r="O111" i="2"/>
  <c r="O239" i="2"/>
  <c r="I230" i="1" s="1"/>
  <c r="O179" i="2"/>
  <c r="O298" i="2"/>
  <c r="I318" i="1" s="1"/>
  <c r="O42" i="2"/>
  <c r="I32" i="1" s="1"/>
  <c r="O399" i="2"/>
  <c r="O166" i="2"/>
  <c r="O381" i="2"/>
  <c r="O361" i="2"/>
  <c r="O228" i="2"/>
  <c r="O100" i="2"/>
  <c r="O207" i="2"/>
  <c r="O331" i="2"/>
  <c r="I362" i="1" s="1"/>
  <c r="O203" i="2"/>
  <c r="O75" i="2"/>
  <c r="I78" i="1" s="1"/>
  <c r="O370" i="2"/>
  <c r="O306" i="2"/>
  <c r="O242" i="2"/>
  <c r="I220" i="1" s="1"/>
  <c r="O178" i="2"/>
  <c r="I199" i="1" s="1"/>
  <c r="O114" i="2"/>
  <c r="O50" i="2"/>
  <c r="I54" i="1" s="1"/>
  <c r="O313" i="2"/>
  <c r="I306" i="1" s="1"/>
  <c r="O249" i="2"/>
  <c r="O185" i="2"/>
  <c r="O121" i="2"/>
  <c r="O57" i="2"/>
  <c r="O369" i="2"/>
  <c r="I386" i="1" s="1"/>
  <c r="O135" i="2"/>
  <c r="O366" i="2"/>
  <c r="O302" i="2"/>
  <c r="O238" i="2"/>
  <c r="I265" i="1" s="1"/>
  <c r="O174" i="2"/>
  <c r="O110" i="2"/>
  <c r="I162" i="1" s="1"/>
  <c r="O46" i="2"/>
  <c r="O335" i="2"/>
  <c r="O389" i="2"/>
  <c r="O325" i="2"/>
  <c r="I296" i="1" s="1"/>
  <c r="O261" i="2"/>
  <c r="I280" i="1" s="1"/>
  <c r="O197" i="2"/>
  <c r="O133" i="2"/>
  <c r="O69" i="2"/>
  <c r="O5" i="2"/>
  <c r="O119" i="2"/>
  <c r="O364" i="2"/>
  <c r="O300" i="2"/>
  <c r="O236" i="2"/>
  <c r="O172" i="2"/>
  <c r="I198" i="1" s="1"/>
  <c r="O108" i="2"/>
  <c r="I169" i="1" s="1"/>
  <c r="O44" i="2"/>
  <c r="O367" i="2"/>
  <c r="O55" i="2"/>
  <c r="I55" i="1" s="1"/>
  <c r="O223" i="2"/>
  <c r="O299" i="2"/>
  <c r="O171" i="2"/>
  <c r="O43" i="2"/>
  <c r="O354" i="2"/>
  <c r="O290" i="2"/>
  <c r="O226" i="2"/>
  <c r="I238" i="1" s="1"/>
  <c r="O162" i="2"/>
  <c r="O98" i="2"/>
  <c r="O34" i="2"/>
  <c r="I40" i="1" s="1"/>
  <c r="F26" i="6" s="1"/>
  <c r="O297" i="2"/>
  <c r="O233" i="2"/>
  <c r="O169" i="2"/>
  <c r="I167" i="1" s="1"/>
  <c r="O105" i="2"/>
  <c r="O41" i="2"/>
  <c r="I39" i="1" s="1"/>
  <c r="O351" i="2"/>
  <c r="O47" i="2"/>
  <c r="I59" i="1" s="1"/>
  <c r="O350" i="2"/>
  <c r="O286" i="2"/>
  <c r="O222" i="2"/>
  <c r="O158" i="2"/>
  <c r="I200" i="1" s="1"/>
  <c r="O94" i="2"/>
  <c r="O30" i="2"/>
  <c r="I30" i="1" s="1"/>
  <c r="O215" i="2"/>
  <c r="O373" i="2"/>
  <c r="O309" i="2"/>
  <c r="O245" i="2"/>
  <c r="O181" i="2"/>
  <c r="O117" i="2"/>
  <c r="O53" i="2"/>
  <c r="O353" i="2"/>
  <c r="O87" i="2"/>
  <c r="I74" i="1" s="1"/>
  <c r="O348" i="2"/>
  <c r="I269" i="1" s="1"/>
  <c r="F11" i="6" s="1"/>
  <c r="O284" i="2"/>
  <c r="I314" i="1" s="1"/>
  <c r="O220" i="2"/>
  <c r="O156" i="2"/>
  <c r="O92" i="2"/>
  <c r="O28" i="2"/>
  <c r="I38" i="1" s="1"/>
  <c r="O303" i="2"/>
  <c r="O345" i="2"/>
  <c r="I358" i="1" s="1"/>
  <c r="O191" i="2"/>
  <c r="I192" i="1" s="1"/>
  <c r="O275" i="2"/>
  <c r="I278" i="1" s="1"/>
  <c r="O147" i="2"/>
  <c r="O19" i="2"/>
  <c r="O346" i="2"/>
  <c r="O282" i="2"/>
  <c r="I274" i="1" s="1"/>
  <c r="O218" i="2"/>
  <c r="O154" i="2"/>
  <c r="I153" i="1" s="1"/>
  <c r="O90" i="2"/>
  <c r="I109" i="1" s="1"/>
  <c r="O26" i="2"/>
  <c r="I27" i="1" s="1"/>
  <c r="O289" i="2"/>
  <c r="O225" i="2"/>
  <c r="I263" i="1" s="1"/>
  <c r="O161" i="2"/>
  <c r="O97" i="2"/>
  <c r="O33" i="2"/>
  <c r="O311" i="2"/>
  <c r="O15" i="2"/>
  <c r="O342" i="2"/>
  <c r="O278" i="2"/>
  <c r="I281" i="1" s="1"/>
  <c r="O214" i="2"/>
  <c r="O150" i="2"/>
  <c r="O86" i="2"/>
  <c r="O22" i="2"/>
  <c r="O183" i="2"/>
  <c r="I163" i="1" s="1"/>
  <c r="O365" i="2"/>
  <c r="I349" i="1" s="1"/>
  <c r="O301" i="2"/>
  <c r="I310" i="1" s="1"/>
  <c r="O237" i="2"/>
  <c r="O173" i="2"/>
  <c r="O109" i="2"/>
  <c r="O45" i="2"/>
  <c r="I45" i="1" s="1"/>
  <c r="O375" i="2"/>
  <c r="I330" i="1" s="1"/>
  <c r="O31" i="2"/>
  <c r="O340" i="2"/>
  <c r="O276" i="2"/>
  <c r="I313" i="1" s="1"/>
  <c r="O212" i="2"/>
  <c r="I249" i="1" s="1"/>
  <c r="O148" i="2"/>
  <c r="I171" i="1" s="1"/>
  <c r="O84" i="2"/>
  <c r="O20" i="2"/>
  <c r="O279" i="2"/>
  <c r="O391" i="2"/>
  <c r="I395" i="1" s="1"/>
  <c r="O253" i="2"/>
  <c r="I267" i="1" s="1"/>
  <c r="O151" i="2"/>
  <c r="O64" i="2"/>
  <c r="I42" i="1" s="1"/>
  <c r="O320" i="2"/>
  <c r="I346" i="1" s="1"/>
  <c r="F5" i="6" s="1"/>
  <c r="O256" i="2"/>
  <c r="I217" i="1" s="1"/>
  <c r="O8" i="2"/>
  <c r="O304" i="2"/>
  <c r="O360" i="2"/>
  <c r="O352" i="2"/>
  <c r="O344" i="2"/>
  <c r="I239" i="1" s="1"/>
  <c r="O400" i="2"/>
  <c r="I355" i="1" s="1"/>
  <c r="O128" i="2"/>
  <c r="I119" i="1" s="1"/>
  <c r="O376" i="2"/>
  <c r="I368" i="1" s="1"/>
  <c r="O240" i="2"/>
  <c r="O296" i="2"/>
  <c r="O288" i="2"/>
  <c r="I231" i="1" s="1"/>
  <c r="O280" i="2"/>
  <c r="O336" i="2"/>
  <c r="I361" i="1" s="1"/>
  <c r="O392" i="2"/>
  <c r="I398" i="1" s="1"/>
  <c r="F32" i="6" s="1"/>
  <c r="O312" i="2"/>
  <c r="O176" i="2"/>
  <c r="I174" i="1" s="1"/>
  <c r="O232" i="2"/>
  <c r="I228" i="1" s="1"/>
  <c r="O224" i="2"/>
  <c r="O216" i="2"/>
  <c r="I224" i="1" s="1"/>
  <c r="O272" i="2"/>
  <c r="O328" i="2"/>
  <c r="I329" i="1" s="1"/>
  <c r="O248" i="2"/>
  <c r="O112" i="2"/>
  <c r="I88" i="1" s="1"/>
  <c r="F7" i="6" s="1"/>
  <c r="O168" i="2"/>
  <c r="I185" i="1" s="1"/>
  <c r="O160" i="2"/>
  <c r="O152" i="2"/>
  <c r="O208" i="2"/>
  <c r="O264" i="2"/>
  <c r="O184" i="2"/>
  <c r="O48" i="2"/>
  <c r="I294" i="1" l="1"/>
  <c r="N294" i="1" s="1"/>
  <c r="I86" i="1"/>
  <c r="I133" i="1"/>
  <c r="I152" i="1"/>
  <c r="I70" i="1"/>
  <c r="I144" i="1"/>
  <c r="I345" i="1"/>
  <c r="N345" i="1" s="1"/>
  <c r="I301" i="1"/>
  <c r="T78" i="1" s="1"/>
  <c r="I212" i="1"/>
  <c r="N212" i="1" s="1"/>
  <c r="I211" i="1"/>
  <c r="I64" i="1"/>
  <c r="F30" i="6" s="1"/>
  <c r="I112" i="1"/>
  <c r="I392" i="1"/>
  <c r="I393" i="1"/>
  <c r="I147" i="1"/>
  <c r="N147" i="1" s="1"/>
  <c r="I160" i="1"/>
  <c r="I177" i="1"/>
  <c r="N177" i="1" s="1"/>
  <c r="I303" i="1"/>
  <c r="I181" i="1"/>
  <c r="I270" i="1"/>
  <c r="I339" i="1"/>
  <c r="I232" i="1"/>
  <c r="I219" i="1"/>
  <c r="I5" i="1"/>
  <c r="F28" i="6" s="1"/>
  <c r="I28" i="1"/>
  <c r="T343" i="1" s="1"/>
  <c r="I137" i="1"/>
  <c r="I235" i="1"/>
  <c r="I260" i="1"/>
  <c r="I350" i="1"/>
  <c r="I264" i="1"/>
  <c r="I96" i="1"/>
  <c r="T276" i="1" s="1"/>
  <c r="I124" i="1"/>
  <c r="N124" i="1" s="1"/>
  <c r="I375" i="1"/>
  <c r="I382" i="1"/>
  <c r="I284" i="1"/>
  <c r="I242" i="1"/>
  <c r="I8" i="1"/>
  <c r="I180" i="1"/>
  <c r="I328" i="1"/>
  <c r="I337" i="1"/>
  <c r="T59" i="1" s="1"/>
  <c r="I136" i="1"/>
  <c r="I105" i="1"/>
  <c r="I154" i="1"/>
  <c r="I50" i="1"/>
  <c r="I222" i="1"/>
  <c r="I223" i="1"/>
  <c r="I225" i="1"/>
  <c r="N225" i="1" s="1"/>
  <c r="I240" i="1"/>
  <c r="N240" i="1" s="1"/>
  <c r="I187" i="1"/>
  <c r="T274" i="1" s="1"/>
  <c r="I253" i="1"/>
  <c r="F22" i="6" s="1"/>
  <c r="I206" i="1"/>
  <c r="I399" i="1"/>
  <c r="F17" i="6" s="1"/>
  <c r="I276" i="1"/>
  <c r="I397" i="1"/>
  <c r="N397" i="1" s="1"/>
  <c r="I9" i="1"/>
  <c r="T252" i="1" s="1"/>
  <c r="I341" i="1"/>
  <c r="I385" i="1"/>
  <c r="I127" i="1"/>
  <c r="I279" i="1"/>
  <c r="I10" i="1"/>
  <c r="I299" i="1"/>
  <c r="I204" i="1"/>
  <c r="I237" i="1"/>
  <c r="N237" i="1" s="1"/>
  <c r="I149" i="1"/>
  <c r="I19" i="1"/>
  <c r="I69" i="1"/>
  <c r="I57" i="1"/>
  <c r="I343" i="1"/>
  <c r="F8" i="6" s="1"/>
  <c r="I83" i="1"/>
  <c r="I148" i="1"/>
  <c r="I378" i="1"/>
  <c r="N378" i="1" s="1"/>
  <c r="I100" i="1"/>
  <c r="F6" i="6" s="1"/>
  <c r="I82" i="1"/>
  <c r="I304" i="1"/>
  <c r="I60" i="1"/>
  <c r="I61" i="1"/>
  <c r="N61" i="1" s="1"/>
  <c r="I22" i="1"/>
  <c r="I18" i="1"/>
  <c r="I92" i="1"/>
  <c r="T272" i="1" s="1"/>
  <c r="I327" i="1"/>
  <c r="I129" i="1"/>
  <c r="I241" i="1"/>
  <c r="I255" i="1"/>
  <c r="I125" i="1"/>
  <c r="I359" i="1"/>
  <c r="I128" i="1"/>
  <c r="I130" i="1"/>
  <c r="N130" i="1" s="1"/>
  <c r="I370" i="1"/>
  <c r="N370" i="1" s="1"/>
  <c r="I360" i="1"/>
  <c r="I25" i="1"/>
  <c r="I292" i="1"/>
  <c r="I348" i="1"/>
  <c r="I302" i="1"/>
  <c r="I244" i="1"/>
  <c r="I205" i="1"/>
  <c r="I188" i="1"/>
  <c r="N188" i="1" s="1"/>
  <c r="I37" i="1"/>
  <c r="I141" i="1"/>
  <c r="I369" i="1"/>
  <c r="I43" i="1"/>
  <c r="F9" i="6" s="1"/>
  <c r="I262" i="1"/>
  <c r="I159" i="1"/>
  <c r="I67" i="1"/>
  <c r="I126" i="1"/>
  <c r="I123" i="1"/>
  <c r="I233" i="1"/>
  <c r="I44" i="1"/>
  <c r="I3" i="1"/>
  <c r="T361" i="1" s="1"/>
  <c r="I315" i="1"/>
  <c r="I89" i="1"/>
  <c r="I394" i="1"/>
  <c r="N394" i="1" s="1"/>
  <c r="I161" i="1"/>
  <c r="I338" i="1"/>
  <c r="I94" i="1"/>
  <c r="I293" i="1"/>
  <c r="I259" i="1"/>
  <c r="F10" i="6" s="1"/>
  <c r="I365" i="1"/>
  <c r="I286" i="1"/>
  <c r="I190" i="1"/>
  <c r="I352" i="1"/>
  <c r="N352" i="1" s="1"/>
  <c r="I29" i="1"/>
  <c r="I325" i="1"/>
  <c r="T150" i="1"/>
  <c r="I257" i="1"/>
  <c r="I390" i="1"/>
  <c r="N390" i="1" s="1"/>
  <c r="I176" i="1"/>
  <c r="I118" i="1"/>
  <c r="I297" i="1"/>
  <c r="I84" i="1"/>
  <c r="T75" i="1" s="1"/>
  <c r="I214" i="1"/>
  <c r="I307" i="1"/>
  <c r="I258" i="1"/>
  <c r="T303" i="1" s="1"/>
  <c r="I183" i="1"/>
  <c r="I164" i="1"/>
  <c r="N164" i="1" s="1"/>
  <c r="I201" i="1"/>
  <c r="T201" i="1" s="1"/>
  <c r="I202" i="1"/>
  <c r="T263" i="1" s="1"/>
  <c r="I383" i="1"/>
  <c r="I243" i="1"/>
  <c r="I4" i="1"/>
  <c r="I321" i="1"/>
  <c r="T399" i="1" s="1"/>
  <c r="I85" i="1"/>
  <c r="N85" i="1" s="1"/>
  <c r="I107" i="1"/>
  <c r="I354" i="1"/>
  <c r="T63" i="1" s="1"/>
  <c r="I396" i="1"/>
  <c r="I81" i="1"/>
  <c r="I389" i="1"/>
  <c r="I196" i="1"/>
  <c r="I31" i="1"/>
  <c r="T278" i="1" s="1"/>
  <c r="I156" i="1"/>
  <c r="N156" i="1" s="1"/>
  <c r="I324" i="1"/>
  <c r="I342" i="1"/>
  <c r="T11" i="1" s="1"/>
  <c r="I139" i="1"/>
  <c r="I116" i="1"/>
  <c r="I106" i="1"/>
  <c r="I377" i="1"/>
  <c r="I234" i="1"/>
  <c r="T4" i="1" s="1"/>
  <c r="I251" i="1"/>
  <c r="I17" i="1"/>
  <c r="I316" i="1"/>
  <c r="I73" i="1"/>
  <c r="I172" i="1"/>
  <c r="I236" i="1"/>
  <c r="I323" i="1"/>
  <c r="N323" i="1" s="1"/>
  <c r="I273" i="1"/>
  <c r="I36" i="1"/>
  <c r="I208" i="1"/>
  <c r="I311" i="1"/>
  <c r="T292" i="1" s="1"/>
  <c r="I340" i="1"/>
  <c r="T44" i="1" s="1"/>
  <c r="I353" i="1"/>
  <c r="I6" i="1"/>
  <c r="F2" i="6" s="1"/>
  <c r="I63" i="1"/>
  <c r="I283" i="1"/>
  <c r="T39" i="1" s="1"/>
  <c r="I367" i="1"/>
  <c r="I103" i="1"/>
  <c r="I179" i="1"/>
  <c r="T8" i="1" s="1"/>
  <c r="I166" i="1"/>
  <c r="I245" i="1"/>
  <c r="F34" i="6" s="1"/>
  <c r="I252" i="1"/>
  <c r="I165" i="1"/>
  <c r="I356" i="1"/>
  <c r="N356" i="1" s="1"/>
  <c r="I373" i="1"/>
  <c r="I135" i="1"/>
  <c r="I138" i="1"/>
  <c r="I51" i="1"/>
  <c r="I120" i="1"/>
  <c r="I388" i="1"/>
  <c r="I363" i="1"/>
  <c r="T380" i="1" s="1"/>
  <c r="I189" i="1"/>
  <c r="F13" i="6" s="1"/>
  <c r="I326" i="1"/>
  <c r="I336" i="1"/>
  <c r="I16" i="1"/>
  <c r="N16" i="1" s="1"/>
  <c r="I333" i="1"/>
  <c r="I99" i="1"/>
  <c r="I261" i="1"/>
  <c r="I20" i="1"/>
  <c r="I197" i="1"/>
  <c r="I7" i="1"/>
  <c r="I58" i="1"/>
  <c r="I53" i="1"/>
  <c r="T53" i="1" s="1"/>
  <c r="I268" i="1"/>
  <c r="I351" i="1"/>
  <c r="I145" i="1"/>
  <c r="I195" i="1"/>
  <c r="N195" i="1" s="1"/>
  <c r="I332" i="1"/>
  <c r="I366" i="1"/>
  <c r="N366" i="1" s="1"/>
  <c r="I250" i="1"/>
  <c r="I364" i="1"/>
  <c r="I191" i="1"/>
  <c r="T215" i="1" s="1"/>
  <c r="I291" i="1"/>
  <c r="I23" i="1"/>
  <c r="I374" i="1"/>
  <c r="T373" i="1" s="1"/>
  <c r="I62" i="1"/>
  <c r="I142" i="1"/>
  <c r="I371" i="1"/>
  <c r="I221" i="1"/>
  <c r="T138" i="1" s="1"/>
  <c r="I289" i="1"/>
  <c r="I102" i="1"/>
  <c r="T392" i="1" s="1"/>
  <c r="I114" i="1"/>
  <c r="I93" i="1"/>
  <c r="T362" i="1" s="1"/>
  <c r="I95" i="1"/>
  <c r="I115" i="1"/>
  <c r="I79" i="1"/>
  <c r="I91" i="1"/>
  <c r="T339" i="1" s="1"/>
  <c r="I157" i="1"/>
  <c r="F25" i="6" s="1"/>
  <c r="I186" i="1"/>
  <c r="I380" i="1"/>
  <c r="F33" i="6" s="1"/>
  <c r="I379" i="1"/>
  <c r="I12" i="1"/>
  <c r="T378" i="1" s="1"/>
  <c r="I52" i="1"/>
  <c r="F20" i="6" s="1"/>
  <c r="I357" i="1"/>
  <c r="I387" i="1"/>
  <c r="T36" i="1" s="1"/>
  <c r="I71" i="1"/>
  <c r="F14" i="6" s="1"/>
  <c r="I98" i="1"/>
  <c r="T100" i="1" s="1"/>
  <c r="I254" i="1"/>
  <c r="I246" i="1"/>
  <c r="F18" i="6" s="1"/>
  <c r="I34" i="1"/>
  <c r="I76" i="1"/>
  <c r="F3" i="6" s="1"/>
  <c r="I319" i="1"/>
  <c r="I41" i="1"/>
  <c r="N41" i="1" s="1"/>
  <c r="I184" i="1"/>
  <c r="T67" i="1" s="1"/>
  <c r="I207" i="1"/>
  <c r="I334" i="1"/>
  <c r="T76" i="1" s="1"/>
  <c r="I309" i="1"/>
  <c r="T139" i="1" s="1"/>
  <c r="I344" i="1"/>
  <c r="T253" i="1" s="1"/>
  <c r="T270" i="1"/>
  <c r="I131" i="1"/>
  <c r="T251" i="1" s="1"/>
  <c r="I21" i="1"/>
  <c r="F35" i="6" s="1"/>
  <c r="I132" i="1"/>
  <c r="F27" i="6" s="1"/>
  <c r="I248" i="1"/>
  <c r="T84" i="1" s="1"/>
  <c r="I47" i="1"/>
  <c r="F21" i="6" s="1"/>
  <c r="I77" i="1"/>
  <c r="I140" i="1"/>
  <c r="N140" i="1" s="1"/>
  <c r="I111" i="1"/>
  <c r="T111" i="1" s="1"/>
  <c r="I312" i="1"/>
  <c r="I275" i="1"/>
  <c r="I300" i="1"/>
  <c r="I256" i="1"/>
  <c r="N256" i="1" s="1"/>
  <c r="I121" i="1"/>
  <c r="T56" i="1" s="1"/>
  <c r="I110" i="1"/>
  <c r="T128" i="1" s="1"/>
  <c r="I271" i="1"/>
  <c r="T192" i="1" s="1"/>
  <c r="I282" i="1"/>
  <c r="N282" i="1" s="1"/>
  <c r="T279" i="1"/>
  <c r="T26" i="1"/>
  <c r="T341" i="1"/>
  <c r="T323" i="1"/>
  <c r="I158" i="1"/>
  <c r="T160" i="1" s="1"/>
  <c r="T314" i="1"/>
  <c r="T86" i="1"/>
  <c r="T304" i="1"/>
  <c r="T185" i="1"/>
  <c r="T325" i="1"/>
  <c r="T114" i="1"/>
  <c r="I384" i="1"/>
  <c r="T371" i="1" s="1"/>
  <c r="I229" i="1"/>
  <c r="T171" i="1" s="1"/>
  <c r="T235" i="1"/>
  <c r="T233" i="1"/>
  <c r="T355" i="1"/>
  <c r="I317" i="1"/>
  <c r="F23" i="6" s="1"/>
  <c r="T117" i="1"/>
  <c r="T227" i="1"/>
  <c r="T96" i="1"/>
  <c r="I87" i="1"/>
  <c r="I381" i="1"/>
  <c r="T383" i="1" s="1"/>
  <c r="I35" i="1"/>
  <c r="T179" i="1" s="1"/>
  <c r="T338" i="1"/>
  <c r="T155" i="1"/>
  <c r="T357" i="1"/>
  <c r="T228" i="1"/>
  <c r="T257" i="1"/>
  <c r="T224" i="1"/>
  <c r="T249" i="1"/>
  <c r="T186" i="1"/>
  <c r="T324" i="1"/>
  <c r="T188" i="1"/>
  <c r="T301" i="1"/>
  <c r="T296" i="1"/>
  <c r="T193" i="1"/>
  <c r="T308" i="1"/>
  <c r="T262" i="1"/>
  <c r="T33" i="1"/>
  <c r="T307" i="1"/>
  <c r="T217" i="1"/>
  <c r="T17" i="1"/>
  <c r="T243" i="1"/>
  <c r="T306" i="1"/>
  <c r="T340" i="1"/>
  <c r="T170" i="1"/>
  <c r="T259" i="1"/>
  <c r="T108" i="1"/>
  <c r="T367" i="1"/>
  <c r="T391" i="1"/>
  <c r="T256" i="1"/>
  <c r="T173" i="1"/>
  <c r="T384" i="1"/>
  <c r="T210" i="1"/>
  <c r="T55" i="1"/>
  <c r="T202" i="1"/>
  <c r="T184" i="1"/>
  <c r="T336" i="1"/>
  <c r="T57" i="1"/>
  <c r="T266" i="1"/>
  <c r="T182" i="1"/>
  <c r="T194" i="1"/>
  <c r="T277" i="1"/>
  <c r="T236" i="1"/>
  <c r="T242" i="1"/>
  <c r="T50" i="1"/>
  <c r="T121" i="1"/>
  <c r="T379" i="1"/>
  <c r="T113" i="1"/>
  <c r="T105" i="1"/>
  <c r="T239" i="1"/>
  <c r="T309" i="1"/>
  <c r="T68" i="1"/>
  <c r="T45" i="1"/>
  <c r="T109" i="1"/>
  <c r="T244" i="1"/>
  <c r="T70" i="1"/>
  <c r="T129" i="1"/>
  <c r="T290" i="1"/>
  <c r="T366" i="1"/>
  <c r="T43" i="1"/>
  <c r="T118" i="1"/>
  <c r="N86" i="1"/>
  <c r="N122" i="1"/>
  <c r="N383" i="1"/>
  <c r="N69" i="1"/>
  <c r="N75" i="1"/>
  <c r="N388" i="1"/>
  <c r="N80" i="1"/>
  <c r="N382" i="1"/>
  <c r="N174" i="1"/>
  <c r="N14" i="1"/>
  <c r="N117" i="1"/>
  <c r="N298" i="1"/>
  <c r="N104" i="1"/>
  <c r="N175" i="1"/>
  <c r="N277" i="1"/>
  <c r="N58" i="1"/>
  <c r="N210" i="1"/>
  <c r="N55" i="1"/>
  <c r="N360" i="1"/>
  <c r="N230" i="1"/>
  <c r="N43" i="1"/>
  <c r="N216" i="1"/>
  <c r="N269" i="1"/>
  <c r="N280" i="1"/>
  <c r="N208" i="1"/>
  <c r="N349" i="1"/>
  <c r="N272" i="1"/>
  <c r="N178" i="1"/>
  <c r="N33" i="1"/>
  <c r="N242" i="1"/>
  <c r="N88" i="1"/>
  <c r="N29" i="1"/>
  <c r="N398" i="1"/>
  <c r="N231" i="1"/>
  <c r="N373" i="1"/>
  <c r="N278" i="1"/>
  <c r="N350" i="1"/>
  <c r="N70" i="1"/>
  <c r="N255" i="1"/>
  <c r="N45" i="1"/>
  <c r="N308" i="1"/>
  <c r="N305" i="1"/>
  <c r="N310" i="1"/>
  <c r="N266" i="1"/>
  <c r="N199" i="1"/>
  <c r="N385" i="1"/>
  <c r="N40" i="1"/>
  <c r="N151" i="1"/>
  <c r="N206" i="1"/>
  <c r="N94" i="1"/>
  <c r="N235" i="1"/>
  <c r="N49" i="1"/>
  <c r="N52" i="1"/>
  <c r="N287" i="1"/>
  <c r="N90" i="1"/>
  <c r="N288" i="1"/>
  <c r="N274" i="1"/>
  <c r="N224" i="1"/>
  <c r="N74" i="1"/>
  <c r="N318" i="1"/>
  <c r="N296" i="1"/>
  <c r="N79" i="1"/>
  <c r="N7" i="1"/>
  <c r="N42" i="1"/>
  <c r="N170" i="1"/>
  <c r="N362" i="1"/>
  <c r="N27" i="1"/>
  <c r="N335" i="1"/>
  <c r="N324" i="1"/>
  <c r="N65" i="1"/>
  <c r="N227" i="1"/>
  <c r="N101" i="1"/>
  <c r="N143" i="1"/>
  <c r="N391" i="1"/>
  <c r="N286" i="1"/>
  <c r="N299" i="1"/>
  <c r="N238" i="1"/>
  <c r="N369" i="1"/>
  <c r="N95" i="1"/>
  <c r="N155" i="1"/>
  <c r="N185" i="1"/>
  <c r="N361" i="1"/>
  <c r="N179" i="1"/>
  <c r="N13" i="1"/>
  <c r="N353" i="1"/>
  <c r="L403" i="4"/>
  <c r="L402" i="4"/>
  <c r="K2" i="3"/>
  <c r="O2" i="2"/>
  <c r="J402" i="2"/>
  <c r="J403" i="2"/>
  <c r="T34" i="1" l="1"/>
  <c r="T283" i="1"/>
  <c r="T207" i="1"/>
  <c r="T316" i="1"/>
  <c r="T344" i="1"/>
  <c r="T60" i="1"/>
  <c r="T221" i="1"/>
  <c r="T317" i="1"/>
  <c r="T261" i="1"/>
  <c r="T91" i="1"/>
  <c r="T71" i="1"/>
  <c r="T197" i="1"/>
  <c r="T258" i="1"/>
  <c r="T321" i="1"/>
  <c r="T12" i="1"/>
  <c r="N340" i="1"/>
  <c r="T320" i="1"/>
  <c r="T124" i="1"/>
  <c r="T25" i="1"/>
  <c r="T103" i="1"/>
  <c r="N309" i="1"/>
  <c r="N354" i="1"/>
  <c r="T264" i="1"/>
  <c r="T92" i="1"/>
  <c r="T322" i="1"/>
  <c r="N297" i="1"/>
  <c r="N12" i="1"/>
  <c r="T10" i="1"/>
  <c r="T385" i="1"/>
  <c r="T116" i="1"/>
  <c r="T161" i="1"/>
  <c r="N202" i="1"/>
  <c r="T16" i="1"/>
  <c r="T29" i="1"/>
  <c r="T334" i="1"/>
  <c r="T42" i="1"/>
  <c r="T102" i="1"/>
  <c r="T126" i="1"/>
  <c r="T200" i="1"/>
  <c r="T327" i="1"/>
  <c r="T119" i="1"/>
  <c r="T142" i="1"/>
  <c r="T255" i="1"/>
  <c r="T265" i="1"/>
  <c r="T329" i="1"/>
  <c r="T368" i="1"/>
  <c r="T28" i="1"/>
  <c r="T300" i="1"/>
  <c r="T32" i="1"/>
  <c r="T7" i="1"/>
  <c r="T123" i="1"/>
  <c r="T21" i="1"/>
  <c r="T24" i="1"/>
  <c r="T220" i="1"/>
  <c r="T93" i="1"/>
  <c r="T15" i="1"/>
  <c r="T41" i="1"/>
  <c r="T315" i="1"/>
  <c r="T49" i="1"/>
  <c r="T347" i="1"/>
  <c r="T18" i="1"/>
  <c r="T269" i="1"/>
  <c r="T302" i="1"/>
  <c r="T240" i="1"/>
  <c r="T88" i="1"/>
  <c r="T230" i="1"/>
  <c r="T310" i="1"/>
  <c r="T273" i="1"/>
  <c r="T73" i="1"/>
  <c r="T58" i="1"/>
  <c r="T332" i="1"/>
  <c r="T164" i="1"/>
  <c r="T351" i="1"/>
  <c r="T360" i="1"/>
  <c r="T158" i="1"/>
  <c r="T97" i="1"/>
  <c r="T141" i="1"/>
  <c r="T369" i="1"/>
  <c r="T390" i="1"/>
  <c r="T66" i="1"/>
  <c r="T89" i="1"/>
  <c r="T372" i="1"/>
  <c r="T136" i="1"/>
  <c r="T284" i="1"/>
  <c r="T146" i="1"/>
  <c r="T40" i="1"/>
  <c r="T268" i="1"/>
  <c r="T95" i="1"/>
  <c r="T38" i="1"/>
  <c r="T127" i="1"/>
  <c r="T350" i="1"/>
  <c r="T162" i="1"/>
  <c r="T326" i="1"/>
  <c r="T377" i="1"/>
  <c r="T289" i="1"/>
  <c r="T298" i="1"/>
  <c r="T144" i="1"/>
  <c r="T81" i="1"/>
  <c r="T287" i="1"/>
  <c r="N99" i="1"/>
  <c r="T99" i="1"/>
  <c r="T9" i="1"/>
  <c r="T14" i="1"/>
  <c r="T330" i="1"/>
  <c r="N205" i="1"/>
  <c r="N159" i="1"/>
  <c r="T386" i="1"/>
  <c r="T189" i="1"/>
  <c r="T61" i="1"/>
  <c r="T291" i="1"/>
  <c r="T282" i="1"/>
  <c r="T153" i="1"/>
  <c r="T337" i="1"/>
  <c r="T205" i="1"/>
  <c r="N110" i="1"/>
  <c r="T37" i="1"/>
  <c r="N384" i="1"/>
  <c r="T148" i="1"/>
  <c r="T335" i="1"/>
  <c r="T319" i="1"/>
  <c r="N245" i="1"/>
  <c r="N222" i="1"/>
  <c r="N111" i="1"/>
  <c r="T333" i="1"/>
  <c r="N148" i="1"/>
  <c r="N158" i="1"/>
  <c r="T106" i="1"/>
  <c r="T174" i="1"/>
  <c r="T122" i="1"/>
  <c r="T267" i="1"/>
  <c r="T346" i="1"/>
  <c r="T72" i="1"/>
  <c r="T204" i="1"/>
  <c r="T208" i="1"/>
  <c r="N91" i="1"/>
  <c r="T353" i="1"/>
  <c r="T213" i="1"/>
  <c r="T234" i="1"/>
  <c r="T143" i="1"/>
  <c r="T376" i="1"/>
  <c r="T13" i="1"/>
  <c r="T196" i="1"/>
  <c r="T115" i="1"/>
  <c r="T331" i="1"/>
  <c r="T163" i="1"/>
  <c r="T247" i="1"/>
  <c r="T398" i="1"/>
  <c r="F4" i="6"/>
  <c r="T177" i="1"/>
  <c r="T147" i="1"/>
  <c r="T48" i="1"/>
  <c r="T137" i="1"/>
  <c r="T52" i="1"/>
  <c r="T294" i="1"/>
  <c r="T112" i="1"/>
  <c r="T156" i="1"/>
  <c r="T167" i="1"/>
  <c r="T206" i="1"/>
  <c r="T187" i="1"/>
  <c r="T280" i="1"/>
  <c r="T140" i="1"/>
  <c r="T216" i="1"/>
  <c r="T374" i="1"/>
  <c r="T166" i="1"/>
  <c r="T98" i="1"/>
  <c r="T363" i="1"/>
  <c r="T157" i="1"/>
  <c r="T349" i="1"/>
  <c r="T232" i="1"/>
  <c r="T191" i="1"/>
  <c r="T151" i="1"/>
  <c r="T356" i="1"/>
  <c r="T46" i="1"/>
  <c r="T394" i="1"/>
  <c r="T133" i="1"/>
  <c r="T275" i="1"/>
  <c r="T248" i="1"/>
  <c r="T165" i="1"/>
  <c r="T281" i="1"/>
  <c r="T20" i="1"/>
  <c r="T77" i="1"/>
  <c r="T168" i="1"/>
  <c r="T178" i="1"/>
  <c r="N189" i="1"/>
  <c r="T222" i="1"/>
  <c r="T238" i="1"/>
  <c r="T51" i="1"/>
  <c r="T83" i="1"/>
  <c r="T285" i="1"/>
  <c r="T85" i="1"/>
  <c r="T223" i="1"/>
  <c r="T203" i="1"/>
  <c r="T176" i="1"/>
  <c r="T364" i="1"/>
  <c r="T254" i="1"/>
  <c r="T6" i="1"/>
  <c r="T299" i="1"/>
  <c r="T250" i="1"/>
  <c r="T19" i="1"/>
  <c r="T211" i="1"/>
  <c r="N399" i="1"/>
  <c r="T104" i="1"/>
  <c r="T87" i="1"/>
  <c r="T74" i="1"/>
  <c r="T69" i="1"/>
  <c r="T172" i="1"/>
  <c r="T90" i="1"/>
  <c r="T397" i="1"/>
  <c r="T359" i="1"/>
  <c r="T169" i="1"/>
  <c r="T130" i="1"/>
  <c r="T145" i="1"/>
  <c r="T225" i="1"/>
  <c r="T288" i="1"/>
  <c r="T135" i="1"/>
  <c r="T154" i="1"/>
  <c r="T229" i="1"/>
  <c r="T132" i="1"/>
  <c r="T214" i="1"/>
  <c r="T64" i="1"/>
  <c r="T328" i="1"/>
  <c r="T313" i="1"/>
  <c r="T35" i="1"/>
  <c r="T180" i="1"/>
  <c r="T152" i="1"/>
  <c r="T30" i="1"/>
  <c r="T348" i="1"/>
  <c r="T358" i="1"/>
  <c r="T62" i="1"/>
  <c r="T199" i="1"/>
  <c r="T27" i="1"/>
  <c r="T293" i="1"/>
  <c r="T110" i="1"/>
  <c r="T101" i="1"/>
  <c r="T241" i="1"/>
  <c r="I2" i="1"/>
  <c r="T400" i="1" s="1"/>
  <c r="T209" i="1"/>
  <c r="T22" i="1"/>
  <c r="T80" i="1"/>
  <c r="T354" i="1"/>
  <c r="T246" i="1"/>
  <c r="T295" i="1"/>
  <c r="N374" i="1"/>
  <c r="T389" i="1"/>
  <c r="T5" i="1"/>
  <c r="N126" i="1"/>
  <c r="N62" i="1"/>
  <c r="T382" i="1"/>
  <c r="T381" i="1"/>
  <c r="T107" i="1"/>
  <c r="N377" i="1"/>
  <c r="N317" i="1"/>
  <c r="T286" i="1"/>
  <c r="T226" i="1"/>
  <c r="T134" i="1"/>
  <c r="N332" i="1"/>
  <c r="T342" i="1"/>
  <c r="N102" i="1"/>
  <c r="N379" i="1"/>
  <c r="T159" i="1"/>
  <c r="T271" i="1"/>
  <c r="T345" i="1"/>
  <c r="T82" i="1"/>
  <c r="T131" i="1"/>
  <c r="T318" i="1"/>
  <c r="T245" i="1"/>
  <c r="T231" i="1"/>
  <c r="N250" i="1"/>
  <c r="T219" i="1"/>
  <c r="T54" i="1"/>
  <c r="T149" i="1"/>
  <c r="T370" i="1"/>
  <c r="T237" i="1"/>
  <c r="T365" i="1"/>
  <c r="T352" i="1"/>
  <c r="T31" i="1"/>
  <c r="N381" i="1"/>
  <c r="N365" i="1"/>
  <c r="N268" i="1"/>
  <c r="T388" i="1"/>
  <c r="T183" i="1"/>
  <c r="N275" i="1"/>
  <c r="T312" i="1"/>
  <c r="T260" i="1"/>
  <c r="T181" i="1"/>
  <c r="T297" i="1"/>
  <c r="T120" i="1"/>
  <c r="N259" i="1"/>
  <c r="T375" i="1"/>
  <c r="T195" i="1"/>
  <c r="T79" i="1"/>
  <c r="T311" i="1"/>
  <c r="T190" i="1"/>
  <c r="T198" i="1"/>
  <c r="T218" i="1"/>
  <c r="T23" i="1"/>
  <c r="T393" i="1"/>
  <c r="T94" i="1"/>
  <c r="T47" i="1"/>
  <c r="N251" i="1"/>
  <c r="T305" i="1"/>
  <c r="T175" i="1"/>
  <c r="T125" i="1"/>
  <c r="T212" i="1"/>
  <c r="T65" i="1"/>
  <c r="T387" i="1"/>
  <c r="T2" i="1"/>
  <c r="T3" i="1"/>
  <c r="N395" i="1"/>
  <c r="N325" i="1"/>
  <c r="N364" i="1"/>
  <c r="N292" i="1"/>
  <c r="N35" i="1"/>
  <c r="N387" i="1"/>
  <c r="N18" i="1"/>
  <c r="N66" i="1"/>
  <c r="N19" i="1"/>
  <c r="N71" i="1"/>
  <c r="N357" i="1"/>
  <c r="N115" i="1"/>
  <c r="N50" i="1"/>
  <c r="N89" i="1"/>
  <c r="N87" i="1"/>
  <c r="N82" i="1"/>
  <c r="N186" i="1"/>
  <c r="N343" i="1"/>
  <c r="N301" i="1"/>
  <c r="N51" i="1"/>
  <c r="N98" i="1"/>
  <c r="N150" i="1"/>
  <c r="N107" i="1"/>
  <c r="N334" i="1"/>
  <c r="N180" i="1"/>
  <c r="N327" i="1"/>
  <c r="N367" i="1"/>
  <c r="N141" i="1"/>
  <c r="N187" i="1"/>
  <c r="N114" i="1"/>
  <c r="N145" i="1"/>
  <c r="N215" i="1"/>
  <c r="N211" i="1"/>
  <c r="N220" i="1"/>
  <c r="N34" i="1"/>
  <c r="N258" i="1"/>
  <c r="N120" i="1"/>
  <c r="N201" i="1"/>
  <c r="N149" i="1"/>
  <c r="N57" i="1"/>
  <c r="N129" i="1"/>
  <c r="N44" i="1"/>
  <c r="N9" i="1"/>
  <c r="N355" i="1"/>
  <c r="N262" i="1"/>
  <c r="N163" i="1"/>
  <c r="N23" i="1"/>
  <c r="N252" i="1"/>
  <c r="N363" i="1"/>
  <c r="N8" i="1"/>
  <c r="N396" i="1"/>
  <c r="N123" i="1"/>
  <c r="N146" i="1"/>
  <c r="N105" i="1"/>
  <c r="N54" i="1"/>
  <c r="N152" i="1"/>
  <c r="N116" i="1"/>
  <c r="N191" i="1"/>
  <c r="N368" i="1"/>
  <c r="N276" i="1"/>
  <c r="N196" i="1"/>
  <c r="N109" i="1"/>
  <c r="N346" i="1"/>
  <c r="N63" i="1"/>
  <c r="N328" i="1"/>
  <c r="N166" i="1"/>
  <c r="N223" i="1"/>
  <c r="N204" i="1"/>
  <c r="N198" i="1"/>
  <c r="N326" i="1"/>
  <c r="N168" i="1"/>
  <c r="N190" i="1"/>
  <c r="N96" i="1"/>
  <c r="N153" i="1"/>
  <c r="N6" i="1"/>
  <c r="N341" i="1"/>
  <c r="N125" i="1"/>
  <c r="N72" i="1"/>
  <c r="N329" i="1"/>
  <c r="N290" i="1"/>
  <c r="N348" i="1"/>
  <c r="N162" i="1"/>
  <c r="N344" i="1"/>
  <c r="N134" i="1"/>
  <c r="N330" i="1"/>
  <c r="N207" i="1"/>
  <c r="N300" i="1"/>
  <c r="N339" i="1"/>
  <c r="N11" i="1"/>
  <c r="N247" i="1"/>
  <c r="N264" i="1"/>
  <c r="N137" i="1"/>
  <c r="N194" i="1"/>
  <c r="N59" i="1"/>
  <c r="N73" i="1"/>
  <c r="N236" i="1"/>
  <c r="N291" i="1"/>
  <c r="N135" i="1"/>
  <c r="N118" i="1"/>
  <c r="N271" i="1"/>
  <c r="N121" i="1"/>
  <c r="N106" i="1"/>
  <c r="N219" i="1"/>
  <c r="N193" i="1"/>
  <c r="N351" i="1"/>
  <c r="N119" i="1"/>
  <c r="N181" i="1"/>
  <c r="N303" i="1"/>
  <c r="N10" i="1"/>
  <c r="N192" i="1"/>
  <c r="N244" i="1"/>
  <c r="N293" i="1"/>
  <c r="N157" i="1"/>
  <c r="N92" i="1"/>
  <c r="N200" i="1"/>
  <c r="N48" i="1"/>
  <c r="N172" i="1"/>
  <c r="N331" i="1"/>
  <c r="N30" i="1"/>
  <c r="N263" i="1"/>
  <c r="N267" i="1"/>
  <c r="N228" i="1"/>
  <c r="N138" i="1"/>
  <c r="N371" i="1"/>
  <c r="N4" i="1"/>
  <c r="N203" i="1"/>
  <c r="N108" i="1"/>
  <c r="N270" i="1"/>
  <c r="N226" i="1"/>
  <c r="N279" i="1"/>
  <c r="N112" i="1"/>
  <c r="N39" i="1"/>
  <c r="N136" i="1"/>
  <c r="N127" i="1"/>
  <c r="N20" i="1"/>
  <c r="N154" i="1"/>
  <c r="N380" i="1"/>
  <c r="N161" i="1"/>
  <c r="N46" i="1"/>
  <c r="N246" i="1"/>
  <c r="N132" i="1"/>
  <c r="N233" i="1"/>
  <c r="N320" i="1"/>
  <c r="N336" i="1"/>
  <c r="N234" i="1"/>
  <c r="N347" i="1"/>
  <c r="N169" i="1"/>
  <c r="N38" i="1"/>
  <c r="N167" i="1"/>
  <c r="N359" i="1"/>
  <c r="N257" i="1"/>
  <c r="N93" i="1"/>
  <c r="N128" i="1"/>
  <c r="N273" i="1"/>
  <c r="N376" i="1"/>
  <c r="N97" i="1"/>
  <c r="N209" i="1"/>
  <c r="N47" i="1"/>
  <c r="N221" i="1"/>
  <c r="N77" i="1"/>
  <c r="N386" i="1"/>
  <c r="N76" i="1"/>
  <c r="N78" i="1"/>
  <c r="N184" i="1"/>
  <c r="N131" i="1"/>
  <c r="N100" i="1"/>
  <c r="N160" i="1"/>
  <c r="N64" i="1"/>
  <c r="N241" i="1"/>
  <c r="N372" i="1"/>
  <c r="N171" i="1"/>
  <c r="N313" i="1"/>
  <c r="N103" i="1"/>
  <c r="N375" i="1"/>
  <c r="N358" i="1"/>
  <c r="N218" i="1"/>
  <c r="N68" i="1"/>
  <c r="N393" i="1"/>
  <c r="N289" i="1"/>
  <c r="N213" i="1"/>
  <c r="N182" i="1"/>
  <c r="N144" i="1"/>
  <c r="N314" i="1"/>
  <c r="N183" i="1"/>
  <c r="N3" i="1"/>
  <c r="N400" i="1"/>
  <c r="N24" i="1"/>
  <c r="N25" i="1"/>
  <c r="N84" i="1"/>
  <c r="N22" i="1"/>
  <c r="N139" i="1"/>
  <c r="N113" i="1"/>
  <c r="N316" i="1"/>
  <c r="N28" i="1"/>
  <c r="N5" i="1"/>
  <c r="N32" i="1"/>
  <c r="N83" i="1"/>
  <c r="N81" i="1"/>
  <c r="N21" i="1"/>
  <c r="N60" i="1"/>
  <c r="N284" i="1"/>
  <c r="N389" i="1"/>
  <c r="N67" i="1"/>
  <c r="N36" i="1"/>
  <c r="N56" i="1"/>
  <c r="N322" i="1"/>
  <c r="N307" i="1"/>
  <c r="N260" i="1"/>
  <c r="N248" i="1"/>
  <c r="N319" i="1"/>
  <c r="N249" i="1"/>
  <c r="N304" i="1"/>
  <c r="N229" i="1"/>
  <c r="N306" i="1"/>
  <c r="N232" i="1"/>
  <c r="N26" i="1"/>
  <c r="N15" i="1"/>
  <c r="N312" i="1"/>
  <c r="N392" i="1"/>
  <c r="N239" i="1"/>
  <c r="N133" i="1"/>
  <c r="N302" i="1"/>
  <c r="N283" i="1"/>
  <c r="N338" i="1"/>
  <c r="N253" i="1"/>
  <c r="N342" i="1"/>
  <c r="N217" i="1"/>
  <c r="N173" i="1"/>
  <c r="N243" i="1"/>
  <c r="N261" i="1"/>
  <c r="N31" i="1"/>
  <c r="N295" i="1"/>
  <c r="N165" i="1"/>
  <c r="N321" i="1"/>
  <c r="N37" i="1"/>
  <c r="N281" i="1"/>
  <c r="N176" i="1"/>
  <c r="N53" i="1"/>
  <c r="N17" i="1"/>
  <c r="N214" i="1"/>
  <c r="N142" i="1"/>
  <c r="N265" i="1"/>
  <c r="N285" i="1"/>
  <c r="N197" i="1"/>
  <c r="N311" i="1"/>
  <c r="N254" i="1"/>
  <c r="N333" i="1"/>
  <c r="N315" i="1"/>
  <c r="K401" i="3"/>
  <c r="K402" i="3"/>
  <c r="C25" i="5" l="1"/>
  <c r="F24" i="5" s="1"/>
  <c r="T396" i="1"/>
  <c r="T395" i="1"/>
  <c r="D20" i="5"/>
  <c r="D23" i="5"/>
  <c r="D16" i="5"/>
  <c r="D22" i="5"/>
  <c r="D19" i="5"/>
  <c r="D21" i="5"/>
  <c r="D17" i="5"/>
  <c r="D18" i="5"/>
  <c r="N2" i="1"/>
  <c r="N337" i="1"/>
  <c r="D9" i="5"/>
  <c r="D7" i="5"/>
  <c r="D8" i="5"/>
  <c r="D4" i="5"/>
  <c r="D5" i="5"/>
  <c r="D2" i="5"/>
  <c r="D6" i="5"/>
  <c r="D3" i="5"/>
  <c r="T402" i="1" l="1"/>
  <c r="H4" i="5" s="1"/>
  <c r="D7" i="1" s="1"/>
  <c r="J7" i="1" s="1"/>
  <c r="H23" i="5"/>
  <c r="H21" i="5"/>
  <c r="H19" i="5"/>
  <c r="H22" i="5"/>
  <c r="H16" i="5"/>
  <c r="E2" i="1" s="1"/>
  <c r="K2" i="1" s="1"/>
  <c r="H20" i="5"/>
  <c r="H18" i="5"/>
  <c r="H17" i="5"/>
  <c r="E3" i="1" s="1"/>
  <c r="K3" i="1" s="1"/>
  <c r="N401" i="1"/>
  <c r="O6" i="5"/>
  <c r="H6" i="5" l="1"/>
  <c r="D27" i="1" s="1"/>
  <c r="J27" i="1" s="1"/>
  <c r="H2" i="5"/>
  <c r="D2" i="1" s="1"/>
  <c r="J2" i="1" s="1"/>
  <c r="H9" i="5"/>
  <c r="D114" i="1" s="1"/>
  <c r="J114" i="1" s="1"/>
  <c r="H7" i="5"/>
  <c r="D44" i="1" s="1"/>
  <c r="J44" i="1" s="1"/>
  <c r="H5" i="5"/>
  <c r="D20" i="1" s="1"/>
  <c r="J20" i="1" s="1"/>
  <c r="H8" i="5"/>
  <c r="D67" i="1" s="1"/>
  <c r="J67" i="1" s="1"/>
  <c r="H3" i="5"/>
  <c r="D3" i="1" s="1"/>
  <c r="J3" i="1" s="1"/>
  <c r="C11" i="5"/>
  <c r="D155" i="1"/>
  <c r="J155" i="1" s="1"/>
  <c r="D341" i="1"/>
  <c r="J341" i="1" s="1"/>
  <c r="D347" i="1"/>
  <c r="J347" i="1" s="1"/>
  <c r="D215" i="1"/>
  <c r="J215" i="1" s="1"/>
  <c r="D280" i="1"/>
  <c r="J280" i="1" s="1"/>
  <c r="D246" i="1"/>
  <c r="J246" i="1" s="1"/>
  <c r="D133" i="1"/>
  <c r="J133" i="1" s="1"/>
  <c r="D157" i="1"/>
  <c r="J157" i="1" s="1"/>
  <c r="D166" i="1"/>
  <c r="J166" i="1" s="1"/>
  <c r="D209" i="1"/>
  <c r="J209" i="1" s="1"/>
  <c r="D102" i="1"/>
  <c r="J102" i="1" s="1"/>
  <c r="D212" i="1"/>
  <c r="J212" i="1" s="1"/>
  <c r="D353" i="1"/>
  <c r="J353" i="1" s="1"/>
  <c r="D363" i="1"/>
  <c r="J363" i="1" s="1"/>
  <c r="D260" i="1"/>
  <c r="J260" i="1" s="1"/>
  <c r="D276" i="1"/>
  <c r="J276" i="1" s="1"/>
  <c r="D272" i="1"/>
  <c r="J272" i="1" s="1"/>
  <c r="D377" i="1"/>
  <c r="J377" i="1" s="1"/>
  <c r="D273" i="1"/>
  <c r="J273" i="1" s="1"/>
  <c r="D278" i="1"/>
  <c r="J278" i="1" s="1"/>
  <c r="D248" i="1"/>
  <c r="J248" i="1" s="1"/>
  <c r="D296" i="1"/>
  <c r="J296" i="1" s="1"/>
  <c r="D369" i="1"/>
  <c r="J369" i="1" s="1"/>
  <c r="D297" i="1"/>
  <c r="J297" i="1" s="1"/>
  <c r="D224" i="1"/>
  <c r="J224" i="1" s="1"/>
  <c r="D200" i="1"/>
  <c r="J200" i="1" s="1"/>
  <c r="D254" i="1"/>
  <c r="J254" i="1" s="1"/>
  <c r="D313" i="1"/>
  <c r="J313" i="1" s="1"/>
  <c r="D285" i="1"/>
  <c r="J285" i="1" s="1"/>
  <c r="D112" i="1"/>
  <c r="J112" i="1" s="1"/>
  <c r="D232" i="1"/>
  <c r="J232" i="1" s="1"/>
  <c r="D264" i="1"/>
  <c r="J264" i="1" s="1"/>
  <c r="D174" i="1"/>
  <c r="J174" i="1" s="1"/>
  <c r="D324" i="1"/>
  <c r="J324" i="1" s="1"/>
  <c r="D244" i="1"/>
  <c r="J244" i="1" s="1"/>
  <c r="D339" i="1"/>
  <c r="J339" i="1" s="1"/>
  <c r="D379" i="1"/>
  <c r="J379" i="1" s="1"/>
  <c r="D267" i="1"/>
  <c r="J267" i="1" s="1"/>
  <c r="D123" i="1"/>
  <c r="J123" i="1" s="1"/>
  <c r="D192" i="1"/>
  <c r="J192" i="1" s="1"/>
  <c r="D261" i="1"/>
  <c r="J261" i="1" s="1"/>
  <c r="D145" i="1"/>
  <c r="J145" i="1" s="1"/>
  <c r="D109" i="1"/>
  <c r="J109" i="1" s="1"/>
  <c r="D144" i="1"/>
  <c r="J144" i="1" s="1"/>
  <c r="D270" i="1"/>
  <c r="J270" i="1" s="1"/>
  <c r="D141" i="1"/>
  <c r="J141" i="1" s="1"/>
  <c r="D399" i="1"/>
  <c r="J399" i="1" s="1"/>
  <c r="D295" i="1"/>
  <c r="J295" i="1" s="1"/>
  <c r="D287" i="1"/>
  <c r="J287" i="1" s="1"/>
  <c r="D336" i="1"/>
  <c r="J336" i="1" s="1"/>
  <c r="D365" i="1"/>
  <c r="J365" i="1" s="1"/>
  <c r="D210" i="1"/>
  <c r="J210" i="1" s="1"/>
  <c r="D146" i="1"/>
  <c r="J146" i="1" s="1"/>
  <c r="D306" i="1"/>
  <c r="J306" i="1" s="1"/>
  <c r="D107" i="1"/>
  <c r="J107" i="1" s="1"/>
  <c r="D281" i="1"/>
  <c r="J281" i="1" s="1"/>
  <c r="D115" i="1"/>
  <c r="J115" i="1" s="1"/>
  <c r="D325" i="1"/>
  <c r="J325" i="1" s="1"/>
  <c r="D312" i="1"/>
  <c r="J312" i="1" s="1"/>
  <c r="D216" i="1"/>
  <c r="J216" i="1" s="1"/>
  <c r="D294" i="1"/>
  <c r="J294" i="1" s="1"/>
  <c r="D309" i="1"/>
  <c r="J309" i="1" s="1"/>
  <c r="D198" i="1"/>
  <c r="J198" i="1" s="1"/>
  <c r="D137" i="1"/>
  <c r="J137" i="1" s="1"/>
  <c r="D136" i="1"/>
  <c r="J136" i="1" s="1"/>
  <c r="D352" i="1"/>
  <c r="J352" i="1" s="1"/>
  <c r="D376" i="1"/>
  <c r="J376" i="1" s="1"/>
  <c r="D227" i="1"/>
  <c r="J227" i="1" s="1"/>
  <c r="D140" i="1"/>
  <c r="J140" i="1" s="1"/>
  <c r="D103" i="1"/>
  <c r="J103" i="1" s="1"/>
  <c r="D262" i="1"/>
  <c r="J262" i="1" s="1"/>
  <c r="D161" i="1"/>
  <c r="J161" i="1" s="1"/>
  <c r="D390" i="1"/>
  <c r="J390" i="1" s="1"/>
  <c r="D307" i="1"/>
  <c r="J307" i="1" s="1"/>
  <c r="D282" i="1"/>
  <c r="J282" i="1" s="1"/>
  <c r="D380" i="1"/>
  <c r="J380" i="1" s="1"/>
  <c r="D326" i="1"/>
  <c r="J326" i="1" s="1"/>
  <c r="D342" i="1"/>
  <c r="J342" i="1" s="1"/>
  <c r="D243" i="1"/>
  <c r="J243" i="1" s="1"/>
  <c r="D113" i="1"/>
  <c r="J113" i="1" s="1"/>
  <c r="D400" i="1"/>
  <c r="J400" i="1" s="1"/>
  <c r="D226" i="1"/>
  <c r="J226" i="1" s="1"/>
  <c r="D124" i="1"/>
  <c r="J124" i="1" s="1"/>
  <c r="D304" i="1"/>
  <c r="J304" i="1" s="1"/>
  <c r="D332" i="1"/>
  <c r="J332" i="1" s="1"/>
  <c r="D105" i="1"/>
  <c r="J105" i="1" s="1"/>
  <c r="D268" i="1"/>
  <c r="J268" i="1" s="1"/>
  <c r="L2" i="1"/>
  <c r="L3" i="1"/>
  <c r="D344" i="1"/>
  <c r="J344" i="1" s="1"/>
  <c r="D234" i="1"/>
  <c r="J234" i="1" s="1"/>
  <c r="D371" i="1"/>
  <c r="J371" i="1" s="1"/>
  <c r="D253" i="1"/>
  <c r="J253" i="1" s="1"/>
  <c r="D265" i="1"/>
  <c r="J265" i="1" s="1"/>
  <c r="D186" i="1"/>
  <c r="J186" i="1" s="1"/>
  <c r="D162" i="1"/>
  <c r="J162" i="1" s="1"/>
  <c r="D172" i="1"/>
  <c r="J172" i="1" s="1"/>
  <c r="D118" i="1"/>
  <c r="J118" i="1" s="1"/>
  <c r="D357" i="1"/>
  <c r="J357" i="1" s="1"/>
  <c r="D305" i="1"/>
  <c r="J305" i="1" s="1"/>
  <c r="D218" i="1"/>
  <c r="J218" i="1" s="1"/>
  <c r="D201" i="1"/>
  <c r="J201" i="1" s="1"/>
  <c r="D355" i="1"/>
  <c r="J355" i="1" s="1"/>
  <c r="D320" i="1"/>
  <c r="J320" i="1" s="1"/>
  <c r="D367" i="1"/>
  <c r="J367" i="1" s="1"/>
  <c r="D334" i="1"/>
  <c r="J334" i="1" s="1"/>
  <c r="D148" i="1"/>
  <c r="J148" i="1" s="1"/>
  <c r="D185" i="1"/>
  <c r="J185" i="1" s="1"/>
  <c r="D221" i="1"/>
  <c r="J221" i="1" s="1"/>
  <c r="D286" i="1"/>
  <c r="J286" i="1" s="1"/>
  <c r="D108" i="1"/>
  <c r="J108" i="1" s="1"/>
  <c r="D220" i="1"/>
  <c r="J220" i="1" s="1"/>
  <c r="D142" i="1"/>
  <c r="J142" i="1" s="1"/>
  <c r="D396" i="1"/>
  <c r="J396" i="1" s="1"/>
  <c r="D316" i="1"/>
  <c r="J316" i="1" s="1"/>
  <c r="D259" i="1"/>
  <c r="J259" i="1" s="1"/>
  <c r="D182" i="1"/>
  <c r="J182" i="1" s="1"/>
  <c r="D159" i="1"/>
  <c r="J159" i="1" s="1"/>
  <c r="D329" i="1"/>
  <c r="J329" i="1" s="1"/>
  <c r="D275" i="1"/>
  <c r="J275" i="1" s="1"/>
  <c r="D333" i="1"/>
  <c r="J333" i="1" s="1"/>
  <c r="D293" i="1"/>
  <c r="J293" i="1" s="1"/>
  <c r="D240" i="1"/>
  <c r="J240" i="1" s="1"/>
  <c r="D205" i="1"/>
  <c r="J205" i="1" s="1"/>
  <c r="D95" i="1"/>
  <c r="J95" i="1" s="1"/>
  <c r="D228" i="1"/>
  <c r="J228" i="1" s="1"/>
  <c r="D135" i="1"/>
  <c r="J135" i="1" s="1"/>
  <c r="D337" i="1"/>
  <c r="J337" i="1" s="1"/>
  <c r="D266" i="1"/>
  <c r="J266" i="1" s="1"/>
  <c r="D117" i="1"/>
  <c r="J117" i="1" s="1"/>
  <c r="D374" i="1"/>
  <c r="J374" i="1" s="1"/>
  <c r="D97" i="1"/>
  <c r="J97" i="1" s="1"/>
  <c r="D193" i="1"/>
  <c r="J193" i="1" s="1"/>
  <c r="D384" i="1"/>
  <c r="J384" i="1" s="1"/>
  <c r="D382" i="1"/>
  <c r="J382" i="1" s="1"/>
  <c r="D300" i="1"/>
  <c r="J300" i="1" s="1"/>
  <c r="D298" i="1"/>
  <c r="J298" i="1" s="1"/>
  <c r="D160" i="1"/>
  <c r="J160" i="1" s="1"/>
  <c r="D143" i="1"/>
  <c r="J143" i="1" s="1"/>
  <c r="D289" i="1"/>
  <c r="J289" i="1" s="1"/>
  <c r="D233" i="1"/>
  <c r="J233" i="1" s="1"/>
  <c r="D349" i="1"/>
  <c r="J349" i="1" s="1"/>
  <c r="D310" i="1"/>
  <c r="J310" i="1" s="1"/>
  <c r="D223" i="1"/>
  <c r="J223" i="1" s="1"/>
  <c r="D131" i="1"/>
  <c r="J131" i="1" s="1"/>
  <c r="D110" i="1"/>
  <c r="J110" i="1" s="1"/>
  <c r="D119" i="1"/>
  <c r="J119" i="1" s="1"/>
  <c r="D373" i="1"/>
  <c r="J373" i="1" s="1"/>
  <c r="D322" i="1"/>
  <c r="J322" i="1" s="1"/>
  <c r="D241" i="1"/>
  <c r="J241" i="1" s="1"/>
  <c r="D164" i="1"/>
  <c r="J164" i="1" s="1"/>
  <c r="D258" i="1"/>
  <c r="J258" i="1" s="1"/>
  <c r="D368" i="1"/>
  <c r="J368" i="1" s="1"/>
  <c r="D199" i="1"/>
  <c r="J199" i="1" s="1"/>
  <c r="D311" i="1"/>
  <c r="J311" i="1" s="1"/>
  <c r="D387" i="1"/>
  <c r="J387" i="1" s="1"/>
  <c r="D277" i="1"/>
  <c r="J277" i="1" s="1"/>
  <c r="D245" i="1"/>
  <c r="J245" i="1" s="1"/>
  <c r="D173" i="1"/>
  <c r="J173" i="1" s="1"/>
  <c r="D151" i="1"/>
  <c r="J151" i="1" s="1"/>
  <c r="D236" i="1"/>
  <c r="J236" i="1" s="1"/>
  <c r="D163" i="1"/>
  <c r="J163" i="1" s="1"/>
  <c r="D354" i="1"/>
  <c r="J354" i="1" s="1"/>
  <c r="D308" i="1"/>
  <c r="J308" i="1" s="1"/>
  <c r="D116" i="1"/>
  <c r="J116" i="1" s="1"/>
  <c r="D213" i="1"/>
  <c r="J213" i="1" s="1"/>
  <c r="D126" i="1"/>
  <c r="J126" i="1" s="1"/>
  <c r="D395" i="1"/>
  <c r="J395" i="1" s="1"/>
  <c r="D372" i="1"/>
  <c r="J372" i="1" s="1"/>
  <c r="D292" i="1"/>
  <c r="J292" i="1" s="1"/>
  <c r="D251" i="1"/>
  <c r="J251" i="1" s="1"/>
  <c r="D169" i="1"/>
  <c r="J169" i="1" s="1"/>
  <c r="D271" i="1"/>
  <c r="J271" i="1" s="1"/>
  <c r="D383" i="1"/>
  <c r="J383" i="1" s="1"/>
  <c r="D104" i="1"/>
  <c r="J104" i="1" s="1"/>
  <c r="D204" i="1"/>
  <c r="J204" i="1" s="1"/>
  <c r="D96" i="1"/>
  <c r="J96" i="1" s="1"/>
  <c r="D180" i="1"/>
  <c r="J180" i="1" s="1"/>
  <c r="D122" i="1"/>
  <c r="J122" i="1" s="1"/>
  <c r="D317" i="1"/>
  <c r="J317" i="1" s="1"/>
  <c r="D328" i="1"/>
  <c r="J328" i="1" s="1"/>
  <c r="D196" i="1"/>
  <c r="J196" i="1" s="1"/>
  <c r="D184" i="1"/>
  <c r="J184" i="1" s="1"/>
  <c r="D149" i="1"/>
  <c r="J149" i="1" s="1"/>
  <c r="D375" i="1"/>
  <c r="J375" i="1" s="1"/>
  <c r="D331" i="1"/>
  <c r="J331" i="1" s="1"/>
  <c r="D181" i="1"/>
  <c r="J181" i="1" s="1"/>
  <c r="D147" i="1"/>
  <c r="J147" i="1" s="1"/>
  <c r="D152" i="1"/>
  <c r="J152" i="1" s="1"/>
  <c r="D392" i="1"/>
  <c r="J392" i="1" s="1"/>
  <c r="D288" i="1"/>
  <c r="J288" i="1" s="1"/>
  <c r="D283" i="1"/>
  <c r="J283" i="1" s="1"/>
  <c r="D175" i="1"/>
  <c r="J175" i="1" s="1"/>
  <c r="D388" i="1"/>
  <c r="J388" i="1" s="1"/>
  <c r="D100" i="1"/>
  <c r="J100" i="1" s="1"/>
  <c r="D389" i="1"/>
  <c r="J389" i="1" s="1"/>
  <c r="D362" i="1"/>
  <c r="J362" i="1" s="1"/>
  <c r="D301" i="1"/>
  <c r="J301" i="1" s="1"/>
  <c r="D206" i="1"/>
  <c r="J206" i="1" s="1"/>
  <c r="D189" i="1"/>
  <c r="J189" i="1" s="1"/>
  <c r="D346" i="1"/>
  <c r="J346" i="1" s="1"/>
  <c r="D359" i="1"/>
  <c r="J359" i="1" s="1"/>
  <c r="D318" i="1"/>
  <c r="J318" i="1" s="1"/>
  <c r="D194" i="1"/>
  <c r="J194" i="1" s="1"/>
  <c r="D179" i="1"/>
  <c r="J179" i="1" s="1"/>
  <c r="D398" i="1"/>
  <c r="J398" i="1" s="1"/>
  <c r="D191" i="1"/>
  <c r="J191" i="1" s="1"/>
  <c r="D279" i="1"/>
  <c r="J279" i="1" s="1"/>
  <c r="D207" i="1"/>
  <c r="J207" i="1" s="1"/>
  <c r="D156" i="1"/>
  <c r="J156" i="1" s="1"/>
  <c r="D269" i="1"/>
  <c r="J269" i="1" s="1"/>
  <c r="D314" i="1"/>
  <c r="J314" i="1" s="1"/>
  <c r="D235" i="1"/>
  <c r="J235" i="1" s="1"/>
  <c r="D132" i="1"/>
  <c r="J132" i="1" s="1"/>
  <c r="D361" i="1"/>
  <c r="J361" i="1" s="1"/>
  <c r="D330" i="1"/>
  <c r="J330" i="1" s="1"/>
  <c r="D394" i="1"/>
  <c r="J394" i="1" s="1"/>
  <c r="D302" i="1"/>
  <c r="J302" i="1" s="1"/>
  <c r="D242" i="1"/>
  <c r="J242" i="1" s="1"/>
  <c r="D203" i="1"/>
  <c r="J203" i="1" s="1"/>
  <c r="D150" i="1"/>
  <c r="J150" i="1" s="1"/>
  <c r="D211" i="1"/>
  <c r="J211" i="1" s="1"/>
  <c r="D360" i="1"/>
  <c r="J360" i="1" s="1"/>
  <c r="D327" i="1"/>
  <c r="J327" i="1" s="1"/>
  <c r="D238" i="1"/>
  <c r="J238" i="1" s="1"/>
  <c r="D176" i="1"/>
  <c r="J176" i="1" s="1"/>
  <c r="D239" i="1"/>
  <c r="J239" i="1" s="1"/>
  <c r="D257" i="1"/>
  <c r="J257" i="1" s="1"/>
  <c r="D94" i="1"/>
  <c r="J94" i="1" s="1"/>
  <c r="D249" i="1"/>
  <c r="J249" i="1" s="1"/>
  <c r="D171" i="1"/>
  <c r="J171" i="1" s="1"/>
  <c r="D231" i="1"/>
  <c r="J231" i="1" s="1"/>
  <c r="D338" i="1"/>
  <c r="J338" i="1" s="1"/>
  <c r="D378" i="1"/>
  <c r="J378" i="1" s="1"/>
  <c r="D315" i="1"/>
  <c r="J315" i="1" s="1"/>
  <c r="D247" i="1"/>
  <c r="J247" i="1" s="1"/>
  <c r="D106" i="1"/>
  <c r="J106" i="1" s="1"/>
  <c r="D120" i="1"/>
  <c r="J120" i="1" s="1"/>
  <c r="D343" i="1"/>
  <c r="J343" i="1" s="1"/>
  <c r="D370" i="1"/>
  <c r="J370" i="1" s="1"/>
  <c r="D274" i="1"/>
  <c r="J274" i="1" s="1"/>
  <c r="D208" i="1"/>
  <c r="J208" i="1" s="1"/>
  <c r="D153" i="1"/>
  <c r="J153" i="1" s="1"/>
  <c r="D217" i="1"/>
  <c r="J217" i="1" s="1"/>
  <c r="D393" i="1"/>
  <c r="J393" i="1" s="1"/>
  <c r="D127" i="1"/>
  <c r="J127" i="1" s="1"/>
  <c r="D222" i="1"/>
  <c r="J222" i="1" s="1"/>
  <c r="D345" i="1"/>
  <c r="J345" i="1" s="1"/>
  <c r="D385" i="1"/>
  <c r="J385" i="1" s="1"/>
  <c r="D335" i="1"/>
  <c r="J335" i="1" s="1"/>
  <c r="D256" i="1"/>
  <c r="J256" i="1" s="1"/>
  <c r="D214" i="1"/>
  <c r="J214" i="1" s="1"/>
  <c r="D134" i="1"/>
  <c r="J134" i="1" s="1"/>
  <c r="D291" i="1"/>
  <c r="J291" i="1" s="1"/>
  <c r="D381" i="1"/>
  <c r="J381" i="1" s="1"/>
  <c r="D319" i="1"/>
  <c r="J319" i="1" s="1"/>
  <c r="D128" i="1"/>
  <c r="J128" i="1" s="1"/>
  <c r="D138" i="1"/>
  <c r="J138" i="1" s="1"/>
  <c r="D190" i="1"/>
  <c r="J190" i="1" s="1"/>
  <c r="D391" i="1"/>
  <c r="J391" i="1" s="1"/>
  <c r="D230" i="1"/>
  <c r="J230" i="1" s="1"/>
  <c r="D348" i="1"/>
  <c r="J348" i="1" s="1"/>
  <c r="D299" i="1"/>
  <c r="J299" i="1" s="1"/>
  <c r="D255" i="1"/>
  <c r="J255" i="1" s="1"/>
  <c r="D187" i="1"/>
  <c r="J187" i="1" s="1"/>
  <c r="D154" i="1"/>
  <c r="J154" i="1" s="1"/>
  <c r="D364" i="1"/>
  <c r="J364" i="1" s="1"/>
  <c r="D356" i="1"/>
  <c r="J356" i="1" s="1"/>
  <c r="D321" i="1"/>
  <c r="J321" i="1" s="1"/>
  <c r="D168" i="1"/>
  <c r="J168" i="1" s="1"/>
  <c r="D139" i="1"/>
  <c r="J139" i="1" s="1"/>
  <c r="D197" i="1"/>
  <c r="J197" i="1" s="1"/>
  <c r="D358" i="1"/>
  <c r="J358" i="1" s="1"/>
  <c r="D177" i="1"/>
  <c r="J177" i="1" s="1"/>
  <c r="D195" i="1"/>
  <c r="J195" i="1" s="1"/>
  <c r="D219" i="1"/>
  <c r="J219" i="1" s="1"/>
  <c r="E135" i="1"/>
  <c r="K135" i="1" s="1"/>
  <c r="E337" i="1"/>
  <c r="K337" i="1" s="1"/>
  <c r="E188" i="1"/>
  <c r="K188" i="1" s="1"/>
  <c r="E164" i="1"/>
  <c r="K164" i="1" s="1"/>
  <c r="E327" i="1"/>
  <c r="K327" i="1" s="1"/>
  <c r="E343" i="1"/>
  <c r="K343" i="1" s="1"/>
  <c r="E248" i="1"/>
  <c r="K248" i="1" s="1"/>
  <c r="E115" i="1"/>
  <c r="K115" i="1" s="1"/>
  <c r="E356" i="1"/>
  <c r="K356" i="1" s="1"/>
  <c r="E234" i="1"/>
  <c r="K234" i="1" s="1"/>
  <c r="L234" i="1" s="1"/>
  <c r="E302" i="1"/>
  <c r="K302" i="1" s="1"/>
  <c r="E141" i="1"/>
  <c r="K141" i="1" s="1"/>
  <c r="E352" i="1"/>
  <c r="K352" i="1" s="1"/>
  <c r="E107" i="1"/>
  <c r="K107" i="1" s="1"/>
  <c r="E200" i="1"/>
  <c r="K200" i="1" s="1"/>
  <c r="E97" i="1"/>
  <c r="K97" i="1" s="1"/>
  <c r="E149" i="1"/>
  <c r="K149" i="1" s="1"/>
  <c r="E318" i="1"/>
  <c r="K318" i="1" s="1"/>
  <c r="E319" i="1"/>
  <c r="K319" i="1" s="1"/>
  <c r="E96" i="1"/>
  <c r="K96" i="1" s="1"/>
  <c r="E94" i="1"/>
  <c r="K94" i="1" s="1"/>
  <c r="E201" i="1"/>
  <c r="K201" i="1" s="1"/>
  <c r="E321" i="1"/>
  <c r="K321" i="1" s="1"/>
  <c r="E244" i="1"/>
  <c r="K244" i="1" s="1"/>
  <c r="L244" i="1" s="1"/>
  <c r="E173" i="1"/>
  <c r="K173" i="1" s="1"/>
  <c r="E392" i="1"/>
  <c r="K392" i="1" s="1"/>
  <c r="E157" i="1"/>
  <c r="K157" i="1" s="1"/>
  <c r="E253" i="1"/>
  <c r="K253" i="1" s="1"/>
  <c r="E293" i="1"/>
  <c r="K293" i="1" s="1"/>
  <c r="E224" i="1"/>
  <c r="K224" i="1" s="1"/>
  <c r="E125" i="1"/>
  <c r="K125" i="1" s="1"/>
  <c r="E282" i="1"/>
  <c r="K282" i="1" s="1"/>
  <c r="L282" i="1" s="1"/>
  <c r="E396" i="1"/>
  <c r="K396" i="1" s="1"/>
  <c r="E295" i="1"/>
  <c r="K295" i="1" s="1"/>
  <c r="E339" i="1"/>
  <c r="K339" i="1" s="1"/>
  <c r="L339" i="1" s="1"/>
  <c r="E266" i="1"/>
  <c r="K266" i="1" s="1"/>
  <c r="E336" i="1"/>
  <c r="K336" i="1" s="1"/>
  <c r="E386" i="1"/>
  <c r="K386" i="1" s="1"/>
  <c r="E209" i="1"/>
  <c r="K209" i="1" s="1"/>
  <c r="E202" i="1"/>
  <c r="K202" i="1" s="1"/>
  <c r="E346" i="1"/>
  <c r="K346" i="1" s="1"/>
  <c r="E225" i="1"/>
  <c r="K225" i="1" s="1"/>
  <c r="E148" i="1"/>
  <c r="K148" i="1" s="1"/>
  <c r="L148" i="1" s="1"/>
  <c r="E123" i="1"/>
  <c r="K123" i="1" s="1"/>
  <c r="L123" i="1" s="1"/>
  <c r="E156" i="1"/>
  <c r="K156" i="1" s="1"/>
  <c r="E271" i="1"/>
  <c r="K271" i="1" s="1"/>
  <c r="E184" i="1"/>
  <c r="K184" i="1" s="1"/>
  <c r="E204" i="1"/>
  <c r="K204" i="1" s="1"/>
  <c r="E134" i="1"/>
  <c r="K134" i="1" s="1"/>
  <c r="E296" i="1"/>
  <c r="K296" i="1" s="1"/>
  <c r="L296" i="1" s="1"/>
  <c r="O296" i="1" s="1"/>
  <c r="P296" i="1" s="1"/>
  <c r="E394" i="1"/>
  <c r="K394" i="1" s="1"/>
  <c r="E264" i="1"/>
  <c r="K264" i="1" s="1"/>
  <c r="E101" i="1"/>
  <c r="K101" i="1" s="1"/>
  <c r="E137" i="1"/>
  <c r="K137" i="1" s="1"/>
  <c r="E229" i="1"/>
  <c r="K229" i="1" s="1"/>
  <c r="E227" i="1"/>
  <c r="K227" i="1" s="1"/>
  <c r="E246" i="1"/>
  <c r="K246" i="1" s="1"/>
  <c r="L246" i="1" s="1"/>
  <c r="E291" i="1"/>
  <c r="K291" i="1" s="1"/>
  <c r="E152" i="1"/>
  <c r="K152" i="1" s="1"/>
  <c r="E391" i="1"/>
  <c r="K391" i="1" s="1"/>
  <c r="E275" i="1"/>
  <c r="K275" i="1" s="1"/>
  <c r="E171" i="1"/>
  <c r="K171" i="1" s="1"/>
  <c r="E325" i="1"/>
  <c r="K325" i="1" s="1"/>
  <c r="E120" i="1"/>
  <c r="K120" i="1" s="1"/>
  <c r="E140" i="1"/>
  <c r="K140" i="1" s="1"/>
  <c r="L140" i="1" s="1"/>
  <c r="E361" i="1"/>
  <c r="K361" i="1" s="1"/>
  <c r="E162" i="1"/>
  <c r="K162" i="1" s="1"/>
  <c r="E373" i="1"/>
  <c r="K373" i="1" s="1"/>
  <c r="L373" i="1" s="1"/>
  <c r="O373" i="1" s="1"/>
  <c r="P373" i="1" s="1"/>
  <c r="E397" i="1"/>
  <c r="K397" i="1" s="1"/>
  <c r="E400" i="1"/>
  <c r="K400" i="1" s="1"/>
  <c r="L400" i="1" s="1"/>
  <c r="O400" i="1" s="1"/>
  <c r="P400" i="1" s="1"/>
  <c r="E290" i="1"/>
  <c r="K290" i="1" s="1"/>
  <c r="E177" i="1"/>
  <c r="K177" i="1" s="1"/>
  <c r="E239" i="1"/>
  <c r="K239" i="1" s="1"/>
  <c r="E241" i="1"/>
  <c r="K241" i="1" s="1"/>
  <c r="E226" i="1"/>
  <c r="K226" i="1" s="1"/>
  <c r="E371" i="1"/>
  <c r="K371" i="1" s="1"/>
  <c r="L371" i="1" s="1"/>
  <c r="E289" i="1"/>
  <c r="K289" i="1" s="1"/>
  <c r="L289" i="1" s="1"/>
  <c r="E150" i="1"/>
  <c r="K150" i="1" s="1"/>
  <c r="E311" i="1"/>
  <c r="K311" i="1" s="1"/>
  <c r="E183" i="1"/>
  <c r="K183" i="1" s="1"/>
  <c r="E375" i="1"/>
  <c r="K375" i="1" s="1"/>
  <c r="E399" i="1"/>
  <c r="K399" i="1" s="1"/>
  <c r="E195" i="1"/>
  <c r="K195" i="1" s="1"/>
  <c r="E292" i="1"/>
  <c r="K292" i="1" s="1"/>
  <c r="E261" i="1"/>
  <c r="K261" i="1" s="1"/>
  <c r="L261" i="1" s="1"/>
  <c r="E362" i="1"/>
  <c r="K362" i="1" s="1"/>
  <c r="E124" i="1"/>
  <c r="K124" i="1" s="1"/>
  <c r="E369" i="1"/>
  <c r="K369" i="1" s="1"/>
  <c r="E199" i="1"/>
  <c r="K199" i="1" s="1"/>
  <c r="E347" i="1"/>
  <c r="K347" i="1" s="1"/>
  <c r="L347" i="1" s="1"/>
  <c r="E254" i="1"/>
  <c r="K254" i="1" s="1"/>
  <c r="L254" i="1" s="1"/>
  <c r="E265" i="1"/>
  <c r="K265" i="1" s="1"/>
  <c r="E142" i="1"/>
  <c r="K142" i="1" s="1"/>
  <c r="E273" i="1"/>
  <c r="K273" i="1" s="1"/>
  <c r="E250" i="1"/>
  <c r="K250" i="1" s="1"/>
  <c r="E158" i="1"/>
  <c r="K158" i="1" s="1"/>
  <c r="E99" i="1"/>
  <c r="K99" i="1" s="1"/>
  <c r="E207" i="1"/>
  <c r="K207" i="1" s="1"/>
  <c r="E169" i="1"/>
  <c r="K169" i="1" s="1"/>
  <c r="L169" i="1" s="1"/>
  <c r="O169" i="1" s="1"/>
  <c r="P169" i="1" s="1"/>
  <c r="E285" i="1"/>
  <c r="K285" i="1" s="1"/>
  <c r="L285" i="1" s="1"/>
  <c r="E211" i="1"/>
  <c r="K211" i="1" s="1"/>
  <c r="E178" i="1"/>
  <c r="K178" i="1" s="1"/>
  <c r="E217" i="1"/>
  <c r="K217" i="1" s="1"/>
  <c r="E136" i="1"/>
  <c r="K136" i="1" s="1"/>
  <c r="E309" i="1"/>
  <c r="K309" i="1" s="1"/>
  <c r="E315" i="1"/>
  <c r="K315" i="1" s="1"/>
  <c r="E364" i="1"/>
  <c r="K364" i="1" s="1"/>
  <c r="E144" i="1"/>
  <c r="K144" i="1" s="1"/>
  <c r="L144" i="1" s="1"/>
  <c r="O144" i="1" s="1"/>
  <c r="E131" i="1"/>
  <c r="K131" i="1" s="1"/>
  <c r="E379" i="1"/>
  <c r="K379" i="1" s="1"/>
  <c r="E270" i="1"/>
  <c r="K270" i="1" s="1"/>
  <c r="E357" i="1"/>
  <c r="K357" i="1" s="1"/>
  <c r="E303" i="1"/>
  <c r="K303" i="1" s="1"/>
  <c r="E255" i="1"/>
  <c r="K255" i="1" s="1"/>
  <c r="E301" i="1"/>
  <c r="K301" i="1" s="1"/>
  <c r="E383" i="1"/>
  <c r="K383" i="1" s="1"/>
  <c r="E176" i="1"/>
  <c r="K176" i="1" s="1"/>
  <c r="E377" i="1"/>
  <c r="K377" i="1" s="1"/>
  <c r="E320" i="1"/>
  <c r="K320" i="1" s="1"/>
  <c r="E212" i="1"/>
  <c r="K212" i="1" s="1"/>
  <c r="E206" i="1"/>
  <c r="K206" i="1" s="1"/>
  <c r="E344" i="1"/>
  <c r="K344" i="1" s="1"/>
  <c r="E330" i="1"/>
  <c r="K330" i="1" s="1"/>
  <c r="E119" i="1"/>
  <c r="K119" i="1" s="1"/>
  <c r="E113" i="1"/>
  <c r="K113" i="1" s="1"/>
  <c r="E268" i="1"/>
  <c r="K268" i="1" s="1"/>
  <c r="E286" i="1"/>
  <c r="K286" i="1" s="1"/>
  <c r="E232" i="1"/>
  <c r="K232" i="1" s="1"/>
  <c r="E213" i="1"/>
  <c r="K213" i="1" s="1"/>
  <c r="E252" i="1"/>
  <c r="K252" i="1" s="1"/>
  <c r="E174" i="1"/>
  <c r="K174" i="1" s="1"/>
  <c r="E219" i="1"/>
  <c r="K219" i="1" s="1"/>
  <c r="E299" i="1"/>
  <c r="K299" i="1" s="1"/>
  <c r="E294" i="1"/>
  <c r="K294" i="1" s="1"/>
  <c r="E222" i="1"/>
  <c r="K222" i="1" s="1"/>
  <c r="E363" i="1"/>
  <c r="K363" i="1" s="1"/>
  <c r="E398" i="1"/>
  <c r="K398" i="1" s="1"/>
  <c r="E345" i="1"/>
  <c r="K345" i="1" s="1"/>
  <c r="E100" i="1"/>
  <c r="K100" i="1" s="1"/>
  <c r="E95" i="1"/>
  <c r="K95" i="1" s="1"/>
  <c r="L95" i="1" s="1"/>
  <c r="E231" i="1"/>
  <c r="K231" i="1" s="1"/>
  <c r="E129" i="1"/>
  <c r="K129" i="1" s="1"/>
  <c r="E110" i="1"/>
  <c r="K110" i="1" s="1"/>
  <c r="E139" i="1"/>
  <c r="K139" i="1" s="1"/>
  <c r="E138" i="1"/>
  <c r="K138" i="1" s="1"/>
  <c r="E380" i="1"/>
  <c r="K380" i="1" s="1"/>
  <c r="L380" i="1" s="1"/>
  <c r="O380" i="1" s="1"/>
  <c r="E175" i="1"/>
  <c r="K175" i="1" s="1"/>
  <c r="E367" i="1"/>
  <c r="K367" i="1" s="1"/>
  <c r="E395" i="1"/>
  <c r="K395" i="1" s="1"/>
  <c r="E353" i="1"/>
  <c r="K353" i="1" s="1"/>
  <c r="L353" i="1" s="1"/>
  <c r="O353" i="1" s="1"/>
  <c r="P353" i="1" s="1"/>
  <c r="E165" i="1"/>
  <c r="K165" i="1" s="1"/>
  <c r="E221" i="1"/>
  <c r="K221" i="1" s="1"/>
  <c r="L221" i="1" s="1"/>
  <c r="E214" i="1"/>
  <c r="K214" i="1" s="1"/>
  <c r="E306" i="1"/>
  <c r="K306" i="1" s="1"/>
  <c r="E376" i="1"/>
  <c r="K376" i="1" s="1"/>
  <c r="L376" i="1" s="1"/>
  <c r="E340" i="1"/>
  <c r="K340" i="1" s="1"/>
  <c r="E267" i="1"/>
  <c r="K267" i="1" s="1"/>
  <c r="E262" i="1"/>
  <c r="K262" i="1" s="1"/>
  <c r="E127" i="1"/>
  <c r="K127" i="1" s="1"/>
  <c r="E154" i="1"/>
  <c r="K154" i="1" s="1"/>
  <c r="E298" i="1"/>
  <c r="K298" i="1" s="1"/>
  <c r="E133" i="1"/>
  <c r="K133" i="1" s="1"/>
  <c r="E288" i="1"/>
  <c r="K288" i="1" s="1"/>
  <c r="E208" i="1"/>
  <c r="K208" i="1" s="1"/>
  <c r="E304" i="1"/>
  <c r="K304" i="1" s="1"/>
  <c r="L304" i="1" s="1"/>
  <c r="E324" i="1"/>
  <c r="K324" i="1" s="1"/>
  <c r="L324" i="1" s="1"/>
  <c r="E145" i="1"/>
  <c r="K145" i="1" s="1"/>
  <c r="E230" i="1"/>
  <c r="K230" i="1" s="1"/>
  <c r="E235" i="1"/>
  <c r="K235" i="1" s="1"/>
  <c r="E323" i="1"/>
  <c r="K323" i="1" s="1"/>
  <c r="E126" i="1"/>
  <c r="K126" i="1" s="1"/>
  <c r="E106" i="1"/>
  <c r="K106" i="1" s="1"/>
  <c r="E259" i="1"/>
  <c r="K259" i="1" s="1"/>
  <c r="L259" i="1" s="1"/>
  <c r="E256" i="1"/>
  <c r="K256" i="1" s="1"/>
  <c r="E338" i="1"/>
  <c r="K338" i="1" s="1"/>
  <c r="E105" i="1"/>
  <c r="K105" i="1" s="1"/>
  <c r="E112" i="1"/>
  <c r="K112" i="1" s="1"/>
  <c r="E348" i="1"/>
  <c r="K348" i="1" s="1"/>
  <c r="E258" i="1"/>
  <c r="K258" i="1" s="1"/>
  <c r="E247" i="1"/>
  <c r="K247" i="1" s="1"/>
  <c r="E334" i="1"/>
  <c r="K334" i="1" s="1"/>
  <c r="E192" i="1"/>
  <c r="K192" i="1" s="1"/>
  <c r="E245" i="1"/>
  <c r="K245" i="1" s="1"/>
  <c r="E108" i="1"/>
  <c r="K108" i="1" s="1"/>
  <c r="E117" i="1"/>
  <c r="K117" i="1" s="1"/>
  <c r="E355" i="1"/>
  <c r="K355" i="1" s="1"/>
  <c r="E283" i="1"/>
  <c r="K283" i="1" s="1"/>
  <c r="E342" i="1"/>
  <c r="K342" i="1" s="1"/>
  <c r="E384" i="1"/>
  <c r="K384" i="1" s="1"/>
  <c r="E242" i="1"/>
  <c r="K242" i="1" s="1"/>
  <c r="E322" i="1"/>
  <c r="K322" i="1" s="1"/>
  <c r="E179" i="1"/>
  <c r="K179" i="1" s="1"/>
  <c r="E210" i="1"/>
  <c r="K210" i="1" s="1"/>
  <c r="L210" i="1" s="1"/>
  <c r="E378" i="1"/>
  <c r="K378" i="1" s="1"/>
  <c r="E257" i="1"/>
  <c r="K257" i="1" s="1"/>
  <c r="E278" i="1"/>
  <c r="K278" i="1" s="1"/>
  <c r="E240" i="1"/>
  <c r="K240" i="1" s="1"/>
  <c r="E186" i="1"/>
  <c r="K186" i="1" s="1"/>
  <c r="E104" i="1"/>
  <c r="K104" i="1" s="1"/>
  <c r="E333" i="1"/>
  <c r="K333" i="1" s="1"/>
  <c r="E193" i="1"/>
  <c r="K193" i="1" s="1"/>
  <c r="L193" i="1" s="1"/>
  <c r="E316" i="1"/>
  <c r="K316" i="1" s="1"/>
  <c r="E360" i="1"/>
  <c r="K360" i="1" s="1"/>
  <c r="E393" i="1"/>
  <c r="K393" i="1" s="1"/>
  <c r="E243" i="1"/>
  <c r="K243" i="1" s="1"/>
  <c r="E313" i="1"/>
  <c r="K313" i="1" s="1"/>
  <c r="L313" i="1" s="1"/>
  <c r="O313" i="1" s="1"/>
  <c r="P313" i="1" s="1"/>
  <c r="E194" i="1"/>
  <c r="K194" i="1" s="1"/>
  <c r="E359" i="1"/>
  <c r="K359" i="1" s="1"/>
  <c r="E98" i="1"/>
  <c r="K98" i="1" s="1"/>
  <c r="E350" i="1"/>
  <c r="K350" i="1" s="1"/>
  <c r="E203" i="1"/>
  <c r="K203" i="1" s="1"/>
  <c r="E297" i="1"/>
  <c r="K297" i="1" s="1"/>
  <c r="E170" i="1"/>
  <c r="K170" i="1" s="1"/>
  <c r="E172" i="1"/>
  <c r="K172" i="1" s="1"/>
  <c r="E189" i="1"/>
  <c r="K189" i="1" s="1"/>
  <c r="E312" i="1"/>
  <c r="K312" i="1" s="1"/>
  <c r="L312" i="1" s="1"/>
  <c r="E236" i="1"/>
  <c r="K236" i="1" s="1"/>
  <c r="E102" i="1"/>
  <c r="K102" i="1" s="1"/>
  <c r="E197" i="1"/>
  <c r="K197" i="1" s="1"/>
  <c r="E116" i="1"/>
  <c r="K116" i="1" s="1"/>
  <c r="L116" i="1" s="1"/>
  <c r="E220" i="1"/>
  <c r="K220" i="1" s="1"/>
  <c r="E146" i="1"/>
  <c r="K146" i="1" s="1"/>
  <c r="E300" i="1"/>
  <c r="K300" i="1" s="1"/>
  <c r="E118" i="1"/>
  <c r="K118" i="1" s="1"/>
  <c r="E331" i="1"/>
  <c r="K331" i="1" s="1"/>
  <c r="E389" i="1"/>
  <c r="K389" i="1" s="1"/>
  <c r="E168" i="1"/>
  <c r="K168" i="1" s="1"/>
  <c r="E326" i="1"/>
  <c r="K326" i="1" s="1"/>
  <c r="E103" i="1"/>
  <c r="K103" i="1" s="1"/>
  <c r="E122" i="1"/>
  <c r="K122" i="1" s="1"/>
  <c r="E287" i="1"/>
  <c r="K287" i="1" s="1"/>
  <c r="E160" i="1"/>
  <c r="K160" i="1" s="1"/>
  <c r="E147" i="1"/>
  <c r="K147" i="1" s="1"/>
  <c r="E382" i="1"/>
  <c r="K382" i="1" s="1"/>
  <c r="E272" i="1"/>
  <c r="K272" i="1" s="1"/>
  <c r="E228" i="1"/>
  <c r="K228" i="1" s="1"/>
  <c r="E180" i="1"/>
  <c r="K180" i="1" s="1"/>
  <c r="E121" i="1"/>
  <c r="K121" i="1" s="1"/>
  <c r="E249" i="1"/>
  <c r="K249" i="1" s="1"/>
  <c r="E314" i="1"/>
  <c r="K314" i="1" s="1"/>
  <c r="E191" i="1"/>
  <c r="K191" i="1" s="1"/>
  <c r="E308" i="1"/>
  <c r="K308" i="1" s="1"/>
  <c r="L308" i="1" s="1"/>
  <c r="E151" i="1"/>
  <c r="K151" i="1" s="1"/>
  <c r="E163" i="1"/>
  <c r="K163" i="1" s="1"/>
  <c r="E109" i="1"/>
  <c r="K109" i="1" s="1"/>
  <c r="L109" i="1" s="1"/>
  <c r="E365" i="1"/>
  <c r="K365" i="1" s="1"/>
  <c r="E351" i="1"/>
  <c r="K351" i="1" s="1"/>
  <c r="E388" i="1"/>
  <c r="K388" i="1" s="1"/>
  <c r="E385" i="1"/>
  <c r="K385" i="1" s="1"/>
  <c r="E187" i="1"/>
  <c r="K187" i="1" s="1"/>
  <c r="E237" i="1"/>
  <c r="K237" i="1" s="1"/>
  <c r="E181" i="1"/>
  <c r="K181" i="1" s="1"/>
  <c r="E274" i="1"/>
  <c r="K274" i="1" s="1"/>
  <c r="E238" i="1"/>
  <c r="K238" i="1" s="1"/>
  <c r="E335" i="1"/>
  <c r="K335" i="1" s="1"/>
  <c r="E223" i="1"/>
  <c r="K223" i="1" s="1"/>
  <c r="E198" i="1"/>
  <c r="K198" i="1" s="1"/>
  <c r="E216" i="1"/>
  <c r="K216" i="1" s="1"/>
  <c r="L216" i="1" s="1"/>
  <c r="E233" i="1"/>
  <c r="K233" i="1" s="1"/>
  <c r="E381" i="1"/>
  <c r="K381" i="1" s="1"/>
  <c r="E281" i="1"/>
  <c r="K281" i="1" s="1"/>
  <c r="E155" i="1"/>
  <c r="K155" i="1" s="1"/>
  <c r="E190" i="1"/>
  <c r="K190" i="1" s="1"/>
  <c r="E263" i="1"/>
  <c r="K263" i="1" s="1"/>
  <c r="E358" i="1"/>
  <c r="K358" i="1" s="1"/>
  <c r="E310" i="1"/>
  <c r="K310" i="1" s="1"/>
  <c r="E114" i="1"/>
  <c r="K114" i="1" s="1"/>
  <c r="E196" i="1"/>
  <c r="K196" i="1" s="1"/>
  <c r="E374" i="1"/>
  <c r="K374" i="1" s="1"/>
  <c r="E269" i="1"/>
  <c r="K269" i="1" s="1"/>
  <c r="E159" i="1"/>
  <c r="K159" i="1" s="1"/>
  <c r="E128" i="1"/>
  <c r="K128" i="1" s="1"/>
  <c r="E143" i="1"/>
  <c r="K143" i="1" s="1"/>
  <c r="L143" i="1" s="1"/>
  <c r="E279" i="1"/>
  <c r="K279" i="1" s="1"/>
  <c r="E329" i="1"/>
  <c r="K329" i="1" s="1"/>
  <c r="E332" i="1"/>
  <c r="K332" i="1" s="1"/>
  <c r="E276" i="1"/>
  <c r="K276" i="1" s="1"/>
  <c r="E387" i="1"/>
  <c r="K387" i="1" s="1"/>
  <c r="E111" i="1"/>
  <c r="K111" i="1" s="1"/>
  <c r="E185" i="1"/>
  <c r="K185" i="1" s="1"/>
  <c r="L185" i="1" s="1"/>
  <c r="E130" i="1"/>
  <c r="K130" i="1" s="1"/>
  <c r="E277" i="1"/>
  <c r="K277" i="1" s="1"/>
  <c r="L277" i="1" s="1"/>
  <c r="E260" i="1"/>
  <c r="K260" i="1" s="1"/>
  <c r="L260" i="1" s="1"/>
  <c r="E280" i="1"/>
  <c r="K280" i="1" s="1"/>
  <c r="E166" i="1"/>
  <c r="K166" i="1" s="1"/>
  <c r="E390" i="1"/>
  <c r="K390" i="1" s="1"/>
  <c r="E161" i="1"/>
  <c r="K161" i="1" s="1"/>
  <c r="E284" i="1"/>
  <c r="K284" i="1" s="1"/>
  <c r="E307" i="1"/>
  <c r="K307" i="1" s="1"/>
  <c r="E132" i="1"/>
  <c r="K132" i="1" s="1"/>
  <c r="E341" i="1"/>
  <c r="K341" i="1" s="1"/>
  <c r="E305" i="1"/>
  <c r="K305" i="1" s="1"/>
  <c r="L305" i="1" s="1"/>
  <c r="E354" i="1"/>
  <c r="K354" i="1" s="1"/>
  <c r="E218" i="1"/>
  <c r="K218" i="1" s="1"/>
  <c r="E349" i="1"/>
  <c r="K349" i="1" s="1"/>
  <c r="E366" i="1"/>
  <c r="K366" i="1" s="1"/>
  <c r="E372" i="1"/>
  <c r="K372" i="1" s="1"/>
  <c r="E167" i="1"/>
  <c r="K167" i="1" s="1"/>
  <c r="E368" i="1"/>
  <c r="K368" i="1" s="1"/>
  <c r="E215" i="1"/>
  <c r="K215" i="1" s="1"/>
  <c r="L215" i="1" s="1"/>
  <c r="E370" i="1"/>
  <c r="K370" i="1" s="1"/>
  <c r="E153" i="1"/>
  <c r="K153" i="1" s="1"/>
  <c r="E317" i="1"/>
  <c r="K317" i="1" s="1"/>
  <c r="E182" i="1"/>
  <c r="K182" i="1" s="1"/>
  <c r="L182" i="1" s="1"/>
  <c r="E205" i="1"/>
  <c r="K205" i="1" s="1"/>
  <c r="L205" i="1" s="1"/>
  <c r="E328" i="1"/>
  <c r="K328" i="1" s="1"/>
  <c r="E251" i="1"/>
  <c r="K251" i="1" s="1"/>
  <c r="E72" i="1"/>
  <c r="K72" i="1" s="1"/>
  <c r="E75" i="1"/>
  <c r="K75" i="1" s="1"/>
  <c r="E87" i="1"/>
  <c r="K87" i="1" s="1"/>
  <c r="E55" i="1"/>
  <c r="K55" i="1" s="1"/>
  <c r="E69" i="1"/>
  <c r="K69" i="1" s="1"/>
  <c r="E66" i="1"/>
  <c r="K66" i="1" s="1"/>
  <c r="E74" i="1"/>
  <c r="K74" i="1" s="1"/>
  <c r="E84" i="1"/>
  <c r="K84" i="1" s="1"/>
  <c r="E58" i="1"/>
  <c r="K58" i="1" s="1"/>
  <c r="E51" i="1"/>
  <c r="K51" i="1" s="1"/>
  <c r="E76" i="1"/>
  <c r="K76" i="1" s="1"/>
  <c r="E73" i="1"/>
  <c r="K73" i="1" s="1"/>
  <c r="E52" i="1"/>
  <c r="K52" i="1" s="1"/>
  <c r="E77" i="1"/>
  <c r="K77" i="1" s="1"/>
  <c r="E85" i="1"/>
  <c r="K85" i="1" s="1"/>
  <c r="E60" i="1"/>
  <c r="K60" i="1" s="1"/>
  <c r="E63" i="1"/>
  <c r="K63" i="1" s="1"/>
  <c r="E83" i="1"/>
  <c r="K83" i="1" s="1"/>
  <c r="E56" i="1"/>
  <c r="K56" i="1" s="1"/>
  <c r="E64" i="1"/>
  <c r="K64" i="1" s="1"/>
  <c r="E62" i="1"/>
  <c r="K62" i="1" s="1"/>
  <c r="E54" i="1"/>
  <c r="K54" i="1" s="1"/>
  <c r="E70" i="1"/>
  <c r="K70" i="1" s="1"/>
  <c r="E80" i="1"/>
  <c r="K80" i="1" s="1"/>
  <c r="E90" i="1"/>
  <c r="K90" i="1" s="1"/>
  <c r="E86" i="1"/>
  <c r="K86" i="1" s="1"/>
  <c r="E88" i="1"/>
  <c r="K88" i="1" s="1"/>
  <c r="E57" i="1"/>
  <c r="K57" i="1" s="1"/>
  <c r="E53" i="1"/>
  <c r="K53" i="1" s="1"/>
  <c r="E81" i="1"/>
  <c r="K81" i="1" s="1"/>
  <c r="E50" i="1"/>
  <c r="K50" i="1" s="1"/>
  <c r="E61" i="1"/>
  <c r="K61" i="1" s="1"/>
  <c r="E79" i="1"/>
  <c r="K79" i="1" s="1"/>
  <c r="E49" i="1"/>
  <c r="K49" i="1" s="1"/>
  <c r="E82" i="1"/>
  <c r="K82" i="1" s="1"/>
  <c r="E92" i="1"/>
  <c r="K92" i="1" s="1"/>
  <c r="E91" i="1"/>
  <c r="K91" i="1" s="1"/>
  <c r="E59" i="1"/>
  <c r="K59" i="1" s="1"/>
  <c r="E78" i="1"/>
  <c r="K78" i="1" s="1"/>
  <c r="E89" i="1"/>
  <c r="K89" i="1" s="1"/>
  <c r="E71" i="1"/>
  <c r="K71" i="1" s="1"/>
  <c r="E65" i="1"/>
  <c r="K65" i="1" s="1"/>
  <c r="E68" i="1"/>
  <c r="K68" i="1" s="1"/>
  <c r="E67" i="1"/>
  <c r="K67" i="1" s="1"/>
  <c r="L67" i="1" s="1"/>
  <c r="O67" i="1" s="1"/>
  <c r="E93" i="1"/>
  <c r="K93" i="1" s="1"/>
  <c r="D170" i="1"/>
  <c r="J170" i="1" s="1"/>
  <c r="E19" i="1"/>
  <c r="K19" i="1" s="1"/>
  <c r="E22" i="1"/>
  <c r="K22" i="1" s="1"/>
  <c r="E10" i="1"/>
  <c r="K10" i="1" s="1"/>
  <c r="E12" i="1"/>
  <c r="K12" i="1" s="1"/>
  <c r="E23" i="1"/>
  <c r="K23" i="1" s="1"/>
  <c r="E14" i="1"/>
  <c r="K14" i="1" s="1"/>
  <c r="E18" i="1"/>
  <c r="K18" i="1" s="1"/>
  <c r="E20" i="1"/>
  <c r="K20" i="1" s="1"/>
  <c r="L20" i="1" s="1"/>
  <c r="E13" i="1"/>
  <c r="K13" i="1" s="1"/>
  <c r="E21" i="1"/>
  <c r="K21" i="1" s="1"/>
  <c r="E11" i="1"/>
  <c r="K11" i="1" s="1"/>
  <c r="E16" i="1"/>
  <c r="K16" i="1" s="1"/>
  <c r="E17" i="1"/>
  <c r="K17" i="1" s="1"/>
  <c r="E15" i="1"/>
  <c r="K15" i="1" s="1"/>
  <c r="E29" i="1"/>
  <c r="K29" i="1" s="1"/>
  <c r="E28" i="1"/>
  <c r="K28" i="1" s="1"/>
  <c r="E27" i="1"/>
  <c r="K27" i="1" s="1"/>
  <c r="L27" i="1" s="1"/>
  <c r="E31" i="1"/>
  <c r="K31" i="1" s="1"/>
  <c r="E26" i="1"/>
  <c r="K26" i="1" s="1"/>
  <c r="E25" i="1"/>
  <c r="K25" i="1" s="1"/>
  <c r="E30" i="1"/>
  <c r="K30" i="1" s="1"/>
  <c r="E24" i="1"/>
  <c r="K24" i="1" s="1"/>
  <c r="D303" i="1"/>
  <c r="J303" i="1" s="1"/>
  <c r="D129" i="1"/>
  <c r="J129" i="1" s="1"/>
  <c r="E45" i="1"/>
  <c r="K45" i="1" s="1"/>
  <c r="E48" i="1"/>
  <c r="K48" i="1" s="1"/>
  <c r="E34" i="1"/>
  <c r="K34" i="1" s="1"/>
  <c r="E44" i="1"/>
  <c r="K44" i="1" s="1"/>
  <c r="E32" i="1"/>
  <c r="K32" i="1" s="1"/>
  <c r="E35" i="1"/>
  <c r="K35" i="1" s="1"/>
  <c r="E43" i="1"/>
  <c r="K43" i="1" s="1"/>
  <c r="E37" i="1"/>
  <c r="K37" i="1" s="1"/>
  <c r="E46" i="1"/>
  <c r="K46" i="1" s="1"/>
  <c r="E38" i="1"/>
  <c r="K38" i="1" s="1"/>
  <c r="E42" i="1"/>
  <c r="K42" i="1" s="1"/>
  <c r="E33" i="1"/>
  <c r="K33" i="1" s="1"/>
  <c r="E47" i="1"/>
  <c r="K47" i="1" s="1"/>
  <c r="E40" i="1"/>
  <c r="K40" i="1" s="1"/>
  <c r="E36" i="1"/>
  <c r="K36" i="1" s="1"/>
  <c r="E39" i="1"/>
  <c r="K39" i="1" s="1"/>
  <c r="E41" i="1"/>
  <c r="K41" i="1" s="1"/>
  <c r="E4" i="1"/>
  <c r="K4" i="1" s="1"/>
  <c r="E6" i="1"/>
  <c r="K6" i="1" s="1"/>
  <c r="E7" i="1"/>
  <c r="K7" i="1" s="1"/>
  <c r="L7" i="1" s="1"/>
  <c r="E8" i="1"/>
  <c r="K8" i="1" s="1"/>
  <c r="E5" i="1"/>
  <c r="K5" i="1" s="1"/>
  <c r="E9" i="1"/>
  <c r="K9" i="1" s="1"/>
  <c r="D250" i="1"/>
  <c r="J250" i="1" s="1"/>
  <c r="L250" i="1" s="1"/>
  <c r="D165" i="1"/>
  <c r="J165" i="1" s="1"/>
  <c r="D98" i="1"/>
  <c r="J98" i="1" s="1"/>
  <c r="D158" i="1"/>
  <c r="J158" i="1" s="1"/>
  <c r="D397" i="1"/>
  <c r="J397" i="1" s="1"/>
  <c r="L397" i="1" s="1"/>
  <c r="D366" i="1"/>
  <c r="J366" i="1" s="1"/>
  <c r="D252" i="1"/>
  <c r="J252" i="1" s="1"/>
  <c r="D202" i="1"/>
  <c r="J202" i="1" s="1"/>
  <c r="L202" i="1" s="1"/>
  <c r="D99" i="1"/>
  <c r="J99" i="1" s="1"/>
  <c r="L99" i="1" s="1"/>
  <c r="D290" i="1"/>
  <c r="J290" i="1" s="1"/>
  <c r="L290" i="1" s="1"/>
  <c r="D237" i="1"/>
  <c r="J237" i="1" s="1"/>
  <c r="L237" i="1" s="1"/>
  <c r="D101" i="1"/>
  <c r="J101" i="1" s="1"/>
  <c r="D111" i="1"/>
  <c r="J111" i="1" s="1"/>
  <c r="D386" i="1"/>
  <c r="J386" i="1" s="1"/>
  <c r="L386" i="1" s="1"/>
  <c r="D284" i="1"/>
  <c r="J284" i="1" s="1"/>
  <c r="D183" i="1"/>
  <c r="J183" i="1" s="1"/>
  <c r="L183" i="1" s="1"/>
  <c r="D178" i="1"/>
  <c r="J178" i="1" s="1"/>
  <c r="D121" i="1"/>
  <c r="J121" i="1" s="1"/>
  <c r="D323" i="1"/>
  <c r="J323" i="1" s="1"/>
  <c r="D229" i="1"/>
  <c r="J229" i="1" s="1"/>
  <c r="D351" i="1"/>
  <c r="J351" i="1" s="1"/>
  <c r="D350" i="1"/>
  <c r="J350" i="1" s="1"/>
  <c r="D188" i="1"/>
  <c r="J188" i="1" s="1"/>
  <c r="D167" i="1"/>
  <c r="J167" i="1" s="1"/>
  <c r="D125" i="1"/>
  <c r="J125" i="1" s="1"/>
  <c r="D340" i="1"/>
  <c r="J340" i="1" s="1"/>
  <c r="D225" i="1"/>
  <c r="J225" i="1" s="1"/>
  <c r="D263" i="1"/>
  <c r="J263" i="1" s="1"/>
  <c r="D130" i="1"/>
  <c r="J130" i="1" s="1"/>
  <c r="O3" i="1"/>
  <c r="P3" i="1" s="1"/>
  <c r="D35" i="1"/>
  <c r="J35" i="1" s="1"/>
  <c r="L35" i="1" s="1"/>
  <c r="D45" i="1"/>
  <c r="J45" i="1" s="1"/>
  <c r="D36" i="1"/>
  <c r="J36" i="1" s="1"/>
  <c r="D46" i="1"/>
  <c r="J46" i="1" s="1"/>
  <c r="D47" i="1"/>
  <c r="J47" i="1" s="1"/>
  <c r="D33" i="1"/>
  <c r="J33" i="1" s="1"/>
  <c r="D37" i="1"/>
  <c r="J37" i="1" s="1"/>
  <c r="D48" i="1"/>
  <c r="J48" i="1" s="1"/>
  <c r="D50" i="1"/>
  <c r="J50" i="1" s="1"/>
  <c r="D74" i="1"/>
  <c r="J74" i="1" s="1"/>
  <c r="D52" i="1"/>
  <c r="J52" i="1" s="1"/>
  <c r="D29" i="1"/>
  <c r="J29" i="1" s="1"/>
  <c r="D72" i="1"/>
  <c r="J72" i="1" s="1"/>
  <c r="D87" i="1"/>
  <c r="J87" i="1" s="1"/>
  <c r="D70" i="1"/>
  <c r="J70" i="1" s="1"/>
  <c r="D83" i="1"/>
  <c r="J83" i="1" s="1"/>
  <c r="D89" i="1"/>
  <c r="J89" i="1" s="1"/>
  <c r="D92" i="1"/>
  <c r="J92" i="1" s="1"/>
  <c r="D62" i="1"/>
  <c r="J62" i="1" s="1"/>
  <c r="D8" i="1"/>
  <c r="J8" i="1" s="1"/>
  <c r="D9" i="1"/>
  <c r="J9" i="1" s="1"/>
  <c r="D39" i="1"/>
  <c r="J39" i="1" s="1"/>
  <c r="D84" i="1"/>
  <c r="J84" i="1" s="1"/>
  <c r="D28" i="1"/>
  <c r="J28" i="1" s="1"/>
  <c r="D42" i="1"/>
  <c r="J42" i="1" s="1"/>
  <c r="D56" i="1"/>
  <c r="J56" i="1" s="1"/>
  <c r="D51" i="1"/>
  <c r="J51" i="1" s="1"/>
  <c r="D41" i="1"/>
  <c r="J41" i="1" s="1"/>
  <c r="D34" i="1"/>
  <c r="J34" i="1" s="1"/>
  <c r="D32" i="1"/>
  <c r="J32" i="1" s="1"/>
  <c r="D43" i="1"/>
  <c r="J43" i="1" s="1"/>
  <c r="D40" i="1"/>
  <c r="J40" i="1" s="1"/>
  <c r="D26" i="1"/>
  <c r="J26" i="1" s="1"/>
  <c r="D6" i="1"/>
  <c r="J6" i="1" s="1"/>
  <c r="D5" i="1"/>
  <c r="J5" i="1" s="1"/>
  <c r="D38" i="1"/>
  <c r="J38" i="1" s="1"/>
  <c r="D91" i="1"/>
  <c r="J91" i="1" s="1"/>
  <c r="D65" i="1"/>
  <c r="J65" i="1" s="1"/>
  <c r="D85" i="1"/>
  <c r="J85" i="1" s="1"/>
  <c r="D54" i="1"/>
  <c r="J54" i="1" s="1"/>
  <c r="D60" i="1"/>
  <c r="J60" i="1" s="1"/>
  <c r="D59" i="1"/>
  <c r="J59" i="1" s="1"/>
  <c r="D73" i="1"/>
  <c r="J73" i="1" s="1"/>
  <c r="D82" i="1"/>
  <c r="J82" i="1" s="1"/>
  <c r="D24" i="1"/>
  <c r="J24" i="1" s="1"/>
  <c r="D55" i="1"/>
  <c r="J55" i="1" s="1"/>
  <c r="D75" i="1"/>
  <c r="J75" i="1" s="1"/>
  <c r="L75" i="1" s="1"/>
  <c r="D79" i="1"/>
  <c r="J79" i="1" s="1"/>
  <c r="D68" i="1"/>
  <c r="J68" i="1" s="1"/>
  <c r="D90" i="1"/>
  <c r="J90" i="1" s="1"/>
  <c r="D4" i="1"/>
  <c r="J4" i="1" s="1"/>
  <c r="D76" i="1"/>
  <c r="J76" i="1" s="1"/>
  <c r="D77" i="1"/>
  <c r="J77" i="1" s="1"/>
  <c r="D66" i="1"/>
  <c r="J66" i="1" s="1"/>
  <c r="D81" i="1"/>
  <c r="J81" i="1" s="1"/>
  <c r="D30" i="1"/>
  <c r="J30" i="1" s="1"/>
  <c r="L30" i="1" s="1"/>
  <c r="D69" i="1"/>
  <c r="J69" i="1" s="1"/>
  <c r="D64" i="1"/>
  <c r="J64" i="1" s="1"/>
  <c r="D88" i="1"/>
  <c r="J88" i="1" s="1"/>
  <c r="D71" i="1"/>
  <c r="J71" i="1" s="1"/>
  <c r="D31" i="1"/>
  <c r="J31" i="1" s="1"/>
  <c r="L31" i="1" s="1"/>
  <c r="D57" i="1"/>
  <c r="J57" i="1" s="1"/>
  <c r="D80" i="1"/>
  <c r="J80" i="1" s="1"/>
  <c r="D53" i="1"/>
  <c r="J53" i="1" s="1"/>
  <c r="D93" i="1"/>
  <c r="J93" i="1" s="1"/>
  <c r="D78" i="1"/>
  <c r="J78" i="1" s="1"/>
  <c r="D49" i="1"/>
  <c r="J49" i="1" s="1"/>
  <c r="D63" i="1"/>
  <c r="J63" i="1" s="1"/>
  <c r="D15" i="1"/>
  <c r="J15" i="1" s="1"/>
  <c r="O2" i="1"/>
  <c r="D61" i="1"/>
  <c r="J61" i="1" s="1"/>
  <c r="D58" i="1"/>
  <c r="J58" i="1" s="1"/>
  <c r="D86" i="1"/>
  <c r="J86" i="1" s="1"/>
  <c r="D25" i="1"/>
  <c r="J25" i="1" s="1"/>
  <c r="D12" i="1"/>
  <c r="J12" i="1" s="1"/>
  <c r="D21" i="1"/>
  <c r="J21" i="1" s="1"/>
  <c r="D19" i="1"/>
  <c r="J19" i="1" s="1"/>
  <c r="D11" i="1"/>
  <c r="J11" i="1" s="1"/>
  <c r="L11" i="1" s="1"/>
  <c r="D16" i="1"/>
  <c r="J16" i="1" s="1"/>
  <c r="L16" i="1" s="1"/>
  <c r="D23" i="1"/>
  <c r="J23" i="1" s="1"/>
  <c r="L23" i="1" s="1"/>
  <c r="D18" i="1"/>
  <c r="J18" i="1" s="1"/>
  <c r="D17" i="1"/>
  <c r="J17" i="1" s="1"/>
  <c r="D13" i="1"/>
  <c r="J13" i="1" s="1"/>
  <c r="D22" i="1"/>
  <c r="J22" i="1" s="1"/>
  <c r="D10" i="1"/>
  <c r="J10" i="1" s="1"/>
  <c r="D14" i="1"/>
  <c r="J14" i="1" s="1"/>
  <c r="L54" i="1" l="1"/>
  <c r="L28" i="1"/>
  <c r="L81" i="1"/>
  <c r="L14" i="1"/>
  <c r="L57" i="1"/>
  <c r="L66" i="1"/>
  <c r="L55" i="1"/>
  <c r="O55" i="1" s="1"/>
  <c r="P55" i="1" s="1"/>
  <c r="L229" i="1"/>
  <c r="O229" i="1" s="1"/>
  <c r="P229" i="1" s="1"/>
  <c r="L253" i="1"/>
  <c r="L98" i="1"/>
  <c r="L303" i="1"/>
  <c r="L271" i="1"/>
  <c r="L130" i="1"/>
  <c r="L374" i="1"/>
  <c r="O374" i="1" s="1"/>
  <c r="P374" i="1" s="1"/>
  <c r="L240" i="1"/>
  <c r="O240" i="1" s="1"/>
  <c r="P240" i="1" s="1"/>
  <c r="L310" i="1"/>
  <c r="O310" i="1" s="1"/>
  <c r="P310" i="1" s="1"/>
  <c r="L382" i="1"/>
  <c r="L399" i="1"/>
  <c r="O399" i="1" s="1"/>
  <c r="P399" i="1" s="1"/>
  <c r="L369" i="1"/>
  <c r="L83" i="1"/>
  <c r="L262" i="1"/>
  <c r="O262" i="1" s="1"/>
  <c r="P262" i="1" s="1"/>
  <c r="L268" i="1"/>
  <c r="O268" i="1" s="1"/>
  <c r="P268" i="1" s="1"/>
  <c r="L276" i="1"/>
  <c r="O276" i="1" s="1"/>
  <c r="P276" i="1" s="1"/>
  <c r="L336" i="1"/>
  <c r="O336" i="1" s="1"/>
  <c r="L266" i="1"/>
  <c r="L272" i="1"/>
  <c r="L174" i="1"/>
  <c r="L226" i="1"/>
  <c r="L157" i="1"/>
  <c r="O157" i="1" s="1"/>
  <c r="P157" i="1" s="1"/>
  <c r="L65" i="1"/>
  <c r="O65" i="1" s="1"/>
  <c r="P65" i="1" s="1"/>
  <c r="L344" i="1"/>
  <c r="O344" i="1" s="1"/>
  <c r="P344" i="1" s="1"/>
  <c r="L334" i="1"/>
  <c r="O334" i="1" s="1"/>
  <c r="P334" i="1" s="1"/>
  <c r="L101" i="1"/>
  <c r="L117" i="1"/>
  <c r="L396" i="1"/>
  <c r="L118" i="1"/>
  <c r="L115" i="1"/>
  <c r="O115" i="1" s="1"/>
  <c r="P115" i="1" s="1"/>
  <c r="L33" i="1"/>
  <c r="O33" i="1" s="1"/>
  <c r="P33" i="1" s="1"/>
  <c r="L287" i="1"/>
  <c r="O287" i="1" s="1"/>
  <c r="P287" i="1" s="1"/>
  <c r="L145" i="1"/>
  <c r="O145" i="1" s="1"/>
  <c r="P145" i="1" s="1"/>
  <c r="L200" i="1"/>
  <c r="O200" i="1" s="1"/>
  <c r="P200" i="1" s="1"/>
  <c r="L32" i="1"/>
  <c r="L76" i="1"/>
  <c r="L82" i="1"/>
  <c r="L121" i="1"/>
  <c r="O121" i="1" s="1"/>
  <c r="P121" i="1" s="1"/>
  <c r="L87" i="1"/>
  <c r="O87" i="1" s="1"/>
  <c r="P87" i="1" s="1"/>
  <c r="L178" i="1"/>
  <c r="L129" i="1"/>
  <c r="O129" i="1" s="1"/>
  <c r="P129" i="1" s="1"/>
  <c r="L199" i="1"/>
  <c r="O199" i="1" s="1"/>
  <c r="P199" i="1" s="1"/>
  <c r="L292" i="1"/>
  <c r="L160" i="1"/>
  <c r="L342" i="1"/>
  <c r="O342" i="1" s="1"/>
  <c r="L265" i="1"/>
  <c r="O265" i="1" s="1"/>
  <c r="P265" i="1" s="1"/>
  <c r="L112" i="1"/>
  <c r="O112" i="1" s="1"/>
  <c r="P112" i="1" s="1"/>
  <c r="L295" i="1"/>
  <c r="O295" i="1" s="1"/>
  <c r="P295" i="1" s="1"/>
  <c r="L15" i="1"/>
  <c r="O15" i="1" s="1"/>
  <c r="P15" i="1" s="1"/>
  <c r="L24" i="1"/>
  <c r="O24" i="1" s="1"/>
  <c r="P24" i="1" s="1"/>
  <c r="L73" i="1"/>
  <c r="L213" i="1"/>
  <c r="L309" i="1"/>
  <c r="L64" i="1"/>
  <c r="O64" i="1" s="1"/>
  <c r="P64" i="1" s="1"/>
  <c r="L105" i="1"/>
  <c r="O105" i="1" s="1"/>
  <c r="P105" i="1" s="1"/>
  <c r="L245" i="1"/>
  <c r="O245" i="1" s="1"/>
  <c r="P245" i="1" s="1"/>
  <c r="L320" i="1"/>
  <c r="O320" i="1" s="1"/>
  <c r="P320" i="1" s="1"/>
  <c r="L201" i="1"/>
  <c r="O201" i="1" s="1"/>
  <c r="P201" i="1" s="1"/>
  <c r="L40" i="1"/>
  <c r="L351" i="1"/>
  <c r="L111" i="1"/>
  <c r="L103" i="1"/>
  <c r="O103" i="1" s="1"/>
  <c r="P103" i="1" s="1"/>
  <c r="L384" i="1"/>
  <c r="O384" i="1" s="1"/>
  <c r="P384" i="1" s="1"/>
  <c r="L113" i="1"/>
  <c r="O113" i="1" s="1"/>
  <c r="P113" i="1" s="1"/>
  <c r="L8" i="1"/>
  <c r="O8" i="1" s="1"/>
  <c r="P8" i="1" s="1"/>
  <c r="L5" i="1"/>
  <c r="O5" i="1" s="1"/>
  <c r="L19" i="1"/>
  <c r="L225" i="1"/>
  <c r="L323" i="1"/>
  <c r="L49" i="1"/>
  <c r="O49" i="1" s="1"/>
  <c r="P49" i="1" s="1"/>
  <c r="L12" i="1"/>
  <c r="O12" i="1" s="1"/>
  <c r="P12" i="1" s="1"/>
  <c r="L88" i="1"/>
  <c r="O88" i="1" s="1"/>
  <c r="P88" i="1" s="1"/>
  <c r="L51" i="1"/>
  <c r="O51" i="1" s="1"/>
  <c r="P51" i="1" s="1"/>
  <c r="L17" i="1"/>
  <c r="O17" i="1" s="1"/>
  <c r="P17" i="1" s="1"/>
  <c r="L25" i="1"/>
  <c r="L59" i="1"/>
  <c r="O59" i="1" s="1"/>
  <c r="P59" i="1" s="1"/>
  <c r="L56" i="1"/>
  <c r="L92" i="1"/>
  <c r="O92" i="1" s="1"/>
  <c r="P92" i="1" s="1"/>
  <c r="L86" i="1"/>
  <c r="O86" i="1" s="1"/>
  <c r="P86" i="1" s="1"/>
  <c r="L68" i="1"/>
  <c r="O68" i="1" s="1"/>
  <c r="P68" i="1" s="1"/>
  <c r="L142" i="1"/>
  <c r="O142" i="1" s="1"/>
  <c r="P142" i="1" s="1"/>
  <c r="L367" i="1"/>
  <c r="O367" i="1" s="1"/>
  <c r="P367" i="1" s="1"/>
  <c r="L355" i="1"/>
  <c r="L186" i="1"/>
  <c r="O186" i="1" s="1"/>
  <c r="P186" i="1" s="1"/>
  <c r="L152" i="1"/>
  <c r="L328" i="1"/>
  <c r="O328" i="1" s="1"/>
  <c r="P328" i="1" s="1"/>
  <c r="L37" i="1"/>
  <c r="O37" i="1" s="1"/>
  <c r="L39" i="1"/>
  <c r="O39" i="1" s="1"/>
  <c r="P39" i="1" s="1"/>
  <c r="L77" i="1"/>
  <c r="O77" i="1" s="1"/>
  <c r="P77" i="1" s="1"/>
  <c r="L91" i="1"/>
  <c r="O91" i="1" s="1"/>
  <c r="P91" i="1" s="1"/>
  <c r="L9" i="1"/>
  <c r="L47" i="1"/>
  <c r="O47" i="1" s="1"/>
  <c r="P47" i="1" s="1"/>
  <c r="L318" i="1"/>
  <c r="L100" i="1"/>
  <c r="O100" i="1" s="1"/>
  <c r="P100" i="1" s="1"/>
  <c r="L34" i="1"/>
  <c r="O34" i="1" s="1"/>
  <c r="P34" i="1" s="1"/>
  <c r="L72" i="1"/>
  <c r="O72" i="1" s="1"/>
  <c r="P72" i="1" s="1"/>
  <c r="L71" i="1"/>
  <c r="O71" i="1" s="1"/>
  <c r="P71" i="1" s="1"/>
  <c r="L38" i="1"/>
  <c r="O38" i="1" s="1"/>
  <c r="P38" i="1" s="1"/>
  <c r="L337" i="1"/>
  <c r="O337" i="1" s="1"/>
  <c r="P337" i="1" s="1"/>
  <c r="L13" i="1"/>
  <c r="O13" i="1" s="1"/>
  <c r="P13" i="1" s="1"/>
  <c r="L4" i="1"/>
  <c r="L372" i="1"/>
  <c r="L236" i="1"/>
  <c r="O236" i="1" s="1"/>
  <c r="P236" i="1" s="1"/>
  <c r="L298" i="1"/>
  <c r="O298" i="1" s="1"/>
  <c r="P298" i="1" s="1"/>
  <c r="L135" i="1"/>
  <c r="O135" i="1" s="1"/>
  <c r="P135" i="1" s="1"/>
  <c r="L321" i="1"/>
  <c r="O321" i="1" s="1"/>
  <c r="P321" i="1" s="1"/>
  <c r="L63" i="1"/>
  <c r="O63" i="1" s="1"/>
  <c r="P63" i="1" s="1"/>
  <c r="L78" i="1"/>
  <c r="L90" i="1"/>
  <c r="L6" i="1"/>
  <c r="O6" i="1" s="1"/>
  <c r="P6" i="1" s="1"/>
  <c r="L74" i="1"/>
  <c r="O74" i="1" s="1"/>
  <c r="P74" i="1" s="1"/>
  <c r="L167" i="1"/>
  <c r="O167" i="1" s="1"/>
  <c r="P167" i="1" s="1"/>
  <c r="L223" i="1"/>
  <c r="O223" i="1" s="1"/>
  <c r="P223" i="1" s="1"/>
  <c r="L333" i="1"/>
  <c r="O333" i="1" s="1"/>
  <c r="L108" i="1"/>
  <c r="O108" i="1" s="1"/>
  <c r="P108" i="1" s="1"/>
  <c r="L219" i="1"/>
  <c r="O219" i="1" s="1"/>
  <c r="P219" i="1" s="1"/>
  <c r="L10" i="1"/>
  <c r="L21" i="1"/>
  <c r="O21" i="1" s="1"/>
  <c r="P21" i="1" s="1"/>
  <c r="L340" i="1"/>
  <c r="O340" i="1" s="1"/>
  <c r="P340" i="1" s="1"/>
  <c r="L60" i="1"/>
  <c r="O60" i="1" s="1"/>
  <c r="P60" i="1" s="1"/>
  <c r="L26" i="1"/>
  <c r="O26" i="1" s="1"/>
  <c r="P26" i="1" s="1"/>
  <c r="L42" i="1"/>
  <c r="O42" i="1" s="1"/>
  <c r="P42" i="1" s="1"/>
  <c r="L89" i="1"/>
  <c r="L50" i="1"/>
  <c r="O50" i="1" s="1"/>
  <c r="P50" i="1" s="1"/>
  <c r="L188" i="1"/>
  <c r="L291" i="1"/>
  <c r="O291" i="1" s="1"/>
  <c r="P291" i="1" s="1"/>
  <c r="L127" i="1"/>
  <c r="O127" i="1" s="1"/>
  <c r="P127" i="1" s="1"/>
  <c r="L368" i="1"/>
  <c r="O368" i="1" s="1"/>
  <c r="P368" i="1" s="1"/>
  <c r="L22" i="1"/>
  <c r="O22" i="1" s="1"/>
  <c r="P22" i="1" s="1"/>
  <c r="L58" i="1"/>
  <c r="O58" i="1" s="1"/>
  <c r="P58" i="1" s="1"/>
  <c r="L79" i="1"/>
  <c r="L48" i="1"/>
  <c r="O48" i="1" s="1"/>
  <c r="P48" i="1" s="1"/>
  <c r="L350" i="1"/>
  <c r="O350" i="1" s="1"/>
  <c r="P350" i="1" s="1"/>
  <c r="L370" i="1"/>
  <c r="O370" i="1" s="1"/>
  <c r="P370" i="1" s="1"/>
  <c r="L231" i="1"/>
  <c r="O231" i="1" s="1"/>
  <c r="P231" i="1" s="1"/>
  <c r="L61" i="1"/>
  <c r="O61" i="1" s="1"/>
  <c r="L80" i="1"/>
  <c r="O80" i="1" s="1"/>
  <c r="P80" i="1" s="1"/>
  <c r="L85" i="1"/>
  <c r="O85" i="1" s="1"/>
  <c r="L84" i="1"/>
  <c r="L70" i="1"/>
  <c r="O70" i="1" s="1"/>
  <c r="P70" i="1" s="1"/>
  <c r="L275" i="1"/>
  <c r="O275" i="1" s="1"/>
  <c r="P275" i="1" s="1"/>
  <c r="L176" i="1"/>
  <c r="O176" i="1" s="1"/>
  <c r="P176" i="1" s="1"/>
  <c r="L302" i="1"/>
  <c r="O302" i="1" s="1"/>
  <c r="P302" i="1" s="1"/>
  <c r="L156" i="1"/>
  <c r="O156" i="1" s="1"/>
  <c r="P156" i="1" s="1"/>
  <c r="L41" i="1"/>
  <c r="O41" i="1" s="1"/>
  <c r="P41" i="1" s="1"/>
  <c r="L29" i="1"/>
  <c r="O29" i="1" s="1"/>
  <c r="P29" i="1" s="1"/>
  <c r="L46" i="1"/>
  <c r="L284" i="1"/>
  <c r="O284" i="1" s="1"/>
  <c r="P284" i="1" s="1"/>
  <c r="L252" i="1"/>
  <c r="O252" i="1" s="1"/>
  <c r="P252" i="1" s="1"/>
  <c r="L195" i="1"/>
  <c r="O195" i="1" s="1"/>
  <c r="L356" i="1"/>
  <c r="O356" i="1" s="1"/>
  <c r="P356" i="1" s="1"/>
  <c r="L134" i="1"/>
  <c r="O134" i="1" s="1"/>
  <c r="L343" i="1"/>
  <c r="O343" i="1" s="1"/>
  <c r="P343" i="1" s="1"/>
  <c r="L171" i="1"/>
  <c r="O171" i="1" s="1"/>
  <c r="P171" i="1" s="1"/>
  <c r="L238" i="1"/>
  <c r="O238" i="1" s="1"/>
  <c r="P238" i="1" s="1"/>
  <c r="L394" i="1"/>
  <c r="O394" i="1" s="1"/>
  <c r="P394" i="1" s="1"/>
  <c r="L207" i="1"/>
  <c r="O207" i="1" s="1"/>
  <c r="P207" i="1" s="1"/>
  <c r="L359" i="1"/>
  <c r="O359" i="1" s="1"/>
  <c r="P359" i="1" s="1"/>
  <c r="L388" i="1"/>
  <c r="O388" i="1" s="1"/>
  <c r="L147" i="1"/>
  <c r="O147" i="1" s="1"/>
  <c r="P147" i="1" s="1"/>
  <c r="L317" i="1"/>
  <c r="O317" i="1" s="1"/>
  <c r="P317" i="1" s="1"/>
  <c r="L124" i="1"/>
  <c r="O124" i="1" s="1"/>
  <c r="P124" i="1" s="1"/>
  <c r="L104" i="1"/>
  <c r="O104" i="1" s="1"/>
  <c r="P104" i="1" s="1"/>
  <c r="O312" i="1"/>
  <c r="P312" i="1" s="1"/>
  <c r="O221" i="1"/>
  <c r="P221" i="1" s="1"/>
  <c r="O244" i="1"/>
  <c r="P244" i="1" s="1"/>
  <c r="L62" i="1"/>
  <c r="O62" i="1" s="1"/>
  <c r="P62" i="1" s="1"/>
  <c r="L52" i="1"/>
  <c r="O52" i="1" s="1"/>
  <c r="P52" i="1" s="1"/>
  <c r="L36" i="1"/>
  <c r="O36" i="1" s="1"/>
  <c r="P36" i="1" s="1"/>
  <c r="L366" i="1"/>
  <c r="O366" i="1" s="1"/>
  <c r="P366" i="1" s="1"/>
  <c r="O324" i="1"/>
  <c r="P324" i="1" s="1"/>
  <c r="O271" i="1"/>
  <c r="P271" i="1" s="1"/>
  <c r="L177" i="1"/>
  <c r="O177" i="1" s="1"/>
  <c r="P177" i="1" s="1"/>
  <c r="L364" i="1"/>
  <c r="O364" i="1" s="1"/>
  <c r="P364" i="1" s="1"/>
  <c r="L218" i="1"/>
  <c r="O218" i="1" s="1"/>
  <c r="P218" i="1" s="1"/>
  <c r="L391" i="1"/>
  <c r="O391" i="1" s="1"/>
  <c r="P391" i="1" s="1"/>
  <c r="L214" i="1"/>
  <c r="O214" i="1" s="1"/>
  <c r="P214" i="1" s="1"/>
  <c r="L120" i="1"/>
  <c r="O120" i="1" s="1"/>
  <c r="P120" i="1" s="1"/>
  <c r="L249" i="1"/>
  <c r="O249" i="1" s="1"/>
  <c r="P249" i="1" s="1"/>
  <c r="L387" i="1"/>
  <c r="O387" i="1" s="1"/>
  <c r="P387" i="1" s="1"/>
  <c r="L325" i="1"/>
  <c r="O325" i="1" s="1"/>
  <c r="P325" i="1" s="1"/>
  <c r="L327" i="1"/>
  <c r="O327" i="1" s="1"/>
  <c r="P327" i="1" s="1"/>
  <c r="L330" i="1"/>
  <c r="O330" i="1" s="1"/>
  <c r="P330" i="1" s="1"/>
  <c r="L110" i="1"/>
  <c r="O110" i="1" s="1"/>
  <c r="P110" i="1" s="1"/>
  <c r="L270" i="1"/>
  <c r="O270" i="1" s="1"/>
  <c r="P270" i="1" s="1"/>
  <c r="L346" i="1"/>
  <c r="O346" i="1" s="1"/>
  <c r="P346" i="1" s="1"/>
  <c r="L175" i="1"/>
  <c r="O175" i="1" s="1"/>
  <c r="P175" i="1" s="1"/>
  <c r="L379" i="1"/>
  <c r="O379" i="1" s="1"/>
  <c r="P379" i="1" s="1"/>
  <c r="L181" i="1"/>
  <c r="O181" i="1" s="1"/>
  <c r="P181" i="1" s="1"/>
  <c r="L122" i="1"/>
  <c r="O122" i="1" s="1"/>
  <c r="P122" i="1" s="1"/>
  <c r="L273" i="1"/>
  <c r="O273" i="1" s="1"/>
  <c r="P273" i="1" s="1"/>
  <c r="O160" i="1"/>
  <c r="P160" i="1" s="1"/>
  <c r="L45" i="1"/>
  <c r="O45" i="1" s="1"/>
  <c r="P45" i="1" s="1"/>
  <c r="O7" i="1"/>
  <c r="P7" i="1" s="1"/>
  <c r="O109" i="1"/>
  <c r="P109" i="1" s="1"/>
  <c r="O259" i="1"/>
  <c r="P259" i="1" s="1"/>
  <c r="O304" i="1"/>
  <c r="P304" i="1" s="1"/>
  <c r="O261" i="1"/>
  <c r="P261" i="1" s="1"/>
  <c r="O289" i="1"/>
  <c r="P289" i="1" s="1"/>
  <c r="L154" i="1"/>
  <c r="O154" i="1" s="1"/>
  <c r="P154" i="1" s="1"/>
  <c r="L190" i="1"/>
  <c r="O190" i="1" s="1"/>
  <c r="P190" i="1" s="1"/>
  <c r="L256" i="1"/>
  <c r="O256" i="1" s="1"/>
  <c r="P256" i="1" s="1"/>
  <c r="L352" i="1"/>
  <c r="O352" i="1" s="1"/>
  <c r="P352" i="1" s="1"/>
  <c r="L393" i="1"/>
  <c r="O393" i="1" s="1"/>
  <c r="P393" i="1" s="1"/>
  <c r="L106" i="1"/>
  <c r="O106" i="1" s="1"/>
  <c r="P106" i="1" s="1"/>
  <c r="L354" i="1"/>
  <c r="O354" i="1" s="1"/>
  <c r="P354" i="1" s="1"/>
  <c r="L311" i="1"/>
  <c r="O311" i="1" s="1"/>
  <c r="P311" i="1" s="1"/>
  <c r="L281" i="1"/>
  <c r="O281" i="1" s="1"/>
  <c r="P281" i="1" s="1"/>
  <c r="L360" i="1"/>
  <c r="O360" i="1" s="1"/>
  <c r="P360" i="1" s="1"/>
  <c r="L361" i="1"/>
  <c r="O361" i="1" s="1"/>
  <c r="P361" i="1" s="1"/>
  <c r="L131" i="1"/>
  <c r="O131" i="1" s="1"/>
  <c r="P131" i="1" s="1"/>
  <c r="L220" i="1"/>
  <c r="O220" i="1" s="1"/>
  <c r="P220" i="1" s="1"/>
  <c r="L279" i="1"/>
  <c r="O279" i="1" s="1"/>
  <c r="L189" i="1"/>
  <c r="O189" i="1" s="1"/>
  <c r="L283" i="1"/>
  <c r="L293" i="1"/>
  <c r="O293" i="1" s="1"/>
  <c r="P293" i="1" s="1"/>
  <c r="L44" i="1"/>
  <c r="O44" i="1" s="1"/>
  <c r="P44" i="1" s="1"/>
  <c r="L107" i="1"/>
  <c r="O107" i="1" s="1"/>
  <c r="P107" i="1" s="1"/>
  <c r="L331" i="1"/>
  <c r="O331" i="1" s="1"/>
  <c r="L180" i="1"/>
  <c r="O180" i="1" s="1"/>
  <c r="P180" i="1" s="1"/>
  <c r="L248" i="1"/>
  <c r="O248" i="1" s="1"/>
  <c r="P248" i="1" s="1"/>
  <c r="L209" i="1"/>
  <c r="O209" i="1" s="1"/>
  <c r="P209" i="1" s="1"/>
  <c r="L18" i="1"/>
  <c r="O18" i="1" s="1"/>
  <c r="L93" i="1"/>
  <c r="O93" i="1" s="1"/>
  <c r="P93" i="1" s="1"/>
  <c r="L263" i="1"/>
  <c r="O263" i="1" s="1"/>
  <c r="P263" i="1" s="1"/>
  <c r="L158" i="1"/>
  <c r="O158" i="1" s="1"/>
  <c r="P158" i="1" s="1"/>
  <c r="O215" i="1"/>
  <c r="P215" i="1" s="1"/>
  <c r="O305" i="1"/>
  <c r="P305" i="1" s="1"/>
  <c r="O116" i="1"/>
  <c r="P116" i="1" s="1"/>
  <c r="O95" i="1"/>
  <c r="P95" i="1" s="1"/>
  <c r="O285" i="1"/>
  <c r="P285" i="1" s="1"/>
  <c r="O292" i="1"/>
  <c r="P292" i="1" s="1"/>
  <c r="O371" i="1"/>
  <c r="P371" i="1" s="1"/>
  <c r="O123" i="1"/>
  <c r="P123" i="1" s="1"/>
  <c r="O253" i="1"/>
  <c r="P253" i="1" s="1"/>
  <c r="L358" i="1"/>
  <c r="O358" i="1" s="1"/>
  <c r="P358" i="1" s="1"/>
  <c r="L187" i="1"/>
  <c r="O187" i="1" s="1"/>
  <c r="P187" i="1" s="1"/>
  <c r="L357" i="1"/>
  <c r="O357" i="1" s="1"/>
  <c r="P357" i="1" s="1"/>
  <c r="L138" i="1"/>
  <c r="O138" i="1" s="1"/>
  <c r="P138" i="1" s="1"/>
  <c r="L335" i="1"/>
  <c r="O335" i="1" s="1"/>
  <c r="P335" i="1" s="1"/>
  <c r="L212" i="1"/>
  <c r="O212" i="1" s="1"/>
  <c r="P212" i="1" s="1"/>
  <c r="L137" i="1"/>
  <c r="O137" i="1" s="1"/>
  <c r="P137" i="1" s="1"/>
  <c r="L217" i="1"/>
  <c r="O217" i="1" s="1"/>
  <c r="P217" i="1" s="1"/>
  <c r="L247" i="1"/>
  <c r="O247" i="1" s="1"/>
  <c r="P247" i="1" s="1"/>
  <c r="L163" i="1"/>
  <c r="O163" i="1" s="1"/>
  <c r="P163" i="1" s="1"/>
  <c r="L326" i="1"/>
  <c r="O326" i="1" s="1"/>
  <c r="P326" i="1" s="1"/>
  <c r="L211" i="1"/>
  <c r="O211" i="1" s="1"/>
  <c r="P211" i="1" s="1"/>
  <c r="L132" i="1"/>
  <c r="O132" i="1" s="1"/>
  <c r="P132" i="1" s="1"/>
  <c r="L300" i="1"/>
  <c r="O300" i="1" s="1"/>
  <c r="P300" i="1" s="1"/>
  <c r="L191" i="1"/>
  <c r="O191" i="1" s="1"/>
  <c r="P191" i="1" s="1"/>
  <c r="L206" i="1"/>
  <c r="O206" i="1" s="1"/>
  <c r="P206" i="1" s="1"/>
  <c r="L332" i="1"/>
  <c r="O332" i="1" s="1"/>
  <c r="L297" i="1"/>
  <c r="O297" i="1" s="1"/>
  <c r="P297" i="1" s="1"/>
  <c r="L375" i="1"/>
  <c r="O375" i="1" s="1"/>
  <c r="P375" i="1" s="1"/>
  <c r="L96" i="1"/>
  <c r="O96" i="1" s="1"/>
  <c r="P96" i="1" s="1"/>
  <c r="L232" i="1"/>
  <c r="O232" i="1" s="1"/>
  <c r="P232" i="1" s="1"/>
  <c r="L286" i="1"/>
  <c r="O286" i="1" s="1"/>
  <c r="P286" i="1" s="1"/>
  <c r="O185" i="1"/>
  <c r="P185" i="1" s="1"/>
  <c r="O282" i="1"/>
  <c r="P282" i="1" s="1"/>
  <c r="L230" i="1"/>
  <c r="O230" i="1" s="1"/>
  <c r="P230" i="1" s="1"/>
  <c r="L69" i="1"/>
  <c r="O69" i="1" s="1"/>
  <c r="P69" i="1" s="1"/>
  <c r="L53" i="1"/>
  <c r="O53" i="1" s="1"/>
  <c r="P53" i="1" s="1"/>
  <c r="O260" i="1"/>
  <c r="P260" i="1" s="1"/>
  <c r="O272" i="1"/>
  <c r="P272" i="1" s="1"/>
  <c r="O376" i="1"/>
  <c r="P376" i="1" s="1"/>
  <c r="O174" i="1"/>
  <c r="P174" i="1" s="1"/>
  <c r="O254" i="1"/>
  <c r="P254" i="1" s="1"/>
  <c r="O226" i="1"/>
  <c r="P226" i="1" s="1"/>
  <c r="O152" i="1"/>
  <c r="P152" i="1" s="1"/>
  <c r="O148" i="1"/>
  <c r="P148" i="1" s="1"/>
  <c r="O339" i="1"/>
  <c r="P339" i="1" s="1"/>
  <c r="L197" i="1"/>
  <c r="O197" i="1" s="1"/>
  <c r="P197" i="1" s="1"/>
  <c r="L255" i="1"/>
  <c r="O255" i="1" s="1"/>
  <c r="P255" i="1" s="1"/>
  <c r="L322" i="1"/>
  <c r="O322" i="1" s="1"/>
  <c r="P322" i="1" s="1"/>
  <c r="L128" i="1"/>
  <c r="O128" i="1" s="1"/>
  <c r="P128" i="1" s="1"/>
  <c r="L385" i="1"/>
  <c r="O385" i="1" s="1"/>
  <c r="P385" i="1" s="1"/>
  <c r="L395" i="1"/>
  <c r="O395" i="1" s="1"/>
  <c r="P395" i="1" s="1"/>
  <c r="L258" i="1"/>
  <c r="O258" i="1" s="1"/>
  <c r="P258" i="1" s="1"/>
  <c r="L153" i="1"/>
  <c r="O153" i="1" s="1"/>
  <c r="P153" i="1" s="1"/>
  <c r="L315" i="1"/>
  <c r="O315" i="1" s="1"/>
  <c r="P315" i="1" s="1"/>
  <c r="L146" i="1"/>
  <c r="O146" i="1" s="1"/>
  <c r="P146" i="1" s="1"/>
  <c r="L94" i="1"/>
  <c r="L150" i="1"/>
  <c r="O150" i="1" s="1"/>
  <c r="P150" i="1" s="1"/>
  <c r="L235" i="1"/>
  <c r="O235" i="1" s="1"/>
  <c r="P235" i="1" s="1"/>
  <c r="L398" i="1"/>
  <c r="O398" i="1" s="1"/>
  <c r="P398" i="1" s="1"/>
  <c r="L301" i="1"/>
  <c r="O301" i="1" s="1"/>
  <c r="P301" i="1" s="1"/>
  <c r="L341" i="1"/>
  <c r="O341" i="1" s="1"/>
  <c r="P341" i="1" s="1"/>
  <c r="L149" i="1"/>
  <c r="O149" i="1" s="1"/>
  <c r="P149" i="1" s="1"/>
  <c r="L204" i="1"/>
  <c r="O204" i="1" s="1"/>
  <c r="P204" i="1" s="1"/>
  <c r="L280" i="1"/>
  <c r="O280" i="1" s="1"/>
  <c r="P280" i="1" s="1"/>
  <c r="L363" i="1"/>
  <c r="O363" i="1" s="1"/>
  <c r="P363" i="1" s="1"/>
  <c r="L243" i="1"/>
  <c r="O243" i="1" s="1"/>
  <c r="P243" i="1" s="1"/>
  <c r="L383" i="1"/>
  <c r="O383" i="1" s="1"/>
  <c r="P383" i="1" s="1"/>
  <c r="L164" i="1"/>
  <c r="O164" i="1" s="1"/>
  <c r="P164" i="1" s="1"/>
  <c r="O369" i="1"/>
  <c r="P369" i="1" s="1"/>
  <c r="L43" i="1"/>
  <c r="O43" i="1" s="1"/>
  <c r="P43" i="1" s="1"/>
  <c r="L165" i="1"/>
  <c r="O165" i="1" s="1"/>
  <c r="P165" i="1" s="1"/>
  <c r="O27" i="1"/>
  <c r="P27" i="1" s="1"/>
  <c r="O277" i="1"/>
  <c r="P277" i="1" s="1"/>
  <c r="O216" i="1"/>
  <c r="P216" i="1" s="1"/>
  <c r="O308" i="1"/>
  <c r="P308" i="1" s="1"/>
  <c r="O382" i="1"/>
  <c r="P382" i="1" s="1"/>
  <c r="O355" i="1"/>
  <c r="P355" i="1" s="1"/>
  <c r="O347" i="1"/>
  <c r="P347" i="1" s="1"/>
  <c r="O318" i="1"/>
  <c r="P318" i="1" s="1"/>
  <c r="O234" i="1"/>
  <c r="P234" i="1" s="1"/>
  <c r="L139" i="1"/>
  <c r="O139" i="1" s="1"/>
  <c r="P139" i="1" s="1"/>
  <c r="L299" i="1"/>
  <c r="O299" i="1" s="1"/>
  <c r="P299" i="1" s="1"/>
  <c r="L172" i="1"/>
  <c r="O172" i="1" s="1"/>
  <c r="P172" i="1" s="1"/>
  <c r="L267" i="1"/>
  <c r="O267" i="1" s="1"/>
  <c r="P267" i="1" s="1"/>
  <c r="L319" i="1"/>
  <c r="O319" i="1" s="1"/>
  <c r="P319" i="1" s="1"/>
  <c r="L345" i="1"/>
  <c r="O345" i="1" s="1"/>
  <c r="P345" i="1" s="1"/>
  <c r="L102" i="1"/>
  <c r="O102" i="1" s="1"/>
  <c r="P102" i="1" s="1"/>
  <c r="L155" i="1"/>
  <c r="O155" i="1" s="1"/>
  <c r="P155" i="1" s="1"/>
  <c r="L264" i="1"/>
  <c r="O264" i="1" s="1"/>
  <c r="P264" i="1" s="1"/>
  <c r="L208" i="1"/>
  <c r="O208" i="1" s="1"/>
  <c r="P208" i="1" s="1"/>
  <c r="L378" i="1"/>
  <c r="O378" i="1" s="1"/>
  <c r="P378" i="1" s="1"/>
  <c r="L119" i="1"/>
  <c r="O119" i="1" s="1"/>
  <c r="P119" i="1" s="1"/>
  <c r="L151" i="1"/>
  <c r="O151" i="1" s="1"/>
  <c r="P151" i="1" s="1"/>
  <c r="L257" i="1"/>
  <c r="O257" i="1" s="1"/>
  <c r="P257" i="1" s="1"/>
  <c r="L203" i="1"/>
  <c r="O203" i="1" s="1"/>
  <c r="P203" i="1" s="1"/>
  <c r="L314" i="1"/>
  <c r="O314" i="1" s="1"/>
  <c r="P314" i="1" s="1"/>
  <c r="L349" i="1"/>
  <c r="O349" i="1" s="1"/>
  <c r="P349" i="1" s="1"/>
  <c r="L179" i="1"/>
  <c r="O179" i="1" s="1"/>
  <c r="P179" i="1" s="1"/>
  <c r="L362" i="1"/>
  <c r="O362" i="1" s="1"/>
  <c r="P362" i="1" s="1"/>
  <c r="L192" i="1"/>
  <c r="O192" i="1" s="1"/>
  <c r="P192" i="1" s="1"/>
  <c r="L329" i="1"/>
  <c r="O329" i="1" s="1"/>
  <c r="P329" i="1" s="1"/>
  <c r="L288" i="1"/>
  <c r="O288" i="1" s="1"/>
  <c r="P288" i="1" s="1"/>
  <c r="L184" i="1"/>
  <c r="L251" i="1"/>
  <c r="L133" i="1"/>
  <c r="O133" i="1" s="1"/>
  <c r="P133" i="1" s="1"/>
  <c r="L114" i="1"/>
  <c r="O114" i="1" s="1"/>
  <c r="P114" i="1" s="1"/>
  <c r="L97" i="1"/>
  <c r="O97" i="1" s="1"/>
  <c r="P97" i="1" s="1"/>
  <c r="L166" i="1"/>
  <c r="O166" i="1" s="1"/>
  <c r="P166" i="1" s="1"/>
  <c r="L141" i="1"/>
  <c r="O141" i="1" s="1"/>
  <c r="P141" i="1" s="1"/>
  <c r="O182" i="1"/>
  <c r="P182" i="1" s="1"/>
  <c r="O118" i="1"/>
  <c r="P118" i="1" s="1"/>
  <c r="L125" i="1"/>
  <c r="O20" i="1"/>
  <c r="P20" i="1" s="1"/>
  <c r="L170" i="1"/>
  <c r="O170" i="1" s="1"/>
  <c r="P170" i="1" s="1"/>
  <c r="O205" i="1"/>
  <c r="P205" i="1" s="1"/>
  <c r="O143" i="1"/>
  <c r="P143" i="1" s="1"/>
  <c r="O193" i="1"/>
  <c r="P193" i="1" s="1"/>
  <c r="O210" i="1"/>
  <c r="P210" i="1" s="1"/>
  <c r="O117" i="1"/>
  <c r="P117" i="1" s="1"/>
  <c r="O213" i="1"/>
  <c r="P213" i="1" s="1"/>
  <c r="O309" i="1"/>
  <c r="P309" i="1" s="1"/>
  <c r="O140" i="1"/>
  <c r="P140" i="1" s="1"/>
  <c r="O246" i="1"/>
  <c r="P246" i="1" s="1"/>
  <c r="O396" i="1"/>
  <c r="P396" i="1" s="1"/>
  <c r="L168" i="1"/>
  <c r="O168" i="1" s="1"/>
  <c r="P168" i="1" s="1"/>
  <c r="L348" i="1"/>
  <c r="O348" i="1" s="1"/>
  <c r="P348" i="1" s="1"/>
  <c r="L390" i="1"/>
  <c r="O390" i="1" s="1"/>
  <c r="P390" i="1" s="1"/>
  <c r="L162" i="1"/>
  <c r="O162" i="1" s="1"/>
  <c r="P162" i="1" s="1"/>
  <c r="L381" i="1"/>
  <c r="O381" i="1" s="1"/>
  <c r="P381" i="1" s="1"/>
  <c r="L222" i="1"/>
  <c r="O222" i="1" s="1"/>
  <c r="P222" i="1" s="1"/>
  <c r="L161" i="1"/>
  <c r="O161" i="1" s="1"/>
  <c r="P161" i="1" s="1"/>
  <c r="L227" i="1"/>
  <c r="O227" i="1" s="1"/>
  <c r="P227" i="1" s="1"/>
  <c r="L294" i="1"/>
  <c r="O294" i="1" s="1"/>
  <c r="P294" i="1" s="1"/>
  <c r="L274" i="1"/>
  <c r="O274" i="1" s="1"/>
  <c r="P274" i="1" s="1"/>
  <c r="L338" i="1"/>
  <c r="O338" i="1" s="1"/>
  <c r="P338" i="1" s="1"/>
  <c r="L126" i="1"/>
  <c r="O126" i="1" s="1"/>
  <c r="P126" i="1" s="1"/>
  <c r="L173" i="1"/>
  <c r="O173" i="1" s="1"/>
  <c r="P173" i="1" s="1"/>
  <c r="L198" i="1"/>
  <c r="O198" i="1" s="1"/>
  <c r="P198" i="1" s="1"/>
  <c r="L239" i="1"/>
  <c r="O239" i="1" s="1"/>
  <c r="P239" i="1" s="1"/>
  <c r="L242" i="1"/>
  <c r="O242" i="1" s="1"/>
  <c r="P242" i="1" s="1"/>
  <c r="L269" i="1"/>
  <c r="O269" i="1" s="1"/>
  <c r="L233" i="1"/>
  <c r="O233" i="1" s="1"/>
  <c r="P233" i="1" s="1"/>
  <c r="L316" i="1"/>
  <c r="O316" i="1" s="1"/>
  <c r="P316" i="1" s="1"/>
  <c r="L365" i="1"/>
  <c r="O365" i="1" s="1"/>
  <c r="P365" i="1" s="1"/>
  <c r="L194" i="1"/>
  <c r="O194" i="1" s="1"/>
  <c r="P194" i="1" s="1"/>
  <c r="L389" i="1"/>
  <c r="O389" i="1" s="1"/>
  <c r="P389" i="1" s="1"/>
  <c r="L228" i="1"/>
  <c r="O228" i="1" s="1"/>
  <c r="P228" i="1" s="1"/>
  <c r="L159" i="1"/>
  <c r="O159" i="1" s="1"/>
  <c r="P159" i="1" s="1"/>
  <c r="L278" i="1"/>
  <c r="O278" i="1" s="1"/>
  <c r="P278" i="1" s="1"/>
  <c r="L392" i="1"/>
  <c r="O392" i="1" s="1"/>
  <c r="P392" i="1" s="1"/>
  <c r="L196" i="1"/>
  <c r="O196" i="1" s="1"/>
  <c r="P196" i="1" s="1"/>
  <c r="L307" i="1"/>
  <c r="O307" i="1" s="1"/>
  <c r="P307" i="1" s="1"/>
  <c r="L377" i="1"/>
  <c r="O377" i="1" s="1"/>
  <c r="P377" i="1" s="1"/>
  <c r="L224" i="1"/>
  <c r="O224" i="1" s="1"/>
  <c r="P224" i="1" s="1"/>
  <c r="L306" i="1"/>
  <c r="O306" i="1" s="1"/>
  <c r="P306" i="1" s="1"/>
  <c r="L136" i="1"/>
  <c r="O136" i="1" s="1"/>
  <c r="P136" i="1" s="1"/>
  <c r="L241" i="1"/>
  <c r="O241" i="1" s="1"/>
  <c r="P241" i="1" s="1"/>
  <c r="O4" i="1"/>
  <c r="P4" i="1" s="1"/>
  <c r="O23" i="1"/>
  <c r="P23" i="1" s="1"/>
  <c r="O84" i="1"/>
  <c r="P84" i="1" s="1"/>
  <c r="O99" i="1"/>
  <c r="P99" i="1" s="1"/>
  <c r="O40" i="1"/>
  <c r="P40" i="1" s="1"/>
  <c r="O28" i="1"/>
  <c r="P28" i="1" s="1"/>
  <c r="O66" i="1"/>
  <c r="P66" i="1" s="1"/>
  <c r="O303" i="1"/>
  <c r="P303" i="1" s="1"/>
  <c r="O266" i="1"/>
  <c r="P266" i="1" s="1"/>
  <c r="O111" i="1"/>
  <c r="P111" i="1" s="1"/>
  <c r="O101" i="1"/>
  <c r="P101" i="1" s="1"/>
  <c r="O323" i="1"/>
  <c r="P323" i="1" s="1"/>
  <c r="O237" i="1"/>
  <c r="P237" i="1" s="1"/>
  <c r="O25" i="1"/>
  <c r="P25" i="1" s="1"/>
  <c r="O397" i="1"/>
  <c r="P397" i="1" s="1"/>
  <c r="O10" i="1"/>
  <c r="P10" i="1" s="1"/>
  <c r="O78" i="1"/>
  <c r="P78" i="1" s="1"/>
  <c r="O250" i="1"/>
  <c r="P250" i="1" s="1"/>
  <c r="O130" i="1"/>
  <c r="P130" i="1" s="1"/>
  <c r="O290" i="1"/>
  <c r="P290" i="1" s="1"/>
  <c r="O57" i="1"/>
  <c r="P57" i="1" s="1"/>
  <c r="O9" i="1"/>
  <c r="P9" i="1" s="1"/>
  <c r="O82" i="1"/>
  <c r="P82" i="1" s="1"/>
  <c r="O183" i="1"/>
  <c r="P183" i="1" s="1"/>
  <c r="O202" i="1"/>
  <c r="P202" i="1" s="1"/>
  <c r="O188" i="1"/>
  <c r="P188" i="1" s="1"/>
  <c r="O90" i="1"/>
  <c r="P90" i="1" s="1"/>
  <c r="O89" i="1"/>
  <c r="O351" i="1"/>
  <c r="P351" i="1" s="1"/>
  <c r="O81" i="1"/>
  <c r="P81" i="1" s="1"/>
  <c r="O19" i="1"/>
  <c r="P19" i="1" s="1"/>
  <c r="O31" i="1"/>
  <c r="O76" i="1"/>
  <c r="P76" i="1" s="1"/>
  <c r="O46" i="1"/>
  <c r="P46" i="1" s="1"/>
  <c r="O56" i="1"/>
  <c r="P56" i="1" s="1"/>
  <c r="O30" i="1"/>
  <c r="P30" i="1" s="1"/>
  <c r="O79" i="1"/>
  <c r="P79" i="1" s="1"/>
  <c r="O54" i="1"/>
  <c r="P54" i="1" s="1"/>
  <c r="O16" i="1"/>
  <c r="P16" i="1" s="1"/>
  <c r="O75" i="1"/>
  <c r="P75" i="1" s="1"/>
  <c r="O35" i="1"/>
  <c r="P35" i="1" s="1"/>
  <c r="O83" i="1"/>
  <c r="P83" i="1" s="1"/>
  <c r="P342" i="1"/>
  <c r="O14" i="1"/>
  <c r="P14" i="1" s="1"/>
  <c r="O11" i="1"/>
  <c r="P11" i="1" s="1"/>
  <c r="P2" i="1"/>
  <c r="O32" i="1"/>
  <c r="P32" i="1" s="1"/>
  <c r="P67" i="1"/>
  <c r="P380" i="1"/>
  <c r="P144" i="1"/>
  <c r="M2" i="1"/>
  <c r="P336" i="1" l="1"/>
  <c r="P333" i="1"/>
  <c r="P331" i="1"/>
  <c r="P134" i="1"/>
  <c r="O125" i="1"/>
  <c r="P125" i="1" s="1"/>
  <c r="P279" i="1"/>
  <c r="O372" i="1"/>
  <c r="P372" i="1" s="1"/>
  <c r="O283" i="1"/>
  <c r="P283" i="1" s="1"/>
  <c r="P189" i="1"/>
  <c r="P388" i="1"/>
  <c r="P332" i="1"/>
  <c r="O94" i="1"/>
  <c r="P94" i="1" s="1"/>
  <c r="P269" i="1"/>
  <c r="O251" i="1"/>
  <c r="P251" i="1" s="1"/>
  <c r="O184" i="1"/>
  <c r="P184" i="1" s="1"/>
  <c r="P195" i="1"/>
  <c r="P89" i="1"/>
  <c r="O73" i="1"/>
  <c r="P73" i="1" s="1"/>
  <c r="O178" i="1"/>
  <c r="P178" i="1" s="1"/>
  <c r="O98" i="1"/>
  <c r="P98" i="1" s="1"/>
  <c r="O225" i="1"/>
  <c r="P225" i="1" s="1"/>
  <c r="O386" i="1"/>
  <c r="P386" i="1" s="1"/>
  <c r="P37" i="1"/>
  <c r="P31" i="1"/>
  <c r="P85" i="1"/>
  <c r="P61" i="1"/>
  <c r="P5" i="1"/>
  <c r="Q1" i="1"/>
  <c r="P18" i="1"/>
  <c r="Q59" i="1" l="1"/>
  <c r="R59" i="1" s="1"/>
  <c r="Q69" i="1"/>
  <c r="R69" i="1" s="1"/>
  <c r="Q29" i="1"/>
  <c r="R29" i="1" s="1"/>
  <c r="Q340" i="1"/>
  <c r="R340" i="1" s="1"/>
  <c r="Q9" i="1"/>
  <c r="R9" i="1" s="1"/>
  <c r="Q286" i="1"/>
  <c r="R286" i="1" s="1"/>
  <c r="Q390" i="1"/>
  <c r="R390" i="1" s="1"/>
  <c r="Q320" i="1"/>
  <c r="R320" i="1" s="1"/>
  <c r="D15" i="6" s="1"/>
  <c r="E15" i="6" s="1"/>
  <c r="Q93" i="1"/>
  <c r="R93" i="1" s="1"/>
  <c r="Q136" i="1"/>
  <c r="R136" i="1" s="1"/>
  <c r="Q67" i="1"/>
  <c r="R67" i="1" s="1"/>
  <c r="Q89" i="1"/>
  <c r="R89" i="1" s="1"/>
  <c r="Q24" i="1"/>
  <c r="R24" i="1" s="1"/>
  <c r="Q216" i="1"/>
  <c r="R216" i="1" s="1"/>
  <c r="Q92" i="1"/>
  <c r="R92" i="1" s="1"/>
  <c r="Q332" i="1"/>
  <c r="R332" i="1" s="1"/>
  <c r="Q42" i="1"/>
  <c r="R42" i="1" s="1"/>
  <c r="Q23" i="1"/>
  <c r="R23" i="1" s="1"/>
  <c r="Q131" i="1"/>
  <c r="R131" i="1" s="1"/>
  <c r="Q300" i="1"/>
  <c r="R300" i="1" s="1"/>
  <c r="Q323" i="1"/>
  <c r="R323" i="1" s="1"/>
  <c r="Q165" i="1"/>
  <c r="R165" i="1" s="1"/>
  <c r="Q376" i="1"/>
  <c r="R376" i="1" s="1"/>
  <c r="Q28" i="1"/>
  <c r="R28" i="1" s="1"/>
  <c r="Q10" i="1"/>
  <c r="R10" i="1" s="1"/>
  <c r="Q333" i="1"/>
  <c r="R333" i="1" s="1"/>
  <c r="Q236" i="1"/>
  <c r="R236" i="1" s="1"/>
  <c r="Q277" i="1"/>
  <c r="R277" i="1" s="1"/>
  <c r="Q72" i="1"/>
  <c r="R72" i="1" s="1"/>
  <c r="Q74" i="1"/>
  <c r="R74" i="1" s="1"/>
  <c r="Q397" i="1"/>
  <c r="R397" i="1" s="1"/>
  <c r="Q302" i="1"/>
  <c r="R302" i="1" s="1"/>
  <c r="Q66" i="1"/>
  <c r="R66" i="1" s="1"/>
  <c r="Q17" i="1"/>
  <c r="R17" i="1" s="1"/>
  <c r="Q388" i="1"/>
  <c r="R388" i="1" s="1"/>
  <c r="Q6" i="1"/>
  <c r="R6" i="1" s="1"/>
  <c r="D2" i="6" s="1"/>
  <c r="Q79" i="1"/>
  <c r="R79" i="1" s="1"/>
  <c r="Q364" i="1"/>
  <c r="R364" i="1" s="1"/>
  <c r="Q80" i="1"/>
  <c r="R80" i="1" s="1"/>
  <c r="Q48" i="1"/>
  <c r="R48" i="1" s="1"/>
  <c r="Q32" i="1"/>
  <c r="R32" i="1" s="1"/>
  <c r="Q363" i="1"/>
  <c r="R363" i="1" s="1"/>
  <c r="Q71" i="1"/>
  <c r="R71" i="1" s="1"/>
  <c r="D14" i="6" s="1"/>
  <c r="E14" i="6" s="1"/>
  <c r="Q54" i="1"/>
  <c r="R54" i="1" s="1"/>
  <c r="Q11" i="1"/>
  <c r="R11" i="1" s="1"/>
  <c r="Q276" i="1"/>
  <c r="R276" i="1" s="1"/>
  <c r="Q189" i="1"/>
  <c r="R189" i="1" s="1"/>
  <c r="D13" i="6" s="1"/>
  <c r="E13" i="6" s="1"/>
  <c r="Q184" i="1"/>
  <c r="R184" i="1" s="1"/>
  <c r="Q25" i="1"/>
  <c r="R25" i="1" s="1"/>
  <c r="Q318" i="1"/>
  <c r="R318" i="1" s="1"/>
  <c r="Q148" i="1"/>
  <c r="R148" i="1" s="1"/>
  <c r="Q12" i="1"/>
  <c r="R12" i="1" s="1"/>
  <c r="Q43" i="1"/>
  <c r="R43" i="1" s="1"/>
  <c r="D9" i="6" s="1"/>
  <c r="E9" i="6" s="1"/>
  <c r="Q60" i="1"/>
  <c r="R60" i="1" s="1"/>
  <c r="Q63" i="1"/>
  <c r="R63" i="1" s="1"/>
  <c r="Q341" i="1"/>
  <c r="R341" i="1" s="1"/>
  <c r="Q144" i="1"/>
  <c r="R144" i="1" s="1"/>
  <c r="Q159" i="1"/>
  <c r="R159" i="1" s="1"/>
  <c r="Q55" i="1"/>
  <c r="R55" i="1" s="1"/>
  <c r="Q87" i="1"/>
  <c r="R87" i="1" s="1"/>
  <c r="Q336" i="1"/>
  <c r="R336" i="1" s="1"/>
  <c r="D4" i="6" s="1"/>
  <c r="E4" i="6" s="1"/>
  <c r="Q380" i="1"/>
  <c r="R380" i="1" s="1"/>
  <c r="D33" i="6" s="1"/>
  <c r="E33" i="6" s="1"/>
  <c r="Q166" i="1"/>
  <c r="R166" i="1" s="1"/>
  <c r="Q57" i="1"/>
  <c r="R57" i="1" s="1"/>
  <c r="Q82" i="1"/>
  <c r="R82" i="1" s="1"/>
  <c r="Q26" i="1"/>
  <c r="R26" i="1" s="1"/>
  <c r="Q260" i="1"/>
  <c r="R260" i="1" s="1"/>
  <c r="Q73" i="1"/>
  <c r="R73" i="1" s="1"/>
  <c r="Q366" i="1"/>
  <c r="R366" i="1" s="1"/>
  <c r="Q293" i="1"/>
  <c r="R293" i="1" s="1"/>
  <c r="Q52" i="1"/>
  <c r="R52" i="1" s="1"/>
  <c r="D20" i="6" s="1"/>
  <c r="E20" i="6" s="1"/>
  <c r="Q40" i="1"/>
  <c r="R40" i="1" s="1"/>
  <c r="D26" i="6" s="1"/>
  <c r="E26" i="6" s="1"/>
  <c r="Q76" i="1"/>
  <c r="R76" i="1" s="1"/>
  <c r="D3" i="6" s="1"/>
  <c r="E3" i="6" s="1"/>
  <c r="Q85" i="1"/>
  <c r="R85" i="1" s="1"/>
  <c r="Q83" i="1"/>
  <c r="R83" i="1" s="1"/>
  <c r="Q31" i="1"/>
  <c r="R31" i="1" s="1"/>
  <c r="Q18" i="1"/>
  <c r="R18" i="1" s="1"/>
  <c r="Q123" i="1"/>
  <c r="R123" i="1" s="1"/>
  <c r="Q193" i="1"/>
  <c r="R193" i="1" s="1"/>
  <c r="Q97" i="1"/>
  <c r="R97" i="1" s="1"/>
  <c r="Q231" i="1"/>
  <c r="R231" i="1" s="1"/>
  <c r="Q358" i="1"/>
  <c r="R358" i="1" s="1"/>
  <c r="Q147" i="1"/>
  <c r="R147" i="1" s="1"/>
  <c r="Q191" i="1"/>
  <c r="R191" i="1" s="1"/>
  <c r="Q27" i="1"/>
  <c r="R27" i="1" s="1"/>
  <c r="Q192" i="1"/>
  <c r="R192" i="1" s="1"/>
  <c r="Q282" i="1"/>
  <c r="R282" i="1" s="1"/>
  <c r="Q233" i="1"/>
  <c r="R233" i="1" s="1"/>
  <c r="Q228" i="1"/>
  <c r="R228" i="1" s="1"/>
  <c r="Q169" i="1"/>
  <c r="R169" i="1" s="1"/>
  <c r="Q243" i="1"/>
  <c r="R243" i="1" s="1"/>
  <c r="Q253" i="1"/>
  <c r="R253" i="1" s="1"/>
  <c r="D22" i="6" s="1"/>
  <c r="E22" i="6" s="1"/>
  <c r="Q155" i="1"/>
  <c r="R155" i="1" s="1"/>
  <c r="Q176" i="1"/>
  <c r="R176" i="1" s="1"/>
  <c r="Q108" i="1"/>
  <c r="R108" i="1" s="1"/>
  <c r="Q20" i="1"/>
  <c r="R20" i="1" s="1"/>
  <c r="Q121" i="1"/>
  <c r="R121" i="1" s="1"/>
  <c r="Q258" i="1"/>
  <c r="R258" i="1" s="1"/>
  <c r="Q271" i="1"/>
  <c r="R271" i="1" s="1"/>
  <c r="Q227" i="1"/>
  <c r="R227" i="1" s="1"/>
  <c r="Q207" i="1"/>
  <c r="R207" i="1" s="1"/>
  <c r="Q264" i="1"/>
  <c r="R264" i="1" s="1"/>
  <c r="Q375" i="1"/>
  <c r="R375" i="1" s="1"/>
  <c r="Q210" i="1"/>
  <c r="R210" i="1" s="1"/>
  <c r="Q297" i="1"/>
  <c r="R297" i="1" s="1"/>
  <c r="Q129" i="1"/>
  <c r="R129" i="1" s="1"/>
  <c r="Q212" i="1"/>
  <c r="R212" i="1" s="1"/>
  <c r="Q330" i="1"/>
  <c r="R330" i="1" s="1"/>
  <c r="Q346" i="1"/>
  <c r="R346" i="1" s="1"/>
  <c r="D5" i="6" s="1"/>
  <c r="E5" i="6" s="1"/>
  <c r="Q280" i="1"/>
  <c r="R280" i="1" s="1"/>
  <c r="Q350" i="1"/>
  <c r="R350" i="1" s="1"/>
  <c r="Q112" i="1"/>
  <c r="R112" i="1" s="1"/>
  <c r="Q149" i="1"/>
  <c r="R149" i="1" s="1"/>
  <c r="Q175" i="1"/>
  <c r="R175" i="1" s="1"/>
  <c r="Q215" i="1"/>
  <c r="R215" i="1" s="1"/>
  <c r="Q224" i="1"/>
  <c r="R224" i="1" s="1"/>
  <c r="Q127" i="1"/>
  <c r="R127" i="1" s="1"/>
  <c r="Q240" i="1"/>
  <c r="R240" i="1" s="1"/>
  <c r="Q170" i="1"/>
  <c r="R170" i="1" s="1"/>
  <c r="Q379" i="1"/>
  <c r="R379" i="1" s="1"/>
  <c r="Q322" i="1"/>
  <c r="R322" i="1" s="1"/>
  <c r="Q385" i="1"/>
  <c r="R385" i="1" s="1"/>
  <c r="Q153" i="1"/>
  <c r="R153" i="1" s="1"/>
  <c r="Q298" i="1"/>
  <c r="R298" i="1" s="1"/>
  <c r="D31" i="6" s="1"/>
  <c r="E31" i="6" s="1"/>
  <c r="Q365" i="1"/>
  <c r="R365" i="1" s="1"/>
  <c r="Q3" i="1"/>
  <c r="R3" i="1" s="1"/>
  <c r="Q167" i="1"/>
  <c r="R167" i="1" s="1"/>
  <c r="Q285" i="1"/>
  <c r="R285" i="1" s="1"/>
  <c r="Q211" i="1"/>
  <c r="R211" i="1" s="1"/>
  <c r="Q197" i="1"/>
  <c r="R197" i="1" s="1"/>
  <c r="Q386" i="1"/>
  <c r="R386" i="1" s="1"/>
  <c r="Q289" i="1"/>
  <c r="R289" i="1" s="1"/>
  <c r="Q164" i="1"/>
  <c r="R164" i="1" s="1"/>
  <c r="Q344" i="1"/>
  <c r="R344" i="1" s="1"/>
  <c r="Q352" i="1"/>
  <c r="R352" i="1" s="1"/>
  <c r="Q310" i="1"/>
  <c r="R310" i="1" s="1"/>
  <c r="Q294" i="1"/>
  <c r="R294" i="1" s="1"/>
  <c r="Q328" i="1"/>
  <c r="R328" i="1" s="1"/>
  <c r="Q274" i="1"/>
  <c r="R274" i="1" s="1"/>
  <c r="Q321" i="1"/>
  <c r="R321" i="1" s="1"/>
  <c r="Q314" i="1"/>
  <c r="R314" i="1" s="1"/>
  <c r="Q362" i="1"/>
  <c r="R362" i="1" s="1"/>
  <c r="Q7" i="1"/>
  <c r="R7" i="1" s="1"/>
  <c r="Q209" i="1"/>
  <c r="R209" i="1" s="1"/>
  <c r="Q174" i="1"/>
  <c r="R174" i="1" s="1"/>
  <c r="Q213" i="1"/>
  <c r="R213" i="1" s="1"/>
  <c r="Q157" i="1"/>
  <c r="R157" i="1" s="1"/>
  <c r="D25" i="6" s="1"/>
  <c r="E25" i="6" s="1"/>
  <c r="Q374" i="1"/>
  <c r="R374" i="1" s="1"/>
  <c r="Q317" i="1"/>
  <c r="R317" i="1" s="1"/>
  <c r="D23" i="6" s="1"/>
  <c r="E23" i="6" s="1"/>
  <c r="Q201" i="1"/>
  <c r="R201" i="1" s="1"/>
  <c r="Q398" i="1"/>
  <c r="R398" i="1" s="1"/>
  <c r="D32" i="6" s="1"/>
  <c r="E32" i="6" s="1"/>
  <c r="Q122" i="1"/>
  <c r="R122" i="1" s="1"/>
  <c r="Q139" i="1"/>
  <c r="R139" i="1" s="1"/>
  <c r="Q229" i="1"/>
  <c r="R229" i="1" s="1"/>
  <c r="Q208" i="1"/>
  <c r="R208" i="1" s="1"/>
  <c r="Q206" i="1"/>
  <c r="R206" i="1" s="1"/>
  <c r="Q199" i="1"/>
  <c r="R199" i="1" s="1"/>
  <c r="Q345" i="1"/>
  <c r="R345" i="1" s="1"/>
  <c r="Q306" i="1"/>
  <c r="R306" i="1" s="1"/>
  <c r="Q287" i="1"/>
  <c r="R287" i="1" s="1"/>
  <c r="Q188" i="1"/>
  <c r="R188" i="1" s="1"/>
  <c r="Q126" i="1"/>
  <c r="R126" i="1" s="1"/>
  <c r="Q143" i="1"/>
  <c r="R143" i="1" s="1"/>
  <c r="Q205" i="1"/>
  <c r="R205" i="1" s="1"/>
  <c r="Q312" i="1"/>
  <c r="R312" i="1" s="1"/>
  <c r="Q96" i="1"/>
  <c r="R96" i="1" s="1"/>
  <c r="Q305" i="1"/>
  <c r="R305" i="1" s="1"/>
  <c r="D19" i="6" s="1"/>
  <c r="E19" i="6" s="1"/>
  <c r="Q337" i="1"/>
  <c r="R337" i="1" s="1"/>
  <c r="Q106" i="1"/>
  <c r="R106" i="1" s="1"/>
  <c r="Q138" i="1"/>
  <c r="R138" i="1" s="1"/>
  <c r="Q146" i="1"/>
  <c r="R146" i="1" s="1"/>
  <c r="Q303" i="1"/>
  <c r="R303" i="1" s="1"/>
  <c r="Q44" i="1"/>
  <c r="R44" i="1" s="1"/>
  <c r="Q327" i="1"/>
  <c r="R327" i="1" s="1"/>
  <c r="Q133" i="1"/>
  <c r="R133" i="1" s="1"/>
  <c r="Q204" i="1"/>
  <c r="R204" i="1" s="1"/>
  <c r="Q230" i="1"/>
  <c r="R230" i="1" s="1"/>
  <c r="Q232" i="1"/>
  <c r="R232" i="1" s="1"/>
  <c r="Q395" i="1"/>
  <c r="R395" i="1" s="1"/>
  <c r="Q360" i="1"/>
  <c r="R360" i="1" s="1"/>
  <c r="Q393" i="1"/>
  <c r="R393" i="1" s="1"/>
  <c r="Q396" i="1"/>
  <c r="R396" i="1" s="1"/>
  <c r="Q120" i="1"/>
  <c r="R120" i="1" s="1"/>
  <c r="Q132" i="1"/>
  <c r="R132" i="1" s="1"/>
  <c r="D27" i="6" s="1"/>
  <c r="E27" i="6" s="1"/>
  <c r="Q100" i="1"/>
  <c r="R100" i="1" s="1"/>
  <c r="D6" i="6" s="1"/>
  <c r="E6" i="6" s="1"/>
  <c r="Q368" i="1"/>
  <c r="R368" i="1" s="1"/>
  <c r="Q196" i="1"/>
  <c r="R196" i="1" s="1"/>
  <c r="Q218" i="1"/>
  <c r="R218" i="1" s="1"/>
  <c r="Q399" i="1"/>
  <c r="R399" i="1" s="1"/>
  <c r="D17" i="6" s="1"/>
  <c r="E17" i="6" s="1"/>
  <c r="Q173" i="1"/>
  <c r="R173" i="1" s="1"/>
  <c r="Q384" i="1"/>
  <c r="R384" i="1" s="1"/>
  <c r="Q275" i="1"/>
  <c r="R275" i="1" s="1"/>
  <c r="Q115" i="1"/>
  <c r="R115" i="1" s="1"/>
  <c r="Q367" i="1"/>
  <c r="R367" i="1" s="1"/>
  <c r="Q114" i="1"/>
  <c r="R114" i="1" s="1"/>
  <c r="Q162" i="1"/>
  <c r="R162" i="1" s="1"/>
  <c r="Q161" i="1"/>
  <c r="R161" i="1" s="1"/>
  <c r="Q338" i="1"/>
  <c r="R338" i="1" s="1"/>
  <c r="Q353" i="1"/>
  <c r="R353" i="1" s="1"/>
  <c r="Q105" i="1"/>
  <c r="R105" i="1" s="1"/>
  <c r="Q371" i="1"/>
  <c r="R371" i="1" s="1"/>
  <c r="Q316" i="1"/>
  <c r="R316" i="1" s="1"/>
  <c r="Q254" i="1"/>
  <c r="R254" i="1" s="1"/>
  <c r="Q291" i="1"/>
  <c r="R291" i="1" s="1"/>
  <c r="Q335" i="1"/>
  <c r="R335" i="1" s="1"/>
  <c r="Q311" i="1"/>
  <c r="R311" i="1" s="1"/>
  <c r="Q257" i="1"/>
  <c r="R257" i="1" s="1"/>
  <c r="Q187" i="1"/>
  <c r="R187" i="1" s="1"/>
  <c r="Q190" i="1"/>
  <c r="R190" i="1" s="1"/>
  <c r="Q309" i="1"/>
  <c r="R309" i="1" s="1"/>
  <c r="Q200" i="1"/>
  <c r="R200" i="1" s="1"/>
  <c r="Q265" i="1"/>
  <c r="R265" i="1" s="1"/>
  <c r="Q242" i="1"/>
  <c r="R242" i="1" s="1"/>
  <c r="Q194" i="1"/>
  <c r="R194" i="1" s="1"/>
  <c r="Q281" i="1"/>
  <c r="R281" i="1" s="1"/>
  <c r="Q221" i="1"/>
  <c r="R221" i="1" s="1"/>
  <c r="Q299" i="1"/>
  <c r="R299" i="1" s="1"/>
  <c r="Q214" i="1"/>
  <c r="R214" i="1" s="1"/>
  <c r="Q119" i="1"/>
  <c r="R119" i="1" s="1"/>
  <c r="Q156" i="1"/>
  <c r="R156" i="1" s="1"/>
  <c r="Q198" i="1"/>
  <c r="R198" i="1" s="1"/>
  <c r="Q180" i="1"/>
  <c r="R180" i="1" s="1"/>
  <c r="Q378" i="1"/>
  <c r="R378" i="1" s="1"/>
  <c r="Q270" i="1"/>
  <c r="R270" i="1" s="1"/>
  <c r="Q381" i="1"/>
  <c r="R381" i="1" s="1"/>
  <c r="Q391" i="1"/>
  <c r="R391" i="1" s="1"/>
  <c r="Q237" i="1"/>
  <c r="R237" i="1" s="1"/>
  <c r="Q259" i="1"/>
  <c r="R259" i="1" s="1"/>
  <c r="D10" i="6" s="1"/>
  <c r="E10" i="6" s="1"/>
  <c r="Q107" i="1"/>
  <c r="R107" i="1" s="1"/>
  <c r="Q313" i="1"/>
  <c r="R313" i="1" s="1"/>
  <c r="Q394" i="1"/>
  <c r="R394" i="1" s="1"/>
  <c r="Q266" i="1"/>
  <c r="R266" i="1" s="1"/>
  <c r="D16" i="6" s="1"/>
  <c r="E16" i="6" s="1"/>
  <c r="Q177" i="1"/>
  <c r="R177" i="1" s="1"/>
  <c r="Q334" i="1"/>
  <c r="R334" i="1" s="1"/>
  <c r="Q226" i="1"/>
  <c r="R226" i="1" s="1"/>
  <c r="Q163" i="1"/>
  <c r="R163" i="1" s="1"/>
  <c r="Q179" i="1"/>
  <c r="R179" i="1" s="1"/>
  <c r="Q248" i="1"/>
  <c r="R248" i="1" s="1"/>
  <c r="Q239" i="1"/>
  <c r="R239" i="1" s="1"/>
  <c r="Q183" i="1"/>
  <c r="R183" i="1" s="1"/>
  <c r="Q245" i="1"/>
  <c r="R245" i="1" s="1"/>
  <c r="D34" i="6" s="1"/>
  <c r="E34" i="6" s="1"/>
  <c r="Q217" i="1"/>
  <c r="R217" i="1" s="1"/>
  <c r="Q361" i="1"/>
  <c r="R361" i="1" s="1"/>
  <c r="Q98" i="1"/>
  <c r="R98" i="1" s="1"/>
  <c r="Q292" i="1"/>
  <c r="R292" i="1" s="1"/>
  <c r="Q117" i="1"/>
  <c r="R117" i="1" s="1"/>
  <c r="Q261" i="1"/>
  <c r="R261" i="1" s="1"/>
  <c r="Q95" i="1"/>
  <c r="R95" i="1" s="1"/>
  <c r="Q307" i="1"/>
  <c r="R307" i="1" s="1"/>
  <c r="Q225" i="1"/>
  <c r="R225" i="1" s="1"/>
  <c r="Q249" i="1"/>
  <c r="R249" i="1" s="1"/>
  <c r="Q288" i="1"/>
  <c r="R288" i="1" s="1"/>
  <c r="Q256" i="1"/>
  <c r="R256" i="1" s="1"/>
  <c r="Q238" i="1"/>
  <c r="R238" i="1" s="1"/>
  <c r="Q109" i="1"/>
  <c r="R109" i="1" s="1"/>
  <c r="Q99" i="1"/>
  <c r="R99" i="1" s="1"/>
  <c r="Q142" i="1"/>
  <c r="R142" i="1" s="1"/>
  <c r="Q377" i="1"/>
  <c r="R377" i="1" s="1"/>
  <c r="Q355" i="1"/>
  <c r="R355" i="1" s="1"/>
  <c r="Q370" i="1"/>
  <c r="R370" i="1" s="1"/>
  <c r="Q392" i="1"/>
  <c r="R392" i="1" s="1"/>
  <c r="Q329" i="1"/>
  <c r="R329" i="1" s="1"/>
  <c r="Q113" i="1"/>
  <c r="R113" i="1" s="1"/>
  <c r="D12" i="6" s="1"/>
  <c r="E12" i="6" s="1"/>
  <c r="Q160" i="1"/>
  <c r="R160" i="1" s="1"/>
  <c r="Q268" i="1"/>
  <c r="R268" i="1" s="1"/>
  <c r="Q349" i="1"/>
  <c r="R349" i="1" s="1"/>
  <c r="Q241" i="1"/>
  <c r="R241" i="1" s="1"/>
  <c r="Q203" i="1"/>
  <c r="R203" i="1" s="1"/>
  <c r="Q356" i="1"/>
  <c r="R356" i="1" s="1"/>
  <c r="Q389" i="1"/>
  <c r="R389" i="1" s="1"/>
  <c r="Q124" i="1"/>
  <c r="R124" i="1" s="1"/>
  <c r="Q102" i="1"/>
  <c r="R102" i="1" s="1"/>
  <c r="Q151" i="1"/>
  <c r="R151" i="1" s="1"/>
  <c r="Q267" i="1"/>
  <c r="R267" i="1" s="1"/>
  <c r="Q273" i="1"/>
  <c r="R273" i="1" s="1"/>
  <c r="Q234" i="1"/>
  <c r="R234" i="1" s="1"/>
  <c r="Q104" i="1"/>
  <c r="R104" i="1" s="1"/>
  <c r="Q168" i="1"/>
  <c r="R168" i="1" s="1"/>
  <c r="D29" i="6" s="1"/>
  <c r="E29" i="6" s="1"/>
  <c r="Q222" i="1"/>
  <c r="R222" i="1" s="1"/>
  <c r="Q150" i="1"/>
  <c r="R150" i="1" s="1"/>
  <c r="Q359" i="1"/>
  <c r="R359" i="1" s="1"/>
  <c r="Q246" i="1"/>
  <c r="R246" i="1" s="1"/>
  <c r="D18" i="6" s="1"/>
  <c r="E18" i="6" s="1"/>
  <c r="Q154" i="1"/>
  <c r="R154" i="1" s="1"/>
  <c r="Q354" i="1"/>
  <c r="R354" i="1" s="1"/>
  <c r="Q137" i="1"/>
  <c r="R137" i="1" s="1"/>
  <c r="Q357" i="1"/>
  <c r="R357" i="1" s="1"/>
  <c r="Q373" i="1"/>
  <c r="R373" i="1" s="1"/>
  <c r="Q247" i="1"/>
  <c r="R247" i="1" s="1"/>
  <c r="Q290" i="1"/>
  <c r="R290" i="1" s="1"/>
  <c r="Q326" i="1"/>
  <c r="R326" i="1" s="1"/>
  <c r="Q158" i="1"/>
  <c r="R158" i="1" s="1"/>
  <c r="Q172" i="1"/>
  <c r="R172" i="1" s="1"/>
  <c r="Q348" i="1"/>
  <c r="R348" i="1" s="1"/>
  <c r="Q244" i="1"/>
  <c r="R244" i="1" s="1"/>
  <c r="Q347" i="1"/>
  <c r="R347" i="1" s="1"/>
  <c r="D24" i="6" s="1"/>
  <c r="E24" i="6" s="1"/>
  <c r="Q185" i="1"/>
  <c r="R185" i="1" s="1"/>
  <c r="Q103" i="1"/>
  <c r="R103" i="1" s="1"/>
  <c r="Q369" i="1"/>
  <c r="R369" i="1" s="1"/>
  <c r="Q130" i="1"/>
  <c r="R130" i="1" s="1"/>
  <c r="Q304" i="1"/>
  <c r="R304" i="1" s="1"/>
  <c r="Q383" i="1"/>
  <c r="R383" i="1" s="1"/>
  <c r="Q235" i="1"/>
  <c r="R235" i="1" s="1"/>
  <c r="Q186" i="1"/>
  <c r="R186" i="1" s="1"/>
  <c r="Q101" i="1"/>
  <c r="R101" i="1" s="1"/>
  <c r="Q301" i="1"/>
  <c r="R301" i="1" s="1"/>
  <c r="Q178" i="1"/>
  <c r="R178" i="1" s="1"/>
  <c r="Q296" i="1"/>
  <c r="R296" i="1" s="1"/>
  <c r="Q182" i="1"/>
  <c r="R182" i="1" s="1"/>
  <c r="Q220" i="1"/>
  <c r="R220" i="1" s="1"/>
  <c r="Q400" i="1"/>
  <c r="R400" i="1" s="1"/>
  <c r="Q202" i="1"/>
  <c r="R202" i="1" s="1"/>
  <c r="Q382" i="1"/>
  <c r="R382" i="1" s="1"/>
  <c r="Q278" i="1"/>
  <c r="R278" i="1" s="1"/>
  <c r="Q339" i="1"/>
  <c r="R339" i="1" s="1"/>
  <c r="Q250" i="1"/>
  <c r="R250" i="1" s="1"/>
  <c r="Q152" i="1"/>
  <c r="R152" i="1" s="1"/>
  <c r="Q145" i="1"/>
  <c r="R145" i="1" s="1"/>
  <c r="Q255" i="1"/>
  <c r="R255" i="1" s="1"/>
  <c r="Q272" i="1"/>
  <c r="R272" i="1" s="1"/>
  <c r="Q110" i="1"/>
  <c r="R110" i="1" s="1"/>
  <c r="Q50" i="1"/>
  <c r="R50" i="1" s="1"/>
  <c r="Q58" i="1"/>
  <c r="R58" i="1" s="1"/>
  <c r="Q118" i="1"/>
  <c r="R118" i="1" s="1"/>
  <c r="Q140" i="1"/>
  <c r="R140" i="1" s="1"/>
  <c r="Q22" i="1"/>
  <c r="R22" i="1" s="1"/>
  <c r="Q2" i="1"/>
  <c r="R2" i="1" s="1"/>
  <c r="Q181" i="1"/>
  <c r="R181" i="1" s="1"/>
  <c r="Q94" i="1"/>
  <c r="R94" i="1" s="1"/>
  <c r="Q284" i="1"/>
  <c r="R284" i="1" s="1"/>
  <c r="Q324" i="1"/>
  <c r="R324" i="1" s="1"/>
  <c r="Q15" i="1"/>
  <c r="R15" i="1" s="1"/>
  <c r="Q141" i="1"/>
  <c r="R141" i="1" s="1"/>
  <c r="Q269" i="1"/>
  <c r="R269" i="1" s="1"/>
  <c r="D11" i="6" s="1"/>
  <c r="E11" i="6" s="1"/>
  <c r="Q46" i="1"/>
  <c r="R46" i="1" s="1"/>
  <c r="Q14" i="1"/>
  <c r="R14" i="1" s="1"/>
  <c r="Q45" i="1"/>
  <c r="R45" i="1" s="1"/>
  <c r="Q116" i="1"/>
  <c r="R116" i="1" s="1"/>
  <c r="Q387" i="1"/>
  <c r="R387" i="1" s="1"/>
  <c r="Q111" i="1"/>
  <c r="R111" i="1" s="1"/>
  <c r="Q88" i="1"/>
  <c r="R88" i="1" s="1"/>
  <c r="D7" i="6" s="1"/>
  <c r="E7" i="6" s="1"/>
  <c r="Q65" i="1"/>
  <c r="R65" i="1" s="1"/>
  <c r="Q81" i="1"/>
  <c r="R81" i="1" s="1"/>
  <c r="Q283" i="1"/>
  <c r="R283" i="1" s="1"/>
  <c r="Q13" i="1"/>
  <c r="R13" i="1" s="1"/>
  <c r="Q128" i="1"/>
  <c r="R128" i="1" s="1"/>
  <c r="Q342" i="1"/>
  <c r="R342" i="1" s="1"/>
  <c r="Q91" i="1"/>
  <c r="R91" i="1" s="1"/>
  <c r="Q16" i="1"/>
  <c r="R16" i="1" s="1"/>
  <c r="Q263" i="1"/>
  <c r="R263" i="1" s="1"/>
  <c r="Q8" i="1"/>
  <c r="R8" i="1" s="1"/>
  <c r="Q78" i="1"/>
  <c r="R78" i="1" s="1"/>
  <c r="Q36" i="1"/>
  <c r="R36" i="1" s="1"/>
  <c r="Q171" i="1"/>
  <c r="R171" i="1" s="1"/>
  <c r="Q21" i="1"/>
  <c r="R21" i="1" s="1"/>
  <c r="D35" i="6" s="1"/>
  <c r="E35" i="6" s="1"/>
  <c r="Q53" i="1"/>
  <c r="R53" i="1" s="1"/>
  <c r="Q319" i="1"/>
  <c r="R319" i="1" s="1"/>
  <c r="Q252" i="1"/>
  <c r="R252" i="1" s="1"/>
  <c r="Q64" i="1"/>
  <c r="R64" i="1" s="1"/>
  <c r="D30" i="6" s="1"/>
  <c r="E30" i="6" s="1"/>
  <c r="Q331" i="1"/>
  <c r="R331" i="1" s="1"/>
  <c r="Q195" i="1"/>
  <c r="R195" i="1" s="1"/>
  <c r="Q51" i="1"/>
  <c r="R51" i="1" s="1"/>
  <c r="Q33" i="1"/>
  <c r="R33" i="1" s="1"/>
  <c r="Q251" i="1"/>
  <c r="R251" i="1" s="1"/>
  <c r="Q4" i="1"/>
  <c r="R4" i="1" s="1"/>
  <c r="Q295" i="1"/>
  <c r="R295" i="1" s="1"/>
  <c r="Q219" i="1"/>
  <c r="R219" i="1" s="1"/>
  <c r="Q134" i="1"/>
  <c r="R134" i="1" s="1"/>
  <c r="Q47" i="1"/>
  <c r="R47" i="1" s="1"/>
  <c r="D21" i="6" s="1"/>
  <c r="E21" i="6" s="1"/>
  <c r="Q75" i="1"/>
  <c r="R75" i="1" s="1"/>
  <c r="Q315" i="1"/>
  <c r="R315" i="1" s="1"/>
  <c r="Q5" i="1"/>
  <c r="R5" i="1" s="1"/>
  <c r="D28" i="6" s="1"/>
  <c r="E28" i="6" s="1"/>
  <c r="Q68" i="1"/>
  <c r="R68" i="1" s="1"/>
  <c r="Q39" i="1"/>
  <c r="R39" i="1" s="1"/>
  <c r="Q34" i="1"/>
  <c r="R34" i="1" s="1"/>
  <c r="Q38" i="1"/>
  <c r="R38" i="1" s="1"/>
  <c r="Q30" i="1"/>
  <c r="R30" i="1" s="1"/>
  <c r="Q41" i="1"/>
  <c r="R41" i="1" s="1"/>
  <c r="Q262" i="1"/>
  <c r="R262" i="1" s="1"/>
  <c r="Q223" i="1"/>
  <c r="R223" i="1" s="1"/>
  <c r="Q135" i="1"/>
  <c r="R135" i="1" s="1"/>
  <c r="Q279" i="1"/>
  <c r="R279" i="1" s="1"/>
  <c r="Q56" i="1"/>
  <c r="R56" i="1" s="1"/>
  <c r="Q35" i="1"/>
  <c r="R35" i="1" s="1"/>
  <c r="Q77" i="1"/>
  <c r="R77" i="1" s="1"/>
  <c r="Q90" i="1"/>
  <c r="R90" i="1" s="1"/>
  <c r="Q372" i="1"/>
  <c r="R372" i="1" s="1"/>
  <c r="Q125" i="1"/>
  <c r="R125" i="1" s="1"/>
  <c r="Q351" i="1"/>
  <c r="R351" i="1" s="1"/>
  <c r="Q19" i="1"/>
  <c r="R19" i="1" s="1"/>
  <c r="Q62" i="1"/>
  <c r="R62" i="1" s="1"/>
  <c r="Q84" i="1"/>
  <c r="R84" i="1" s="1"/>
  <c r="Q343" i="1"/>
  <c r="R343" i="1" s="1"/>
  <c r="D8" i="6" s="1"/>
  <c r="E8" i="6" s="1"/>
  <c r="Q70" i="1"/>
  <c r="R70" i="1" s="1"/>
  <c r="Q325" i="1"/>
  <c r="R325" i="1" s="1"/>
  <c r="Q61" i="1"/>
  <c r="R61" i="1" s="1"/>
  <c r="Q49" i="1"/>
  <c r="R49" i="1" s="1"/>
  <c r="Q86" i="1"/>
  <c r="R86" i="1" s="1"/>
  <c r="Q37" i="1"/>
  <c r="R37" i="1" s="1"/>
  <c r="Q308" i="1"/>
  <c r="R308" i="1" s="1"/>
  <c r="E2" i="6" l="1"/>
  <c r="I21" i="5"/>
  <c r="J21" i="5" s="1"/>
  <c r="I7" i="5"/>
  <c r="J7" i="5" s="1"/>
  <c r="I16" i="5"/>
  <c r="J16" i="5" s="1"/>
  <c r="I2" i="5"/>
  <c r="J2" i="5" s="1"/>
  <c r="I17" i="5"/>
  <c r="J17" i="5" s="1"/>
  <c r="I3" i="5"/>
  <c r="J3" i="5" s="1"/>
  <c r="I5" i="5"/>
  <c r="J5" i="5" s="1"/>
  <c r="I19" i="5"/>
  <c r="J19" i="5" s="1"/>
  <c r="I20" i="5"/>
  <c r="J20" i="5" s="1"/>
  <c r="I6" i="5"/>
  <c r="J6" i="5" s="1"/>
  <c r="I22" i="5"/>
  <c r="J22" i="5" s="1"/>
  <c r="I8" i="5"/>
  <c r="J8" i="5" s="1"/>
  <c r="I23" i="5"/>
  <c r="J23" i="5" s="1"/>
  <c r="I9" i="5"/>
  <c r="J9" i="5" s="1"/>
  <c r="I18" i="5"/>
  <c r="J18" i="5" s="1"/>
  <c r="I4" i="5"/>
  <c r="J4" i="5" s="1"/>
  <c r="H2" i="6" l="1"/>
  <c r="G2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<sst xmlns="http://schemas.openxmlformats.org/spreadsheetml/2006/main" count="1935" uniqueCount="514">
  <si>
    <t>MUNICÍPIO</t>
  </si>
  <si>
    <t>PORTE DO MUNICÍPIO</t>
  </si>
  <si>
    <t>FAIXA DE CRECHES</t>
  </si>
  <si>
    <t>TOTAL CRECHES</t>
  </si>
  <si>
    <t>Código [-]</t>
  </si>
  <si>
    <t>Mortalidade Infantil</t>
  </si>
  <si>
    <t>Taxa de Natalidade</t>
  </si>
  <si>
    <t>Curitiba</t>
  </si>
  <si>
    <t>Londrina</t>
  </si>
  <si>
    <t>Maringá</t>
  </si>
  <si>
    <t>Ponta Grossa</t>
  </si>
  <si>
    <t>Cascavel</t>
  </si>
  <si>
    <t>São José dos Pinhais</t>
  </si>
  <si>
    <t>Foz do Iguaçu</t>
  </si>
  <si>
    <t>Colombo</t>
  </si>
  <si>
    <t>Guarapuava</t>
  </si>
  <si>
    <t>Araucária</t>
  </si>
  <si>
    <t>Toledo</t>
  </si>
  <si>
    <t>Fazenda Rio Grande</t>
  </si>
  <si>
    <t>Paranaguá</t>
  </si>
  <si>
    <t>Campo Largo</t>
  </si>
  <si>
    <t>Apucarana</t>
  </si>
  <si>
    <t>Pinhais</t>
  </si>
  <si>
    <t>Almirante Tamandaré</t>
  </si>
  <si>
    <t>Arapongas</t>
  </si>
  <si>
    <t>Piraquara</t>
  </si>
  <si>
    <t>Sarandi</t>
  </si>
  <si>
    <t>Umuarama</t>
  </si>
  <si>
    <t>Cambé</t>
  </si>
  <si>
    <t>Campo Mourão</t>
  </si>
  <si>
    <t>Francisco Beltrão</t>
  </si>
  <si>
    <t>Paranavaí</t>
  </si>
  <si>
    <t>Pato Branco</t>
  </si>
  <si>
    <t>Cianorte</t>
  </si>
  <si>
    <t>Telêmaco Borba</t>
  </si>
  <si>
    <t>Castro</t>
  </si>
  <si>
    <t>Rolândia</t>
  </si>
  <si>
    <t>Irati</t>
  </si>
  <si>
    <t>Marechal Cândido Rondon</t>
  </si>
  <si>
    <t>União da Vitória</t>
  </si>
  <si>
    <t>Medianeira</t>
  </si>
  <si>
    <t>Ibiporã</t>
  </si>
  <si>
    <t>Prudentópolis</t>
  </si>
  <si>
    <t>Palmas</t>
  </si>
  <si>
    <t>Campina Grande do Sul</t>
  </si>
  <si>
    <t>Paiçandu</t>
  </si>
  <si>
    <t>Cornélio Procópio</t>
  </si>
  <si>
    <t>Lapa</t>
  </si>
  <si>
    <t>Dois Vizinhos</t>
  </si>
  <si>
    <t>Santo Antônio da Platina</t>
  </si>
  <si>
    <t>São Mateus do Sul</t>
  </si>
  <si>
    <t>Guaratuba</t>
  </si>
  <si>
    <t>Marialva</t>
  </si>
  <si>
    <t>Jacarezinho</t>
  </si>
  <si>
    <t>Matinhos</t>
  </si>
  <si>
    <t>Rio Branco do Sul</t>
  </si>
  <si>
    <t>Assis Chateaubriand</t>
  </si>
  <si>
    <t>Mandaguari</t>
  </si>
  <si>
    <t>Jaguariaíva</t>
  </si>
  <si>
    <t>Palotina</t>
  </si>
  <si>
    <t>Palmeira</t>
  </si>
  <si>
    <t>Pitanga</t>
  </si>
  <si>
    <t>Ivaiporã</t>
  </si>
  <si>
    <t>Laranjeiras do Sul</t>
  </si>
  <si>
    <t>Guaíra</t>
  </si>
  <si>
    <t>Mandaguaçu</t>
  </si>
  <si>
    <t>Rio Negro</t>
  </si>
  <si>
    <t>Bandeirantes</t>
  </si>
  <si>
    <t>Itaperuçu</t>
  </si>
  <si>
    <t>Quedas do Iguaçu</t>
  </si>
  <si>
    <t>Pontal do Paraná</t>
  </si>
  <si>
    <t>Campo Magro</t>
  </si>
  <si>
    <t>Imbituva</t>
  </si>
  <si>
    <t>Pinhão</t>
  </si>
  <si>
    <t>São Miguel do Iguaçu</t>
  </si>
  <si>
    <t>Ibaiti</t>
  </si>
  <si>
    <t>Goioerê</t>
  </si>
  <si>
    <t>Mandirituba</t>
  </si>
  <si>
    <t>Nova Esperança</t>
  </si>
  <si>
    <t>Arapoti</t>
  </si>
  <si>
    <t>Santa Helena</t>
  </si>
  <si>
    <t>Astorga</t>
  </si>
  <si>
    <t>Ubiratã</t>
  </si>
  <si>
    <t>Reserva</t>
  </si>
  <si>
    <t>Santa Terezinha de Itaipu</t>
  </si>
  <si>
    <t>Ortigueira</t>
  </si>
  <si>
    <t>Quatro Barras</t>
  </si>
  <si>
    <t>Cruzeiro do Oeste</t>
  </si>
  <si>
    <t>Santo Antônio do Sudoeste</t>
  </si>
  <si>
    <t>Piraí do Sul</t>
  </si>
  <si>
    <t>Coronel Vivida</t>
  </si>
  <si>
    <t>Carambeí</t>
  </si>
  <si>
    <t>Loanda</t>
  </si>
  <si>
    <t>Cambará</t>
  </si>
  <si>
    <t>Colorado</t>
  </si>
  <si>
    <t>Siqueira Campos</t>
  </si>
  <si>
    <t>Jandaia do Sul</t>
  </si>
  <si>
    <t>Chopinzinho</t>
  </si>
  <si>
    <t>Capanema</t>
  </si>
  <si>
    <t>Tibagi</t>
  </si>
  <si>
    <t>Andirá</t>
  </si>
  <si>
    <t>Ampére</t>
  </si>
  <si>
    <t>Realeza</t>
  </si>
  <si>
    <t>Wenceslau Braz</t>
  </si>
  <si>
    <t>Contenda</t>
  </si>
  <si>
    <t>Cafelândia</t>
  </si>
  <si>
    <t>Altônia</t>
  </si>
  <si>
    <t>Matelândia</t>
  </si>
  <si>
    <t>Quitandinha</t>
  </si>
  <si>
    <t>Morretes</t>
  </si>
  <si>
    <t>Terra Roxa</t>
  </si>
  <si>
    <t>Antonina</t>
  </si>
  <si>
    <t>Tijucas do Sul</t>
  </si>
  <si>
    <t>Terra Boa</t>
  </si>
  <si>
    <t>Corbélia</t>
  </si>
  <si>
    <t>Sengés</t>
  </si>
  <si>
    <t>Carlópolis</t>
  </si>
  <si>
    <t>Mangueirinha</t>
  </si>
  <si>
    <t>Faxinal</t>
  </si>
  <si>
    <t>Cerro Azul</t>
  </si>
  <si>
    <t>Cruz Machado</t>
  </si>
  <si>
    <t>Sertanópolis</t>
  </si>
  <si>
    <t>Marmeleiro</t>
  </si>
  <si>
    <t>Tapejara</t>
  </si>
  <si>
    <t>Iporã</t>
  </si>
  <si>
    <t>Campina da Lagoa</t>
  </si>
  <si>
    <t>Bituruna</t>
  </si>
  <si>
    <t>Cândido de Abreu</t>
  </si>
  <si>
    <t>Salto do Lontra</t>
  </si>
  <si>
    <t>Jaguapitã</t>
  </si>
  <si>
    <t>Clevelândia</t>
  </si>
  <si>
    <t>Candói</t>
  </si>
  <si>
    <t>Terra Rica</t>
  </si>
  <si>
    <t>Bela Vista do Paraíso</t>
  </si>
  <si>
    <t>Capitão Leônidas Marques</t>
  </si>
  <si>
    <t>Rebouças</t>
  </si>
  <si>
    <t>Araruna</t>
  </si>
  <si>
    <t>Planalto</t>
  </si>
  <si>
    <t>Imbaú</t>
  </si>
  <si>
    <t>Manoel Ribas</t>
  </si>
  <si>
    <t>Turvo</t>
  </si>
  <si>
    <t>Ipiranga</t>
  </si>
  <si>
    <t>Santa Izabel do Oeste</t>
  </si>
  <si>
    <t>Rio Azul</t>
  </si>
  <si>
    <t>Rio Bonito do Iguaçu</t>
  </si>
  <si>
    <t>Alto Paraná</t>
  </si>
  <si>
    <t>Assaí</t>
  </si>
  <si>
    <t>Nova Aurora</t>
  </si>
  <si>
    <t>Guaraniaçu</t>
  </si>
  <si>
    <t>São João do Triunfo</t>
  </si>
  <si>
    <t>Piên</t>
  </si>
  <si>
    <t>Curiúva</t>
  </si>
  <si>
    <t>Mamborê</t>
  </si>
  <si>
    <t>Mallet</t>
  </si>
  <si>
    <t>Balsa Nova</t>
  </si>
  <si>
    <t>Peabiru</t>
  </si>
  <si>
    <t>Bocaiúva do Sul</t>
  </si>
  <si>
    <t>Paraíso do Norte</t>
  </si>
  <si>
    <t>Ivaí</t>
  </si>
  <si>
    <t>Santa Tereza do Oeste</t>
  </si>
  <si>
    <t>Ribeirão do Pinhal</t>
  </si>
  <si>
    <t>Palmital</t>
  </si>
  <si>
    <t>Nova Londrina</t>
  </si>
  <si>
    <t>Nova Prata do Iguaçu</t>
  </si>
  <si>
    <t>Engenheiro Beltrão</t>
  </si>
  <si>
    <t>Ribeirão Claro</t>
  </si>
  <si>
    <t>Itapejara d'Oeste</t>
  </si>
  <si>
    <t>Nova Laranjeiras</t>
  </si>
  <si>
    <t>Jardim Alegre</t>
  </si>
  <si>
    <t>Joaquim Távora</t>
  </si>
  <si>
    <t>São João</t>
  </si>
  <si>
    <t>Pérola</t>
  </si>
  <si>
    <t>Jataizinho</t>
  </si>
  <si>
    <t>Porecatu</t>
  </si>
  <si>
    <t>Itaipulândia</t>
  </si>
  <si>
    <t>Cidade Gaúcha</t>
  </si>
  <si>
    <t>Florestópolis</t>
  </si>
  <si>
    <t>Santa Fé</t>
  </si>
  <si>
    <t>Roncador</t>
  </si>
  <si>
    <t>Moreira Sales</t>
  </si>
  <si>
    <t>Três Barras do Paraná</t>
  </si>
  <si>
    <t>Céu Azul</t>
  </si>
  <si>
    <t>Santa Mariana</t>
  </si>
  <si>
    <t>Missal</t>
  </si>
  <si>
    <t>General Carneiro</t>
  </si>
  <si>
    <t>Cantagalo</t>
  </si>
  <si>
    <t>Centenário do Sul</t>
  </si>
  <si>
    <t>São Jerônimo da Serra</t>
  </si>
  <si>
    <t>Barbosa Ferraz</t>
  </si>
  <si>
    <t>Tamarana</t>
  </si>
  <si>
    <t>Querência do Norte</t>
  </si>
  <si>
    <t>Iretama</t>
  </si>
  <si>
    <t>São João do Ivaí</t>
  </si>
  <si>
    <t>Jesuítas</t>
  </si>
  <si>
    <t>Floresta</t>
  </si>
  <si>
    <t>Catanduvas</t>
  </si>
  <si>
    <t>Uraí</t>
  </si>
  <si>
    <t>Alvorada do Sul</t>
  </si>
  <si>
    <t>Agudos do Sul</t>
  </si>
  <si>
    <t>Primeiro de Maio</t>
  </si>
  <si>
    <t>Santa Maria do Oeste</t>
  </si>
  <si>
    <t>Mariluz</t>
  </si>
  <si>
    <t>Barracão</t>
  </si>
  <si>
    <t>Alto Piquiri</t>
  </si>
  <si>
    <t>Vitorino</t>
  </si>
  <si>
    <t>Ventania</t>
  </si>
  <si>
    <t>Inácio Martins</t>
  </si>
  <si>
    <t>Paranacity</t>
  </si>
  <si>
    <t>Teixeira Soares</t>
  </si>
  <si>
    <t>Cambira</t>
  </si>
  <si>
    <t>Mauá da Serra</t>
  </si>
  <si>
    <t>São Jorge d'Oeste</t>
  </si>
  <si>
    <t>Douradina</t>
  </si>
  <si>
    <t>Japurá</t>
  </si>
  <si>
    <t>Rondon</t>
  </si>
  <si>
    <t>Icaraíma</t>
  </si>
  <si>
    <t>Santa Isabel do Ivaí</t>
  </si>
  <si>
    <t>Sabáudia</t>
  </si>
  <si>
    <t>Califórnia</t>
  </si>
  <si>
    <t>São Pedro do Ivaí</t>
  </si>
  <si>
    <t>Marilândia do Sul</t>
  </si>
  <si>
    <t>Santa Cruz de Monte Castelo</t>
  </si>
  <si>
    <t>Tomazina</t>
  </si>
  <si>
    <t>Nova Santa Rosa</t>
  </si>
  <si>
    <t>Congonhinhas</t>
  </si>
  <si>
    <t>Vera Cruz do Oeste</t>
  </si>
  <si>
    <t>Francisco Alves</t>
  </si>
  <si>
    <t>Quatiguá</t>
  </si>
  <si>
    <t>Tupãssi</t>
  </si>
  <si>
    <t>Tuneiras do Oeste</t>
  </si>
  <si>
    <t>São Sebastião da Amoreira</t>
  </si>
  <si>
    <t>Figueira</t>
  </si>
  <si>
    <t>Verê</t>
  </si>
  <si>
    <t>Boa Vista da Aparecida</t>
  </si>
  <si>
    <t>Guamiranga</t>
  </si>
  <si>
    <t>Juranda</t>
  </si>
  <si>
    <t>Borrazópolis</t>
  </si>
  <si>
    <t>Formosa do Oeste</t>
  </si>
  <si>
    <t>Campo do Tenente</t>
  </si>
  <si>
    <t>Guaraqueçaba</t>
  </si>
  <si>
    <t>Marilena</t>
  </si>
  <si>
    <t>Abatiá</t>
  </si>
  <si>
    <t>Nova Fátima</t>
  </si>
  <si>
    <t>Perobal</t>
  </si>
  <si>
    <t>Antônio Olinto</t>
  </si>
  <si>
    <t>Nova Tebas</t>
  </si>
  <si>
    <t>Renascença</t>
  </si>
  <si>
    <t>Ivaté</t>
  </si>
  <si>
    <t>Nova Cantu</t>
  </si>
  <si>
    <t>Ouro Verde do Oeste</t>
  </si>
  <si>
    <t>Sapopema</t>
  </si>
  <si>
    <t>Jussara</t>
  </si>
  <si>
    <t>Luiziana</t>
  </si>
  <si>
    <t>Guairaçá</t>
  </si>
  <si>
    <t>São Carlos do Ivaí</t>
  </si>
  <si>
    <t>Bom Sucesso</t>
  </si>
  <si>
    <t>Goioxim</t>
  </si>
  <si>
    <t>Pinhalão</t>
  </si>
  <si>
    <t>Maripá</t>
  </si>
  <si>
    <t>Reserva do Iguaçu</t>
  </si>
  <si>
    <t>São Jorge do Patrocínio</t>
  </si>
  <si>
    <t>Boa Ventura de São Roque</t>
  </si>
  <si>
    <t>Mariópolis</t>
  </si>
  <si>
    <t>Paulo Frontin</t>
  </si>
  <si>
    <t>Doutor Camargo</t>
  </si>
  <si>
    <t>Adrianópolis</t>
  </si>
  <si>
    <t>Fernandes Pinheiro</t>
  </si>
  <si>
    <t>Pérola d'Oeste</t>
  </si>
  <si>
    <t>Tunas do Paraná</t>
  </si>
  <si>
    <t>Ibema</t>
  </si>
  <si>
    <t>Santo Inácio</t>
  </si>
  <si>
    <t>Itambé</t>
  </si>
  <si>
    <t>Saudade do Iguaçu</t>
  </si>
  <si>
    <t>São José da Boa Vista</t>
  </si>
  <si>
    <t>Enéas Marques</t>
  </si>
  <si>
    <t>Mercedes</t>
  </si>
  <si>
    <t>Itambaracá</t>
  </si>
  <si>
    <t>Janiópolis</t>
  </si>
  <si>
    <t>Maria Helena</t>
  </si>
  <si>
    <t>Nova Olímpia</t>
  </si>
  <si>
    <t>Xambrê</t>
  </si>
  <si>
    <t>São Pedro do Iguaçu</t>
  </si>
  <si>
    <t>Tapira</t>
  </si>
  <si>
    <t>Pranchita</t>
  </si>
  <si>
    <t>Pato Bragado</t>
  </si>
  <si>
    <t>Doutor Ulysses</t>
  </si>
  <si>
    <t>Paula Freitas</t>
  </si>
  <si>
    <t>Coronel Domingos Soares</t>
  </si>
  <si>
    <t>Grandes Rios</t>
  </si>
  <si>
    <t>Sertaneja</t>
  </si>
  <si>
    <t>Laranjal</t>
  </si>
  <si>
    <t>Nova Esperança do Sudoeste</t>
  </si>
  <si>
    <t>São João do Caiuá</t>
  </si>
  <si>
    <t>Santana do Itararé</t>
  </si>
  <si>
    <t>Rosário do Ivaí</t>
  </si>
  <si>
    <t>Jaboti</t>
  </si>
  <si>
    <t>Iguaraçu</t>
  </si>
  <si>
    <t>São Tomé</t>
  </si>
  <si>
    <t>Salto do Itararé</t>
  </si>
  <si>
    <t>Lindoeste</t>
  </si>
  <si>
    <t>São Jorge do Ivaí</t>
  </si>
  <si>
    <t>Diamante do Norte</t>
  </si>
  <si>
    <t>Serranópolis do Iguaçu</t>
  </si>
  <si>
    <t>Quinta do Sol</t>
  </si>
  <si>
    <t>Japira</t>
  </si>
  <si>
    <t>Honório Serpa</t>
  </si>
  <si>
    <t>Foz do Jordão</t>
  </si>
  <si>
    <t>Tamboara</t>
  </si>
  <si>
    <t>Lunardelli</t>
  </si>
  <si>
    <t>Braganey</t>
  </si>
  <si>
    <t>Lupionópolis</t>
  </si>
  <si>
    <t>Espigão Alto do Iguaçu</t>
  </si>
  <si>
    <t>Floraí</t>
  </si>
  <si>
    <t>Amaporã</t>
  </si>
  <si>
    <t>Guaraci</t>
  </si>
  <si>
    <t>Marumbi</t>
  </si>
  <si>
    <t>Guapirama</t>
  </si>
  <si>
    <t>Lobato</t>
  </si>
  <si>
    <t>Kaloré</t>
  </si>
  <si>
    <t>Entre Rios do Oeste</t>
  </si>
  <si>
    <t>Boa Esperança</t>
  </si>
  <si>
    <t>Diamante D'Oeste</t>
  </si>
  <si>
    <t>Marquinho</t>
  </si>
  <si>
    <t>Cruzeiro do Sul</t>
  </si>
  <si>
    <t>Fênix</t>
  </si>
  <si>
    <t>Itaguajé</t>
  </si>
  <si>
    <t>Quatro Pontes</t>
  </si>
  <si>
    <t>Cafezal do Sul</t>
  </si>
  <si>
    <t>Indianópolis</t>
  </si>
  <si>
    <t>Flor da Serra do Sul</t>
  </si>
  <si>
    <t>Presidente Castelo Branco</t>
  </si>
  <si>
    <t>Ramilândia</t>
  </si>
  <si>
    <t>Quarto Centenário</t>
  </si>
  <si>
    <t>Nova Santa Bárbara</t>
  </si>
  <si>
    <t>Cruzeiro do Iguaçu</t>
  </si>
  <si>
    <t>Porto Amazonas</t>
  </si>
  <si>
    <t>Salgado Filho</t>
  </si>
  <si>
    <t>Planaltina do Paraná</t>
  </si>
  <si>
    <t>Bela Vista da Caroba</t>
  </si>
  <si>
    <t>Campo Bonito</t>
  </si>
  <si>
    <t>Atalaia</t>
  </si>
  <si>
    <t>Bom Jesus do Sul</t>
  </si>
  <si>
    <t>São José das Palmeiras</t>
  </si>
  <si>
    <t>Munhoz de Melo</t>
  </si>
  <si>
    <t>Lidianópolis</t>
  </si>
  <si>
    <t>Campina do Simão</t>
  </si>
  <si>
    <t>Virmond</t>
  </si>
  <si>
    <t>Rio Branco do Ivaí</t>
  </si>
  <si>
    <t>Corumbataí do Sul</t>
  </si>
  <si>
    <t>Leópolis</t>
  </si>
  <si>
    <t>Prado Ferreira</t>
  </si>
  <si>
    <t>Brasilândia do Sul</t>
  </si>
  <si>
    <t>Nossa Senhora das Graças</t>
  </si>
  <si>
    <t>Santa Lúcia</t>
  </si>
  <si>
    <t>Altamira do Paraná</t>
  </si>
  <si>
    <t>Itaúna do Sul</t>
  </si>
  <si>
    <t>Porto Vitória</t>
  </si>
  <si>
    <t>Arapuã</t>
  </si>
  <si>
    <t>Rancho Alegre</t>
  </si>
  <si>
    <t>Conselheiro Mairinck</t>
  </si>
  <si>
    <t>Sulina</t>
  </si>
  <si>
    <t>Santa Amélia</t>
  </si>
  <si>
    <t>Santa Cecília do Pavão</t>
  </si>
  <si>
    <t>Santa Mônica</t>
  </si>
  <si>
    <t>Jundiaí do Sul</t>
  </si>
  <si>
    <t>Nova América da Colina</t>
  </si>
  <si>
    <t>Mato Rico</t>
  </si>
  <si>
    <t>Ângulo</t>
  </si>
  <si>
    <t>Bom Sucesso do Sul</t>
  </si>
  <si>
    <t>Rio Bom</t>
  </si>
  <si>
    <t>Ourizona</t>
  </si>
  <si>
    <t>Porto Rico</t>
  </si>
  <si>
    <t>Diamante do Sul</t>
  </si>
  <si>
    <t>Novo Itacolomi</t>
  </si>
  <si>
    <t>Porto Barreiro</t>
  </si>
  <si>
    <t>Alto Paraíso</t>
  </si>
  <si>
    <t>Pitangueiras</t>
  </si>
  <si>
    <t>Farol</t>
  </si>
  <si>
    <t>Godoy Moreira</t>
  </si>
  <si>
    <t>Anahy</t>
  </si>
  <si>
    <t>Cruzmaltina</t>
  </si>
  <si>
    <t>Barra do Jacaré</t>
  </si>
  <si>
    <t>Manfrinópolis</t>
  </si>
  <si>
    <t>Pinhal de São Bento</t>
  </si>
  <si>
    <t>Ivatuba</t>
  </si>
  <si>
    <t>São Pedro do Paraná</t>
  </si>
  <si>
    <t>Flórida</t>
  </si>
  <si>
    <t>Cafeara</t>
  </si>
  <si>
    <t>Rancho Alegre D'Oeste</t>
  </si>
  <si>
    <t>Inajá</t>
  </si>
  <si>
    <t>Santo Antônio do Caiuá</t>
  </si>
  <si>
    <t>Boa Esperança do Iguaçu</t>
  </si>
  <si>
    <t>Paranapoema</t>
  </si>
  <si>
    <t>Iracema do Oeste</t>
  </si>
  <si>
    <t>Ariranha do Ivaí</t>
  </si>
  <si>
    <t>Mirador</t>
  </si>
  <si>
    <t>Guaporema</t>
  </si>
  <si>
    <t>Iguatu</t>
  </si>
  <si>
    <t>São Manoel do Paraná</t>
  </si>
  <si>
    <t>Uniflor</t>
  </si>
  <si>
    <t>Santo Antônio do Paraíso</t>
  </si>
  <si>
    <t>Miraselva</t>
  </si>
  <si>
    <t>Esperança Nova</t>
  </si>
  <si>
    <t>Santa Inês</t>
  </si>
  <si>
    <t>Jardim Olinda</t>
  </si>
  <si>
    <t>Nova Aliança do Ivaí</t>
  </si>
  <si>
    <t>G2</t>
  </si>
  <si>
    <t>G1</t>
  </si>
  <si>
    <t>M2</t>
  </si>
  <si>
    <t>M1</t>
  </si>
  <si>
    <t>P2</t>
  </si>
  <si>
    <t>P1</t>
  </si>
  <si>
    <t>Entre 100 até 200 mil habitantes</t>
  </si>
  <si>
    <t>Entre 200 até 500 mil habitantes</t>
  </si>
  <si>
    <t>Acima de 1 milhão de habitantes</t>
  </si>
  <si>
    <t>Entre 500 mil até 1 milhão habitantes</t>
  </si>
  <si>
    <t>Faixa</t>
  </si>
  <si>
    <t>Recorte Populacional Total</t>
  </si>
  <si>
    <t>PCM</t>
  </si>
  <si>
    <t>Total</t>
  </si>
  <si>
    <t>TOTAL</t>
  </si>
  <si>
    <t>FATOR EDUCAÇÃO</t>
  </si>
  <si>
    <t>FATOR DEMOGRÁFICO</t>
  </si>
  <si>
    <t>População Alvo</t>
  </si>
  <si>
    <t>Proporção</t>
  </si>
  <si>
    <t>Creches a Serem Construídas</t>
  </si>
  <si>
    <t>Municípios</t>
  </si>
  <si>
    <t>SIMULAÇÃO</t>
  </si>
  <si>
    <t>Matriculas Creches</t>
  </si>
  <si>
    <t>População 0 a 4</t>
  </si>
  <si>
    <t>Quartil Minimo</t>
  </si>
  <si>
    <t>Quartil Máximo</t>
  </si>
  <si>
    <t>Creche_Normalizado</t>
  </si>
  <si>
    <t>População 5 a 14</t>
  </si>
  <si>
    <t>Matrícula_Normalizado</t>
  </si>
  <si>
    <t>Oferta Privado</t>
  </si>
  <si>
    <t>Total Oferta</t>
  </si>
  <si>
    <t>Privado_Normalizado</t>
  </si>
  <si>
    <t>Matriculas Pré-Escola e Fundamental</t>
  </si>
  <si>
    <t>Oferta Total</t>
  </si>
  <si>
    <t>Desnutrição_Normalizado</t>
  </si>
  <si>
    <t>MI_Normalizado</t>
  </si>
  <si>
    <t>População Total</t>
  </si>
  <si>
    <t>Proporção_Normalizado</t>
  </si>
  <si>
    <t>Natalidade_Normalizado</t>
  </si>
  <si>
    <t>POPULAÇÃO</t>
  </si>
  <si>
    <t>FATOR SOCIOECONÔMICO</t>
  </si>
  <si>
    <t>P3</t>
  </si>
  <si>
    <t>P4</t>
  </si>
  <si>
    <t>Até 20 mil habitantes</t>
  </si>
  <si>
    <t>Entre 20 a 40 mil habitantes</t>
  </si>
  <si>
    <t>Código</t>
  </si>
  <si>
    <t>[-]</t>
  </si>
  <si>
    <t>Contemplado</t>
  </si>
  <si>
    <t>Sim</t>
  </si>
  <si>
    <t>Não</t>
  </si>
  <si>
    <t>PROPORÇÃO CRECHES</t>
  </si>
  <si>
    <t>CADUnico</t>
  </si>
  <si>
    <t>IPDM-R</t>
  </si>
  <si>
    <t>CADUnico_Normalizado</t>
  </si>
  <si>
    <t>Prop Ajustado</t>
  </si>
  <si>
    <t xml:space="preserve">APROX. CRECHES </t>
  </si>
  <si>
    <t>Entre 70 a 100 mil habitantes</t>
  </si>
  <si>
    <t>Entre 40 a 70 mil habitantes</t>
  </si>
  <si>
    <t>PCM Ponderado</t>
  </si>
  <si>
    <t>PROPORÇÃO 2</t>
  </si>
  <si>
    <t>PCM Soma</t>
  </si>
  <si>
    <t>FAIXA 2</t>
  </si>
  <si>
    <t>R</t>
  </si>
  <si>
    <t>CASCAVEL</t>
  </si>
  <si>
    <t>CAFELÂNDIA</t>
  </si>
  <si>
    <t>YAN</t>
  </si>
  <si>
    <t>PREFEITO</t>
  </si>
  <si>
    <t>SD</t>
  </si>
  <si>
    <t>MARQUINHO</t>
  </si>
  <si>
    <t>CAMBARÁ</t>
  </si>
  <si>
    <t>SAPOPEMA</t>
  </si>
  <si>
    <t>PLANALTO</t>
  </si>
  <si>
    <t>ATALAIA</t>
  </si>
  <si>
    <t>ASTORGA</t>
  </si>
  <si>
    <t>FLORESTA</t>
  </si>
  <si>
    <t>FAXINAL</t>
  </si>
  <si>
    <t>ITAGUAJÉ</t>
  </si>
  <si>
    <t>ITAMBÉ</t>
  </si>
  <si>
    <t>LUPIONÓPOLIS</t>
  </si>
  <si>
    <t>MANDAGUARI</t>
  </si>
  <si>
    <t>MARIALVA</t>
  </si>
  <si>
    <t>MARIPÁ</t>
  </si>
  <si>
    <t>PORECATU</t>
  </si>
  <si>
    <t>PAIÇANDU</t>
  </si>
  <si>
    <t>SARANDI</t>
  </si>
  <si>
    <t>ENÉAS MARQUES</t>
  </si>
  <si>
    <t>BRASILÂNDIA DO SUL</t>
  </si>
  <si>
    <t>QUEDAS DO IGUAÇU</t>
  </si>
  <si>
    <t>NOVA LONDRINA</t>
  </si>
  <si>
    <t>JARDIM OLINDA</t>
  </si>
  <si>
    <t>DOIS VIZINHOS</t>
  </si>
  <si>
    <t>CORUMBATAÍ DO SUL</t>
  </si>
  <si>
    <t>DOUTOR CAMARGO</t>
  </si>
  <si>
    <t>NOSSA SENHORA DAS GRAÇAS</t>
  </si>
  <si>
    <t>QUINTA DO SOL</t>
  </si>
  <si>
    <t>SANTA INÊS</t>
  </si>
  <si>
    <t>SÃO PEDRO DO PARANÁ</t>
  </si>
  <si>
    <t>PONTA GROSSA</t>
  </si>
  <si>
    <t>GOIOERÊ</t>
  </si>
  <si>
    <t>LUIZIANA</t>
  </si>
  <si>
    <t>Coluna1</t>
  </si>
  <si>
    <t>Coluna2</t>
  </si>
  <si>
    <t>Coluna3</t>
  </si>
  <si>
    <t>Coluna4</t>
  </si>
  <si>
    <t>Coluna5</t>
  </si>
  <si>
    <t>Coluna6</t>
  </si>
  <si>
    <t>Coluna7</t>
  </si>
  <si>
    <t>Ponderação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</si>
</sst>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7" formatCode="#,##0.0000"/>
    <numFmt numFmtId="168" formatCode="0.0"/>
  </numFmts>
  <fonts count="18" x14ac:knownFonts="1">
    <font>
      <sz val="11"/>
      <color rgb="FF000000"/>
      <name val="Calibri"/>
    </font>
    <font>
      <b/>
      <sz val="11"/>
      <color theme="0"/>
      <name val="Antonio"/>
    </font>
    <font>
      <sz val="11"/>
      <color theme="0"/>
      <name val="Antonio"/>
    </font>
    <font>
      <sz val="14"/>
      <color theme="0"/>
      <name val="Antonio"/>
    </font>
    <font>
      <b/>
      <sz val="12"/>
      <color theme="0"/>
      <name val="Antonio"/>
    </font>
    <font>
      <b/>
      <sz val="10"/>
      <color theme="0"/>
      <name val="Antonio"/>
    </font>
    <font>
      <sz val="12"/>
      <color theme="0"/>
      <name val="Antonio"/>
    </font>
    <font>
      <sz val="11"/>
      <color rgb="FF000000"/>
      <name val="Antonio"/>
    </font>
    <font>
      <sz val="16"/>
      <color theme="0"/>
      <name val="Antonio"/>
    </font>
    <font>
      <sz val="11"/>
      <color rgb="FF000000"/>
      <name val="Calibri"/>
      <family val="2"/>
    </font>
    <font>
      <sz val="11"/>
      <color rgb="FF000000"/>
      <name val="Bahnschrift Light Condensed"/>
      <family val="2"/>
    </font>
    <font>
      <sz val="13"/>
      <color theme="0"/>
      <name val="Antonio"/>
    </font>
    <font>
      <sz val="11"/>
      <color theme="0"/>
      <name val="Bahnschrift Light Condensed"/>
      <family val="2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ntonio"/>
    </font>
    <font>
      <sz val="11"/>
      <color rgb="FF000000"/>
      <name val="Calibri"/>
      <family val="2"/>
      <scheme val="minor"/>
    </font>
    <font>
      <sz val="11"/>
      <name val="Bahnschrift Light Condensed"/>
      <family val="2"/>
    </font>
  </fonts>
  <fills count="3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492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E4E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B97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CFDEB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F4FF"/>
        <bgColor indexed="64"/>
      </patternFill>
    </fill>
    <fill>
      <patternFill patternType="solid">
        <fgColor rgb="FF64B7CE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FFD72F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7" fillId="9" borderId="1" xfId="0" applyFont="1" applyFill="1" applyBorder="1" applyAlignment="1">
      <alignment horizontal="left" vertical="center"/>
    </xf>
    <xf numFmtId="1" fontId="6" fillId="16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>
      <alignment horizontal="center" vertical="center"/>
    </xf>
    <xf numFmtId="0" fontId="0" fillId="18" borderId="0" xfId="0" applyFill="1"/>
    <xf numFmtId="0" fontId="2" fillId="1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3" fontId="10" fillId="19" borderId="1" xfId="0" applyNumberFormat="1" applyFont="1" applyFill="1" applyBorder="1" applyAlignment="1">
      <alignment horizontal="center"/>
    </xf>
    <xf numFmtId="1" fontId="10" fillId="19" borderId="1" xfId="1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/>
    </xf>
    <xf numFmtId="2" fontId="0" fillId="17" borderId="1" xfId="0" applyNumberForma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3" fillId="18" borderId="1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left" vertical="center"/>
    </xf>
    <xf numFmtId="164" fontId="0" fillId="23" borderId="6" xfId="0" applyNumberFormat="1" applyFill="1" applyBorder="1" applyAlignment="1">
      <alignment horizontal="center"/>
    </xf>
    <xf numFmtId="0" fontId="0" fillId="0" borderId="7" xfId="0" applyBorder="1"/>
    <xf numFmtId="0" fontId="0" fillId="0" borderId="6" xfId="0" applyBorder="1"/>
    <xf numFmtId="164" fontId="0" fillId="23" borderId="7" xfId="0" applyNumberFormat="1" applyFill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14" fillId="22" borderId="1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/>
    </xf>
    <xf numFmtId="2" fontId="0" fillId="0" borderId="0" xfId="0" applyNumberFormat="1"/>
    <xf numFmtId="0" fontId="9" fillId="14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21" borderId="1" xfId="0" applyNumberFormat="1" applyFill="1" applyBorder="1" applyAlignment="1">
      <alignment horizontal="center"/>
    </xf>
    <xf numFmtId="2" fontId="0" fillId="26" borderId="1" xfId="0" applyNumberFormat="1" applyFill="1" applyBorder="1" applyAlignment="1">
      <alignment horizontal="center" vertical="center"/>
    </xf>
    <xf numFmtId="2" fontId="0" fillId="26" borderId="1" xfId="0" applyNumberFormat="1" applyFill="1" applyBorder="1" applyAlignment="1">
      <alignment horizontal="center"/>
    </xf>
    <xf numFmtId="0" fontId="14" fillId="25" borderId="3" xfId="0" applyFont="1" applyFill="1" applyBorder="1" applyAlignment="1">
      <alignment vertical="center"/>
    </xf>
    <xf numFmtId="2" fontId="0" fillId="27" borderId="1" xfId="0" applyNumberFormat="1" applyFill="1" applyBorder="1" applyAlignment="1">
      <alignment horizontal="center"/>
    </xf>
    <xf numFmtId="0" fontId="16" fillId="21" borderId="3" xfId="0" applyFont="1" applyFill="1" applyBorder="1" applyAlignment="1">
      <alignment horizontal="center" vertical="center"/>
    </xf>
    <xf numFmtId="0" fontId="14" fillId="25" borderId="10" xfId="0" applyFont="1" applyFill="1" applyBorder="1" applyAlignment="1">
      <alignment vertical="center"/>
    </xf>
    <xf numFmtId="164" fontId="0" fillId="26" borderId="1" xfId="0" applyNumberFormat="1" applyFill="1" applyBorder="1" applyAlignment="1">
      <alignment horizontal="center"/>
    </xf>
    <xf numFmtId="164" fontId="0" fillId="27" borderId="1" xfId="0" applyNumberFormat="1" applyFill="1" applyBorder="1" applyAlignment="1">
      <alignment horizontal="center"/>
    </xf>
    <xf numFmtId="0" fontId="0" fillId="18" borderId="0" xfId="0" applyFill="1" applyAlignment="1">
      <alignment horizontal="center" vertical="center"/>
    </xf>
    <xf numFmtId="0" fontId="10" fillId="19" borderId="1" xfId="0" applyFont="1" applyFill="1" applyBorder="1" applyAlignment="1">
      <alignment horizontal="left" vertical="center"/>
    </xf>
    <xf numFmtId="0" fontId="9" fillId="18" borderId="0" xfId="0" applyFont="1" applyFill="1" applyAlignment="1">
      <alignment horizontal="center"/>
    </xf>
    <xf numFmtId="1" fontId="10" fillId="28" borderId="1" xfId="1" applyNumberFormat="1" applyFont="1" applyFill="1" applyBorder="1" applyAlignment="1">
      <alignment horizontal="center"/>
    </xf>
    <xf numFmtId="1" fontId="10" fillId="28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0" fontId="0" fillId="4" borderId="0" xfId="0" applyFill="1"/>
    <xf numFmtId="164" fontId="0" fillId="4" borderId="7" xfId="0" applyNumberFormat="1" applyFill="1" applyBorder="1" applyAlignment="1">
      <alignment horizontal="center"/>
    </xf>
    <xf numFmtId="0" fontId="0" fillId="2" borderId="0" xfId="0" applyFill="1"/>
    <xf numFmtId="164" fontId="0" fillId="2" borderId="7" xfId="0" applyNumberFormat="1" applyFill="1" applyBorder="1" applyAlignment="1">
      <alignment horizontal="center"/>
    </xf>
    <xf numFmtId="0" fontId="1" fillId="25" borderId="1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/>
    </xf>
    <xf numFmtId="0" fontId="0" fillId="21" borderId="2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/>
    </xf>
    <xf numFmtId="0" fontId="14" fillId="24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" fontId="12" fillId="16" borderId="2" xfId="0" applyNumberFormat="1" applyFont="1" applyFill="1" applyBorder="1" applyAlignment="1">
      <alignment horizontal="center"/>
    </xf>
    <xf numFmtId="1" fontId="12" fillId="16" borderId="7" xfId="0" applyNumberFormat="1" applyFont="1" applyFill="1" applyBorder="1"/>
    <xf numFmtId="1" fontId="12" fillId="16" borderId="6" xfId="0" applyNumberFormat="1" applyFont="1" applyFill="1" applyBorder="1"/>
    <xf numFmtId="1" fontId="0" fillId="18" borderId="0" xfId="0" applyNumberFormat="1" applyFill="1"/>
    <xf numFmtId="0" fontId="0" fillId="18" borderId="0" xfId="0" applyFill="1" applyAlignment="1">
      <alignment vertical="center"/>
    </xf>
    <xf numFmtId="2" fontId="0" fillId="18" borderId="0" xfId="0" applyNumberFormat="1" applyFill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3" fontId="0" fillId="10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2" fontId="0" fillId="17" borderId="3" xfId="0" applyNumberFormat="1" applyFill="1" applyBorder="1" applyAlignment="1">
      <alignment horizontal="center" vertical="center"/>
    </xf>
    <xf numFmtId="0" fontId="0" fillId="18" borderId="0" xfId="0" applyFill="1" applyAlignment="1">
      <alignment horizontal="left" vertical="center"/>
    </xf>
    <xf numFmtId="9" fontId="10" fillId="19" borderId="1" xfId="1" applyFont="1" applyFill="1" applyBorder="1" applyAlignment="1">
      <alignment horizontal="center"/>
    </xf>
    <xf numFmtId="9" fontId="17" fillId="28" borderId="1" xfId="1" applyFont="1" applyFill="1" applyBorder="1" applyAlignment="1">
      <alignment horizontal="center"/>
    </xf>
    <xf numFmtId="1" fontId="0" fillId="18" borderId="0" xfId="0" applyNumberFormat="1" applyFill="1" applyAlignment="1">
      <alignment vertical="center"/>
    </xf>
    <xf numFmtId="1" fontId="0" fillId="30" borderId="1" xfId="0" applyNumberFormat="1" applyFill="1" applyBorder="1" applyAlignment="1">
      <alignment horizontal="center"/>
    </xf>
    <xf numFmtId="2" fontId="0" fillId="30" borderId="1" xfId="0" applyNumberFormat="1" applyFill="1" applyBorder="1" applyAlignment="1">
      <alignment horizontal="center"/>
    </xf>
    <xf numFmtId="167" fontId="10" fillId="19" borderId="1" xfId="0" applyNumberFormat="1" applyFont="1" applyFill="1" applyBorder="1" applyAlignment="1">
      <alignment horizontal="center"/>
    </xf>
    <xf numFmtId="2" fontId="6" fillId="16" borderId="1" xfId="0" applyNumberFormat="1" applyFont="1" applyFill="1" applyBorder="1" applyAlignment="1">
      <alignment horizontal="center" vertical="center"/>
    </xf>
    <xf numFmtId="4" fontId="10" fillId="19" borderId="1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 wrapText="1"/>
    </xf>
    <xf numFmtId="1" fontId="10" fillId="19" borderId="2" xfId="0" applyNumberFormat="1" applyFont="1" applyFill="1" applyBorder="1" applyAlignment="1">
      <alignment horizontal="center"/>
    </xf>
    <xf numFmtId="1" fontId="10" fillId="19" borderId="7" xfId="0" applyNumberFormat="1" applyFont="1" applyFill="1" applyBorder="1" applyAlignment="1">
      <alignment horizontal="center"/>
    </xf>
    <xf numFmtId="1" fontId="10" fillId="19" borderId="6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1" fontId="2" fillId="1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/>
    <xf numFmtId="0" fontId="0" fillId="18" borderId="1" xfId="0" applyFill="1" applyBorder="1"/>
    <xf numFmtId="0" fontId="9" fillId="18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9" fillId="31" borderId="1" xfId="0" applyFont="1" applyFill="1" applyBorder="1"/>
    <xf numFmtId="0" fontId="0" fillId="31" borderId="1" xfId="0" applyFill="1" applyBorder="1"/>
    <xf numFmtId="164" fontId="6" fillId="16" borderId="1" xfId="0" applyNumberFormat="1" applyFont="1" applyFill="1" applyBorder="1" applyAlignment="1">
      <alignment horizontal="center" vertical="center"/>
    </xf>
    <xf numFmtId="0" fontId="9" fillId="18" borderId="6" xfId="0" applyFont="1" applyFill="1" applyBorder="1"/>
    <xf numFmtId="0" fontId="0" fillId="18" borderId="6" xfId="0" applyFill="1" applyBorder="1"/>
    <xf numFmtId="0" fontId="0" fillId="31" borderId="6" xfId="0" applyFill="1" applyBorder="1"/>
    <xf numFmtId="0" fontId="9" fillId="31" borderId="6" xfId="0" applyFont="1" applyFill="1" applyBorder="1"/>
    <xf numFmtId="0" fontId="9" fillId="18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18" borderId="4" xfId="0" applyFill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11" fillId="6" borderId="0" xfId="0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2" fontId="0" fillId="18" borderId="0" xfId="0" applyNumberForma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4">
    <dxf>
      <font>
        <color rgb="FF00B05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/>
  <colors>
    <mruColors>
      <color rgb="FFFFFFE7"/>
      <color rgb="FFA3FFCD"/>
      <color rgb="FF0DFF7A"/>
      <color rgb="FFFFFFE1"/>
      <color rgb="FFFFFFC5"/>
      <color rgb="FFFFD72F"/>
      <color rgb="FFB49200"/>
      <color rgb="FFD5F4FF"/>
      <color rgb="FF9BE5FF"/>
      <color rgb="FFCAE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thurcb\Downloads\Indicador_Criterio_VF1.xlsx" TargetMode="External"/><Relationship Id="rId1" Type="http://schemas.openxmlformats.org/officeDocument/2006/relationships/externalLinkPath" Target="file:///C:\Users\arthurcb\Downloads\Indicador_Criterio_VF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"/>
      <sheetName val="Controle"/>
      <sheetName val="Educacional"/>
      <sheetName val="Demográfico"/>
      <sheetName val="Socioeconômico"/>
    </sheetNames>
    <sheetDataSet>
      <sheetData sheetId="0">
        <row r="2">
          <cell r="A2" t="str">
            <v>Abatiá</v>
          </cell>
          <cell r="B2">
            <v>7241</v>
          </cell>
          <cell r="C2" t="str">
            <v>P1</v>
          </cell>
          <cell r="D2">
            <v>13.046531872984266</v>
          </cell>
          <cell r="E2">
            <v>57.041600751136443</v>
          </cell>
          <cell r="F2">
            <v>44.444028803927914</v>
          </cell>
          <cell r="G2">
            <v>40.259729785631279</v>
          </cell>
          <cell r="H2">
            <v>0.47809337975492672</v>
          </cell>
          <cell r="I2">
            <v>3.5901687617140819E-2</v>
          </cell>
          <cell r="J2">
            <v>0.51399506737206757</v>
          </cell>
          <cell r="K2">
            <v>0</v>
          </cell>
          <cell r="L2">
            <v>436.97734909600302</v>
          </cell>
          <cell r="M2">
            <v>0</v>
          </cell>
          <cell r="N2">
            <v>0.51399506737206757</v>
          </cell>
          <cell r="O2">
            <v>255</v>
          </cell>
          <cell r="P2">
            <v>0</v>
          </cell>
          <cell r="Q2">
            <v>211</v>
          </cell>
        </row>
        <row r="3">
          <cell r="A3" t="str">
            <v>Adrianópolis</v>
          </cell>
          <cell r="B3">
            <v>6256</v>
          </cell>
          <cell r="C3" t="str">
            <v>P1</v>
          </cell>
          <cell r="D3">
            <v>13.046531872984266</v>
          </cell>
          <cell r="E3">
            <v>71.891075782666704</v>
          </cell>
          <cell r="F3">
            <v>48.263432160069193</v>
          </cell>
          <cell r="G3">
            <v>32.434858439581951</v>
          </cell>
          <cell r="H3">
            <v>0.51383060120913304</v>
          </cell>
          <cell r="I3">
            <v>3.5862407871389022E-2</v>
          </cell>
          <cell r="J3">
            <v>0.5496930090805221</v>
          </cell>
          <cell r="K3">
            <v>1</v>
          </cell>
          <cell r="L3">
            <v>469.12733890393849</v>
          </cell>
          <cell r="M3">
            <v>0</v>
          </cell>
          <cell r="N3">
            <v>0.5496930090805221</v>
          </cell>
          <cell r="O3">
            <v>181</v>
          </cell>
          <cell r="P3">
            <v>1</v>
          </cell>
          <cell r="Q3">
            <v>118</v>
          </cell>
        </row>
        <row r="4">
          <cell r="A4" t="str">
            <v>Agudos do Sul</v>
          </cell>
          <cell r="B4">
            <v>10233</v>
          </cell>
          <cell r="C4" t="str">
            <v>P1</v>
          </cell>
          <cell r="D4">
            <v>13.046531872984266</v>
          </cell>
          <cell r="E4">
            <v>69.913282879914433</v>
          </cell>
          <cell r="F4">
            <v>54.764227622077975</v>
          </cell>
          <cell r="G4">
            <v>45.391190951698171</v>
          </cell>
          <cell r="H4">
            <v>0.57074635057060641</v>
          </cell>
          <cell r="I4">
            <v>5.8212583204160492E-2</v>
          </cell>
          <cell r="J4">
            <v>0.62895893377476686</v>
          </cell>
          <cell r="K4">
            <v>1</v>
          </cell>
          <cell r="L4">
            <v>845.84609154563873</v>
          </cell>
          <cell r="M4">
            <v>0</v>
          </cell>
          <cell r="N4">
            <v>0.62895893377476686</v>
          </cell>
          <cell r="O4">
            <v>78</v>
          </cell>
          <cell r="P4">
            <v>1</v>
          </cell>
          <cell r="Q4">
            <v>40</v>
          </cell>
        </row>
        <row r="5">
          <cell r="A5" t="str">
            <v>Almirante Tamandaré</v>
          </cell>
          <cell r="B5">
            <v>119825</v>
          </cell>
          <cell r="C5" t="str">
            <v>M1</v>
          </cell>
          <cell r="D5">
            <v>10.334658226280325</v>
          </cell>
          <cell r="E5">
            <v>87.155133359818223</v>
          </cell>
          <cell r="F5">
            <v>58.489591270120535</v>
          </cell>
          <cell r="G5">
            <v>31.880294467694227</v>
          </cell>
          <cell r="H5">
            <v>0.59312089385029099</v>
          </cell>
          <cell r="I5">
            <v>0.74297639089520628</v>
          </cell>
          <cell r="J5">
            <v>1.3360972847454973</v>
          </cell>
          <cell r="K5">
            <v>2</v>
          </cell>
          <cell r="L5">
            <v>11218.881707178254</v>
          </cell>
          <cell r="M5">
            <v>1</v>
          </cell>
          <cell r="N5">
            <v>0.33609728474549727</v>
          </cell>
          <cell r="O5">
            <v>383</v>
          </cell>
          <cell r="P5">
            <v>1</v>
          </cell>
          <cell r="Q5">
            <v>23</v>
          </cell>
        </row>
        <row r="6">
          <cell r="A6" t="str">
            <v>Altamira do Paraná</v>
          </cell>
          <cell r="B6">
            <v>3590</v>
          </cell>
          <cell r="C6" t="str">
            <v>P1</v>
          </cell>
          <cell r="D6">
            <v>13.046531872984266</v>
          </cell>
          <cell r="E6">
            <v>61.981841725975798</v>
          </cell>
          <cell r="F6">
            <v>58.139748352451171</v>
          </cell>
          <cell r="G6">
            <v>41.75169518315699</v>
          </cell>
          <cell r="H6">
            <v>0.53121364434143348</v>
          </cell>
          <cell r="I6">
            <v>1.834364126608836E-2</v>
          </cell>
          <cell r="J6">
            <v>0.54955728560752182</v>
          </cell>
          <cell r="K6">
            <v>1</v>
          </cell>
          <cell r="L6">
            <v>248.07677190744943</v>
          </cell>
          <cell r="M6">
            <v>0</v>
          </cell>
          <cell r="N6">
            <v>0.54955728560752182</v>
          </cell>
          <cell r="O6">
            <v>183</v>
          </cell>
          <cell r="P6">
            <v>1</v>
          </cell>
          <cell r="Q6">
            <v>84</v>
          </cell>
        </row>
        <row r="7">
          <cell r="A7" t="str">
            <v>Alto Paraíso</v>
          </cell>
          <cell r="B7">
            <v>3055</v>
          </cell>
          <cell r="C7" t="str">
            <v>P1</v>
          </cell>
          <cell r="D7">
            <v>13.046531872984266</v>
          </cell>
          <cell r="E7">
            <v>45.444333505971919</v>
          </cell>
          <cell r="F7">
            <v>79.161602958696022</v>
          </cell>
          <cell r="G7">
            <v>36.271271456286968</v>
          </cell>
          <cell r="H7">
            <v>0.48518562576642765</v>
          </cell>
          <cell r="I7">
            <v>1.7125969147782708E-2</v>
          </cell>
          <cell r="J7">
            <v>0.5023115949142104</v>
          </cell>
          <cell r="K7">
            <v>0</v>
          </cell>
          <cell r="L7">
            <v>211.54093283416245</v>
          </cell>
          <cell r="M7">
            <v>0</v>
          </cell>
          <cell r="N7">
            <v>0.5023115949142104</v>
          </cell>
          <cell r="O7">
            <v>276</v>
          </cell>
          <cell r="P7">
            <v>0</v>
          </cell>
          <cell r="Q7">
            <v>189</v>
          </cell>
        </row>
        <row r="8">
          <cell r="A8" t="str">
            <v>Alto Paraná</v>
          </cell>
          <cell r="B8">
            <v>13909</v>
          </cell>
          <cell r="C8" t="str">
            <v>P1</v>
          </cell>
          <cell r="D8">
            <v>13.046531872984266</v>
          </cell>
          <cell r="E8">
            <v>68.251681479469426</v>
          </cell>
          <cell r="F8">
            <v>54.637051864879062</v>
          </cell>
          <cell r="G8">
            <v>39.38191964841505</v>
          </cell>
          <cell r="H8">
            <v>0.539808508241296</v>
          </cell>
          <cell r="I8">
            <v>7.553495108070217E-2</v>
          </cell>
          <cell r="J8">
            <v>0.61534345932199819</v>
          </cell>
          <cell r="K8">
            <v>1</v>
          </cell>
          <cell r="L8">
            <v>1038.0517613480122</v>
          </cell>
          <cell r="M8">
            <v>0</v>
          </cell>
          <cell r="N8">
            <v>0.61534345932199819</v>
          </cell>
          <cell r="O8">
            <v>93</v>
          </cell>
          <cell r="P8">
            <v>1</v>
          </cell>
          <cell r="Q8">
            <v>71</v>
          </cell>
        </row>
        <row r="9">
          <cell r="A9" t="str">
            <v>Alto Piquiri</v>
          </cell>
          <cell r="B9">
            <v>9727</v>
          </cell>
          <cell r="C9" t="str">
            <v>P1</v>
          </cell>
          <cell r="D9">
            <v>13.046531872984266</v>
          </cell>
          <cell r="E9">
            <v>61.518809708896931</v>
          </cell>
          <cell r="F9">
            <v>51.946304761994327</v>
          </cell>
          <cell r="G9">
            <v>36.541124810457447</v>
          </cell>
          <cell r="H9">
            <v>0.49613234760140612</v>
          </cell>
          <cell r="I9">
            <v>5.0003116342035296E-2</v>
          </cell>
          <cell r="J9">
            <v>0.54613546394344137</v>
          </cell>
          <cell r="K9">
            <v>1</v>
          </cell>
          <cell r="L9">
            <v>631.57647849658997</v>
          </cell>
          <cell r="M9">
            <v>0</v>
          </cell>
          <cell r="N9">
            <v>0.54613546394344137</v>
          </cell>
          <cell r="O9">
            <v>189</v>
          </cell>
          <cell r="P9">
            <v>1</v>
          </cell>
          <cell r="Q9">
            <v>160</v>
          </cell>
        </row>
        <row r="10">
          <cell r="A10" t="str">
            <v>Altônia</v>
          </cell>
          <cell r="B10">
            <v>18742</v>
          </cell>
          <cell r="C10" t="str">
            <v>P1</v>
          </cell>
          <cell r="D10">
            <v>13.046531872984266</v>
          </cell>
          <cell r="E10">
            <v>56.322890439634691</v>
          </cell>
          <cell r="F10">
            <v>48.23444363436959</v>
          </cell>
          <cell r="G10">
            <v>32.579389451215683</v>
          </cell>
          <cell r="H10">
            <v>0.45207800683214067</v>
          </cell>
          <cell r="I10">
            <v>8.8418707687291001E-2</v>
          </cell>
          <cell r="J10">
            <v>0.54049671451943171</v>
          </cell>
          <cell r="K10">
            <v>1</v>
          </cell>
          <cell r="L10">
            <v>1017.6275933791486</v>
          </cell>
          <cell r="M10">
            <v>0</v>
          </cell>
          <cell r="N10">
            <v>0.54049671451943171</v>
          </cell>
          <cell r="O10">
            <v>197</v>
          </cell>
          <cell r="P10">
            <v>1</v>
          </cell>
          <cell r="Q10">
            <v>278</v>
          </cell>
        </row>
        <row r="11">
          <cell r="A11" t="str">
            <v>Alvorada do Sul</v>
          </cell>
          <cell r="B11">
            <v>10326</v>
          </cell>
          <cell r="C11" t="str">
            <v>P1</v>
          </cell>
          <cell r="D11">
            <v>13.046531872984266</v>
          </cell>
          <cell r="E11">
            <v>58.360046168861587</v>
          </cell>
          <cell r="F11">
            <v>37.755581540589773</v>
          </cell>
          <cell r="G11">
            <v>37.149098089607818</v>
          </cell>
          <cell r="H11">
            <v>0.45754774011505717</v>
          </cell>
          <cell r="I11">
            <v>4.5721624055089616E-2</v>
          </cell>
          <cell r="J11">
            <v>0.50326936417014678</v>
          </cell>
          <cell r="K11">
            <v>0</v>
          </cell>
          <cell r="L11">
            <v>532.58556949392653</v>
          </cell>
          <cell r="M11">
            <v>0</v>
          </cell>
          <cell r="N11">
            <v>0.50326936417014678</v>
          </cell>
          <cell r="O11">
            <v>273</v>
          </cell>
          <cell r="P11">
            <v>0</v>
          </cell>
          <cell r="Q11">
            <v>261</v>
          </cell>
        </row>
        <row r="12">
          <cell r="A12" t="str">
            <v>Amaporã</v>
          </cell>
          <cell r="B12">
            <v>4762</v>
          </cell>
          <cell r="C12" t="str">
            <v>P1</v>
          </cell>
          <cell r="D12">
            <v>13.046531872984266</v>
          </cell>
          <cell r="E12">
            <v>64.405620219219344</v>
          </cell>
          <cell r="F12">
            <v>47.027460069844786</v>
          </cell>
          <cell r="G12">
            <v>48.325996011269432</v>
          </cell>
          <cell r="H12">
            <v>0.54498138506164462</v>
          </cell>
          <cell r="I12">
            <v>2.5846072704681242E-2</v>
          </cell>
          <cell r="J12">
            <v>0.57082745776632582</v>
          </cell>
          <cell r="K12">
            <v>1</v>
          </cell>
          <cell r="L12">
            <v>358.59775137056215</v>
          </cell>
          <cell r="M12">
            <v>0</v>
          </cell>
          <cell r="N12">
            <v>0.57082745776632582</v>
          </cell>
          <cell r="O12">
            <v>141</v>
          </cell>
          <cell r="P12">
            <v>1</v>
          </cell>
          <cell r="Q12">
            <v>62</v>
          </cell>
        </row>
        <row r="13">
          <cell r="A13" t="str">
            <v>Ampére</v>
          </cell>
          <cell r="B13">
            <v>19620</v>
          </cell>
          <cell r="C13" t="str">
            <v>P1</v>
          </cell>
          <cell r="D13">
            <v>13.046531872984266</v>
          </cell>
          <cell r="E13">
            <v>64.904572713926242</v>
          </cell>
          <cell r="F13">
            <v>52.021407673409975</v>
          </cell>
          <cell r="G13">
            <v>22.224854696541986</v>
          </cell>
          <cell r="H13">
            <v>0.45256052498869287</v>
          </cell>
          <cell r="I13">
            <v>0.10016335166707778</v>
          </cell>
          <cell r="J13">
            <v>0.55272387665577061</v>
          </cell>
          <cell r="K13">
            <v>1</v>
          </cell>
          <cell r="L13">
            <v>1154.0293387211668</v>
          </cell>
          <cell r="M13">
            <v>0</v>
          </cell>
          <cell r="N13">
            <v>0.55272387665577061</v>
          </cell>
          <cell r="O13">
            <v>176</v>
          </cell>
          <cell r="P13">
            <v>1</v>
          </cell>
          <cell r="Q13">
            <v>275</v>
          </cell>
        </row>
        <row r="14">
          <cell r="A14" t="str">
            <v>Anahy</v>
          </cell>
          <cell r="B14">
            <v>2918</v>
          </cell>
          <cell r="C14" t="str">
            <v>P1</v>
          </cell>
          <cell r="D14">
            <v>13.046531872984266</v>
          </cell>
          <cell r="E14">
            <v>53.369955752723584</v>
          </cell>
          <cell r="F14">
            <v>44.503926646313289</v>
          </cell>
          <cell r="G14">
            <v>35.547855179220527</v>
          </cell>
          <cell r="H14">
            <v>0.44467909702040304</v>
          </cell>
          <cell r="I14">
            <v>1.4376386945157044E-2</v>
          </cell>
          <cell r="J14">
            <v>0.45905548396556006</v>
          </cell>
          <cell r="K14">
            <v>0</v>
          </cell>
          <cell r="L14">
            <v>162.75254950946751</v>
          </cell>
          <cell r="M14">
            <v>0</v>
          </cell>
          <cell r="N14">
            <v>0.45905548396556006</v>
          </cell>
          <cell r="O14">
            <v>337</v>
          </cell>
          <cell r="P14">
            <v>0</v>
          </cell>
          <cell r="Q14">
            <v>294</v>
          </cell>
        </row>
        <row r="15">
          <cell r="A15" t="str">
            <v>Andirá</v>
          </cell>
          <cell r="B15">
            <v>19878</v>
          </cell>
          <cell r="C15" t="str">
            <v>P1</v>
          </cell>
          <cell r="D15">
            <v>13.046531872984266</v>
          </cell>
          <cell r="E15">
            <v>56.478807279972386</v>
          </cell>
          <cell r="F15">
            <v>49.347645504770959</v>
          </cell>
          <cell r="G15">
            <v>35.326057514253364</v>
          </cell>
          <cell r="H15">
            <v>0.4659147501864449</v>
          </cell>
          <cell r="I15">
            <v>9.3289396160513613E-2</v>
          </cell>
          <cell r="J15">
            <v>0.55920414634695848</v>
          </cell>
          <cell r="K15">
            <v>1</v>
          </cell>
          <cell r="L15">
            <v>1106.5475316928066</v>
          </cell>
          <cell r="M15">
            <v>0</v>
          </cell>
          <cell r="N15">
            <v>0.55920414634695848</v>
          </cell>
          <cell r="O15">
            <v>167</v>
          </cell>
          <cell r="P15">
            <v>1</v>
          </cell>
          <cell r="Q15">
            <v>241</v>
          </cell>
        </row>
        <row r="16">
          <cell r="A16" t="str">
            <v>Ângulo</v>
          </cell>
          <cell r="B16">
            <v>3235</v>
          </cell>
          <cell r="C16" t="str">
            <v>P1</v>
          </cell>
          <cell r="D16">
            <v>13.046531872984266</v>
          </cell>
          <cell r="E16">
            <v>46.49463679671247</v>
          </cell>
          <cell r="F16">
            <v>50.705085793858188</v>
          </cell>
          <cell r="G16">
            <v>35.143101689921814</v>
          </cell>
          <cell r="H16">
            <v>0.42796112553425347</v>
          </cell>
          <cell r="I16">
            <v>1.7322367876541685E-2</v>
          </cell>
          <cell r="J16">
            <v>0.44528349341079515</v>
          </cell>
          <cell r="K16">
            <v>0</v>
          </cell>
          <cell r="L16">
            <v>188.73085636060577</v>
          </cell>
          <cell r="M16">
            <v>0</v>
          </cell>
          <cell r="N16">
            <v>0.44528349341079515</v>
          </cell>
          <cell r="O16">
            <v>345</v>
          </cell>
          <cell r="P16">
            <v>0</v>
          </cell>
          <cell r="Q16">
            <v>326</v>
          </cell>
        </row>
        <row r="17">
          <cell r="A17" t="str">
            <v>Antonina</v>
          </cell>
          <cell r="B17">
            <v>18091</v>
          </cell>
          <cell r="C17" t="str">
            <v>P1</v>
          </cell>
          <cell r="D17">
            <v>13.046531872984266</v>
          </cell>
          <cell r="E17">
            <v>70.009872834915896</v>
          </cell>
          <cell r="F17">
            <v>45.107651915892042</v>
          </cell>
          <cell r="G17">
            <v>47.971369027238346</v>
          </cell>
          <cell r="H17">
            <v>0.56214027128040112</v>
          </cell>
          <cell r="I17">
            <v>9.914207827753109E-2</v>
          </cell>
          <cell r="J17">
            <v>0.66128234955793219</v>
          </cell>
          <cell r="K17">
            <v>1</v>
          </cell>
          <cell r="L17">
            <v>1418.8420447117323</v>
          </cell>
          <cell r="M17">
            <v>0</v>
          </cell>
          <cell r="N17">
            <v>0.66128234955793219</v>
          </cell>
          <cell r="O17">
            <v>47</v>
          </cell>
          <cell r="P17">
            <v>1</v>
          </cell>
          <cell r="Q17">
            <v>48</v>
          </cell>
        </row>
        <row r="18">
          <cell r="A18" t="str">
            <v>Antônio Olinto</v>
          </cell>
          <cell r="B18">
            <v>7018</v>
          </cell>
          <cell r="C18" t="str">
            <v>P1</v>
          </cell>
          <cell r="D18">
            <v>13.046531872984266</v>
          </cell>
          <cell r="E18">
            <v>82.821256142524817</v>
          </cell>
          <cell r="F18">
            <v>45.86034357564909</v>
          </cell>
          <cell r="G18">
            <v>49.187348089324594</v>
          </cell>
          <cell r="H18">
            <v>0.61975510407869583</v>
          </cell>
          <cell r="I18">
            <v>3.4684015498835166E-2</v>
          </cell>
          <cell r="J18">
            <v>0.65443911957753098</v>
          </cell>
          <cell r="K18">
            <v>1</v>
          </cell>
          <cell r="L18">
            <v>547.24375690148838</v>
          </cell>
          <cell r="M18">
            <v>0</v>
          </cell>
          <cell r="N18">
            <v>0.65443911957753098</v>
          </cell>
          <cell r="O18">
            <v>58</v>
          </cell>
          <cell r="P18">
            <v>1</v>
          </cell>
          <cell r="Q18">
            <v>11</v>
          </cell>
        </row>
        <row r="19">
          <cell r="A19" t="str">
            <v>Apucarana</v>
          </cell>
          <cell r="B19">
            <v>130134</v>
          </cell>
          <cell r="C19" t="str">
            <v>M1</v>
          </cell>
          <cell r="D19">
            <v>10.334658226280325</v>
          </cell>
          <cell r="E19">
            <v>56.261741423688875</v>
          </cell>
          <cell r="F19">
            <v>52.44977333026057</v>
          </cell>
          <cell r="G19">
            <v>26.673552872212017</v>
          </cell>
          <cell r="H19">
            <v>0.43664072384412472</v>
          </cell>
          <cell r="I19">
            <v>0.66555601201841796</v>
          </cell>
          <cell r="J19">
            <v>1.1021967358625426</v>
          </cell>
          <cell r="K19">
            <v>1</v>
          </cell>
          <cell r="L19">
            <v>7398.4404248148494</v>
          </cell>
          <cell r="M19">
            <v>1</v>
          </cell>
          <cell r="N19">
            <v>0.10219673586254263</v>
          </cell>
          <cell r="O19">
            <v>394</v>
          </cell>
          <cell r="P19">
            <v>1</v>
          </cell>
          <cell r="Q19">
            <v>307</v>
          </cell>
        </row>
        <row r="20">
          <cell r="A20" t="str">
            <v>Arapongas</v>
          </cell>
          <cell r="B20">
            <v>119138</v>
          </cell>
          <cell r="C20" t="str">
            <v>M1</v>
          </cell>
          <cell r="D20">
            <v>10.334658226280325</v>
          </cell>
          <cell r="E20">
            <v>59.299189146883087</v>
          </cell>
          <cell r="F20">
            <v>52.702687798246664</v>
          </cell>
          <cell r="G20">
            <v>21.741336453582022</v>
          </cell>
          <cell r="H20">
            <v>0.42956747799835376</v>
          </cell>
          <cell r="I20">
            <v>0.60765766678027178</v>
          </cell>
          <cell r="J20">
            <v>1.0372251447786256</v>
          </cell>
          <cell r="K20">
            <v>1</v>
          </cell>
          <cell r="L20">
            <v>6645.408884634533</v>
          </cell>
          <cell r="M20">
            <v>1</v>
          </cell>
          <cell r="N20">
            <v>3.7225144778625596E-2</v>
          </cell>
          <cell r="O20">
            <v>398</v>
          </cell>
          <cell r="P20">
            <v>1</v>
          </cell>
          <cell r="Q20">
            <v>323</v>
          </cell>
        </row>
        <row r="21">
          <cell r="A21" t="str">
            <v>Arapoti</v>
          </cell>
          <cell r="B21">
            <v>25777</v>
          </cell>
          <cell r="C21" t="str">
            <v>P2</v>
          </cell>
          <cell r="D21">
            <v>6.7442145063459806</v>
          </cell>
          <cell r="E21">
            <v>64.828387462077771</v>
          </cell>
          <cell r="F21">
            <v>63.465918985858131</v>
          </cell>
          <cell r="G21">
            <v>28.828216005952729</v>
          </cell>
          <cell r="H21">
            <v>0.50155825184383829</v>
          </cell>
          <cell r="I21">
            <v>0.14678840987445868</v>
          </cell>
          <cell r="J21">
            <v>0.64834666171829691</v>
          </cell>
          <cell r="K21">
            <v>1</v>
          </cell>
          <cell r="L21">
            <v>1874.3231871404237</v>
          </cell>
          <cell r="M21">
            <v>0</v>
          </cell>
          <cell r="N21">
            <v>0.64834666171829691</v>
          </cell>
          <cell r="O21">
            <v>61</v>
          </cell>
          <cell r="P21">
            <v>1</v>
          </cell>
          <cell r="Q21">
            <v>149</v>
          </cell>
        </row>
        <row r="22">
          <cell r="A22" t="str">
            <v>Arapuã</v>
          </cell>
          <cell r="B22">
            <v>3527</v>
          </cell>
          <cell r="C22" t="str">
            <v>P1</v>
          </cell>
          <cell r="D22">
            <v>13.046531872984266</v>
          </cell>
          <cell r="E22">
            <v>62.848359906408987</v>
          </cell>
          <cell r="F22">
            <v>47.596791247087559</v>
          </cell>
          <cell r="G22">
            <v>49.400315283714441</v>
          </cell>
          <cell r="H22">
            <v>0.54418828325466884</v>
          </cell>
          <cell r="I22">
            <v>1.7008129910527324E-2</v>
          </cell>
          <cell r="J22">
            <v>0.5611964131651962</v>
          </cell>
          <cell r="K22">
            <v>1</v>
          </cell>
          <cell r="L22">
            <v>235.6335266492716</v>
          </cell>
          <cell r="M22">
            <v>0</v>
          </cell>
          <cell r="N22">
            <v>0.5611964131651962</v>
          </cell>
          <cell r="O22">
            <v>163</v>
          </cell>
          <cell r="P22">
            <v>1</v>
          </cell>
          <cell r="Q22">
            <v>63</v>
          </cell>
        </row>
        <row r="23">
          <cell r="A23" t="str">
            <v>Araruna</v>
          </cell>
          <cell r="B23">
            <v>14485</v>
          </cell>
          <cell r="C23" t="str">
            <v>P1</v>
          </cell>
          <cell r="D23">
            <v>13.046531872984266</v>
          </cell>
          <cell r="E23">
            <v>68.955964667113719</v>
          </cell>
          <cell r="F23">
            <v>47.988955874606546</v>
          </cell>
          <cell r="G23">
            <v>30.900905861764006</v>
          </cell>
          <cell r="H23">
            <v>0.49540539386472399</v>
          </cell>
          <cell r="I23">
            <v>7.2471130912062157E-2</v>
          </cell>
          <cell r="J23">
            <v>0.56787652477678618</v>
          </cell>
          <cell r="K23">
            <v>1</v>
          </cell>
          <cell r="L23">
            <v>914.02295168041576</v>
          </cell>
          <cell r="M23">
            <v>0</v>
          </cell>
          <cell r="N23">
            <v>0.56787652477678618</v>
          </cell>
          <cell r="O23">
            <v>146</v>
          </cell>
          <cell r="P23">
            <v>1</v>
          </cell>
          <cell r="Q23">
            <v>162</v>
          </cell>
        </row>
        <row r="24">
          <cell r="A24" t="str">
            <v>Araucária</v>
          </cell>
          <cell r="B24">
            <v>151666</v>
          </cell>
          <cell r="C24" t="str">
            <v>M1</v>
          </cell>
          <cell r="D24">
            <v>10.334658226280325</v>
          </cell>
          <cell r="E24">
            <v>56.822954318708753</v>
          </cell>
          <cell r="F24">
            <v>55.339104736542218</v>
          </cell>
          <cell r="G24">
            <v>17.305690188512756</v>
          </cell>
          <cell r="H24">
            <v>0.40719278750197047</v>
          </cell>
          <cell r="I24">
            <v>0.87719528212909059</v>
          </cell>
          <cell r="J24">
            <v>1.284388069631061</v>
          </cell>
          <cell r="K24">
            <v>2</v>
          </cell>
          <cell r="L24">
            <v>9093.4293304940038</v>
          </cell>
          <cell r="M24">
            <v>1</v>
          </cell>
          <cell r="N24">
            <v>0.284388069631061</v>
          </cell>
          <cell r="O24">
            <v>387</v>
          </cell>
          <cell r="P24">
            <v>1</v>
          </cell>
          <cell r="Q24">
            <v>358</v>
          </cell>
        </row>
        <row r="25">
          <cell r="A25" t="str">
            <v>Ariranha do Ivaí</v>
          </cell>
          <cell r="B25">
            <v>2329</v>
          </cell>
          <cell r="C25" t="str">
            <v>P1</v>
          </cell>
          <cell r="D25">
            <v>13.046531872984266</v>
          </cell>
          <cell r="E25">
            <v>47.055193923012204</v>
          </cell>
          <cell r="F25">
            <v>44.475323666253161</v>
          </cell>
          <cell r="G25">
            <v>43.519884123406541</v>
          </cell>
          <cell r="H25">
            <v>0.45125095951818123</v>
          </cell>
          <cell r="I25">
            <v>1.1587524996779586E-2</v>
          </cell>
          <cell r="J25">
            <v>0.46283848451496079</v>
          </cell>
          <cell r="K25">
            <v>0</v>
          </cell>
          <cell r="L25">
            <v>133.11903305786348</v>
          </cell>
          <cell r="M25">
            <v>0</v>
          </cell>
          <cell r="N25">
            <v>0.46283848451496079</v>
          </cell>
          <cell r="O25">
            <v>330</v>
          </cell>
          <cell r="P25">
            <v>0</v>
          </cell>
          <cell r="Q25">
            <v>281</v>
          </cell>
        </row>
        <row r="26">
          <cell r="A26" t="str">
            <v>Assaí</v>
          </cell>
          <cell r="B26">
            <v>13797</v>
          </cell>
          <cell r="C26" t="str">
            <v>P1</v>
          </cell>
          <cell r="D26">
            <v>13.046531872984266</v>
          </cell>
          <cell r="E26">
            <v>53.067819955628309</v>
          </cell>
          <cell r="F26">
            <v>48.080199651353297</v>
          </cell>
          <cell r="G26">
            <v>36.908863263298393</v>
          </cell>
          <cell r="H26">
            <v>0.45606713217841344</v>
          </cell>
          <cell r="I26">
            <v>6.8935953794400581E-2</v>
          </cell>
          <cell r="J26">
            <v>0.52500308597281398</v>
          </cell>
          <cell r="K26">
            <v>1</v>
          </cell>
          <cell r="L26">
            <v>800.3978169731156</v>
          </cell>
          <cell r="M26">
            <v>0</v>
          </cell>
          <cell r="N26">
            <v>0.52500308597281398</v>
          </cell>
          <cell r="O26">
            <v>232</v>
          </cell>
          <cell r="P26">
            <v>0</v>
          </cell>
          <cell r="Q26">
            <v>264</v>
          </cell>
        </row>
        <row r="27">
          <cell r="A27" t="str">
            <v>Assis Chateaubriand</v>
          </cell>
          <cell r="B27">
            <v>36808</v>
          </cell>
          <cell r="C27" t="str">
            <v>P2</v>
          </cell>
          <cell r="D27">
            <v>6.7442145063459806</v>
          </cell>
          <cell r="E27">
            <v>54.174966987652937</v>
          </cell>
          <cell r="F27">
            <v>49.121016549764391</v>
          </cell>
          <cell r="G27">
            <v>27.630508261854882</v>
          </cell>
          <cell r="H27">
            <v>0.42546393409756006</v>
          </cell>
          <cell r="I27">
            <v>0.17526622554451018</v>
          </cell>
          <cell r="J27">
            <v>0.60073015964207022</v>
          </cell>
          <cell r="K27">
            <v>1</v>
          </cell>
          <cell r="L27">
            <v>1898.4200739433129</v>
          </cell>
          <cell r="M27">
            <v>0</v>
          </cell>
          <cell r="N27">
            <v>0.60073015964207022</v>
          </cell>
          <cell r="O27">
            <v>115</v>
          </cell>
          <cell r="P27">
            <v>1</v>
          </cell>
          <cell r="Q27">
            <v>331</v>
          </cell>
        </row>
        <row r="28">
          <cell r="A28" t="str">
            <v>Astorga</v>
          </cell>
          <cell r="B28">
            <v>25475</v>
          </cell>
          <cell r="C28" t="str">
            <v>P2</v>
          </cell>
          <cell r="D28">
            <v>6.7442145063459806</v>
          </cell>
          <cell r="E28">
            <v>57.726248815895374</v>
          </cell>
          <cell r="F28">
            <v>59.293311617122754</v>
          </cell>
          <cell r="G28">
            <v>28.396825813316823</v>
          </cell>
          <cell r="H28">
            <v>0.46307892175109427</v>
          </cell>
          <cell r="I28">
            <v>0.12479175225345336</v>
          </cell>
          <cell r="J28">
            <v>0.58787067400454762</v>
          </cell>
          <cell r="K28">
            <v>1</v>
          </cell>
          <cell r="L28">
            <v>1471.2017344032265</v>
          </cell>
          <cell r="M28">
            <v>0</v>
          </cell>
          <cell r="N28">
            <v>0.58787067400454762</v>
          </cell>
          <cell r="O28">
            <v>126</v>
          </cell>
          <cell r="P28">
            <v>1</v>
          </cell>
          <cell r="Q28">
            <v>246</v>
          </cell>
        </row>
        <row r="29">
          <cell r="A29" t="str">
            <v>Atalaia</v>
          </cell>
          <cell r="B29">
            <v>3980</v>
          </cell>
          <cell r="C29" t="str">
            <v>P1</v>
          </cell>
          <cell r="D29">
            <v>13.046531872984266</v>
          </cell>
          <cell r="E29">
            <v>45.295516514227685</v>
          </cell>
          <cell r="F29">
            <v>35.748873443691032</v>
          </cell>
          <cell r="G29">
            <v>28.953140702506005</v>
          </cell>
          <cell r="H29">
            <v>0.36849237575431681</v>
          </cell>
          <cell r="I29">
            <v>1.6536772961505779E-2</v>
          </cell>
          <cell r="J29">
            <v>0.38502914871582261</v>
          </cell>
          <cell r="K29">
            <v>0</v>
          </cell>
          <cell r="L29">
            <v>155.13529019256737</v>
          </cell>
          <cell r="M29">
            <v>0</v>
          </cell>
          <cell r="N29">
            <v>0.38502914871582261</v>
          </cell>
          <cell r="O29">
            <v>380</v>
          </cell>
          <cell r="P29">
            <v>0</v>
          </cell>
          <cell r="Q29">
            <v>393</v>
          </cell>
        </row>
        <row r="30">
          <cell r="A30" t="str">
            <v>Balsa Nova</v>
          </cell>
          <cell r="B30">
            <v>13395</v>
          </cell>
          <cell r="C30" t="str">
            <v>P1</v>
          </cell>
          <cell r="D30">
            <v>13.046531872984266</v>
          </cell>
          <cell r="E30">
            <v>65.479398325356613</v>
          </cell>
          <cell r="F30">
            <v>61.300032395382537</v>
          </cell>
          <cell r="G30">
            <v>25.492970281653239</v>
          </cell>
          <cell r="H30">
            <v>0.4864895392188045</v>
          </cell>
          <cell r="I30">
            <v>7.5181433368936026E-2</v>
          </cell>
          <cell r="J30">
            <v>0.56167097258774057</v>
          </cell>
          <cell r="K30">
            <v>1</v>
          </cell>
          <cell r="L30">
            <v>931.14097806479185</v>
          </cell>
          <cell r="M30">
            <v>0</v>
          </cell>
          <cell r="N30">
            <v>0.56167097258774057</v>
          </cell>
          <cell r="O30">
            <v>160</v>
          </cell>
          <cell r="P30">
            <v>1</v>
          </cell>
          <cell r="Q30">
            <v>185</v>
          </cell>
        </row>
        <row r="31">
          <cell r="A31" t="str">
            <v>Bandeirantes</v>
          </cell>
          <cell r="B31">
            <v>31273</v>
          </cell>
          <cell r="C31" t="str">
            <v>P2</v>
          </cell>
          <cell r="D31">
            <v>6.7442145063459806</v>
          </cell>
          <cell r="E31">
            <v>57.076465379385127</v>
          </cell>
          <cell r="F31">
            <v>48.67149349563919</v>
          </cell>
          <cell r="G31">
            <v>31.697584125960034</v>
          </cell>
          <cell r="H31">
            <v>0.45243918501265901</v>
          </cell>
          <cell r="I31">
            <v>0.15165909834768126</v>
          </cell>
          <cell r="J31">
            <v>0.60409828336034033</v>
          </cell>
          <cell r="K31">
            <v>1</v>
          </cell>
          <cell r="L31">
            <v>1746.8676933338763</v>
          </cell>
          <cell r="M31">
            <v>0</v>
          </cell>
          <cell r="N31">
            <v>0.60409828336034033</v>
          </cell>
          <cell r="O31">
            <v>111</v>
          </cell>
          <cell r="P31">
            <v>1</v>
          </cell>
          <cell r="Q31">
            <v>276</v>
          </cell>
        </row>
        <row r="32">
          <cell r="A32" t="str">
            <v>Barbosa Ferraz</v>
          </cell>
          <cell r="B32">
            <v>10795</v>
          </cell>
          <cell r="C32" t="str">
            <v>P1</v>
          </cell>
          <cell r="D32">
            <v>13.046531872984266</v>
          </cell>
          <cell r="E32">
            <v>67.027686788352995</v>
          </cell>
          <cell r="F32">
            <v>41.72841139042351</v>
          </cell>
          <cell r="G32">
            <v>43.102639080097475</v>
          </cell>
          <cell r="H32">
            <v>0.5239781262546489</v>
          </cell>
          <cell r="I32">
            <v>5.0042396087787093E-2</v>
          </cell>
          <cell r="J32">
            <v>0.57402052234243595</v>
          </cell>
          <cell r="K32">
            <v>1</v>
          </cell>
          <cell r="L32">
            <v>667.54813284842271</v>
          </cell>
          <cell r="M32">
            <v>0</v>
          </cell>
          <cell r="N32">
            <v>0.57402052234243595</v>
          </cell>
          <cell r="O32">
            <v>138</v>
          </cell>
          <cell r="P32">
            <v>1</v>
          </cell>
          <cell r="Q32">
            <v>92</v>
          </cell>
        </row>
        <row r="33">
          <cell r="A33" t="str">
            <v>Barra do Jacaré</v>
          </cell>
          <cell r="B33">
            <v>2814</v>
          </cell>
          <cell r="C33" t="str">
            <v>P1</v>
          </cell>
          <cell r="D33">
            <v>13.046531872984266</v>
          </cell>
          <cell r="E33">
            <v>56.808800732706572</v>
          </cell>
          <cell r="F33">
            <v>40.379809077055931</v>
          </cell>
          <cell r="G33">
            <v>37.437763763095759</v>
          </cell>
          <cell r="H33">
            <v>0.45774587613732121</v>
          </cell>
          <cell r="I33">
            <v>1.253023889482267E-2</v>
          </cell>
          <cell r="J33">
            <v>0.47027611503214389</v>
          </cell>
          <cell r="K33">
            <v>0</v>
          </cell>
          <cell r="L33">
            <v>146.02093448780548</v>
          </cell>
          <cell r="M33">
            <v>0</v>
          </cell>
          <cell r="N33">
            <v>0.47027611503214389</v>
          </cell>
          <cell r="O33">
            <v>318</v>
          </cell>
          <cell r="P33">
            <v>0</v>
          </cell>
          <cell r="Q33">
            <v>258</v>
          </cell>
        </row>
        <row r="34">
          <cell r="A34" t="str">
            <v>Barracão</v>
          </cell>
          <cell r="B34">
            <v>9759</v>
          </cell>
          <cell r="C34" t="str">
            <v>P1</v>
          </cell>
          <cell r="D34">
            <v>13.046531872984266</v>
          </cell>
          <cell r="E34">
            <v>59.400540312572105</v>
          </cell>
          <cell r="F34">
            <v>50.892527625709384</v>
          </cell>
          <cell r="G34">
            <v>36.73184100053296</v>
          </cell>
          <cell r="H34">
            <v>0.48631458050383897</v>
          </cell>
          <cell r="I34">
            <v>5.3263335239434294E-2</v>
          </cell>
          <cell r="J34">
            <v>0.5395779157432733</v>
          </cell>
          <cell r="K34">
            <v>1</v>
          </cell>
          <cell r="L34">
            <v>659.44257116320568</v>
          </cell>
          <cell r="M34">
            <v>0</v>
          </cell>
          <cell r="N34">
            <v>0.5395779157432733</v>
          </cell>
          <cell r="O34">
            <v>200</v>
          </cell>
          <cell r="P34">
            <v>1</v>
          </cell>
          <cell r="Q34">
            <v>186</v>
          </cell>
        </row>
        <row r="35">
          <cell r="A35" t="str">
            <v>Bela Vista da Caroba</v>
          </cell>
          <cell r="B35">
            <v>4031</v>
          </cell>
          <cell r="C35" t="str">
            <v>P1</v>
          </cell>
          <cell r="D35">
            <v>13.046531872984266</v>
          </cell>
          <cell r="E35">
            <v>65.894421159383683</v>
          </cell>
          <cell r="F35">
            <v>60.675772306871266</v>
          </cell>
          <cell r="G35">
            <v>37.494975586668616</v>
          </cell>
          <cell r="H35">
            <v>0.53490913159795173</v>
          </cell>
          <cell r="I35">
            <v>2.0307628553678122E-2</v>
          </cell>
          <cell r="J35">
            <v>0.5552167601516298</v>
          </cell>
          <cell r="K35">
            <v>1</v>
          </cell>
          <cell r="L35">
            <v>276.54802103614105</v>
          </cell>
          <cell r="M35">
            <v>0</v>
          </cell>
          <cell r="N35">
            <v>0.5552167601516298</v>
          </cell>
          <cell r="O35">
            <v>172</v>
          </cell>
          <cell r="P35">
            <v>1</v>
          </cell>
          <cell r="Q35">
            <v>81</v>
          </cell>
        </row>
        <row r="36">
          <cell r="A36" t="str">
            <v>Bela Vista do Paraíso</v>
          </cell>
          <cell r="B36">
            <v>14833</v>
          </cell>
          <cell r="C36" t="str">
            <v>P1</v>
          </cell>
          <cell r="D36">
            <v>13.046531872984266</v>
          </cell>
          <cell r="E36">
            <v>64.963066064915054</v>
          </cell>
          <cell r="F36">
            <v>53.878228264715574</v>
          </cell>
          <cell r="G36">
            <v>40.462717054727648</v>
          </cell>
          <cell r="H36">
            <v>0.52945958900800205</v>
          </cell>
          <cell r="I36">
            <v>7.0978500573493933E-2</v>
          </cell>
          <cell r="J36">
            <v>0.60043808958149603</v>
          </cell>
          <cell r="K36">
            <v>1</v>
          </cell>
          <cell r="L36">
            <v>956.7334773374597</v>
          </cell>
          <cell r="M36">
            <v>0</v>
          </cell>
          <cell r="N36">
            <v>0.60043808958149603</v>
          </cell>
          <cell r="O36">
            <v>116</v>
          </cell>
          <cell r="P36">
            <v>1</v>
          </cell>
          <cell r="Q36">
            <v>87</v>
          </cell>
        </row>
        <row r="37">
          <cell r="A37" t="str">
            <v>Bituruna</v>
          </cell>
          <cell r="B37">
            <v>15533</v>
          </cell>
          <cell r="C37" t="str">
            <v>P1</v>
          </cell>
          <cell r="D37">
            <v>13.046531872984266</v>
          </cell>
          <cell r="E37">
            <v>67.206114513406021</v>
          </cell>
          <cell r="F37">
            <v>66.192019607759747</v>
          </cell>
          <cell r="G37">
            <v>37.01093546989771</v>
          </cell>
          <cell r="H37">
            <v>0.54925223914873433</v>
          </cell>
          <cell r="I37">
            <v>8.798663048402125E-2</v>
          </cell>
          <cell r="J37">
            <v>0.63723886963275556</v>
          </cell>
          <cell r="K37">
            <v>1</v>
          </cell>
          <cell r="L37">
            <v>1230.3250156931649</v>
          </cell>
          <cell r="M37">
            <v>0</v>
          </cell>
          <cell r="N37">
            <v>0.63723886963275556</v>
          </cell>
          <cell r="O37">
            <v>70</v>
          </cell>
          <cell r="P37">
            <v>1</v>
          </cell>
          <cell r="Q37">
            <v>55</v>
          </cell>
        </row>
        <row r="38">
          <cell r="A38" t="str">
            <v>Boa Esperança</v>
          </cell>
          <cell r="B38">
            <v>4558</v>
          </cell>
          <cell r="C38" t="str">
            <v>P1</v>
          </cell>
          <cell r="D38">
            <v>13.046531872984266</v>
          </cell>
          <cell r="E38">
            <v>50.403242417574447</v>
          </cell>
          <cell r="F38">
            <v>38.980015761520697</v>
          </cell>
          <cell r="G38">
            <v>29.559846512014648</v>
          </cell>
          <cell r="H38">
            <v>0.39781238724139778</v>
          </cell>
          <cell r="I38">
            <v>2.081826524845146E-2</v>
          </cell>
          <cell r="J38">
            <v>0.41863065248984926</v>
          </cell>
          <cell r="K38">
            <v>0</v>
          </cell>
          <cell r="L38">
            <v>210.84056523794084</v>
          </cell>
          <cell r="M38">
            <v>0</v>
          </cell>
          <cell r="N38">
            <v>0.41863065248984926</v>
          </cell>
          <cell r="O38">
            <v>365</v>
          </cell>
          <cell r="P38">
            <v>0</v>
          </cell>
          <cell r="Q38">
            <v>367</v>
          </cell>
        </row>
        <row r="39">
          <cell r="A39" t="str">
            <v>Boa Esperança do Iguaçu</v>
          </cell>
          <cell r="B39">
            <v>2455</v>
          </cell>
          <cell r="C39" t="str">
            <v>P1</v>
          </cell>
          <cell r="D39">
            <v>13.046531872984266</v>
          </cell>
          <cell r="E39">
            <v>49.008862194962489</v>
          </cell>
          <cell r="F39">
            <v>47.213655368135626</v>
          </cell>
          <cell r="G39">
            <v>32.434322100879747</v>
          </cell>
          <cell r="H39">
            <v>0.42020004791964011</v>
          </cell>
          <cell r="I39">
            <v>1.335511355561037E-2</v>
          </cell>
          <cell r="J39">
            <v>0.43355516147525047</v>
          </cell>
          <cell r="K39">
            <v>0</v>
          </cell>
          <cell r="L39">
            <v>142.86801629267762</v>
          </cell>
          <cell r="M39">
            <v>0</v>
          </cell>
          <cell r="N39">
            <v>0.43355516147525047</v>
          </cell>
          <cell r="O39">
            <v>353</v>
          </cell>
          <cell r="P39">
            <v>0</v>
          </cell>
          <cell r="Q39">
            <v>339</v>
          </cell>
        </row>
        <row r="40">
          <cell r="A40" t="str">
            <v>Boa Ventura de São Roque</v>
          </cell>
          <cell r="B40">
            <v>6378</v>
          </cell>
          <cell r="C40" t="str">
            <v>P1</v>
          </cell>
          <cell r="D40">
            <v>13.046531872984266</v>
          </cell>
          <cell r="E40">
            <v>73.922255472739494</v>
          </cell>
          <cell r="F40">
            <v>59.667552915389926</v>
          </cell>
          <cell r="G40">
            <v>40.329665491644455</v>
          </cell>
          <cell r="H40">
            <v>0.57634278968831565</v>
          </cell>
          <cell r="I40">
            <v>3.4487616770076189E-2</v>
          </cell>
          <cell r="J40">
            <v>0.61083040645839182</v>
          </cell>
          <cell r="K40">
            <v>1</v>
          </cell>
          <cell r="L40">
            <v>506.02896934634111</v>
          </cell>
          <cell r="M40">
            <v>0</v>
          </cell>
          <cell r="N40">
            <v>0.61083040645839182</v>
          </cell>
          <cell r="O40">
            <v>100</v>
          </cell>
          <cell r="P40">
            <v>1</v>
          </cell>
          <cell r="Q40">
            <v>33</v>
          </cell>
        </row>
        <row r="41">
          <cell r="A41" t="str">
            <v>Boa Vista da Aparecida</v>
          </cell>
          <cell r="B41">
            <v>7924</v>
          </cell>
          <cell r="C41" t="str">
            <v>P1</v>
          </cell>
          <cell r="D41">
            <v>13.046531872984266</v>
          </cell>
          <cell r="E41">
            <v>59.073252993919667</v>
          </cell>
          <cell r="F41">
            <v>51.26045160440276</v>
          </cell>
          <cell r="G41">
            <v>45.969814339460804</v>
          </cell>
          <cell r="H41">
            <v>0.52269317254232739</v>
          </cell>
          <cell r="I41">
            <v>4.3954035496258828E-2</v>
          </cell>
          <cell r="J41">
            <v>0.56664720803858626</v>
          </cell>
          <cell r="K41">
            <v>1</v>
          </cell>
          <cell r="L41">
            <v>584.89366007486433</v>
          </cell>
          <cell r="M41">
            <v>0</v>
          </cell>
          <cell r="N41">
            <v>0.56664720803858626</v>
          </cell>
          <cell r="O41">
            <v>150</v>
          </cell>
          <cell r="P41">
            <v>1</v>
          </cell>
          <cell r="Q41">
            <v>97</v>
          </cell>
        </row>
        <row r="42">
          <cell r="A42" t="str">
            <v>Bocaiúva do Sul</v>
          </cell>
          <cell r="B42">
            <v>13299</v>
          </cell>
          <cell r="C42" t="str">
            <v>P1</v>
          </cell>
          <cell r="D42">
            <v>13.046531872984266</v>
          </cell>
          <cell r="E42">
            <v>71.184212229857749</v>
          </cell>
          <cell r="F42">
            <v>61.17125365209904</v>
          </cell>
          <cell r="G42">
            <v>42.217547123633949</v>
          </cell>
          <cell r="H42">
            <v>0.57594954471816484</v>
          </cell>
          <cell r="I42">
            <v>7.8952288961108355E-2</v>
          </cell>
          <cell r="J42">
            <v>0.65490183367927324</v>
          </cell>
          <cell r="K42">
            <v>1</v>
          </cell>
          <cell r="L42">
            <v>1157.6585848835114</v>
          </cell>
          <cell r="M42">
            <v>0</v>
          </cell>
          <cell r="N42">
            <v>0.65490183367927324</v>
          </cell>
          <cell r="O42">
            <v>56</v>
          </cell>
          <cell r="P42">
            <v>1</v>
          </cell>
          <cell r="Q42">
            <v>35</v>
          </cell>
        </row>
        <row r="43">
          <cell r="A43" t="str">
            <v>Bom Jesus do Sul</v>
          </cell>
          <cell r="B43">
            <v>3980</v>
          </cell>
          <cell r="C43" t="str">
            <v>P1</v>
          </cell>
          <cell r="D43">
            <v>13.046531872984266</v>
          </cell>
          <cell r="E43">
            <v>37.814008965497401</v>
          </cell>
          <cell r="F43">
            <v>44.977599597255711</v>
          </cell>
          <cell r="G43">
            <v>39.781036048350181</v>
          </cell>
          <cell r="H43">
            <v>0.4003353792499017</v>
          </cell>
          <cell r="I43">
            <v>2.1446741180480181E-2</v>
          </cell>
          <cell r="J43">
            <v>0.42178212043038188</v>
          </cell>
          <cell r="K43">
            <v>0</v>
          </cell>
          <cell r="L43">
            <v>218.58311707044632</v>
          </cell>
          <cell r="M43">
            <v>0</v>
          </cell>
          <cell r="N43">
            <v>0.42178212043038188</v>
          </cell>
          <cell r="O43">
            <v>363</v>
          </cell>
          <cell r="P43">
            <v>0</v>
          </cell>
          <cell r="Q43">
            <v>365</v>
          </cell>
        </row>
        <row r="44">
          <cell r="A44" t="str">
            <v>Bom Sucesso</v>
          </cell>
          <cell r="B44">
            <v>6581</v>
          </cell>
          <cell r="C44" t="str">
            <v>P1</v>
          </cell>
          <cell r="D44">
            <v>13.046531872984266</v>
          </cell>
          <cell r="E44">
            <v>53.997471461758707</v>
          </cell>
          <cell r="F44">
            <v>46.096276855685325</v>
          </cell>
          <cell r="G44">
            <v>38.725015727494842</v>
          </cell>
          <cell r="H44">
            <v>0.46308250246838484</v>
          </cell>
          <cell r="I44">
            <v>3.6883681260935698E-2</v>
          </cell>
          <cell r="J44">
            <v>0.49996618372932056</v>
          </cell>
          <cell r="K44">
            <v>0</v>
          </cell>
          <cell r="L44">
            <v>434.83446981781339</v>
          </cell>
          <cell r="M44">
            <v>0</v>
          </cell>
          <cell r="N44">
            <v>0.49996618372932056</v>
          </cell>
          <cell r="O44">
            <v>281</v>
          </cell>
          <cell r="P44">
            <v>0</v>
          </cell>
          <cell r="Q44">
            <v>245</v>
          </cell>
        </row>
        <row r="45">
          <cell r="A45" t="str">
            <v>Bom Sucesso do Sul</v>
          </cell>
          <cell r="B45">
            <v>3202</v>
          </cell>
          <cell r="C45" t="str">
            <v>P1</v>
          </cell>
          <cell r="D45">
            <v>13.046531872984266</v>
          </cell>
          <cell r="E45">
            <v>45.52423915378229</v>
          </cell>
          <cell r="F45">
            <v>47.23976810420271</v>
          </cell>
          <cell r="G45">
            <v>27.239959210416156</v>
          </cell>
          <cell r="H45">
            <v>0.38553632966519918</v>
          </cell>
          <cell r="I45">
            <v>1.6183255249739622E-2</v>
          </cell>
          <cell r="J45">
            <v>0.40171958491493881</v>
          </cell>
          <cell r="K45">
            <v>0</v>
          </cell>
          <cell r="L45">
            <v>158.84096782206205</v>
          </cell>
          <cell r="M45">
            <v>0</v>
          </cell>
          <cell r="N45">
            <v>0.40171958491493881</v>
          </cell>
          <cell r="O45">
            <v>372</v>
          </cell>
          <cell r="P45">
            <v>0</v>
          </cell>
          <cell r="Q45">
            <v>379</v>
          </cell>
        </row>
        <row r="46">
          <cell r="A46" t="str">
            <v>Borrazópolis</v>
          </cell>
          <cell r="B46">
            <v>7735</v>
          </cell>
          <cell r="C46" t="str">
            <v>P1</v>
          </cell>
          <cell r="D46">
            <v>13.046531872984266</v>
          </cell>
          <cell r="E46">
            <v>58.908226079700327</v>
          </cell>
          <cell r="F46">
            <v>50.063437948704859</v>
          </cell>
          <cell r="G46">
            <v>39.830994491666644</v>
          </cell>
          <cell r="H46">
            <v>0.49508375818287759</v>
          </cell>
          <cell r="I46">
            <v>3.6176645837403383E-2</v>
          </cell>
          <cell r="J46">
            <v>0.53126040402028096</v>
          </cell>
          <cell r="K46">
            <v>1</v>
          </cell>
          <cell r="L46">
            <v>455.97214128643026</v>
          </cell>
          <cell r="M46">
            <v>0</v>
          </cell>
          <cell r="N46">
            <v>0.53126040402028096</v>
          </cell>
          <cell r="O46">
            <v>220</v>
          </cell>
          <cell r="P46">
            <v>0</v>
          </cell>
          <cell r="Q46">
            <v>165</v>
          </cell>
        </row>
        <row r="47">
          <cell r="A47" t="str">
            <v>Braganey</v>
          </cell>
          <cell r="B47">
            <v>4854</v>
          </cell>
          <cell r="C47" t="str">
            <v>P1</v>
          </cell>
          <cell r="D47">
            <v>13.046531872984266</v>
          </cell>
          <cell r="E47">
            <v>52.21022294174184</v>
          </cell>
          <cell r="F47">
            <v>44.121389210394334</v>
          </cell>
          <cell r="G47">
            <v>37.500492325689841</v>
          </cell>
          <cell r="H47">
            <v>0.44708563949051539</v>
          </cell>
          <cell r="I47">
            <v>2.2782252536041218E-2</v>
          </cell>
          <cell r="J47">
            <v>0.4698678920265566</v>
          </cell>
          <cell r="K47">
            <v>0</v>
          </cell>
          <cell r="L47">
            <v>259.30967090449894</v>
          </cell>
          <cell r="M47">
            <v>0</v>
          </cell>
          <cell r="N47">
            <v>0.4698678920265566</v>
          </cell>
          <cell r="O47">
            <v>319</v>
          </cell>
          <cell r="P47">
            <v>0</v>
          </cell>
          <cell r="Q47">
            <v>284</v>
          </cell>
        </row>
        <row r="48">
          <cell r="A48" t="str">
            <v>Brasilândia do Sul</v>
          </cell>
          <cell r="B48">
            <v>3708</v>
          </cell>
          <cell r="C48" t="str">
            <v>P1</v>
          </cell>
          <cell r="D48">
            <v>13.046531872984266</v>
          </cell>
          <cell r="E48">
            <v>62.847040261041691</v>
          </cell>
          <cell r="F48">
            <v>59.563450039775496</v>
          </cell>
          <cell r="G48">
            <v>30.816724176364875</v>
          </cell>
          <cell r="H48">
            <v>0.49378195782917728</v>
          </cell>
          <cell r="I48">
            <v>1.8461480503343747E-2</v>
          </cell>
          <cell r="J48">
            <v>0.51224343833252106</v>
          </cell>
          <cell r="K48">
            <v>0</v>
          </cell>
          <cell r="L48">
            <v>232.07752017971333</v>
          </cell>
          <cell r="M48">
            <v>0</v>
          </cell>
          <cell r="N48">
            <v>0.51224343833252106</v>
          </cell>
          <cell r="O48">
            <v>258</v>
          </cell>
          <cell r="P48">
            <v>0</v>
          </cell>
          <cell r="Q48">
            <v>168</v>
          </cell>
        </row>
        <row r="49">
          <cell r="A49" t="str">
            <v>Cafeara</v>
          </cell>
          <cell r="B49">
            <v>2627</v>
          </cell>
          <cell r="C49" t="str">
            <v>P1</v>
          </cell>
          <cell r="D49">
            <v>13.046531872984266</v>
          </cell>
          <cell r="E49">
            <v>52.632284610346545</v>
          </cell>
          <cell r="F49">
            <v>38.436850969421158</v>
          </cell>
          <cell r="G49">
            <v>30.64392183544955</v>
          </cell>
          <cell r="H49">
            <v>0.4099785277220267</v>
          </cell>
          <cell r="I49">
            <v>1.2137441437304717E-2</v>
          </cell>
          <cell r="J49">
            <v>0.42211596915933142</v>
          </cell>
          <cell r="K49">
            <v>0</v>
          </cell>
          <cell r="L49">
            <v>126.68336506610625</v>
          </cell>
          <cell r="M49">
            <v>0</v>
          </cell>
          <cell r="N49">
            <v>0.42211596915933142</v>
          </cell>
          <cell r="O49">
            <v>362</v>
          </cell>
          <cell r="P49">
            <v>0</v>
          </cell>
          <cell r="Q49">
            <v>356</v>
          </cell>
        </row>
        <row r="50">
          <cell r="A50" t="str">
            <v>Cafelândia</v>
          </cell>
          <cell r="B50">
            <v>18997</v>
          </cell>
          <cell r="C50" t="str">
            <v>P1</v>
          </cell>
          <cell r="D50">
            <v>13.046531872984266</v>
          </cell>
          <cell r="E50">
            <v>52.509959385120439</v>
          </cell>
          <cell r="F50">
            <v>52.723243286903831</v>
          </cell>
          <cell r="G50">
            <v>16.938995750092186</v>
          </cell>
          <cell r="H50">
            <v>0.38324230711465818</v>
          </cell>
          <cell r="I50">
            <v>0.10090966683636188</v>
          </cell>
          <cell r="J50">
            <v>0.48415197395102005</v>
          </cell>
          <cell r="K50">
            <v>1</v>
          </cell>
          <cell r="L50">
            <v>984.54948697755685</v>
          </cell>
          <cell r="M50">
            <v>0</v>
          </cell>
          <cell r="N50">
            <v>0.48415197395102005</v>
          </cell>
          <cell r="O50">
            <v>296</v>
          </cell>
          <cell r="P50">
            <v>0</v>
          </cell>
          <cell r="Q50">
            <v>384</v>
          </cell>
        </row>
        <row r="51">
          <cell r="A51" t="str">
            <v>Cafezal do Sul</v>
          </cell>
          <cell r="B51">
            <v>4473</v>
          </cell>
          <cell r="C51" t="str">
            <v>P1</v>
          </cell>
          <cell r="D51">
            <v>13.046531872984266</v>
          </cell>
          <cell r="E51">
            <v>65.896929412833984</v>
          </cell>
          <cell r="F51">
            <v>51.851293683072335</v>
          </cell>
          <cell r="G51">
            <v>36.844143763038424</v>
          </cell>
          <cell r="H51">
            <v>0.51466688006963435</v>
          </cell>
          <cell r="I51">
            <v>2.0543307028188889E-2</v>
          </cell>
          <cell r="J51">
            <v>0.5352101870978232</v>
          </cell>
          <cell r="K51">
            <v>1</v>
          </cell>
          <cell r="L51">
            <v>269.17077827641879</v>
          </cell>
          <cell r="M51">
            <v>0</v>
          </cell>
          <cell r="N51">
            <v>0.5352101870978232</v>
          </cell>
          <cell r="O51">
            <v>210</v>
          </cell>
          <cell r="P51">
            <v>1</v>
          </cell>
          <cell r="Q51">
            <v>115</v>
          </cell>
        </row>
        <row r="52">
          <cell r="A52" t="str">
            <v>Califórnia</v>
          </cell>
          <cell r="B52">
            <v>8710</v>
          </cell>
          <cell r="C52" t="str">
            <v>P1</v>
          </cell>
          <cell r="D52">
            <v>13.046531872984266</v>
          </cell>
          <cell r="E52">
            <v>50.942250133717053</v>
          </cell>
          <cell r="F52">
            <v>61.327306696070195</v>
          </cell>
          <cell r="G52">
            <v>37.081552373113986</v>
          </cell>
          <cell r="H52">
            <v>0.47474982341946448</v>
          </cell>
          <cell r="I52">
            <v>4.5878743038096796E-2</v>
          </cell>
          <cell r="J52">
            <v>0.52062856645756128</v>
          </cell>
          <cell r="K52">
            <v>0</v>
          </cell>
          <cell r="L52">
            <v>554.50779375393449</v>
          </cell>
          <cell r="M52">
            <v>0</v>
          </cell>
          <cell r="N52">
            <v>0.52062856645756128</v>
          </cell>
          <cell r="O52">
            <v>240</v>
          </cell>
          <cell r="P52">
            <v>0</v>
          </cell>
          <cell r="Q52">
            <v>220</v>
          </cell>
        </row>
        <row r="53">
          <cell r="A53" t="str">
            <v>Cambará</v>
          </cell>
          <cell r="B53">
            <v>23212</v>
          </cell>
          <cell r="C53" t="str">
            <v>P2</v>
          </cell>
          <cell r="D53">
            <v>6.7442145063459806</v>
          </cell>
          <cell r="E53">
            <v>63.58239528754843</v>
          </cell>
          <cell r="F53">
            <v>48.345707696821343</v>
          </cell>
          <cell r="G53">
            <v>36.045714687171916</v>
          </cell>
          <cell r="H53">
            <v>0.49520385529252409</v>
          </cell>
          <cell r="I53">
            <v>0.11167231717235376</v>
          </cell>
          <cell r="J53">
            <v>0.60687617246487791</v>
          </cell>
          <cell r="K53">
            <v>1</v>
          </cell>
          <cell r="L53">
            <v>1407.864560596646</v>
          </cell>
          <cell r="M53">
            <v>0</v>
          </cell>
          <cell r="N53">
            <v>0.60687617246487791</v>
          </cell>
          <cell r="O53">
            <v>105</v>
          </cell>
          <cell r="P53">
            <v>1</v>
          </cell>
          <cell r="Q53">
            <v>164</v>
          </cell>
        </row>
        <row r="54">
          <cell r="A54" t="str">
            <v>Cambé</v>
          </cell>
          <cell r="B54">
            <v>107208</v>
          </cell>
          <cell r="C54" t="str">
            <v>M1</v>
          </cell>
          <cell r="D54">
            <v>10.334658226280325</v>
          </cell>
          <cell r="E54">
            <v>63.916678645802918</v>
          </cell>
          <cell r="F54">
            <v>49.5858653237309</v>
          </cell>
          <cell r="G54">
            <v>24.802998757219772</v>
          </cell>
          <cell r="H54">
            <v>0.45405044025955255</v>
          </cell>
          <cell r="I54">
            <v>0.52650571205706287</v>
          </cell>
          <cell r="J54">
            <v>0.98055615231661541</v>
          </cell>
          <cell r="K54">
            <v>1</v>
          </cell>
          <cell r="L54">
            <v>6086.0921012390427</v>
          </cell>
          <cell r="M54">
            <v>0</v>
          </cell>
          <cell r="N54">
            <v>0.98055615231661541</v>
          </cell>
          <cell r="O54">
            <v>1</v>
          </cell>
          <cell r="P54">
            <v>1</v>
          </cell>
          <cell r="Q54">
            <v>268</v>
          </cell>
        </row>
        <row r="55">
          <cell r="A55" t="str">
            <v>Cambira</v>
          </cell>
          <cell r="B55">
            <v>9460</v>
          </cell>
          <cell r="C55" t="str">
            <v>P1</v>
          </cell>
          <cell r="D55">
            <v>13.046531872984266</v>
          </cell>
          <cell r="E55">
            <v>59.515819258506376</v>
          </cell>
          <cell r="F55">
            <v>45.903914927714801</v>
          </cell>
          <cell r="G55">
            <v>28.43435337171438</v>
          </cell>
          <cell r="H55">
            <v>0.4436085203763126</v>
          </cell>
          <cell r="I55">
            <v>4.8196248037452719E-2</v>
          </cell>
          <cell r="J55">
            <v>0.4918047684137653</v>
          </cell>
          <cell r="K55">
            <v>0</v>
          </cell>
          <cell r="L55">
            <v>544.30765450173556</v>
          </cell>
          <cell r="M55">
            <v>0</v>
          </cell>
          <cell r="N55">
            <v>0.4918047684137653</v>
          </cell>
          <cell r="O55">
            <v>289</v>
          </cell>
          <cell r="P55">
            <v>0</v>
          </cell>
          <cell r="Q55">
            <v>297</v>
          </cell>
        </row>
        <row r="56">
          <cell r="A56" t="str">
            <v>Campina da Lagoa</v>
          </cell>
          <cell r="B56">
            <v>15723</v>
          </cell>
          <cell r="C56" t="str">
            <v>P1</v>
          </cell>
          <cell r="D56">
            <v>13.046531872984266</v>
          </cell>
          <cell r="E56">
            <v>61.547339670028194</v>
          </cell>
          <cell r="F56">
            <v>61.559335813897007</v>
          </cell>
          <cell r="G56">
            <v>41.687941761438424</v>
          </cell>
          <cell r="H56">
            <v>0.53605979735366061</v>
          </cell>
          <cell r="I56">
            <v>8.2605305316025321E-2</v>
          </cell>
          <cell r="J56">
            <v>0.61866510266968588</v>
          </cell>
          <cell r="K56">
            <v>1</v>
          </cell>
          <cell r="L56">
            <v>1127.3337538347482</v>
          </cell>
          <cell r="M56">
            <v>0</v>
          </cell>
          <cell r="N56">
            <v>0.61866510266968588</v>
          </cell>
          <cell r="O56">
            <v>90</v>
          </cell>
          <cell r="P56">
            <v>1</v>
          </cell>
          <cell r="Q56">
            <v>79</v>
          </cell>
        </row>
        <row r="57">
          <cell r="A57" t="str">
            <v>Campina do Simão</v>
          </cell>
          <cell r="B57">
            <v>3936</v>
          </cell>
          <cell r="C57" t="str">
            <v>P1</v>
          </cell>
          <cell r="D57">
            <v>13.046531872984266</v>
          </cell>
          <cell r="E57">
            <v>74.843498569941346</v>
          </cell>
          <cell r="F57">
            <v>59.178071739003144</v>
          </cell>
          <cell r="G57">
            <v>44.071747970803621</v>
          </cell>
          <cell r="H57">
            <v>0.59401712964098619</v>
          </cell>
          <cell r="I57">
            <v>2.1878818383749929E-2</v>
          </cell>
          <cell r="J57">
            <v>0.61589594802473613</v>
          </cell>
          <cell r="K57">
            <v>1</v>
          </cell>
          <cell r="L57">
            <v>330.86754121002929</v>
          </cell>
          <cell r="M57">
            <v>0</v>
          </cell>
          <cell r="N57">
            <v>0.61589594802473613</v>
          </cell>
          <cell r="O57">
            <v>92</v>
          </cell>
          <cell r="P57">
            <v>1</v>
          </cell>
          <cell r="Q57">
            <v>22</v>
          </cell>
        </row>
        <row r="58">
          <cell r="A58" t="str">
            <v>Campina Grande do Sul</v>
          </cell>
          <cell r="B58">
            <v>47825</v>
          </cell>
          <cell r="C58" t="str">
            <v>P3</v>
          </cell>
          <cell r="D58">
            <v>4.2716330707619763</v>
          </cell>
          <cell r="E58">
            <v>64.81411516863237</v>
          </cell>
          <cell r="F58">
            <v>60.414515047944292</v>
          </cell>
          <cell r="G58">
            <v>27.890871293178819</v>
          </cell>
          <cell r="H58">
            <v>0.49164897594313328</v>
          </cell>
          <cell r="I58">
            <v>0.28293200865018087</v>
          </cell>
          <cell r="J58">
            <v>0.77458098459331415</v>
          </cell>
          <cell r="K58">
            <v>1</v>
          </cell>
          <cell r="L58">
            <v>3541.347573718389</v>
          </cell>
          <cell r="M58">
            <v>0</v>
          </cell>
          <cell r="N58">
            <v>0.77458098459331415</v>
          </cell>
          <cell r="O58">
            <v>16</v>
          </cell>
          <cell r="P58">
            <v>1</v>
          </cell>
          <cell r="Q58">
            <v>171</v>
          </cell>
        </row>
        <row r="59">
          <cell r="A59" t="str">
            <v>Campo Bonito</v>
          </cell>
          <cell r="B59">
            <v>4027</v>
          </cell>
          <cell r="C59" t="str">
            <v>P1</v>
          </cell>
          <cell r="D59">
            <v>13.046531872984266</v>
          </cell>
          <cell r="E59">
            <v>48.550024622496977</v>
          </cell>
          <cell r="F59">
            <v>50.678879082820735</v>
          </cell>
          <cell r="G59">
            <v>41.515755233848402</v>
          </cell>
          <cell r="H59">
            <v>0.46162087759102305</v>
          </cell>
          <cell r="I59">
            <v>2.0739705756947866E-2</v>
          </cell>
          <cell r="J59">
            <v>0.48236058334797094</v>
          </cell>
          <cell r="K59">
            <v>0</v>
          </cell>
          <cell r="L59">
            <v>243.73582336806018</v>
          </cell>
          <cell r="M59">
            <v>0</v>
          </cell>
          <cell r="N59">
            <v>0.48236058334797094</v>
          </cell>
          <cell r="O59">
            <v>299</v>
          </cell>
          <cell r="P59">
            <v>0</v>
          </cell>
          <cell r="Q59">
            <v>248</v>
          </cell>
        </row>
        <row r="60">
          <cell r="A60" t="str">
            <v>Campo do Tenente</v>
          </cell>
          <cell r="B60">
            <v>7508</v>
          </cell>
          <cell r="C60" t="str">
            <v>P1</v>
          </cell>
          <cell r="D60">
            <v>13.046531872984266</v>
          </cell>
          <cell r="E60">
            <v>69.719567732834662</v>
          </cell>
          <cell r="F60">
            <v>69.762442827226224</v>
          </cell>
          <cell r="G60">
            <v>42.354026596962008</v>
          </cell>
          <cell r="H60">
            <v>0.58781926297363907</v>
          </cell>
          <cell r="I60">
            <v>4.7724891088431171E-2</v>
          </cell>
          <cell r="J60">
            <v>0.63554415406207021</v>
          </cell>
          <cell r="K60">
            <v>1</v>
          </cell>
          <cell r="L60">
            <v>714.20040451297143</v>
          </cell>
          <cell r="M60">
            <v>0</v>
          </cell>
          <cell r="N60">
            <v>0.63554415406207021</v>
          </cell>
          <cell r="O60">
            <v>73</v>
          </cell>
          <cell r="P60">
            <v>1</v>
          </cell>
          <cell r="Q60">
            <v>28</v>
          </cell>
        </row>
        <row r="61">
          <cell r="A61" t="str">
            <v>Campo Largo</v>
          </cell>
          <cell r="B61">
            <v>136327</v>
          </cell>
          <cell r="C61" t="str">
            <v>M1</v>
          </cell>
          <cell r="D61">
            <v>10.334658226280325</v>
          </cell>
          <cell r="E61">
            <v>64.931414320663393</v>
          </cell>
          <cell r="F61">
            <v>53.163106402686886</v>
          </cell>
          <cell r="G61">
            <v>23.93866070209711</v>
          </cell>
          <cell r="H61">
            <v>0.46180651289641572</v>
          </cell>
          <cell r="I61">
            <v>0.72812864700102764</v>
          </cell>
          <cell r="J61">
            <v>1.1899351598974435</v>
          </cell>
          <cell r="K61">
            <v>2</v>
          </cell>
          <cell r="L61">
            <v>8560.5073295608581</v>
          </cell>
          <cell r="M61">
            <v>1</v>
          </cell>
          <cell r="N61">
            <v>0.18993515989744347</v>
          </cell>
          <cell r="O61">
            <v>390</v>
          </cell>
          <cell r="P61">
            <v>1</v>
          </cell>
          <cell r="Q61">
            <v>247</v>
          </cell>
        </row>
        <row r="62">
          <cell r="A62" t="str">
            <v>Campo Magro</v>
          </cell>
          <cell r="B62">
            <v>30160</v>
          </cell>
          <cell r="C62" t="str">
            <v>P2</v>
          </cell>
          <cell r="D62">
            <v>6.7442145063459806</v>
          </cell>
          <cell r="E62">
            <v>78.183326539869626</v>
          </cell>
          <cell r="F62">
            <v>50.515814431850316</v>
          </cell>
          <cell r="G62">
            <v>34.239744849026479</v>
          </cell>
          <cell r="H62">
            <v>0.55072391441928503</v>
          </cell>
          <cell r="I62">
            <v>0.1663104435131009</v>
          </cell>
          <cell r="J62">
            <v>0.7170343579323859</v>
          </cell>
          <cell r="K62">
            <v>1</v>
          </cell>
          <cell r="L62">
            <v>2331.7650536512529</v>
          </cell>
          <cell r="M62">
            <v>0</v>
          </cell>
          <cell r="N62">
            <v>0.7170343579323859</v>
          </cell>
          <cell r="O62">
            <v>26</v>
          </cell>
          <cell r="P62">
            <v>1</v>
          </cell>
          <cell r="Q62">
            <v>54</v>
          </cell>
        </row>
        <row r="63">
          <cell r="A63" t="str">
            <v>Campo Mourão</v>
          </cell>
          <cell r="B63">
            <v>99432</v>
          </cell>
          <cell r="C63" t="str">
            <v>P4</v>
          </cell>
          <cell r="D63">
            <v>3.5744175836676115</v>
          </cell>
          <cell r="E63">
            <v>59.751763895139618</v>
          </cell>
          <cell r="F63">
            <v>53.405183451066499</v>
          </cell>
          <cell r="G63">
            <v>23.160733933814743</v>
          </cell>
          <cell r="H63">
            <v>0.43846035821795043</v>
          </cell>
          <cell r="I63">
            <v>0.50042396087787089</v>
          </cell>
          <cell r="J63">
            <v>0.93888431909582137</v>
          </cell>
          <cell r="K63">
            <v>1</v>
          </cell>
          <cell r="L63">
            <v>5585.9849636966883</v>
          </cell>
          <cell r="M63">
            <v>0</v>
          </cell>
          <cell r="N63">
            <v>0.93888431909582137</v>
          </cell>
          <cell r="O63">
            <v>3</v>
          </cell>
          <cell r="P63">
            <v>1</v>
          </cell>
          <cell r="Q63">
            <v>305</v>
          </cell>
        </row>
        <row r="64">
          <cell r="A64" t="str">
            <v>Cândido de Abreu</v>
          </cell>
          <cell r="B64">
            <v>15244</v>
          </cell>
          <cell r="C64" t="str">
            <v>P1</v>
          </cell>
          <cell r="D64">
            <v>13.046531872984266</v>
          </cell>
          <cell r="E64">
            <v>70.910789044824298</v>
          </cell>
          <cell r="F64">
            <v>53.7147403105648</v>
          </cell>
          <cell r="G64">
            <v>50.147259999352904</v>
          </cell>
          <cell r="H64">
            <v>0.59166167679783843</v>
          </cell>
          <cell r="I64">
            <v>8.1269793960464284E-2</v>
          </cell>
          <cell r="J64">
            <v>0.67293147075830273</v>
          </cell>
          <cell r="K64">
            <v>1</v>
          </cell>
          <cell r="L64">
            <v>1224.1480092947277</v>
          </cell>
          <cell r="M64">
            <v>0</v>
          </cell>
          <cell r="N64">
            <v>0.67293147075830273</v>
          </cell>
          <cell r="O64">
            <v>41</v>
          </cell>
          <cell r="P64">
            <v>1</v>
          </cell>
          <cell r="Q64">
            <v>25</v>
          </cell>
        </row>
        <row r="65">
          <cell r="A65" t="str">
            <v>Candói</v>
          </cell>
          <cell r="B65">
            <v>14973</v>
          </cell>
          <cell r="C65" t="str">
            <v>P1</v>
          </cell>
          <cell r="D65">
            <v>13.046531872984266</v>
          </cell>
          <cell r="E65">
            <v>67.649283775452062</v>
          </cell>
          <cell r="F65">
            <v>57.810560824217156</v>
          </cell>
          <cell r="G65">
            <v>33.598589145711607</v>
          </cell>
          <cell r="H65">
            <v>0.52061261333308906</v>
          </cell>
          <cell r="I65">
            <v>8.8025910229773047E-2</v>
          </cell>
          <cell r="J65">
            <v>0.60863852356286208</v>
          </cell>
          <cell r="K65">
            <v>1</v>
          </cell>
          <cell r="L65">
            <v>1166.6928664794525</v>
          </cell>
          <cell r="M65">
            <v>0</v>
          </cell>
          <cell r="N65">
            <v>0.60863852356286208</v>
          </cell>
          <cell r="O65">
            <v>103</v>
          </cell>
          <cell r="P65">
            <v>1</v>
          </cell>
          <cell r="Q65">
            <v>103</v>
          </cell>
        </row>
        <row r="66">
          <cell r="A66" t="str">
            <v>Cantagalo</v>
          </cell>
          <cell r="B66">
            <v>10933</v>
          </cell>
          <cell r="C66" t="str">
            <v>P1</v>
          </cell>
          <cell r="D66">
            <v>13.046531872984266</v>
          </cell>
          <cell r="E66">
            <v>59.871476974335764</v>
          </cell>
          <cell r="F66">
            <v>65.418146227508558</v>
          </cell>
          <cell r="G66">
            <v>43.821877469179888</v>
          </cell>
          <cell r="H66">
            <v>0.54560971022907967</v>
          </cell>
          <cell r="I66">
            <v>6.3279670406142075E-2</v>
          </cell>
          <cell r="J66">
            <v>0.6088893806352218</v>
          </cell>
          <cell r="K66">
            <v>1</v>
          </cell>
          <cell r="L66">
            <v>878.97724317904738</v>
          </cell>
          <cell r="M66">
            <v>0</v>
          </cell>
          <cell r="N66">
            <v>0.6088893806352218</v>
          </cell>
          <cell r="O66">
            <v>102</v>
          </cell>
          <cell r="P66">
            <v>1</v>
          </cell>
          <cell r="Q66">
            <v>59</v>
          </cell>
        </row>
        <row r="67">
          <cell r="A67" t="str">
            <v>Capanema</v>
          </cell>
          <cell r="B67">
            <v>20481</v>
          </cell>
          <cell r="C67" t="str">
            <v>P2</v>
          </cell>
          <cell r="D67">
            <v>6.7442145063459806</v>
          </cell>
          <cell r="E67">
            <v>52.72622583678087</v>
          </cell>
          <cell r="F67">
            <v>52.039685441864741</v>
          </cell>
          <cell r="G67">
            <v>22.120913707011329</v>
          </cell>
          <cell r="H67">
            <v>0.40346792905889828</v>
          </cell>
          <cell r="I67">
            <v>9.6785293532423378E-2</v>
          </cell>
          <cell r="J67">
            <v>0.50025322259132166</v>
          </cell>
          <cell r="K67">
            <v>1</v>
          </cell>
          <cell r="L67">
            <v>994.14497720112536</v>
          </cell>
          <cell r="M67">
            <v>0</v>
          </cell>
          <cell r="N67">
            <v>0.50025322259132166</v>
          </cell>
          <cell r="O67">
            <v>280</v>
          </cell>
          <cell r="P67">
            <v>0</v>
          </cell>
          <cell r="Q67">
            <v>361</v>
          </cell>
        </row>
        <row r="68">
          <cell r="A68" t="str">
            <v>Capitão Leônidas Marques</v>
          </cell>
          <cell r="B68">
            <v>14648</v>
          </cell>
          <cell r="C68" t="str">
            <v>P1</v>
          </cell>
          <cell r="D68">
            <v>13.046531872984266</v>
          </cell>
          <cell r="E68">
            <v>59.802249309574634</v>
          </cell>
          <cell r="F68">
            <v>60.461317888587523</v>
          </cell>
          <cell r="G68">
            <v>35.688703180710974</v>
          </cell>
          <cell r="H68">
            <v>0.50288644573831742</v>
          </cell>
          <cell r="I68">
            <v>7.6006308029723718E-2</v>
          </cell>
          <cell r="J68">
            <v>0.57889275376804117</v>
          </cell>
          <cell r="K68">
            <v>1</v>
          </cell>
          <cell r="L68">
            <v>973.08527250364421</v>
          </cell>
          <cell r="M68">
            <v>0</v>
          </cell>
          <cell r="N68">
            <v>0.57889275376804117</v>
          </cell>
          <cell r="O68">
            <v>134</v>
          </cell>
          <cell r="P68">
            <v>1</v>
          </cell>
          <cell r="Q68">
            <v>144</v>
          </cell>
        </row>
        <row r="69">
          <cell r="A69" t="str">
            <v>Carambeí</v>
          </cell>
          <cell r="B69">
            <v>23283</v>
          </cell>
          <cell r="C69" t="str">
            <v>P2</v>
          </cell>
          <cell r="D69">
            <v>6.7442145063459806</v>
          </cell>
          <cell r="E69">
            <v>69.853838678462523</v>
          </cell>
          <cell r="F69">
            <v>63.089390080753049</v>
          </cell>
          <cell r="G69">
            <v>19.094841996497994</v>
          </cell>
          <cell r="H69">
            <v>0.48197350286134816</v>
          </cell>
          <cell r="I69">
            <v>0.14871311741629664</v>
          </cell>
          <cell r="J69">
            <v>0.63068662027764477</v>
          </cell>
          <cell r="K69">
            <v>1</v>
          </cell>
          <cell r="L69">
            <v>1824.7516818330641</v>
          </cell>
          <cell r="M69">
            <v>0</v>
          </cell>
          <cell r="N69">
            <v>0.63068662027764477</v>
          </cell>
          <cell r="O69">
            <v>75</v>
          </cell>
          <cell r="P69">
            <v>1</v>
          </cell>
          <cell r="Q69">
            <v>200</v>
          </cell>
        </row>
        <row r="70">
          <cell r="A70" t="str">
            <v>Carlópolis</v>
          </cell>
          <cell r="B70">
            <v>16905</v>
          </cell>
          <cell r="C70" t="str">
            <v>P1</v>
          </cell>
          <cell r="D70">
            <v>13.046531872984266</v>
          </cell>
          <cell r="E70">
            <v>65.106814234296593</v>
          </cell>
          <cell r="F70">
            <v>56.583365427870397</v>
          </cell>
          <cell r="G70">
            <v>36.646413611705178</v>
          </cell>
          <cell r="H70">
            <v>0.52017964223974789</v>
          </cell>
          <cell r="I70">
            <v>8.7004636840226385E-2</v>
          </cell>
          <cell r="J70">
            <v>0.6071842790799743</v>
          </cell>
          <cell r="K70">
            <v>1</v>
          </cell>
          <cell r="L70">
            <v>1152.1979075610416</v>
          </cell>
          <cell r="M70">
            <v>0</v>
          </cell>
          <cell r="N70">
            <v>0.6071842790799743</v>
          </cell>
          <cell r="O70">
            <v>104</v>
          </cell>
          <cell r="P70">
            <v>1</v>
          </cell>
          <cell r="Q70">
            <v>105</v>
          </cell>
        </row>
        <row r="71">
          <cell r="A71" t="str">
            <v>Cascavel</v>
          </cell>
          <cell r="B71">
            <v>348051</v>
          </cell>
          <cell r="C71" t="str">
            <v>M2</v>
          </cell>
          <cell r="D71">
            <v>10.261794297910743</v>
          </cell>
          <cell r="E71">
            <v>64.716432122511605</v>
          </cell>
          <cell r="F71">
            <v>53.681408356741485</v>
          </cell>
          <cell r="G71">
            <v>14.657417748507266</v>
          </cell>
          <cell r="H71">
            <v>0.42485821619755848</v>
          </cell>
          <cell r="I71">
            <v>1.7723021283209992</v>
          </cell>
          <cell r="J71">
            <v>2.1971603445185579</v>
          </cell>
          <cell r="K71">
            <v>3</v>
          </cell>
          <cell r="L71">
            <v>19169.60271483384</v>
          </cell>
          <cell r="M71">
            <v>2</v>
          </cell>
          <cell r="N71">
            <v>0.19716034451855791</v>
          </cell>
          <cell r="O71">
            <v>389</v>
          </cell>
          <cell r="P71">
            <v>2</v>
          </cell>
          <cell r="Q71">
            <v>332</v>
          </cell>
        </row>
        <row r="72">
          <cell r="A72" t="str">
            <v>Castro</v>
          </cell>
          <cell r="B72">
            <v>73075</v>
          </cell>
          <cell r="C72" t="str">
            <v>P4</v>
          </cell>
          <cell r="D72">
            <v>3.5744175836676115</v>
          </cell>
          <cell r="E72">
            <v>71.173772517306574</v>
          </cell>
          <cell r="F72">
            <v>59.056775349651808</v>
          </cell>
          <cell r="G72">
            <v>27.751680772910859</v>
          </cell>
          <cell r="H72">
            <v>0.51381536386017346</v>
          </cell>
          <cell r="I72">
            <v>0.44350760928351962</v>
          </cell>
          <cell r="J72">
            <v>0.95732297314369308</v>
          </cell>
          <cell r="K72">
            <v>1</v>
          </cell>
          <cell r="L72">
            <v>5801.4892733452189</v>
          </cell>
          <cell r="M72">
            <v>0</v>
          </cell>
          <cell r="N72">
            <v>0.95732297314369308</v>
          </cell>
          <cell r="O72">
            <v>2</v>
          </cell>
          <cell r="P72">
            <v>1</v>
          </cell>
          <cell r="Q72">
            <v>119</v>
          </cell>
        </row>
        <row r="73">
          <cell r="A73" t="str">
            <v>Catanduvas</v>
          </cell>
          <cell r="B73">
            <v>10446</v>
          </cell>
          <cell r="C73" t="str">
            <v>P1</v>
          </cell>
          <cell r="D73">
            <v>13.046531872984266</v>
          </cell>
          <cell r="E73">
            <v>67.050130341917281</v>
          </cell>
          <cell r="F73">
            <v>45.367248795208297</v>
          </cell>
          <cell r="G73">
            <v>34.328895328029297</v>
          </cell>
          <cell r="H73">
            <v>0.4962506002702029</v>
          </cell>
          <cell r="I73">
            <v>5.4088209900221999E-2</v>
          </cell>
          <cell r="J73">
            <v>0.55033881017042485</v>
          </cell>
          <cell r="K73">
            <v>1</v>
          </cell>
          <cell r="L73">
            <v>683.33707657206935</v>
          </cell>
          <cell r="M73">
            <v>0</v>
          </cell>
          <cell r="N73">
            <v>0.55033881017042485</v>
          </cell>
          <cell r="O73">
            <v>178</v>
          </cell>
          <cell r="P73">
            <v>1</v>
          </cell>
          <cell r="Q73">
            <v>159</v>
          </cell>
        </row>
        <row r="74">
          <cell r="A74" t="str">
            <v>Centenário do Sul</v>
          </cell>
          <cell r="B74">
            <v>10832</v>
          </cell>
          <cell r="C74" t="str">
            <v>P1</v>
          </cell>
          <cell r="D74">
            <v>13.046531872984266</v>
          </cell>
          <cell r="E74">
            <v>66.600821001967489</v>
          </cell>
          <cell r="F74">
            <v>41.258757127832588</v>
          </cell>
          <cell r="G74">
            <v>29.37243949481584</v>
          </cell>
          <cell r="H74">
            <v>0.46641055624279842</v>
          </cell>
          <cell r="I74">
            <v>5.2595579561653776E-2</v>
          </cell>
          <cell r="J74">
            <v>0.51900613580445221</v>
          </cell>
          <cell r="K74">
            <v>1</v>
          </cell>
          <cell r="L74">
            <v>624.52373480910705</v>
          </cell>
          <cell r="M74">
            <v>0</v>
          </cell>
          <cell r="N74">
            <v>0.51900613580445221</v>
          </cell>
          <cell r="O74">
            <v>242</v>
          </cell>
          <cell r="P74">
            <v>0</v>
          </cell>
          <cell r="Q74">
            <v>238</v>
          </cell>
        </row>
        <row r="75">
          <cell r="A75" t="str">
            <v>Cerro Azul</v>
          </cell>
          <cell r="B75">
            <v>16134</v>
          </cell>
          <cell r="C75" t="str">
            <v>P1</v>
          </cell>
          <cell r="D75">
            <v>13.046531872984266</v>
          </cell>
          <cell r="E75">
            <v>82.084341559088827</v>
          </cell>
          <cell r="F75">
            <v>50.081170263154426</v>
          </cell>
          <cell r="G75">
            <v>51.805863527647908</v>
          </cell>
          <cell r="H75">
            <v>0.63572316087325575</v>
          </cell>
          <cell r="I75">
            <v>8.8850784890560752E-2</v>
          </cell>
          <cell r="J75">
            <v>0.72457394576381651</v>
          </cell>
          <cell r="K75">
            <v>1</v>
          </cell>
          <cell r="L75">
            <v>1438.0057898953046</v>
          </cell>
          <cell r="M75">
            <v>0</v>
          </cell>
          <cell r="N75">
            <v>0.72457394576381651</v>
          </cell>
          <cell r="O75">
            <v>23</v>
          </cell>
          <cell r="P75">
            <v>1</v>
          </cell>
          <cell r="Q75">
            <v>4</v>
          </cell>
        </row>
        <row r="76">
          <cell r="A76" t="str">
            <v>Céu Azul</v>
          </cell>
          <cell r="B76">
            <v>11087</v>
          </cell>
          <cell r="C76" t="str">
            <v>P1</v>
          </cell>
          <cell r="D76">
            <v>13.046531872984266</v>
          </cell>
          <cell r="E76">
            <v>58.872532830453665</v>
          </cell>
          <cell r="F76">
            <v>45.372630596014631</v>
          </cell>
          <cell r="G76">
            <v>22.205452773652468</v>
          </cell>
          <cell r="H76">
            <v>0.41505720360845383</v>
          </cell>
          <cell r="I76">
            <v>5.2320621341391205E-2</v>
          </cell>
          <cell r="J76">
            <v>0.46737782494984503</v>
          </cell>
          <cell r="K76">
            <v>0</v>
          </cell>
          <cell r="L76">
            <v>552.85619520646048</v>
          </cell>
          <cell r="M76">
            <v>0</v>
          </cell>
          <cell r="N76">
            <v>0.46737782494984503</v>
          </cell>
          <cell r="O76">
            <v>327</v>
          </cell>
          <cell r="P76">
            <v>0</v>
          </cell>
          <cell r="Q76">
            <v>347</v>
          </cell>
        </row>
        <row r="77">
          <cell r="A77" t="str">
            <v>Chopinzinho</v>
          </cell>
          <cell r="B77">
            <v>21085</v>
          </cell>
          <cell r="C77" t="str">
            <v>P2</v>
          </cell>
          <cell r="D77">
            <v>6.7442145063459806</v>
          </cell>
          <cell r="E77">
            <v>57.519349581218549</v>
          </cell>
          <cell r="F77">
            <v>55.268724128854792</v>
          </cell>
          <cell r="G77">
            <v>29.650467139202998</v>
          </cell>
          <cell r="H77">
            <v>0.45921671513939577</v>
          </cell>
          <cell r="I77">
            <v>0.10900129446123169</v>
          </cell>
          <cell r="J77">
            <v>0.56821800960062752</v>
          </cell>
          <cell r="K77">
            <v>1</v>
          </cell>
          <cell r="L77">
            <v>1274.3263845118233</v>
          </cell>
          <cell r="M77">
            <v>0</v>
          </cell>
          <cell r="N77">
            <v>0.56821800960062752</v>
          </cell>
          <cell r="O77">
            <v>144</v>
          </cell>
          <cell r="P77">
            <v>1</v>
          </cell>
          <cell r="Q77">
            <v>254</v>
          </cell>
        </row>
        <row r="78">
          <cell r="A78" t="str">
            <v>Cianorte</v>
          </cell>
          <cell r="B78">
            <v>79527</v>
          </cell>
          <cell r="C78" t="str">
            <v>P4</v>
          </cell>
          <cell r="D78">
            <v>3.5744175836676115</v>
          </cell>
          <cell r="E78">
            <v>56.849107313512725</v>
          </cell>
          <cell r="F78">
            <v>52.925378999630937</v>
          </cell>
          <cell r="G78">
            <v>21.013987411921178</v>
          </cell>
          <cell r="H78">
            <v>0.41730313690099746</v>
          </cell>
          <cell r="I78">
            <v>0.39758958649967102</v>
          </cell>
          <cell r="J78">
            <v>0.81489272340066843</v>
          </cell>
          <cell r="K78">
            <v>1</v>
          </cell>
          <cell r="L78">
            <v>4223.9423517118967</v>
          </cell>
          <cell r="M78">
            <v>0</v>
          </cell>
          <cell r="N78">
            <v>0.81489272340066843</v>
          </cell>
          <cell r="O78">
            <v>11</v>
          </cell>
          <cell r="P78">
            <v>1</v>
          </cell>
          <cell r="Q78">
            <v>342</v>
          </cell>
        </row>
        <row r="79">
          <cell r="A79" t="str">
            <v>Cidade Gaúcha</v>
          </cell>
          <cell r="B79">
            <v>11467</v>
          </cell>
          <cell r="C79" t="str">
            <v>P1</v>
          </cell>
          <cell r="D79">
            <v>13.046531872984266</v>
          </cell>
          <cell r="E79">
            <v>52.909087068125871</v>
          </cell>
          <cell r="F79">
            <v>57.32496418168467</v>
          </cell>
          <cell r="G79">
            <v>26.026662830025902</v>
          </cell>
          <cell r="H79">
            <v>0.43039292795597639</v>
          </cell>
          <cell r="I79">
            <v>6.0647927440771798E-2</v>
          </cell>
          <cell r="J79">
            <v>0.49104085539674819</v>
          </cell>
          <cell r="K79">
            <v>0</v>
          </cell>
          <cell r="L79">
            <v>664.52668076402756</v>
          </cell>
          <cell r="M79">
            <v>0</v>
          </cell>
          <cell r="N79">
            <v>0.49104085539674819</v>
          </cell>
          <cell r="O79">
            <v>290</v>
          </cell>
          <cell r="P79">
            <v>0</v>
          </cell>
          <cell r="Q79">
            <v>319</v>
          </cell>
        </row>
        <row r="80">
          <cell r="A80" t="str">
            <v>Clevelândia</v>
          </cell>
          <cell r="B80">
            <v>15070</v>
          </cell>
          <cell r="C80" t="str">
            <v>P1</v>
          </cell>
          <cell r="D80">
            <v>13.046531872984266</v>
          </cell>
          <cell r="E80">
            <v>62.032061302608987</v>
          </cell>
          <cell r="F80">
            <v>69.431430996071498</v>
          </cell>
          <cell r="G80">
            <v>35.560563452981249</v>
          </cell>
          <cell r="H80">
            <v>0.52923336101450402</v>
          </cell>
          <cell r="I80">
            <v>8.4412173620607892E-2</v>
          </cell>
          <cell r="J80">
            <v>0.61364553463511196</v>
          </cell>
          <cell r="K80">
            <v>1</v>
          </cell>
          <cell r="L80">
            <v>1137.3224928201691</v>
          </cell>
          <cell r="M80">
            <v>0</v>
          </cell>
          <cell r="N80">
            <v>0.61364553463511196</v>
          </cell>
          <cell r="O80">
            <v>97</v>
          </cell>
          <cell r="P80">
            <v>1</v>
          </cell>
          <cell r="Q80">
            <v>88</v>
          </cell>
        </row>
        <row r="81">
          <cell r="A81" t="str">
            <v>Colombo</v>
          </cell>
          <cell r="B81">
            <v>232212</v>
          </cell>
          <cell r="C81" t="str">
            <v>M2</v>
          </cell>
          <cell r="D81">
            <v>10.261794297910743</v>
          </cell>
          <cell r="E81">
            <v>67.219253767669699</v>
          </cell>
          <cell r="F81">
            <v>55.725604982770427</v>
          </cell>
          <cell r="G81">
            <v>30.863311272869868</v>
          </cell>
          <cell r="H81">
            <v>0.50378147012769903</v>
          </cell>
          <cell r="I81">
            <v>1.3210564091243759</v>
          </cell>
          <cell r="J81">
            <v>1.824837879252075</v>
          </cell>
          <cell r="K81">
            <v>2</v>
          </cell>
          <cell r="L81">
            <v>16943.178403334772</v>
          </cell>
          <cell r="M81">
            <v>1</v>
          </cell>
          <cell r="N81">
            <v>0.82483787925207497</v>
          </cell>
          <cell r="O81">
            <v>10</v>
          </cell>
          <cell r="P81">
            <v>2</v>
          </cell>
          <cell r="Q81">
            <v>142</v>
          </cell>
        </row>
        <row r="82">
          <cell r="A82" t="str">
            <v>Colorado</v>
          </cell>
          <cell r="B82">
            <v>22896</v>
          </cell>
          <cell r="C82" t="str">
            <v>P2</v>
          </cell>
          <cell r="D82">
            <v>6.7442145063459806</v>
          </cell>
          <cell r="E82">
            <v>64.844664261257861</v>
          </cell>
          <cell r="F82">
            <v>51.694678905148443</v>
          </cell>
          <cell r="G82">
            <v>22.486056057054672</v>
          </cell>
          <cell r="H82">
            <v>0.45271223908354696</v>
          </cell>
          <cell r="I82">
            <v>0.10020263141282956</v>
          </cell>
          <cell r="J82">
            <v>0.55291487049637655</v>
          </cell>
          <cell r="K82">
            <v>1</v>
          </cell>
          <cell r="L82">
            <v>1154.8689219021282</v>
          </cell>
          <cell r="M82">
            <v>0</v>
          </cell>
          <cell r="N82">
            <v>0.55291487049637655</v>
          </cell>
          <cell r="O82">
            <v>175</v>
          </cell>
          <cell r="P82">
            <v>1</v>
          </cell>
          <cell r="Q82">
            <v>274</v>
          </cell>
        </row>
        <row r="83">
          <cell r="A83" t="str">
            <v>Congonhinhas</v>
          </cell>
          <cell r="B83">
            <v>8320</v>
          </cell>
          <cell r="C83" t="str">
            <v>P1</v>
          </cell>
          <cell r="D83">
            <v>13.046531872984266</v>
          </cell>
          <cell r="E83">
            <v>67.956677808115998</v>
          </cell>
          <cell r="F83">
            <v>51.93183928756266</v>
          </cell>
          <cell r="G83">
            <v>44.508261150597434</v>
          </cell>
          <cell r="H83">
            <v>0.55372343440997907</v>
          </cell>
          <cell r="I83">
            <v>4.595730252960039E-2</v>
          </cell>
          <cell r="J83">
            <v>0.59968073693957946</v>
          </cell>
          <cell r="K83">
            <v>1</v>
          </cell>
          <cell r="L83">
            <v>647.85641825967548</v>
          </cell>
          <cell r="M83">
            <v>0</v>
          </cell>
          <cell r="N83">
            <v>0.59968073693957946</v>
          </cell>
          <cell r="O83">
            <v>117</v>
          </cell>
          <cell r="P83">
            <v>1</v>
          </cell>
          <cell r="Q83">
            <v>50</v>
          </cell>
        </row>
        <row r="84">
          <cell r="A84" t="str">
            <v>Conselheiro Mairinck</v>
          </cell>
          <cell r="B84">
            <v>3461</v>
          </cell>
          <cell r="C84" t="str">
            <v>P1</v>
          </cell>
          <cell r="D84">
            <v>13.046531872984266</v>
          </cell>
          <cell r="E84">
            <v>47.579251908841876</v>
          </cell>
          <cell r="F84">
            <v>48.412479229935194</v>
          </cell>
          <cell r="G84">
            <v>42.4204169868067</v>
          </cell>
          <cell r="H84">
            <v>0.45682363404246468</v>
          </cell>
          <cell r="I84">
            <v>1.7675885588307842E-2</v>
          </cell>
          <cell r="J84">
            <v>0.47449951963077253</v>
          </cell>
          <cell r="K84">
            <v>0</v>
          </cell>
          <cell r="L84">
            <v>205.5706353191091</v>
          </cell>
          <cell r="M84">
            <v>0</v>
          </cell>
          <cell r="N84">
            <v>0.47449951963077253</v>
          </cell>
          <cell r="O84">
            <v>315</v>
          </cell>
          <cell r="P84">
            <v>0</v>
          </cell>
          <cell r="Q84">
            <v>263</v>
          </cell>
        </row>
        <row r="85">
          <cell r="A85" t="str">
            <v>Contenda</v>
          </cell>
          <cell r="B85">
            <v>19128</v>
          </cell>
          <cell r="C85" t="str">
            <v>P1</v>
          </cell>
          <cell r="D85">
            <v>13.046531872984266</v>
          </cell>
          <cell r="E85">
            <v>76.134279982536469</v>
          </cell>
          <cell r="F85">
            <v>56.451030334782423</v>
          </cell>
          <cell r="G85">
            <v>32.154678970129076</v>
          </cell>
          <cell r="H85">
            <v>0.54605789648022696</v>
          </cell>
          <cell r="I85">
            <v>0.10762650335991886</v>
          </cell>
          <cell r="J85">
            <v>0.65368439984014581</v>
          </cell>
          <cell r="K85">
            <v>1</v>
          </cell>
          <cell r="L85">
            <v>1496.1986363558219</v>
          </cell>
          <cell r="M85">
            <v>0</v>
          </cell>
          <cell r="N85">
            <v>0.65368439984014581</v>
          </cell>
          <cell r="O85">
            <v>59</v>
          </cell>
          <cell r="P85">
            <v>1</v>
          </cell>
          <cell r="Q85">
            <v>57</v>
          </cell>
        </row>
        <row r="86">
          <cell r="A86" t="str">
            <v>Corbélia</v>
          </cell>
          <cell r="B86">
            <v>17470</v>
          </cell>
          <cell r="C86" t="str">
            <v>P1</v>
          </cell>
          <cell r="D86">
            <v>13.046531872984266</v>
          </cell>
          <cell r="E86">
            <v>53.103403203764955</v>
          </cell>
          <cell r="F86">
            <v>54.864569468937532</v>
          </cell>
          <cell r="G86">
            <v>29.5318870671795</v>
          </cell>
          <cell r="H86">
            <v>0.44027030002165291</v>
          </cell>
          <cell r="I86">
            <v>9.0461254466384353E-2</v>
          </cell>
          <cell r="J86">
            <v>0.53073155448803722</v>
          </cell>
          <cell r="K86">
            <v>1</v>
          </cell>
          <cell r="L86">
            <v>1013.9425009498666</v>
          </cell>
          <cell r="M86">
            <v>0</v>
          </cell>
          <cell r="N86">
            <v>0.53073155448803722</v>
          </cell>
          <cell r="O86">
            <v>222</v>
          </cell>
          <cell r="P86">
            <v>0</v>
          </cell>
          <cell r="Q86">
            <v>304</v>
          </cell>
        </row>
        <row r="87">
          <cell r="A87" t="str">
            <v>Cornélio Procópio</v>
          </cell>
          <cell r="B87">
            <v>45206</v>
          </cell>
          <cell r="C87" t="str">
            <v>P3</v>
          </cell>
          <cell r="D87">
            <v>4.2716330707619763</v>
          </cell>
          <cell r="E87">
            <v>62.168187919821506</v>
          </cell>
          <cell r="F87">
            <v>47.035344007152482</v>
          </cell>
          <cell r="G87">
            <v>21.96702191154678</v>
          </cell>
          <cell r="H87">
            <v>0.43061152733977809</v>
          </cell>
          <cell r="I87">
            <v>0.19620233003021703</v>
          </cell>
          <cell r="J87">
            <v>0.62681385736999506</v>
          </cell>
          <cell r="K87">
            <v>1</v>
          </cell>
          <cell r="L87">
            <v>2150.9045790621917</v>
          </cell>
          <cell r="M87">
            <v>0</v>
          </cell>
          <cell r="N87">
            <v>0.62681385736999506</v>
          </cell>
          <cell r="O87">
            <v>82</v>
          </cell>
          <cell r="P87">
            <v>1</v>
          </cell>
          <cell r="Q87">
            <v>318</v>
          </cell>
        </row>
        <row r="88">
          <cell r="A88" t="str">
            <v>Coronel Domingos Soares</v>
          </cell>
          <cell r="B88">
            <v>5649</v>
          </cell>
          <cell r="C88" t="str">
            <v>P1</v>
          </cell>
          <cell r="D88">
            <v>13.046531872984266</v>
          </cell>
          <cell r="E88">
            <v>67.444648394358637</v>
          </cell>
          <cell r="F88">
            <v>76.581841047244652</v>
          </cell>
          <cell r="G88">
            <v>46.439103893609918</v>
          </cell>
          <cell r="H88">
            <v>0.60869869124636355</v>
          </cell>
          <cell r="I88">
            <v>3.4369777532820805E-2</v>
          </cell>
          <cell r="J88">
            <v>0.64306846877918433</v>
          </cell>
          <cell r="K88">
            <v>1</v>
          </cell>
          <cell r="L88">
            <v>532.61135484056808</v>
          </cell>
          <cell r="M88">
            <v>0</v>
          </cell>
          <cell r="N88">
            <v>0.64306846877918433</v>
          </cell>
          <cell r="O88">
            <v>64</v>
          </cell>
          <cell r="P88">
            <v>1</v>
          </cell>
          <cell r="Q88">
            <v>13</v>
          </cell>
        </row>
        <row r="89">
          <cell r="A89" t="str">
            <v>Coronel Vivida</v>
          </cell>
          <cell r="B89">
            <v>23331</v>
          </cell>
          <cell r="C89" t="str">
            <v>P2</v>
          </cell>
          <cell r="D89">
            <v>6.7442145063459806</v>
          </cell>
          <cell r="E89">
            <v>63.777837930366744</v>
          </cell>
          <cell r="F89">
            <v>57.089782544747855</v>
          </cell>
          <cell r="G89">
            <v>27.281232777651255</v>
          </cell>
          <cell r="H89">
            <v>0.47841584792156772</v>
          </cell>
          <cell r="I89">
            <v>0.12117801564428821</v>
          </cell>
          <cell r="J89">
            <v>0.59959386356585598</v>
          </cell>
          <cell r="K89">
            <v>1</v>
          </cell>
          <cell r="L89">
            <v>1475.9128908380364</v>
          </cell>
          <cell r="M89">
            <v>0</v>
          </cell>
          <cell r="N89">
            <v>0.59959386356585598</v>
          </cell>
          <cell r="O89">
            <v>119</v>
          </cell>
          <cell r="P89">
            <v>1</v>
          </cell>
          <cell r="Q89">
            <v>208</v>
          </cell>
        </row>
        <row r="90">
          <cell r="A90" t="str">
            <v>Corumbataí do Sul</v>
          </cell>
          <cell r="B90">
            <v>3760</v>
          </cell>
          <cell r="C90" t="str">
            <v>P1</v>
          </cell>
          <cell r="D90">
            <v>13.046531872984266</v>
          </cell>
          <cell r="E90">
            <v>65.263470141250735</v>
          </cell>
          <cell r="F90">
            <v>42.226501262310606</v>
          </cell>
          <cell r="G90">
            <v>39.108227788577814</v>
          </cell>
          <cell r="H90">
            <v>0.50193979424393531</v>
          </cell>
          <cell r="I90">
            <v>1.8068683045825793E-2</v>
          </cell>
          <cell r="J90">
            <v>0.52000847728976107</v>
          </cell>
          <cell r="K90">
            <v>0</v>
          </cell>
          <cell r="L90">
            <v>230.89230535221023</v>
          </cell>
          <cell r="M90">
            <v>0</v>
          </cell>
          <cell r="N90">
            <v>0.52000847728976107</v>
          </cell>
          <cell r="O90">
            <v>241</v>
          </cell>
          <cell r="P90">
            <v>0</v>
          </cell>
          <cell r="Q90">
            <v>147</v>
          </cell>
        </row>
        <row r="91">
          <cell r="A91" t="str">
            <v>Cruz Machado</v>
          </cell>
          <cell r="B91">
            <v>15978</v>
          </cell>
          <cell r="C91" t="str">
            <v>P1</v>
          </cell>
          <cell r="D91">
            <v>13.046531872984266</v>
          </cell>
          <cell r="E91">
            <v>71.804473852377242</v>
          </cell>
          <cell r="F91">
            <v>61.892498242073053</v>
          </cell>
          <cell r="G91">
            <v>36.548582020298255</v>
          </cell>
          <cell r="H91">
            <v>0.55719721997484817</v>
          </cell>
          <cell r="I91">
            <v>7.8873729469604775E-2</v>
          </cell>
          <cell r="J91">
            <v>0.63607094944445297</v>
          </cell>
          <cell r="K91">
            <v>1</v>
          </cell>
          <cell r="L91">
            <v>1118.8520177094952</v>
          </cell>
          <cell r="M91">
            <v>0</v>
          </cell>
          <cell r="N91">
            <v>0.63607094944445297</v>
          </cell>
          <cell r="O91">
            <v>72</v>
          </cell>
          <cell r="P91">
            <v>1</v>
          </cell>
          <cell r="Q91">
            <v>49</v>
          </cell>
        </row>
        <row r="92">
          <cell r="A92" t="str">
            <v>Cruzeiro do Iguaçu</v>
          </cell>
          <cell r="B92">
            <v>4133</v>
          </cell>
          <cell r="C92" t="str">
            <v>P1</v>
          </cell>
          <cell r="D92">
            <v>13.046531872984266</v>
          </cell>
          <cell r="E92">
            <v>52.932569471531906</v>
          </cell>
          <cell r="F92">
            <v>55.382697501958148</v>
          </cell>
          <cell r="G92">
            <v>29.815765181405865</v>
          </cell>
          <cell r="H92">
            <v>0.44175873361566736</v>
          </cell>
          <cell r="I92">
            <v>2.2035937366757109E-2</v>
          </cell>
          <cell r="J92">
            <v>0.4637946709824245</v>
          </cell>
          <cell r="K92">
            <v>0</v>
          </cell>
          <cell r="L92">
            <v>247.82664955838939</v>
          </cell>
          <cell r="M92">
            <v>0</v>
          </cell>
          <cell r="N92">
            <v>0.4637946709824245</v>
          </cell>
          <cell r="O92">
            <v>329</v>
          </cell>
          <cell r="P92">
            <v>0</v>
          </cell>
          <cell r="Q92">
            <v>301</v>
          </cell>
        </row>
        <row r="93">
          <cell r="A93" t="str">
            <v>Cruzeiro do Oeste</v>
          </cell>
          <cell r="B93">
            <v>23831</v>
          </cell>
          <cell r="C93" t="str">
            <v>P2</v>
          </cell>
          <cell r="D93">
            <v>6.7442145063459806</v>
          </cell>
          <cell r="E93">
            <v>52.902667118557645</v>
          </cell>
          <cell r="F93">
            <v>50.984090190608185</v>
          </cell>
          <cell r="G93">
            <v>29.102803916262516</v>
          </cell>
          <cell r="H93">
            <v>0.42999006452049698</v>
          </cell>
          <cell r="I93">
            <v>0.11308638801941839</v>
          </cell>
          <cell r="J93">
            <v>0.54307645253991543</v>
          </cell>
          <cell r="K93">
            <v>1</v>
          </cell>
          <cell r="L93">
            <v>1237.9413957545107</v>
          </cell>
          <cell r="M93">
            <v>0</v>
          </cell>
          <cell r="N93">
            <v>0.54307645253991543</v>
          </cell>
          <cell r="O93">
            <v>193</v>
          </cell>
          <cell r="P93">
            <v>1</v>
          </cell>
          <cell r="Q93">
            <v>321</v>
          </cell>
        </row>
        <row r="94">
          <cell r="A94" t="str">
            <v>Cruzeiro do Sul</v>
          </cell>
          <cell r="B94">
            <v>4494</v>
          </cell>
          <cell r="C94" t="str">
            <v>P1</v>
          </cell>
          <cell r="D94">
            <v>13.046531872984266</v>
          </cell>
          <cell r="E94">
            <v>60.827682820723155</v>
          </cell>
          <cell r="F94">
            <v>69.658801815051262</v>
          </cell>
          <cell r="G94">
            <v>38.767586038427964</v>
          </cell>
          <cell r="H94">
            <v>0.53769867906670699</v>
          </cell>
          <cell r="I94">
            <v>2.1957377875253519E-2</v>
          </cell>
          <cell r="J94">
            <v>0.55965605694196052</v>
          </cell>
          <cell r="K94">
            <v>1</v>
          </cell>
          <cell r="L94">
            <v>300.57356159828919</v>
          </cell>
          <cell r="M94">
            <v>0</v>
          </cell>
          <cell r="N94">
            <v>0.55965605694196052</v>
          </cell>
          <cell r="O94">
            <v>166</v>
          </cell>
          <cell r="P94">
            <v>1</v>
          </cell>
          <cell r="Q94">
            <v>74</v>
          </cell>
        </row>
        <row r="95">
          <cell r="A95" t="str">
            <v>Cruzmaltina</v>
          </cell>
          <cell r="B95">
            <v>2892</v>
          </cell>
          <cell r="C95" t="str">
            <v>P1</v>
          </cell>
          <cell r="D95">
            <v>13.046531872984266</v>
          </cell>
          <cell r="E95">
            <v>61.539032279430501</v>
          </cell>
          <cell r="F95">
            <v>47.433186393441986</v>
          </cell>
          <cell r="G95">
            <v>71.30225470734463</v>
          </cell>
          <cell r="H95">
            <v>0.62623152073398458</v>
          </cell>
          <cell r="I95">
            <v>1.4415666690908839E-2</v>
          </cell>
          <cell r="J95">
            <v>0.64064718742489346</v>
          </cell>
          <cell r="K95">
            <v>1</v>
          </cell>
          <cell r="L95">
            <v>229.82696810937233</v>
          </cell>
          <cell r="M95">
            <v>0</v>
          </cell>
          <cell r="N95">
            <v>0.64064718742489346</v>
          </cell>
          <cell r="O95">
            <v>68</v>
          </cell>
          <cell r="P95">
            <v>1</v>
          </cell>
          <cell r="Q95">
            <v>8</v>
          </cell>
        </row>
        <row r="96">
          <cell r="A96" t="str">
            <v>Curitiba</v>
          </cell>
          <cell r="B96">
            <v>1773718</v>
          </cell>
          <cell r="C96" t="str">
            <v>G2</v>
          </cell>
          <cell r="D96">
            <v>7.9502990996548526</v>
          </cell>
          <cell r="E96">
            <v>61.34465196080064</v>
          </cell>
          <cell r="F96">
            <v>44.891943636355087</v>
          </cell>
          <cell r="G96">
            <v>6.8727850949397853</v>
          </cell>
          <cell r="H96">
            <v>0.36265363549567192</v>
          </cell>
          <cell r="I96">
            <v>7.9502990996548526</v>
          </cell>
          <cell r="J96">
            <v>8.3129527351505246</v>
          </cell>
          <cell r="K96">
            <v>8</v>
          </cell>
          <cell r="L96">
            <v>73401.821131594988</v>
          </cell>
          <cell r="M96">
            <v>8</v>
          </cell>
          <cell r="N96">
            <v>0.31295273515052457</v>
          </cell>
          <cell r="O96">
            <v>384</v>
          </cell>
          <cell r="P96">
            <v>8</v>
          </cell>
          <cell r="Q96">
            <v>394</v>
          </cell>
        </row>
        <row r="97">
          <cell r="A97" t="str">
            <v>Curiúva</v>
          </cell>
          <cell r="B97">
            <v>13647</v>
          </cell>
          <cell r="C97" t="str">
            <v>P1</v>
          </cell>
          <cell r="D97">
            <v>13.046531872984266</v>
          </cell>
          <cell r="E97">
            <v>69.515278263562351</v>
          </cell>
          <cell r="F97">
            <v>52.981235238916589</v>
          </cell>
          <cell r="G97">
            <v>41.820082500474818</v>
          </cell>
          <cell r="H97">
            <v>0.55130391353398178</v>
          </cell>
          <cell r="I97">
            <v>7.0153625912706241E-2</v>
          </cell>
          <cell r="J97">
            <v>0.62145753944668802</v>
          </cell>
          <cell r="K97">
            <v>1</v>
          </cell>
          <cell r="L97">
            <v>984.62878957169141</v>
          </cell>
          <cell r="M97">
            <v>0</v>
          </cell>
          <cell r="N97">
            <v>0.62145753944668802</v>
          </cell>
          <cell r="O97">
            <v>88</v>
          </cell>
          <cell r="P97">
            <v>1</v>
          </cell>
          <cell r="Q97">
            <v>53</v>
          </cell>
        </row>
        <row r="98">
          <cell r="A98" t="str">
            <v>Diamante do Norte</v>
          </cell>
          <cell r="B98">
            <v>5142</v>
          </cell>
          <cell r="C98" t="str">
            <v>P1</v>
          </cell>
          <cell r="D98">
            <v>13.046531872984266</v>
          </cell>
          <cell r="E98">
            <v>45.544463406492426</v>
          </cell>
          <cell r="F98">
            <v>36.861970962743449</v>
          </cell>
          <cell r="G98">
            <v>37.708241503954646</v>
          </cell>
          <cell r="H98">
            <v>0.40673476156727517</v>
          </cell>
          <cell r="I98">
            <v>2.3214329739310965E-2</v>
          </cell>
          <cell r="J98">
            <v>0.42994909130658615</v>
          </cell>
          <cell r="K98">
            <v>0</v>
          </cell>
          <cell r="L98">
            <v>240.38024408625964</v>
          </cell>
          <cell r="M98">
            <v>0</v>
          </cell>
          <cell r="N98">
            <v>0.42994909130658615</v>
          </cell>
          <cell r="O98">
            <v>355</v>
          </cell>
          <cell r="P98">
            <v>0</v>
          </cell>
          <cell r="Q98">
            <v>359</v>
          </cell>
        </row>
        <row r="99">
          <cell r="A99" t="str">
            <v>Diamante do Sul</v>
          </cell>
          <cell r="B99">
            <v>3171</v>
          </cell>
          <cell r="C99" t="str">
            <v>P1</v>
          </cell>
          <cell r="D99">
            <v>13.046531872984266</v>
          </cell>
          <cell r="E99">
            <v>75.669560030609318</v>
          </cell>
          <cell r="F99">
            <v>76.478714174727386</v>
          </cell>
          <cell r="G99">
            <v>53.284818027395602</v>
          </cell>
          <cell r="H99">
            <v>0.66877494058147446</v>
          </cell>
          <cell r="I99">
            <v>1.5986856520980648E-2</v>
          </cell>
          <cell r="J99">
            <v>0.68476179710245511</v>
          </cell>
          <cell r="K99">
            <v>1</v>
          </cell>
          <cell r="L99">
            <v>272.19140081666012</v>
          </cell>
          <cell r="M99">
            <v>0</v>
          </cell>
          <cell r="N99">
            <v>0.68476179710245511</v>
          </cell>
          <cell r="O99">
            <v>37</v>
          </cell>
          <cell r="P99">
            <v>1</v>
          </cell>
          <cell r="Q99">
            <v>2</v>
          </cell>
        </row>
        <row r="100">
          <cell r="A100" t="str">
            <v>Diamante D'Oeste</v>
          </cell>
          <cell r="B100">
            <v>4557</v>
          </cell>
          <cell r="C100" t="str">
            <v>P1</v>
          </cell>
          <cell r="D100">
            <v>13.046531872984266</v>
          </cell>
          <cell r="E100">
            <v>73.314742991428673</v>
          </cell>
          <cell r="F100">
            <v>75.216220728993832</v>
          </cell>
          <cell r="G100">
            <v>40.367709147052722</v>
          </cell>
          <cell r="H100">
            <v>0.60516225001191326</v>
          </cell>
          <cell r="I100">
            <v>2.6945905585731508E-2</v>
          </cell>
          <cell r="J100">
            <v>0.63210815559764477</v>
          </cell>
          <cell r="K100">
            <v>1</v>
          </cell>
          <cell r="L100">
            <v>415.14130350817248</v>
          </cell>
          <cell r="M100">
            <v>0</v>
          </cell>
          <cell r="N100">
            <v>0.63210815559764477</v>
          </cell>
          <cell r="O100">
            <v>74</v>
          </cell>
          <cell r="P100">
            <v>1</v>
          </cell>
          <cell r="Q100">
            <v>16</v>
          </cell>
        </row>
        <row r="101">
          <cell r="A101" t="str">
            <v>Dois Vizinhos</v>
          </cell>
          <cell r="B101">
            <v>44869</v>
          </cell>
          <cell r="C101" t="str">
            <v>P3</v>
          </cell>
          <cell r="D101">
            <v>4.2716330707619763</v>
          </cell>
          <cell r="E101">
            <v>54.92337355391733</v>
          </cell>
          <cell r="F101">
            <v>53.520875743868885</v>
          </cell>
          <cell r="G101">
            <v>18.578086668878385</v>
          </cell>
          <cell r="H101">
            <v>0.40104759237892063</v>
          </cell>
          <cell r="I101">
            <v>0.22711548993687986</v>
          </cell>
          <cell r="J101">
            <v>0.62816308231580043</v>
          </cell>
          <cell r="K101">
            <v>1</v>
          </cell>
          <cell r="L101">
            <v>2318.8571791349191</v>
          </cell>
          <cell r="M101">
            <v>0</v>
          </cell>
          <cell r="N101">
            <v>0.62816308231580043</v>
          </cell>
          <cell r="O101">
            <v>80</v>
          </cell>
          <cell r="P101">
            <v>1</v>
          </cell>
          <cell r="Q101">
            <v>363</v>
          </cell>
        </row>
        <row r="102">
          <cell r="A102" t="str">
            <v>Douradina</v>
          </cell>
          <cell r="B102">
            <v>9161</v>
          </cell>
          <cell r="C102" t="str">
            <v>P1</v>
          </cell>
          <cell r="D102">
            <v>13.046531872984266</v>
          </cell>
          <cell r="E102">
            <v>52.424319942852065</v>
          </cell>
          <cell r="F102">
            <v>45.053947218173455</v>
          </cell>
          <cell r="G102">
            <v>21.32292707227711</v>
          </cell>
          <cell r="H102">
            <v>0.38509688249686364</v>
          </cell>
          <cell r="I102">
            <v>4.7449932868168607E-2</v>
          </cell>
          <cell r="J102">
            <v>0.43254681536503226</v>
          </cell>
          <cell r="K102">
            <v>0</v>
          </cell>
          <cell r="L102">
            <v>465.19703405621129</v>
          </cell>
          <cell r="M102">
            <v>0</v>
          </cell>
          <cell r="N102">
            <v>0.43254681536503226</v>
          </cell>
          <cell r="O102">
            <v>354</v>
          </cell>
          <cell r="P102">
            <v>0</v>
          </cell>
          <cell r="Q102">
            <v>380</v>
          </cell>
        </row>
        <row r="103">
          <cell r="A103" t="str">
            <v>Doutor Camargo</v>
          </cell>
          <cell r="B103">
            <v>6327</v>
          </cell>
          <cell r="C103" t="str">
            <v>P1</v>
          </cell>
          <cell r="D103">
            <v>13.046531872984266</v>
          </cell>
          <cell r="E103">
            <v>57.364738825309352</v>
          </cell>
          <cell r="F103">
            <v>57.475038000314889</v>
          </cell>
          <cell r="G103">
            <v>34.716052399981962</v>
          </cell>
          <cell r="H103">
            <v>0.48327324090179502</v>
          </cell>
          <cell r="I103">
            <v>2.7063744822986898E-2</v>
          </cell>
          <cell r="J103">
            <v>0.51033698572478192</v>
          </cell>
          <cell r="K103">
            <v>0</v>
          </cell>
          <cell r="L103">
            <v>332.97526298133675</v>
          </cell>
          <cell r="M103">
            <v>0</v>
          </cell>
          <cell r="N103">
            <v>0.51033698572478192</v>
          </cell>
          <cell r="O103">
            <v>261</v>
          </cell>
          <cell r="P103">
            <v>0</v>
          </cell>
          <cell r="Q103">
            <v>195</v>
          </cell>
        </row>
        <row r="104">
          <cell r="A104" t="str">
            <v>Doutor Ulysses</v>
          </cell>
          <cell r="B104">
            <v>5697</v>
          </cell>
          <cell r="C104" t="str">
            <v>P1</v>
          </cell>
          <cell r="D104">
            <v>13.046531872984266</v>
          </cell>
          <cell r="E104">
            <v>84.014736107343168</v>
          </cell>
          <cell r="F104">
            <v>48.615817762033629</v>
          </cell>
          <cell r="G104">
            <v>54.236525312886577</v>
          </cell>
          <cell r="H104">
            <v>0.65023668120498623</v>
          </cell>
          <cell r="I104">
            <v>3.0795320669407444E-2</v>
          </cell>
          <cell r="J104">
            <v>0.68103200187439372</v>
          </cell>
          <cell r="K104">
            <v>1</v>
          </cell>
          <cell r="L104">
            <v>509.78555806470922</v>
          </cell>
          <cell r="M104">
            <v>0</v>
          </cell>
          <cell r="N104">
            <v>0.68103200187439372</v>
          </cell>
          <cell r="O104">
            <v>39</v>
          </cell>
          <cell r="P104">
            <v>1</v>
          </cell>
          <cell r="Q104">
            <v>3</v>
          </cell>
        </row>
        <row r="105">
          <cell r="A105" t="str">
            <v>Enéas Marques</v>
          </cell>
          <cell r="B105">
            <v>5999</v>
          </cell>
          <cell r="C105" t="str">
            <v>P1</v>
          </cell>
          <cell r="D105">
            <v>13.046531872984266</v>
          </cell>
          <cell r="E105">
            <v>63.759089186008438</v>
          </cell>
          <cell r="F105">
            <v>51.460557657326696</v>
          </cell>
          <cell r="G105">
            <v>32.434865328236981</v>
          </cell>
          <cell r="H105">
            <v>0.487696933371635</v>
          </cell>
          <cell r="I105">
            <v>3.071676117790385E-2</v>
          </cell>
          <cell r="J105">
            <v>0.51841369454953889</v>
          </cell>
          <cell r="K105">
            <v>1</v>
          </cell>
          <cell r="L105">
            <v>381.37900189661855</v>
          </cell>
          <cell r="M105">
            <v>0</v>
          </cell>
          <cell r="N105">
            <v>0.51841369454953889</v>
          </cell>
          <cell r="O105">
            <v>246</v>
          </cell>
          <cell r="P105">
            <v>0</v>
          </cell>
          <cell r="Q105">
            <v>182</v>
          </cell>
        </row>
        <row r="106">
          <cell r="A106" t="str">
            <v>Engenheiro Beltrão</v>
          </cell>
          <cell r="B106">
            <v>12454</v>
          </cell>
          <cell r="C106" t="str">
            <v>P1</v>
          </cell>
          <cell r="D106">
            <v>13.046531872984266</v>
          </cell>
          <cell r="E106">
            <v>46.988206961729148</v>
          </cell>
          <cell r="F106">
            <v>43.921607809812919</v>
          </cell>
          <cell r="G106">
            <v>38.096496849642492</v>
          </cell>
          <cell r="H106">
            <v>0.42818203086511242</v>
          </cell>
          <cell r="I106">
            <v>5.6798512357095862E-2</v>
          </cell>
          <cell r="J106">
            <v>0.48498054322220829</v>
          </cell>
          <cell r="K106">
            <v>0</v>
          </cell>
          <cell r="L106">
            <v>619.1512166309526</v>
          </cell>
          <cell r="M106">
            <v>0</v>
          </cell>
          <cell r="N106">
            <v>0.48498054322220829</v>
          </cell>
          <cell r="O106">
            <v>294</v>
          </cell>
          <cell r="P106">
            <v>0</v>
          </cell>
          <cell r="Q106">
            <v>325</v>
          </cell>
        </row>
        <row r="107">
          <cell r="A107" t="str">
            <v>Entre Rios do Oeste</v>
          </cell>
          <cell r="B107">
            <v>4575</v>
          </cell>
          <cell r="C107" t="str">
            <v>P1</v>
          </cell>
          <cell r="D107">
            <v>13.046531872984266</v>
          </cell>
          <cell r="E107">
            <v>50.681008366767685</v>
          </cell>
          <cell r="F107">
            <v>53.277287993758641</v>
          </cell>
          <cell r="G107">
            <v>21.018383854257944</v>
          </cell>
          <cell r="H107">
            <v>0.39335214487161985</v>
          </cell>
          <cell r="I107">
            <v>2.2625133553034037E-2</v>
          </cell>
          <cell r="J107">
            <v>0.41597727842465387</v>
          </cell>
          <cell r="K107">
            <v>0</v>
          </cell>
          <cell r="L107">
            <v>226.57083544605302</v>
          </cell>
          <cell r="M107">
            <v>0</v>
          </cell>
          <cell r="N107">
            <v>0.41597727842465387</v>
          </cell>
          <cell r="O107">
            <v>367</v>
          </cell>
          <cell r="P107">
            <v>0</v>
          </cell>
          <cell r="Q107">
            <v>371</v>
          </cell>
        </row>
        <row r="108">
          <cell r="A108" t="str">
            <v>Esperança Nova</v>
          </cell>
          <cell r="B108">
            <v>1849</v>
          </cell>
          <cell r="C108" t="str">
            <v>P1</v>
          </cell>
          <cell r="D108">
            <v>13.046531872984266</v>
          </cell>
          <cell r="E108">
            <v>48.896391933937124</v>
          </cell>
          <cell r="F108">
            <v>35.064158066577257</v>
          </cell>
          <cell r="G108">
            <v>38.353528191839096</v>
          </cell>
          <cell r="H108">
            <v>0.41912799663625933</v>
          </cell>
          <cell r="I108">
            <v>8.7986630484021243E-3</v>
          </cell>
          <cell r="J108">
            <v>0.42792665968466143</v>
          </cell>
          <cell r="K108">
            <v>0</v>
          </cell>
          <cell r="L108">
            <v>93.884671246522089</v>
          </cell>
          <cell r="M108">
            <v>0</v>
          </cell>
          <cell r="N108">
            <v>0.42792665968466143</v>
          </cell>
          <cell r="O108">
            <v>357</v>
          </cell>
          <cell r="P108">
            <v>0</v>
          </cell>
          <cell r="Q108">
            <v>340</v>
          </cell>
        </row>
        <row r="109">
          <cell r="A109" t="str">
            <v>Espigão Alto do Iguaçu</v>
          </cell>
          <cell r="B109">
            <v>4797</v>
          </cell>
          <cell r="C109" t="str">
            <v>P1</v>
          </cell>
          <cell r="D109">
            <v>13.046531872984266</v>
          </cell>
          <cell r="E109">
            <v>80.91186312313036</v>
          </cell>
          <cell r="F109">
            <v>50.866210424698416</v>
          </cell>
          <cell r="G109">
            <v>51.226215657143477</v>
          </cell>
          <cell r="H109">
            <v>0.63028473597049217</v>
          </cell>
          <cell r="I109">
            <v>2.8831333381817679E-2</v>
          </cell>
          <cell r="J109">
            <v>0.65911606935230982</v>
          </cell>
          <cell r="K109">
            <v>1</v>
          </cell>
          <cell r="L109">
            <v>462.62899620234123</v>
          </cell>
          <cell r="M109">
            <v>0</v>
          </cell>
          <cell r="N109">
            <v>0.65911606935230982</v>
          </cell>
          <cell r="O109">
            <v>53</v>
          </cell>
          <cell r="P109">
            <v>1</v>
          </cell>
          <cell r="Q109">
            <v>5</v>
          </cell>
        </row>
        <row r="110">
          <cell r="A110" t="str">
            <v>Farol</v>
          </cell>
          <cell r="B110">
            <v>3039</v>
          </cell>
          <cell r="C110" t="str">
            <v>P1</v>
          </cell>
          <cell r="D110">
            <v>13.046531872984266</v>
          </cell>
          <cell r="E110">
            <v>76.912976864352046</v>
          </cell>
          <cell r="F110">
            <v>41.7613245160234</v>
          </cell>
          <cell r="G110">
            <v>35.008881216435476</v>
          </cell>
          <cell r="H110">
            <v>0.53121008135519687</v>
          </cell>
          <cell r="I110">
            <v>1.5594059063462694E-2</v>
          </cell>
          <cell r="J110">
            <v>0.54680414041865955</v>
          </cell>
          <cell r="K110">
            <v>1</v>
          </cell>
          <cell r="L110">
            <v>210.89040229801316</v>
          </cell>
          <cell r="M110">
            <v>0</v>
          </cell>
          <cell r="N110">
            <v>0.54680414041865955</v>
          </cell>
          <cell r="O110">
            <v>188</v>
          </cell>
          <cell r="P110">
            <v>1</v>
          </cell>
          <cell r="Q110">
            <v>85</v>
          </cell>
        </row>
        <row r="111">
          <cell r="A111" t="str">
            <v>Faxinal</v>
          </cell>
          <cell r="B111">
            <v>16389</v>
          </cell>
          <cell r="C111" t="str">
            <v>P1</v>
          </cell>
          <cell r="D111">
            <v>13.046531872984266</v>
          </cell>
          <cell r="E111">
            <v>56.354033229144022</v>
          </cell>
          <cell r="F111">
            <v>59.705449946267429</v>
          </cell>
          <cell r="G111">
            <v>43.969715052241533</v>
          </cell>
          <cell r="H111">
            <v>0.52070589301807713</v>
          </cell>
          <cell r="I111">
            <v>9.2268122770966923E-2</v>
          </cell>
          <cell r="J111">
            <v>0.61297401578904409</v>
          </cell>
          <cell r="K111">
            <v>1</v>
          </cell>
          <cell r="L111">
            <v>1223.1381426994631</v>
          </cell>
          <cell r="M111">
            <v>0</v>
          </cell>
          <cell r="N111">
            <v>0.61297401578904409</v>
          </cell>
          <cell r="O111">
            <v>98</v>
          </cell>
          <cell r="P111">
            <v>1</v>
          </cell>
          <cell r="Q111">
            <v>101</v>
          </cell>
        </row>
        <row r="112">
          <cell r="A112" t="str">
            <v>Fazenda Rio Grande</v>
          </cell>
          <cell r="B112">
            <v>148873</v>
          </cell>
          <cell r="C112" t="str">
            <v>M1</v>
          </cell>
          <cell r="D112">
            <v>10.334658226280325</v>
          </cell>
          <cell r="E112">
            <v>73.330067966010148</v>
          </cell>
          <cell r="F112">
            <v>61.050369319766922</v>
          </cell>
          <cell r="G112">
            <v>24.791656667019879</v>
          </cell>
          <cell r="H112">
            <v>0.51458763717165401</v>
          </cell>
          <cell r="I112">
            <v>0.96698878091769436</v>
          </cell>
          <cell r="J112">
            <v>1.4815764180893485</v>
          </cell>
          <cell r="K112">
            <v>2</v>
          </cell>
          <cell r="L112">
            <v>12668.118451891778</v>
          </cell>
          <cell r="M112">
            <v>1</v>
          </cell>
          <cell r="N112">
            <v>0.48157641808934848</v>
          </cell>
          <cell r="O112">
            <v>303</v>
          </cell>
          <cell r="P112">
            <v>1</v>
          </cell>
          <cell r="Q112">
            <v>116</v>
          </cell>
        </row>
        <row r="113">
          <cell r="A113" t="str">
            <v>Fênix</v>
          </cell>
          <cell r="B113">
            <v>4492</v>
          </cell>
          <cell r="C113" t="str">
            <v>P1</v>
          </cell>
          <cell r="D113">
            <v>13.046531872984266</v>
          </cell>
          <cell r="E113">
            <v>45.566426270490801</v>
          </cell>
          <cell r="F113">
            <v>58.783223448756331</v>
          </cell>
          <cell r="G113">
            <v>44.317726324052622</v>
          </cell>
          <cell r="H113">
            <v>0.4771030572756863</v>
          </cell>
          <cell r="I113">
            <v>1.9875551350408374E-2</v>
          </cell>
          <cell r="J113">
            <v>0.49697860862609466</v>
          </cell>
          <cell r="K113">
            <v>0</v>
          </cell>
          <cell r="L113">
            <v>241.41414698149728</v>
          </cell>
          <cell r="M113">
            <v>0</v>
          </cell>
          <cell r="N113">
            <v>0.49697860862609466</v>
          </cell>
          <cell r="O113">
            <v>284</v>
          </cell>
          <cell r="P113">
            <v>0</v>
          </cell>
          <cell r="Q113">
            <v>212</v>
          </cell>
        </row>
        <row r="114">
          <cell r="A114" t="str">
            <v>Fernandes Pinheiro</v>
          </cell>
          <cell r="B114">
            <v>6255</v>
          </cell>
          <cell r="C114" t="str">
            <v>P1</v>
          </cell>
          <cell r="D114">
            <v>13.046531872984266</v>
          </cell>
          <cell r="E114">
            <v>65.262706731692575</v>
          </cell>
          <cell r="F114">
            <v>46.817702012324084</v>
          </cell>
          <cell r="G114">
            <v>47.294404824624486</v>
          </cell>
          <cell r="H114">
            <v>0.54386385024991635</v>
          </cell>
          <cell r="I114">
            <v>3.6922961006687495E-2</v>
          </cell>
          <cell r="J114">
            <v>0.58078681125660381</v>
          </cell>
          <cell r="K114">
            <v>1</v>
          </cell>
          <cell r="L114">
            <v>511.23201923492138</v>
          </cell>
          <cell r="M114">
            <v>0</v>
          </cell>
          <cell r="N114">
            <v>0.58078681125660381</v>
          </cell>
          <cell r="O114">
            <v>133</v>
          </cell>
          <cell r="P114">
            <v>1</v>
          </cell>
          <cell r="Q114">
            <v>64</v>
          </cell>
        </row>
        <row r="115">
          <cell r="A115" t="str">
            <v>Figueira</v>
          </cell>
          <cell r="B115">
            <v>8062</v>
          </cell>
          <cell r="C115" t="str">
            <v>P1</v>
          </cell>
          <cell r="D115">
            <v>13.046531872984266</v>
          </cell>
          <cell r="E115">
            <v>71.680934458301564</v>
          </cell>
          <cell r="F115">
            <v>42.214198014656347</v>
          </cell>
          <cell r="G115">
            <v>41.407020938951597</v>
          </cell>
          <cell r="H115">
            <v>0.53678021761832528</v>
          </cell>
          <cell r="I115">
            <v>3.8926228040029043E-2</v>
          </cell>
          <cell r="J115">
            <v>0.57570644565835427</v>
          </cell>
          <cell r="K115">
            <v>1</v>
          </cell>
          <cell r="L115">
            <v>531.94919565976033</v>
          </cell>
          <cell r="M115">
            <v>0</v>
          </cell>
          <cell r="N115">
            <v>0.57570644565835427</v>
          </cell>
          <cell r="O115">
            <v>136</v>
          </cell>
          <cell r="P115">
            <v>1</v>
          </cell>
          <cell r="Q115">
            <v>76</v>
          </cell>
        </row>
        <row r="116">
          <cell r="A116" t="str">
            <v>Flor da Serra do Sul</v>
          </cell>
          <cell r="B116">
            <v>4364</v>
          </cell>
          <cell r="C116" t="str">
            <v>P1</v>
          </cell>
          <cell r="D116">
            <v>13.046531872984266</v>
          </cell>
          <cell r="E116">
            <v>55.854337243785238</v>
          </cell>
          <cell r="F116">
            <v>60.722826545652545</v>
          </cell>
          <cell r="G116">
            <v>39.79803838607608</v>
          </cell>
          <cell r="H116">
            <v>0.50405515561075032</v>
          </cell>
          <cell r="I116">
            <v>2.2389455078523267E-2</v>
          </cell>
          <cell r="J116">
            <v>0.52644461068927362</v>
          </cell>
          <cell r="K116">
            <v>0</v>
          </cell>
          <cell r="L116">
            <v>287.31143869812769</v>
          </cell>
          <cell r="M116">
            <v>0</v>
          </cell>
          <cell r="N116">
            <v>0.52644461068927362</v>
          </cell>
          <cell r="O116">
            <v>228</v>
          </cell>
          <cell r="P116">
            <v>0</v>
          </cell>
          <cell r="Q116">
            <v>140</v>
          </cell>
        </row>
        <row r="117">
          <cell r="A117" t="str">
            <v>Floraí</v>
          </cell>
          <cell r="B117">
            <v>4792</v>
          </cell>
          <cell r="C117" t="str">
            <v>P1</v>
          </cell>
          <cell r="D117">
            <v>13.046531872984266</v>
          </cell>
          <cell r="E117">
            <v>43.518107385745772</v>
          </cell>
          <cell r="F117">
            <v>38.201499808465961</v>
          </cell>
          <cell r="G117">
            <v>31.54851148398345</v>
          </cell>
          <cell r="H117">
            <v>0.3766694750958488</v>
          </cell>
          <cell r="I117">
            <v>2.081826524845146E-2</v>
          </cell>
          <cell r="J117">
            <v>0.39748774034430029</v>
          </cell>
          <cell r="K117">
            <v>0</v>
          </cell>
          <cell r="L117">
            <v>199.63482180079987</v>
          </cell>
          <cell r="M117">
            <v>0</v>
          </cell>
          <cell r="N117">
            <v>0.39748774034430029</v>
          </cell>
          <cell r="O117">
            <v>375</v>
          </cell>
          <cell r="P117">
            <v>0</v>
          </cell>
          <cell r="Q117">
            <v>389</v>
          </cell>
        </row>
        <row r="118">
          <cell r="A118" t="str">
            <v>Floresta</v>
          </cell>
          <cell r="B118">
            <v>10458</v>
          </cell>
          <cell r="C118" t="str">
            <v>P1</v>
          </cell>
          <cell r="D118">
            <v>13.046531872984266</v>
          </cell>
          <cell r="E118">
            <v>49.327129599453414</v>
          </cell>
          <cell r="F118">
            <v>52.546229001941562</v>
          </cell>
          <cell r="G118">
            <v>27.302826073479235</v>
          </cell>
          <cell r="H118">
            <v>0.41161228069561373</v>
          </cell>
          <cell r="I118">
            <v>5.7819785746642545E-2</v>
          </cell>
          <cell r="J118">
            <v>0.46943206644225627</v>
          </cell>
          <cell r="K118">
            <v>0</v>
          </cell>
          <cell r="L118">
            <v>605.89327718394338</v>
          </cell>
          <cell r="M118">
            <v>0</v>
          </cell>
          <cell r="N118">
            <v>0.46943206644225627</v>
          </cell>
          <cell r="O118">
            <v>320</v>
          </cell>
          <cell r="P118">
            <v>0</v>
          </cell>
          <cell r="Q118">
            <v>353</v>
          </cell>
        </row>
        <row r="119">
          <cell r="A119" t="str">
            <v>Florestópolis</v>
          </cell>
          <cell r="B119">
            <v>11446</v>
          </cell>
          <cell r="C119" t="str">
            <v>P1</v>
          </cell>
          <cell r="D119">
            <v>13.046531872984266</v>
          </cell>
          <cell r="E119">
            <v>60.333015344458744</v>
          </cell>
          <cell r="F119">
            <v>47.67522022221609</v>
          </cell>
          <cell r="G119">
            <v>42.962086879347801</v>
          </cell>
          <cell r="H119">
            <v>0.50853084933965842</v>
          </cell>
          <cell r="I119">
            <v>5.7780506000890748E-2</v>
          </cell>
          <cell r="J119">
            <v>0.56631135534054922</v>
          </cell>
          <cell r="K119">
            <v>1</v>
          </cell>
          <cell r="L119">
            <v>748.04887937863748</v>
          </cell>
          <cell r="M119">
            <v>0</v>
          </cell>
          <cell r="N119">
            <v>0.56631135534054922</v>
          </cell>
          <cell r="O119">
            <v>151</v>
          </cell>
          <cell r="P119">
            <v>1</v>
          </cell>
          <cell r="Q119">
            <v>131</v>
          </cell>
        </row>
        <row r="120">
          <cell r="A120" t="str">
            <v>Flórida</v>
          </cell>
          <cell r="B120">
            <v>2652</v>
          </cell>
          <cell r="C120" t="str">
            <v>P1</v>
          </cell>
          <cell r="D120">
            <v>13.046531872984266</v>
          </cell>
          <cell r="E120">
            <v>51.758558658803466</v>
          </cell>
          <cell r="F120">
            <v>49.903967342818419</v>
          </cell>
          <cell r="G120">
            <v>28.995617829795339</v>
          </cell>
          <cell r="H120">
            <v>0.42282464064003206</v>
          </cell>
          <cell r="I120">
            <v>1.3433673047113959E-2</v>
          </cell>
          <cell r="J120">
            <v>0.43625831368714602</v>
          </cell>
          <cell r="K120">
            <v>0</v>
          </cell>
          <cell r="L120">
            <v>144.60602709889096</v>
          </cell>
          <cell r="M120">
            <v>0</v>
          </cell>
          <cell r="N120">
            <v>0.43625831368714602</v>
          </cell>
          <cell r="O120">
            <v>350</v>
          </cell>
          <cell r="P120">
            <v>0</v>
          </cell>
          <cell r="Q120">
            <v>336</v>
          </cell>
        </row>
        <row r="121">
          <cell r="A121" t="str">
            <v>Formosa do Oeste</v>
          </cell>
          <cell r="B121">
            <v>7635</v>
          </cell>
          <cell r="C121" t="str">
            <v>P1</v>
          </cell>
          <cell r="D121">
            <v>13.046531872984266</v>
          </cell>
          <cell r="E121">
            <v>48.862911374887304</v>
          </cell>
          <cell r="F121">
            <v>39.655367603994698</v>
          </cell>
          <cell r="G121">
            <v>40.384149801296395</v>
          </cell>
          <cell r="H121">
            <v>0.43629897991272421</v>
          </cell>
          <cell r="I121">
            <v>3.2405790245231041E-2</v>
          </cell>
          <cell r="J121">
            <v>0.46870477015795525</v>
          </cell>
          <cell r="K121">
            <v>0</v>
          </cell>
          <cell r="L121">
            <v>359.94665842799748</v>
          </cell>
          <cell r="M121">
            <v>0</v>
          </cell>
          <cell r="N121">
            <v>0.46870477015795525</v>
          </cell>
          <cell r="O121">
            <v>321</v>
          </cell>
          <cell r="P121">
            <v>0</v>
          </cell>
          <cell r="Q121">
            <v>309</v>
          </cell>
        </row>
        <row r="122">
          <cell r="A122" t="str">
            <v>Foz do Iguaçu</v>
          </cell>
          <cell r="B122">
            <v>285415</v>
          </cell>
          <cell r="C122" t="str">
            <v>M2</v>
          </cell>
          <cell r="D122">
            <v>10.261794297910743</v>
          </cell>
          <cell r="E122">
            <v>63.328695111926052</v>
          </cell>
          <cell r="F122">
            <v>57.434912577814806</v>
          </cell>
          <cell r="G122">
            <v>26.68961025626324</v>
          </cell>
          <cell r="H122">
            <v>0.47494304662838671</v>
          </cell>
          <cell r="I122">
            <v>1.550803642026626</v>
          </cell>
          <cell r="J122">
            <v>2.0257466886550128</v>
          </cell>
          <cell r="K122">
            <v>3</v>
          </cell>
          <cell r="L122">
            <v>18751.226423935335</v>
          </cell>
          <cell r="M122">
            <v>2</v>
          </cell>
          <cell r="N122">
            <v>2.5746688655012839E-2</v>
          </cell>
          <cell r="O122">
            <v>399</v>
          </cell>
          <cell r="P122">
            <v>2</v>
          </cell>
          <cell r="Q122">
            <v>219</v>
          </cell>
        </row>
        <row r="123">
          <cell r="A123" t="str">
            <v>Foz do Jordão</v>
          </cell>
          <cell r="B123">
            <v>4926</v>
          </cell>
          <cell r="C123" t="str">
            <v>P1</v>
          </cell>
          <cell r="D123">
            <v>13.046531872984266</v>
          </cell>
          <cell r="E123">
            <v>64.583182556928733</v>
          </cell>
          <cell r="F123">
            <v>55.759539020864061</v>
          </cell>
          <cell r="G123">
            <v>41.432535334976073</v>
          </cell>
          <cell r="H123">
            <v>0.53558194960934735</v>
          </cell>
          <cell r="I123">
            <v>2.8517095415803318E-2</v>
          </cell>
          <cell r="J123">
            <v>0.56409904502515062</v>
          </cell>
          <cell r="K123">
            <v>1</v>
          </cell>
          <cell r="L123">
            <v>388.83249541638617</v>
          </cell>
          <cell r="M123">
            <v>0</v>
          </cell>
          <cell r="N123">
            <v>0.56409904502515062</v>
          </cell>
          <cell r="O123">
            <v>155</v>
          </cell>
          <cell r="P123">
            <v>1</v>
          </cell>
          <cell r="Q123">
            <v>80</v>
          </cell>
        </row>
        <row r="124">
          <cell r="A124" t="str">
            <v>Francisco Alves</v>
          </cell>
          <cell r="B124">
            <v>8116</v>
          </cell>
          <cell r="C124" t="str">
            <v>P1</v>
          </cell>
          <cell r="D124">
            <v>13.046531872984266</v>
          </cell>
          <cell r="E124">
            <v>77.647343014050406</v>
          </cell>
          <cell r="F124">
            <v>68.752978585484229</v>
          </cell>
          <cell r="G124">
            <v>37.232684690141681</v>
          </cell>
          <cell r="H124">
            <v>0.59702606798773672</v>
          </cell>
          <cell r="I124">
            <v>4.3993315242010625E-2</v>
          </cell>
          <cell r="J124">
            <v>0.64101938322974739</v>
          </cell>
          <cell r="K124">
            <v>1</v>
          </cell>
          <cell r="L124">
            <v>668.66919614626511</v>
          </cell>
          <cell r="M124">
            <v>0</v>
          </cell>
          <cell r="N124">
            <v>0.64101938322974739</v>
          </cell>
          <cell r="O124">
            <v>66</v>
          </cell>
          <cell r="P124">
            <v>1</v>
          </cell>
          <cell r="Q124">
            <v>21</v>
          </cell>
        </row>
        <row r="125">
          <cell r="A125" t="str">
            <v>Francisco Beltrão</v>
          </cell>
          <cell r="B125">
            <v>96666</v>
          </cell>
          <cell r="C125" t="str">
            <v>P4</v>
          </cell>
          <cell r="D125">
            <v>3.5744175836676115</v>
          </cell>
          <cell r="E125">
            <v>54.468235154493414</v>
          </cell>
          <cell r="F125">
            <v>53.862821625904168</v>
          </cell>
          <cell r="G125">
            <v>19.330128964392966</v>
          </cell>
          <cell r="H125">
            <v>0.40291909972735385</v>
          </cell>
          <cell r="I125">
            <v>0.48647965113598363</v>
          </cell>
          <cell r="J125">
            <v>0.88939875086333742</v>
          </cell>
          <cell r="K125">
            <v>1</v>
          </cell>
          <cell r="L125">
            <v>4990.1530501232774</v>
          </cell>
          <cell r="M125">
            <v>0</v>
          </cell>
          <cell r="N125">
            <v>0.88939875086333742</v>
          </cell>
          <cell r="O125">
            <v>5</v>
          </cell>
          <cell r="P125">
            <v>1</v>
          </cell>
          <cell r="Q125">
            <v>362</v>
          </cell>
        </row>
        <row r="126">
          <cell r="A126" t="str">
            <v>General Carneiro</v>
          </cell>
          <cell r="B126">
            <v>11062</v>
          </cell>
          <cell r="C126" t="str">
            <v>P1</v>
          </cell>
          <cell r="D126">
            <v>13.046531872984266</v>
          </cell>
          <cell r="E126">
            <v>79.684975605527001</v>
          </cell>
          <cell r="F126">
            <v>58.872811854319337</v>
          </cell>
          <cell r="G126">
            <v>47.971960227187338</v>
          </cell>
          <cell r="H126">
            <v>0.62837336703949609</v>
          </cell>
          <cell r="I126">
            <v>6.4025985575426173E-2</v>
          </cell>
          <cell r="J126">
            <v>0.69239935261492225</v>
          </cell>
          <cell r="K126">
            <v>1</v>
          </cell>
          <cell r="L126">
            <v>1024.2485882743786</v>
          </cell>
          <cell r="M126">
            <v>0</v>
          </cell>
          <cell r="N126">
            <v>0.69239935261492225</v>
          </cell>
          <cell r="O126">
            <v>33</v>
          </cell>
          <cell r="P126">
            <v>1</v>
          </cell>
          <cell r="Q126">
            <v>7</v>
          </cell>
        </row>
        <row r="127">
          <cell r="A127" t="str">
            <v>Godoy Moreira</v>
          </cell>
          <cell r="B127">
            <v>2977</v>
          </cell>
          <cell r="C127" t="str">
            <v>P1</v>
          </cell>
          <cell r="D127">
            <v>13.046531872984266</v>
          </cell>
          <cell r="E127">
            <v>55.317409659513586</v>
          </cell>
          <cell r="F127">
            <v>43.217206690773082</v>
          </cell>
          <cell r="G127">
            <v>43.374994522421012</v>
          </cell>
          <cell r="H127">
            <v>0.48120403010928459</v>
          </cell>
          <cell r="I127">
            <v>1.4494226182412431E-2</v>
          </cell>
          <cell r="J127">
            <v>0.495698256291697</v>
          </cell>
          <cell r="K127">
            <v>0</v>
          </cell>
          <cell r="L127">
            <v>177.56428711032601</v>
          </cell>
          <cell r="M127">
            <v>0</v>
          </cell>
          <cell r="N127">
            <v>0.495698256291697</v>
          </cell>
          <cell r="O127">
            <v>286</v>
          </cell>
          <cell r="P127">
            <v>0</v>
          </cell>
          <cell r="Q127">
            <v>202</v>
          </cell>
        </row>
        <row r="128">
          <cell r="A128" t="str">
            <v>Goioerê</v>
          </cell>
          <cell r="B128">
            <v>28437</v>
          </cell>
          <cell r="C128" t="str">
            <v>P2</v>
          </cell>
          <cell r="D128">
            <v>6.7442145063459806</v>
          </cell>
          <cell r="E128">
            <v>53.012665975017079</v>
          </cell>
          <cell r="F128">
            <v>48.239817680313536</v>
          </cell>
          <cell r="G128">
            <v>34.46504409083191</v>
          </cell>
          <cell r="H128">
            <v>0.44639047562402306</v>
          </cell>
          <cell r="I128">
            <v>0.13912885945285861</v>
          </cell>
          <cell r="J128">
            <v>0.5855193350768817</v>
          </cell>
          <cell r="K128">
            <v>1</v>
          </cell>
          <cell r="L128">
            <v>1581.1150646602896</v>
          </cell>
          <cell r="M128">
            <v>0</v>
          </cell>
          <cell r="N128">
            <v>0.5855193350768817</v>
          </cell>
          <cell r="O128">
            <v>129</v>
          </cell>
          <cell r="P128">
            <v>1</v>
          </cell>
          <cell r="Q128">
            <v>286</v>
          </cell>
        </row>
        <row r="129">
          <cell r="A129" t="str">
            <v>Goioxim</v>
          </cell>
          <cell r="B129">
            <v>6566</v>
          </cell>
          <cell r="C129" t="str">
            <v>P1</v>
          </cell>
          <cell r="D129">
            <v>13.046531872984266</v>
          </cell>
          <cell r="E129">
            <v>63.796670761571143</v>
          </cell>
          <cell r="F129">
            <v>66.471051794865033</v>
          </cell>
          <cell r="G129">
            <v>49.720155304789358</v>
          </cell>
          <cell r="H129">
            <v>0.58700940785517208</v>
          </cell>
          <cell r="I129">
            <v>3.6765842023680308E-2</v>
          </cell>
          <cell r="J129">
            <v>0.62377524987885236</v>
          </cell>
          <cell r="K129">
            <v>1</v>
          </cell>
          <cell r="L129">
            <v>549.44080575244107</v>
          </cell>
          <cell r="M129">
            <v>0</v>
          </cell>
          <cell r="N129">
            <v>0.62377524987885236</v>
          </cell>
          <cell r="O129">
            <v>84</v>
          </cell>
          <cell r="P129">
            <v>1</v>
          </cell>
          <cell r="Q129">
            <v>30</v>
          </cell>
        </row>
        <row r="130">
          <cell r="A130" t="str">
            <v>Grandes Rios</v>
          </cell>
          <cell r="B130">
            <v>5641</v>
          </cell>
          <cell r="C130" t="str">
            <v>P1</v>
          </cell>
          <cell r="D130">
            <v>13.046531872984266</v>
          </cell>
          <cell r="E130">
            <v>60.656377051965393</v>
          </cell>
          <cell r="F130">
            <v>62.118960315502932</v>
          </cell>
          <cell r="G130">
            <v>51.139596162319386</v>
          </cell>
          <cell r="H130">
            <v>0.57142181348814491</v>
          </cell>
          <cell r="I130">
            <v>2.7535101772008436E-2</v>
          </cell>
          <cell r="J130">
            <v>0.59895691526015338</v>
          </cell>
          <cell r="K130">
            <v>1</v>
          </cell>
          <cell r="L130">
            <v>400.5666912551896</v>
          </cell>
          <cell r="M130">
            <v>0</v>
          </cell>
          <cell r="N130">
            <v>0.59895691526015338</v>
          </cell>
          <cell r="O130">
            <v>120</v>
          </cell>
          <cell r="P130">
            <v>1</v>
          </cell>
          <cell r="Q130">
            <v>38</v>
          </cell>
        </row>
        <row r="131">
          <cell r="A131" t="str">
            <v>Guaíra</v>
          </cell>
          <cell r="B131">
            <v>32097</v>
          </cell>
          <cell r="C131" t="str">
            <v>P2</v>
          </cell>
          <cell r="D131">
            <v>6.7442145063459806</v>
          </cell>
          <cell r="E131">
            <v>63.978517294897941</v>
          </cell>
          <cell r="F131">
            <v>54.979251268934512</v>
          </cell>
          <cell r="G131">
            <v>29.621752580510286</v>
          </cell>
          <cell r="H131">
            <v>0.48435958203950191</v>
          </cell>
          <cell r="I131">
            <v>0.18033331274649175</v>
          </cell>
          <cell r="J131">
            <v>0.66469289478599369</v>
          </cell>
          <cell r="K131">
            <v>1</v>
          </cell>
          <cell r="L131">
            <v>2223.6948411433532</v>
          </cell>
          <cell r="M131">
            <v>0</v>
          </cell>
          <cell r="N131">
            <v>0.66469289478599369</v>
          </cell>
          <cell r="O131">
            <v>44</v>
          </cell>
          <cell r="P131">
            <v>1</v>
          </cell>
          <cell r="Q131">
            <v>191</v>
          </cell>
        </row>
        <row r="132">
          <cell r="A132" t="str">
            <v>Guairaçá</v>
          </cell>
          <cell r="B132">
            <v>6587</v>
          </cell>
          <cell r="C132" t="str">
            <v>P1</v>
          </cell>
          <cell r="D132">
            <v>13.046531872984266</v>
          </cell>
          <cell r="E132">
            <v>60.033753521551873</v>
          </cell>
          <cell r="F132">
            <v>76.041083344388767</v>
          </cell>
          <cell r="G132">
            <v>34.978107141324479</v>
          </cell>
          <cell r="H132">
            <v>0.53212960934028297</v>
          </cell>
          <cell r="I132">
            <v>3.4880414227594136E-2</v>
          </cell>
          <cell r="J132">
            <v>0.56701002356787711</v>
          </cell>
          <cell r="K132">
            <v>1</v>
          </cell>
          <cell r="L132">
            <v>472.5310930941713</v>
          </cell>
          <cell r="M132">
            <v>0</v>
          </cell>
          <cell r="N132">
            <v>0.56701002356787711</v>
          </cell>
          <cell r="O132">
            <v>148</v>
          </cell>
          <cell r="P132">
            <v>1</v>
          </cell>
          <cell r="Q132">
            <v>83</v>
          </cell>
        </row>
        <row r="133">
          <cell r="A133" t="str">
            <v>Guamiranga</v>
          </cell>
          <cell r="B133">
            <v>7856</v>
          </cell>
          <cell r="C133" t="str">
            <v>P1</v>
          </cell>
          <cell r="D133">
            <v>13.046531872984266</v>
          </cell>
          <cell r="E133">
            <v>80.914580976578179</v>
          </cell>
          <cell r="F133">
            <v>67.116165907391689</v>
          </cell>
          <cell r="G133">
            <v>38.812388946833934</v>
          </cell>
          <cell r="H133">
            <v>0.61314021150843179</v>
          </cell>
          <cell r="I133">
            <v>4.3050601343967543E-2</v>
          </cell>
          <cell r="J133">
            <v>0.65619081285239933</v>
          </cell>
          <cell r="K133">
            <v>1</v>
          </cell>
          <cell r="L133">
            <v>672.00167181324127</v>
          </cell>
          <cell r="M133">
            <v>0</v>
          </cell>
          <cell r="N133">
            <v>0.65619081285239933</v>
          </cell>
          <cell r="O133">
            <v>54</v>
          </cell>
          <cell r="P133">
            <v>1</v>
          </cell>
          <cell r="Q133">
            <v>12</v>
          </cell>
        </row>
        <row r="134">
          <cell r="A134" t="str">
            <v>Guapirama</v>
          </cell>
          <cell r="B134">
            <v>4626</v>
          </cell>
          <cell r="C134" t="str">
            <v>P1</v>
          </cell>
          <cell r="D134">
            <v>13.046531872984266</v>
          </cell>
          <cell r="E134">
            <v>61.844532122592234</v>
          </cell>
          <cell r="F134">
            <v>55.940998978286274</v>
          </cell>
          <cell r="G134">
            <v>32.338206481091959</v>
          </cell>
          <cell r="H134">
            <v>0.48861295237130931</v>
          </cell>
          <cell r="I134">
            <v>2.6749506856972534E-2</v>
          </cell>
          <cell r="J134">
            <v>0.51536245922828183</v>
          </cell>
          <cell r="K134">
            <v>1</v>
          </cell>
          <cell r="L134">
            <v>332.74542056486166</v>
          </cell>
          <cell r="M134">
            <v>0</v>
          </cell>
          <cell r="N134">
            <v>0.51536245922828183</v>
          </cell>
          <cell r="O134">
            <v>251</v>
          </cell>
          <cell r="P134">
            <v>0</v>
          </cell>
          <cell r="Q134">
            <v>177</v>
          </cell>
        </row>
        <row r="135">
          <cell r="A135" t="str">
            <v>Guaporema</v>
          </cell>
          <cell r="B135">
            <v>2191</v>
          </cell>
          <cell r="C135" t="str">
            <v>P1</v>
          </cell>
          <cell r="D135">
            <v>13.046531872984266</v>
          </cell>
          <cell r="E135">
            <v>45.347828405874516</v>
          </cell>
          <cell r="F135">
            <v>77.527733035725248</v>
          </cell>
          <cell r="G135">
            <v>35.469065622709387</v>
          </cell>
          <cell r="H135">
            <v>0.47832304218578614</v>
          </cell>
          <cell r="I135">
            <v>1.0212733895466753E-2</v>
          </cell>
          <cell r="J135">
            <v>0.48853577608125287</v>
          </cell>
          <cell r="K135">
            <v>0</v>
          </cell>
          <cell r="L135">
            <v>124.36399096830439</v>
          </cell>
          <cell r="M135">
            <v>0</v>
          </cell>
          <cell r="N135">
            <v>0.48853577608125287</v>
          </cell>
          <cell r="O135">
            <v>292</v>
          </cell>
          <cell r="P135">
            <v>0</v>
          </cell>
          <cell r="Q135">
            <v>210</v>
          </cell>
        </row>
        <row r="136">
          <cell r="A136" t="str">
            <v>Guaraci</v>
          </cell>
          <cell r="B136">
            <v>4748</v>
          </cell>
          <cell r="C136" t="str">
            <v>P1</v>
          </cell>
          <cell r="D136">
            <v>13.046531872984266</v>
          </cell>
          <cell r="E136">
            <v>64.172516639231333</v>
          </cell>
          <cell r="F136">
            <v>43.86274201884757</v>
          </cell>
          <cell r="G136">
            <v>40.01537595260136</v>
          </cell>
          <cell r="H136">
            <v>0.50447705440502588</v>
          </cell>
          <cell r="I136">
            <v>2.2310895587019677E-2</v>
          </cell>
          <cell r="J136">
            <v>0.52678794999204559</v>
          </cell>
          <cell r="K136">
            <v>1</v>
          </cell>
          <cell r="L136">
            <v>286.54296690205467</v>
          </cell>
          <cell r="M136">
            <v>0</v>
          </cell>
          <cell r="N136">
            <v>0.52678794999204559</v>
          </cell>
          <cell r="O136">
            <v>226</v>
          </cell>
          <cell r="P136">
            <v>0</v>
          </cell>
          <cell r="Q136">
            <v>138</v>
          </cell>
        </row>
        <row r="137">
          <cell r="A137" t="str">
            <v>Guaraniaçu</v>
          </cell>
          <cell r="B137">
            <v>13735</v>
          </cell>
          <cell r="C137" t="str">
            <v>P1</v>
          </cell>
          <cell r="D137">
            <v>13.046531872984266</v>
          </cell>
          <cell r="E137">
            <v>67.837213291776763</v>
          </cell>
          <cell r="F137">
            <v>48.917483987137466</v>
          </cell>
          <cell r="G137">
            <v>28.174918076700337</v>
          </cell>
          <cell r="H137">
            <v>0.48188349344818332</v>
          </cell>
          <cell r="I137">
            <v>6.7325484218576981E-2</v>
          </cell>
          <cell r="J137">
            <v>0.54920897766676036</v>
          </cell>
          <cell r="K137">
            <v>1</v>
          </cell>
          <cell r="L137">
            <v>825.94830777018626</v>
          </cell>
          <cell r="M137">
            <v>0</v>
          </cell>
          <cell r="N137">
            <v>0.54920897766676036</v>
          </cell>
          <cell r="O137">
            <v>184</v>
          </cell>
          <cell r="P137">
            <v>1</v>
          </cell>
          <cell r="Q137">
            <v>201</v>
          </cell>
        </row>
        <row r="138">
          <cell r="A138" t="str">
            <v>Guarapuava</v>
          </cell>
          <cell r="B138">
            <v>182093</v>
          </cell>
          <cell r="C138" t="str">
            <v>M1</v>
          </cell>
          <cell r="D138">
            <v>10.334658226280325</v>
          </cell>
          <cell r="E138">
            <v>64.058328934332764</v>
          </cell>
          <cell r="F138">
            <v>58.613016506371103</v>
          </cell>
          <cell r="G138">
            <v>25.160451655187831</v>
          </cell>
          <cell r="H138">
            <v>0.47410115537082459</v>
          </cell>
          <cell r="I138">
            <v>1.0037546229413745</v>
          </cell>
          <cell r="J138">
            <v>1.4778557783121991</v>
          </cell>
          <cell r="K138">
            <v>2</v>
          </cell>
          <cell r="L138">
            <v>12115.180924346052</v>
          </cell>
          <cell r="M138">
            <v>1</v>
          </cell>
          <cell r="N138">
            <v>0.47785577831219905</v>
          </cell>
          <cell r="O138">
            <v>310</v>
          </cell>
          <cell r="P138">
            <v>1</v>
          </cell>
          <cell r="Q138">
            <v>221</v>
          </cell>
        </row>
        <row r="139">
          <cell r="A139" t="str">
            <v>Guaraqueçaba</v>
          </cell>
          <cell r="B139">
            <v>7430</v>
          </cell>
          <cell r="C139" t="str">
            <v>P1</v>
          </cell>
          <cell r="D139">
            <v>13.046531872984266</v>
          </cell>
          <cell r="E139">
            <v>80.068047223702251</v>
          </cell>
          <cell r="F139">
            <v>51.592765910773245</v>
          </cell>
          <cell r="G139">
            <v>61.35703807478837</v>
          </cell>
          <cell r="H139">
            <v>0.66888587301550895</v>
          </cell>
          <cell r="I139">
            <v>4.2225726683179844E-2</v>
          </cell>
          <cell r="J139">
            <v>0.71111159969868876</v>
          </cell>
          <cell r="K139">
            <v>1</v>
          </cell>
          <cell r="L139">
            <v>719.05231349167207</v>
          </cell>
          <cell r="M139">
            <v>0</v>
          </cell>
          <cell r="N139">
            <v>0.71111159969868876</v>
          </cell>
          <cell r="O139">
            <v>27</v>
          </cell>
          <cell r="P139">
            <v>1</v>
          </cell>
          <cell r="Q139">
            <v>1</v>
          </cell>
        </row>
        <row r="140">
          <cell r="A140" t="str">
            <v>Guaratuba</v>
          </cell>
          <cell r="B140">
            <v>42062</v>
          </cell>
          <cell r="C140" t="str">
            <v>P3</v>
          </cell>
          <cell r="D140">
            <v>4.2716330707619763</v>
          </cell>
          <cell r="E140">
            <v>43.932255037979964</v>
          </cell>
          <cell r="F140">
            <v>56.972848088424364</v>
          </cell>
          <cell r="G140">
            <v>37.031572895949935</v>
          </cell>
          <cell r="H140">
            <v>0.43780100791256826</v>
          </cell>
          <cell r="I140">
            <v>0.24255243001733537</v>
          </cell>
          <cell r="J140">
            <v>0.68035343792990366</v>
          </cell>
          <cell r="K140">
            <v>1</v>
          </cell>
          <cell r="L140">
            <v>2703.421223860109</v>
          </cell>
          <cell r="M140">
            <v>0</v>
          </cell>
          <cell r="N140">
            <v>0.68035343792990366</v>
          </cell>
          <cell r="O140">
            <v>40</v>
          </cell>
          <cell r="P140">
            <v>1</v>
          </cell>
          <cell r="Q140">
            <v>306</v>
          </cell>
        </row>
        <row r="141">
          <cell r="A141" t="str">
            <v>Honório Serpa</v>
          </cell>
          <cell r="B141">
            <v>4941</v>
          </cell>
          <cell r="C141" t="str">
            <v>P1</v>
          </cell>
          <cell r="D141">
            <v>13.046531872984266</v>
          </cell>
          <cell r="E141">
            <v>75.426003056673878</v>
          </cell>
          <cell r="F141">
            <v>58.128893053957974</v>
          </cell>
          <cell r="G141">
            <v>37.430587474822339</v>
          </cell>
          <cell r="H141">
            <v>0.56768414823390079</v>
          </cell>
          <cell r="I141">
            <v>2.7181584060242278E-2</v>
          </cell>
          <cell r="J141">
            <v>0.59486573229414308</v>
          </cell>
          <cell r="K141">
            <v>1</v>
          </cell>
          <cell r="L141">
            <v>392.83743057785932</v>
          </cell>
          <cell r="M141">
            <v>0</v>
          </cell>
          <cell r="N141">
            <v>0.59486573229414308</v>
          </cell>
          <cell r="O141">
            <v>123</v>
          </cell>
          <cell r="P141">
            <v>1</v>
          </cell>
          <cell r="Q141">
            <v>42</v>
          </cell>
        </row>
        <row r="142">
          <cell r="A142" t="str">
            <v>Ibaiti</v>
          </cell>
          <cell r="B142">
            <v>28830</v>
          </cell>
          <cell r="C142" t="str">
            <v>P2</v>
          </cell>
          <cell r="D142">
            <v>6.7442145063459806</v>
          </cell>
          <cell r="E142">
            <v>59.915260136596601</v>
          </cell>
          <cell r="F142">
            <v>52.81716711579174</v>
          </cell>
          <cell r="G142">
            <v>31.29538072131297</v>
          </cell>
          <cell r="H142">
            <v>0.4704768976632217</v>
          </cell>
          <cell r="I142">
            <v>0.14690624911171407</v>
          </cell>
          <cell r="J142">
            <v>0.61738314677493578</v>
          </cell>
          <cell r="K142">
            <v>1</v>
          </cell>
          <cell r="L142">
            <v>1759.5835972604491</v>
          </cell>
          <cell r="M142">
            <v>0</v>
          </cell>
          <cell r="N142">
            <v>0.61738314677493578</v>
          </cell>
          <cell r="O142">
            <v>91</v>
          </cell>
          <cell r="P142">
            <v>1</v>
          </cell>
          <cell r="Q142">
            <v>230</v>
          </cell>
        </row>
        <row r="143">
          <cell r="A143" t="str">
            <v>Ibema</v>
          </cell>
          <cell r="B143">
            <v>6218</v>
          </cell>
          <cell r="C143" t="str">
            <v>P1</v>
          </cell>
          <cell r="D143">
            <v>13.046531872984266</v>
          </cell>
          <cell r="E143">
            <v>53.623705515475336</v>
          </cell>
          <cell r="F143">
            <v>51.235384212957719</v>
          </cell>
          <cell r="G143">
            <v>42.803878514903907</v>
          </cell>
          <cell r="H143">
            <v>0.48818110454743235</v>
          </cell>
          <cell r="I143">
            <v>3.4526896515827979E-2</v>
          </cell>
          <cell r="J143">
            <v>0.52270800106326032</v>
          </cell>
          <cell r="K143">
            <v>0</v>
          </cell>
          <cell r="L143">
            <v>429.11119089719301</v>
          </cell>
          <cell r="M143">
            <v>0</v>
          </cell>
          <cell r="N143">
            <v>0.52270800106326032</v>
          </cell>
          <cell r="O143">
            <v>237</v>
          </cell>
          <cell r="P143">
            <v>0</v>
          </cell>
          <cell r="Q143">
            <v>180</v>
          </cell>
        </row>
        <row r="144">
          <cell r="A144" t="str">
            <v>Ibiporã</v>
          </cell>
          <cell r="B144">
            <v>51603</v>
          </cell>
          <cell r="C144" t="str">
            <v>P3</v>
          </cell>
          <cell r="D144">
            <v>4.2716330707619763</v>
          </cell>
          <cell r="E144">
            <v>54.242501238829234</v>
          </cell>
          <cell r="F144">
            <v>58.870610381182154</v>
          </cell>
          <cell r="G144">
            <v>29.177010515821241</v>
          </cell>
          <cell r="H144">
            <v>0.45141926778096619</v>
          </cell>
          <cell r="I144">
            <v>0.26851634195927204</v>
          </cell>
          <cell r="J144">
            <v>0.71993560974023829</v>
          </cell>
          <cell r="K144">
            <v>1</v>
          </cell>
          <cell r="L144">
            <v>3085.9021145506849</v>
          </cell>
          <cell r="M144">
            <v>0</v>
          </cell>
          <cell r="N144">
            <v>0.71993560974023829</v>
          </cell>
          <cell r="O144">
            <v>24</v>
          </cell>
          <cell r="P144">
            <v>1</v>
          </cell>
          <cell r="Q144">
            <v>279</v>
          </cell>
        </row>
        <row r="145">
          <cell r="A145" t="str">
            <v>Icaraíma</v>
          </cell>
          <cell r="B145">
            <v>8991</v>
          </cell>
          <cell r="C145" t="str">
            <v>P1</v>
          </cell>
          <cell r="D145">
            <v>13.046531872984266</v>
          </cell>
          <cell r="E145">
            <v>61.769188731122185</v>
          </cell>
          <cell r="F145">
            <v>65.49678393741253</v>
          </cell>
          <cell r="G145">
            <v>41.126679486633094</v>
          </cell>
          <cell r="H145">
            <v>0.54257704074584612</v>
          </cell>
          <cell r="I145">
            <v>4.1283012785136762E-2</v>
          </cell>
          <cell r="J145">
            <v>0.58386005353098291</v>
          </cell>
          <cell r="K145">
            <v>1</v>
          </cell>
          <cell r="L145">
            <v>570.24846982388431</v>
          </cell>
          <cell r="M145">
            <v>0</v>
          </cell>
          <cell r="N145">
            <v>0.58386005353098291</v>
          </cell>
          <cell r="O145">
            <v>130</v>
          </cell>
          <cell r="P145">
            <v>1</v>
          </cell>
          <cell r="Q145">
            <v>67</v>
          </cell>
        </row>
        <row r="146">
          <cell r="A146" t="str">
            <v>Iguaraçu</v>
          </cell>
          <cell r="B146">
            <v>5338</v>
          </cell>
          <cell r="C146" t="str">
            <v>P1</v>
          </cell>
          <cell r="D146">
            <v>13.046531872984266</v>
          </cell>
          <cell r="E146">
            <v>51.828367206532164</v>
          </cell>
          <cell r="F146">
            <v>40.783866091256364</v>
          </cell>
          <cell r="G146">
            <v>24.011261276547447</v>
          </cell>
          <cell r="H146">
            <v>0.38492624611483117</v>
          </cell>
          <cell r="I146">
            <v>2.8556375161555115E-2</v>
          </cell>
          <cell r="J146">
            <v>0.4134826212763863</v>
          </cell>
          <cell r="K146">
            <v>0</v>
          </cell>
          <cell r="L146">
            <v>279.84138092548227</v>
          </cell>
          <cell r="M146">
            <v>0</v>
          </cell>
          <cell r="N146">
            <v>0.4134826212763863</v>
          </cell>
          <cell r="O146">
            <v>368</v>
          </cell>
          <cell r="P146">
            <v>0</v>
          </cell>
          <cell r="Q146">
            <v>381</v>
          </cell>
        </row>
        <row r="147">
          <cell r="A147" t="str">
            <v>Iguatu</v>
          </cell>
          <cell r="B147">
            <v>2144</v>
          </cell>
          <cell r="C147" t="str">
            <v>P1</v>
          </cell>
          <cell r="D147">
            <v>13.046531872984266</v>
          </cell>
          <cell r="E147">
            <v>46.497195194155623</v>
          </cell>
          <cell r="F147">
            <v>36.123987676611286</v>
          </cell>
          <cell r="G147">
            <v>32.789553388909354</v>
          </cell>
          <cell r="H147">
            <v>0.38939496968548248</v>
          </cell>
          <cell r="I147">
            <v>9.5449782176862345E-3</v>
          </cell>
          <cell r="J147">
            <v>0.39893994790316872</v>
          </cell>
          <cell r="K147">
            <v>0</v>
          </cell>
          <cell r="L147">
            <v>94.622977633572248</v>
          </cell>
          <cell r="M147">
            <v>0</v>
          </cell>
          <cell r="N147">
            <v>0.39893994790316872</v>
          </cell>
          <cell r="O147">
            <v>373</v>
          </cell>
          <cell r="P147">
            <v>0</v>
          </cell>
          <cell r="Q147">
            <v>374</v>
          </cell>
        </row>
        <row r="148">
          <cell r="A148" t="str">
            <v>Imbaú</v>
          </cell>
          <cell r="B148">
            <v>14249</v>
          </cell>
          <cell r="C148" t="str">
            <v>P1</v>
          </cell>
          <cell r="D148">
            <v>13.046531872984266</v>
          </cell>
          <cell r="E148">
            <v>80.1413205600862</v>
          </cell>
          <cell r="F148">
            <v>56.534848772574811</v>
          </cell>
          <cell r="G148">
            <v>35.984409973834495</v>
          </cell>
          <cell r="H148">
            <v>0.5775726196808324</v>
          </cell>
          <cell r="I148">
            <v>8.3548019214068389E-2</v>
          </cell>
          <cell r="J148">
            <v>0.6611206388949008</v>
          </cell>
          <cell r="K148">
            <v>1</v>
          </cell>
          <cell r="L148">
            <v>1228.4969620611305</v>
          </cell>
          <cell r="M148">
            <v>0</v>
          </cell>
          <cell r="N148">
            <v>0.6611206388949008</v>
          </cell>
          <cell r="O148">
            <v>49</v>
          </cell>
          <cell r="P148">
            <v>1</v>
          </cell>
          <cell r="Q148">
            <v>32</v>
          </cell>
        </row>
        <row r="149">
          <cell r="A149" t="str">
            <v>Imbituva</v>
          </cell>
          <cell r="B149">
            <v>29924</v>
          </cell>
          <cell r="C149" t="str">
            <v>P2</v>
          </cell>
          <cell r="D149">
            <v>6.7442145063459806</v>
          </cell>
          <cell r="E149">
            <v>68.099885750544217</v>
          </cell>
          <cell r="F149">
            <v>60.161986225582837</v>
          </cell>
          <cell r="G149">
            <v>30.406118349504307</v>
          </cell>
          <cell r="H149">
            <v>0.51434798885135979</v>
          </cell>
          <cell r="I149">
            <v>0.1677245143601655</v>
          </cell>
          <cell r="J149">
            <v>0.68207250321152535</v>
          </cell>
          <cell r="K149">
            <v>1</v>
          </cell>
          <cell r="L149">
            <v>2196.2659123953063</v>
          </cell>
          <cell r="M149">
            <v>0</v>
          </cell>
          <cell r="N149">
            <v>0.68207250321152535</v>
          </cell>
          <cell r="O149">
            <v>38</v>
          </cell>
          <cell r="P149">
            <v>1</v>
          </cell>
          <cell r="Q149">
            <v>117</v>
          </cell>
        </row>
        <row r="150">
          <cell r="A150" t="str">
            <v>Inácio Martins</v>
          </cell>
          <cell r="B150">
            <v>9670</v>
          </cell>
          <cell r="C150" t="str">
            <v>P1</v>
          </cell>
          <cell r="D150">
            <v>13.046531872984266</v>
          </cell>
          <cell r="E150">
            <v>73.915756735938444</v>
          </cell>
          <cell r="F150">
            <v>60.195770216001314</v>
          </cell>
          <cell r="G150">
            <v>47.860059043065611</v>
          </cell>
          <cell r="H150">
            <v>0.60749480354801877</v>
          </cell>
          <cell r="I150">
            <v>5.7819785746642545E-2</v>
          </cell>
          <cell r="J150">
            <v>0.66531458929466136</v>
          </cell>
          <cell r="K150">
            <v>1</v>
          </cell>
          <cell r="L150">
            <v>894.23235082268366</v>
          </cell>
          <cell r="M150">
            <v>0</v>
          </cell>
          <cell r="N150">
            <v>0.66531458929466136</v>
          </cell>
          <cell r="O150">
            <v>43</v>
          </cell>
          <cell r="P150">
            <v>1</v>
          </cell>
          <cell r="Q150">
            <v>15</v>
          </cell>
        </row>
        <row r="151">
          <cell r="A151" t="str">
            <v>Inajá</v>
          </cell>
          <cell r="B151">
            <v>2536</v>
          </cell>
          <cell r="C151" t="str">
            <v>P1</v>
          </cell>
          <cell r="D151">
            <v>13.046531872984266</v>
          </cell>
          <cell r="E151">
            <v>46.457980056355524</v>
          </cell>
          <cell r="F151">
            <v>47.34523344978777</v>
          </cell>
          <cell r="G151">
            <v>43.624950990204717</v>
          </cell>
          <cell r="H151">
            <v>0.45502219108581654</v>
          </cell>
          <cell r="I151">
            <v>1.3119435081099598E-2</v>
          </cell>
          <cell r="J151">
            <v>0.46814162616691612</v>
          </cell>
          <cell r="K151">
            <v>0</v>
          </cell>
          <cell r="L151">
            <v>151.97741182266273</v>
          </cell>
          <cell r="M151">
            <v>0</v>
          </cell>
          <cell r="N151">
            <v>0.46814162616691612</v>
          </cell>
          <cell r="O151">
            <v>322</v>
          </cell>
          <cell r="P151">
            <v>0</v>
          </cell>
          <cell r="Q151">
            <v>266</v>
          </cell>
        </row>
        <row r="152">
          <cell r="A152" t="str">
            <v>Indianópolis</v>
          </cell>
          <cell r="B152">
            <v>4448</v>
          </cell>
          <cell r="C152" t="str">
            <v>P1</v>
          </cell>
          <cell r="D152">
            <v>13.046531872984266</v>
          </cell>
          <cell r="E152">
            <v>44.463078192550441</v>
          </cell>
          <cell r="F152">
            <v>42.775284730595182</v>
          </cell>
          <cell r="G152">
            <v>26.566742946934735</v>
          </cell>
          <cell r="H152">
            <v>0.36966985401913105</v>
          </cell>
          <cell r="I152">
            <v>2.1918098129501726E-2</v>
          </cell>
          <cell r="J152">
            <v>0.39158795214863279</v>
          </cell>
          <cell r="K152">
            <v>0</v>
          </cell>
          <cell r="L152">
            <v>206.27577854267511</v>
          </cell>
          <cell r="M152">
            <v>0</v>
          </cell>
          <cell r="N152">
            <v>0.39158795214863279</v>
          </cell>
          <cell r="O152">
            <v>378</v>
          </cell>
          <cell r="P152">
            <v>0</v>
          </cell>
          <cell r="Q152">
            <v>392</v>
          </cell>
        </row>
        <row r="153">
          <cell r="A153" t="str">
            <v>Ipiranga</v>
          </cell>
          <cell r="B153">
            <v>14142</v>
          </cell>
          <cell r="C153" t="str">
            <v>P1</v>
          </cell>
          <cell r="D153">
            <v>13.046531872984266</v>
          </cell>
          <cell r="E153">
            <v>71.393483465078006</v>
          </cell>
          <cell r="F153">
            <v>58.859919204822837</v>
          </cell>
          <cell r="G153">
            <v>33.285579252570734</v>
          </cell>
          <cell r="H153">
            <v>0.53643608928024056</v>
          </cell>
          <cell r="I153">
            <v>7.8520211757838604E-2</v>
          </cell>
          <cell r="J153">
            <v>0.61495630103807919</v>
          </cell>
          <cell r="K153">
            <v>1</v>
          </cell>
          <cell r="L153">
            <v>1072.3357424712008</v>
          </cell>
          <cell r="M153">
            <v>0</v>
          </cell>
          <cell r="N153">
            <v>0.61495630103807919</v>
          </cell>
          <cell r="O153">
            <v>95</v>
          </cell>
          <cell r="P153">
            <v>1</v>
          </cell>
          <cell r="Q153">
            <v>77</v>
          </cell>
        </row>
        <row r="154">
          <cell r="A154" t="str">
            <v>Iporã</v>
          </cell>
          <cell r="B154">
            <v>15746</v>
          </cell>
          <cell r="C154" t="str">
            <v>P1</v>
          </cell>
          <cell r="D154">
            <v>13.046531872984266</v>
          </cell>
          <cell r="E154">
            <v>59.416171408844491</v>
          </cell>
          <cell r="F154">
            <v>48.499690795165669</v>
          </cell>
          <cell r="G154">
            <v>29.791324777785889</v>
          </cell>
          <cell r="H154">
            <v>0.45382936633685284</v>
          </cell>
          <cell r="I154">
            <v>7.6909742182015017E-2</v>
          </cell>
          <cell r="J154">
            <v>0.53073910851886785</v>
          </cell>
          <cell r="K154">
            <v>1</v>
          </cell>
          <cell r="L154">
            <v>888.59789928755788</v>
          </cell>
          <cell r="M154">
            <v>0</v>
          </cell>
          <cell r="N154">
            <v>0.53073910851886785</v>
          </cell>
          <cell r="O154">
            <v>221</v>
          </cell>
          <cell r="P154">
            <v>0</v>
          </cell>
          <cell r="Q154">
            <v>269</v>
          </cell>
        </row>
        <row r="155">
          <cell r="A155" t="str">
            <v>Iracema do Oeste</v>
          </cell>
          <cell r="B155">
            <v>2343</v>
          </cell>
          <cell r="C155" t="str">
            <v>P1</v>
          </cell>
          <cell r="D155">
            <v>13.046531872984266</v>
          </cell>
          <cell r="E155">
            <v>58.759243000645881</v>
          </cell>
          <cell r="F155">
            <v>43.069952881060409</v>
          </cell>
          <cell r="G155">
            <v>33.975844401310304</v>
          </cell>
          <cell r="H155">
            <v>0.45708025536994557</v>
          </cell>
          <cell r="I155">
            <v>1.0684090844488296E-2</v>
          </cell>
          <cell r="J155">
            <v>0.46776434621443386</v>
          </cell>
          <cell r="K155">
            <v>0</v>
          </cell>
          <cell r="L155">
            <v>124.32582946062519</v>
          </cell>
          <cell r="M155">
            <v>0</v>
          </cell>
          <cell r="N155">
            <v>0.46776434621443386</v>
          </cell>
          <cell r="O155">
            <v>324</v>
          </cell>
          <cell r="P155">
            <v>0</v>
          </cell>
          <cell r="Q155">
            <v>262</v>
          </cell>
        </row>
        <row r="156">
          <cell r="A156" t="str">
            <v>Irati</v>
          </cell>
          <cell r="B156">
            <v>59250</v>
          </cell>
          <cell r="C156" t="str">
            <v>P3</v>
          </cell>
          <cell r="D156">
            <v>4.2716330707619763</v>
          </cell>
          <cell r="E156">
            <v>66.574476124345466</v>
          </cell>
          <cell r="F156">
            <v>51.399528609585445</v>
          </cell>
          <cell r="G156">
            <v>32.880644688450822</v>
          </cell>
          <cell r="H156">
            <v>0.50061954047035595</v>
          </cell>
          <cell r="I156">
            <v>0.30135420940777274</v>
          </cell>
          <cell r="J156">
            <v>0.80197374987812875</v>
          </cell>
          <cell r="K156">
            <v>1</v>
          </cell>
          <cell r="L156">
            <v>3840.7531144885706</v>
          </cell>
          <cell r="M156">
            <v>0</v>
          </cell>
          <cell r="N156">
            <v>0.80197374987812875</v>
          </cell>
          <cell r="O156">
            <v>12</v>
          </cell>
          <cell r="P156">
            <v>1</v>
          </cell>
          <cell r="Q156">
            <v>151</v>
          </cell>
        </row>
        <row r="157">
          <cell r="A157" t="str">
            <v>Iretama</v>
          </cell>
          <cell r="B157">
            <v>10684</v>
          </cell>
          <cell r="C157" t="str">
            <v>P1</v>
          </cell>
          <cell r="D157">
            <v>13.046531872984266</v>
          </cell>
          <cell r="E157">
            <v>59.975955244763384</v>
          </cell>
          <cell r="F157">
            <v>59.66696320940887</v>
          </cell>
          <cell r="G157">
            <v>37.536662690247155</v>
          </cell>
          <cell r="H157">
            <v>0.50938439815885983</v>
          </cell>
          <cell r="I157">
            <v>5.4481007357739947E-2</v>
          </cell>
          <cell r="J157">
            <v>0.5638654055165998</v>
          </cell>
          <cell r="K157">
            <v>1</v>
          </cell>
          <cell r="L157">
            <v>706.51616024633859</v>
          </cell>
          <cell r="M157">
            <v>0</v>
          </cell>
          <cell r="N157">
            <v>0.5638654055165998</v>
          </cell>
          <cell r="O157">
            <v>157</v>
          </cell>
          <cell r="P157">
            <v>1</v>
          </cell>
          <cell r="Q157">
            <v>129</v>
          </cell>
        </row>
        <row r="158">
          <cell r="A158" t="str">
            <v>Itaguajé</v>
          </cell>
          <cell r="B158">
            <v>4481</v>
          </cell>
          <cell r="C158" t="str">
            <v>P1</v>
          </cell>
          <cell r="D158">
            <v>13.046531872984266</v>
          </cell>
          <cell r="E158">
            <v>51.342437333216708</v>
          </cell>
          <cell r="F158">
            <v>50.047242817375434</v>
          </cell>
          <cell r="G158">
            <v>34.283184059450868</v>
          </cell>
          <cell r="H158">
            <v>0.44259697120542113</v>
          </cell>
          <cell r="I158">
            <v>2.4824799315134569E-2</v>
          </cell>
          <cell r="J158">
            <v>0.46742177052055572</v>
          </cell>
          <cell r="K158">
            <v>0</v>
          </cell>
          <cell r="L158">
            <v>279.72128580182613</v>
          </cell>
          <cell r="M158">
            <v>0</v>
          </cell>
          <cell r="N158">
            <v>0.46742177052055572</v>
          </cell>
          <cell r="O158">
            <v>326</v>
          </cell>
          <cell r="P158">
            <v>0</v>
          </cell>
          <cell r="Q158">
            <v>300</v>
          </cell>
        </row>
        <row r="159">
          <cell r="A159" t="str">
            <v>Itaipulândia</v>
          </cell>
          <cell r="B159">
            <v>11485</v>
          </cell>
          <cell r="C159" t="str">
            <v>P1</v>
          </cell>
          <cell r="D159">
            <v>13.046531872984266</v>
          </cell>
          <cell r="E159">
            <v>48.65933699568248</v>
          </cell>
          <cell r="F159">
            <v>60.354795895303596</v>
          </cell>
          <cell r="G159">
            <v>17.925344205527718</v>
          </cell>
          <cell r="H159">
            <v>0.38704831659544803</v>
          </cell>
          <cell r="I159">
            <v>6.4890139981965675E-2</v>
          </cell>
          <cell r="J159">
            <v>0.45193845657741372</v>
          </cell>
          <cell r="K159">
            <v>0</v>
          </cell>
          <cell r="L159">
            <v>639.40381901568014</v>
          </cell>
          <cell r="M159">
            <v>0</v>
          </cell>
          <cell r="N159">
            <v>0.45193845657741372</v>
          </cell>
          <cell r="O159">
            <v>340</v>
          </cell>
          <cell r="P159">
            <v>0</v>
          </cell>
          <cell r="Q159">
            <v>378</v>
          </cell>
        </row>
        <row r="160">
          <cell r="A160" t="str">
            <v>Itambaracá</v>
          </cell>
          <cell r="B160">
            <v>5908</v>
          </cell>
          <cell r="C160" t="str">
            <v>P1</v>
          </cell>
          <cell r="D160">
            <v>13.046531872984266</v>
          </cell>
          <cell r="E160">
            <v>60.593123502968353</v>
          </cell>
          <cell r="F160">
            <v>40.463963725190723</v>
          </cell>
          <cell r="G160">
            <v>41.973957418180149</v>
          </cell>
          <cell r="H160">
            <v>0.4911962511349755</v>
          </cell>
          <cell r="I160">
            <v>2.7456542280504849E-2</v>
          </cell>
          <cell r="J160">
            <v>0.51865279341548032</v>
          </cell>
          <cell r="K160">
            <v>0</v>
          </cell>
          <cell r="L160">
            <v>343.34617954334789</v>
          </cell>
          <cell r="M160">
            <v>0</v>
          </cell>
          <cell r="N160">
            <v>0.51865279341548032</v>
          </cell>
          <cell r="O160">
            <v>244</v>
          </cell>
          <cell r="P160">
            <v>0</v>
          </cell>
          <cell r="Q160">
            <v>173</v>
          </cell>
        </row>
        <row r="161">
          <cell r="A161" t="str">
            <v>Itambé</v>
          </cell>
          <cell r="B161">
            <v>6111</v>
          </cell>
          <cell r="C161" t="str">
            <v>P1</v>
          </cell>
          <cell r="D161">
            <v>13.046531872984266</v>
          </cell>
          <cell r="E161">
            <v>50.174146051925447</v>
          </cell>
          <cell r="F161">
            <v>47.179425205533754</v>
          </cell>
          <cell r="G161">
            <v>24.302453124654324</v>
          </cell>
          <cell r="H161">
            <v>0.39226524711738664</v>
          </cell>
          <cell r="I161">
            <v>2.7338703043249462E-2</v>
          </cell>
          <cell r="J161">
            <v>0.41960395016063612</v>
          </cell>
          <cell r="K161">
            <v>0</v>
          </cell>
          <cell r="L161">
            <v>273.01661199370108</v>
          </cell>
          <cell r="M161">
            <v>0</v>
          </cell>
          <cell r="N161">
            <v>0.41960395016063612</v>
          </cell>
          <cell r="O161">
            <v>364</v>
          </cell>
          <cell r="P161">
            <v>0</v>
          </cell>
          <cell r="Q161">
            <v>373</v>
          </cell>
        </row>
        <row r="162">
          <cell r="A162" t="str">
            <v>Itapejara d'Oeste</v>
          </cell>
          <cell r="B162">
            <v>12344</v>
          </cell>
          <cell r="C162" t="str">
            <v>P1</v>
          </cell>
          <cell r="D162">
            <v>13.046531872984266</v>
          </cell>
          <cell r="E162">
            <v>59.878166460153004</v>
          </cell>
          <cell r="F162">
            <v>57.138472043425658</v>
          </cell>
          <cell r="G162">
            <v>29.071474682829834</v>
          </cell>
          <cell r="H162">
            <v>0.47007550865878267</v>
          </cell>
          <cell r="I162">
            <v>6.2494075491106166E-2</v>
          </cell>
          <cell r="J162">
            <v>0.53256958414988886</v>
          </cell>
          <cell r="K162">
            <v>1</v>
          </cell>
          <cell r="L162">
            <v>747.89013427612326</v>
          </cell>
          <cell r="M162">
            <v>0</v>
          </cell>
          <cell r="N162">
            <v>0.53256958414988886</v>
          </cell>
          <cell r="O162">
            <v>218</v>
          </cell>
          <cell r="P162">
            <v>0</v>
          </cell>
          <cell r="Q162">
            <v>232</v>
          </cell>
        </row>
        <row r="163">
          <cell r="A163" t="str">
            <v>Itaperuçu</v>
          </cell>
          <cell r="B163">
            <v>31217</v>
          </cell>
          <cell r="C163" t="str">
            <v>P2</v>
          </cell>
          <cell r="D163">
            <v>6.7442145063459806</v>
          </cell>
          <cell r="E163">
            <v>69.377971661257192</v>
          </cell>
          <cell r="F163">
            <v>60.409801308619741</v>
          </cell>
          <cell r="G163">
            <v>47.318277756642431</v>
          </cell>
          <cell r="H163">
            <v>0.58760460028883787</v>
          </cell>
          <cell r="I163">
            <v>0.19404194401386829</v>
          </cell>
          <cell r="J163">
            <v>0.78164654430270619</v>
          </cell>
          <cell r="K163">
            <v>1</v>
          </cell>
          <cell r="L163">
            <v>2902.766725426859</v>
          </cell>
          <cell r="M163">
            <v>0</v>
          </cell>
          <cell r="N163">
            <v>0.78164654430270619</v>
          </cell>
          <cell r="O163">
            <v>15</v>
          </cell>
          <cell r="P163">
            <v>1</v>
          </cell>
          <cell r="Q163">
            <v>29</v>
          </cell>
        </row>
        <row r="164">
          <cell r="A164" t="str">
            <v>Itaúna do Sul</v>
          </cell>
          <cell r="B164">
            <v>3572</v>
          </cell>
          <cell r="C164" t="str">
            <v>P1</v>
          </cell>
          <cell r="D164">
            <v>13.046531872984266</v>
          </cell>
          <cell r="E164">
            <v>63.77058692456886</v>
          </cell>
          <cell r="F164">
            <v>59.318105307742997</v>
          </cell>
          <cell r="G164">
            <v>42.877547250926256</v>
          </cell>
          <cell r="H164">
            <v>0.54522874731746651</v>
          </cell>
          <cell r="I164">
            <v>1.8814998215109902E-2</v>
          </cell>
          <cell r="J164">
            <v>0.56404374553257641</v>
          </cell>
          <cell r="K164">
            <v>1</v>
          </cell>
          <cell r="L164">
            <v>261.16456996506645</v>
          </cell>
          <cell r="M164">
            <v>0</v>
          </cell>
          <cell r="N164">
            <v>0.56404374553257641</v>
          </cell>
          <cell r="O164">
            <v>156</v>
          </cell>
          <cell r="P164">
            <v>1</v>
          </cell>
          <cell r="Q164">
            <v>60</v>
          </cell>
        </row>
        <row r="165">
          <cell r="A165" t="str">
            <v>Ivaí</v>
          </cell>
          <cell r="B165">
            <v>13229</v>
          </cell>
          <cell r="C165" t="str">
            <v>P1</v>
          </cell>
          <cell r="D165">
            <v>13.046531872984266</v>
          </cell>
          <cell r="E165">
            <v>69.775277678413858</v>
          </cell>
          <cell r="F165">
            <v>62.117918018115233</v>
          </cell>
          <cell r="G165">
            <v>43.196591222816345</v>
          </cell>
          <cell r="H165">
            <v>0.57612331164115138</v>
          </cell>
          <cell r="I165">
            <v>7.423871947089293E-2</v>
          </cell>
          <cell r="J165">
            <v>0.65036203111204427</v>
          </cell>
          <cell r="K165">
            <v>1</v>
          </cell>
          <cell r="L165">
            <v>1088.873059001776</v>
          </cell>
          <cell r="M165">
            <v>0</v>
          </cell>
          <cell r="N165">
            <v>0.65036203111204427</v>
          </cell>
          <cell r="O165">
            <v>60</v>
          </cell>
          <cell r="P165">
            <v>1</v>
          </cell>
          <cell r="Q165">
            <v>34</v>
          </cell>
        </row>
        <row r="166">
          <cell r="A166" t="str">
            <v>Ivaiporã</v>
          </cell>
          <cell r="B166">
            <v>32720</v>
          </cell>
          <cell r="C166" t="str">
            <v>P2</v>
          </cell>
          <cell r="D166">
            <v>6.7442145063459806</v>
          </cell>
          <cell r="E166">
            <v>55.872315012468903</v>
          </cell>
          <cell r="F166">
            <v>57.593788472548148</v>
          </cell>
          <cell r="G166">
            <v>27.24092310308016</v>
          </cell>
          <cell r="H166">
            <v>0.4476405294072926</v>
          </cell>
          <cell r="I166">
            <v>0.15488003749932849</v>
          </cell>
          <cell r="J166">
            <v>0.60252056690662115</v>
          </cell>
          <cell r="K166">
            <v>1</v>
          </cell>
          <cell r="L166">
            <v>1765.0466074529547</v>
          </cell>
          <cell r="M166">
            <v>0</v>
          </cell>
          <cell r="N166">
            <v>0.60252056690662115</v>
          </cell>
          <cell r="O166">
            <v>112</v>
          </cell>
          <cell r="P166">
            <v>1</v>
          </cell>
          <cell r="Q166">
            <v>283</v>
          </cell>
        </row>
        <row r="167">
          <cell r="A167" t="str">
            <v>Ivaté</v>
          </cell>
          <cell r="B167">
            <v>6831</v>
          </cell>
          <cell r="C167" t="str">
            <v>P1</v>
          </cell>
          <cell r="D167">
            <v>13.046531872984266</v>
          </cell>
          <cell r="E167">
            <v>56.224141630503325</v>
          </cell>
          <cell r="F167">
            <v>57.472489861328917</v>
          </cell>
          <cell r="G167">
            <v>33.409820715974178</v>
          </cell>
          <cell r="H167">
            <v>0.47348082910856781</v>
          </cell>
          <cell r="I167">
            <v>3.5351771176615684E-2</v>
          </cell>
          <cell r="J167">
            <v>0.50883260028518351</v>
          </cell>
          <cell r="K167">
            <v>0</v>
          </cell>
          <cell r="L167">
            <v>426.13274619771101</v>
          </cell>
          <cell r="M167">
            <v>0</v>
          </cell>
          <cell r="N167">
            <v>0.50883260028518351</v>
          </cell>
          <cell r="O167">
            <v>266</v>
          </cell>
          <cell r="P167">
            <v>0</v>
          </cell>
          <cell r="Q167">
            <v>223</v>
          </cell>
        </row>
        <row r="168">
          <cell r="A168" t="str">
            <v>Ivatuba</v>
          </cell>
          <cell r="B168">
            <v>2708</v>
          </cell>
          <cell r="C168" t="str">
            <v>P1</v>
          </cell>
          <cell r="D168">
            <v>13.046531872984266</v>
          </cell>
          <cell r="E168">
            <v>27.805636137588067</v>
          </cell>
          <cell r="F168">
            <v>58.866130066252204</v>
          </cell>
          <cell r="G168">
            <v>27.536519683316573</v>
          </cell>
          <cell r="H168">
            <v>0.33910088341612293</v>
          </cell>
          <cell r="I168">
            <v>1.2490959149070875E-2</v>
          </cell>
          <cell r="J168">
            <v>0.35159184256519382</v>
          </cell>
          <cell r="K168">
            <v>0</v>
          </cell>
          <cell r="L168">
            <v>107.83408092632709</v>
          </cell>
          <cell r="M168">
            <v>0</v>
          </cell>
          <cell r="N168">
            <v>0.35159184256519382</v>
          </cell>
          <cell r="O168">
            <v>382</v>
          </cell>
          <cell r="P168">
            <v>0</v>
          </cell>
          <cell r="Q168">
            <v>399</v>
          </cell>
        </row>
        <row r="169">
          <cell r="A169" t="str">
            <v>Jaboti</v>
          </cell>
          <cell r="B169">
            <v>5427</v>
          </cell>
          <cell r="C169" t="str">
            <v>P1</v>
          </cell>
          <cell r="D169">
            <v>13.046531872984266</v>
          </cell>
          <cell r="E169">
            <v>58.189238997593108</v>
          </cell>
          <cell r="F169">
            <v>50.819288079441321</v>
          </cell>
          <cell r="G169">
            <v>40.312844656336885</v>
          </cell>
          <cell r="H169">
            <v>0.4956469107746026</v>
          </cell>
          <cell r="I169">
            <v>2.8399256178547931E-2</v>
          </cell>
          <cell r="J169">
            <v>0.52404616695315054</v>
          </cell>
          <cell r="K169">
            <v>0</v>
          </cell>
          <cell r="L169">
            <v>358.35271649003766</v>
          </cell>
          <cell r="M169">
            <v>0</v>
          </cell>
          <cell r="N169">
            <v>0.52404616695315054</v>
          </cell>
          <cell r="O169">
            <v>234</v>
          </cell>
          <cell r="P169">
            <v>0</v>
          </cell>
          <cell r="Q169">
            <v>161</v>
          </cell>
        </row>
        <row r="170">
          <cell r="A170" t="str">
            <v>Jacarezinho</v>
          </cell>
          <cell r="B170">
            <v>40375</v>
          </cell>
          <cell r="C170" t="str">
            <v>P3</v>
          </cell>
          <cell r="D170">
            <v>4.2716330707619763</v>
          </cell>
          <cell r="E170">
            <v>55.095397600173541</v>
          </cell>
          <cell r="F170">
            <v>51.857930387723037</v>
          </cell>
          <cell r="G170">
            <v>30.588950196131837</v>
          </cell>
          <cell r="H170">
            <v>0.4464532519606676</v>
          </cell>
          <cell r="I170">
            <v>0.20959672333157919</v>
          </cell>
          <cell r="J170">
            <v>0.65604997529224685</v>
          </cell>
          <cell r="K170">
            <v>1</v>
          </cell>
          <cell r="L170">
            <v>2382.2745524621223</v>
          </cell>
          <cell r="M170">
            <v>0</v>
          </cell>
          <cell r="N170">
            <v>0.65604997529224685</v>
          </cell>
          <cell r="O170">
            <v>55</v>
          </cell>
          <cell r="P170">
            <v>1</v>
          </cell>
          <cell r="Q170">
            <v>285</v>
          </cell>
        </row>
        <row r="171">
          <cell r="A171" t="str">
            <v>Jaguapitã</v>
          </cell>
          <cell r="B171">
            <v>15122</v>
          </cell>
          <cell r="C171" t="str">
            <v>P1</v>
          </cell>
          <cell r="D171">
            <v>13.046531872984266</v>
          </cell>
          <cell r="E171">
            <v>60.498104630710571</v>
          </cell>
          <cell r="F171">
            <v>58.328688095961752</v>
          </cell>
          <cell r="G171">
            <v>16.361438720619152</v>
          </cell>
          <cell r="H171">
            <v>0.42409554959724238</v>
          </cell>
          <cell r="I171">
            <v>8.0798437011442736E-2</v>
          </cell>
          <cell r="J171">
            <v>0.50489398660868512</v>
          </cell>
          <cell r="K171">
            <v>1</v>
          </cell>
          <cell r="L171">
            <v>872.36454552152759</v>
          </cell>
          <cell r="M171">
            <v>0</v>
          </cell>
          <cell r="N171">
            <v>0.50489398660868512</v>
          </cell>
          <cell r="O171">
            <v>272</v>
          </cell>
          <cell r="P171">
            <v>0</v>
          </cell>
          <cell r="Q171">
            <v>334</v>
          </cell>
        </row>
        <row r="172">
          <cell r="A172" t="str">
            <v>Jaguariaíva</v>
          </cell>
          <cell r="B172">
            <v>35141</v>
          </cell>
          <cell r="C172" t="str">
            <v>P2</v>
          </cell>
          <cell r="D172">
            <v>6.7442145063459806</v>
          </cell>
          <cell r="E172">
            <v>72.730752030929835</v>
          </cell>
          <cell r="F172">
            <v>56.425285164320833</v>
          </cell>
          <cell r="G172">
            <v>27.131671334521808</v>
          </cell>
          <cell r="H172">
            <v>0.51230026379044813</v>
          </cell>
          <cell r="I172">
            <v>0.20657218290869098</v>
          </cell>
          <cell r="J172">
            <v>0.71887244669913908</v>
          </cell>
          <cell r="K172">
            <v>1</v>
          </cell>
          <cell r="L172">
            <v>2694.1870872739669</v>
          </cell>
          <cell r="M172">
            <v>0</v>
          </cell>
          <cell r="N172">
            <v>0.71887244669913908</v>
          </cell>
          <cell r="O172">
            <v>25</v>
          </cell>
          <cell r="P172">
            <v>1</v>
          </cell>
          <cell r="Q172">
            <v>124</v>
          </cell>
        </row>
        <row r="173">
          <cell r="A173" t="str">
            <v>Jandaia do Sul</v>
          </cell>
          <cell r="B173">
            <v>21408</v>
          </cell>
          <cell r="C173" t="str">
            <v>P2</v>
          </cell>
          <cell r="D173">
            <v>6.7442145063459806</v>
          </cell>
          <cell r="E173">
            <v>53.117096642174232</v>
          </cell>
          <cell r="F173">
            <v>47.637790503656305</v>
          </cell>
          <cell r="G173">
            <v>28.392884878232525</v>
          </cell>
          <cell r="H173">
            <v>0.42131550708893961</v>
          </cell>
          <cell r="I173">
            <v>9.482130624483362E-2</v>
          </cell>
          <cell r="J173">
            <v>0.51613681333377326</v>
          </cell>
          <cell r="K173">
            <v>1</v>
          </cell>
          <cell r="L173">
            <v>1017.0556341127002</v>
          </cell>
          <cell r="M173">
            <v>0</v>
          </cell>
          <cell r="N173">
            <v>0.51613681333377326</v>
          </cell>
          <cell r="O173">
            <v>250</v>
          </cell>
          <cell r="P173">
            <v>0</v>
          </cell>
          <cell r="Q173">
            <v>338</v>
          </cell>
        </row>
        <row r="174">
          <cell r="A174" t="str">
            <v>Janiópolis</v>
          </cell>
          <cell r="B174">
            <v>5870</v>
          </cell>
          <cell r="C174" t="str">
            <v>P1</v>
          </cell>
          <cell r="D174">
            <v>13.046531872984266</v>
          </cell>
          <cell r="E174">
            <v>62.17396438503738</v>
          </cell>
          <cell r="F174">
            <v>41.78913732180127</v>
          </cell>
          <cell r="G174">
            <v>34.505123986831741</v>
          </cell>
          <cell r="H174">
            <v>0.47029462813107897</v>
          </cell>
          <cell r="I174">
            <v>2.6199590416447399E-2</v>
          </cell>
          <cell r="J174">
            <v>0.4964942185475264</v>
          </cell>
          <cell r="K174">
            <v>0</v>
          </cell>
          <cell r="L174">
            <v>313.68651696342965</v>
          </cell>
          <cell r="M174">
            <v>0</v>
          </cell>
          <cell r="N174">
            <v>0.4964942185475264</v>
          </cell>
          <cell r="O174">
            <v>285</v>
          </cell>
          <cell r="P174">
            <v>0</v>
          </cell>
          <cell r="Q174">
            <v>231</v>
          </cell>
        </row>
        <row r="175">
          <cell r="A175" t="str">
            <v>Japira</v>
          </cell>
          <cell r="B175">
            <v>4972</v>
          </cell>
          <cell r="C175" t="str">
            <v>P1</v>
          </cell>
          <cell r="D175">
            <v>13.046531872984266</v>
          </cell>
          <cell r="E175">
            <v>73.40249299257475</v>
          </cell>
          <cell r="F175">
            <v>64.497268953644678</v>
          </cell>
          <cell r="G175">
            <v>41.424287397613</v>
          </cell>
          <cell r="H175">
            <v>0.58830165946804036</v>
          </cell>
          <cell r="I175">
            <v>2.5649673975922271E-2</v>
          </cell>
          <cell r="J175">
            <v>0.61395133344396258</v>
          </cell>
          <cell r="K175">
            <v>1</v>
          </cell>
          <cell r="L175">
            <v>384.16098363263035</v>
          </cell>
          <cell r="M175">
            <v>0</v>
          </cell>
          <cell r="N175">
            <v>0.61395133344396258</v>
          </cell>
          <cell r="O175">
            <v>96</v>
          </cell>
          <cell r="P175">
            <v>1</v>
          </cell>
          <cell r="Q175">
            <v>27</v>
          </cell>
        </row>
        <row r="176">
          <cell r="A176" t="str">
            <v>Japurá</v>
          </cell>
          <cell r="B176">
            <v>9144</v>
          </cell>
          <cell r="C176" t="str">
            <v>P1</v>
          </cell>
          <cell r="D176">
            <v>13.046531872984266</v>
          </cell>
          <cell r="E176">
            <v>60.741201576880897</v>
          </cell>
          <cell r="F176">
            <v>50.768327433683901</v>
          </cell>
          <cell r="G176">
            <v>32.205869720870304</v>
          </cell>
          <cell r="H176">
            <v>0.47332494005837261</v>
          </cell>
          <cell r="I176">
            <v>3.9868941938072132E-2</v>
          </cell>
          <cell r="J176">
            <v>0.51319388199644478</v>
          </cell>
          <cell r="K176">
            <v>1</v>
          </cell>
          <cell r="L176">
            <v>480.42481415924823</v>
          </cell>
          <cell r="M176">
            <v>0</v>
          </cell>
          <cell r="N176">
            <v>0.51319388199644478</v>
          </cell>
          <cell r="O176">
            <v>256</v>
          </cell>
          <cell r="P176">
            <v>0</v>
          </cell>
          <cell r="Q176">
            <v>225</v>
          </cell>
        </row>
        <row r="177">
          <cell r="A177" t="str">
            <v>Jardim Alegre</v>
          </cell>
          <cell r="B177">
            <v>12004</v>
          </cell>
          <cell r="C177" t="str">
            <v>P1</v>
          </cell>
          <cell r="D177">
            <v>13.046531872984266</v>
          </cell>
          <cell r="E177">
            <v>62.539874753566885</v>
          </cell>
          <cell r="F177">
            <v>49.208737525293422</v>
          </cell>
          <cell r="G177">
            <v>38.595159868107018</v>
          </cell>
          <cell r="H177">
            <v>0.50295761353728241</v>
          </cell>
          <cell r="I177">
            <v>5.7859065492394342E-2</v>
          </cell>
          <cell r="J177">
            <v>0.5608166790296768</v>
          </cell>
          <cell r="K177">
            <v>1</v>
          </cell>
          <cell r="L177">
            <v>740.85656474041696</v>
          </cell>
          <cell r="M177">
            <v>0</v>
          </cell>
          <cell r="N177">
            <v>0.5608166790296768</v>
          </cell>
          <cell r="O177">
            <v>164</v>
          </cell>
          <cell r="P177">
            <v>1</v>
          </cell>
          <cell r="Q177">
            <v>143</v>
          </cell>
        </row>
        <row r="178">
          <cell r="A178" t="str">
            <v>Jardim Olinda</v>
          </cell>
          <cell r="B178">
            <v>1343</v>
          </cell>
          <cell r="C178" t="str">
            <v>P1</v>
          </cell>
          <cell r="D178">
            <v>13.046531872984266</v>
          </cell>
          <cell r="E178">
            <v>53.053280532825113</v>
          </cell>
          <cell r="F178">
            <v>49.052200949811187</v>
          </cell>
          <cell r="G178">
            <v>35.24255401268433</v>
          </cell>
          <cell r="H178">
            <v>0.45128774008166012</v>
          </cell>
          <cell r="I178">
            <v>8.2880263536287881E-3</v>
          </cell>
          <cell r="J178">
            <v>0.45957576643528891</v>
          </cell>
          <cell r="K178">
            <v>0</v>
          </cell>
          <cell r="L178">
            <v>95.221713157230283</v>
          </cell>
          <cell r="M178">
            <v>0</v>
          </cell>
          <cell r="N178">
            <v>0.45957576643528891</v>
          </cell>
          <cell r="O178">
            <v>335</v>
          </cell>
          <cell r="P178">
            <v>0</v>
          </cell>
          <cell r="Q178">
            <v>280</v>
          </cell>
        </row>
        <row r="179">
          <cell r="A179" t="str">
            <v>Jataizinho</v>
          </cell>
          <cell r="B179">
            <v>11813</v>
          </cell>
          <cell r="C179" t="str">
            <v>P1</v>
          </cell>
          <cell r="D179">
            <v>13.046531872984266</v>
          </cell>
          <cell r="E179">
            <v>61.185970557529643</v>
          </cell>
          <cell r="F179">
            <v>60.13743463133838</v>
          </cell>
          <cell r="G179">
            <v>37.102574973893624</v>
          </cell>
          <cell r="H179">
            <v>0.51342905138836981</v>
          </cell>
          <cell r="I179">
            <v>6.1512081847311294E-2</v>
          </cell>
          <cell r="J179">
            <v>0.57494113323568108</v>
          </cell>
          <cell r="K179">
            <v>1</v>
          </cell>
          <cell r="L179">
            <v>804.02989447418713</v>
          </cell>
          <cell r="M179">
            <v>0</v>
          </cell>
          <cell r="N179">
            <v>0.57494113323568108</v>
          </cell>
          <cell r="O179">
            <v>137</v>
          </cell>
          <cell r="P179">
            <v>1</v>
          </cell>
          <cell r="Q179">
            <v>120</v>
          </cell>
        </row>
        <row r="180">
          <cell r="A180" t="str">
            <v>Jesuítas</v>
          </cell>
          <cell r="B180">
            <v>10506</v>
          </cell>
          <cell r="C180" t="str">
            <v>P1</v>
          </cell>
          <cell r="D180">
            <v>13.046531872984266</v>
          </cell>
          <cell r="E180">
            <v>58.982087020216909</v>
          </cell>
          <cell r="F180">
            <v>47.265200677950851</v>
          </cell>
          <cell r="G180">
            <v>35.662669580082557</v>
          </cell>
          <cell r="H180">
            <v>0.47310942775709952</v>
          </cell>
          <cell r="I180">
            <v>5.3263335239434294E-2</v>
          </cell>
          <cell r="J180">
            <v>0.52637276299653379</v>
          </cell>
          <cell r="K180">
            <v>1</v>
          </cell>
          <cell r="L180">
            <v>641.53638403862692</v>
          </cell>
          <cell r="M180">
            <v>0</v>
          </cell>
          <cell r="N180">
            <v>0.52637276299653379</v>
          </cell>
          <cell r="O180">
            <v>229</v>
          </cell>
          <cell r="P180">
            <v>0</v>
          </cell>
          <cell r="Q180">
            <v>226</v>
          </cell>
        </row>
        <row r="181">
          <cell r="A181" t="str">
            <v>Joaquim Távora</v>
          </cell>
          <cell r="B181">
            <v>11945</v>
          </cell>
          <cell r="C181" t="str">
            <v>P1</v>
          </cell>
          <cell r="D181">
            <v>13.046531872984266</v>
          </cell>
          <cell r="E181">
            <v>51.826929457564518</v>
          </cell>
          <cell r="F181">
            <v>63.175080741308626</v>
          </cell>
          <cell r="G181">
            <v>20.167650326409838</v>
          </cell>
          <cell r="H181">
            <v>0.41432848061851468</v>
          </cell>
          <cell r="I181">
            <v>6.2808313457120526E-2</v>
          </cell>
          <cell r="J181">
            <v>0.4771367940756352</v>
          </cell>
          <cell r="K181">
            <v>0</v>
          </cell>
          <cell r="L181">
            <v>662.51124050900501</v>
          </cell>
          <cell r="M181">
            <v>0</v>
          </cell>
          <cell r="N181">
            <v>0.4771367940756352</v>
          </cell>
          <cell r="O181">
            <v>313</v>
          </cell>
          <cell r="P181">
            <v>0</v>
          </cell>
          <cell r="Q181">
            <v>348</v>
          </cell>
        </row>
        <row r="182">
          <cell r="A182" t="str">
            <v>Jundiaí do Sul</v>
          </cell>
          <cell r="B182">
            <v>3333</v>
          </cell>
          <cell r="C182" t="str">
            <v>P1</v>
          </cell>
          <cell r="D182">
            <v>13.046531872984266</v>
          </cell>
          <cell r="E182">
            <v>58.939455348496281</v>
          </cell>
          <cell r="F182">
            <v>56.182254977634791</v>
          </cell>
          <cell r="G182">
            <v>47.750383970362435</v>
          </cell>
          <cell r="H182">
            <v>0.53912386723070449</v>
          </cell>
          <cell r="I182">
            <v>1.6222534995491419E-2</v>
          </cell>
          <cell r="J182">
            <v>0.55534640222619591</v>
          </cell>
          <cell r="K182">
            <v>0</v>
          </cell>
          <cell r="L182">
            <v>222.65815716628094</v>
          </cell>
          <cell r="M182">
            <v>0</v>
          </cell>
          <cell r="N182">
            <v>0.55534640222619591</v>
          </cell>
          <cell r="O182">
            <v>171</v>
          </cell>
          <cell r="P182">
            <v>1</v>
          </cell>
          <cell r="Q182">
            <v>72</v>
          </cell>
        </row>
        <row r="183">
          <cell r="A183" t="str">
            <v>Juranda</v>
          </cell>
          <cell r="B183">
            <v>7771</v>
          </cell>
          <cell r="C183" t="str">
            <v>P1</v>
          </cell>
          <cell r="D183">
            <v>13.046531872984266</v>
          </cell>
          <cell r="E183">
            <v>65.649566686583398</v>
          </cell>
          <cell r="F183">
            <v>44.187986275710422</v>
          </cell>
          <cell r="G183">
            <v>36.568601027149761</v>
          </cell>
          <cell r="H183">
            <v>0.4972486434063535</v>
          </cell>
          <cell r="I183">
            <v>3.7394317955709029E-2</v>
          </cell>
          <cell r="J183">
            <v>0.53464296136206257</v>
          </cell>
          <cell r="K183">
            <v>1</v>
          </cell>
          <cell r="L183">
            <v>473.38070852284852</v>
          </cell>
          <cell r="M183">
            <v>0</v>
          </cell>
          <cell r="N183">
            <v>0.53464296136206257</v>
          </cell>
          <cell r="O183">
            <v>211</v>
          </cell>
          <cell r="P183">
            <v>1</v>
          </cell>
          <cell r="Q183">
            <v>156</v>
          </cell>
        </row>
        <row r="184">
          <cell r="A184" t="str">
            <v>Jussara</v>
          </cell>
          <cell r="B184">
            <v>6690</v>
          </cell>
          <cell r="C184" t="str">
            <v>P1</v>
          </cell>
          <cell r="D184">
            <v>13.046531872984266</v>
          </cell>
          <cell r="E184">
            <v>52.900113158374843</v>
          </cell>
          <cell r="F184">
            <v>42.434857285494097</v>
          </cell>
          <cell r="G184">
            <v>19.737352788837754</v>
          </cell>
          <cell r="H184">
            <v>0.37541957835983858</v>
          </cell>
          <cell r="I184">
            <v>3.4369777532820805E-2</v>
          </cell>
          <cell r="J184">
            <v>0.40978935589265941</v>
          </cell>
          <cell r="K184">
            <v>0</v>
          </cell>
          <cell r="L184">
            <v>328.49213106485877</v>
          </cell>
          <cell r="M184">
            <v>0</v>
          </cell>
          <cell r="N184">
            <v>0.40978935589265941</v>
          </cell>
          <cell r="O184">
            <v>369</v>
          </cell>
          <cell r="P184">
            <v>0</v>
          </cell>
          <cell r="Q184">
            <v>390</v>
          </cell>
        </row>
        <row r="185">
          <cell r="A185" t="str">
            <v>Kaloré</v>
          </cell>
          <cell r="B185">
            <v>4582</v>
          </cell>
          <cell r="C185" t="str">
            <v>P1</v>
          </cell>
          <cell r="D185">
            <v>13.046531872984266</v>
          </cell>
          <cell r="E185">
            <v>43.588398033479827</v>
          </cell>
          <cell r="F185">
            <v>50.923498426245111</v>
          </cell>
          <cell r="G185">
            <v>41.386050851590973</v>
          </cell>
          <cell r="H185">
            <v>0.44174479239277348</v>
          </cell>
          <cell r="I185">
            <v>2.0229069062174528E-2</v>
          </cell>
          <cell r="J185">
            <v>0.46197386145494801</v>
          </cell>
          <cell r="K185">
            <v>0</v>
          </cell>
          <cell r="L185">
            <v>227.49856808227835</v>
          </cell>
          <cell r="M185">
            <v>0</v>
          </cell>
          <cell r="N185">
            <v>0.46197386145494801</v>
          </cell>
          <cell r="O185">
            <v>332</v>
          </cell>
          <cell r="P185">
            <v>0</v>
          </cell>
          <cell r="Q185">
            <v>302</v>
          </cell>
        </row>
        <row r="186">
          <cell r="A186" t="str">
            <v>Lapa</v>
          </cell>
          <cell r="B186">
            <v>45003</v>
          </cell>
          <cell r="C186" t="str">
            <v>P3</v>
          </cell>
          <cell r="D186">
            <v>4.2716330707619763</v>
          </cell>
          <cell r="E186">
            <v>67.09625260289647</v>
          </cell>
          <cell r="F186">
            <v>55.625451758384052</v>
          </cell>
          <cell r="G186">
            <v>28.729120243880747</v>
          </cell>
          <cell r="H186">
            <v>0.49455239490387698</v>
          </cell>
          <cell r="I186">
            <v>0.23332168976566348</v>
          </cell>
          <cell r="J186">
            <v>0.7278740846695404</v>
          </cell>
          <cell r="K186">
            <v>1</v>
          </cell>
          <cell r="L186">
            <v>2937.6412257290294</v>
          </cell>
          <cell r="M186">
            <v>0</v>
          </cell>
          <cell r="N186">
            <v>0.7278740846695404</v>
          </cell>
          <cell r="O186">
            <v>22</v>
          </cell>
          <cell r="P186">
            <v>1</v>
          </cell>
          <cell r="Q186">
            <v>166</v>
          </cell>
        </row>
        <row r="187">
          <cell r="A187" t="str">
            <v>Laranjal</v>
          </cell>
          <cell r="B187">
            <v>5600</v>
          </cell>
          <cell r="C187" t="str">
            <v>P1</v>
          </cell>
          <cell r="D187">
            <v>13.046531872984266</v>
          </cell>
          <cell r="E187">
            <v>69.554519318927802</v>
          </cell>
          <cell r="F187">
            <v>63.853396855078792</v>
          </cell>
          <cell r="G187">
            <v>55.811276469551935</v>
          </cell>
          <cell r="H187">
            <v>0.6291699768640765</v>
          </cell>
          <cell r="I187">
            <v>3.3230664906018746E-2</v>
          </cell>
          <cell r="J187">
            <v>0.66240064177009528</v>
          </cell>
          <cell r="K187">
            <v>1</v>
          </cell>
          <cell r="L187">
            <v>532.27780042700874</v>
          </cell>
          <cell r="M187">
            <v>0</v>
          </cell>
          <cell r="N187">
            <v>0.66240064177009528</v>
          </cell>
          <cell r="O187">
            <v>45</v>
          </cell>
          <cell r="P187">
            <v>1</v>
          </cell>
          <cell r="Q187">
            <v>6</v>
          </cell>
        </row>
        <row r="188">
          <cell r="A188" t="str">
            <v>Laranjeiras do Sul</v>
          </cell>
          <cell r="B188">
            <v>32227</v>
          </cell>
          <cell r="C188" t="str">
            <v>P2</v>
          </cell>
          <cell r="D188">
            <v>6.7442145063459806</v>
          </cell>
          <cell r="E188">
            <v>57.846182578616094</v>
          </cell>
          <cell r="F188">
            <v>62.419391642703197</v>
          </cell>
          <cell r="G188">
            <v>27.729788156145187</v>
          </cell>
          <cell r="H188">
            <v>0.4671426662244515</v>
          </cell>
          <cell r="I188">
            <v>0.17377359520594196</v>
          </cell>
          <cell r="J188">
            <v>0.64091626143039349</v>
          </cell>
          <cell r="K188">
            <v>1</v>
          </cell>
          <cell r="L188">
            <v>2066.6391553769736</v>
          </cell>
          <cell r="M188">
            <v>0</v>
          </cell>
          <cell r="N188">
            <v>0.64091626143039349</v>
          </cell>
          <cell r="O188">
            <v>67</v>
          </cell>
          <cell r="P188">
            <v>1</v>
          </cell>
          <cell r="Q188">
            <v>236</v>
          </cell>
        </row>
        <row r="189">
          <cell r="A189" t="str">
            <v>Leópolis</v>
          </cell>
          <cell r="B189">
            <v>3752</v>
          </cell>
          <cell r="C189" t="str">
            <v>P1</v>
          </cell>
          <cell r="D189">
            <v>13.046531872984266</v>
          </cell>
          <cell r="E189">
            <v>48.135206486058266</v>
          </cell>
          <cell r="F189">
            <v>69.906989826638664</v>
          </cell>
          <cell r="G189">
            <v>31.886375916934156</v>
          </cell>
          <cell r="H189">
            <v>0.45990030926524705</v>
          </cell>
          <cell r="I189">
            <v>1.818652228308118E-2</v>
          </cell>
          <cell r="J189">
            <v>0.47808683154832821</v>
          </cell>
          <cell r="K189">
            <v>0</v>
          </cell>
          <cell r="L189">
            <v>212.93384318980938</v>
          </cell>
          <cell r="M189">
            <v>0</v>
          </cell>
          <cell r="N189">
            <v>0.47808683154832821</v>
          </cell>
          <cell r="O189">
            <v>309</v>
          </cell>
          <cell r="P189">
            <v>0</v>
          </cell>
          <cell r="Q189">
            <v>252</v>
          </cell>
        </row>
        <row r="190">
          <cell r="A190" t="str">
            <v>Lidianópolis</v>
          </cell>
          <cell r="B190">
            <v>3938</v>
          </cell>
          <cell r="C190" t="str">
            <v>P1</v>
          </cell>
          <cell r="D190">
            <v>13.046531872984266</v>
          </cell>
          <cell r="E190">
            <v>67.39046843832179</v>
          </cell>
          <cell r="F190">
            <v>36.610772255899668</v>
          </cell>
          <cell r="G190">
            <v>41.657040553570425</v>
          </cell>
          <cell r="H190">
            <v>0.50941158047936819</v>
          </cell>
          <cell r="I190">
            <v>1.9089956435372469E-2</v>
          </cell>
          <cell r="J190">
            <v>0.52850153691474067</v>
          </cell>
          <cell r="K190">
            <v>1</v>
          </cell>
          <cell r="L190">
            <v>247.57402811297294</v>
          </cell>
          <cell r="M190">
            <v>0</v>
          </cell>
          <cell r="N190">
            <v>0.52850153691474067</v>
          </cell>
          <cell r="O190">
            <v>224</v>
          </cell>
          <cell r="P190">
            <v>0</v>
          </cell>
          <cell r="Q190">
            <v>128</v>
          </cell>
        </row>
        <row r="191">
          <cell r="A191" t="str">
            <v>Lindoeste</v>
          </cell>
          <cell r="B191">
            <v>5175</v>
          </cell>
          <cell r="C191" t="str">
            <v>P1</v>
          </cell>
          <cell r="D191">
            <v>13.046531872984266</v>
          </cell>
          <cell r="E191">
            <v>53.293212947802907</v>
          </cell>
          <cell r="F191">
            <v>74.643824087059969</v>
          </cell>
          <cell r="G191">
            <v>41.449926477212124</v>
          </cell>
          <cell r="H191">
            <v>0.5282602058741801</v>
          </cell>
          <cell r="I191">
            <v>2.7495822026256646E-2</v>
          </cell>
          <cell r="J191">
            <v>0.55575602790043677</v>
          </cell>
          <cell r="K191">
            <v>1</v>
          </cell>
          <cell r="L191">
            <v>369.78214411192607</v>
          </cell>
          <cell r="M191">
            <v>0</v>
          </cell>
          <cell r="N191">
            <v>0.55575602790043677</v>
          </cell>
          <cell r="O191">
            <v>170</v>
          </cell>
          <cell r="P191">
            <v>1</v>
          </cell>
          <cell r="Q191">
            <v>89</v>
          </cell>
        </row>
        <row r="192">
          <cell r="A192" t="str">
            <v>Loanda</v>
          </cell>
          <cell r="B192">
            <v>23225</v>
          </cell>
          <cell r="C192" t="str">
            <v>P2</v>
          </cell>
          <cell r="D192">
            <v>6.7442145063459806</v>
          </cell>
          <cell r="E192">
            <v>48.265510300285058</v>
          </cell>
          <cell r="F192">
            <v>53.305046486067816</v>
          </cell>
          <cell r="G192">
            <v>29.060592680052093</v>
          </cell>
          <cell r="H192">
            <v>0.41591450489348425</v>
          </cell>
          <cell r="I192">
            <v>0.12380975860965848</v>
          </cell>
          <cell r="J192">
            <v>0.53972426350314273</v>
          </cell>
          <cell r="K192">
            <v>1</v>
          </cell>
          <cell r="L192">
            <v>1310.9625194242624</v>
          </cell>
          <cell r="M192">
            <v>0</v>
          </cell>
          <cell r="N192">
            <v>0.53972426350314273</v>
          </cell>
          <cell r="O192">
            <v>199</v>
          </cell>
          <cell r="P192">
            <v>1</v>
          </cell>
          <cell r="Q192">
            <v>345</v>
          </cell>
        </row>
        <row r="193">
          <cell r="A193" t="str">
            <v>Lobato</v>
          </cell>
          <cell r="B193">
            <v>4601</v>
          </cell>
          <cell r="C193" t="str">
            <v>P1</v>
          </cell>
          <cell r="D193">
            <v>13.046531872984266</v>
          </cell>
          <cell r="E193">
            <v>52.54885624170047</v>
          </cell>
          <cell r="F193">
            <v>51.351999253371758</v>
          </cell>
          <cell r="G193">
            <v>33.137227141237666</v>
          </cell>
          <cell r="H193">
            <v>0.44544833203849615</v>
          </cell>
          <cell r="I193">
            <v>2.2114496858260699E-2</v>
          </cell>
          <cell r="J193">
            <v>0.46756282889675688</v>
          </cell>
          <cell r="K193">
            <v>0</v>
          </cell>
          <cell r="L193">
            <v>250.78741093767334</v>
          </cell>
          <cell r="M193">
            <v>0</v>
          </cell>
          <cell r="N193">
            <v>0.46756282889675688</v>
          </cell>
          <cell r="O193">
            <v>325</v>
          </cell>
          <cell r="P193">
            <v>0</v>
          </cell>
          <cell r="Q193">
            <v>289</v>
          </cell>
        </row>
        <row r="194">
          <cell r="A194" t="str">
            <v>Londrina</v>
          </cell>
          <cell r="B194">
            <v>555965</v>
          </cell>
          <cell r="C194" t="str">
            <v>G1</v>
          </cell>
          <cell r="D194">
            <v>2.6246726111349554</v>
          </cell>
          <cell r="E194">
            <v>66.913221859122075</v>
          </cell>
          <cell r="F194">
            <v>50.038215609464793</v>
          </cell>
          <cell r="G194">
            <v>22.493506052269638</v>
          </cell>
          <cell r="H194">
            <v>0.45770334286449649</v>
          </cell>
          <cell r="I194">
            <v>2.6246726111349554</v>
          </cell>
          <cell r="J194">
            <v>3.0823759539994517</v>
          </cell>
          <cell r="K194">
            <v>4</v>
          </cell>
          <cell r="L194">
            <v>30583.737370205654</v>
          </cell>
          <cell r="M194">
            <v>3</v>
          </cell>
          <cell r="N194">
            <v>8.2375953999451745E-2</v>
          </cell>
          <cell r="O194">
            <v>395</v>
          </cell>
          <cell r="P194">
            <v>3</v>
          </cell>
          <cell r="Q194">
            <v>259</v>
          </cell>
        </row>
        <row r="195">
          <cell r="A195" t="str">
            <v>Luiziana</v>
          </cell>
          <cell r="B195">
            <v>6690</v>
          </cell>
          <cell r="C195" t="str">
            <v>P1</v>
          </cell>
          <cell r="D195">
            <v>13.046531872984266</v>
          </cell>
          <cell r="E195">
            <v>77.422601106338675</v>
          </cell>
          <cell r="F195">
            <v>49.773934526330066</v>
          </cell>
          <cell r="G195">
            <v>39.451600790700198</v>
          </cell>
          <cell r="H195">
            <v>0.56704467664081559</v>
          </cell>
          <cell r="I195">
            <v>3.8533430582511095E-2</v>
          </cell>
          <cell r="J195">
            <v>0.60557810722332672</v>
          </cell>
          <cell r="K195">
            <v>1</v>
          </cell>
          <cell r="L195">
            <v>556.27082778464012</v>
          </cell>
          <cell r="M195">
            <v>0</v>
          </cell>
          <cell r="N195">
            <v>0.60557810722332672</v>
          </cell>
          <cell r="O195">
            <v>107</v>
          </cell>
          <cell r="P195">
            <v>1</v>
          </cell>
          <cell r="Q195">
            <v>44</v>
          </cell>
        </row>
        <row r="196">
          <cell r="A196" t="str">
            <v>Lunardelli</v>
          </cell>
          <cell r="B196">
            <v>4872</v>
          </cell>
          <cell r="C196" t="str">
            <v>P1</v>
          </cell>
          <cell r="D196">
            <v>13.046531872984266</v>
          </cell>
          <cell r="E196">
            <v>62.616276620027108</v>
          </cell>
          <cell r="F196">
            <v>38.916486781379746</v>
          </cell>
          <cell r="G196">
            <v>43.586349932524136</v>
          </cell>
          <cell r="H196">
            <v>0.50264347977296453</v>
          </cell>
          <cell r="I196">
            <v>2.2507294315778654E-2</v>
          </cell>
          <cell r="J196">
            <v>0.52515077408874322</v>
          </cell>
          <cell r="K196">
            <v>0</v>
          </cell>
          <cell r="L196">
            <v>288.01471390990866</v>
          </cell>
          <cell r="M196">
            <v>0</v>
          </cell>
          <cell r="N196">
            <v>0.52515077408874322</v>
          </cell>
          <cell r="O196">
            <v>231</v>
          </cell>
          <cell r="P196">
            <v>0</v>
          </cell>
          <cell r="Q196">
            <v>145</v>
          </cell>
        </row>
        <row r="197">
          <cell r="A197" t="str">
            <v>Lupionópolis</v>
          </cell>
          <cell r="B197">
            <v>4813</v>
          </cell>
          <cell r="C197" t="str">
            <v>P1</v>
          </cell>
          <cell r="D197">
            <v>13.046531872984266</v>
          </cell>
          <cell r="E197">
            <v>46.019996955140648</v>
          </cell>
          <cell r="F197">
            <v>69.200077181196733</v>
          </cell>
          <cell r="G197">
            <v>39.908076704962518</v>
          </cell>
          <cell r="H197">
            <v>0.48211244900280614</v>
          </cell>
          <cell r="I197">
            <v>2.37642461798361E-2</v>
          </cell>
          <cell r="J197">
            <v>0.50587669518264222</v>
          </cell>
          <cell r="K197">
            <v>0</v>
          </cell>
          <cell r="L197">
            <v>291.67803164669772</v>
          </cell>
          <cell r="M197">
            <v>0</v>
          </cell>
          <cell r="N197">
            <v>0.50587669518264222</v>
          </cell>
          <cell r="O197">
            <v>269</v>
          </cell>
          <cell r="P197">
            <v>0</v>
          </cell>
          <cell r="Q197">
            <v>198</v>
          </cell>
        </row>
        <row r="198">
          <cell r="A198" t="str">
            <v>Mallet</v>
          </cell>
          <cell r="B198">
            <v>13428</v>
          </cell>
          <cell r="C198" t="str">
            <v>P1</v>
          </cell>
          <cell r="D198">
            <v>13.046531872984266</v>
          </cell>
          <cell r="E198">
            <v>71.181111423568666</v>
          </cell>
          <cell r="F198">
            <v>44.854137697355533</v>
          </cell>
          <cell r="G198">
            <v>24.013228697134803</v>
          </cell>
          <cell r="H198">
            <v>0.47048563587752495</v>
          </cell>
          <cell r="I198">
            <v>6.4143824812681563E-2</v>
          </cell>
          <cell r="J198">
            <v>0.53462946069020656</v>
          </cell>
          <cell r="K198">
            <v>1</v>
          </cell>
          <cell r="L198">
            <v>768.30304338799829</v>
          </cell>
          <cell r="M198">
            <v>0</v>
          </cell>
          <cell r="N198">
            <v>0.53462946069020656</v>
          </cell>
          <cell r="O198">
            <v>212</v>
          </cell>
          <cell r="P198">
            <v>1</v>
          </cell>
          <cell r="Q198">
            <v>229</v>
          </cell>
        </row>
        <row r="199">
          <cell r="A199" t="str">
            <v>Mamborê</v>
          </cell>
          <cell r="B199">
            <v>13452</v>
          </cell>
          <cell r="C199" t="str">
            <v>P1</v>
          </cell>
          <cell r="D199">
            <v>13.046531872984266</v>
          </cell>
          <cell r="E199">
            <v>65.61246454576397</v>
          </cell>
          <cell r="F199">
            <v>42.763922917926358</v>
          </cell>
          <cell r="G199">
            <v>46.349354492887663</v>
          </cell>
          <cell r="H199">
            <v>0.53337512199045922</v>
          </cell>
          <cell r="I199">
            <v>6.6304210829030305E-2</v>
          </cell>
          <cell r="J199">
            <v>0.59967933281948949</v>
          </cell>
          <cell r="K199">
            <v>1</v>
          </cell>
          <cell r="L199">
            <v>900.33720591989515</v>
          </cell>
          <cell r="M199">
            <v>0</v>
          </cell>
          <cell r="N199">
            <v>0.59967933281948949</v>
          </cell>
          <cell r="O199">
            <v>118</v>
          </cell>
          <cell r="P199">
            <v>1</v>
          </cell>
          <cell r="Q199">
            <v>82</v>
          </cell>
        </row>
        <row r="200">
          <cell r="A200" t="str">
            <v>Mandaguaçu</v>
          </cell>
          <cell r="B200">
            <v>31457</v>
          </cell>
          <cell r="C200" t="str">
            <v>P2</v>
          </cell>
          <cell r="D200">
            <v>6.7442145063459806</v>
          </cell>
          <cell r="E200">
            <v>55.503748246834348</v>
          </cell>
          <cell r="F200">
            <v>54.843963167798655</v>
          </cell>
          <cell r="G200">
            <v>26.107007333483256</v>
          </cell>
          <cell r="H200">
            <v>0.43613094865686769</v>
          </cell>
          <cell r="I200">
            <v>0.1686672282582086</v>
          </cell>
          <cell r="J200">
            <v>0.60479817691507631</v>
          </cell>
          <cell r="K200">
            <v>1</v>
          </cell>
          <cell r="L200">
            <v>1872.7462935325898</v>
          </cell>
          <cell r="M200">
            <v>0</v>
          </cell>
          <cell r="N200">
            <v>0.60479817691507631</v>
          </cell>
          <cell r="O200">
            <v>110</v>
          </cell>
          <cell r="P200">
            <v>1</v>
          </cell>
          <cell r="Q200">
            <v>310</v>
          </cell>
        </row>
        <row r="201">
          <cell r="A201" t="str">
            <v>Mandaguari</v>
          </cell>
          <cell r="B201">
            <v>36716</v>
          </cell>
          <cell r="C201" t="str">
            <v>P2</v>
          </cell>
          <cell r="D201">
            <v>6.7442145063459806</v>
          </cell>
          <cell r="E201">
            <v>56.101012414704073</v>
          </cell>
          <cell r="F201">
            <v>52.659257583208451</v>
          </cell>
          <cell r="G201">
            <v>16.601454103568489</v>
          </cell>
          <cell r="H201">
            <v>0.39612838123950711</v>
          </cell>
          <cell r="I201">
            <v>0.17585542173078711</v>
          </cell>
          <cell r="J201">
            <v>0.57198380297029416</v>
          </cell>
          <cell r="K201">
            <v>1</v>
          </cell>
          <cell r="L201">
            <v>1773.4667628092734</v>
          </cell>
          <cell r="M201">
            <v>0</v>
          </cell>
          <cell r="N201">
            <v>0.57198380297029416</v>
          </cell>
          <cell r="O201">
            <v>140</v>
          </cell>
          <cell r="P201">
            <v>1</v>
          </cell>
          <cell r="Q201">
            <v>369</v>
          </cell>
        </row>
        <row r="202">
          <cell r="A202" t="str">
            <v>Mandirituba</v>
          </cell>
          <cell r="B202">
            <v>27439</v>
          </cell>
          <cell r="C202" t="str">
            <v>P2</v>
          </cell>
          <cell r="D202">
            <v>6.7442145063459806</v>
          </cell>
          <cell r="E202">
            <v>68.404352643684547</v>
          </cell>
          <cell r="F202">
            <v>58.371651082436607</v>
          </cell>
          <cell r="G202">
            <v>36.812849011989798</v>
          </cell>
          <cell r="H202">
            <v>0.5376121087875706</v>
          </cell>
          <cell r="I202">
            <v>0.15456579953331412</v>
          </cell>
          <cell r="J202">
            <v>0.69217790832088477</v>
          </cell>
          <cell r="K202">
            <v>1</v>
          </cell>
          <cell r="L202">
            <v>2115.5036480790905</v>
          </cell>
          <cell r="M202">
            <v>0</v>
          </cell>
          <cell r="N202">
            <v>0.69217790832088477</v>
          </cell>
          <cell r="O202">
            <v>34</v>
          </cell>
          <cell r="P202">
            <v>1</v>
          </cell>
          <cell r="Q202">
            <v>75</v>
          </cell>
        </row>
        <row r="203">
          <cell r="A203" t="str">
            <v>Manfrinópolis</v>
          </cell>
          <cell r="B203">
            <v>2770</v>
          </cell>
          <cell r="C203" t="str">
            <v>P1</v>
          </cell>
          <cell r="D203">
            <v>13.046531872984266</v>
          </cell>
          <cell r="E203">
            <v>75.619706231462402</v>
          </cell>
          <cell r="F203">
            <v>50.037448426227819</v>
          </cell>
          <cell r="G203">
            <v>30.331396075873638</v>
          </cell>
          <cell r="H203">
            <v>0.52387930608179978</v>
          </cell>
          <cell r="I203">
            <v>1.4337107199405247E-2</v>
          </cell>
          <cell r="J203">
            <v>0.53821641328120506</v>
          </cell>
          <cell r="K203">
            <v>1</v>
          </cell>
          <cell r="L203">
            <v>191.21594671985693</v>
          </cell>
          <cell r="M203">
            <v>0</v>
          </cell>
          <cell r="N203">
            <v>0.53821641328120506</v>
          </cell>
          <cell r="O203">
            <v>203</v>
          </cell>
          <cell r="P203">
            <v>1</v>
          </cell>
          <cell r="Q203">
            <v>93</v>
          </cell>
        </row>
        <row r="204">
          <cell r="A204" t="str">
            <v>Mangueirinha</v>
          </cell>
          <cell r="B204">
            <v>16603</v>
          </cell>
          <cell r="C204" t="str">
            <v>P1</v>
          </cell>
          <cell r="D204">
            <v>13.046531872984266</v>
          </cell>
          <cell r="E204">
            <v>62.392407715060187</v>
          </cell>
          <cell r="F204">
            <v>70.820812971107898</v>
          </cell>
          <cell r="G204">
            <v>32.989279773117154</v>
          </cell>
          <cell r="H204">
            <v>0.52316837589492515</v>
          </cell>
          <cell r="I204">
            <v>9.5842579634380295E-2</v>
          </cell>
          <cell r="J204">
            <v>0.61901095552930541</v>
          </cell>
          <cell r="K204">
            <v>1</v>
          </cell>
          <cell r="L204">
            <v>1276.5308371836175</v>
          </cell>
          <cell r="M204">
            <v>0</v>
          </cell>
          <cell r="N204">
            <v>0.61901095552930541</v>
          </cell>
          <cell r="O204">
            <v>89</v>
          </cell>
          <cell r="P204">
            <v>1</v>
          </cell>
          <cell r="Q204">
            <v>96</v>
          </cell>
        </row>
        <row r="205">
          <cell r="A205" t="str">
            <v>Manoel Ribas</v>
          </cell>
          <cell r="B205">
            <v>14240</v>
          </cell>
          <cell r="C205" t="str">
            <v>P1</v>
          </cell>
          <cell r="D205">
            <v>13.046531872984266</v>
          </cell>
          <cell r="E205">
            <v>64.682172919242817</v>
          </cell>
          <cell r="F205">
            <v>56.869163875245043</v>
          </cell>
          <cell r="G205">
            <v>36.338097800807141</v>
          </cell>
          <cell r="H205">
            <v>0.51781941063069004</v>
          </cell>
          <cell r="I205">
            <v>8.378369768857917E-2</v>
          </cell>
          <cell r="J205">
            <v>0.60160310831926922</v>
          </cell>
          <cell r="K205">
            <v>1</v>
          </cell>
          <cell r="L205">
            <v>1104.5088028752618</v>
          </cell>
          <cell r="M205">
            <v>0</v>
          </cell>
          <cell r="N205">
            <v>0.60160310831926922</v>
          </cell>
          <cell r="O205">
            <v>113</v>
          </cell>
          <cell r="P205">
            <v>1</v>
          </cell>
          <cell r="Q205">
            <v>108</v>
          </cell>
        </row>
        <row r="206">
          <cell r="A206" t="str">
            <v>Marechal Cândido Rondon</v>
          </cell>
          <cell r="B206">
            <v>55836</v>
          </cell>
          <cell r="C206" t="str">
            <v>P3</v>
          </cell>
          <cell r="D206">
            <v>4.2716330707619763</v>
          </cell>
          <cell r="E206">
            <v>56.450813126160426</v>
          </cell>
          <cell r="F206">
            <v>52.35227389948917</v>
          </cell>
          <cell r="G206">
            <v>15.869054347141208</v>
          </cell>
          <cell r="H206">
            <v>0.39398401769218494</v>
          </cell>
          <cell r="I206">
            <v>0.27279783424621767</v>
          </cell>
          <cell r="J206">
            <v>0.66678185193840256</v>
          </cell>
          <cell r="K206">
            <v>1</v>
          </cell>
          <cell r="L206">
            <v>2736.2190028722243</v>
          </cell>
          <cell r="M206">
            <v>0</v>
          </cell>
          <cell r="N206">
            <v>0.66678185193840256</v>
          </cell>
          <cell r="O206">
            <v>42</v>
          </cell>
          <cell r="P206">
            <v>1</v>
          </cell>
          <cell r="Q206">
            <v>370</v>
          </cell>
        </row>
        <row r="207">
          <cell r="A207" t="str">
            <v>Maria Helena</v>
          </cell>
          <cell r="B207">
            <v>5865</v>
          </cell>
          <cell r="C207" t="str">
            <v>P1</v>
          </cell>
          <cell r="D207">
            <v>13.046531872984266</v>
          </cell>
          <cell r="E207">
            <v>60.616621993556834</v>
          </cell>
          <cell r="F207">
            <v>42.011199592272582</v>
          </cell>
          <cell r="G207">
            <v>37.243210320946432</v>
          </cell>
          <cell r="H207">
            <v>0.47546172844255818</v>
          </cell>
          <cell r="I207">
            <v>2.7142304314490488E-2</v>
          </cell>
          <cell r="J207">
            <v>0.50260403275704868</v>
          </cell>
          <cell r="K207">
            <v>0</v>
          </cell>
          <cell r="L207">
            <v>328.54405435380772</v>
          </cell>
          <cell r="M207">
            <v>0</v>
          </cell>
          <cell r="N207">
            <v>0.50260403275704868</v>
          </cell>
          <cell r="O207">
            <v>274</v>
          </cell>
          <cell r="P207">
            <v>0</v>
          </cell>
          <cell r="Q207">
            <v>217</v>
          </cell>
        </row>
        <row r="208">
          <cell r="A208" t="str">
            <v>Marialva</v>
          </cell>
          <cell r="B208">
            <v>41851</v>
          </cell>
          <cell r="C208" t="str">
            <v>P3</v>
          </cell>
          <cell r="D208">
            <v>4.2716330707619763</v>
          </cell>
          <cell r="E208">
            <v>57.085918027208578</v>
          </cell>
          <cell r="F208">
            <v>58.873722858606072</v>
          </cell>
          <cell r="G208">
            <v>24.838867399214617</v>
          </cell>
          <cell r="H208">
            <v>0.44544658742290494</v>
          </cell>
          <cell r="I208">
            <v>0.21391749536427668</v>
          </cell>
          <cell r="J208">
            <v>0.65936408278718162</v>
          </cell>
          <cell r="K208">
            <v>1</v>
          </cell>
          <cell r="L208">
            <v>2425.9021151051402</v>
          </cell>
          <cell r="M208">
            <v>0</v>
          </cell>
          <cell r="N208">
            <v>0.65936408278718162</v>
          </cell>
          <cell r="O208">
            <v>52</v>
          </cell>
          <cell r="P208">
            <v>1</v>
          </cell>
          <cell r="Q208">
            <v>290</v>
          </cell>
        </row>
        <row r="209">
          <cell r="A209" t="str">
            <v>Marilândia do Sul</v>
          </cell>
          <cell r="B209">
            <v>8677</v>
          </cell>
          <cell r="C209" t="str">
            <v>P1</v>
          </cell>
          <cell r="D209">
            <v>13.046531872984266</v>
          </cell>
          <cell r="E209">
            <v>69.698301003619804</v>
          </cell>
          <cell r="F209">
            <v>51.796677528865168</v>
          </cell>
          <cell r="G209">
            <v>39.650404545173465</v>
          </cell>
          <cell r="H209">
            <v>0.54098817725290338</v>
          </cell>
          <cell r="I209">
            <v>4.5721624055089616E-2</v>
          </cell>
          <cell r="J209">
            <v>0.586709801307993</v>
          </cell>
          <cell r="K209">
            <v>1</v>
          </cell>
          <cell r="L209">
            <v>629.7102383223795</v>
          </cell>
          <cell r="M209">
            <v>0</v>
          </cell>
          <cell r="N209">
            <v>0.586709801307993</v>
          </cell>
          <cell r="O209">
            <v>127</v>
          </cell>
          <cell r="P209">
            <v>1</v>
          </cell>
          <cell r="Q209">
            <v>70</v>
          </cell>
        </row>
        <row r="210">
          <cell r="A210" t="str">
            <v>Marilena</v>
          </cell>
          <cell r="B210">
            <v>7253</v>
          </cell>
          <cell r="C210" t="str">
            <v>P1</v>
          </cell>
          <cell r="D210">
            <v>13.046531872984266</v>
          </cell>
          <cell r="E210">
            <v>59.116338705912611</v>
          </cell>
          <cell r="F210">
            <v>55.905211656321285</v>
          </cell>
          <cell r="G210">
            <v>35.076908971542167</v>
          </cell>
          <cell r="H210">
            <v>0.48858341402246169</v>
          </cell>
          <cell r="I210">
            <v>3.7590716684468013E-2</v>
          </cell>
          <cell r="J210">
            <v>0.52617413070692975</v>
          </cell>
          <cell r="K210">
            <v>1</v>
          </cell>
          <cell r="L210">
            <v>467.57432721949584</v>
          </cell>
          <cell r="M210">
            <v>0</v>
          </cell>
          <cell r="N210">
            <v>0.52617413070692975</v>
          </cell>
          <cell r="O210">
            <v>230</v>
          </cell>
          <cell r="P210">
            <v>0</v>
          </cell>
          <cell r="Q210">
            <v>178</v>
          </cell>
        </row>
        <row r="211">
          <cell r="A211" t="str">
            <v>Mariluz</v>
          </cell>
          <cell r="B211">
            <v>9847</v>
          </cell>
          <cell r="C211" t="str">
            <v>P1</v>
          </cell>
          <cell r="D211">
            <v>13.046531872984266</v>
          </cell>
          <cell r="E211">
            <v>76.548348985536279</v>
          </cell>
          <cell r="F211">
            <v>56.17465364935498</v>
          </cell>
          <cell r="G211">
            <v>41.660348207586708</v>
          </cell>
          <cell r="H211">
            <v>0.58518409607120192</v>
          </cell>
          <cell r="I211">
            <v>5.444172761198815E-2</v>
          </cell>
          <cell r="J211">
            <v>0.6396258236831901</v>
          </cell>
          <cell r="K211">
            <v>1</v>
          </cell>
          <cell r="L211">
            <v>811.06515715468583</v>
          </cell>
          <cell r="M211">
            <v>0</v>
          </cell>
          <cell r="N211">
            <v>0.6396258236831901</v>
          </cell>
          <cell r="O211">
            <v>69</v>
          </cell>
          <cell r="P211">
            <v>1</v>
          </cell>
          <cell r="Q211">
            <v>31</v>
          </cell>
        </row>
        <row r="212">
          <cell r="A212" t="str">
            <v>Maringá</v>
          </cell>
          <cell r="B212">
            <v>409657</v>
          </cell>
          <cell r="C212" t="str">
            <v>M2</v>
          </cell>
          <cell r="D212">
            <v>10.261794297910743</v>
          </cell>
          <cell r="E212">
            <v>56.620711735025488</v>
          </cell>
          <cell r="F212">
            <v>46.206596356238371</v>
          </cell>
          <cell r="G212">
            <v>15.041401104720373</v>
          </cell>
          <cell r="H212">
            <v>0.3790616440714602</v>
          </cell>
          <cell r="I212">
            <v>1.789035300011264</v>
          </cell>
          <cell r="J212">
            <v>2.1680969440827242</v>
          </cell>
          <cell r="K212">
            <v>3</v>
          </cell>
          <cell r="L212">
            <v>17264.741640878725</v>
          </cell>
          <cell r="M212">
            <v>2</v>
          </cell>
          <cell r="N212">
            <v>0.16809694408272424</v>
          </cell>
          <cell r="O212">
            <v>391</v>
          </cell>
          <cell r="P212">
            <v>2</v>
          </cell>
          <cell r="Q212">
            <v>387</v>
          </cell>
        </row>
        <row r="213">
          <cell r="A213" t="str">
            <v>Mariópolis</v>
          </cell>
          <cell r="B213">
            <v>6371</v>
          </cell>
          <cell r="C213" t="str">
            <v>P1</v>
          </cell>
          <cell r="D213">
            <v>13.046531872984266</v>
          </cell>
          <cell r="E213">
            <v>48.347475798269471</v>
          </cell>
          <cell r="F213">
            <v>58.143752155329501</v>
          </cell>
          <cell r="G213">
            <v>33.464706434691344</v>
          </cell>
          <cell r="H213">
            <v>0.44353623324250224</v>
          </cell>
          <cell r="I213">
            <v>3.2562909228238228E-2</v>
          </cell>
          <cell r="J213">
            <v>0.47609914247074048</v>
          </cell>
          <cell r="K213">
            <v>0</v>
          </cell>
          <cell r="L213">
            <v>367.69153735803434</v>
          </cell>
          <cell r="M213">
            <v>0</v>
          </cell>
          <cell r="N213">
            <v>0.47609914247074048</v>
          </cell>
          <cell r="O213">
            <v>314</v>
          </cell>
          <cell r="P213">
            <v>0</v>
          </cell>
          <cell r="Q213">
            <v>298</v>
          </cell>
        </row>
        <row r="214">
          <cell r="A214" t="str">
            <v>Maripá</v>
          </cell>
          <cell r="B214">
            <v>6555</v>
          </cell>
          <cell r="C214" t="str">
            <v>P1</v>
          </cell>
          <cell r="D214">
            <v>13.046531872984266</v>
          </cell>
          <cell r="E214">
            <v>54.647347969821524</v>
          </cell>
          <cell r="F214">
            <v>56.375798436166612</v>
          </cell>
          <cell r="G214">
            <v>22.538748864178476</v>
          </cell>
          <cell r="H214">
            <v>0.42149598420833323</v>
          </cell>
          <cell r="I214">
            <v>3.7983514141985961E-2</v>
          </cell>
          <cell r="J214">
            <v>0.4594794983503192</v>
          </cell>
          <cell r="K214">
            <v>0</v>
          </cell>
          <cell r="L214">
            <v>407.58661672945823</v>
          </cell>
          <cell r="M214">
            <v>0</v>
          </cell>
          <cell r="N214">
            <v>0.4594794983503192</v>
          </cell>
          <cell r="O214">
            <v>336</v>
          </cell>
          <cell r="P214">
            <v>0</v>
          </cell>
          <cell r="Q214">
            <v>337</v>
          </cell>
        </row>
        <row r="215">
          <cell r="A215" t="str">
            <v>Marmeleiro</v>
          </cell>
          <cell r="B215">
            <v>15901</v>
          </cell>
          <cell r="C215" t="str">
            <v>P1</v>
          </cell>
          <cell r="D215">
            <v>13.046531872984266</v>
          </cell>
          <cell r="E215">
            <v>63.812987985856239</v>
          </cell>
          <cell r="F215">
            <v>51.937347905142438</v>
          </cell>
          <cell r="G215">
            <v>30.964818621020243</v>
          </cell>
          <cell r="H215">
            <v>0.4829859222377908</v>
          </cell>
          <cell r="I215">
            <v>8.1426912943471458E-2</v>
          </cell>
          <cell r="J215">
            <v>0.56441283518126228</v>
          </cell>
          <cell r="K215">
            <v>1</v>
          </cell>
          <cell r="L215">
            <v>1001.2298167989403</v>
          </cell>
          <cell r="M215">
            <v>0</v>
          </cell>
          <cell r="N215">
            <v>0.56441283518126228</v>
          </cell>
          <cell r="O215">
            <v>154</v>
          </cell>
          <cell r="P215">
            <v>1</v>
          </cell>
          <cell r="Q215">
            <v>196</v>
          </cell>
        </row>
        <row r="216">
          <cell r="A216" t="str">
            <v>Marquinho</v>
          </cell>
          <cell r="B216">
            <v>4504</v>
          </cell>
          <cell r="C216" t="str">
            <v>P1</v>
          </cell>
          <cell r="D216">
            <v>13.046531872984266</v>
          </cell>
          <cell r="E216">
            <v>63.241283650991321</v>
          </cell>
          <cell r="F216">
            <v>48.548924703174656</v>
          </cell>
          <cell r="G216">
            <v>40.663576621628145</v>
          </cell>
          <cell r="H216">
            <v>0.51271729049682724</v>
          </cell>
          <cell r="I216">
            <v>2.5492554992915088E-2</v>
          </cell>
          <cell r="J216">
            <v>0.53820984548974238</v>
          </cell>
          <cell r="K216">
            <v>1</v>
          </cell>
          <cell r="L216">
            <v>332.75352153244086</v>
          </cell>
          <cell r="M216">
            <v>0</v>
          </cell>
          <cell r="N216">
            <v>0.53820984548974238</v>
          </cell>
          <cell r="O216">
            <v>204</v>
          </cell>
          <cell r="P216">
            <v>1</v>
          </cell>
          <cell r="Q216">
            <v>121</v>
          </cell>
        </row>
        <row r="217">
          <cell r="A217" t="str">
            <v>Marumbi</v>
          </cell>
          <cell r="B217">
            <v>4699</v>
          </cell>
          <cell r="C217" t="str">
            <v>P1</v>
          </cell>
          <cell r="D217">
            <v>13.046531872984266</v>
          </cell>
          <cell r="E217">
            <v>56.992947339570307</v>
          </cell>
          <cell r="F217">
            <v>61.336088059523263</v>
          </cell>
          <cell r="G217">
            <v>34.014382144919118</v>
          </cell>
          <cell r="H217">
            <v>0.48670149405700419</v>
          </cell>
          <cell r="I217">
            <v>2.3450008213821736E-2</v>
          </cell>
          <cell r="J217">
            <v>0.51015150227082595</v>
          </cell>
          <cell r="K217">
            <v>0</v>
          </cell>
          <cell r="L217">
            <v>290.56079195203148</v>
          </cell>
          <cell r="M217">
            <v>0</v>
          </cell>
          <cell r="N217">
            <v>0.51015150227082595</v>
          </cell>
          <cell r="O217">
            <v>263</v>
          </cell>
          <cell r="P217">
            <v>0</v>
          </cell>
          <cell r="Q217">
            <v>184</v>
          </cell>
        </row>
        <row r="218">
          <cell r="A218" t="str">
            <v>Matelândia</v>
          </cell>
          <cell r="B218">
            <v>18450</v>
          </cell>
          <cell r="C218" t="str">
            <v>P1</v>
          </cell>
          <cell r="D218">
            <v>13.046531872984266</v>
          </cell>
          <cell r="E218">
            <v>52.321497887953797</v>
          </cell>
          <cell r="F218">
            <v>53.65704504691314</v>
          </cell>
          <cell r="G218">
            <v>13.811387841625759</v>
          </cell>
          <cell r="H218">
            <v>0.37184563301214452</v>
          </cell>
          <cell r="I218">
            <v>9.9220637769034684E-2</v>
          </cell>
          <cell r="J218">
            <v>0.47106627078117919</v>
          </cell>
          <cell r="K218">
            <v>1</v>
          </cell>
          <cell r="L218">
            <v>939.282068988677</v>
          </cell>
          <cell r="M218">
            <v>0</v>
          </cell>
          <cell r="N218">
            <v>0.47106627078117919</v>
          </cell>
          <cell r="O218">
            <v>317</v>
          </cell>
          <cell r="P218">
            <v>0</v>
          </cell>
          <cell r="Q218">
            <v>391</v>
          </cell>
        </row>
        <row r="219">
          <cell r="A219" t="str">
            <v>Matinhos</v>
          </cell>
          <cell r="B219">
            <v>39259</v>
          </cell>
          <cell r="C219" t="str">
            <v>P2</v>
          </cell>
          <cell r="D219">
            <v>6.7442145063459806</v>
          </cell>
          <cell r="E219">
            <v>57.527726905797394</v>
          </cell>
          <cell r="F219">
            <v>58.72207609414238</v>
          </cell>
          <cell r="G219">
            <v>32.855882127456354</v>
          </cell>
          <cell r="H219">
            <v>0.47897858832129975</v>
          </cell>
          <cell r="I219">
            <v>0.20940032460282021</v>
          </cell>
          <cell r="J219">
            <v>0.68837891292412001</v>
          </cell>
          <cell r="K219">
            <v>1</v>
          </cell>
          <cell r="L219">
            <v>2553.4348543408491</v>
          </cell>
          <cell r="M219">
            <v>0</v>
          </cell>
          <cell r="N219">
            <v>0.68837891292412001</v>
          </cell>
          <cell r="O219">
            <v>36</v>
          </cell>
          <cell r="P219">
            <v>1</v>
          </cell>
          <cell r="Q219">
            <v>206</v>
          </cell>
        </row>
        <row r="220">
          <cell r="A220" t="str">
            <v>Mato Rico</v>
          </cell>
          <cell r="B220">
            <v>3267</v>
          </cell>
          <cell r="C220" t="str">
            <v>P1</v>
          </cell>
          <cell r="D220">
            <v>13.046531872984266</v>
          </cell>
          <cell r="E220">
            <v>64.453990398448553</v>
          </cell>
          <cell r="F220">
            <v>71.655043214477658</v>
          </cell>
          <cell r="G220">
            <v>47.211582302627619</v>
          </cell>
          <cell r="H220">
            <v>0.5899723772332599</v>
          </cell>
          <cell r="I220">
            <v>1.547621982620731E-2</v>
          </cell>
          <cell r="J220">
            <v>0.60544859705946719</v>
          </cell>
          <cell r="K220">
            <v>1</v>
          </cell>
          <cell r="L220">
            <v>232.44911662990441</v>
          </cell>
          <cell r="M220">
            <v>0</v>
          </cell>
          <cell r="N220">
            <v>0.60544859705946719</v>
          </cell>
          <cell r="O220">
            <v>108</v>
          </cell>
          <cell r="P220">
            <v>1</v>
          </cell>
          <cell r="Q220">
            <v>26</v>
          </cell>
        </row>
        <row r="221">
          <cell r="A221" t="str">
            <v>Mauá da Serra</v>
          </cell>
          <cell r="B221">
            <v>9383</v>
          </cell>
          <cell r="C221" t="str">
            <v>P1</v>
          </cell>
          <cell r="D221">
            <v>13.046531872984266</v>
          </cell>
          <cell r="E221">
            <v>59.844440397045872</v>
          </cell>
          <cell r="F221">
            <v>54.838525817288719</v>
          </cell>
          <cell r="G221">
            <v>38.727367278491791</v>
          </cell>
          <cell r="H221">
            <v>0.50396428233672808</v>
          </cell>
          <cell r="I221">
            <v>5.868394015318204E-2</v>
          </cell>
          <cell r="J221">
            <v>0.56264822248991009</v>
          </cell>
          <cell r="K221">
            <v>1</v>
          </cell>
          <cell r="L221">
            <v>752.9226378110717</v>
          </cell>
          <cell r="M221">
            <v>0</v>
          </cell>
          <cell r="N221">
            <v>0.56264822248991009</v>
          </cell>
          <cell r="O221">
            <v>158</v>
          </cell>
          <cell r="P221">
            <v>1</v>
          </cell>
          <cell r="Q221">
            <v>141</v>
          </cell>
        </row>
        <row r="222">
          <cell r="A222" t="str">
            <v>Medianeira</v>
          </cell>
          <cell r="B222">
            <v>54369</v>
          </cell>
          <cell r="C222" t="str">
            <v>P3</v>
          </cell>
          <cell r="D222">
            <v>4.2716330707619763</v>
          </cell>
          <cell r="E222">
            <v>54.135464363565291</v>
          </cell>
          <cell r="F222">
            <v>58.266352265962134</v>
          </cell>
          <cell r="G222">
            <v>12.419917758622518</v>
          </cell>
          <cell r="H222">
            <v>0.38275423302067552</v>
          </cell>
          <cell r="I222">
            <v>0.27185512034817455</v>
          </cell>
          <cell r="J222">
            <v>0.65460935336885007</v>
          </cell>
          <cell r="K222">
            <v>1</v>
          </cell>
          <cell r="L222">
            <v>2649.0420467360955</v>
          </cell>
          <cell r="M222">
            <v>0</v>
          </cell>
          <cell r="N222">
            <v>0.65460935336885007</v>
          </cell>
          <cell r="O222">
            <v>57</v>
          </cell>
          <cell r="P222">
            <v>1</v>
          </cell>
          <cell r="Q222">
            <v>385</v>
          </cell>
        </row>
        <row r="223">
          <cell r="A223" t="str">
            <v>Mercedes</v>
          </cell>
          <cell r="B223">
            <v>5931</v>
          </cell>
          <cell r="C223" t="str">
            <v>P1</v>
          </cell>
          <cell r="D223">
            <v>13.046531872984266</v>
          </cell>
          <cell r="E223">
            <v>57.886527504784091</v>
          </cell>
          <cell r="F223">
            <v>44.461813504782619</v>
          </cell>
          <cell r="G223">
            <v>21.166448390512894</v>
          </cell>
          <cell r="H223">
            <v>0.40513553059075319</v>
          </cell>
          <cell r="I223">
            <v>3.209155227921668E-2</v>
          </cell>
          <cell r="J223">
            <v>0.43722708286996986</v>
          </cell>
          <cell r="K223">
            <v>0</v>
          </cell>
          <cell r="L223">
            <v>330.99572849264536</v>
          </cell>
          <cell r="M223">
            <v>0</v>
          </cell>
          <cell r="N223">
            <v>0.43722708286996986</v>
          </cell>
          <cell r="O223">
            <v>349</v>
          </cell>
          <cell r="P223">
            <v>0</v>
          </cell>
          <cell r="Q223">
            <v>360</v>
          </cell>
        </row>
        <row r="224">
          <cell r="A224" t="str">
            <v>Mirador</v>
          </cell>
          <cell r="B224">
            <v>2238</v>
          </cell>
          <cell r="C224" t="str">
            <v>P1</v>
          </cell>
          <cell r="D224">
            <v>13.046531872984266</v>
          </cell>
          <cell r="E224">
            <v>57.340630641880708</v>
          </cell>
          <cell r="F224">
            <v>50.852761542341682</v>
          </cell>
          <cell r="G224">
            <v>33.725040959000403</v>
          </cell>
          <cell r="H224">
            <v>0.46596820948820777</v>
          </cell>
          <cell r="I224">
            <v>1.2569518640574465E-2</v>
          </cell>
          <cell r="J224">
            <v>0.47853772812878226</v>
          </cell>
          <cell r="K224">
            <v>0</v>
          </cell>
          <cell r="L224">
            <v>149.10982703622648</v>
          </cell>
          <cell r="M224">
            <v>0</v>
          </cell>
          <cell r="N224">
            <v>0.47853772812878226</v>
          </cell>
          <cell r="O224">
            <v>308</v>
          </cell>
          <cell r="P224">
            <v>0</v>
          </cell>
          <cell r="Q224">
            <v>240</v>
          </cell>
        </row>
        <row r="225">
          <cell r="A225" t="str">
            <v>Miraselva</v>
          </cell>
          <cell r="B225">
            <v>1966</v>
          </cell>
          <cell r="C225" t="str">
            <v>P1</v>
          </cell>
          <cell r="D225">
            <v>13.046531872984266</v>
          </cell>
          <cell r="E225">
            <v>52.46817596253112</v>
          </cell>
          <cell r="F225">
            <v>28.926084863004778</v>
          </cell>
          <cell r="G225">
            <v>32.817012431839153</v>
          </cell>
          <cell r="H225">
            <v>0.39899292330349068</v>
          </cell>
          <cell r="I225">
            <v>8.9950617771611015E-3</v>
          </cell>
          <cell r="J225">
            <v>0.40798798508065176</v>
          </cell>
          <cell r="K225">
            <v>0</v>
          </cell>
          <cell r="L225">
            <v>91.369379436499358</v>
          </cell>
          <cell r="M225">
            <v>0</v>
          </cell>
          <cell r="N225">
            <v>0.40798798508065176</v>
          </cell>
          <cell r="O225">
            <v>371</v>
          </cell>
          <cell r="P225">
            <v>0</v>
          </cell>
          <cell r="Q225">
            <v>366</v>
          </cell>
        </row>
        <row r="226">
          <cell r="A226" t="str">
            <v>Missal</v>
          </cell>
          <cell r="B226">
            <v>11064</v>
          </cell>
          <cell r="C226" t="str">
            <v>P1</v>
          </cell>
          <cell r="D226">
            <v>13.046531872984266</v>
          </cell>
          <cell r="E226">
            <v>58.221860151181332</v>
          </cell>
          <cell r="F226">
            <v>48.102866585749666</v>
          </cell>
          <cell r="G226">
            <v>31.702136119903958</v>
          </cell>
          <cell r="H226">
            <v>0.45590171825584053</v>
          </cell>
          <cell r="I226">
            <v>5.3224055493682504E-2</v>
          </cell>
          <cell r="J226">
            <v>0.50912577374952306</v>
          </cell>
          <cell r="K226">
            <v>1</v>
          </cell>
          <cell r="L226">
            <v>617.74682823666387</v>
          </cell>
          <cell r="M226">
            <v>0</v>
          </cell>
          <cell r="N226">
            <v>0.50912577374952306</v>
          </cell>
          <cell r="O226">
            <v>265</v>
          </cell>
          <cell r="P226">
            <v>0</v>
          </cell>
          <cell r="Q226">
            <v>265</v>
          </cell>
        </row>
        <row r="227">
          <cell r="A227" t="str">
            <v>Moreira Sales</v>
          </cell>
          <cell r="B227">
            <v>11175</v>
          </cell>
          <cell r="C227" t="str">
            <v>P1</v>
          </cell>
          <cell r="D227">
            <v>13.046531872984266</v>
          </cell>
          <cell r="E227">
            <v>63.138540918506877</v>
          </cell>
          <cell r="F227">
            <v>51.655750656421304</v>
          </cell>
          <cell r="G227">
            <v>40.418308857972299</v>
          </cell>
          <cell r="H227">
            <v>0.51753890041875938</v>
          </cell>
          <cell r="I227">
            <v>5.2006383375376851E-2</v>
          </cell>
          <cell r="J227">
            <v>0.56954528379413627</v>
          </cell>
          <cell r="K227">
            <v>1</v>
          </cell>
          <cell r="L227">
            <v>685.22150415443741</v>
          </cell>
          <cell r="M227">
            <v>0</v>
          </cell>
          <cell r="N227">
            <v>0.56954528379413627</v>
          </cell>
          <cell r="O227">
            <v>142</v>
          </cell>
          <cell r="P227">
            <v>1</v>
          </cell>
          <cell r="Q227">
            <v>109</v>
          </cell>
        </row>
        <row r="228">
          <cell r="A228" t="str">
            <v>Morretes</v>
          </cell>
          <cell r="B228">
            <v>18309</v>
          </cell>
          <cell r="C228" t="str">
            <v>P1</v>
          </cell>
          <cell r="D228">
            <v>13.046531872984266</v>
          </cell>
          <cell r="E228">
            <v>65.673779851638443</v>
          </cell>
          <cell r="F228">
            <v>49.009647915015563</v>
          </cell>
          <cell r="G228">
            <v>40.735632862932782</v>
          </cell>
          <cell r="H228">
            <v>0.52365694668831597</v>
          </cell>
          <cell r="I228">
            <v>9.7924406159225444E-2</v>
          </cell>
          <cell r="J228">
            <v>0.62158135284754146</v>
          </cell>
          <cell r="K228">
            <v>1</v>
          </cell>
          <cell r="L228">
            <v>1305.4767680939717</v>
          </cell>
          <cell r="M228">
            <v>0</v>
          </cell>
          <cell r="N228">
            <v>0.62158135284754146</v>
          </cell>
          <cell r="O228">
            <v>87</v>
          </cell>
          <cell r="P228">
            <v>1</v>
          </cell>
          <cell r="Q228">
            <v>94</v>
          </cell>
        </row>
        <row r="229">
          <cell r="A229" t="str">
            <v>Munhoz de Melo</v>
          </cell>
          <cell r="B229">
            <v>3951</v>
          </cell>
          <cell r="C229" t="str">
            <v>P1</v>
          </cell>
          <cell r="D229">
            <v>13.046531872984266</v>
          </cell>
          <cell r="E229">
            <v>56.366317136423405</v>
          </cell>
          <cell r="F229">
            <v>44.281030613718968</v>
          </cell>
          <cell r="G229">
            <v>36.545332952197278</v>
          </cell>
          <cell r="H229">
            <v>0.46020866158192064</v>
          </cell>
          <cell r="I229">
            <v>1.8814998215109902E-2</v>
          </cell>
          <cell r="J229">
            <v>0.47902365979703054</v>
          </cell>
          <cell r="K229">
            <v>0</v>
          </cell>
          <cell r="L229">
            <v>220.43994889773998</v>
          </cell>
          <cell r="M229">
            <v>0</v>
          </cell>
          <cell r="N229">
            <v>0.47902365979703054</v>
          </cell>
          <cell r="O229">
            <v>306</v>
          </cell>
          <cell r="P229">
            <v>0</v>
          </cell>
          <cell r="Q229">
            <v>250</v>
          </cell>
        </row>
        <row r="230">
          <cell r="A230" t="str">
            <v>Nossa Senhora das Graças</v>
          </cell>
          <cell r="B230">
            <v>3669</v>
          </cell>
          <cell r="C230" t="str">
            <v>P1</v>
          </cell>
          <cell r="D230">
            <v>13.046531872984266</v>
          </cell>
          <cell r="E230">
            <v>64.694136333585504</v>
          </cell>
          <cell r="F230">
            <v>52.183280449874708</v>
          </cell>
          <cell r="G230">
            <v>34.000416925137728</v>
          </cell>
          <cell r="H230">
            <v>0.49914477393464229</v>
          </cell>
          <cell r="I230">
            <v>1.8540039994847334E-2</v>
          </cell>
          <cell r="J230">
            <v>0.51768481392948962</v>
          </cell>
          <cell r="K230">
            <v>1</v>
          </cell>
          <cell r="L230">
            <v>235.59633329715118</v>
          </cell>
          <cell r="M230">
            <v>0</v>
          </cell>
          <cell r="N230">
            <v>0.51768481392948962</v>
          </cell>
          <cell r="O230">
            <v>247</v>
          </cell>
          <cell r="P230">
            <v>0</v>
          </cell>
          <cell r="Q230">
            <v>154</v>
          </cell>
        </row>
        <row r="231">
          <cell r="A231" t="str">
            <v>Nova Aliança do Ivaí</v>
          </cell>
          <cell r="B231">
            <v>1323</v>
          </cell>
          <cell r="C231" t="str">
            <v>P1</v>
          </cell>
          <cell r="D231">
            <v>13.046531872984266</v>
          </cell>
          <cell r="E231">
            <v>46.445909242643417</v>
          </cell>
          <cell r="F231">
            <v>47.370199174019064</v>
          </cell>
          <cell r="G231">
            <v>34.162116240825839</v>
          </cell>
          <cell r="H231">
            <v>0.41717250028191516</v>
          </cell>
          <cell r="I231">
            <v>6.9132352523159557E-3</v>
          </cell>
          <cell r="J231">
            <v>0.42408573553423112</v>
          </cell>
          <cell r="K231">
            <v>0</v>
          </cell>
          <cell r="L231">
            <v>73.422360049617069</v>
          </cell>
          <cell r="M231">
            <v>0</v>
          </cell>
          <cell r="N231">
            <v>0.42408573553423112</v>
          </cell>
          <cell r="O231">
            <v>360</v>
          </cell>
          <cell r="P231">
            <v>0</v>
          </cell>
          <cell r="Q231">
            <v>343</v>
          </cell>
        </row>
        <row r="232">
          <cell r="A232" t="str">
            <v>Nova América da Colina</v>
          </cell>
          <cell r="B232">
            <v>3280</v>
          </cell>
          <cell r="C232" t="str">
            <v>P1</v>
          </cell>
          <cell r="D232">
            <v>13.046531872984266</v>
          </cell>
          <cell r="E232">
            <v>42.407857061004734</v>
          </cell>
          <cell r="F232">
            <v>47.699741160121583</v>
          </cell>
          <cell r="G232">
            <v>37.14199205352341</v>
          </cell>
          <cell r="H232">
            <v>0.41359887877835577</v>
          </cell>
          <cell r="I232">
            <v>1.5790457792221671E-2</v>
          </cell>
          <cell r="J232">
            <v>0.42938933657057743</v>
          </cell>
          <cell r="K232">
            <v>0</v>
          </cell>
          <cell r="L232">
            <v>166.26674926889902</v>
          </cell>
          <cell r="M232">
            <v>0</v>
          </cell>
          <cell r="N232">
            <v>0.42938933657057743</v>
          </cell>
          <cell r="O232">
            <v>356</v>
          </cell>
          <cell r="P232">
            <v>0</v>
          </cell>
          <cell r="Q232">
            <v>349</v>
          </cell>
        </row>
        <row r="233">
          <cell r="A233" t="str">
            <v>Nova Aurora</v>
          </cell>
          <cell r="B233">
            <v>13765</v>
          </cell>
          <cell r="C233" t="str">
            <v>P1</v>
          </cell>
          <cell r="D233">
            <v>13.046531872984266</v>
          </cell>
          <cell r="E233">
            <v>65.309601077076579</v>
          </cell>
          <cell r="F233">
            <v>54.246829050249858</v>
          </cell>
          <cell r="G233">
            <v>24.668560527173792</v>
          </cell>
          <cell r="H233">
            <v>0.4684063045175012</v>
          </cell>
          <cell r="I233">
            <v>7.2667529640821127E-2</v>
          </cell>
          <cell r="J233">
            <v>0.54107383415832233</v>
          </cell>
          <cell r="K233">
            <v>1</v>
          </cell>
          <cell r="L233">
            <v>866.55166335737727</v>
          </cell>
          <cell r="M233">
            <v>0</v>
          </cell>
          <cell r="N233">
            <v>0.54107383415832233</v>
          </cell>
          <cell r="O233">
            <v>196</v>
          </cell>
          <cell r="P233">
            <v>1</v>
          </cell>
          <cell r="Q233">
            <v>235</v>
          </cell>
        </row>
        <row r="234">
          <cell r="A234" t="str">
            <v>Nova Cantu</v>
          </cell>
          <cell r="B234">
            <v>6790</v>
          </cell>
          <cell r="C234" t="str">
            <v>P1</v>
          </cell>
          <cell r="D234">
            <v>13.046531872984266</v>
          </cell>
          <cell r="E234">
            <v>56.968314433277797</v>
          </cell>
          <cell r="F234">
            <v>57.842862577069944</v>
          </cell>
          <cell r="G234">
            <v>42.885936784583485</v>
          </cell>
          <cell r="H234">
            <v>0.51510273002558504</v>
          </cell>
          <cell r="I234">
            <v>3.4526896515827979E-2</v>
          </cell>
          <cell r="J234">
            <v>0.54962962654141301</v>
          </cell>
          <cell r="K234">
            <v>1</v>
          </cell>
          <cell r="L234">
            <v>452.77529969248923</v>
          </cell>
          <cell r="M234">
            <v>0</v>
          </cell>
          <cell r="N234">
            <v>0.54962962654141301</v>
          </cell>
          <cell r="O234">
            <v>182</v>
          </cell>
          <cell r="P234">
            <v>1</v>
          </cell>
          <cell r="Q234">
            <v>113</v>
          </cell>
        </row>
        <row r="235">
          <cell r="A235" t="str">
            <v>Nova Esperança</v>
          </cell>
          <cell r="B235">
            <v>26585</v>
          </cell>
          <cell r="C235" t="str">
            <v>P2</v>
          </cell>
          <cell r="D235">
            <v>6.7442145063459806</v>
          </cell>
          <cell r="E235">
            <v>59.69192249969047</v>
          </cell>
          <cell r="F235">
            <v>47.84508207432291</v>
          </cell>
          <cell r="G235">
            <v>32.37079661638294</v>
          </cell>
          <cell r="H235">
            <v>0.46394104061293945</v>
          </cell>
          <cell r="I235">
            <v>0.12542022818548207</v>
          </cell>
          <cell r="J235">
            <v>0.58936126879842154</v>
          </cell>
          <cell r="K235">
            <v>1</v>
          </cell>
          <cell r="L235">
            <v>1481.3637426771156</v>
          </cell>
          <cell r="M235">
            <v>0</v>
          </cell>
          <cell r="N235">
            <v>0.58936126879842154</v>
          </cell>
          <cell r="O235">
            <v>125</v>
          </cell>
          <cell r="P235">
            <v>1</v>
          </cell>
          <cell r="Q235">
            <v>242</v>
          </cell>
        </row>
        <row r="236">
          <cell r="A236" t="str">
            <v>Nova Esperança do Sudoeste</v>
          </cell>
          <cell r="B236">
            <v>5597</v>
          </cell>
          <cell r="C236" t="str">
            <v>P1</v>
          </cell>
          <cell r="D236">
            <v>13.046531872984266</v>
          </cell>
          <cell r="E236">
            <v>64.148076518190095</v>
          </cell>
          <cell r="F236">
            <v>67.843139078806686</v>
          </cell>
          <cell r="G236">
            <v>31.540617300083806</v>
          </cell>
          <cell r="H236">
            <v>0.5184410534307089</v>
          </cell>
          <cell r="I236">
            <v>2.9616928296853584E-2</v>
          </cell>
          <cell r="J236">
            <v>0.54805798172756248</v>
          </cell>
          <cell r="K236">
            <v>1</v>
          </cell>
          <cell r="L236">
            <v>390.90455428675449</v>
          </cell>
          <cell r="M236">
            <v>0</v>
          </cell>
          <cell r="N236">
            <v>0.54805798172756248</v>
          </cell>
          <cell r="O236">
            <v>186</v>
          </cell>
          <cell r="P236">
            <v>1</v>
          </cell>
          <cell r="Q236">
            <v>106</v>
          </cell>
        </row>
        <row r="237">
          <cell r="A237" t="str">
            <v>Nova Fátima</v>
          </cell>
          <cell r="B237">
            <v>7225</v>
          </cell>
          <cell r="C237" t="str">
            <v>P1</v>
          </cell>
          <cell r="D237">
            <v>13.046531872984266</v>
          </cell>
          <cell r="E237">
            <v>44.70632097735286</v>
          </cell>
          <cell r="F237">
            <v>51.962113435101607</v>
          </cell>
          <cell r="G237">
            <v>40.602870396390365</v>
          </cell>
          <cell r="H237">
            <v>0.44516099236517603</v>
          </cell>
          <cell r="I237">
            <v>3.637304456616236E-2</v>
          </cell>
          <cell r="J237">
            <v>0.48153403693133839</v>
          </cell>
          <cell r="K237">
            <v>0</v>
          </cell>
          <cell r="L237">
            <v>412.21907893015299</v>
          </cell>
          <cell r="M237">
            <v>0</v>
          </cell>
          <cell r="N237">
            <v>0.48153403693133839</v>
          </cell>
          <cell r="O237">
            <v>304</v>
          </cell>
          <cell r="P237">
            <v>0</v>
          </cell>
          <cell r="Q237">
            <v>292</v>
          </cell>
        </row>
        <row r="238">
          <cell r="A238" t="str">
            <v>Nova Laranjeiras</v>
          </cell>
          <cell r="B238">
            <v>12074</v>
          </cell>
          <cell r="C238" t="str">
            <v>P1</v>
          </cell>
          <cell r="D238">
            <v>13.046531872984266</v>
          </cell>
          <cell r="E238">
            <v>75.58496985356112</v>
          </cell>
          <cell r="F238">
            <v>69.988886979536389</v>
          </cell>
          <cell r="G238">
            <v>44.96140192805256</v>
          </cell>
          <cell r="H238">
            <v>0.62216326108552755</v>
          </cell>
          <cell r="I238">
            <v>7.6163427012730905E-2</v>
          </cell>
          <cell r="J238">
            <v>0.69832668809825849</v>
          </cell>
          <cell r="K238">
            <v>1</v>
          </cell>
          <cell r="L238">
            <v>1206.3745632448379</v>
          </cell>
          <cell r="M238">
            <v>0</v>
          </cell>
          <cell r="N238">
            <v>0.69832668809825849</v>
          </cell>
          <cell r="O238">
            <v>31</v>
          </cell>
          <cell r="P238">
            <v>1</v>
          </cell>
          <cell r="Q238">
            <v>9</v>
          </cell>
        </row>
        <row r="239">
          <cell r="A239" t="str">
            <v>Nova Londrina</v>
          </cell>
          <cell r="B239">
            <v>12923</v>
          </cell>
          <cell r="C239" t="str">
            <v>P1</v>
          </cell>
          <cell r="D239">
            <v>13.046531872984266</v>
          </cell>
          <cell r="E239">
            <v>49.924549087193171</v>
          </cell>
          <cell r="F239">
            <v>50.309886244832363</v>
          </cell>
          <cell r="G239">
            <v>29.086681349352972</v>
          </cell>
          <cell r="H239">
            <v>0.41666469423584929</v>
          </cell>
          <cell r="I239">
            <v>6.6618448795044666E-2</v>
          </cell>
          <cell r="J239">
            <v>0.48328314303089392</v>
          </cell>
          <cell r="K239">
            <v>0</v>
          </cell>
          <cell r="L239">
            <v>706.6633214240004</v>
          </cell>
          <cell r="M239">
            <v>0</v>
          </cell>
          <cell r="N239">
            <v>0.48328314303089392</v>
          </cell>
          <cell r="O239">
            <v>297</v>
          </cell>
          <cell r="P239">
            <v>0</v>
          </cell>
          <cell r="Q239">
            <v>344</v>
          </cell>
        </row>
        <row r="240">
          <cell r="A240" t="str">
            <v>Nova Olímpia</v>
          </cell>
          <cell r="B240">
            <v>5833</v>
          </cell>
          <cell r="C240" t="str">
            <v>P1</v>
          </cell>
          <cell r="D240">
            <v>13.046531872984266</v>
          </cell>
          <cell r="E240">
            <v>47.092803772408402</v>
          </cell>
          <cell r="F240">
            <v>51.888880275586196</v>
          </cell>
          <cell r="G240">
            <v>33.589610042216727</v>
          </cell>
          <cell r="H240">
            <v>0.42650741580967294</v>
          </cell>
          <cell r="I240">
            <v>2.8674214398810495E-2</v>
          </cell>
          <cell r="J240">
            <v>0.45518163020848346</v>
          </cell>
          <cell r="K240">
            <v>0</v>
          </cell>
          <cell r="L240">
            <v>311.35041354106124</v>
          </cell>
          <cell r="M240">
            <v>0</v>
          </cell>
          <cell r="N240">
            <v>0.45518163020848346</v>
          </cell>
          <cell r="O240">
            <v>338</v>
          </cell>
          <cell r="P240">
            <v>0</v>
          </cell>
          <cell r="Q240">
            <v>328</v>
          </cell>
        </row>
        <row r="241">
          <cell r="A241" t="str">
            <v>Nova Prata do Iguaçu</v>
          </cell>
          <cell r="B241">
            <v>12699</v>
          </cell>
          <cell r="C241" t="str">
            <v>P1</v>
          </cell>
          <cell r="D241">
            <v>13.046531872984266</v>
          </cell>
          <cell r="E241">
            <v>73.211869775833236</v>
          </cell>
          <cell r="F241">
            <v>48.249772532662064</v>
          </cell>
          <cell r="G241">
            <v>27.739967781609398</v>
          </cell>
          <cell r="H241">
            <v>0.50030689529509464</v>
          </cell>
          <cell r="I241">
            <v>6.6343490574782102E-2</v>
          </cell>
          <cell r="J241">
            <v>0.5666503858698767</v>
          </cell>
          <cell r="K241">
            <v>1</v>
          </cell>
          <cell r="L241">
            <v>845.01834615341488</v>
          </cell>
          <cell r="M241">
            <v>0</v>
          </cell>
          <cell r="N241">
            <v>0.5666503858698767</v>
          </cell>
          <cell r="O241">
            <v>149</v>
          </cell>
          <cell r="P241">
            <v>1</v>
          </cell>
          <cell r="Q241">
            <v>152</v>
          </cell>
        </row>
        <row r="242">
          <cell r="A242" t="str">
            <v>Nova Santa Bárbara</v>
          </cell>
          <cell r="B242">
            <v>4184</v>
          </cell>
          <cell r="C242" t="str">
            <v>P1</v>
          </cell>
          <cell r="D242">
            <v>13.046531872984266</v>
          </cell>
          <cell r="E242">
            <v>47.887221729472962</v>
          </cell>
          <cell r="F242">
            <v>72.081286868435555</v>
          </cell>
          <cell r="G242">
            <v>46.243989934783663</v>
          </cell>
          <cell r="H242">
            <v>0.52068742039389759</v>
          </cell>
          <cell r="I242">
            <v>2.1171782960217614E-2</v>
          </cell>
          <cell r="J242">
            <v>0.54185920335411519</v>
          </cell>
          <cell r="K242">
            <v>0</v>
          </cell>
          <cell r="L242">
            <v>280.65051959231079</v>
          </cell>
          <cell r="M242">
            <v>0</v>
          </cell>
          <cell r="N242">
            <v>0.54185920335411519</v>
          </cell>
          <cell r="O242">
            <v>195</v>
          </cell>
          <cell r="P242">
            <v>1</v>
          </cell>
          <cell r="Q242">
            <v>102</v>
          </cell>
        </row>
        <row r="243">
          <cell r="A243" t="str">
            <v>Nova Santa Rosa</v>
          </cell>
          <cell r="B243">
            <v>8322</v>
          </cell>
          <cell r="C243" t="str">
            <v>P1</v>
          </cell>
          <cell r="D243">
            <v>13.046531872984266</v>
          </cell>
          <cell r="E243">
            <v>47.650067201960653</v>
          </cell>
          <cell r="F243">
            <v>45.505942293136293</v>
          </cell>
          <cell r="G243">
            <v>25.456646874579729</v>
          </cell>
          <cell r="H243">
            <v>0.38343874089243413</v>
          </cell>
          <cell r="I243">
            <v>4.163653049690292E-2</v>
          </cell>
          <cell r="J243">
            <v>0.42507527138933704</v>
          </cell>
          <cell r="K243">
            <v>0</v>
          </cell>
          <cell r="L243">
            <v>406.4450653459802</v>
          </cell>
          <cell r="M243">
            <v>0</v>
          </cell>
          <cell r="N243">
            <v>0.42507527138933704</v>
          </cell>
          <cell r="O243">
            <v>359</v>
          </cell>
          <cell r="P243">
            <v>0</v>
          </cell>
          <cell r="Q243">
            <v>383</v>
          </cell>
        </row>
        <row r="244">
          <cell r="A244" t="str">
            <v>Nova Tebas</v>
          </cell>
          <cell r="B244">
            <v>6848</v>
          </cell>
          <cell r="C244" t="str">
            <v>P1</v>
          </cell>
          <cell r="D244">
            <v>13.046531872984266</v>
          </cell>
          <cell r="E244">
            <v>55.458803732751988</v>
          </cell>
          <cell r="F244">
            <v>55.379212711428885</v>
          </cell>
          <cell r="G244">
            <v>41.298189557110639</v>
          </cell>
          <cell r="H244">
            <v>0.49778639858230828</v>
          </cell>
          <cell r="I244">
            <v>3.495897371909773E-2</v>
          </cell>
          <cell r="J244">
            <v>0.53274537230140595</v>
          </cell>
          <cell r="K244">
            <v>0</v>
          </cell>
          <cell r="L244">
            <v>443.02989473825437</v>
          </cell>
          <cell r="M244">
            <v>0</v>
          </cell>
          <cell r="N244">
            <v>0.53274537230140595</v>
          </cell>
          <cell r="O244">
            <v>217</v>
          </cell>
          <cell r="P244">
            <v>0</v>
          </cell>
          <cell r="Q244">
            <v>155</v>
          </cell>
        </row>
        <row r="245">
          <cell r="A245" t="str">
            <v>Novo Itacolomi</v>
          </cell>
          <cell r="B245">
            <v>3125</v>
          </cell>
          <cell r="C245" t="str">
            <v>P1</v>
          </cell>
          <cell r="D245">
            <v>13.046531872984266</v>
          </cell>
          <cell r="E245">
            <v>55.756209811270907</v>
          </cell>
          <cell r="F245">
            <v>71.294824349288518</v>
          </cell>
          <cell r="G245">
            <v>32.7258041003385</v>
          </cell>
          <cell r="H245">
            <v>0.49651770434501463</v>
          </cell>
          <cell r="I245">
            <v>1.3669351521624731E-2</v>
          </cell>
          <cell r="J245">
            <v>0.51018705586663937</v>
          </cell>
          <cell r="K245">
            <v>0</v>
          </cell>
          <cell r="L245">
            <v>172.7881611120651</v>
          </cell>
          <cell r="M245">
            <v>0</v>
          </cell>
          <cell r="N245">
            <v>0.51018705586663937</v>
          </cell>
          <cell r="O245">
            <v>262</v>
          </cell>
          <cell r="P245">
            <v>0</v>
          </cell>
          <cell r="Q245">
            <v>158</v>
          </cell>
        </row>
        <row r="246">
          <cell r="A246" t="str">
            <v>Ortigueira</v>
          </cell>
          <cell r="B246">
            <v>24192</v>
          </cell>
          <cell r="C246" t="str">
            <v>P2</v>
          </cell>
          <cell r="D246">
            <v>6.7442145063459806</v>
          </cell>
          <cell r="E246">
            <v>71.34660096495908</v>
          </cell>
          <cell r="F246">
            <v>57.139071668410061</v>
          </cell>
          <cell r="G246">
            <v>30.191293945379659</v>
          </cell>
          <cell r="H246">
            <v>0.52042972297817502</v>
          </cell>
          <cell r="I246">
            <v>0.14093572775744118</v>
          </cell>
          <cell r="J246">
            <v>0.66136545073561614</v>
          </cell>
          <cell r="K246">
            <v>1</v>
          </cell>
          <cell r="L246">
            <v>1867.3018460456919</v>
          </cell>
          <cell r="M246">
            <v>0</v>
          </cell>
          <cell r="N246">
            <v>0.66136545073561614</v>
          </cell>
          <cell r="O246">
            <v>46</v>
          </cell>
          <cell r="P246">
            <v>1</v>
          </cell>
          <cell r="Q246">
            <v>104</v>
          </cell>
        </row>
        <row r="247">
          <cell r="A247" t="str">
            <v>Ourizona</v>
          </cell>
          <cell r="B247">
            <v>3187</v>
          </cell>
          <cell r="C247" t="str">
            <v>P1</v>
          </cell>
          <cell r="D247">
            <v>13.046531872984266</v>
          </cell>
          <cell r="E247">
            <v>55.720987935780876</v>
          </cell>
          <cell r="F247">
            <v>44.879910598749774</v>
          </cell>
          <cell r="G247">
            <v>29.69236732490748</v>
          </cell>
          <cell r="H247">
            <v>0.43141324224025296</v>
          </cell>
          <cell r="I247">
            <v>1.5240541351696538E-2</v>
          </cell>
          <cell r="J247">
            <v>0.44665378359194952</v>
          </cell>
          <cell r="K247">
            <v>0</v>
          </cell>
          <cell r="L247">
            <v>167.38833798921814</v>
          </cell>
          <cell r="M247">
            <v>0</v>
          </cell>
          <cell r="N247">
            <v>0.44665378359194952</v>
          </cell>
          <cell r="O247">
            <v>343</v>
          </cell>
          <cell r="P247">
            <v>0</v>
          </cell>
          <cell r="Q247">
            <v>317</v>
          </cell>
        </row>
        <row r="248">
          <cell r="A248" t="str">
            <v>Ouro Verde do Oeste</v>
          </cell>
          <cell r="B248">
            <v>6785</v>
          </cell>
          <cell r="C248" t="str">
            <v>P1</v>
          </cell>
          <cell r="D248">
            <v>13.046531872984266</v>
          </cell>
          <cell r="E248">
            <v>60.092645147222285</v>
          </cell>
          <cell r="F248">
            <v>65.3873411558328</v>
          </cell>
          <cell r="G248">
            <v>25.54606116628295</v>
          </cell>
          <cell r="H248">
            <v>0.47332950756568648</v>
          </cell>
          <cell r="I248">
            <v>3.6137366091651586E-2</v>
          </cell>
          <cell r="J248">
            <v>0.50946687365733812</v>
          </cell>
          <cell r="K248">
            <v>1</v>
          </cell>
          <cell r="L248">
            <v>435.46314696043157</v>
          </cell>
          <cell r="M248">
            <v>0</v>
          </cell>
          <cell r="N248">
            <v>0.50946687365733812</v>
          </cell>
          <cell r="O248">
            <v>264</v>
          </cell>
          <cell r="P248">
            <v>0</v>
          </cell>
          <cell r="Q248">
            <v>224</v>
          </cell>
        </row>
        <row r="249">
          <cell r="A249" t="str">
            <v>Paiçandu</v>
          </cell>
          <cell r="B249">
            <v>45962</v>
          </cell>
          <cell r="C249" t="str">
            <v>P3</v>
          </cell>
          <cell r="D249">
            <v>4.2716330707619763</v>
          </cell>
          <cell r="E249">
            <v>59.21841412065352</v>
          </cell>
          <cell r="F249">
            <v>56.897895003163917</v>
          </cell>
          <cell r="G249">
            <v>32.551647657246974</v>
          </cell>
          <cell r="H249">
            <v>0.48087603711792981</v>
          </cell>
          <cell r="I249">
            <v>0.25025126018468724</v>
          </cell>
          <cell r="J249">
            <v>0.73112729730261705</v>
          </cell>
          <cell r="K249">
            <v>1</v>
          </cell>
          <cell r="L249">
            <v>3063.6612324783309</v>
          </cell>
          <cell r="M249">
            <v>0</v>
          </cell>
          <cell r="N249">
            <v>0.73112729730261705</v>
          </cell>
          <cell r="O249">
            <v>21</v>
          </cell>
          <cell r="P249">
            <v>1</v>
          </cell>
          <cell r="Q249">
            <v>205</v>
          </cell>
        </row>
        <row r="250">
          <cell r="A250" t="str">
            <v>Palmas</v>
          </cell>
          <cell r="B250">
            <v>48247</v>
          </cell>
          <cell r="C250" t="str">
            <v>P3</v>
          </cell>
          <cell r="D250">
            <v>4.2716330707619763</v>
          </cell>
          <cell r="E250">
            <v>70.222587501206462</v>
          </cell>
          <cell r="F250">
            <v>70.682010528081818</v>
          </cell>
          <cell r="G250">
            <v>31.463471028786604</v>
          </cell>
          <cell r="H250">
            <v>0.54810825517613593</v>
          </cell>
          <cell r="I250">
            <v>0.30359315491562511</v>
          </cell>
          <cell r="J250">
            <v>0.85170141009176104</v>
          </cell>
          <cell r="K250">
            <v>1</v>
          </cell>
          <cell r="L250">
            <v>4236.3287042563543</v>
          </cell>
          <cell r="M250">
            <v>0</v>
          </cell>
          <cell r="N250">
            <v>0.85170141009176104</v>
          </cell>
          <cell r="O250">
            <v>8</v>
          </cell>
          <cell r="P250">
            <v>1</v>
          </cell>
          <cell r="Q250">
            <v>56</v>
          </cell>
        </row>
        <row r="251">
          <cell r="A251" t="str">
            <v>Palmeira</v>
          </cell>
          <cell r="B251">
            <v>33855</v>
          </cell>
          <cell r="C251" t="str">
            <v>P2</v>
          </cell>
          <cell r="D251">
            <v>6.7442145063459806</v>
          </cell>
          <cell r="E251">
            <v>61.318047349692876</v>
          </cell>
          <cell r="F251">
            <v>56.228960484260064</v>
          </cell>
          <cell r="G251">
            <v>23.250098131463556</v>
          </cell>
          <cell r="H251">
            <v>0.45073050289314587</v>
          </cell>
          <cell r="I251">
            <v>0.17946915833995225</v>
          </cell>
          <cell r="J251">
            <v>0.63019966123309812</v>
          </cell>
          <cell r="K251">
            <v>1</v>
          </cell>
          <cell r="L251">
            <v>2059.3876677187836</v>
          </cell>
          <cell r="M251">
            <v>0</v>
          </cell>
          <cell r="N251">
            <v>0.63019966123309812</v>
          </cell>
          <cell r="O251">
            <v>76</v>
          </cell>
          <cell r="P251">
            <v>1</v>
          </cell>
          <cell r="Q251">
            <v>282</v>
          </cell>
        </row>
        <row r="252">
          <cell r="A252" t="str">
            <v>Palmital</v>
          </cell>
          <cell r="B252">
            <v>13033</v>
          </cell>
          <cell r="C252" t="str">
            <v>P1</v>
          </cell>
          <cell r="D252">
            <v>13.046531872984266</v>
          </cell>
          <cell r="E252">
            <v>66.598776246838483</v>
          </cell>
          <cell r="F252">
            <v>55.345859508138325</v>
          </cell>
          <cell r="G252">
            <v>46.730231818908379</v>
          </cell>
          <cell r="H252">
            <v>0.56400775127926406</v>
          </cell>
          <cell r="I252">
            <v>7.2314011929054969E-2</v>
          </cell>
          <cell r="J252">
            <v>0.63632176320831901</v>
          </cell>
          <cell r="K252">
            <v>1</v>
          </cell>
          <cell r="L252">
            <v>1038.338270105125</v>
          </cell>
          <cell r="M252">
            <v>0</v>
          </cell>
          <cell r="N252">
            <v>0.63632176320831901</v>
          </cell>
          <cell r="O252">
            <v>71</v>
          </cell>
          <cell r="P252">
            <v>1</v>
          </cell>
          <cell r="Q252">
            <v>46</v>
          </cell>
        </row>
        <row r="253">
          <cell r="A253" t="str">
            <v>Palotina</v>
          </cell>
          <cell r="B253">
            <v>35011</v>
          </cell>
          <cell r="C253" t="str">
            <v>P2</v>
          </cell>
          <cell r="D253">
            <v>6.7442145063459806</v>
          </cell>
          <cell r="E253">
            <v>49.972746058758986</v>
          </cell>
          <cell r="F253">
            <v>59.277769886837994</v>
          </cell>
          <cell r="G253">
            <v>10.828772536609469</v>
          </cell>
          <cell r="H253">
            <v>0.36176161415514985</v>
          </cell>
          <cell r="I253">
            <v>0.1856360784229841</v>
          </cell>
          <cell r="J253">
            <v>0.54739769257813398</v>
          </cell>
          <cell r="K253">
            <v>1</v>
          </cell>
          <cell r="L253">
            <v>1709.6853884972381</v>
          </cell>
          <cell r="M253">
            <v>0</v>
          </cell>
          <cell r="N253">
            <v>0.54739769257813398</v>
          </cell>
          <cell r="O253">
            <v>187</v>
          </cell>
          <cell r="P253">
            <v>1</v>
          </cell>
          <cell r="Q253">
            <v>396</v>
          </cell>
        </row>
        <row r="254">
          <cell r="A254" t="str">
            <v>Paraíso do Norte</v>
          </cell>
          <cell r="B254">
            <v>13245</v>
          </cell>
          <cell r="C254" t="str">
            <v>P1</v>
          </cell>
          <cell r="D254">
            <v>13.046531872984266</v>
          </cell>
          <cell r="E254">
            <v>50.213272481064877</v>
          </cell>
          <cell r="F254">
            <v>68.375973451288189</v>
          </cell>
          <cell r="G254">
            <v>18.748753651141492</v>
          </cell>
          <cell r="H254">
            <v>0.41260005143140188</v>
          </cell>
          <cell r="I254">
            <v>6.9368030997670332E-2</v>
          </cell>
          <cell r="J254">
            <v>0.48196808242907219</v>
          </cell>
          <cell r="K254">
            <v>0</v>
          </cell>
          <cell r="L254">
            <v>728.65169082785576</v>
          </cell>
          <cell r="M254">
            <v>0</v>
          </cell>
          <cell r="N254">
            <v>0.48196808242907219</v>
          </cell>
          <cell r="O254">
            <v>301</v>
          </cell>
          <cell r="P254">
            <v>0</v>
          </cell>
          <cell r="Q254">
            <v>351</v>
          </cell>
        </row>
        <row r="255">
          <cell r="A255" t="str">
            <v>Paranacity</v>
          </cell>
          <cell r="B255">
            <v>9557</v>
          </cell>
          <cell r="C255" t="str">
            <v>P1</v>
          </cell>
          <cell r="D255">
            <v>13.046531872984266</v>
          </cell>
          <cell r="E255">
            <v>54.861576135348869</v>
          </cell>
          <cell r="F255">
            <v>59.995692168025329</v>
          </cell>
          <cell r="G255">
            <v>30.126124868415683</v>
          </cell>
          <cell r="H255">
            <v>0.45994218835110884</v>
          </cell>
          <cell r="I255">
            <v>5.1652865663610693E-2</v>
          </cell>
          <cell r="J255">
            <v>0.5115950540147195</v>
          </cell>
          <cell r="K255">
            <v>0</v>
          </cell>
          <cell r="L255">
            <v>604.82397768170813</v>
          </cell>
          <cell r="M255">
            <v>0</v>
          </cell>
          <cell r="N255">
            <v>0.5115950540147195</v>
          </cell>
          <cell r="O255">
            <v>259</v>
          </cell>
          <cell r="P255">
            <v>0</v>
          </cell>
          <cell r="Q255">
            <v>251</v>
          </cell>
        </row>
        <row r="256">
          <cell r="A256" t="str">
            <v>Paranaguá</v>
          </cell>
          <cell r="B256">
            <v>145829</v>
          </cell>
          <cell r="C256" t="str">
            <v>M1</v>
          </cell>
          <cell r="D256">
            <v>10.334658226280325</v>
          </cell>
          <cell r="E256">
            <v>66.434224999086737</v>
          </cell>
          <cell r="F256">
            <v>59.613911320246238</v>
          </cell>
          <cell r="G256">
            <v>24.597210316291111</v>
          </cell>
          <cell r="H256">
            <v>0.4833535639020039</v>
          </cell>
          <cell r="I256">
            <v>0.82770280248182848</v>
          </cell>
          <cell r="J256">
            <v>1.3110563663838324</v>
          </cell>
          <cell r="K256">
            <v>2</v>
          </cell>
          <cell r="L256">
            <v>10185.226298543026</v>
          </cell>
          <cell r="M256">
            <v>1</v>
          </cell>
          <cell r="N256">
            <v>0.31105636638383238</v>
          </cell>
          <cell r="O256">
            <v>385</v>
          </cell>
          <cell r="P256">
            <v>1</v>
          </cell>
          <cell r="Q256">
            <v>193</v>
          </cell>
        </row>
        <row r="257">
          <cell r="A257" t="str">
            <v>Paranapoema</v>
          </cell>
          <cell r="B257">
            <v>2398</v>
          </cell>
          <cell r="C257" t="str">
            <v>P1</v>
          </cell>
          <cell r="D257">
            <v>13.046531872984266</v>
          </cell>
          <cell r="E257">
            <v>54.746172910117963</v>
          </cell>
          <cell r="F257">
            <v>51.593835283046197</v>
          </cell>
          <cell r="G257">
            <v>45.54700478868471</v>
          </cell>
          <cell r="H257">
            <v>0.50436038136130312</v>
          </cell>
          <cell r="I257">
            <v>1.4219267962149864E-2</v>
          </cell>
          <cell r="J257">
            <v>0.51857964932345302</v>
          </cell>
          <cell r="K257">
            <v>0</v>
          </cell>
          <cell r="L257">
            <v>182.57845805279172</v>
          </cell>
          <cell r="M257">
            <v>0</v>
          </cell>
          <cell r="N257">
            <v>0.51857964932345302</v>
          </cell>
          <cell r="O257">
            <v>245</v>
          </cell>
          <cell r="P257">
            <v>0</v>
          </cell>
          <cell r="Q257">
            <v>139</v>
          </cell>
        </row>
        <row r="258">
          <cell r="A258" t="str">
            <v>Paranavaí</v>
          </cell>
          <cell r="B258">
            <v>92001</v>
          </cell>
          <cell r="C258" t="str">
            <v>P4</v>
          </cell>
          <cell r="D258">
            <v>3.5744175836676115</v>
          </cell>
          <cell r="E258">
            <v>62.535937647176794</v>
          </cell>
          <cell r="F258">
            <v>52.819497251279508</v>
          </cell>
          <cell r="G258">
            <v>24.500616124457185</v>
          </cell>
          <cell r="H258">
            <v>0.45378520958909491</v>
          </cell>
          <cell r="I258">
            <v>0.47076775283526551</v>
          </cell>
          <cell r="J258">
            <v>0.92455296242436047</v>
          </cell>
          <cell r="K258">
            <v>1</v>
          </cell>
          <cell r="L258">
            <v>5438.6157369253024</v>
          </cell>
          <cell r="M258">
            <v>0</v>
          </cell>
          <cell r="N258">
            <v>0.92455296242436047</v>
          </cell>
          <cell r="O258">
            <v>4</v>
          </cell>
          <cell r="P258">
            <v>1</v>
          </cell>
          <cell r="Q258">
            <v>270</v>
          </cell>
        </row>
        <row r="259">
          <cell r="A259" t="str">
            <v>Pato Bragado</v>
          </cell>
          <cell r="B259">
            <v>5733</v>
          </cell>
          <cell r="C259" t="str">
            <v>P1</v>
          </cell>
          <cell r="D259">
            <v>13.046531872984266</v>
          </cell>
          <cell r="E259">
            <v>44.32800580982645</v>
          </cell>
          <cell r="F259">
            <v>43.642734714603328</v>
          </cell>
          <cell r="G259">
            <v>24.419929581123004</v>
          </cell>
          <cell r="H259">
            <v>0.36227721099300447</v>
          </cell>
          <cell r="I259">
            <v>2.8988452364824863E-2</v>
          </cell>
          <cell r="J259">
            <v>0.39126566335782931</v>
          </cell>
          <cell r="K259">
            <v>0</v>
          </cell>
          <cell r="L259">
            <v>267.3605817128373</v>
          </cell>
          <cell r="M259">
            <v>0</v>
          </cell>
          <cell r="N259">
            <v>0.39126566335782931</v>
          </cell>
          <cell r="O259">
            <v>379</v>
          </cell>
          <cell r="P259">
            <v>0</v>
          </cell>
          <cell r="Q259">
            <v>395</v>
          </cell>
        </row>
        <row r="260">
          <cell r="A260" t="str">
            <v>Pato Branco</v>
          </cell>
          <cell r="B260">
            <v>91836</v>
          </cell>
          <cell r="C260" t="str">
            <v>P4</v>
          </cell>
          <cell r="D260">
            <v>3.5744175836676115</v>
          </cell>
          <cell r="E260">
            <v>57.848969458288408</v>
          </cell>
          <cell r="F260">
            <v>54.602121210879631</v>
          </cell>
          <cell r="G260">
            <v>14.126931491018283</v>
          </cell>
          <cell r="H260">
            <v>0.39710784621898604</v>
          </cell>
          <cell r="I260">
            <v>0.46935368198820088</v>
          </cell>
          <cell r="J260">
            <v>0.86646152820718692</v>
          </cell>
          <cell r="K260">
            <v>1</v>
          </cell>
          <cell r="L260">
            <v>4745.0416544706641</v>
          </cell>
          <cell r="M260">
            <v>0</v>
          </cell>
          <cell r="N260">
            <v>0.86646152820718692</v>
          </cell>
          <cell r="O260">
            <v>7</v>
          </cell>
          <cell r="P260">
            <v>1</v>
          </cell>
          <cell r="Q260">
            <v>368</v>
          </cell>
        </row>
        <row r="261">
          <cell r="A261" t="str">
            <v>Paula Freitas</v>
          </cell>
          <cell r="B261">
            <v>5666</v>
          </cell>
          <cell r="C261" t="str">
            <v>P1</v>
          </cell>
          <cell r="D261">
            <v>13.046531872984266</v>
          </cell>
          <cell r="E261">
            <v>65.386092675944795</v>
          </cell>
          <cell r="F261">
            <v>66.605289412441337</v>
          </cell>
          <cell r="G261">
            <v>31.651722685969631</v>
          </cell>
          <cell r="H261">
            <v>0.52136184027254029</v>
          </cell>
          <cell r="I261">
            <v>2.8634934653058702E-2</v>
          </cell>
          <cell r="J261">
            <v>0.54999677492559895</v>
          </cell>
          <cell r="K261">
            <v>1</v>
          </cell>
          <cell r="L261">
            <v>380.07278155868187</v>
          </cell>
          <cell r="M261">
            <v>0</v>
          </cell>
          <cell r="N261">
            <v>0.54999677492559895</v>
          </cell>
          <cell r="O261">
            <v>180</v>
          </cell>
          <cell r="P261">
            <v>1</v>
          </cell>
          <cell r="Q261">
            <v>100</v>
          </cell>
        </row>
        <row r="262">
          <cell r="A262" t="str">
            <v>Paulo Frontin</v>
          </cell>
          <cell r="B262">
            <v>6343</v>
          </cell>
          <cell r="C262" t="str">
            <v>P1</v>
          </cell>
          <cell r="D262">
            <v>13.046531872984266</v>
          </cell>
          <cell r="E262">
            <v>57.460508868699307</v>
          </cell>
          <cell r="F262">
            <v>55.556677063148065</v>
          </cell>
          <cell r="G262">
            <v>32.240350507199786</v>
          </cell>
          <cell r="H262">
            <v>0.46991679162989253</v>
          </cell>
          <cell r="I262">
            <v>2.934197007659102E-2</v>
          </cell>
          <cell r="J262">
            <v>0.49925876170648353</v>
          </cell>
          <cell r="K262">
            <v>0</v>
          </cell>
          <cell r="L262">
            <v>351.02784334752971</v>
          </cell>
          <cell r="M262">
            <v>0</v>
          </cell>
          <cell r="N262">
            <v>0.49925876170648353</v>
          </cell>
          <cell r="O262">
            <v>282</v>
          </cell>
          <cell r="P262">
            <v>0</v>
          </cell>
          <cell r="Q262">
            <v>233</v>
          </cell>
        </row>
        <row r="263">
          <cell r="A263" t="str">
            <v>Peabiru</v>
          </cell>
          <cell r="B263">
            <v>13346</v>
          </cell>
          <cell r="C263" t="str">
            <v>P1</v>
          </cell>
          <cell r="D263">
            <v>13.046531872984266</v>
          </cell>
          <cell r="E263">
            <v>54.546070997701754</v>
          </cell>
          <cell r="F263">
            <v>51.543536999956267</v>
          </cell>
          <cell r="G263">
            <v>36.84355718726566</v>
          </cell>
          <cell r="H263">
            <v>0.46864558673978218</v>
          </cell>
          <cell r="I263">
            <v>7.0899941081990339E-2</v>
          </cell>
          <cell r="J263">
            <v>0.53954552782177256</v>
          </cell>
          <cell r="K263">
            <v>1</v>
          </cell>
          <cell r="L263">
            <v>845.90528406530689</v>
          </cell>
          <cell r="M263">
            <v>0</v>
          </cell>
          <cell r="N263">
            <v>0.53954552782177256</v>
          </cell>
          <cell r="O263">
            <v>201</v>
          </cell>
          <cell r="P263">
            <v>1</v>
          </cell>
          <cell r="Q263">
            <v>234</v>
          </cell>
        </row>
        <row r="264">
          <cell r="A264" t="str">
            <v>Perobal</v>
          </cell>
          <cell r="B264">
            <v>7189</v>
          </cell>
          <cell r="C264" t="str">
            <v>P1</v>
          </cell>
          <cell r="D264">
            <v>13.046531872984266</v>
          </cell>
          <cell r="E264">
            <v>66.190412872977447</v>
          </cell>
          <cell r="F264">
            <v>49.433442160223841</v>
          </cell>
          <cell r="G264">
            <v>31.908490444878009</v>
          </cell>
          <cell r="H264">
            <v>0.49126249759186957</v>
          </cell>
          <cell r="I264">
            <v>3.5469610413871068E-2</v>
          </cell>
          <cell r="J264">
            <v>0.52673210800574066</v>
          </cell>
          <cell r="K264">
            <v>1</v>
          </cell>
          <cell r="L264">
            <v>443.61003532545823</v>
          </cell>
          <cell r="M264">
            <v>0</v>
          </cell>
          <cell r="N264">
            <v>0.52673210800574066</v>
          </cell>
          <cell r="O264">
            <v>227</v>
          </cell>
          <cell r="P264">
            <v>0</v>
          </cell>
          <cell r="Q264">
            <v>172</v>
          </cell>
        </row>
        <row r="265">
          <cell r="A265" t="str">
            <v>Pérola</v>
          </cell>
          <cell r="B265">
            <v>11878</v>
          </cell>
          <cell r="C265" t="str">
            <v>P1</v>
          </cell>
          <cell r="D265">
            <v>13.046531872984266</v>
          </cell>
          <cell r="E265">
            <v>56.523255108960782</v>
          </cell>
          <cell r="F265">
            <v>47.328912242779005</v>
          </cell>
          <cell r="G265">
            <v>28.520755455188141</v>
          </cell>
          <cell r="H265">
            <v>0.43483386674215369</v>
          </cell>
          <cell r="I265">
            <v>5.746626803487638E-2</v>
          </cell>
          <cell r="J265">
            <v>0.49230013477703005</v>
          </cell>
          <cell r="K265">
            <v>0</v>
          </cell>
          <cell r="L265">
            <v>636.16194704377085</v>
          </cell>
          <cell r="M265">
            <v>0</v>
          </cell>
          <cell r="N265">
            <v>0.49230013477703005</v>
          </cell>
          <cell r="O265">
            <v>288</v>
          </cell>
          <cell r="P265">
            <v>0</v>
          </cell>
          <cell r="Q265">
            <v>312</v>
          </cell>
        </row>
        <row r="266">
          <cell r="A266" t="str">
            <v>Pérola d'Oeste</v>
          </cell>
          <cell r="B266">
            <v>6221</v>
          </cell>
          <cell r="C266" t="str">
            <v>P1</v>
          </cell>
          <cell r="D266">
            <v>13.046531872984266</v>
          </cell>
          <cell r="E266">
            <v>57.162022716525129</v>
          </cell>
          <cell r="F266">
            <v>46.025624391864277</v>
          </cell>
          <cell r="G266">
            <v>36.364928490170293</v>
          </cell>
          <cell r="H266">
            <v>0.46615905361051019</v>
          </cell>
          <cell r="I266">
            <v>2.6553108128213557E-2</v>
          </cell>
          <cell r="J266">
            <v>0.49271216173872373</v>
          </cell>
          <cell r="K266">
            <v>0</v>
          </cell>
          <cell r="L266">
            <v>315.12352024070486</v>
          </cell>
          <cell r="M266">
            <v>0</v>
          </cell>
          <cell r="N266">
            <v>0.49271216173872373</v>
          </cell>
          <cell r="O266">
            <v>287</v>
          </cell>
          <cell r="P266">
            <v>0</v>
          </cell>
          <cell r="Q266">
            <v>239</v>
          </cell>
        </row>
        <row r="267">
          <cell r="A267" t="str">
            <v>Piên</v>
          </cell>
          <cell r="B267">
            <v>13655</v>
          </cell>
          <cell r="C267" t="str">
            <v>P1</v>
          </cell>
          <cell r="D267">
            <v>13.046531872984266</v>
          </cell>
          <cell r="E267">
            <v>62.489110029914443</v>
          </cell>
          <cell r="F267">
            <v>53.841097841291003</v>
          </cell>
          <cell r="G267">
            <v>22.058276580415139</v>
          </cell>
          <cell r="H267">
            <v>0.44587174212390029</v>
          </cell>
          <cell r="I267">
            <v>7.7695337097050912E-2</v>
          </cell>
          <cell r="J267">
            <v>0.52356707922095125</v>
          </cell>
          <cell r="K267">
            <v>1</v>
          </cell>
          <cell r="L267">
            <v>881.93430592107484</v>
          </cell>
          <cell r="M267">
            <v>0</v>
          </cell>
          <cell r="N267">
            <v>0.52356707922095125</v>
          </cell>
          <cell r="O267">
            <v>236</v>
          </cell>
          <cell r="P267">
            <v>0</v>
          </cell>
          <cell r="Q267">
            <v>288</v>
          </cell>
        </row>
        <row r="268">
          <cell r="A268" t="str">
            <v>Pinhais</v>
          </cell>
          <cell r="B268">
            <v>127019</v>
          </cell>
          <cell r="C268" t="str">
            <v>M1</v>
          </cell>
          <cell r="D268">
            <v>10.334658226280325</v>
          </cell>
          <cell r="E268">
            <v>54.177086448428739</v>
          </cell>
          <cell r="F268">
            <v>52.816868568602239</v>
          </cell>
          <cell r="G268">
            <v>22.741895534952477</v>
          </cell>
          <cell r="H268">
            <v>0.41330966507072936</v>
          </cell>
          <cell r="I268">
            <v>0.65970332990140046</v>
          </cell>
          <cell r="J268">
            <v>1.0730129949721299</v>
          </cell>
          <cell r="K268">
            <v>1</v>
          </cell>
          <cell r="L268">
            <v>6941.5358248629</v>
          </cell>
          <cell r="M268">
            <v>1</v>
          </cell>
          <cell r="N268">
            <v>7.3012994972129874E-2</v>
          </cell>
          <cell r="O268">
            <v>396</v>
          </cell>
          <cell r="P268">
            <v>1</v>
          </cell>
          <cell r="Q268">
            <v>350</v>
          </cell>
        </row>
        <row r="269">
          <cell r="A269" t="str">
            <v>Pinhal de São Bento</v>
          </cell>
          <cell r="B269">
            <v>2761</v>
          </cell>
          <cell r="C269" t="str">
            <v>P1</v>
          </cell>
          <cell r="D269">
            <v>13.046531872984266</v>
          </cell>
          <cell r="E269">
            <v>46.147012284481754</v>
          </cell>
          <cell r="F269">
            <v>40.866193880939001</v>
          </cell>
          <cell r="G269">
            <v>39.980756751698742</v>
          </cell>
          <cell r="H269">
            <v>0.42624346390660001</v>
          </cell>
          <cell r="I269">
            <v>1.3826470504631911E-2</v>
          </cell>
          <cell r="J269">
            <v>0.44006993441123193</v>
          </cell>
          <cell r="K269">
            <v>0</v>
          </cell>
          <cell r="L269">
            <v>150.03769929512319</v>
          </cell>
          <cell r="M269">
            <v>0</v>
          </cell>
          <cell r="N269">
            <v>0.44006993441123193</v>
          </cell>
          <cell r="O269">
            <v>348</v>
          </cell>
          <cell r="P269">
            <v>0</v>
          </cell>
          <cell r="Q269">
            <v>329</v>
          </cell>
        </row>
        <row r="270">
          <cell r="A270" t="str">
            <v>Pinhalão</v>
          </cell>
          <cell r="B270">
            <v>6566</v>
          </cell>
          <cell r="C270" t="str">
            <v>P1</v>
          </cell>
          <cell r="D270">
            <v>13.046531872984266</v>
          </cell>
          <cell r="E270">
            <v>60.7472097135525</v>
          </cell>
          <cell r="F270">
            <v>43.535134317091327</v>
          </cell>
          <cell r="G270">
            <v>44.204612952474598</v>
          </cell>
          <cell r="H270">
            <v>0.50687755929829104</v>
          </cell>
          <cell r="I270">
            <v>3.2248671262223867E-2</v>
          </cell>
          <cell r="J270">
            <v>0.5391262305605149</v>
          </cell>
          <cell r="K270">
            <v>1</v>
          </cell>
          <cell r="L270">
            <v>416.14647618389694</v>
          </cell>
          <cell r="M270">
            <v>0</v>
          </cell>
          <cell r="N270">
            <v>0.5391262305605149</v>
          </cell>
          <cell r="O270">
            <v>202</v>
          </cell>
          <cell r="P270">
            <v>1</v>
          </cell>
          <cell r="Q270">
            <v>133</v>
          </cell>
        </row>
        <row r="271">
          <cell r="A271" t="str">
            <v>Pinhão</v>
          </cell>
          <cell r="B271">
            <v>29886</v>
          </cell>
          <cell r="C271" t="str">
            <v>P2</v>
          </cell>
          <cell r="D271">
            <v>6.7442145063459806</v>
          </cell>
          <cell r="E271">
            <v>72.133415451521273</v>
          </cell>
          <cell r="F271">
            <v>69.066001947415714</v>
          </cell>
          <cell r="G271">
            <v>43.21778698913019</v>
          </cell>
          <cell r="H271">
            <v>0.59953681365743727</v>
          </cell>
          <cell r="I271">
            <v>0.18284721647460667</v>
          </cell>
          <cell r="J271">
            <v>0.78238403013204394</v>
          </cell>
          <cell r="K271">
            <v>1</v>
          </cell>
          <cell r="L271">
            <v>2790.8438675753705</v>
          </cell>
          <cell r="M271">
            <v>0</v>
          </cell>
          <cell r="N271">
            <v>0.78238403013204394</v>
          </cell>
          <cell r="O271">
            <v>13</v>
          </cell>
          <cell r="P271">
            <v>1</v>
          </cell>
          <cell r="Q271">
            <v>18</v>
          </cell>
        </row>
        <row r="272">
          <cell r="A272" t="str">
            <v>Piraí do Sul</v>
          </cell>
          <cell r="B272">
            <v>23651</v>
          </cell>
          <cell r="C272" t="str">
            <v>P2</v>
          </cell>
          <cell r="D272">
            <v>6.7442145063459806</v>
          </cell>
          <cell r="E272">
            <v>71.527453253546199</v>
          </cell>
          <cell r="F272">
            <v>55.642674299406032</v>
          </cell>
          <cell r="G272">
            <v>31.70048019317554</v>
          </cell>
          <cell r="H272">
            <v>0.52419708238569895</v>
          </cell>
          <cell r="I272">
            <v>0.13677207470775088</v>
          </cell>
          <cell r="J272">
            <v>0.66096915709344983</v>
          </cell>
          <cell r="K272">
            <v>1</v>
          </cell>
          <cell r="L272">
            <v>1825.2542408670038</v>
          </cell>
          <cell r="M272">
            <v>0</v>
          </cell>
          <cell r="N272">
            <v>0.66096915709344983</v>
          </cell>
          <cell r="O272">
            <v>50</v>
          </cell>
          <cell r="P272">
            <v>1</v>
          </cell>
          <cell r="Q272">
            <v>91</v>
          </cell>
        </row>
        <row r="273">
          <cell r="A273" t="str">
            <v>Piraquara</v>
          </cell>
          <cell r="B273">
            <v>118730</v>
          </cell>
          <cell r="C273" t="str">
            <v>M1</v>
          </cell>
          <cell r="D273">
            <v>10.334658226280325</v>
          </cell>
          <cell r="E273">
            <v>76.353293677589718</v>
          </cell>
          <cell r="F273">
            <v>56.205925031923186</v>
          </cell>
          <cell r="G273">
            <v>36.235809354188753</v>
          </cell>
          <cell r="H273">
            <v>0.56276826219096032</v>
          </cell>
          <cell r="I273">
            <v>0.7156769675977086</v>
          </cell>
          <cell r="J273">
            <v>1.278445229788669</v>
          </cell>
          <cell r="K273">
            <v>2</v>
          </cell>
          <cell r="L273">
            <v>10253.637737119298</v>
          </cell>
          <cell r="M273">
            <v>1</v>
          </cell>
          <cell r="N273">
            <v>0.27844522978866904</v>
          </cell>
          <cell r="O273">
            <v>388</v>
          </cell>
          <cell r="P273">
            <v>1</v>
          </cell>
          <cell r="Q273">
            <v>47</v>
          </cell>
        </row>
        <row r="274">
          <cell r="A274" t="str">
            <v>Pitanga</v>
          </cell>
          <cell r="B274">
            <v>33567</v>
          </cell>
          <cell r="C274" t="str">
            <v>P2</v>
          </cell>
          <cell r="D274">
            <v>6.7442145063459806</v>
          </cell>
          <cell r="E274">
            <v>67.589575529756885</v>
          </cell>
          <cell r="F274">
            <v>56.184936616010056</v>
          </cell>
          <cell r="G274">
            <v>33.899803313858733</v>
          </cell>
          <cell r="H274">
            <v>0.51832738860648264</v>
          </cell>
          <cell r="I274">
            <v>0.17699453435758919</v>
          </cell>
          <cell r="J274">
            <v>0.6953219229640718</v>
          </cell>
          <cell r="K274">
            <v>1</v>
          </cell>
          <cell r="L274">
            <v>2335.583213060811</v>
          </cell>
          <cell r="M274">
            <v>0</v>
          </cell>
          <cell r="N274">
            <v>0.6953219229640718</v>
          </cell>
          <cell r="O274">
            <v>32</v>
          </cell>
          <cell r="P274">
            <v>1</v>
          </cell>
          <cell r="Q274">
            <v>107</v>
          </cell>
        </row>
        <row r="275">
          <cell r="A275" t="str">
            <v>Pitangueiras</v>
          </cell>
          <cell r="B275">
            <v>3046</v>
          </cell>
          <cell r="C275" t="str">
            <v>P1</v>
          </cell>
          <cell r="D275">
            <v>13.046531872984266</v>
          </cell>
          <cell r="E275">
            <v>55.148456468132622</v>
          </cell>
          <cell r="F275">
            <v>42.765764566718325</v>
          </cell>
          <cell r="G275">
            <v>34.52205297129607</v>
          </cell>
          <cell r="H275">
            <v>0.44421356689115143</v>
          </cell>
          <cell r="I275">
            <v>1.5908297029477058E-2</v>
          </cell>
          <cell r="J275">
            <v>0.46012186392062848</v>
          </cell>
          <cell r="K275">
            <v>0</v>
          </cell>
          <cell r="L275">
            <v>179.90649459091634</v>
          </cell>
          <cell r="M275">
            <v>0</v>
          </cell>
          <cell r="N275">
            <v>0.46012186392062848</v>
          </cell>
          <cell r="O275">
            <v>334</v>
          </cell>
          <cell r="P275">
            <v>0</v>
          </cell>
          <cell r="Q275">
            <v>296</v>
          </cell>
        </row>
        <row r="276">
          <cell r="A276" t="str">
            <v>Planaltina do Paraná</v>
          </cell>
          <cell r="B276">
            <v>4070</v>
          </cell>
          <cell r="C276" t="str">
            <v>P1</v>
          </cell>
          <cell r="D276">
            <v>13.046531872984266</v>
          </cell>
          <cell r="E276">
            <v>53.607043036762924</v>
          </cell>
          <cell r="F276">
            <v>75.902061650446413</v>
          </cell>
          <cell r="G276">
            <v>43.820924855710736</v>
          </cell>
          <cell r="H276">
            <v>0.5415159948707875</v>
          </cell>
          <cell r="I276">
            <v>2.0386188045181709E-2</v>
          </cell>
          <cell r="J276">
            <v>0.56190218291596916</v>
          </cell>
          <cell r="K276">
            <v>1</v>
          </cell>
          <cell r="L276">
            <v>281.04680133793869</v>
          </cell>
          <cell r="M276">
            <v>0</v>
          </cell>
          <cell r="N276">
            <v>0.56190218291596916</v>
          </cell>
          <cell r="O276">
            <v>159</v>
          </cell>
          <cell r="P276">
            <v>1</v>
          </cell>
          <cell r="Q276">
            <v>68</v>
          </cell>
        </row>
        <row r="277">
          <cell r="A277" t="str">
            <v>Planalto</v>
          </cell>
          <cell r="B277">
            <v>14374</v>
          </cell>
          <cell r="C277" t="str">
            <v>P1</v>
          </cell>
          <cell r="D277">
            <v>13.046531872984266</v>
          </cell>
          <cell r="E277">
            <v>61.389340402529754</v>
          </cell>
          <cell r="F277">
            <v>49.289323513214448</v>
          </cell>
          <cell r="G277">
            <v>29.032287012954441</v>
          </cell>
          <cell r="H277">
            <v>0.46026515668836565</v>
          </cell>
          <cell r="I277">
            <v>6.1669200830318467E-2</v>
          </cell>
          <cell r="J277">
            <v>0.52193435751868411</v>
          </cell>
          <cell r="K277">
            <v>1</v>
          </cell>
          <cell r="L277">
            <v>722.61629600073411</v>
          </cell>
          <cell r="M277">
            <v>0</v>
          </cell>
          <cell r="N277">
            <v>0.52193435751868411</v>
          </cell>
          <cell r="O277">
            <v>239</v>
          </cell>
          <cell r="P277">
            <v>0</v>
          </cell>
          <cell r="Q277">
            <v>249</v>
          </cell>
        </row>
        <row r="278">
          <cell r="A278" t="str">
            <v>Ponta Grossa</v>
          </cell>
          <cell r="B278">
            <v>358371</v>
          </cell>
          <cell r="C278" t="str">
            <v>M2</v>
          </cell>
          <cell r="D278">
            <v>10.261794297910743</v>
          </cell>
          <cell r="E278">
            <v>69.484155640504753</v>
          </cell>
          <cell r="F278">
            <v>55.963855658098517</v>
          </cell>
          <cell r="G278">
            <v>22.229551042614073</v>
          </cell>
          <cell r="H278">
            <v>0.47878253804867232</v>
          </cell>
          <cell r="I278">
            <v>1.981820292161075</v>
          </cell>
          <cell r="J278">
            <v>2.4606028302097473</v>
          </cell>
          <cell r="K278">
            <v>3</v>
          </cell>
          <cell r="L278">
            <v>24156.494174707714</v>
          </cell>
          <cell r="M278">
            <v>2</v>
          </cell>
          <cell r="N278">
            <v>0.46060283020974735</v>
          </cell>
          <cell r="O278">
            <v>333</v>
          </cell>
          <cell r="P278">
            <v>2</v>
          </cell>
          <cell r="Q278">
            <v>207</v>
          </cell>
        </row>
        <row r="279">
          <cell r="A279" t="str">
            <v>Pontal do Paraná</v>
          </cell>
          <cell r="B279">
            <v>30425</v>
          </cell>
          <cell r="C279" t="str">
            <v>P2</v>
          </cell>
          <cell r="D279">
            <v>6.7442145063459806</v>
          </cell>
          <cell r="E279">
            <v>60.659588784995641</v>
          </cell>
          <cell r="F279">
            <v>45.54033339858259</v>
          </cell>
          <cell r="G279">
            <v>34.706576063367805</v>
          </cell>
          <cell r="H279">
            <v>0.47254532619061895</v>
          </cell>
          <cell r="I279">
            <v>0.15213045529670283</v>
          </cell>
          <cell r="J279">
            <v>0.62467578148732184</v>
          </cell>
          <cell r="K279">
            <v>1</v>
          </cell>
          <cell r="L279">
            <v>1830.1680483362672</v>
          </cell>
          <cell r="M279">
            <v>0</v>
          </cell>
          <cell r="N279">
            <v>0.62467578148732184</v>
          </cell>
          <cell r="O279">
            <v>83</v>
          </cell>
          <cell r="P279">
            <v>1</v>
          </cell>
          <cell r="Q279">
            <v>227</v>
          </cell>
        </row>
        <row r="280">
          <cell r="A280" t="str">
            <v>Porecatu</v>
          </cell>
          <cell r="B280">
            <v>11624</v>
          </cell>
          <cell r="C280" t="str">
            <v>P1</v>
          </cell>
          <cell r="D280">
            <v>13.046531872984266</v>
          </cell>
          <cell r="E280">
            <v>56.196438887432919</v>
          </cell>
          <cell r="F280">
            <v>43.851284038630354</v>
          </cell>
          <cell r="G280">
            <v>40.789787330852427</v>
          </cell>
          <cell r="H280">
            <v>0.47564747295040205</v>
          </cell>
          <cell r="I280">
            <v>5.1535026426355303E-2</v>
          </cell>
          <cell r="J280">
            <v>0.52718249937675732</v>
          </cell>
          <cell r="K280">
            <v>0</v>
          </cell>
          <cell r="L280">
            <v>624.04948451092753</v>
          </cell>
          <cell r="M280">
            <v>0</v>
          </cell>
          <cell r="N280">
            <v>0.52718249937675732</v>
          </cell>
          <cell r="O280">
            <v>225</v>
          </cell>
          <cell r="P280">
            <v>0</v>
          </cell>
          <cell r="Q280">
            <v>216</v>
          </cell>
        </row>
        <row r="281">
          <cell r="A281" t="str">
            <v>Porto Amazonas</v>
          </cell>
          <cell r="B281">
            <v>4098</v>
          </cell>
          <cell r="C281" t="str">
            <v>P1</v>
          </cell>
          <cell r="D281">
            <v>13.046531872984266</v>
          </cell>
          <cell r="E281">
            <v>61.007543542836466</v>
          </cell>
          <cell r="F281">
            <v>50.731238819471194</v>
          </cell>
          <cell r="G281">
            <v>28.595437868259747</v>
          </cell>
          <cell r="H281">
            <v>0.45987440328332724</v>
          </cell>
          <cell r="I281">
            <v>2.2232336095516086E-2</v>
          </cell>
          <cell r="J281">
            <v>0.4821067393788433</v>
          </cell>
          <cell r="K281">
            <v>0</v>
          </cell>
          <cell r="L281">
            <v>260.28891225836321</v>
          </cell>
          <cell r="M281">
            <v>0</v>
          </cell>
          <cell r="N281">
            <v>0.4821067393788433</v>
          </cell>
          <cell r="O281">
            <v>300</v>
          </cell>
          <cell r="P281">
            <v>0</v>
          </cell>
          <cell r="Q281">
            <v>253</v>
          </cell>
        </row>
        <row r="282">
          <cell r="A282" t="str">
            <v>Porto Barreiro</v>
          </cell>
          <cell r="B282">
            <v>3110</v>
          </cell>
          <cell r="C282" t="str">
            <v>P1</v>
          </cell>
          <cell r="D282">
            <v>13.046531872984266</v>
          </cell>
          <cell r="E282">
            <v>73.51240516386838</v>
          </cell>
          <cell r="F282">
            <v>60.612040193859947</v>
          </cell>
          <cell r="G282">
            <v>34.480736675344723</v>
          </cell>
          <cell r="H282">
            <v>0.55319664774457222</v>
          </cell>
          <cell r="I282">
            <v>1.5594059063462694E-2</v>
          </cell>
          <cell r="J282">
            <v>0.5687907068080349</v>
          </cell>
          <cell r="K282">
            <v>1</v>
          </cell>
          <cell r="L282">
            <v>219.61906915459517</v>
          </cell>
          <cell r="M282">
            <v>0</v>
          </cell>
          <cell r="N282">
            <v>0.5687907068080349</v>
          </cell>
          <cell r="O282">
            <v>143</v>
          </cell>
          <cell r="P282">
            <v>1</v>
          </cell>
          <cell r="Q282">
            <v>51</v>
          </cell>
        </row>
        <row r="283">
          <cell r="A283" t="str">
            <v>Porto Rico</v>
          </cell>
          <cell r="B283">
            <v>3182</v>
          </cell>
          <cell r="C283" t="str">
            <v>P1</v>
          </cell>
          <cell r="D283">
            <v>13.046531872984266</v>
          </cell>
          <cell r="E283">
            <v>48.40380478297908</v>
          </cell>
          <cell r="F283">
            <v>59.362685028952882</v>
          </cell>
          <cell r="G283">
            <v>29.825255155974073</v>
          </cell>
          <cell r="H283">
            <v>0.43164160981371835</v>
          </cell>
          <cell r="I283">
            <v>1.6772451436016553E-2</v>
          </cell>
          <cell r="J283">
            <v>0.44841406124973493</v>
          </cell>
          <cell r="K283">
            <v>0</v>
          </cell>
          <cell r="L283">
            <v>184.31096739045773</v>
          </cell>
          <cell r="M283">
            <v>0</v>
          </cell>
          <cell r="N283">
            <v>0.44841406124973493</v>
          </cell>
          <cell r="O283">
            <v>341</v>
          </cell>
          <cell r="P283">
            <v>0</v>
          </cell>
          <cell r="Q283">
            <v>316</v>
          </cell>
        </row>
        <row r="284">
          <cell r="A284" t="str">
            <v>Porto Vitória</v>
          </cell>
          <cell r="B284">
            <v>3562</v>
          </cell>
          <cell r="C284" t="str">
            <v>P1</v>
          </cell>
          <cell r="D284">
            <v>13.046531872984266</v>
          </cell>
          <cell r="E284">
            <v>67.497919809946808</v>
          </cell>
          <cell r="F284">
            <v>52.61255323668064</v>
          </cell>
          <cell r="G284">
            <v>34.969082171756035</v>
          </cell>
          <cell r="H284">
            <v>0.51509311440017269</v>
          </cell>
          <cell r="I284">
            <v>1.9522033638642217E-2</v>
          </cell>
          <cell r="J284">
            <v>0.53461514803881494</v>
          </cell>
          <cell r="K284">
            <v>1</v>
          </cell>
          <cell r="L284">
            <v>256.00127785688585</v>
          </cell>
          <cell r="M284">
            <v>0</v>
          </cell>
          <cell r="N284">
            <v>0.53461514803881494</v>
          </cell>
          <cell r="O284">
            <v>213</v>
          </cell>
          <cell r="P284">
            <v>1</v>
          </cell>
          <cell r="Q284">
            <v>114</v>
          </cell>
        </row>
        <row r="285">
          <cell r="A285" t="str">
            <v>Prado Ferreira</v>
          </cell>
          <cell r="B285">
            <v>3709</v>
          </cell>
          <cell r="C285" t="str">
            <v>P1</v>
          </cell>
          <cell r="D285">
            <v>13.046531872984266</v>
          </cell>
          <cell r="E285">
            <v>49.170171112112257</v>
          </cell>
          <cell r="F285">
            <v>82.319580689114801</v>
          </cell>
          <cell r="G285">
            <v>29.949443576821626</v>
          </cell>
          <cell r="H285">
            <v>0.48111762013396508</v>
          </cell>
          <cell r="I285">
            <v>1.9325634909883239E-2</v>
          </cell>
          <cell r="J285">
            <v>0.50044325504384835</v>
          </cell>
          <cell r="K285">
            <v>0</v>
          </cell>
          <cell r="L285">
            <v>236.70986910591083</v>
          </cell>
          <cell r="M285">
            <v>0</v>
          </cell>
          <cell r="N285">
            <v>0.50044325504384835</v>
          </cell>
          <cell r="O285">
            <v>279</v>
          </cell>
          <cell r="P285">
            <v>0</v>
          </cell>
          <cell r="Q285">
            <v>203</v>
          </cell>
        </row>
        <row r="286">
          <cell r="A286" t="str">
            <v>Pranchita</v>
          </cell>
          <cell r="B286">
            <v>5737</v>
          </cell>
          <cell r="C286" t="str">
            <v>P1</v>
          </cell>
          <cell r="D286">
            <v>13.046531872984266</v>
          </cell>
          <cell r="E286">
            <v>54.960139921610377</v>
          </cell>
          <cell r="F286">
            <v>54.251839603989914</v>
          </cell>
          <cell r="G286">
            <v>28.027474484674418</v>
          </cell>
          <cell r="H286">
            <v>0.44045413683311901</v>
          </cell>
          <cell r="I286">
            <v>2.7535101772008436E-2</v>
          </cell>
          <cell r="J286">
            <v>0.46798923860512742</v>
          </cell>
          <cell r="K286">
            <v>0</v>
          </cell>
          <cell r="L286">
            <v>308.75834992001643</v>
          </cell>
          <cell r="M286">
            <v>0</v>
          </cell>
          <cell r="N286">
            <v>0.46798923860512742</v>
          </cell>
          <cell r="O286">
            <v>323</v>
          </cell>
          <cell r="P286">
            <v>0</v>
          </cell>
          <cell r="Q286">
            <v>303</v>
          </cell>
        </row>
        <row r="287">
          <cell r="A287" t="str">
            <v>Presidente Castelo Branco</v>
          </cell>
          <cell r="B287">
            <v>4336</v>
          </cell>
          <cell r="C287" t="str">
            <v>P1</v>
          </cell>
          <cell r="D287">
            <v>13.046531872984266</v>
          </cell>
          <cell r="E287">
            <v>61.672920310064555</v>
          </cell>
          <cell r="F287">
            <v>62.13604658137438</v>
          </cell>
          <cell r="G287">
            <v>32.735167773016919</v>
          </cell>
          <cell r="H287">
            <v>0.50190444549507474</v>
          </cell>
          <cell r="I287">
            <v>2.0543307028188889E-2</v>
          </cell>
          <cell r="J287">
            <v>0.52244775252326359</v>
          </cell>
          <cell r="K287">
            <v>1</v>
          </cell>
          <cell r="L287">
            <v>262.4960249939241</v>
          </cell>
          <cell r="M287">
            <v>0</v>
          </cell>
          <cell r="N287">
            <v>0.52244775252326359</v>
          </cell>
          <cell r="O287">
            <v>238</v>
          </cell>
          <cell r="P287">
            <v>0</v>
          </cell>
          <cell r="Q287">
            <v>148</v>
          </cell>
        </row>
        <row r="288">
          <cell r="A288" t="str">
            <v>Primeiro de Maio</v>
          </cell>
          <cell r="B288">
            <v>10082</v>
          </cell>
          <cell r="C288" t="str">
            <v>P1</v>
          </cell>
          <cell r="D288">
            <v>13.046531872984266</v>
          </cell>
          <cell r="E288">
            <v>55.390611402930425</v>
          </cell>
          <cell r="F288">
            <v>38.647119964155145</v>
          </cell>
          <cell r="G288">
            <v>36.432223800648295</v>
          </cell>
          <cell r="H288">
            <v>0.44458558074262522</v>
          </cell>
          <cell r="I288">
            <v>4.2775643123704979E-2</v>
          </cell>
          <cell r="J288">
            <v>0.48736122386633018</v>
          </cell>
          <cell r="K288">
            <v>0</v>
          </cell>
          <cell r="L288">
            <v>484.15369742871889</v>
          </cell>
          <cell r="M288">
            <v>0</v>
          </cell>
          <cell r="N288">
            <v>0.48736122386633018</v>
          </cell>
          <cell r="O288">
            <v>293</v>
          </cell>
          <cell r="P288">
            <v>0</v>
          </cell>
          <cell r="Q288">
            <v>295</v>
          </cell>
        </row>
        <row r="289">
          <cell r="A289" t="str">
            <v>Prudentópolis</v>
          </cell>
          <cell r="B289">
            <v>49393</v>
          </cell>
          <cell r="C289" t="str">
            <v>P3</v>
          </cell>
          <cell r="D289">
            <v>4.2716330707619763</v>
          </cell>
          <cell r="E289">
            <v>68.187159212845515</v>
          </cell>
          <cell r="F289">
            <v>52.500674853263718</v>
          </cell>
          <cell r="G289">
            <v>36.370124006661698</v>
          </cell>
          <cell r="H289">
            <v>0.52323048258455629</v>
          </cell>
          <cell r="I289">
            <v>0.25885352450433036</v>
          </cell>
          <cell r="J289">
            <v>0.78208400708888659</v>
          </cell>
          <cell r="K289">
            <v>1</v>
          </cell>
          <cell r="L289">
            <v>3448.0888802322261</v>
          </cell>
          <cell r="M289">
            <v>0</v>
          </cell>
          <cell r="N289">
            <v>0.78208400708888659</v>
          </cell>
          <cell r="O289">
            <v>14</v>
          </cell>
          <cell r="P289">
            <v>1</v>
          </cell>
          <cell r="Q289">
            <v>95</v>
          </cell>
        </row>
        <row r="290">
          <cell r="A290" t="str">
            <v>Quarto Centenário</v>
          </cell>
          <cell r="B290">
            <v>4201</v>
          </cell>
          <cell r="C290" t="str">
            <v>P1</v>
          </cell>
          <cell r="D290">
            <v>13.046531872984266</v>
          </cell>
          <cell r="E290">
            <v>55.959668019040187</v>
          </cell>
          <cell r="F290">
            <v>42.730164561303091</v>
          </cell>
          <cell r="G290">
            <v>29.650518917485627</v>
          </cell>
          <cell r="H290">
            <v>0.42790107686870937</v>
          </cell>
          <cell r="I290">
            <v>2.0464747536685302E-2</v>
          </cell>
          <cell r="J290">
            <v>0.44836582440539469</v>
          </cell>
          <cell r="K290">
            <v>0</v>
          </cell>
          <cell r="L290">
            <v>222.93646104859758</v>
          </cell>
          <cell r="M290">
            <v>0</v>
          </cell>
          <cell r="N290">
            <v>0.44836582440539469</v>
          </cell>
          <cell r="O290">
            <v>342</v>
          </cell>
          <cell r="P290">
            <v>0</v>
          </cell>
          <cell r="Q290">
            <v>327</v>
          </cell>
        </row>
        <row r="291">
          <cell r="A291" t="str">
            <v>Quatiguá</v>
          </cell>
          <cell r="B291">
            <v>8099</v>
          </cell>
          <cell r="C291" t="str">
            <v>P1</v>
          </cell>
          <cell r="D291">
            <v>13.046531872984266</v>
          </cell>
          <cell r="E291">
            <v>51.799539238366044</v>
          </cell>
          <cell r="F291">
            <v>47.613733497630086</v>
          </cell>
          <cell r="G291">
            <v>35.071835664145716</v>
          </cell>
          <cell r="H291">
            <v>0.44271296660530723</v>
          </cell>
          <cell r="I291">
            <v>3.908334702303623E-2</v>
          </cell>
          <cell r="J291">
            <v>0.48179631362834346</v>
          </cell>
          <cell r="K291">
            <v>0</v>
          </cell>
          <cell r="L291">
            <v>440.49940177228069</v>
          </cell>
          <cell r="M291">
            <v>0</v>
          </cell>
          <cell r="N291">
            <v>0.48179631362834346</v>
          </cell>
          <cell r="O291">
            <v>302</v>
          </cell>
          <cell r="P291">
            <v>0</v>
          </cell>
          <cell r="Q291">
            <v>299</v>
          </cell>
        </row>
        <row r="292">
          <cell r="A292" t="str">
            <v>Quatro Barras</v>
          </cell>
          <cell r="B292">
            <v>24191</v>
          </cell>
          <cell r="C292" t="str">
            <v>P2</v>
          </cell>
          <cell r="D292">
            <v>6.7442145063459806</v>
          </cell>
          <cell r="E292">
            <v>64.272110519683295</v>
          </cell>
          <cell r="F292">
            <v>52.147434146917419</v>
          </cell>
          <cell r="G292">
            <v>14.138187169491742</v>
          </cell>
          <cell r="H292">
            <v>0.41793605905053499</v>
          </cell>
          <cell r="I292">
            <v>0.13846110377507809</v>
          </cell>
          <cell r="J292">
            <v>0.55639716282561302</v>
          </cell>
          <cell r="K292">
            <v>1</v>
          </cell>
          <cell r="L292">
            <v>1473.2246081531359</v>
          </cell>
          <cell r="M292">
            <v>0</v>
          </cell>
          <cell r="N292">
            <v>0.55639716282561302</v>
          </cell>
          <cell r="O292">
            <v>169</v>
          </cell>
          <cell r="P292">
            <v>1</v>
          </cell>
          <cell r="Q292">
            <v>341</v>
          </cell>
        </row>
        <row r="293">
          <cell r="A293" t="str">
            <v>Quatro Pontes</v>
          </cell>
          <cell r="B293">
            <v>4480</v>
          </cell>
          <cell r="C293" t="str">
            <v>P1</v>
          </cell>
          <cell r="D293">
            <v>13.046531872984266</v>
          </cell>
          <cell r="E293">
            <v>44.805289153298062</v>
          </cell>
          <cell r="F293">
            <v>54.748762992411258</v>
          </cell>
          <cell r="G293">
            <v>13.179507414956182</v>
          </cell>
          <cell r="H293">
            <v>0.34143671225783945</v>
          </cell>
          <cell r="I293">
            <v>2.0504027282437099E-2</v>
          </cell>
          <cell r="J293">
            <v>0.36194073954027656</v>
          </cell>
          <cell r="K293">
            <v>0</v>
          </cell>
          <cell r="L293">
            <v>178.22996379859219</v>
          </cell>
          <cell r="M293">
            <v>0</v>
          </cell>
          <cell r="N293">
            <v>0.36194073954027656</v>
          </cell>
          <cell r="O293">
            <v>381</v>
          </cell>
          <cell r="P293">
            <v>0</v>
          </cell>
          <cell r="Q293">
            <v>398</v>
          </cell>
        </row>
        <row r="294">
          <cell r="A294" t="str">
            <v>Quedas do Iguaçu</v>
          </cell>
          <cell r="B294">
            <v>30738</v>
          </cell>
          <cell r="C294" t="str">
            <v>P2</v>
          </cell>
          <cell r="D294">
            <v>6.7442145063459806</v>
          </cell>
          <cell r="E294">
            <v>66.693476494603857</v>
          </cell>
          <cell r="F294">
            <v>67.348318199850212</v>
          </cell>
          <cell r="G294">
            <v>40.636485860159446</v>
          </cell>
          <cell r="H294">
            <v>0.56401648581875363</v>
          </cell>
          <cell r="I294">
            <v>0.17306655978240965</v>
          </cell>
          <cell r="J294">
            <v>0.73708304560116322</v>
          </cell>
          <cell r="K294">
            <v>1</v>
          </cell>
          <cell r="L294">
            <v>2485.0566365174286</v>
          </cell>
          <cell r="M294">
            <v>0</v>
          </cell>
          <cell r="N294">
            <v>0.73708304560116322</v>
          </cell>
          <cell r="O294">
            <v>20</v>
          </cell>
          <cell r="P294">
            <v>1</v>
          </cell>
          <cell r="Q294">
            <v>45</v>
          </cell>
        </row>
        <row r="295">
          <cell r="A295" t="str">
            <v>Querência do Norte</v>
          </cell>
          <cell r="B295">
            <v>10685</v>
          </cell>
          <cell r="C295" t="str">
            <v>P1</v>
          </cell>
          <cell r="D295">
            <v>13.046531872984266</v>
          </cell>
          <cell r="E295">
            <v>58.583370933315521</v>
          </cell>
          <cell r="F295">
            <v>53.046011809291791</v>
          </cell>
          <cell r="G295">
            <v>39.716940982703115</v>
          </cell>
          <cell r="H295">
            <v>0.4992932712826581</v>
          </cell>
          <cell r="I295">
            <v>6.0569367949268205E-2</v>
          </cell>
          <cell r="J295">
            <v>0.55986263923192636</v>
          </cell>
          <cell r="K295">
            <v>1</v>
          </cell>
          <cell r="L295">
            <v>769.91022431785882</v>
          </cell>
          <cell r="M295">
            <v>0</v>
          </cell>
          <cell r="N295">
            <v>0.55986263923192636</v>
          </cell>
          <cell r="O295">
            <v>165</v>
          </cell>
          <cell r="P295">
            <v>1</v>
          </cell>
          <cell r="Q295">
            <v>153</v>
          </cell>
        </row>
        <row r="296">
          <cell r="A296" t="str">
            <v>Quinta do Sol</v>
          </cell>
          <cell r="B296">
            <v>5001</v>
          </cell>
          <cell r="C296" t="str">
            <v>P1</v>
          </cell>
          <cell r="D296">
            <v>13.046531872984266</v>
          </cell>
          <cell r="E296">
            <v>64.887679990889623</v>
          </cell>
          <cell r="F296">
            <v>54.966579066393855</v>
          </cell>
          <cell r="G296">
            <v>35.298659886378822</v>
          </cell>
          <cell r="H296">
            <v>0.51067851764186156</v>
          </cell>
          <cell r="I296">
            <v>2.513903728114893E-2</v>
          </cell>
          <cell r="J296">
            <v>0.53581755492301053</v>
          </cell>
          <cell r="K296">
            <v>1</v>
          </cell>
          <cell r="L296">
            <v>326.83425129079137</v>
          </cell>
          <cell r="M296">
            <v>0</v>
          </cell>
          <cell r="N296">
            <v>0.53581755492301053</v>
          </cell>
          <cell r="O296">
            <v>208</v>
          </cell>
          <cell r="P296">
            <v>1</v>
          </cell>
          <cell r="Q296">
            <v>126</v>
          </cell>
        </row>
        <row r="297">
          <cell r="A297" t="str">
            <v>Quitandinha</v>
          </cell>
          <cell r="B297">
            <v>18398</v>
          </cell>
          <cell r="C297" t="str">
            <v>P1</v>
          </cell>
          <cell r="D297">
            <v>13.046531872984266</v>
          </cell>
          <cell r="E297">
            <v>69.606099122971145</v>
          </cell>
          <cell r="F297">
            <v>51.348394658733191</v>
          </cell>
          <cell r="G297">
            <v>32.481825049127472</v>
          </cell>
          <cell r="H297">
            <v>0.51104848600586084</v>
          </cell>
          <cell r="I297">
            <v>9.3760753109535147E-2</v>
          </cell>
          <cell r="J297">
            <v>0.60480923911539597</v>
          </cell>
          <cell r="K297">
            <v>1</v>
          </cell>
          <cell r="L297">
            <v>1219.8727360959899</v>
          </cell>
          <cell r="M297">
            <v>0</v>
          </cell>
          <cell r="N297">
            <v>0.60480923911539597</v>
          </cell>
          <cell r="O297">
            <v>109</v>
          </cell>
          <cell r="P297">
            <v>1</v>
          </cell>
          <cell r="Q297">
            <v>125</v>
          </cell>
        </row>
        <row r="298">
          <cell r="A298" t="str">
            <v>Ramilândia</v>
          </cell>
          <cell r="B298">
            <v>4221</v>
          </cell>
          <cell r="C298" t="str">
            <v>P1</v>
          </cell>
          <cell r="D298">
            <v>13.046531872984266</v>
          </cell>
          <cell r="E298">
            <v>61.542742061520173</v>
          </cell>
          <cell r="F298">
            <v>60.096851710463341</v>
          </cell>
          <cell r="G298">
            <v>31.854576035225961</v>
          </cell>
          <cell r="H298">
            <v>0.4937829758079112</v>
          </cell>
          <cell r="I298">
            <v>2.3175049993559172E-2</v>
          </cell>
          <cell r="J298">
            <v>0.51695802580147032</v>
          </cell>
          <cell r="K298">
            <v>1</v>
          </cell>
          <cell r="L298">
            <v>291.33195572666762</v>
          </cell>
          <cell r="M298">
            <v>0</v>
          </cell>
          <cell r="N298">
            <v>0.51695802580147032</v>
          </cell>
          <cell r="O298">
            <v>249</v>
          </cell>
          <cell r="P298">
            <v>0</v>
          </cell>
          <cell r="Q298">
            <v>167</v>
          </cell>
        </row>
        <row r="299">
          <cell r="A299" t="str">
            <v>Rancho Alegre</v>
          </cell>
          <cell r="B299">
            <v>3512</v>
          </cell>
          <cell r="C299" t="str">
            <v>P1</v>
          </cell>
          <cell r="D299">
            <v>13.046531872984266</v>
          </cell>
          <cell r="E299">
            <v>54.789088956769845</v>
          </cell>
          <cell r="F299">
            <v>40.536821217987487</v>
          </cell>
          <cell r="G299">
            <v>40.78646081016435</v>
          </cell>
          <cell r="H299">
            <v>0.46337584150371169</v>
          </cell>
          <cell r="I299">
            <v>1.4376386945157044E-2</v>
          </cell>
          <cell r="J299">
            <v>0.47775222844886872</v>
          </cell>
          <cell r="K299">
            <v>0</v>
          </cell>
          <cell r="L299">
            <v>169.59555799035849</v>
          </cell>
          <cell r="M299">
            <v>0</v>
          </cell>
          <cell r="N299">
            <v>0.47775222844886872</v>
          </cell>
          <cell r="O299">
            <v>311</v>
          </cell>
          <cell r="P299">
            <v>0</v>
          </cell>
          <cell r="Q299">
            <v>244</v>
          </cell>
        </row>
        <row r="300">
          <cell r="A300" t="str">
            <v>Rancho Alegre D'Oeste</v>
          </cell>
          <cell r="B300">
            <v>2618</v>
          </cell>
          <cell r="C300" t="str">
            <v>P1</v>
          </cell>
          <cell r="D300">
            <v>13.046531872984266</v>
          </cell>
          <cell r="E300">
            <v>70.859326311783974</v>
          </cell>
          <cell r="F300">
            <v>40.936859342709347</v>
          </cell>
          <cell r="G300">
            <v>27.760273027805116</v>
          </cell>
          <cell r="H300">
            <v>0.47635211604377503</v>
          </cell>
          <cell r="I300">
            <v>1.3394393301362165E-2</v>
          </cell>
          <cell r="J300">
            <v>0.48974650934513719</v>
          </cell>
          <cell r="K300">
            <v>0</v>
          </cell>
          <cell r="L300">
            <v>162.43607157092728</v>
          </cell>
          <cell r="M300">
            <v>0</v>
          </cell>
          <cell r="N300">
            <v>0.48974650934513719</v>
          </cell>
          <cell r="O300">
            <v>291</v>
          </cell>
          <cell r="P300">
            <v>0</v>
          </cell>
          <cell r="Q300">
            <v>214</v>
          </cell>
        </row>
        <row r="301">
          <cell r="A301" t="str">
            <v>Realeza</v>
          </cell>
          <cell r="B301">
            <v>19247</v>
          </cell>
          <cell r="C301" t="str">
            <v>P1</v>
          </cell>
          <cell r="D301">
            <v>13.046531872984266</v>
          </cell>
          <cell r="E301">
            <v>53.269987674566487</v>
          </cell>
          <cell r="F301">
            <v>49.543117379163057</v>
          </cell>
          <cell r="G301">
            <v>24.578932777740707</v>
          </cell>
          <cell r="H301">
            <v>0.41048191656755489</v>
          </cell>
          <cell r="I301">
            <v>9.5096264465096197E-2</v>
          </cell>
          <cell r="J301">
            <v>0.50557818103265106</v>
          </cell>
          <cell r="K301">
            <v>1</v>
          </cell>
          <cell r="L301">
            <v>993.77672001005044</v>
          </cell>
          <cell r="M301">
            <v>0</v>
          </cell>
          <cell r="N301">
            <v>0.50557818103265106</v>
          </cell>
          <cell r="O301">
            <v>271</v>
          </cell>
          <cell r="P301">
            <v>0</v>
          </cell>
          <cell r="Q301">
            <v>354</v>
          </cell>
        </row>
        <row r="302">
          <cell r="A302" t="str">
            <v>Rebouças</v>
          </cell>
          <cell r="B302">
            <v>14514</v>
          </cell>
          <cell r="C302" t="str">
            <v>P1</v>
          </cell>
          <cell r="D302">
            <v>13.046531872984266</v>
          </cell>
          <cell r="E302">
            <v>69.253185858238027</v>
          </cell>
          <cell r="F302">
            <v>49.844684797434304</v>
          </cell>
          <cell r="G302">
            <v>42.115510379195669</v>
          </cell>
          <cell r="H302">
            <v>0.54516415454460343</v>
          </cell>
          <cell r="I302">
            <v>7.6674063707504236E-2</v>
          </cell>
          <cell r="J302">
            <v>0.62183821825210761</v>
          </cell>
          <cell r="K302">
            <v>1</v>
          </cell>
          <cell r="L302">
            <v>1064.1604296710659</v>
          </cell>
          <cell r="M302">
            <v>0</v>
          </cell>
          <cell r="N302">
            <v>0.62183821825210761</v>
          </cell>
          <cell r="O302">
            <v>86</v>
          </cell>
          <cell r="P302">
            <v>1</v>
          </cell>
          <cell r="Q302">
            <v>61</v>
          </cell>
        </row>
        <row r="303">
          <cell r="A303" t="str">
            <v>Renascença</v>
          </cell>
          <cell r="B303">
            <v>6845</v>
          </cell>
          <cell r="C303" t="str">
            <v>P1</v>
          </cell>
          <cell r="D303">
            <v>13.046531872984266</v>
          </cell>
          <cell r="E303">
            <v>71.962838168328588</v>
          </cell>
          <cell r="F303">
            <v>48.262711320822234</v>
          </cell>
          <cell r="G303">
            <v>22.828706949642605</v>
          </cell>
          <cell r="H303">
            <v>0.47569160311352926</v>
          </cell>
          <cell r="I303">
            <v>3.5469610413871068E-2</v>
          </cell>
          <cell r="J303">
            <v>0.51116121352740029</v>
          </cell>
          <cell r="K303">
            <v>1</v>
          </cell>
          <cell r="L303">
            <v>429.54951761151693</v>
          </cell>
          <cell r="M303">
            <v>0</v>
          </cell>
          <cell r="N303">
            <v>0.51116121352740029</v>
          </cell>
          <cell r="O303">
            <v>260</v>
          </cell>
          <cell r="P303">
            <v>0</v>
          </cell>
          <cell r="Q303">
            <v>215</v>
          </cell>
        </row>
        <row r="304">
          <cell r="A304" t="str">
            <v>Reserva</v>
          </cell>
          <cell r="B304">
            <v>24573</v>
          </cell>
          <cell r="C304" t="str">
            <v>P2</v>
          </cell>
          <cell r="D304">
            <v>6.7442145063459806</v>
          </cell>
          <cell r="E304">
            <v>68.722505609376867</v>
          </cell>
          <cell r="F304">
            <v>59.11389292077012</v>
          </cell>
          <cell r="G304">
            <v>43.631678892718519</v>
          </cell>
          <cell r="H304">
            <v>0.56764452384992181</v>
          </cell>
          <cell r="I304">
            <v>0.13767550886004218</v>
          </cell>
          <cell r="J304">
            <v>0.70532003270996402</v>
          </cell>
          <cell r="K304">
            <v>1</v>
          </cell>
          <cell r="L304">
            <v>1989.594056093976</v>
          </cell>
          <cell r="M304">
            <v>0</v>
          </cell>
          <cell r="N304">
            <v>0.70532003270996402</v>
          </cell>
          <cell r="O304">
            <v>29</v>
          </cell>
          <cell r="P304">
            <v>1</v>
          </cell>
          <cell r="Q304">
            <v>43</v>
          </cell>
        </row>
        <row r="305">
          <cell r="A305" t="str">
            <v>Reserva do Iguaçu</v>
          </cell>
          <cell r="B305">
            <v>6553</v>
          </cell>
          <cell r="C305" t="str">
            <v>P1</v>
          </cell>
          <cell r="D305">
            <v>13.046531872984266</v>
          </cell>
          <cell r="E305">
            <v>66.805501575984039</v>
          </cell>
          <cell r="F305">
            <v>63.484965045351146</v>
          </cell>
          <cell r="G305">
            <v>39.714107413161209</v>
          </cell>
          <cell r="H305">
            <v>0.55304836604728325</v>
          </cell>
          <cell r="I305">
            <v>4.2500684903442408E-2</v>
          </cell>
          <cell r="J305">
            <v>0.59554905095072563</v>
          </cell>
          <cell r="K305">
            <v>1</v>
          </cell>
          <cell r="L305">
            <v>598.39833206316052</v>
          </cell>
          <cell r="M305">
            <v>0</v>
          </cell>
          <cell r="N305">
            <v>0.59554905095072563</v>
          </cell>
          <cell r="O305">
            <v>122</v>
          </cell>
          <cell r="P305">
            <v>1</v>
          </cell>
          <cell r="Q305">
            <v>52</v>
          </cell>
        </row>
        <row r="306">
          <cell r="A306" t="str">
            <v>Ribeirão Claro</v>
          </cell>
          <cell r="B306">
            <v>12364</v>
          </cell>
          <cell r="C306" t="str">
            <v>P1</v>
          </cell>
          <cell r="D306">
            <v>13.046531872984266</v>
          </cell>
          <cell r="E306">
            <v>60.446151003778134</v>
          </cell>
          <cell r="F306">
            <v>49.400596186663904</v>
          </cell>
          <cell r="G306">
            <v>33.642852326783185</v>
          </cell>
          <cell r="H306">
            <v>0.47515720569557307</v>
          </cell>
          <cell r="I306">
            <v>5.9273136339458965E-2</v>
          </cell>
          <cell r="J306">
            <v>0.53443034203503204</v>
          </cell>
          <cell r="K306">
            <v>1</v>
          </cell>
          <cell r="L306">
            <v>717.01222339461981</v>
          </cell>
          <cell r="M306">
            <v>0</v>
          </cell>
          <cell r="N306">
            <v>0.53443034203503204</v>
          </cell>
          <cell r="O306">
            <v>214</v>
          </cell>
          <cell r="P306">
            <v>1</v>
          </cell>
          <cell r="Q306">
            <v>218</v>
          </cell>
        </row>
        <row r="307">
          <cell r="A307" t="str">
            <v>Ribeirão do Pinhal</v>
          </cell>
          <cell r="B307">
            <v>13060</v>
          </cell>
          <cell r="C307" t="str">
            <v>P1</v>
          </cell>
          <cell r="D307">
            <v>13.046531872984266</v>
          </cell>
          <cell r="E307">
            <v>65.612004402395314</v>
          </cell>
          <cell r="F307">
            <v>63.381224438868522</v>
          </cell>
          <cell r="G307">
            <v>50.970150042114312</v>
          </cell>
          <cell r="H307">
            <v>0.59309106665577549</v>
          </cell>
          <cell r="I307">
            <v>6.811107913361289E-2</v>
          </cell>
          <cell r="J307">
            <v>0.66120214578938841</v>
          </cell>
          <cell r="K307">
            <v>1</v>
          </cell>
          <cell r="L307">
            <v>1028.4199095811148</v>
          </cell>
          <cell r="M307">
            <v>0</v>
          </cell>
          <cell r="N307">
            <v>0.66120214578938841</v>
          </cell>
          <cell r="O307">
            <v>48</v>
          </cell>
          <cell r="P307">
            <v>1</v>
          </cell>
          <cell r="Q307">
            <v>24</v>
          </cell>
        </row>
        <row r="308">
          <cell r="A308" t="str">
            <v>Rio Azul</v>
          </cell>
          <cell r="B308">
            <v>14025</v>
          </cell>
          <cell r="C308" t="str">
            <v>P1</v>
          </cell>
          <cell r="D308">
            <v>13.046531872984266</v>
          </cell>
          <cell r="E308">
            <v>81.066717758286856</v>
          </cell>
          <cell r="F308">
            <v>65.248295704663292</v>
          </cell>
          <cell r="G308">
            <v>29.941281475353616</v>
          </cell>
          <cell r="H308">
            <v>0.57452858834388854</v>
          </cell>
          <cell r="I308">
            <v>7.2942487861083691E-2</v>
          </cell>
          <cell r="J308">
            <v>0.64747107620497224</v>
          </cell>
          <cell r="K308">
            <v>1</v>
          </cell>
          <cell r="L308">
            <v>1066.899588554601</v>
          </cell>
          <cell r="M308">
            <v>0</v>
          </cell>
          <cell r="N308">
            <v>0.64747107620497224</v>
          </cell>
          <cell r="O308">
            <v>62</v>
          </cell>
          <cell r="P308">
            <v>1</v>
          </cell>
          <cell r="Q308">
            <v>37</v>
          </cell>
        </row>
        <row r="309">
          <cell r="A309" t="str">
            <v>Rio Bom</v>
          </cell>
          <cell r="B309">
            <v>3197</v>
          </cell>
          <cell r="C309" t="str">
            <v>P1</v>
          </cell>
          <cell r="D309">
            <v>13.046531872984266</v>
          </cell>
          <cell r="E309">
            <v>59.565152352681473</v>
          </cell>
          <cell r="F309">
            <v>44.890480583126994</v>
          </cell>
          <cell r="G309">
            <v>39.916708554524384</v>
          </cell>
          <cell r="H309">
            <v>0.48770840479507738</v>
          </cell>
          <cell r="I309">
            <v>1.4612065419667817E-2</v>
          </cell>
          <cell r="J309">
            <v>0.50232047021474524</v>
          </cell>
          <cell r="K309">
            <v>0</v>
          </cell>
          <cell r="L309">
            <v>181.42752658376878</v>
          </cell>
          <cell r="M309">
            <v>0</v>
          </cell>
          <cell r="N309">
            <v>0.50232047021474524</v>
          </cell>
          <cell r="O309">
            <v>275</v>
          </cell>
          <cell r="P309">
            <v>0</v>
          </cell>
          <cell r="Q309">
            <v>181</v>
          </cell>
        </row>
        <row r="310">
          <cell r="A310" t="str">
            <v>Rio Bonito do Iguaçu</v>
          </cell>
          <cell r="B310">
            <v>13929</v>
          </cell>
          <cell r="C310" t="str">
            <v>P1</v>
          </cell>
          <cell r="D310">
            <v>13.046531872984266</v>
          </cell>
          <cell r="E310">
            <v>70.377145387265372</v>
          </cell>
          <cell r="F310">
            <v>68.505509757163111</v>
          </cell>
          <cell r="G310">
            <v>47.308116443538161</v>
          </cell>
          <cell r="H310">
            <v>0.60775206683754035</v>
          </cell>
          <cell r="I310">
            <v>8.4412173620607892E-2</v>
          </cell>
          <cell r="J310">
            <v>0.69216424045814828</v>
          </cell>
          <cell r="K310">
            <v>1</v>
          </cell>
          <cell r="L310">
            <v>1306.0591916338742</v>
          </cell>
          <cell r="M310">
            <v>0</v>
          </cell>
          <cell r="N310">
            <v>0.69216424045814828</v>
          </cell>
          <cell r="O310">
            <v>35</v>
          </cell>
          <cell r="P310">
            <v>1</v>
          </cell>
          <cell r="Q310">
            <v>14</v>
          </cell>
        </row>
        <row r="311">
          <cell r="A311" t="str">
            <v>Rio Branco do Ivaí</v>
          </cell>
          <cell r="B311">
            <v>3808</v>
          </cell>
          <cell r="C311" t="str">
            <v>P1</v>
          </cell>
          <cell r="D311">
            <v>13.046531872984266</v>
          </cell>
          <cell r="E311">
            <v>65.521125048238929</v>
          </cell>
          <cell r="F311">
            <v>51.443734282435933</v>
          </cell>
          <cell r="G311">
            <v>63.886959703331719</v>
          </cell>
          <cell r="H311">
            <v>0.62051980757115455</v>
          </cell>
          <cell r="I311">
            <v>2.3057210756303785E-2</v>
          </cell>
          <cell r="J311">
            <v>0.64357701832745828</v>
          </cell>
          <cell r="K311">
            <v>1</v>
          </cell>
          <cell r="L311">
            <v>364.24512704426775</v>
          </cell>
          <cell r="M311">
            <v>0</v>
          </cell>
          <cell r="N311">
            <v>0.64357701832745828</v>
          </cell>
          <cell r="O311">
            <v>63</v>
          </cell>
          <cell r="P311">
            <v>1</v>
          </cell>
          <cell r="Q311">
            <v>10</v>
          </cell>
        </row>
        <row r="312">
          <cell r="A312" t="str">
            <v>Rio Branco do Sul</v>
          </cell>
          <cell r="B312">
            <v>37558</v>
          </cell>
          <cell r="C312" t="str">
            <v>P2</v>
          </cell>
          <cell r="D312">
            <v>6.7442145063459806</v>
          </cell>
          <cell r="E312">
            <v>70.817425278142608</v>
          </cell>
          <cell r="F312">
            <v>53.811607576354163</v>
          </cell>
          <cell r="G312">
            <v>36.893501631964902</v>
          </cell>
          <cell r="H312">
            <v>0.53846692279313835</v>
          </cell>
          <cell r="I312">
            <v>0.21863106485449207</v>
          </cell>
          <cell r="J312">
            <v>0.75709798764763048</v>
          </cell>
          <cell r="K312">
            <v>1</v>
          </cell>
          <cell r="L312">
            <v>2997.1068922666082</v>
          </cell>
          <cell r="M312">
            <v>0</v>
          </cell>
          <cell r="N312">
            <v>0.75709798764763048</v>
          </cell>
          <cell r="O312">
            <v>17</v>
          </cell>
          <cell r="P312">
            <v>1</v>
          </cell>
          <cell r="Q312">
            <v>73</v>
          </cell>
        </row>
        <row r="313">
          <cell r="A313" t="str">
            <v>Rio Negro</v>
          </cell>
          <cell r="B313">
            <v>31324</v>
          </cell>
          <cell r="C313" t="str">
            <v>P2</v>
          </cell>
          <cell r="D313">
            <v>6.7442145063459806</v>
          </cell>
          <cell r="E313">
            <v>59.495943342902237</v>
          </cell>
          <cell r="F313">
            <v>47.75905156005922</v>
          </cell>
          <cell r="G313">
            <v>25.455260906274713</v>
          </cell>
          <cell r="H313">
            <v>0.43532292011682627</v>
          </cell>
          <cell r="I313">
            <v>0.16151831453138185</v>
          </cell>
          <cell r="J313">
            <v>0.59684123464820815</v>
          </cell>
          <cell r="K313">
            <v>1</v>
          </cell>
          <cell r="L313">
            <v>1790.0478475203897</v>
          </cell>
          <cell r="M313">
            <v>0</v>
          </cell>
          <cell r="N313">
            <v>0.59684123464820815</v>
          </cell>
          <cell r="O313">
            <v>121</v>
          </cell>
          <cell r="P313">
            <v>1</v>
          </cell>
          <cell r="Q313">
            <v>311</v>
          </cell>
        </row>
        <row r="314">
          <cell r="A314" t="str">
            <v>Rolândia</v>
          </cell>
          <cell r="B314">
            <v>71670</v>
          </cell>
          <cell r="C314" t="str">
            <v>P4</v>
          </cell>
          <cell r="D314">
            <v>3.5744175836676115</v>
          </cell>
          <cell r="E314">
            <v>64.54201788887417</v>
          </cell>
          <cell r="F314">
            <v>56.512103935759292</v>
          </cell>
          <cell r="G314">
            <v>20.289593310943054</v>
          </cell>
          <cell r="H314">
            <v>0.45235065267078745</v>
          </cell>
          <cell r="I314">
            <v>0.37347182260806877</v>
          </cell>
          <cell r="J314">
            <v>0.82582247527885622</v>
          </cell>
          <cell r="K314">
            <v>1</v>
          </cell>
          <cell r="L314">
            <v>4300.950005593847</v>
          </cell>
          <cell r="M314">
            <v>0</v>
          </cell>
          <cell r="N314">
            <v>0.82582247527885622</v>
          </cell>
          <cell r="O314">
            <v>9</v>
          </cell>
          <cell r="P314">
            <v>1</v>
          </cell>
          <cell r="Q314">
            <v>277</v>
          </cell>
        </row>
        <row r="315">
          <cell r="A315" t="str">
            <v>Roncador</v>
          </cell>
          <cell r="B315">
            <v>11251</v>
          </cell>
          <cell r="C315" t="str">
            <v>P1</v>
          </cell>
          <cell r="D315">
            <v>13.046531872984266</v>
          </cell>
          <cell r="E315">
            <v>65.277607725721069</v>
          </cell>
          <cell r="F315">
            <v>53.414872459358946</v>
          </cell>
          <cell r="G315">
            <v>34.435202633657035</v>
          </cell>
          <cell r="H315">
            <v>0.50568098635623027</v>
          </cell>
          <cell r="I315">
            <v>5.5973637696308164E-2</v>
          </cell>
          <cell r="J315">
            <v>0.56165462405253841</v>
          </cell>
          <cell r="K315">
            <v>1</v>
          </cell>
          <cell r="L315">
            <v>720.59540555762817</v>
          </cell>
          <cell r="M315">
            <v>0</v>
          </cell>
          <cell r="N315">
            <v>0.56165462405253841</v>
          </cell>
          <cell r="O315">
            <v>161</v>
          </cell>
          <cell r="P315">
            <v>1</v>
          </cell>
          <cell r="Q315">
            <v>135</v>
          </cell>
        </row>
        <row r="316">
          <cell r="A316" t="str">
            <v>Rondon</v>
          </cell>
          <cell r="B316">
            <v>9097</v>
          </cell>
          <cell r="C316" t="str">
            <v>P1</v>
          </cell>
          <cell r="D316">
            <v>13.046531872984266</v>
          </cell>
          <cell r="E316">
            <v>52.171736551527324</v>
          </cell>
          <cell r="F316">
            <v>56.158639165566079</v>
          </cell>
          <cell r="G316">
            <v>28.341118869797654</v>
          </cell>
          <cell r="H316">
            <v>0.43436870001643207</v>
          </cell>
          <cell r="I316">
            <v>4.6507218970125518E-2</v>
          </cell>
          <cell r="J316">
            <v>0.48087591898655757</v>
          </cell>
          <cell r="K316">
            <v>0</v>
          </cell>
          <cell r="L316">
            <v>514.29254081945555</v>
          </cell>
          <cell r="M316">
            <v>0</v>
          </cell>
          <cell r="N316">
            <v>0.48087591898655757</v>
          </cell>
          <cell r="O316">
            <v>305</v>
          </cell>
          <cell r="P316">
            <v>0</v>
          </cell>
          <cell r="Q316">
            <v>315</v>
          </cell>
        </row>
        <row r="317">
          <cell r="A317" t="str">
            <v>Rosário do Ivaí</v>
          </cell>
          <cell r="B317">
            <v>5435</v>
          </cell>
          <cell r="C317" t="str">
            <v>P1</v>
          </cell>
          <cell r="D317">
            <v>13.046531872984266</v>
          </cell>
          <cell r="E317">
            <v>60.422455352857881</v>
          </cell>
          <cell r="F317">
            <v>43.977229509284371</v>
          </cell>
          <cell r="G317">
            <v>45.75726188423647</v>
          </cell>
          <cell r="H317">
            <v>0.51267332796694609</v>
          </cell>
          <cell r="I317">
            <v>2.7456542280504849E-2</v>
          </cell>
          <cell r="J317">
            <v>0.54012987024745096</v>
          </cell>
          <cell r="K317">
            <v>0</v>
          </cell>
          <cell r="L317">
            <v>358.35865624889533</v>
          </cell>
          <cell r="M317">
            <v>0</v>
          </cell>
          <cell r="N317">
            <v>0.54012987024745096</v>
          </cell>
          <cell r="O317">
            <v>198</v>
          </cell>
          <cell r="P317">
            <v>1</v>
          </cell>
          <cell r="Q317">
            <v>122</v>
          </cell>
        </row>
        <row r="318">
          <cell r="A318" t="str">
            <v>Sabáudia</v>
          </cell>
          <cell r="B318">
            <v>8822</v>
          </cell>
          <cell r="C318" t="str">
            <v>P1</v>
          </cell>
          <cell r="D318">
            <v>13.046531872984266</v>
          </cell>
          <cell r="E318">
            <v>49.736420978715444</v>
          </cell>
          <cell r="F318">
            <v>49.149456956169637</v>
          </cell>
          <cell r="G318">
            <v>20.341349490026268</v>
          </cell>
          <cell r="H318">
            <v>0.37860999578730614</v>
          </cell>
          <cell r="I318">
            <v>4.7332093630913216E-2</v>
          </cell>
          <cell r="J318">
            <v>0.42594208941821937</v>
          </cell>
          <cell r="K318">
            <v>0</v>
          </cell>
          <cell r="L318">
            <v>456.22504492370388</v>
          </cell>
          <cell r="M318">
            <v>0</v>
          </cell>
          <cell r="N318">
            <v>0.42594208941821937</v>
          </cell>
          <cell r="O318">
            <v>358</v>
          </cell>
          <cell r="P318">
            <v>0</v>
          </cell>
          <cell r="Q318">
            <v>388</v>
          </cell>
        </row>
        <row r="319">
          <cell r="A319" t="str">
            <v>Salgado Filho</v>
          </cell>
          <cell r="B319">
            <v>4075</v>
          </cell>
          <cell r="C319" t="str">
            <v>P1</v>
          </cell>
          <cell r="D319">
            <v>13.046531872984266</v>
          </cell>
          <cell r="E319">
            <v>43.008414969841105</v>
          </cell>
          <cell r="F319">
            <v>47.249731473593236</v>
          </cell>
          <cell r="G319">
            <v>30.409098701441295</v>
          </cell>
          <cell r="H319">
            <v>0.38816951763231605</v>
          </cell>
          <cell r="I319">
            <v>1.9836271604656577E-2</v>
          </cell>
          <cell r="J319">
            <v>0.40800578923697262</v>
          </cell>
          <cell r="K319">
            <v>0</v>
          </cell>
          <cell r="L319">
            <v>196.0256064043196</v>
          </cell>
          <cell r="M319">
            <v>0</v>
          </cell>
          <cell r="N319">
            <v>0.40800578923697262</v>
          </cell>
          <cell r="O319">
            <v>370</v>
          </cell>
          <cell r="P319">
            <v>0</v>
          </cell>
          <cell r="Q319">
            <v>376</v>
          </cell>
        </row>
        <row r="320">
          <cell r="A320" t="str">
            <v>Salto do Itararé</v>
          </cell>
          <cell r="B320">
            <v>5192</v>
          </cell>
          <cell r="C320" t="str">
            <v>P1</v>
          </cell>
          <cell r="D320">
            <v>13.046531872984266</v>
          </cell>
          <cell r="E320">
            <v>58.439933863513389</v>
          </cell>
          <cell r="F320">
            <v>40.483418717488746</v>
          </cell>
          <cell r="G320">
            <v>42.153360811745131</v>
          </cell>
          <cell r="H320">
            <v>0.48334001613601157</v>
          </cell>
          <cell r="I320">
            <v>2.4864079060886366E-2</v>
          </cell>
          <cell r="J320">
            <v>0.50820409519689791</v>
          </cell>
          <cell r="K320">
            <v>0</v>
          </cell>
          <cell r="L320">
            <v>305.95423021409533</v>
          </cell>
          <cell r="M320">
            <v>0</v>
          </cell>
          <cell r="N320">
            <v>0.50820409519689791</v>
          </cell>
          <cell r="O320">
            <v>267</v>
          </cell>
          <cell r="P320">
            <v>0</v>
          </cell>
          <cell r="Q320">
            <v>194</v>
          </cell>
        </row>
        <row r="321">
          <cell r="A321" t="str">
            <v>Salto do Lontra</v>
          </cell>
          <cell r="B321">
            <v>15223</v>
          </cell>
          <cell r="C321" t="str">
            <v>P1</v>
          </cell>
          <cell r="D321">
            <v>13.046531872984266</v>
          </cell>
          <cell r="E321">
            <v>69.981146355465029</v>
          </cell>
          <cell r="F321">
            <v>48.38768247491938</v>
          </cell>
          <cell r="G321">
            <v>32.909974929493572</v>
          </cell>
          <cell r="H321">
            <v>0.5083398500896732</v>
          </cell>
          <cell r="I321">
            <v>7.7577497859795536E-2</v>
          </cell>
          <cell r="J321">
            <v>0.5859173479494687</v>
          </cell>
          <cell r="K321">
            <v>1</v>
          </cell>
          <cell r="L321">
            <v>1003.9712039271045</v>
          </cell>
          <cell r="M321">
            <v>0</v>
          </cell>
          <cell r="N321">
            <v>0.5859173479494687</v>
          </cell>
          <cell r="O321">
            <v>128</v>
          </cell>
          <cell r="P321">
            <v>1</v>
          </cell>
          <cell r="Q321">
            <v>132</v>
          </cell>
        </row>
        <row r="322">
          <cell r="A322" t="str">
            <v>Santa Amélia</v>
          </cell>
          <cell r="B322">
            <v>3394</v>
          </cell>
          <cell r="C322" t="str">
            <v>P1</v>
          </cell>
          <cell r="D322">
            <v>13.046531872984266</v>
          </cell>
          <cell r="E322">
            <v>53.169061989466762</v>
          </cell>
          <cell r="F322">
            <v>62.174338551986828</v>
          </cell>
          <cell r="G322">
            <v>48.362138323348745</v>
          </cell>
          <cell r="H322">
            <v>0.53047347835523562</v>
          </cell>
          <cell r="I322">
            <v>1.7793724825563226E-2</v>
          </cell>
          <cell r="J322">
            <v>0.5482672031807988</v>
          </cell>
          <cell r="K322">
            <v>0</v>
          </cell>
          <cell r="L322">
            <v>240.30448569492174</v>
          </cell>
          <cell r="M322">
            <v>0</v>
          </cell>
          <cell r="N322">
            <v>0.5482672031807988</v>
          </cell>
          <cell r="O322">
            <v>185</v>
          </cell>
          <cell r="P322">
            <v>1</v>
          </cell>
          <cell r="Q322">
            <v>86</v>
          </cell>
        </row>
        <row r="323">
          <cell r="A323" t="str">
            <v>Santa Cecília do Pavão</v>
          </cell>
          <cell r="B323">
            <v>3365</v>
          </cell>
          <cell r="C323" t="str">
            <v>P1</v>
          </cell>
          <cell r="D323">
            <v>13.046531872984266</v>
          </cell>
          <cell r="E323">
            <v>48.361983111092442</v>
          </cell>
          <cell r="F323">
            <v>70.19124044719203</v>
          </cell>
          <cell r="G323">
            <v>37.719369461397925</v>
          </cell>
          <cell r="H323">
            <v>0.48470789118434554</v>
          </cell>
          <cell r="I323">
            <v>1.6654612198761166E-2</v>
          </cell>
          <cell r="J323">
            <v>0.50136250338310673</v>
          </cell>
          <cell r="K323">
            <v>0</v>
          </cell>
          <cell r="L323">
            <v>205.51614586216252</v>
          </cell>
          <cell r="M323">
            <v>0</v>
          </cell>
          <cell r="N323">
            <v>0.50136250338310673</v>
          </cell>
          <cell r="O323">
            <v>277</v>
          </cell>
          <cell r="P323">
            <v>0</v>
          </cell>
          <cell r="Q323">
            <v>190</v>
          </cell>
        </row>
        <row r="324">
          <cell r="A324" t="str">
            <v>Santa Cruz de Monte Castelo</v>
          </cell>
          <cell r="B324">
            <v>8613</v>
          </cell>
          <cell r="C324" t="str">
            <v>P1</v>
          </cell>
          <cell r="D324">
            <v>13.046531872984266</v>
          </cell>
          <cell r="E324">
            <v>47.085284600278484</v>
          </cell>
          <cell r="F324">
            <v>51.744704712791417</v>
          </cell>
          <cell r="G324">
            <v>40.796423252158554</v>
          </cell>
          <cell r="H324">
            <v>0.45501624083533104</v>
          </cell>
          <cell r="I324">
            <v>4.3600517784492671E-2</v>
          </cell>
          <cell r="J324">
            <v>0.49861675861982369</v>
          </cell>
          <cell r="K324">
            <v>0</v>
          </cell>
          <cell r="L324">
            <v>505.06802732721746</v>
          </cell>
          <cell r="M324">
            <v>0</v>
          </cell>
          <cell r="N324">
            <v>0.49861675861982369</v>
          </cell>
          <cell r="O324">
            <v>283</v>
          </cell>
          <cell r="P324">
            <v>0</v>
          </cell>
          <cell r="Q324">
            <v>267</v>
          </cell>
        </row>
        <row r="325">
          <cell r="A325" t="str">
            <v>Santa Fé</v>
          </cell>
          <cell r="B325">
            <v>11378</v>
          </cell>
          <cell r="C325" t="str">
            <v>P1</v>
          </cell>
          <cell r="D325">
            <v>13.046531872984266</v>
          </cell>
          <cell r="E325">
            <v>42.786538366226679</v>
          </cell>
          <cell r="F325">
            <v>50.025424144093485</v>
          </cell>
          <cell r="G325">
            <v>27.181197848442121</v>
          </cell>
          <cell r="H325">
            <v>0.3799217931468622</v>
          </cell>
          <cell r="I325">
            <v>5.3970370662966609E-2</v>
          </cell>
          <cell r="J325">
            <v>0.43389216380982881</v>
          </cell>
          <cell r="K325">
            <v>0</v>
          </cell>
          <cell r="L325">
            <v>522.01254378378871</v>
          </cell>
          <cell r="M325">
            <v>0</v>
          </cell>
          <cell r="N325">
            <v>0.43389216380982881</v>
          </cell>
          <cell r="O325">
            <v>352</v>
          </cell>
          <cell r="P325">
            <v>0</v>
          </cell>
          <cell r="Q325">
            <v>386</v>
          </cell>
        </row>
        <row r="326">
          <cell r="A326" t="str">
            <v>Santa Helena</v>
          </cell>
          <cell r="B326">
            <v>25492</v>
          </cell>
          <cell r="C326" t="str">
            <v>P2</v>
          </cell>
          <cell r="D326">
            <v>6.7442145063459806</v>
          </cell>
          <cell r="E326">
            <v>49.982530235205026</v>
          </cell>
          <cell r="F326">
            <v>51.73843264147024</v>
          </cell>
          <cell r="G326">
            <v>24.236423152344326</v>
          </cell>
          <cell r="H326">
            <v>0.40035267883313785</v>
          </cell>
          <cell r="I326">
            <v>0.12974100021817955</v>
          </cell>
          <cell r="J326">
            <v>0.53009367905131743</v>
          </cell>
          <cell r="K326">
            <v>1</v>
          </cell>
          <cell r="L326">
            <v>1322.3648981858544</v>
          </cell>
          <cell r="M326">
            <v>0</v>
          </cell>
          <cell r="N326">
            <v>0.53009367905131743</v>
          </cell>
          <cell r="O326">
            <v>223</v>
          </cell>
          <cell r="P326">
            <v>0</v>
          </cell>
          <cell r="Q326">
            <v>364</v>
          </cell>
        </row>
        <row r="327">
          <cell r="A327" t="str">
            <v>Santa Inês</v>
          </cell>
          <cell r="B327">
            <v>1748</v>
          </cell>
          <cell r="C327" t="str">
            <v>P1</v>
          </cell>
          <cell r="D327">
            <v>13.046531872984266</v>
          </cell>
          <cell r="E327">
            <v>49.072317421460632</v>
          </cell>
          <cell r="F327">
            <v>47.60085874265571</v>
          </cell>
          <cell r="G327">
            <v>35.734870625005932</v>
          </cell>
          <cell r="H327">
            <v>0.43443046967117765</v>
          </cell>
          <cell r="I327">
            <v>7.8166694046072453E-3</v>
          </cell>
          <cell r="J327">
            <v>0.44224713907578489</v>
          </cell>
          <cell r="K327">
            <v>0</v>
          </cell>
          <cell r="L327">
            <v>86.451663464564348</v>
          </cell>
          <cell r="M327">
            <v>0</v>
          </cell>
          <cell r="N327">
            <v>0.44224713907578489</v>
          </cell>
          <cell r="O327">
            <v>346</v>
          </cell>
          <cell r="P327">
            <v>0</v>
          </cell>
          <cell r="Q327">
            <v>314</v>
          </cell>
        </row>
        <row r="328">
          <cell r="A328" t="str">
            <v>Santa Isabel do Ivaí</v>
          </cell>
          <cell r="B328">
            <v>8912</v>
          </cell>
          <cell r="C328" t="str">
            <v>P1</v>
          </cell>
          <cell r="D328">
            <v>13.046531872984266</v>
          </cell>
          <cell r="E328">
            <v>54.511024202958978</v>
          </cell>
          <cell r="F328">
            <v>66.256190485732631</v>
          </cell>
          <cell r="G328">
            <v>30.304012317601735</v>
          </cell>
          <cell r="H328">
            <v>0.47177252705370804</v>
          </cell>
          <cell r="I328">
            <v>4.2736363377953182E-2</v>
          </cell>
          <cell r="J328">
            <v>0.51450889043166126</v>
          </cell>
          <cell r="K328">
            <v>0</v>
          </cell>
          <cell r="L328">
            <v>513.28850943443433</v>
          </cell>
          <cell r="M328">
            <v>0</v>
          </cell>
          <cell r="N328">
            <v>0.51450889043166126</v>
          </cell>
          <cell r="O328">
            <v>254</v>
          </cell>
          <cell r="P328">
            <v>0</v>
          </cell>
          <cell r="Q328">
            <v>228</v>
          </cell>
        </row>
        <row r="329">
          <cell r="A329" t="str">
            <v>Santa Izabel do Oeste</v>
          </cell>
          <cell r="B329">
            <v>14070</v>
          </cell>
          <cell r="C329" t="str">
            <v>P1</v>
          </cell>
          <cell r="D329">
            <v>13.046531872984266</v>
          </cell>
          <cell r="E329">
            <v>65.730780757948793</v>
          </cell>
          <cell r="F329">
            <v>46.427978658294897</v>
          </cell>
          <cell r="G329">
            <v>29.471024507093812</v>
          </cell>
          <cell r="H329">
            <v>0.4736631783767602</v>
          </cell>
          <cell r="I329">
            <v>7.0585703115975978E-2</v>
          </cell>
          <cell r="J329">
            <v>0.5442488814927362</v>
          </cell>
          <cell r="K329">
            <v>1</v>
          </cell>
          <cell r="L329">
            <v>851.17273154303803</v>
          </cell>
          <cell r="M329">
            <v>0</v>
          </cell>
          <cell r="N329">
            <v>0.5442488814927362</v>
          </cell>
          <cell r="O329">
            <v>192</v>
          </cell>
          <cell r="P329">
            <v>1</v>
          </cell>
          <cell r="Q329">
            <v>222</v>
          </cell>
        </row>
        <row r="330">
          <cell r="A330" t="str">
            <v>Santa Lúcia</v>
          </cell>
          <cell r="B330">
            <v>3644</v>
          </cell>
          <cell r="C330" t="str">
            <v>P1</v>
          </cell>
          <cell r="D330">
            <v>13.046531872984266</v>
          </cell>
          <cell r="E330">
            <v>75.119587191669439</v>
          </cell>
          <cell r="F330">
            <v>53.192583766968674</v>
          </cell>
          <cell r="G330">
            <v>34.024969504119476</v>
          </cell>
          <cell r="H330">
            <v>0.54296339431709306</v>
          </cell>
          <cell r="I330">
            <v>1.8657879232102721E-2</v>
          </cell>
          <cell r="J330">
            <v>0.56162127354919578</v>
          </cell>
          <cell r="K330">
            <v>1</v>
          </cell>
          <cell r="L330">
            <v>257.90761230061918</v>
          </cell>
          <cell r="M330">
            <v>0</v>
          </cell>
          <cell r="N330">
            <v>0.56162127354919578</v>
          </cell>
          <cell r="O330">
            <v>162</v>
          </cell>
          <cell r="P330">
            <v>1</v>
          </cell>
          <cell r="Q330">
            <v>65</v>
          </cell>
        </row>
        <row r="331">
          <cell r="A331" t="str">
            <v>Santa Maria do Oeste</v>
          </cell>
          <cell r="B331">
            <v>9934</v>
          </cell>
          <cell r="C331" t="str">
            <v>P1</v>
          </cell>
          <cell r="D331">
            <v>13.046531872984266</v>
          </cell>
          <cell r="E331">
            <v>66.564426549128996</v>
          </cell>
          <cell r="F331">
            <v>57.949071380378562</v>
          </cell>
          <cell r="G331">
            <v>48.11561819163331</v>
          </cell>
          <cell r="H331">
            <v>0.57461832172380634</v>
          </cell>
          <cell r="I331">
            <v>5.5345161764279442E-2</v>
          </cell>
          <cell r="J331">
            <v>0.62996348348808573</v>
          </cell>
          <cell r="K331">
            <v>1</v>
          </cell>
          <cell r="L331">
            <v>809.63721530884311</v>
          </cell>
          <cell r="M331">
            <v>0</v>
          </cell>
          <cell r="N331">
            <v>0.62996348348808573</v>
          </cell>
          <cell r="O331">
            <v>77</v>
          </cell>
          <cell r="P331">
            <v>1</v>
          </cell>
          <cell r="Q331">
            <v>36</v>
          </cell>
        </row>
        <row r="332">
          <cell r="A332" t="str">
            <v>Santa Mariana</v>
          </cell>
          <cell r="B332">
            <v>11066</v>
          </cell>
          <cell r="C332" t="str">
            <v>P1</v>
          </cell>
          <cell r="D332">
            <v>13.046531872984266</v>
          </cell>
          <cell r="E332">
            <v>56.8064897525676</v>
          </cell>
          <cell r="F332">
            <v>58.63764530307111</v>
          </cell>
          <cell r="G332">
            <v>42.716698600723667</v>
          </cell>
          <cell r="H332">
            <v>0.51536804401930725</v>
          </cell>
          <cell r="I332">
            <v>5.0395913799553251E-2</v>
          </cell>
          <cell r="J332">
            <v>0.56576395781886046</v>
          </cell>
          <cell r="K332">
            <v>1</v>
          </cell>
          <cell r="L332">
            <v>661.21720047677115</v>
          </cell>
          <cell r="M332">
            <v>0</v>
          </cell>
          <cell r="N332">
            <v>0.56576395781886046</v>
          </cell>
          <cell r="O332">
            <v>153</v>
          </cell>
          <cell r="P332">
            <v>1</v>
          </cell>
          <cell r="Q332">
            <v>112</v>
          </cell>
        </row>
        <row r="333">
          <cell r="A333" t="str">
            <v>Santa Mônica</v>
          </cell>
          <cell r="B333">
            <v>3356</v>
          </cell>
          <cell r="C333" t="str">
            <v>P1</v>
          </cell>
          <cell r="D333">
            <v>13.046531872984266</v>
          </cell>
          <cell r="E333">
            <v>53.312387923370693</v>
          </cell>
          <cell r="F333">
            <v>62.474790243333949</v>
          </cell>
          <cell r="G333">
            <v>43.60552176774744</v>
          </cell>
          <cell r="H333">
            <v>0.51262121925114046</v>
          </cell>
          <cell r="I333">
            <v>1.9364914655635036E-2</v>
          </cell>
          <cell r="J333">
            <v>0.53198613390677552</v>
          </cell>
          <cell r="K333">
            <v>0</v>
          </cell>
          <cell r="L333">
            <v>252.72226109081225</v>
          </cell>
          <cell r="M333">
            <v>0</v>
          </cell>
          <cell r="N333">
            <v>0.53198613390677552</v>
          </cell>
          <cell r="O333">
            <v>219</v>
          </cell>
          <cell r="P333">
            <v>0</v>
          </cell>
          <cell r="Q333">
            <v>123</v>
          </cell>
        </row>
        <row r="334">
          <cell r="A334" t="str">
            <v>Santa Tereza do Oeste</v>
          </cell>
          <cell r="B334">
            <v>13174</v>
          </cell>
          <cell r="C334" t="str">
            <v>P1</v>
          </cell>
          <cell r="D334">
            <v>13.046531872984266</v>
          </cell>
          <cell r="E334">
            <v>62.766569309107609</v>
          </cell>
          <cell r="F334">
            <v>55.452262182508512</v>
          </cell>
          <cell r="G334">
            <v>29.089148282589534</v>
          </cell>
          <cell r="H334">
            <v>0.47832739473180558</v>
          </cell>
          <cell r="I334">
            <v>7.6399105487241672E-2</v>
          </cell>
          <cell r="J334">
            <v>0.55472650021904724</v>
          </cell>
          <cell r="K334">
            <v>1</v>
          </cell>
          <cell r="L334">
            <v>930.34678275336182</v>
          </cell>
          <cell r="M334">
            <v>0</v>
          </cell>
          <cell r="N334">
            <v>0.55472650021904724</v>
          </cell>
          <cell r="O334">
            <v>173</v>
          </cell>
          <cell r="P334">
            <v>1</v>
          </cell>
          <cell r="Q334">
            <v>209</v>
          </cell>
        </row>
        <row r="335">
          <cell r="A335" t="str">
            <v>Santa Terezinha de Itaipu</v>
          </cell>
          <cell r="B335">
            <v>24262</v>
          </cell>
          <cell r="C335" t="str">
            <v>P2</v>
          </cell>
          <cell r="D335">
            <v>6.7442145063459806</v>
          </cell>
          <cell r="E335">
            <v>61.081428079166699</v>
          </cell>
          <cell r="F335">
            <v>61.231335670844153</v>
          </cell>
          <cell r="G335">
            <v>30.424067090969572</v>
          </cell>
          <cell r="H335">
            <v>0.4884846520222334</v>
          </cell>
          <cell r="I335">
            <v>0.1268342990325467</v>
          </cell>
          <cell r="J335">
            <v>0.61531895105478007</v>
          </cell>
          <cell r="K335">
            <v>1</v>
          </cell>
          <cell r="L335">
            <v>1577.3169413797916</v>
          </cell>
          <cell r="M335">
            <v>0</v>
          </cell>
          <cell r="N335">
            <v>0.61531895105478007</v>
          </cell>
          <cell r="O335">
            <v>94</v>
          </cell>
          <cell r="P335">
            <v>1</v>
          </cell>
          <cell r="Q335">
            <v>179</v>
          </cell>
        </row>
        <row r="336">
          <cell r="A336" t="str">
            <v>Santana do Itararé</v>
          </cell>
          <cell r="B336">
            <v>5514</v>
          </cell>
          <cell r="C336" t="str">
            <v>P1</v>
          </cell>
          <cell r="D336">
            <v>13.046531872984266</v>
          </cell>
          <cell r="E336">
            <v>53.374994271066782</v>
          </cell>
          <cell r="F336">
            <v>39.287684271293351</v>
          </cell>
          <cell r="G336">
            <v>38.28586036585483</v>
          </cell>
          <cell r="H336">
            <v>0.44521878709027318</v>
          </cell>
          <cell r="I336">
            <v>2.6906625839979714E-2</v>
          </cell>
          <cell r="J336">
            <v>0.4721254129302529</v>
          </cell>
          <cell r="K336">
            <v>0</v>
          </cell>
          <cell r="L336">
            <v>304.97486915683714</v>
          </cell>
          <cell r="M336">
            <v>0</v>
          </cell>
          <cell r="N336">
            <v>0.4721254129302529</v>
          </cell>
          <cell r="O336">
            <v>316</v>
          </cell>
          <cell r="P336">
            <v>0</v>
          </cell>
          <cell r="Q336">
            <v>291</v>
          </cell>
        </row>
        <row r="337">
          <cell r="A337" t="str">
            <v>Santo Antônio da Platina</v>
          </cell>
          <cell r="B337">
            <v>44369</v>
          </cell>
          <cell r="C337" t="str">
            <v>P3</v>
          </cell>
          <cell r="D337">
            <v>4.2716330707619763</v>
          </cell>
          <cell r="E337">
            <v>68.951550007809459</v>
          </cell>
          <cell r="F337">
            <v>52.570564986632498</v>
          </cell>
          <cell r="G337">
            <v>33.923859534316357</v>
          </cell>
          <cell r="H337">
            <v>0.51664276814176824</v>
          </cell>
          <cell r="I337">
            <v>0.22982579239375373</v>
          </cell>
          <cell r="J337">
            <v>0.74646856053552191</v>
          </cell>
          <cell r="K337">
            <v>1</v>
          </cell>
          <cell r="L337">
            <v>3022.8768363974859</v>
          </cell>
          <cell r="M337">
            <v>0</v>
          </cell>
          <cell r="N337">
            <v>0.74646856053552191</v>
          </cell>
          <cell r="O337">
            <v>19</v>
          </cell>
          <cell r="P337">
            <v>1</v>
          </cell>
          <cell r="Q337">
            <v>111</v>
          </cell>
        </row>
        <row r="338">
          <cell r="A338" t="str">
            <v>Santo Antônio do Caiuá</v>
          </cell>
          <cell r="B338">
            <v>2493</v>
          </cell>
          <cell r="C338" t="str">
            <v>P1</v>
          </cell>
          <cell r="D338">
            <v>13.046531872984266</v>
          </cell>
          <cell r="E338">
            <v>40.613185982104284</v>
          </cell>
          <cell r="F338">
            <v>42.442057884081628</v>
          </cell>
          <cell r="G338">
            <v>45.60892414151354</v>
          </cell>
          <cell r="H338">
            <v>0.42977255626263455</v>
          </cell>
          <cell r="I338">
            <v>1.1312566776517019E-2</v>
          </cell>
          <cell r="J338">
            <v>0.44108512303915159</v>
          </cell>
          <cell r="K338">
            <v>0</v>
          </cell>
          <cell r="L338">
            <v>123.77449620363875</v>
          </cell>
          <cell r="M338">
            <v>0</v>
          </cell>
          <cell r="N338">
            <v>0.44108512303915159</v>
          </cell>
          <cell r="O338">
            <v>347</v>
          </cell>
          <cell r="P338">
            <v>0</v>
          </cell>
          <cell r="Q338">
            <v>322</v>
          </cell>
        </row>
        <row r="339">
          <cell r="A339" t="str">
            <v>Santo Antônio do Paraíso</v>
          </cell>
          <cell r="B339">
            <v>2125</v>
          </cell>
          <cell r="C339" t="str">
            <v>P1</v>
          </cell>
          <cell r="D339">
            <v>13.046531872984266</v>
          </cell>
          <cell r="E339">
            <v>36.059970985766583</v>
          </cell>
          <cell r="F339">
            <v>44.840036980143509</v>
          </cell>
          <cell r="G339">
            <v>37.543021281613882</v>
          </cell>
          <cell r="H339">
            <v>0.38409204302980887</v>
          </cell>
          <cell r="I339">
            <v>9.8984959294523903E-3</v>
          </cell>
          <cell r="J339">
            <v>0.39399053895926128</v>
          </cell>
          <cell r="K339">
            <v>0</v>
          </cell>
          <cell r="L339">
            <v>96.791194843511832</v>
          </cell>
          <cell r="M339">
            <v>0</v>
          </cell>
          <cell r="N339">
            <v>0.39399053895926128</v>
          </cell>
          <cell r="O339">
            <v>377</v>
          </cell>
          <cell r="P339">
            <v>0</v>
          </cell>
          <cell r="Q339">
            <v>382</v>
          </cell>
        </row>
        <row r="340">
          <cell r="A340" t="str">
            <v>Santo Antônio do Sudoeste</v>
          </cell>
          <cell r="B340">
            <v>23673</v>
          </cell>
          <cell r="C340" t="str">
            <v>P2</v>
          </cell>
          <cell r="D340">
            <v>6.7442145063459806</v>
          </cell>
          <cell r="E340">
            <v>67.728324091215725</v>
          </cell>
          <cell r="F340">
            <v>48.821957462192849</v>
          </cell>
          <cell r="G340">
            <v>29.375694974742157</v>
          </cell>
          <cell r="H340">
            <v>0.48605999118821719</v>
          </cell>
          <cell r="I340">
            <v>0.12644150157502876</v>
          </cell>
          <cell r="J340">
            <v>0.61250149276324595</v>
          </cell>
          <cell r="K340">
            <v>1</v>
          </cell>
          <cell r="L340">
            <v>1564.6271116348712</v>
          </cell>
          <cell r="M340">
            <v>0</v>
          </cell>
          <cell r="N340">
            <v>0.61250149276324595</v>
          </cell>
          <cell r="O340">
            <v>99</v>
          </cell>
          <cell r="P340">
            <v>1</v>
          </cell>
          <cell r="Q340">
            <v>187</v>
          </cell>
        </row>
        <row r="341">
          <cell r="A341" t="str">
            <v>Santo Inácio</v>
          </cell>
          <cell r="B341">
            <v>6181</v>
          </cell>
          <cell r="C341" t="str">
            <v>P1</v>
          </cell>
          <cell r="D341">
            <v>13.046531872984266</v>
          </cell>
          <cell r="E341">
            <v>49.895049894084821</v>
          </cell>
          <cell r="F341">
            <v>59.446396215794721</v>
          </cell>
          <cell r="G341">
            <v>10.774854147973249</v>
          </cell>
          <cell r="H341">
            <v>0.36157240859982165</v>
          </cell>
          <cell r="I341">
            <v>3.3191385160266949E-2</v>
          </cell>
          <cell r="J341">
            <v>0.39476379376008858</v>
          </cell>
          <cell r="K341">
            <v>0</v>
          </cell>
          <cell r="L341">
            <v>305.52868526684927</v>
          </cell>
          <cell r="M341">
            <v>0</v>
          </cell>
          <cell r="N341">
            <v>0.39476379376008858</v>
          </cell>
          <cell r="O341">
            <v>376</v>
          </cell>
          <cell r="P341">
            <v>0</v>
          </cell>
          <cell r="Q341">
            <v>397</v>
          </cell>
        </row>
        <row r="342">
          <cell r="A342" t="str">
            <v>São Carlos do Ivaí</v>
          </cell>
          <cell r="B342">
            <v>6587</v>
          </cell>
          <cell r="C342" t="str">
            <v>P1</v>
          </cell>
          <cell r="D342">
            <v>13.046531872984266</v>
          </cell>
          <cell r="E342">
            <v>55.11764444746516</v>
          </cell>
          <cell r="F342">
            <v>45.44348506234784</v>
          </cell>
          <cell r="G342">
            <v>33.363754753147539</v>
          </cell>
          <cell r="H342">
            <v>0.44481256692714644</v>
          </cell>
          <cell r="I342">
            <v>3.3898420583799257E-2</v>
          </cell>
          <cell r="J342">
            <v>0.47871098751094571</v>
          </cell>
          <cell r="K342">
            <v>0</v>
          </cell>
          <cell r="L342">
            <v>383.87324525812738</v>
          </cell>
          <cell r="M342">
            <v>0</v>
          </cell>
          <cell r="N342">
            <v>0.47871098751094571</v>
          </cell>
          <cell r="O342">
            <v>307</v>
          </cell>
          <cell r="P342">
            <v>0</v>
          </cell>
          <cell r="Q342">
            <v>293</v>
          </cell>
        </row>
        <row r="343">
          <cell r="A343" t="str">
            <v>São Jerônimo da Serra</v>
          </cell>
          <cell r="B343">
            <v>10830</v>
          </cell>
          <cell r="C343" t="str">
            <v>P1</v>
          </cell>
          <cell r="D343">
            <v>13.046531872984266</v>
          </cell>
          <cell r="E343">
            <v>74.683942416638416</v>
          </cell>
          <cell r="F343">
            <v>48.163143995901557</v>
          </cell>
          <cell r="G343">
            <v>43.484596858556138</v>
          </cell>
          <cell r="H343">
            <v>0.56900044509258141</v>
          </cell>
          <cell r="I343">
            <v>5.9744493288480506E-2</v>
          </cell>
          <cell r="J343">
            <v>0.62874493838106194</v>
          </cell>
          <cell r="K343">
            <v>1</v>
          </cell>
          <cell r="L343">
            <v>865.44967698581627</v>
          </cell>
          <cell r="M343">
            <v>0</v>
          </cell>
          <cell r="N343">
            <v>0.62874493838106194</v>
          </cell>
          <cell r="O343">
            <v>79</v>
          </cell>
          <cell r="P343">
            <v>1</v>
          </cell>
          <cell r="Q343">
            <v>41</v>
          </cell>
        </row>
        <row r="344">
          <cell r="A344" t="str">
            <v>São João</v>
          </cell>
          <cell r="B344">
            <v>11886</v>
          </cell>
          <cell r="C344" t="str">
            <v>P1</v>
          </cell>
          <cell r="D344">
            <v>13.046531872984266</v>
          </cell>
          <cell r="E344">
            <v>58.758641897614638</v>
          </cell>
          <cell r="F344">
            <v>48.857793302345208</v>
          </cell>
          <cell r="G344">
            <v>23.23170048403826</v>
          </cell>
          <cell r="H344">
            <v>0.42567695613130196</v>
          </cell>
          <cell r="I344">
            <v>5.6916351594351253E-2</v>
          </cell>
          <cell r="J344">
            <v>0.48259330772565323</v>
          </cell>
          <cell r="K344">
            <v>0</v>
          </cell>
          <cell r="L344">
            <v>616.80590943425659</v>
          </cell>
          <cell r="M344">
            <v>0</v>
          </cell>
          <cell r="N344">
            <v>0.48259330772565323</v>
          </cell>
          <cell r="O344">
            <v>298</v>
          </cell>
          <cell r="P344">
            <v>0</v>
          </cell>
          <cell r="Q344">
            <v>330</v>
          </cell>
        </row>
        <row r="345">
          <cell r="A345" t="str">
            <v>São João do Caiuá</v>
          </cell>
          <cell r="B345">
            <v>5586</v>
          </cell>
          <cell r="C345" t="str">
            <v>P1</v>
          </cell>
          <cell r="D345">
            <v>13.046531872984266</v>
          </cell>
          <cell r="E345">
            <v>57.73252532664943</v>
          </cell>
          <cell r="F345">
            <v>51.158666982308546</v>
          </cell>
          <cell r="G345">
            <v>45.886984260820689</v>
          </cell>
          <cell r="H345">
            <v>0.51679537231449768</v>
          </cell>
          <cell r="I345">
            <v>2.9067011856328449E-2</v>
          </cell>
          <cell r="J345">
            <v>0.54586238417082611</v>
          </cell>
          <cell r="K345">
            <v>0</v>
          </cell>
          <cell r="L345">
            <v>382.42857551272829</v>
          </cell>
          <cell r="M345">
            <v>0</v>
          </cell>
          <cell r="N345">
            <v>0.54586238417082611</v>
          </cell>
          <cell r="O345">
            <v>190</v>
          </cell>
          <cell r="P345">
            <v>1</v>
          </cell>
          <cell r="Q345">
            <v>110</v>
          </cell>
        </row>
        <row r="346">
          <cell r="A346" t="str">
            <v>São João do Ivaí</v>
          </cell>
          <cell r="B346">
            <v>10667</v>
          </cell>
          <cell r="C346" t="str">
            <v>P1</v>
          </cell>
          <cell r="D346">
            <v>13.046531872984266</v>
          </cell>
          <cell r="E346">
            <v>49.320060308980629</v>
          </cell>
          <cell r="F346">
            <v>52.650612023821964</v>
          </cell>
          <cell r="G346">
            <v>37.634029710382769</v>
          </cell>
          <cell r="H346">
            <v>0.45311758412509756</v>
          </cell>
          <cell r="I346">
            <v>4.7646331596927577E-2</v>
          </cell>
          <cell r="J346">
            <v>0.50076391572202517</v>
          </cell>
          <cell r="K346">
            <v>0</v>
          </cell>
          <cell r="L346">
            <v>549.63162954374332</v>
          </cell>
          <cell r="M346">
            <v>0</v>
          </cell>
          <cell r="N346">
            <v>0.50076391572202517</v>
          </cell>
          <cell r="O346">
            <v>278</v>
          </cell>
          <cell r="P346">
            <v>0</v>
          </cell>
          <cell r="Q346">
            <v>273</v>
          </cell>
        </row>
        <row r="347">
          <cell r="A347" t="str">
            <v>São João do Triunfo</v>
          </cell>
          <cell r="B347">
            <v>13726</v>
          </cell>
          <cell r="C347" t="str">
            <v>P1</v>
          </cell>
          <cell r="D347">
            <v>13.046531872984266</v>
          </cell>
          <cell r="E347">
            <v>75.556436950347887</v>
          </cell>
          <cell r="F347">
            <v>49.731882515495123</v>
          </cell>
          <cell r="G347">
            <v>33.675723446130313</v>
          </cell>
          <cell r="H347">
            <v>0.53639240661690302</v>
          </cell>
          <cell r="I347">
            <v>7.4042320742133946E-2</v>
          </cell>
          <cell r="J347">
            <v>0.61043472735903692</v>
          </cell>
          <cell r="K347">
            <v>1</v>
          </cell>
          <cell r="L347">
            <v>1011.0996864728622</v>
          </cell>
          <cell r="M347">
            <v>0</v>
          </cell>
          <cell r="N347">
            <v>0.61043472735903692</v>
          </cell>
          <cell r="O347">
            <v>101</v>
          </cell>
          <cell r="P347">
            <v>1</v>
          </cell>
          <cell r="Q347">
            <v>78</v>
          </cell>
        </row>
        <row r="348">
          <cell r="A348" t="str">
            <v>São Jorge do Ivaí</v>
          </cell>
          <cell r="B348">
            <v>5168</v>
          </cell>
          <cell r="C348" t="str">
            <v>P1</v>
          </cell>
          <cell r="D348">
            <v>13.046531872984266</v>
          </cell>
          <cell r="E348">
            <v>58.724623478177627</v>
          </cell>
          <cell r="F348">
            <v>36.266121401515313</v>
          </cell>
          <cell r="G348">
            <v>30.679463324107459</v>
          </cell>
          <cell r="H348">
            <v>0.43014859001217098</v>
          </cell>
          <cell r="I348">
            <v>2.2782252536041218E-2</v>
          </cell>
          <cell r="J348">
            <v>0.4529308425482122</v>
          </cell>
          <cell r="K348">
            <v>0</v>
          </cell>
          <cell r="L348">
            <v>249.48618220705916</v>
          </cell>
          <cell r="M348">
            <v>0</v>
          </cell>
          <cell r="N348">
            <v>0.4529308425482122</v>
          </cell>
          <cell r="O348">
            <v>339</v>
          </cell>
          <cell r="P348">
            <v>0</v>
          </cell>
          <cell r="Q348">
            <v>320</v>
          </cell>
        </row>
        <row r="349">
          <cell r="A349" t="str">
            <v>São Jorge do Patrocínio</v>
          </cell>
          <cell r="B349">
            <v>6504</v>
          </cell>
          <cell r="C349" t="str">
            <v>P1</v>
          </cell>
          <cell r="D349">
            <v>13.046531872984266</v>
          </cell>
          <cell r="E349">
            <v>63.016153460161448</v>
          </cell>
          <cell r="F349">
            <v>47.049167712056509</v>
          </cell>
          <cell r="G349">
            <v>37.288994589659758</v>
          </cell>
          <cell r="H349">
            <v>0.4953189276233978</v>
          </cell>
          <cell r="I349">
            <v>2.8792053636065885E-2</v>
          </cell>
          <cell r="J349">
            <v>0.52411098125946365</v>
          </cell>
          <cell r="K349">
            <v>1</v>
          </cell>
          <cell r="L349">
            <v>363.0687739479506</v>
          </cell>
          <cell r="M349">
            <v>0</v>
          </cell>
          <cell r="N349">
            <v>0.52411098125946365</v>
          </cell>
          <cell r="O349">
            <v>233</v>
          </cell>
          <cell r="P349">
            <v>0</v>
          </cell>
          <cell r="Q349">
            <v>163</v>
          </cell>
        </row>
        <row r="350">
          <cell r="A350" t="str">
            <v>São Jorge d'Oeste</v>
          </cell>
          <cell r="B350">
            <v>9378</v>
          </cell>
          <cell r="C350" t="str">
            <v>P1</v>
          </cell>
          <cell r="D350">
            <v>13.046531872984266</v>
          </cell>
          <cell r="E350">
            <v>53.559471161672022</v>
          </cell>
          <cell r="F350">
            <v>49.156896748595351</v>
          </cell>
          <cell r="G350">
            <v>25.835771874517775</v>
          </cell>
          <cell r="H350">
            <v>0.41589476564194988</v>
          </cell>
          <cell r="I350">
            <v>4.6389379732870134E-2</v>
          </cell>
          <cell r="J350">
            <v>0.46228414537481999</v>
          </cell>
          <cell r="K350">
            <v>0</v>
          </cell>
          <cell r="L350">
            <v>491.17171822314282</v>
          </cell>
          <cell r="M350">
            <v>0</v>
          </cell>
          <cell r="N350">
            <v>0.46228414537481999</v>
          </cell>
          <cell r="O350">
            <v>331</v>
          </cell>
          <cell r="P350">
            <v>0</v>
          </cell>
          <cell r="Q350">
            <v>346</v>
          </cell>
        </row>
        <row r="351">
          <cell r="A351" t="str">
            <v>São José da Boa Vista</v>
          </cell>
          <cell r="B351">
            <v>6040</v>
          </cell>
          <cell r="C351" t="str">
            <v>P1</v>
          </cell>
          <cell r="D351">
            <v>13.046531872984266</v>
          </cell>
          <cell r="E351">
            <v>76.072036902102866</v>
          </cell>
          <cell r="F351">
            <v>62.010187891767913</v>
          </cell>
          <cell r="G351">
            <v>42.406934156419574</v>
          </cell>
          <cell r="H351">
            <v>0.59793626001762556</v>
          </cell>
          <cell r="I351">
            <v>2.9420529568094607E-2</v>
          </cell>
          <cell r="J351">
            <v>0.62735678958572016</v>
          </cell>
          <cell r="K351">
            <v>1</v>
          </cell>
          <cell r="L351">
            <v>447.85425875320152</v>
          </cell>
          <cell r="M351">
            <v>0</v>
          </cell>
          <cell r="N351">
            <v>0.62735678958572016</v>
          </cell>
          <cell r="O351">
            <v>81</v>
          </cell>
          <cell r="P351">
            <v>1</v>
          </cell>
          <cell r="Q351">
            <v>20</v>
          </cell>
        </row>
        <row r="352">
          <cell r="A352" t="str">
            <v>São José das Palmeiras</v>
          </cell>
          <cell r="B352">
            <v>3957</v>
          </cell>
          <cell r="C352" t="str">
            <v>P1</v>
          </cell>
          <cell r="D352">
            <v>13.046531872984266</v>
          </cell>
          <cell r="E352">
            <v>66.885915260489966</v>
          </cell>
          <cell r="F352">
            <v>62.663843142971906</v>
          </cell>
          <cell r="G352">
            <v>38.195453901977643</v>
          </cell>
          <cell r="H352">
            <v>0.54565316293581423</v>
          </cell>
          <cell r="I352">
            <v>2.2114496858260699E-2</v>
          </cell>
          <cell r="J352">
            <v>0.56776765979407495</v>
          </cell>
          <cell r="K352">
            <v>1</v>
          </cell>
          <cell r="L352">
            <v>307.20273073286342</v>
          </cell>
          <cell r="M352">
            <v>0</v>
          </cell>
          <cell r="N352">
            <v>0.56776765979407495</v>
          </cell>
          <cell r="O352">
            <v>147</v>
          </cell>
          <cell r="P352">
            <v>1</v>
          </cell>
          <cell r="Q352">
            <v>58</v>
          </cell>
        </row>
        <row r="353">
          <cell r="A353" t="str">
            <v>São José dos Pinhais</v>
          </cell>
          <cell r="B353">
            <v>329628</v>
          </cell>
          <cell r="C353" t="str">
            <v>M2</v>
          </cell>
          <cell r="D353">
            <v>10.261794297910743</v>
          </cell>
          <cell r="E353">
            <v>70.01527345139381</v>
          </cell>
          <cell r="F353">
            <v>56.226807312346615</v>
          </cell>
          <cell r="G353">
            <v>16.289525625564639</v>
          </cell>
          <cell r="H353">
            <v>0.45767281093252699</v>
          </cell>
          <cell r="I353">
            <v>1.8467765262664029</v>
          </cell>
          <cell r="J353">
            <v>2.3044493371989301</v>
          </cell>
          <cell r="K353">
            <v>3</v>
          </cell>
          <cell r="L353">
            <v>21517.94487880369</v>
          </cell>
          <cell r="M353">
            <v>2</v>
          </cell>
          <cell r="N353">
            <v>0.30444933719893008</v>
          </cell>
          <cell r="O353">
            <v>386</v>
          </cell>
          <cell r="P353">
            <v>2</v>
          </cell>
          <cell r="Q353">
            <v>260</v>
          </cell>
        </row>
        <row r="354">
          <cell r="A354" t="str">
            <v>São Manoel do Paraná</v>
          </cell>
          <cell r="B354">
            <v>2138</v>
          </cell>
          <cell r="C354" t="str">
            <v>P1</v>
          </cell>
          <cell r="D354">
            <v>13.046531872984266</v>
          </cell>
          <cell r="E354">
            <v>47.39837442248654</v>
          </cell>
          <cell r="F354">
            <v>43.355377947633905</v>
          </cell>
          <cell r="G354">
            <v>28.101618103683283</v>
          </cell>
          <cell r="H354">
            <v>0.3887107259999471</v>
          </cell>
          <cell r="I354">
            <v>9.7413769464452099E-3</v>
          </cell>
          <cell r="J354">
            <v>0.39845210294639233</v>
          </cell>
          <cell r="K354">
            <v>0</v>
          </cell>
          <cell r="L354">
            <v>96.400260047986876</v>
          </cell>
          <cell r="M354">
            <v>0</v>
          </cell>
          <cell r="N354">
            <v>0.39845210294639233</v>
          </cell>
          <cell r="O354">
            <v>374</v>
          </cell>
          <cell r="P354">
            <v>0</v>
          </cell>
          <cell r="Q354">
            <v>375</v>
          </cell>
        </row>
        <row r="355">
          <cell r="A355" t="str">
            <v>São Mateus do Sul</v>
          </cell>
          <cell r="B355">
            <v>42366</v>
          </cell>
          <cell r="C355" t="str">
            <v>P3</v>
          </cell>
          <cell r="D355">
            <v>4.2716330707619763</v>
          </cell>
          <cell r="E355">
            <v>63.784110637603234</v>
          </cell>
          <cell r="F355">
            <v>57.362370351267138</v>
          </cell>
          <cell r="G355">
            <v>28.225014077030394</v>
          </cell>
          <cell r="H355">
            <v>0.48276123956106881</v>
          </cell>
          <cell r="I355">
            <v>0.22585853807282241</v>
          </cell>
          <cell r="J355">
            <v>0.70861977763389117</v>
          </cell>
          <cell r="K355">
            <v>1</v>
          </cell>
          <cell r="L355">
            <v>2775.8771274761457</v>
          </cell>
          <cell r="M355">
            <v>0</v>
          </cell>
          <cell r="N355">
            <v>0.70861977763389117</v>
          </cell>
          <cell r="O355">
            <v>28</v>
          </cell>
          <cell r="P355">
            <v>1</v>
          </cell>
          <cell r="Q355">
            <v>197</v>
          </cell>
        </row>
        <row r="356">
          <cell r="A356" t="str">
            <v>São Miguel do Iguaçu</v>
          </cell>
          <cell r="B356">
            <v>29122</v>
          </cell>
          <cell r="C356" t="str">
            <v>P2</v>
          </cell>
          <cell r="D356">
            <v>6.7442145063459806</v>
          </cell>
          <cell r="E356">
            <v>56.098666257158754</v>
          </cell>
          <cell r="F356">
            <v>56.550950890903245</v>
          </cell>
          <cell r="G356">
            <v>24.324915487390793</v>
          </cell>
          <cell r="H356">
            <v>0.43479622876000468</v>
          </cell>
          <cell r="I356">
            <v>0.15617626910913771</v>
          </cell>
          <cell r="J356">
            <v>0.59097249786914241</v>
          </cell>
          <cell r="K356">
            <v>1</v>
          </cell>
          <cell r="L356">
            <v>1728.7498055497786</v>
          </cell>
          <cell r="M356">
            <v>0</v>
          </cell>
          <cell r="N356">
            <v>0.59097249786914241</v>
          </cell>
          <cell r="O356">
            <v>124</v>
          </cell>
          <cell r="P356">
            <v>1</v>
          </cell>
          <cell r="Q356">
            <v>313</v>
          </cell>
        </row>
        <row r="357">
          <cell r="A357" t="str">
            <v>São Pedro do Iguaçu</v>
          </cell>
          <cell r="B357">
            <v>5784</v>
          </cell>
          <cell r="C357" t="str">
            <v>P1</v>
          </cell>
          <cell r="D357">
            <v>13.046531872984266</v>
          </cell>
          <cell r="E357">
            <v>51.722417798032303</v>
          </cell>
          <cell r="F357">
            <v>58.694223647539879</v>
          </cell>
          <cell r="G357">
            <v>41.243948254966448</v>
          </cell>
          <cell r="H357">
            <v>0.48925391150707481</v>
          </cell>
          <cell r="I357">
            <v>2.8202857449788957E-2</v>
          </cell>
          <cell r="J357">
            <v>0.51745676895686377</v>
          </cell>
          <cell r="K357">
            <v>0</v>
          </cell>
          <cell r="L357">
            <v>351.28430846207971</v>
          </cell>
          <cell r="M357">
            <v>0</v>
          </cell>
          <cell r="N357">
            <v>0.51745676895686377</v>
          </cell>
          <cell r="O357">
            <v>248</v>
          </cell>
          <cell r="P357">
            <v>0</v>
          </cell>
          <cell r="Q357">
            <v>176</v>
          </cell>
        </row>
        <row r="358">
          <cell r="A358" t="str">
            <v>São Pedro do Ivaí</v>
          </cell>
          <cell r="B358">
            <v>8690</v>
          </cell>
          <cell r="C358" t="str">
            <v>P1</v>
          </cell>
          <cell r="D358">
            <v>13.046531872984266</v>
          </cell>
          <cell r="E358">
            <v>51.302904490764867</v>
          </cell>
          <cell r="F358">
            <v>72.083384055965425</v>
          </cell>
          <cell r="G358">
            <v>35.84064119667898</v>
          </cell>
          <cell r="H358">
            <v>0.49274095086170616</v>
          </cell>
          <cell r="I358">
            <v>4.2579244394946002E-2</v>
          </cell>
          <cell r="J358">
            <v>0.5353201952566522</v>
          </cell>
          <cell r="K358">
            <v>1</v>
          </cell>
          <cell r="L358">
            <v>534.1311907340895</v>
          </cell>
          <cell r="M358">
            <v>0</v>
          </cell>
          <cell r="N358">
            <v>0.5353201952566522</v>
          </cell>
          <cell r="O358">
            <v>209</v>
          </cell>
          <cell r="P358">
            <v>1</v>
          </cell>
          <cell r="Q358">
            <v>169</v>
          </cell>
        </row>
        <row r="359">
          <cell r="A359" t="str">
            <v>São Pedro do Paraná</v>
          </cell>
          <cell r="B359">
            <v>2661</v>
          </cell>
          <cell r="C359" t="str">
            <v>P1</v>
          </cell>
          <cell r="D359">
            <v>13.046531872984266</v>
          </cell>
          <cell r="E359">
            <v>44.501456569338529</v>
          </cell>
          <cell r="F359">
            <v>65.585197102056114</v>
          </cell>
          <cell r="G359">
            <v>25.323248717796705</v>
          </cell>
          <cell r="H359">
            <v>0.41046921535265313</v>
          </cell>
          <cell r="I359">
            <v>1.3001595843844213E-2</v>
          </cell>
          <cell r="J359">
            <v>0.42347081119649732</v>
          </cell>
          <cell r="K359">
            <v>0</v>
          </cell>
          <cell r="L359">
            <v>135.8653102817282</v>
          </cell>
          <cell r="M359">
            <v>0</v>
          </cell>
          <cell r="N359">
            <v>0.42347081119649732</v>
          </cell>
          <cell r="O359">
            <v>361</v>
          </cell>
          <cell r="P359">
            <v>0</v>
          </cell>
          <cell r="Q359">
            <v>355</v>
          </cell>
        </row>
        <row r="360">
          <cell r="A360" t="str">
            <v>São Sebastião da Amoreira</v>
          </cell>
          <cell r="B360">
            <v>8063</v>
          </cell>
          <cell r="C360" t="str">
            <v>P1</v>
          </cell>
          <cell r="D360">
            <v>13.046531872984266</v>
          </cell>
          <cell r="E360">
            <v>57.482415686912574</v>
          </cell>
          <cell r="F360">
            <v>45.35738798047803</v>
          </cell>
          <cell r="G360">
            <v>47.014944595200546</v>
          </cell>
          <cell r="H360">
            <v>0.50870421708940849</v>
          </cell>
          <cell r="I360">
            <v>4.1557971005399326E-2</v>
          </cell>
          <cell r="J360">
            <v>0.55026218809480787</v>
          </cell>
          <cell r="K360">
            <v>1</v>
          </cell>
          <cell r="L360">
            <v>538.20906168059423</v>
          </cell>
          <cell r="M360">
            <v>0</v>
          </cell>
          <cell r="N360">
            <v>0.55026218809480787</v>
          </cell>
          <cell r="O360">
            <v>179</v>
          </cell>
          <cell r="P360">
            <v>1</v>
          </cell>
          <cell r="Q360">
            <v>130</v>
          </cell>
        </row>
        <row r="361">
          <cell r="A361" t="str">
            <v>São Tomé</v>
          </cell>
          <cell r="B361">
            <v>5232</v>
          </cell>
          <cell r="C361" t="str">
            <v>P1</v>
          </cell>
          <cell r="D361">
            <v>13.046531872984266</v>
          </cell>
          <cell r="E361">
            <v>52.89108678866107</v>
          </cell>
          <cell r="F361">
            <v>44.436002367701725</v>
          </cell>
          <cell r="G361">
            <v>34.050065085191797</v>
          </cell>
          <cell r="H361">
            <v>0.4366366122308149</v>
          </cell>
          <cell r="I361">
            <v>2.7220863805994075E-2</v>
          </cell>
          <cell r="J361">
            <v>0.46385747603680899</v>
          </cell>
          <cell r="K361">
            <v>0</v>
          </cell>
          <cell r="L361">
            <v>302.58917227595475</v>
          </cell>
          <cell r="M361">
            <v>0</v>
          </cell>
          <cell r="N361">
            <v>0.46385747603680899</v>
          </cell>
          <cell r="O361">
            <v>328</v>
          </cell>
          <cell r="P361">
            <v>0</v>
          </cell>
          <cell r="Q361">
            <v>308</v>
          </cell>
        </row>
        <row r="362">
          <cell r="A362" t="str">
            <v>Sapopema</v>
          </cell>
          <cell r="B362">
            <v>6695</v>
          </cell>
          <cell r="C362" t="str">
            <v>P1</v>
          </cell>
          <cell r="D362">
            <v>13.046531872984266</v>
          </cell>
          <cell r="E362">
            <v>57.774519317922341</v>
          </cell>
          <cell r="F362">
            <v>47.903653066138837</v>
          </cell>
          <cell r="G362">
            <v>44.569289854780358</v>
          </cell>
          <cell r="H362">
            <v>0.5051825428230885</v>
          </cell>
          <cell r="I362">
            <v>3.2798587702748995E-2</v>
          </cell>
          <cell r="J362">
            <v>0.53798113052583751</v>
          </cell>
          <cell r="K362">
            <v>0</v>
          </cell>
          <cell r="L362">
            <v>421.82742325727889</v>
          </cell>
          <cell r="M362">
            <v>0</v>
          </cell>
          <cell r="N362">
            <v>0.53798113052583751</v>
          </cell>
          <cell r="O362">
            <v>206</v>
          </cell>
          <cell r="P362">
            <v>1</v>
          </cell>
          <cell r="Q362">
            <v>136</v>
          </cell>
        </row>
        <row r="363">
          <cell r="A363" t="str">
            <v>Sarandi</v>
          </cell>
          <cell r="B363">
            <v>118455</v>
          </cell>
          <cell r="C363" t="str">
            <v>M1</v>
          </cell>
          <cell r="D363">
            <v>10.334658226280325</v>
          </cell>
          <cell r="E363">
            <v>73.313463323659207</v>
          </cell>
          <cell r="F363">
            <v>56.611301484099407</v>
          </cell>
          <cell r="G363">
            <v>23.701232828405409</v>
          </cell>
          <cell r="H363">
            <v>0.50128138757645724</v>
          </cell>
          <cell r="I363">
            <v>0.66370986396808351</v>
          </cell>
          <cell r="J363">
            <v>1.1649912515445409</v>
          </cell>
          <cell r="K363">
            <v>2</v>
          </cell>
          <cell r="L363">
            <v>8470.1516058793986</v>
          </cell>
          <cell r="M363">
            <v>1</v>
          </cell>
          <cell r="N363">
            <v>0.16499125154454086</v>
          </cell>
          <cell r="O363">
            <v>392</v>
          </cell>
          <cell r="P363">
            <v>1</v>
          </cell>
          <cell r="Q363">
            <v>150</v>
          </cell>
        </row>
        <row r="364">
          <cell r="A364" t="str">
            <v>Saudade do Iguaçu</v>
          </cell>
          <cell r="B364">
            <v>6108</v>
          </cell>
          <cell r="C364" t="str">
            <v>P1</v>
          </cell>
          <cell r="D364">
            <v>13.046531872984266</v>
          </cell>
          <cell r="E364">
            <v>59.710266851664308</v>
          </cell>
          <cell r="F364">
            <v>72.417508940323657</v>
          </cell>
          <cell r="G364">
            <v>23.320167969556213</v>
          </cell>
          <cell r="H364">
            <v>0.47695675716552943</v>
          </cell>
          <cell r="I364">
            <v>3.7590716684468013E-2</v>
          </cell>
          <cell r="J364">
            <v>0.51454747384999744</v>
          </cell>
          <cell r="K364">
            <v>1</v>
          </cell>
          <cell r="L364">
            <v>456.44761660741165</v>
          </cell>
          <cell r="M364">
            <v>0</v>
          </cell>
          <cell r="N364">
            <v>0.51454747384999744</v>
          </cell>
          <cell r="O364">
            <v>253</v>
          </cell>
          <cell r="P364">
            <v>0</v>
          </cell>
          <cell r="Q364">
            <v>213</v>
          </cell>
        </row>
        <row r="365">
          <cell r="A365" t="str">
            <v>Sengés</v>
          </cell>
          <cell r="B365">
            <v>17270</v>
          </cell>
          <cell r="C365" t="str">
            <v>P1</v>
          </cell>
          <cell r="D365">
            <v>13.046531872984266</v>
          </cell>
          <cell r="E365">
            <v>63.497376937546349</v>
          </cell>
          <cell r="F365">
            <v>65.689491030375208</v>
          </cell>
          <cell r="G365">
            <v>29.231248290379909</v>
          </cell>
          <cell r="H365">
            <v>0.50229348297245546</v>
          </cell>
          <cell r="I365">
            <v>9.9220637769034684E-2</v>
          </cell>
          <cell r="J365">
            <v>0.60151412074149013</v>
          </cell>
          <cell r="K365">
            <v>1</v>
          </cell>
          <cell r="L365">
            <v>1268.7933379884225</v>
          </cell>
          <cell r="M365">
            <v>0</v>
          </cell>
          <cell r="N365">
            <v>0.60151412074149013</v>
          </cell>
          <cell r="O365">
            <v>114</v>
          </cell>
          <cell r="P365">
            <v>1</v>
          </cell>
          <cell r="Q365">
            <v>146</v>
          </cell>
        </row>
        <row r="366">
          <cell r="A366" t="str">
            <v>Serranópolis do Iguaçu</v>
          </cell>
          <cell r="B366">
            <v>5007</v>
          </cell>
          <cell r="C366" t="str">
            <v>P1</v>
          </cell>
          <cell r="D366">
            <v>13.046531872984266</v>
          </cell>
          <cell r="E366">
            <v>63.839314771087842</v>
          </cell>
          <cell r="F366">
            <v>60.431299963881521</v>
          </cell>
          <cell r="G366">
            <v>26.453691782989697</v>
          </cell>
          <cell r="H366">
            <v>0.48203462614407316</v>
          </cell>
          <cell r="I366">
            <v>2.3842805671339687E-2</v>
          </cell>
          <cell r="J366">
            <v>0.50587743181541289</v>
          </cell>
          <cell r="K366">
            <v>1</v>
          </cell>
          <cell r="L366">
            <v>292.59501806945241</v>
          </cell>
          <cell r="M366">
            <v>0</v>
          </cell>
          <cell r="N366">
            <v>0.50587743181541289</v>
          </cell>
          <cell r="O366">
            <v>268</v>
          </cell>
          <cell r="P366">
            <v>0</v>
          </cell>
          <cell r="Q366">
            <v>199</v>
          </cell>
        </row>
        <row r="367">
          <cell r="A367" t="str">
            <v>Sertaneja</v>
          </cell>
          <cell r="B367">
            <v>5616</v>
          </cell>
          <cell r="C367" t="str">
            <v>P1</v>
          </cell>
          <cell r="D367">
            <v>13.046531872984266</v>
          </cell>
          <cell r="E367">
            <v>50.09607089771167</v>
          </cell>
          <cell r="F367">
            <v>39.241018924546587</v>
          </cell>
          <cell r="G367">
            <v>28.46668204854771</v>
          </cell>
          <cell r="H367">
            <v>0.39273304963413069</v>
          </cell>
          <cell r="I367">
            <v>2.5846072704681242E-2</v>
          </cell>
          <cell r="J367">
            <v>0.41857912233881195</v>
          </cell>
          <cell r="K367">
            <v>0</v>
          </cell>
          <cell r="L367">
            <v>258.41834665925802</v>
          </cell>
          <cell r="M367">
            <v>0</v>
          </cell>
          <cell r="N367">
            <v>0.41857912233881195</v>
          </cell>
          <cell r="O367">
            <v>366</v>
          </cell>
          <cell r="P367">
            <v>0</v>
          </cell>
          <cell r="Q367">
            <v>372</v>
          </cell>
        </row>
        <row r="368">
          <cell r="A368" t="str">
            <v>Sertanópolis</v>
          </cell>
          <cell r="B368">
            <v>15930</v>
          </cell>
          <cell r="C368" t="str">
            <v>P1</v>
          </cell>
          <cell r="D368">
            <v>13.046531872984266</v>
          </cell>
          <cell r="E368">
            <v>69.00456508862807</v>
          </cell>
          <cell r="F368">
            <v>49.460890393581643</v>
          </cell>
          <cell r="G368">
            <v>27.281803053586572</v>
          </cell>
          <cell r="H368">
            <v>0.48406725335602191</v>
          </cell>
          <cell r="I368">
            <v>7.5102873877432433E-2</v>
          </cell>
          <cell r="J368">
            <v>0.55917012723345438</v>
          </cell>
          <cell r="K368">
            <v>1</v>
          </cell>
          <cell r="L368">
            <v>925.53658841671393</v>
          </cell>
          <cell r="M368">
            <v>0</v>
          </cell>
          <cell r="N368">
            <v>0.55917012723345438</v>
          </cell>
          <cell r="O368">
            <v>168</v>
          </cell>
          <cell r="P368">
            <v>1</v>
          </cell>
          <cell r="Q368">
            <v>192</v>
          </cell>
        </row>
        <row r="369">
          <cell r="A369" t="str">
            <v>Siqueira Campos</v>
          </cell>
          <cell r="B369">
            <v>22811</v>
          </cell>
          <cell r="C369" t="str">
            <v>P2</v>
          </cell>
          <cell r="D369">
            <v>6.7442145063459806</v>
          </cell>
          <cell r="E369">
            <v>60.342215271522036</v>
          </cell>
          <cell r="F369">
            <v>49.575134688913913</v>
          </cell>
          <cell r="G369">
            <v>29.375083899485599</v>
          </cell>
          <cell r="H369">
            <v>0.45801946606185839</v>
          </cell>
          <cell r="I369">
            <v>0.11477541708674557</v>
          </cell>
          <cell r="J369">
            <v>0.57279488314860394</v>
          </cell>
          <cell r="K369">
            <v>1</v>
          </cell>
          <cell r="L369">
            <v>1338.3328798327502</v>
          </cell>
          <cell r="M369">
            <v>0</v>
          </cell>
          <cell r="N369">
            <v>0.57279488314860394</v>
          </cell>
          <cell r="O369">
            <v>139</v>
          </cell>
          <cell r="P369">
            <v>1</v>
          </cell>
          <cell r="Q369">
            <v>257</v>
          </cell>
        </row>
        <row r="370">
          <cell r="A370" t="str">
            <v>Sulina</v>
          </cell>
          <cell r="B370">
            <v>3440</v>
          </cell>
          <cell r="C370" t="str">
            <v>P1</v>
          </cell>
          <cell r="D370">
            <v>13.046531872984266</v>
          </cell>
          <cell r="E370">
            <v>69.577813535213522</v>
          </cell>
          <cell r="F370">
            <v>46.21994605961595</v>
          </cell>
          <cell r="G370">
            <v>29.693060638184161</v>
          </cell>
          <cell r="H370">
            <v>0.48952338881282265</v>
          </cell>
          <cell r="I370">
            <v>1.6301094486995009E-2</v>
          </cell>
          <cell r="J370">
            <v>0.50582448329981766</v>
          </cell>
          <cell r="K370">
            <v>1</v>
          </cell>
          <cell r="L370">
            <v>203.1522063573214</v>
          </cell>
          <cell r="M370">
            <v>0</v>
          </cell>
          <cell r="N370">
            <v>0.50582448329981766</v>
          </cell>
          <cell r="O370">
            <v>270</v>
          </cell>
          <cell r="P370">
            <v>0</v>
          </cell>
          <cell r="Q370">
            <v>175</v>
          </cell>
        </row>
        <row r="371">
          <cell r="A371" t="str">
            <v>Tamarana</v>
          </cell>
          <cell r="B371">
            <v>10707</v>
          </cell>
          <cell r="C371" t="str">
            <v>P1</v>
          </cell>
          <cell r="D371">
            <v>13.046531872984266</v>
          </cell>
          <cell r="E371">
            <v>71.28257081269318</v>
          </cell>
          <cell r="F371">
            <v>57.146383140753414</v>
          </cell>
          <cell r="G371">
            <v>35.865795925687756</v>
          </cell>
          <cell r="H371">
            <v>0.54288623323503049</v>
          </cell>
          <cell r="I371">
            <v>6.3947426083922593E-2</v>
          </cell>
          <cell r="J371">
            <v>0.60683365931895306</v>
          </cell>
          <cell r="K371">
            <v>1</v>
          </cell>
          <cell r="L371">
            <v>883.81878770662968</v>
          </cell>
          <cell r="M371">
            <v>0</v>
          </cell>
          <cell r="N371">
            <v>0.60683365931895306</v>
          </cell>
          <cell r="O371">
            <v>106</v>
          </cell>
          <cell r="P371">
            <v>1</v>
          </cell>
          <cell r="Q371">
            <v>66</v>
          </cell>
        </row>
        <row r="372">
          <cell r="A372" t="str">
            <v>Tamboara</v>
          </cell>
          <cell r="B372">
            <v>4880</v>
          </cell>
          <cell r="C372" t="str">
            <v>P1</v>
          </cell>
          <cell r="D372">
            <v>13.046531872984266</v>
          </cell>
          <cell r="E372">
            <v>58.300984305003354</v>
          </cell>
          <cell r="F372">
            <v>44.190711708525107</v>
          </cell>
          <cell r="G372">
            <v>32.991383667207366</v>
          </cell>
          <cell r="H372">
            <v>0.45355089530589304</v>
          </cell>
          <cell r="I372">
            <v>2.4157043637354051E-2</v>
          </cell>
          <cell r="J372">
            <v>0.47770793894324709</v>
          </cell>
          <cell r="K372">
            <v>0</v>
          </cell>
          <cell r="L372">
            <v>278.93380061312422</v>
          </cell>
          <cell r="M372">
            <v>0</v>
          </cell>
          <cell r="N372">
            <v>0.47770793894324709</v>
          </cell>
          <cell r="O372">
            <v>312</v>
          </cell>
          <cell r="P372">
            <v>0</v>
          </cell>
          <cell r="Q372">
            <v>272</v>
          </cell>
        </row>
        <row r="373">
          <cell r="A373" t="str">
            <v>Tapejara</v>
          </cell>
          <cell r="B373">
            <v>15869</v>
          </cell>
          <cell r="C373" t="str">
            <v>P1</v>
          </cell>
          <cell r="D373">
            <v>13.046531872984266</v>
          </cell>
          <cell r="E373">
            <v>55.469065966872918</v>
          </cell>
          <cell r="F373">
            <v>53.972117314681746</v>
          </cell>
          <cell r="G373">
            <v>24.803720600345205</v>
          </cell>
          <cell r="H373">
            <v>0.42903538089823601</v>
          </cell>
          <cell r="I373">
            <v>8.5983363450679695E-2</v>
          </cell>
          <cell r="J373">
            <v>0.5150187443489157</v>
          </cell>
          <cell r="K373">
            <v>1</v>
          </cell>
          <cell r="L373">
            <v>939.15844878623864</v>
          </cell>
          <cell r="M373">
            <v>0</v>
          </cell>
          <cell r="N373">
            <v>0.5150187443489157</v>
          </cell>
          <cell r="O373">
            <v>252</v>
          </cell>
          <cell r="P373">
            <v>0</v>
          </cell>
          <cell r="Q373">
            <v>324</v>
          </cell>
        </row>
        <row r="374">
          <cell r="A374" t="str">
            <v>Tapira</v>
          </cell>
          <cell r="B374">
            <v>5745</v>
          </cell>
          <cell r="C374" t="str">
            <v>P1</v>
          </cell>
          <cell r="D374">
            <v>13.046531872984266</v>
          </cell>
          <cell r="E374">
            <v>67.284986678078809</v>
          </cell>
          <cell r="F374">
            <v>43.472476056336781</v>
          </cell>
          <cell r="G374">
            <v>35.207907258860551</v>
          </cell>
          <cell r="H374">
            <v>0.49691652786043095</v>
          </cell>
          <cell r="I374">
            <v>2.7103024568738691E-2</v>
          </cell>
          <cell r="J374">
            <v>0.52401955242916964</v>
          </cell>
          <cell r="K374">
            <v>1</v>
          </cell>
          <cell r="L374">
            <v>342.87240422369734</v>
          </cell>
          <cell r="M374">
            <v>0</v>
          </cell>
          <cell r="N374">
            <v>0.52401955242916964</v>
          </cell>
          <cell r="O374">
            <v>235</v>
          </cell>
          <cell r="P374">
            <v>0</v>
          </cell>
          <cell r="Q374">
            <v>157</v>
          </cell>
        </row>
        <row r="375">
          <cell r="A375" t="str">
            <v>Teixeira Soares</v>
          </cell>
          <cell r="B375">
            <v>9547</v>
          </cell>
          <cell r="C375" t="str">
            <v>P1</v>
          </cell>
          <cell r="D375">
            <v>13.046531872984266</v>
          </cell>
          <cell r="E375">
            <v>71.88474642238495</v>
          </cell>
          <cell r="F375">
            <v>57.169654488130533</v>
          </cell>
          <cell r="G375">
            <v>42.285566556277509</v>
          </cell>
          <cell r="H375">
            <v>0.57102056089091091</v>
          </cell>
          <cell r="I375">
            <v>5.1024389731581972E-2</v>
          </cell>
          <cell r="J375">
            <v>0.62204495062249288</v>
          </cell>
          <cell r="K375">
            <v>1</v>
          </cell>
          <cell r="L375">
            <v>741.75570859729328</v>
          </cell>
          <cell r="M375">
            <v>0</v>
          </cell>
          <cell r="N375">
            <v>0.62204495062249288</v>
          </cell>
          <cell r="O375">
            <v>85</v>
          </cell>
          <cell r="P375">
            <v>1</v>
          </cell>
          <cell r="Q375">
            <v>39</v>
          </cell>
        </row>
        <row r="376">
          <cell r="A376" t="str">
            <v>Telêmaco Borba</v>
          </cell>
          <cell r="B376">
            <v>75042</v>
          </cell>
          <cell r="C376" t="str">
            <v>P4</v>
          </cell>
          <cell r="D376">
            <v>3.5744175836676115</v>
          </cell>
          <cell r="E376">
            <v>66.878585892482079</v>
          </cell>
          <cell r="F376">
            <v>59.032073996071482</v>
          </cell>
          <cell r="G376">
            <v>17.042606375555497</v>
          </cell>
          <cell r="H376">
            <v>0.45374891706429321</v>
          </cell>
          <cell r="I376">
            <v>0.43282351843903133</v>
          </cell>
          <cell r="J376">
            <v>0.88657243550332454</v>
          </cell>
          <cell r="K376">
            <v>1</v>
          </cell>
          <cell r="L376">
            <v>4999.8593171314469</v>
          </cell>
          <cell r="M376">
            <v>0</v>
          </cell>
          <cell r="N376">
            <v>0.88657243550332454</v>
          </cell>
          <cell r="O376">
            <v>6</v>
          </cell>
          <cell r="P376">
            <v>1</v>
          </cell>
          <cell r="Q376">
            <v>271</v>
          </cell>
        </row>
        <row r="377">
          <cell r="A377" t="str">
            <v>Terra Boa</v>
          </cell>
          <cell r="B377">
            <v>17568</v>
          </cell>
          <cell r="C377" t="str">
            <v>P1</v>
          </cell>
          <cell r="D377">
            <v>13.046531872984266</v>
          </cell>
          <cell r="E377">
            <v>54.612313583321594</v>
          </cell>
          <cell r="F377">
            <v>53.554999663233104</v>
          </cell>
          <cell r="G377">
            <v>24.655798836805769</v>
          </cell>
          <cell r="H377">
            <v>0.42418244900697566</v>
          </cell>
          <cell r="I377">
            <v>8.8222308958532031E-2</v>
          </cell>
          <cell r="J377">
            <v>0.51240475796550766</v>
          </cell>
          <cell r="K377">
            <v>1</v>
          </cell>
          <cell r="L377">
            <v>952.71378046966731</v>
          </cell>
          <cell r="M377">
            <v>0</v>
          </cell>
          <cell r="N377">
            <v>0.51240475796550766</v>
          </cell>
          <cell r="O377">
            <v>257</v>
          </cell>
          <cell r="P377">
            <v>0</v>
          </cell>
          <cell r="Q377">
            <v>333</v>
          </cell>
        </row>
        <row r="378">
          <cell r="A378" t="str">
            <v>Terra Rica</v>
          </cell>
          <cell r="B378">
            <v>14842</v>
          </cell>
          <cell r="C378" t="str">
            <v>P1</v>
          </cell>
          <cell r="D378">
            <v>13.046531872984266</v>
          </cell>
          <cell r="E378">
            <v>54.623644391760394</v>
          </cell>
          <cell r="F378">
            <v>49.192671042096059</v>
          </cell>
          <cell r="G378">
            <v>35.494067899947858</v>
          </cell>
          <cell r="H378">
            <v>0.45885619125102517</v>
          </cell>
          <cell r="I378">
            <v>7.9345086418626309E-2</v>
          </cell>
          <cell r="J378">
            <v>0.53820127766965142</v>
          </cell>
          <cell r="K378">
            <v>1</v>
          </cell>
          <cell r="L378">
            <v>926.88950632707088</v>
          </cell>
          <cell r="M378">
            <v>0</v>
          </cell>
          <cell r="N378">
            <v>0.53820127766965142</v>
          </cell>
          <cell r="O378">
            <v>205</v>
          </cell>
          <cell r="P378">
            <v>1</v>
          </cell>
          <cell r="Q378">
            <v>256</v>
          </cell>
        </row>
        <row r="379">
          <cell r="A379" t="str">
            <v>Terra Roxa</v>
          </cell>
          <cell r="B379">
            <v>18119</v>
          </cell>
          <cell r="C379" t="str">
            <v>P1</v>
          </cell>
          <cell r="D379">
            <v>13.046531872984266</v>
          </cell>
          <cell r="E379">
            <v>60.894341487590225</v>
          </cell>
          <cell r="F379">
            <v>50.588378064021846</v>
          </cell>
          <cell r="G379">
            <v>28.529450413583845</v>
          </cell>
          <cell r="H379">
            <v>0.45887192373273999</v>
          </cell>
          <cell r="I379">
            <v>9.4467788533067462E-2</v>
          </cell>
          <cell r="J379">
            <v>0.55333971226580747</v>
          </cell>
          <cell r="K379">
            <v>1</v>
          </cell>
          <cell r="L379">
            <v>1103.5869765772397</v>
          </cell>
          <cell r="M379">
            <v>0</v>
          </cell>
          <cell r="N379">
            <v>0.55333971226580747</v>
          </cell>
          <cell r="O379">
            <v>174</v>
          </cell>
          <cell r="P379">
            <v>1</v>
          </cell>
          <cell r="Q379">
            <v>255</v>
          </cell>
        </row>
        <row r="380">
          <cell r="A380" t="str">
            <v>Tibagi</v>
          </cell>
          <cell r="B380">
            <v>19961</v>
          </cell>
          <cell r="C380" t="str">
            <v>P1</v>
          </cell>
          <cell r="D380">
            <v>13.046531872984266</v>
          </cell>
          <cell r="E380">
            <v>68.43225635811865</v>
          </cell>
          <cell r="F380">
            <v>58.579653504777447</v>
          </cell>
          <cell r="G380">
            <v>37.610490897226974</v>
          </cell>
          <cell r="H380">
            <v>0.5413302960309373</v>
          </cell>
          <cell r="I380">
            <v>0.11858555242466973</v>
          </cell>
          <cell r="J380">
            <v>0.65991584845560702</v>
          </cell>
          <cell r="K380">
            <v>1</v>
          </cell>
          <cell r="L380">
            <v>1634.2761637173996</v>
          </cell>
          <cell r="M380">
            <v>0</v>
          </cell>
          <cell r="N380">
            <v>0.65991584845560702</v>
          </cell>
          <cell r="O380">
            <v>51</v>
          </cell>
          <cell r="P380">
            <v>1</v>
          </cell>
          <cell r="Q380">
            <v>69</v>
          </cell>
        </row>
        <row r="381">
          <cell r="A381" t="str">
            <v>Tijucas do Sul</v>
          </cell>
          <cell r="B381">
            <v>17621</v>
          </cell>
          <cell r="C381" t="str">
            <v>P1</v>
          </cell>
          <cell r="D381">
            <v>13.046531872984266</v>
          </cell>
          <cell r="E381">
            <v>75.355510641909945</v>
          </cell>
          <cell r="F381">
            <v>68.835601232702302</v>
          </cell>
          <cell r="G381">
            <v>41.099924952997029</v>
          </cell>
          <cell r="H381">
            <v>0.60349294484503258</v>
          </cell>
          <cell r="I381">
            <v>9.8827840311516729E-2</v>
          </cell>
          <cell r="J381">
            <v>0.70232078515654928</v>
          </cell>
          <cell r="K381">
            <v>1</v>
          </cell>
          <cell r="L381">
            <v>1518.388249230102</v>
          </cell>
          <cell r="M381">
            <v>0</v>
          </cell>
          <cell r="N381">
            <v>0.70232078515654928</v>
          </cell>
          <cell r="O381">
            <v>30</v>
          </cell>
          <cell r="P381">
            <v>1</v>
          </cell>
          <cell r="Q381">
            <v>17</v>
          </cell>
        </row>
        <row r="382">
          <cell r="A382" t="str">
            <v>Toledo</v>
          </cell>
          <cell r="B382">
            <v>150470</v>
          </cell>
          <cell r="C382" t="str">
            <v>M1</v>
          </cell>
          <cell r="D382">
            <v>10.334658226280325</v>
          </cell>
          <cell r="E382">
            <v>58.531363595979585</v>
          </cell>
          <cell r="F382">
            <v>53.657457585118173</v>
          </cell>
          <cell r="G382">
            <v>11.580859625219665</v>
          </cell>
          <cell r="H382">
            <v>0.38776380805503335</v>
          </cell>
          <cell r="I382">
            <v>0.76831182690511413</v>
          </cell>
          <cell r="J382">
            <v>1.1560756349601475</v>
          </cell>
          <cell r="K382">
            <v>2</v>
          </cell>
          <cell r="L382">
            <v>7584.660085556452</v>
          </cell>
          <cell r="M382">
            <v>1</v>
          </cell>
          <cell r="N382">
            <v>0.15607563496014754</v>
          </cell>
          <cell r="O382">
            <v>393</v>
          </cell>
          <cell r="P382">
            <v>1</v>
          </cell>
          <cell r="Q382">
            <v>377</v>
          </cell>
        </row>
        <row r="383">
          <cell r="A383" t="str">
            <v>Tomazina</v>
          </cell>
          <cell r="B383">
            <v>8426</v>
          </cell>
          <cell r="C383" t="str">
            <v>P1</v>
          </cell>
          <cell r="D383">
            <v>13.046531872984266</v>
          </cell>
          <cell r="E383">
            <v>60.590226328999137</v>
          </cell>
          <cell r="F383">
            <v>54.763883453654607</v>
          </cell>
          <cell r="G383">
            <v>38.304689909227321</v>
          </cell>
          <cell r="H383">
            <v>0.50510743186021512</v>
          </cell>
          <cell r="I383">
            <v>3.9711822955064952E-2</v>
          </cell>
          <cell r="J383">
            <v>0.54481925481528004</v>
          </cell>
          <cell r="K383">
            <v>1</v>
          </cell>
          <cell r="L383">
            <v>510.66361361067749</v>
          </cell>
          <cell r="M383">
            <v>0</v>
          </cell>
          <cell r="N383">
            <v>0.54481925481528004</v>
          </cell>
          <cell r="O383">
            <v>191</v>
          </cell>
          <cell r="P383">
            <v>1</v>
          </cell>
          <cell r="Q383">
            <v>137</v>
          </cell>
        </row>
        <row r="384">
          <cell r="A384" t="str">
            <v>Três Barras do Paraná</v>
          </cell>
          <cell r="B384">
            <v>11135</v>
          </cell>
          <cell r="C384" t="str">
            <v>P1</v>
          </cell>
          <cell r="D384">
            <v>13.046531872984266</v>
          </cell>
          <cell r="E384">
            <v>60.428939852362106</v>
          </cell>
          <cell r="F384">
            <v>59.16899990345437</v>
          </cell>
          <cell r="G384">
            <v>40.382770764360345</v>
          </cell>
          <cell r="H384">
            <v>0.52158484227379853</v>
          </cell>
          <cell r="I384">
            <v>5.9823052779984093E-2</v>
          </cell>
          <cell r="J384">
            <v>0.58140789505378265</v>
          </cell>
          <cell r="K384">
            <v>1</v>
          </cell>
          <cell r="L384">
            <v>794.37371478299519</v>
          </cell>
          <cell r="M384">
            <v>0</v>
          </cell>
          <cell r="N384">
            <v>0.58140789505378265</v>
          </cell>
          <cell r="O384">
            <v>132</v>
          </cell>
          <cell r="P384">
            <v>1</v>
          </cell>
          <cell r="Q384">
            <v>99</v>
          </cell>
        </row>
        <row r="385">
          <cell r="A385" t="str">
            <v>Tunas do Paraná</v>
          </cell>
          <cell r="B385">
            <v>6219</v>
          </cell>
          <cell r="C385" t="str">
            <v>P1</v>
          </cell>
          <cell r="D385">
            <v>13.046531872984266</v>
          </cell>
          <cell r="E385">
            <v>70.498928249111458</v>
          </cell>
          <cell r="F385">
            <v>68.044916535294533</v>
          </cell>
          <cell r="G385">
            <v>45.34500995960736</v>
          </cell>
          <cell r="H385">
            <v>0.59946558590546428</v>
          </cell>
          <cell r="I385">
            <v>4.2029327954420867E-2</v>
          </cell>
          <cell r="J385">
            <v>0.64149491385988511</v>
          </cell>
          <cell r="K385">
            <v>1</v>
          </cell>
          <cell r="L385">
            <v>641.42817691884682</v>
          </cell>
          <cell r="M385">
            <v>0</v>
          </cell>
          <cell r="N385">
            <v>0.64149491385988511</v>
          </cell>
          <cell r="O385">
            <v>65</v>
          </cell>
          <cell r="P385">
            <v>1</v>
          </cell>
          <cell r="Q385">
            <v>19</v>
          </cell>
        </row>
        <row r="386">
          <cell r="A386" t="str">
            <v>Tuneiras do Oeste</v>
          </cell>
          <cell r="B386">
            <v>8067</v>
          </cell>
          <cell r="C386" t="str">
            <v>P1</v>
          </cell>
          <cell r="D386">
            <v>13.046531872984266</v>
          </cell>
          <cell r="E386">
            <v>60.363159988065505</v>
          </cell>
          <cell r="F386">
            <v>51.561878279255048</v>
          </cell>
          <cell r="G386">
            <v>36.785266534012514</v>
          </cell>
          <cell r="H386">
            <v>0.49171746264682215</v>
          </cell>
          <cell r="I386">
            <v>4.1204453293633168E-2</v>
          </cell>
          <cell r="J386">
            <v>0.53292191594045535</v>
          </cell>
          <cell r="K386">
            <v>1</v>
          </cell>
          <cell r="L386">
            <v>515.81161831651639</v>
          </cell>
          <cell r="M386">
            <v>0</v>
          </cell>
          <cell r="N386">
            <v>0.53292191594045535</v>
          </cell>
          <cell r="O386">
            <v>216</v>
          </cell>
          <cell r="P386">
            <v>1</v>
          </cell>
          <cell r="Q386">
            <v>170</v>
          </cell>
        </row>
        <row r="387">
          <cell r="A387" t="str">
            <v>Tupãssi</v>
          </cell>
          <cell r="B387">
            <v>8077</v>
          </cell>
          <cell r="C387" t="str">
            <v>P1</v>
          </cell>
          <cell r="D387">
            <v>13.046531872984266</v>
          </cell>
          <cell r="E387">
            <v>56.925208074534879</v>
          </cell>
          <cell r="F387">
            <v>40.992049701712041</v>
          </cell>
          <cell r="G387">
            <v>24.645655886449898</v>
          </cell>
          <cell r="H387">
            <v>0.40826755524736319</v>
          </cell>
          <cell r="I387">
            <v>3.7787115413226983E-2</v>
          </cell>
          <cell r="J387">
            <v>0.44605467066059018</v>
          </cell>
          <cell r="K387">
            <v>0</v>
          </cell>
          <cell r="L387">
            <v>392.75338814796339</v>
          </cell>
          <cell r="M387">
            <v>0</v>
          </cell>
          <cell r="N387">
            <v>0.44605467066059018</v>
          </cell>
          <cell r="O387">
            <v>344</v>
          </cell>
          <cell r="P387">
            <v>0</v>
          </cell>
          <cell r="Q387">
            <v>357</v>
          </cell>
        </row>
        <row r="388">
          <cell r="A388" t="str">
            <v>Turvo</v>
          </cell>
          <cell r="B388">
            <v>14231</v>
          </cell>
          <cell r="C388" t="str">
            <v>P1</v>
          </cell>
          <cell r="D388">
            <v>13.046531872984266</v>
          </cell>
          <cell r="E388">
            <v>62.297383533913589</v>
          </cell>
          <cell r="F388">
            <v>54.185653326886118</v>
          </cell>
          <cell r="G388">
            <v>32.287954699663111</v>
          </cell>
          <cell r="H388">
            <v>0.48671265958807908</v>
          </cell>
          <cell r="I388">
            <v>8.1348353451967864E-2</v>
          </cell>
          <cell r="J388">
            <v>0.56806101304004697</v>
          </cell>
          <cell r="K388">
            <v>1</v>
          </cell>
          <cell r="L388">
            <v>1007.9819180069118</v>
          </cell>
          <cell r="M388">
            <v>0</v>
          </cell>
          <cell r="N388">
            <v>0.56806101304004697</v>
          </cell>
          <cell r="O388">
            <v>145</v>
          </cell>
          <cell r="P388">
            <v>1</v>
          </cell>
          <cell r="Q388">
            <v>183</v>
          </cell>
        </row>
        <row r="389">
          <cell r="A389" t="str">
            <v>Ubiratã</v>
          </cell>
          <cell r="B389">
            <v>24749</v>
          </cell>
          <cell r="C389" t="str">
            <v>P2</v>
          </cell>
          <cell r="D389">
            <v>6.7442145063459806</v>
          </cell>
          <cell r="E389">
            <v>56.083921820829765</v>
          </cell>
          <cell r="F389">
            <v>48.1222130056995</v>
          </cell>
          <cell r="G389">
            <v>22.836330814394262</v>
          </cell>
          <cell r="H389">
            <v>0.41192543655229508</v>
          </cell>
          <cell r="I389">
            <v>0.12475247250770156</v>
          </cell>
          <cell r="J389">
            <v>0.53667790905999668</v>
          </cell>
          <cell r="K389">
            <v>1</v>
          </cell>
          <cell r="L389">
            <v>1308.2751864900893</v>
          </cell>
          <cell r="M389">
            <v>0</v>
          </cell>
          <cell r="N389">
            <v>0.53667790905999668</v>
          </cell>
          <cell r="O389">
            <v>207</v>
          </cell>
          <cell r="P389">
            <v>1</v>
          </cell>
          <cell r="Q389">
            <v>352</v>
          </cell>
        </row>
        <row r="390">
          <cell r="A390" t="str">
            <v>Umuarama</v>
          </cell>
          <cell r="B390">
            <v>117095</v>
          </cell>
          <cell r="C390" t="str">
            <v>M1</v>
          </cell>
          <cell r="D390">
            <v>10.334658226280325</v>
          </cell>
          <cell r="E390">
            <v>64.774262344765759</v>
          </cell>
          <cell r="F390">
            <v>56.326856551639644</v>
          </cell>
          <cell r="G390">
            <v>23.809221676647969</v>
          </cell>
          <cell r="H390">
            <v>0.46698764918893415</v>
          </cell>
          <cell r="I390">
            <v>0.58079032068604386</v>
          </cell>
          <cell r="J390">
            <v>1.0477779698749781</v>
          </cell>
          <cell r="K390">
            <v>1</v>
          </cell>
          <cell r="L390">
            <v>6904.8793809075805</v>
          </cell>
          <cell r="M390">
            <v>1</v>
          </cell>
          <cell r="N390">
            <v>4.7777969874978066E-2</v>
          </cell>
          <cell r="O390">
            <v>397</v>
          </cell>
          <cell r="P390">
            <v>1</v>
          </cell>
          <cell r="Q390">
            <v>237</v>
          </cell>
        </row>
        <row r="391">
          <cell r="A391" t="str">
            <v>União da Vitória</v>
          </cell>
          <cell r="B391">
            <v>55033</v>
          </cell>
          <cell r="C391" t="str">
            <v>P3</v>
          </cell>
          <cell r="D391">
            <v>4.2716330707619763</v>
          </cell>
          <cell r="E391">
            <v>61.03888483457483</v>
          </cell>
          <cell r="F391">
            <v>53.588943502711722</v>
          </cell>
          <cell r="G391">
            <v>28.106708887186567</v>
          </cell>
          <cell r="H391">
            <v>0.46376026189246899</v>
          </cell>
          <cell r="I391">
            <v>0.283089127633188</v>
          </cell>
          <cell r="J391">
            <v>0.74684938952565694</v>
          </cell>
          <cell r="K391">
            <v>1</v>
          </cell>
          <cell r="L391">
            <v>3342.320207459024</v>
          </cell>
          <cell r="M391">
            <v>0</v>
          </cell>
          <cell r="N391">
            <v>0.74684938952565694</v>
          </cell>
          <cell r="O391">
            <v>18</v>
          </cell>
          <cell r="P391">
            <v>1</v>
          </cell>
          <cell r="Q391">
            <v>243</v>
          </cell>
        </row>
        <row r="392">
          <cell r="A392" t="str">
            <v>Uniflor</v>
          </cell>
          <cell r="B392">
            <v>2136</v>
          </cell>
          <cell r="C392" t="str">
            <v>P1</v>
          </cell>
          <cell r="D392">
            <v>13.046531872984266</v>
          </cell>
          <cell r="E392">
            <v>53.346705806711952</v>
          </cell>
          <cell r="F392">
            <v>39.366940804116268</v>
          </cell>
          <cell r="G392">
            <v>32.920806584081753</v>
          </cell>
          <cell r="H392">
            <v>0.42380393117140741</v>
          </cell>
          <cell r="I392">
            <v>1.0526971861481115E-2</v>
          </cell>
          <cell r="J392">
            <v>0.43433090303288852</v>
          </cell>
          <cell r="K392">
            <v>0</v>
          </cell>
          <cell r="L392">
            <v>113.57945355393719</v>
          </cell>
          <cell r="M392">
            <v>0</v>
          </cell>
          <cell r="N392">
            <v>0.43433090303288852</v>
          </cell>
          <cell r="O392">
            <v>351</v>
          </cell>
          <cell r="P392">
            <v>0</v>
          </cell>
          <cell r="Q392">
            <v>335</v>
          </cell>
        </row>
        <row r="393">
          <cell r="A393" t="str">
            <v>Uraí</v>
          </cell>
          <cell r="B393">
            <v>10406</v>
          </cell>
          <cell r="C393" t="str">
            <v>P1</v>
          </cell>
          <cell r="D393">
            <v>13.046531872984266</v>
          </cell>
          <cell r="E393">
            <v>62.928527746240306</v>
          </cell>
          <cell r="F393">
            <v>37.677487446577338</v>
          </cell>
          <cell r="G393">
            <v>39.574332069215956</v>
          </cell>
          <cell r="H393">
            <v>0.48536641415497978</v>
          </cell>
          <cell r="I393">
            <v>4.7607051851175787E-2</v>
          </cell>
          <cell r="J393">
            <v>0.53297346600615558</v>
          </cell>
          <cell r="K393">
            <v>1</v>
          </cell>
          <cell r="L393">
            <v>588.26409395583551</v>
          </cell>
          <cell r="M393">
            <v>0</v>
          </cell>
          <cell r="N393">
            <v>0.53297346600615558</v>
          </cell>
          <cell r="O393">
            <v>215</v>
          </cell>
          <cell r="P393">
            <v>1</v>
          </cell>
          <cell r="Q393">
            <v>188</v>
          </cell>
        </row>
        <row r="394">
          <cell r="A394" t="str">
            <v>Ventania</v>
          </cell>
          <cell r="B394">
            <v>9681</v>
          </cell>
          <cell r="C394" t="str">
            <v>P1</v>
          </cell>
          <cell r="D394">
            <v>13.046531872984266</v>
          </cell>
          <cell r="E394">
            <v>66.698216223049656</v>
          </cell>
          <cell r="F394">
            <v>66.79992614962724</v>
          </cell>
          <cell r="G394">
            <v>31.205933431565722</v>
          </cell>
          <cell r="H394">
            <v>0.52521645091771596</v>
          </cell>
          <cell r="I394">
            <v>5.3499013713945068E-2</v>
          </cell>
          <cell r="J394">
            <v>0.57871546463166101</v>
          </cell>
          <cell r="K394">
            <v>1</v>
          </cell>
          <cell r="L394">
            <v>715.34480614992913</v>
          </cell>
          <cell r="M394">
            <v>0</v>
          </cell>
          <cell r="N394">
            <v>0.57871546463166101</v>
          </cell>
          <cell r="O394">
            <v>135</v>
          </cell>
          <cell r="P394">
            <v>1</v>
          </cell>
          <cell r="Q394">
            <v>90</v>
          </cell>
        </row>
        <row r="395">
          <cell r="A395" t="str">
            <v>Vera Cruz do Oeste</v>
          </cell>
          <cell r="B395">
            <v>8215</v>
          </cell>
          <cell r="C395" t="str">
            <v>P1</v>
          </cell>
          <cell r="D395">
            <v>13.046531872984266</v>
          </cell>
          <cell r="E395">
            <v>71.027989928801006</v>
          </cell>
          <cell r="F395">
            <v>44.726858059424551</v>
          </cell>
          <cell r="G395">
            <v>34.146538623748263</v>
          </cell>
          <cell r="H395">
            <v>0.51015183032904621</v>
          </cell>
          <cell r="I395">
            <v>4.0458138124349056E-2</v>
          </cell>
          <cell r="J395">
            <v>0.55060996845339527</v>
          </cell>
          <cell r="K395">
            <v>1</v>
          </cell>
          <cell r="L395">
            <v>525.45638523891762</v>
          </cell>
          <cell r="M395">
            <v>0</v>
          </cell>
          <cell r="N395">
            <v>0.55060996845339527</v>
          </cell>
          <cell r="O395">
            <v>177</v>
          </cell>
          <cell r="P395">
            <v>1</v>
          </cell>
          <cell r="Q395">
            <v>127</v>
          </cell>
        </row>
        <row r="396">
          <cell r="A396" t="str">
            <v>Verê</v>
          </cell>
          <cell r="B396">
            <v>7932</v>
          </cell>
          <cell r="C396" t="str">
            <v>P1</v>
          </cell>
          <cell r="D396">
            <v>13.046531872984266</v>
          </cell>
          <cell r="E396">
            <v>58.363387965906711</v>
          </cell>
          <cell r="F396">
            <v>53.521266455231533</v>
          </cell>
          <cell r="G396">
            <v>26.37798889448192</v>
          </cell>
          <cell r="H396">
            <v>0.44600804035201763</v>
          </cell>
          <cell r="I396">
            <v>3.8415591345255712E-2</v>
          </cell>
          <cell r="J396">
            <v>0.48442363169727332</v>
          </cell>
          <cell r="K396">
            <v>0</v>
          </cell>
          <cell r="L396">
            <v>436.19586346427326</v>
          </cell>
          <cell r="M396">
            <v>0</v>
          </cell>
          <cell r="N396">
            <v>0.48442363169727332</v>
          </cell>
          <cell r="O396">
            <v>295</v>
          </cell>
          <cell r="P396">
            <v>0</v>
          </cell>
          <cell r="Q396">
            <v>287</v>
          </cell>
        </row>
        <row r="397">
          <cell r="A397" t="str">
            <v>Virmond</v>
          </cell>
          <cell r="B397">
            <v>3811</v>
          </cell>
          <cell r="C397" t="str">
            <v>P1</v>
          </cell>
          <cell r="D397">
            <v>13.046531872984266</v>
          </cell>
          <cell r="E397">
            <v>66.090509070290324</v>
          </cell>
          <cell r="F397">
            <v>63.335562087152141</v>
          </cell>
          <cell r="G397">
            <v>32.749714986050293</v>
          </cell>
          <cell r="H397">
            <v>0.52203202039966679</v>
          </cell>
          <cell r="I397">
            <v>2.0464747536685302E-2</v>
          </cell>
          <cell r="J397">
            <v>0.54249676793635204</v>
          </cell>
          <cell r="K397">
            <v>1</v>
          </cell>
          <cell r="L397">
            <v>271.97868262822641</v>
          </cell>
          <cell r="M397">
            <v>0</v>
          </cell>
          <cell r="N397">
            <v>0.54249676793635204</v>
          </cell>
          <cell r="O397">
            <v>194</v>
          </cell>
          <cell r="P397">
            <v>1</v>
          </cell>
          <cell r="Q397">
            <v>98</v>
          </cell>
        </row>
        <row r="398">
          <cell r="A398" t="str">
            <v>Vitorino</v>
          </cell>
          <cell r="B398">
            <v>9706</v>
          </cell>
          <cell r="C398" t="str">
            <v>P1</v>
          </cell>
          <cell r="D398">
            <v>13.046531872984266</v>
          </cell>
          <cell r="E398">
            <v>73.702228544333806</v>
          </cell>
          <cell r="F398">
            <v>53.886371580857144</v>
          </cell>
          <cell r="G398">
            <v>25.809931047582381</v>
          </cell>
          <cell r="H398">
            <v>0.50582138152937905</v>
          </cell>
          <cell r="I398">
            <v>6.0412248966261024E-2</v>
          </cell>
          <cell r="J398">
            <v>0.56623363049564013</v>
          </cell>
          <cell r="K398">
            <v>1</v>
          </cell>
          <cell r="L398">
            <v>777.95328479218495</v>
          </cell>
          <cell r="M398">
            <v>0</v>
          </cell>
          <cell r="N398">
            <v>0.56623363049564013</v>
          </cell>
          <cell r="O398">
            <v>152</v>
          </cell>
          <cell r="P398">
            <v>1</v>
          </cell>
          <cell r="Q398">
            <v>134</v>
          </cell>
        </row>
        <row r="399">
          <cell r="A399" t="str">
            <v>Wenceslau Braz</v>
          </cell>
          <cell r="B399">
            <v>19188</v>
          </cell>
          <cell r="C399" t="str">
            <v>P1</v>
          </cell>
          <cell r="D399">
            <v>13.046531872984266</v>
          </cell>
          <cell r="E399">
            <v>58.545797682082281</v>
          </cell>
          <cell r="F399">
            <v>55.137820684859058</v>
          </cell>
          <cell r="G399">
            <v>34.14133314449721</v>
          </cell>
          <cell r="H399">
            <v>0.48102416467603609</v>
          </cell>
          <cell r="I399">
            <v>0.10145958327688701</v>
          </cell>
          <cell r="J399">
            <v>0.58248374795292313</v>
          </cell>
          <cell r="K399">
            <v>1</v>
          </cell>
          <cell r="L399">
            <v>1242.4854173582012</v>
          </cell>
          <cell r="M399">
            <v>0</v>
          </cell>
          <cell r="N399">
            <v>0.58248374795292313</v>
          </cell>
          <cell r="O399">
            <v>131</v>
          </cell>
          <cell r="P399">
            <v>1</v>
          </cell>
          <cell r="Q399">
            <v>204</v>
          </cell>
        </row>
        <row r="400">
          <cell r="A400" t="str">
            <v>Xambrê</v>
          </cell>
          <cell r="B400">
            <v>5798</v>
          </cell>
          <cell r="C400" t="str">
            <v>P1</v>
          </cell>
          <cell r="D400">
            <v>13.046531872984266</v>
          </cell>
          <cell r="E400">
            <v>60.017508263248814</v>
          </cell>
          <cell r="F400">
            <v>45.449820706364811</v>
          </cell>
          <cell r="G400">
            <v>39.859302637064424</v>
          </cell>
          <cell r="H400">
            <v>0.49040688501398255</v>
          </cell>
          <cell r="I400">
            <v>2.8438535924299728E-2</v>
          </cell>
          <cell r="J400">
            <v>0.51884542093828223</v>
          </cell>
          <cell r="K400">
            <v>0</v>
          </cell>
          <cell r="L400">
            <v>355.05458475012335</v>
          </cell>
          <cell r="M400">
            <v>0</v>
          </cell>
          <cell r="N400">
            <v>0.51884542093828223</v>
          </cell>
          <cell r="O400">
            <v>243</v>
          </cell>
          <cell r="P400">
            <v>0</v>
          </cell>
          <cell r="Q400">
            <v>174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8EEC3-9417-409A-9304-E4A144405A43}" name="Tabela1" displayName="Tabela1" ref="A1:H35" totalsRowShown="0" headerRowDxfId="25" headerRowBorderDxfId="32" tableBorderDxfId="33" totalsRowBorderDxfId="31">
  <autoFilter ref="A1:H35" xr:uid="{83F8EEC3-9417-409A-9304-E4A144405A43}"/>
  <tableColumns count="8">
    <tableColumn id="1" xr3:uid="{E8F4453A-D014-42D4-9184-B3725C79E1F2}" name="MUNICÍPIO" dataDxfId="30"/>
    <tableColumn id="2" xr3:uid="{BD7075CD-0D3F-43C0-8DD4-3DF2B8FEAF00}" name="Coluna1" dataDxfId="29"/>
    <tableColumn id="3" xr3:uid="{EDCF69D2-9380-4EAA-8F83-B23AA79A4D3A}" name="Coluna2" dataDxfId="28"/>
    <tableColumn id="4" xr3:uid="{45C7E886-0E90-4D7A-A016-DB945D1FC4A3}" name="Coluna3" dataDxfId="20">
      <calculatedColumnFormula>VLOOKUP(Municipios!A2,CI!A$2:R$400,18,FALSE)</calculatedColumnFormula>
    </tableColumn>
    <tableColumn id="5" xr3:uid="{AB39D497-6AE3-4B47-B022-2B14A99BF183}" name="Coluna4" dataDxfId="18">
      <calculatedColumnFormula>B2-D2</calculatedColumnFormula>
    </tableColumn>
    <tableColumn id="6" xr3:uid="{29F4733C-9961-4D9C-8270-739DBB4D8EAF}" name="Coluna5" dataDxfId="19">
      <calculatedColumnFormula>VLOOKUP(Municipios!A2,CI!A$2:R$400,9,FALSE)</calculatedColumnFormula>
    </tableColumn>
    <tableColumn id="7" xr3:uid="{AB17EBDB-47E2-4D89-A12D-446D25010F7E}" name="Coluna6" dataDxfId="27">
      <calculatedColumnFormula>VLOOKUP(A2,[1]CI!$A$2:$P$400,9,FALSE)</calculatedColumnFormula>
    </tableColumn>
    <tableColumn id="8" xr3:uid="{1F9B0098-6062-4095-BAF7-D1EF9CFDAAEF}" name="Coluna7" dataDxfId="26">
      <calculatedColumnFormula>VLOOKUP(A2,[1]CI!$A$2:$Q$400,17,FALSE)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78087B-C506-42E2-9499-F4FE6ECBEF72}">
  <we:reference id="wa200000169" version="1.18.0.0" store="pt-BR" storeType="OMEX"/>
  <we:alternateReferences>
    <we:reference id="WA200000169" version="1.18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</we:customFunctionIdList>
    </a:ext>
  </we:extLst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4B7CE"/>
  </sheetPr>
  <dimension ref="A1:T550"/>
  <sheetViews>
    <sheetView tabSelected="1" zoomScale="90" zoomScaleNormal="90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20.5703125" style="93" customWidth="1"/>
    <col min="2" max="2" width="20.7109375" style="51" customWidth="1"/>
    <col min="3" max="3" width="20.7109375" style="87" customWidth="1"/>
    <col min="4" max="4" width="9.85546875" style="87" customWidth="1"/>
    <col min="5" max="5" width="3.140625" style="87" customWidth="1"/>
    <col min="6" max="8" width="20.7109375" style="87" customWidth="1"/>
    <col min="9" max="9" width="30.5703125" style="87" customWidth="1"/>
    <col min="10" max="10" width="10.140625" style="87" customWidth="1"/>
    <col min="11" max="11" width="22" style="87" customWidth="1"/>
    <col min="12" max="12" width="11" style="87" customWidth="1"/>
    <col min="13" max="13" width="4" style="87" customWidth="1"/>
    <col min="14" max="14" width="2.42578125" style="87" customWidth="1"/>
    <col min="15" max="15" width="2.28515625" style="87" customWidth="1"/>
    <col min="16" max="16" width="5.85546875" style="87" customWidth="1"/>
    <col min="17" max="17" width="4" style="87" customWidth="1"/>
    <col min="18" max="19" width="9.140625" style="87"/>
    <col min="20" max="20" width="0" style="87" hidden="1" customWidth="1"/>
    <col min="21" max="16384" width="9.140625" style="87"/>
  </cols>
  <sheetData>
    <row r="1" spans="1:20" ht="48" x14ac:dyDescent="0.25">
      <c r="A1" s="32" t="s">
        <v>0</v>
      </c>
      <c r="B1" s="30" t="s">
        <v>445</v>
      </c>
      <c r="C1" s="30" t="s">
        <v>1</v>
      </c>
      <c r="D1" s="30" t="s">
        <v>2</v>
      </c>
      <c r="E1" s="102" t="s">
        <v>467</v>
      </c>
      <c r="F1" s="34" t="s">
        <v>421</v>
      </c>
      <c r="G1" s="35" t="s">
        <v>422</v>
      </c>
      <c r="H1" s="36" t="s">
        <v>446</v>
      </c>
      <c r="I1" s="33" t="s">
        <v>418</v>
      </c>
      <c r="J1" s="31" t="s">
        <v>456</v>
      </c>
      <c r="K1" s="31" t="s">
        <v>465</v>
      </c>
      <c r="L1" s="29" t="s">
        <v>461</v>
      </c>
      <c r="M1" s="29"/>
      <c r="Q1" s="96">
        <f>SUM(L$2:L$400)-(SUM(O$2:O$400))</f>
        <v>192.00000000000023</v>
      </c>
      <c r="R1" s="29" t="s">
        <v>3</v>
      </c>
    </row>
    <row r="2" spans="1:20" ht="19.5" x14ac:dyDescent="0.25">
      <c r="A2" s="2" t="s">
        <v>7</v>
      </c>
      <c r="B2" s="37">
        <v>1773718</v>
      </c>
      <c r="C2" s="4" t="str" cm="1">
        <f t="array" ref="C2">_xlfn.IFS(B2&lt;20000, "P1",B2&lt;40000, "P2",B2&lt;70000, "P3",B2&lt;100000, "P4",B2&lt;200000,"M1",B2&lt;500000,"M2",B2&lt;1000000,"G1",B2&gt;1000000,"G2")</f>
        <v>G2</v>
      </c>
      <c r="D2" s="13">
        <f>VLOOKUP(C2,Controle!A$2:H$9,8,FALSE)</f>
        <v>23.689076730043041</v>
      </c>
      <c r="E2" s="13">
        <f>VLOOKUP(C2,Controle!A$16:H$23,8,FALSE)</f>
        <v>8.1989249281085996</v>
      </c>
      <c r="F2" s="5">
        <f>VLOOKUP(A2,Educacional!A$2:P$405,16,FALSE)</f>
        <v>56.511036138398964</v>
      </c>
      <c r="G2" s="6">
        <f>VLOOKUP(A2,Demográfico!A$2:L$405,12,FALSE)</f>
        <v>29.90225405983405</v>
      </c>
      <c r="H2" s="7">
        <f>VLOOKUP(A2,Socioeconômico!A$2:M$405,13,FALSE)</f>
        <v>0</v>
      </c>
      <c r="I2" s="16">
        <f>(2*F2+G2+2*H2)/5/100</f>
        <v>0.28584865267326393</v>
      </c>
      <c r="J2" s="15">
        <f>VLOOKUP(A2,Demográfico!A$2:E$400,5,FALSE)/(VLOOKUP(C2,Controle!A$2:G$9,7,FALSE))*D2</f>
        <v>23.689076730043041</v>
      </c>
      <c r="K2" s="15">
        <f>VLOOKUP(A2,Demográfico!A$2:E$400,5,FALSE)/(VLOOKUP(C2,Controle!A$16:G$24,7,FALSE))*E2</f>
        <v>8.1989249281085996</v>
      </c>
      <c r="L2" s="118">
        <f>((J2*(1+I2))+3*(I2+K2))/4</f>
        <v>13.978722034686253</v>
      </c>
      <c r="M2" s="3">
        <f>INT(L2)</f>
        <v>13</v>
      </c>
      <c r="N2" s="100">
        <f>VLOOKUP(A2,Demográfico!A$2:E$400,5,FALSE)*I2</f>
        <v>57856.338998373962</v>
      </c>
      <c r="O2" s="96">
        <f>FLOOR(L2,1)</f>
        <v>13</v>
      </c>
      <c r="P2" s="96">
        <f>L2-O2</f>
        <v>0.97872203468625329</v>
      </c>
      <c r="Q2" s="87">
        <f>RANK(P2,P$2:P$400,0)</f>
        <v>3</v>
      </c>
      <c r="R2" s="3">
        <f>O2+IF(Q2&lt;Q$1,1,0)</f>
        <v>14</v>
      </c>
      <c r="T2" s="87">
        <f>VLOOKUP(A2,Demográfico!A$2:E$400,5,FALSE)*(I2)</f>
        <v>57856.338998373962</v>
      </c>
    </row>
    <row r="3" spans="1:20" ht="19.5" x14ac:dyDescent="0.25">
      <c r="A3" s="2" t="s">
        <v>8</v>
      </c>
      <c r="B3" s="37">
        <v>555965</v>
      </c>
      <c r="C3" s="4" t="str" cm="1">
        <f t="array" ref="C3">_xlfn.IFS(B3&lt;20000, "P1",B3&lt;40000, "P2",B3&lt;70000, "P3",B3&lt;100000, "P4",B3&lt;200000,"M1",B3&lt;500000,"M2",B3&lt;1000000,"G1",B3&gt;1000000,"G2")</f>
        <v>G1</v>
      </c>
      <c r="D3" s="13">
        <f>VLOOKUP(C3,Controle!A$2:H$9,8,FALSE)</f>
        <v>7.8205951873078137</v>
      </c>
      <c r="E3" s="13">
        <f>VLOOKUP(C3,Controle!A$16:H$23,8,FALSE)</f>
        <v>2.7067527183338935</v>
      </c>
      <c r="F3" s="5">
        <f>VLOOKUP(A3,Educacional!A$2:P$405,16,FALSE)</f>
        <v>65.893710228240536</v>
      </c>
      <c r="G3" s="6">
        <f>VLOOKUP(A3,Demográfico!A$2:L$405,12,FALSE)</f>
        <v>39.540641457935671</v>
      </c>
      <c r="H3" s="7">
        <f>VLOOKUP(A3,Socioeconômico!A$2:M$405,13,FALSE)</f>
        <v>24.244683451999634</v>
      </c>
      <c r="I3" s="16">
        <f>(2*F3+G3+2*H3)/5/100</f>
        <v>0.43963485763683202</v>
      </c>
      <c r="J3" s="15">
        <f>VLOOKUP(A3,Demográfico!A$2:E$400,5,FALSE)/(VLOOKUP(C3,Controle!A$2:G$9,7,FALSE))*D3</f>
        <v>7.8205951873078137</v>
      </c>
      <c r="K3" s="15">
        <f>VLOOKUP(A3,Demográfico!A$2:E$400,5,FALSE)/(VLOOKUP(C3,Controle!A$16:G$24,7,FALSE))*E3</f>
        <v>2.7067527183338935</v>
      </c>
      <c r="L3" s="118">
        <f>((J3*(1+I3))+3*(I3+K3))/4</f>
        <v>5.1744910417568386</v>
      </c>
      <c r="M3" s="3">
        <v>4</v>
      </c>
      <c r="N3" s="88">
        <f>VLOOKUP(A3,Demográfico!A$2:E$400,5,FALSE)*I3</f>
        <v>29376.401187293115</v>
      </c>
      <c r="O3" s="96">
        <f>FLOOR(L3,1)</f>
        <v>5</v>
      </c>
      <c r="P3" s="96">
        <f>L3-O3</f>
        <v>0.17449104175683861</v>
      </c>
      <c r="Q3" s="87">
        <f>RANK(P3,P$2:P$400,0)</f>
        <v>393</v>
      </c>
      <c r="R3" s="3">
        <f>O3+IF(Q3&lt;Q$1,1,0)</f>
        <v>5</v>
      </c>
      <c r="T3" s="87">
        <f>VLOOKUP(A3,Demográfico!A$2:E$400,5,FALSE)*(I3)</f>
        <v>29376.401187293115</v>
      </c>
    </row>
    <row r="4" spans="1:20" ht="19.5" x14ac:dyDescent="0.25">
      <c r="A4" s="2" t="s">
        <v>9</v>
      </c>
      <c r="B4" s="37">
        <v>409657</v>
      </c>
      <c r="C4" s="4" t="str" cm="1">
        <f t="array" ref="C4">_xlfn.IFS(B4&lt;20000, "P1",B4&lt;40000, "P2",B4&lt;70000, "P3",B4&lt;100000, "P4",B4&lt;200000,"M1",B4&lt;500000,"M2",B4&lt;1000000,"G1",B4&gt;1000000,"G2")</f>
        <v>M2</v>
      </c>
      <c r="D4" s="13">
        <f>VLOOKUP(C4,Controle!A$2:H$9,8,FALSE)</f>
        <v>30.576514098907197</v>
      </c>
      <c r="E4" s="13">
        <f>VLOOKUP(C4,Controle!A$16:H$23,8,FALSE)</f>
        <v>10.582706388985502</v>
      </c>
      <c r="F4" s="5">
        <f>VLOOKUP(A4,Educacional!A$2:P$405,16,FALSE)</f>
        <v>48.551507504000128</v>
      </c>
      <c r="G4" s="6">
        <f>VLOOKUP(A4,Demográfico!A$2:L$405,12,FALSE)</f>
        <v>32.364450437019762</v>
      </c>
      <c r="H4" s="7">
        <f>VLOOKUP(A4,Socioeconômico!A$2:M$405,13,FALSE)</f>
        <v>12.678384687816605</v>
      </c>
      <c r="I4" s="16">
        <f>(2*F4+G4+2*H4)/5/100</f>
        <v>0.30964846964130649</v>
      </c>
      <c r="J4" s="15">
        <f>VLOOKUP(A4,Demográfico!A$2:E$400,5,FALSE)/(VLOOKUP(C4,Controle!A$2:G$9,7,FALSE))*D4</f>
        <v>5.3306918347967915</v>
      </c>
      <c r="K4" s="15">
        <f>VLOOKUP(A4,Demográfico!A$2:E$400,5,FALSE)/(VLOOKUP(C4,Controle!A$16:G$24,7,FALSE))*E4</f>
        <v>1.8449829289020574</v>
      </c>
      <c r="L4" s="118">
        <f>((J4*(1+I4))+3*(I4+K4))/4</f>
        <v>3.3613066498002793</v>
      </c>
      <c r="M4" s="3">
        <v>3</v>
      </c>
      <c r="N4" s="88">
        <f>VLOOKUP(A4,Demográfico!A$2:E$400,5,FALSE)*I4</f>
        <v>14103.249198282945</v>
      </c>
      <c r="O4" s="96">
        <f>FLOOR(L4,1)</f>
        <v>3</v>
      </c>
      <c r="P4" s="96">
        <f>L4-O4</f>
        <v>0.36130664980027927</v>
      </c>
      <c r="Q4" s="87">
        <f>RANK(P4,P$2:P$400,0)</f>
        <v>318</v>
      </c>
      <c r="R4" s="3">
        <f>O4+IF(Q4&lt;Q$1,1,0)</f>
        <v>3</v>
      </c>
      <c r="T4" s="87">
        <f>VLOOKUP(A4,Demográfico!A$2:E$400,5,FALSE)*(I4)</f>
        <v>14103.249198282945</v>
      </c>
    </row>
    <row r="5" spans="1:20" ht="19.5" x14ac:dyDescent="0.25">
      <c r="A5" s="2" t="s">
        <v>10</v>
      </c>
      <c r="B5" s="37">
        <v>358371</v>
      </c>
      <c r="C5" s="4" t="str" cm="1">
        <f t="array" ref="C5">_xlfn.IFS(B5&lt;20000, "P1",B5&lt;40000, "P2",B5&lt;70000, "P3",B5&lt;100000, "P4",B5&lt;200000,"M1",B5&lt;500000,"M2",B5&lt;1000000,"G1",B5&gt;1000000,"G2")</f>
        <v>M2</v>
      </c>
      <c r="D5" s="13">
        <f>VLOOKUP(C5,Controle!A$2:H$9,8,FALSE)</f>
        <v>30.576514098907197</v>
      </c>
      <c r="E5" s="13">
        <f>VLOOKUP(C5,Controle!A$16:H$23,8,FALSE)</f>
        <v>10.582706388985502</v>
      </c>
      <c r="F5" s="5">
        <f>VLOOKUP(A5,Educacional!A$2:P$405,16,FALSE)</f>
        <v>70.225564585415626</v>
      </c>
      <c r="G5" s="6">
        <f>VLOOKUP(A5,Demográfico!A$2:L$405,12,FALSE)</f>
        <v>50.63869742327671</v>
      </c>
      <c r="H5" s="7">
        <f>VLOOKUP(A5,Socioeconômico!A$2:M$405,13,FALSE)</f>
        <v>23.835002895503568</v>
      </c>
      <c r="I5" s="16">
        <f>(2*F5+G5+2*H5)/5/100</f>
        <v>0.47751966477023017</v>
      </c>
      <c r="J5" s="15">
        <f>VLOOKUP(A5,Demográfico!A$2:E$400,5,FALSE)/(VLOOKUP(C5,Controle!A$2:G$9,7,FALSE))*D5</f>
        <v>5.9051228611258368</v>
      </c>
      <c r="K5" s="15">
        <f>VLOOKUP(A5,Demográfico!A$2:E$400,5,FALSE)/(VLOOKUP(C5,Controle!A$16:G$24,7,FALSE))*E5</f>
        <v>2.043796792140351</v>
      </c>
      <c r="L5" s="118">
        <f>((J5*(1+I5))+3*(I5+K5))/4</f>
        <v>4.0722211302323537</v>
      </c>
      <c r="M5" s="3">
        <v>3</v>
      </c>
      <c r="N5" s="88">
        <f>VLOOKUP(A5,Demográfico!A$2:E$400,5,FALSE)*I5</f>
        <v>24092.777166317192</v>
      </c>
      <c r="O5" s="96">
        <f>FLOOR(L5,1)</f>
        <v>4</v>
      </c>
      <c r="P5" s="96">
        <f>L5-O5</f>
        <v>7.2221130232353659E-2</v>
      </c>
      <c r="Q5" s="87">
        <f>RANK(P5,P$2:P$400,0)</f>
        <v>397</v>
      </c>
      <c r="R5" s="3">
        <f>O5+IF(Q5&lt;Q$1,1,0)</f>
        <v>4</v>
      </c>
      <c r="T5" s="87">
        <f>VLOOKUP(A5,Demográfico!A$2:E$400,5,FALSE)*(I5)</f>
        <v>24092.777166317192</v>
      </c>
    </row>
    <row r="6" spans="1:20" ht="19.5" x14ac:dyDescent="0.25">
      <c r="A6" s="2" t="s">
        <v>11</v>
      </c>
      <c r="B6" s="37">
        <v>348051</v>
      </c>
      <c r="C6" s="4" t="str" cm="1">
        <f t="array" ref="C6">_xlfn.IFS(B6&lt;20000, "P1",B6&lt;40000, "P2",B6&lt;70000, "P3",B6&lt;100000, "P4",B6&lt;200000,"M1",B6&lt;500000,"M2",B6&lt;1000000,"G1",B6&gt;1000000,"G2")</f>
        <v>M2</v>
      </c>
      <c r="D6" s="13">
        <f>VLOOKUP(C6,Controle!A$2:H$9,8,FALSE)</f>
        <v>30.576514098907197</v>
      </c>
      <c r="E6" s="13">
        <f>VLOOKUP(C6,Controle!A$16:H$23,8,FALSE)</f>
        <v>10.582706388985502</v>
      </c>
      <c r="F6" s="5">
        <f>VLOOKUP(A6,Educacional!A$2:P$405,16,FALSE)</f>
        <v>62.192263982816186</v>
      </c>
      <c r="G6" s="6">
        <f>VLOOKUP(A6,Demográfico!A$2:L$405,12,FALSE)</f>
        <v>46.363930869705435</v>
      </c>
      <c r="H6" s="7">
        <f>VLOOKUP(A6,Socioeconômico!A$2:M$405,13,FALSE)</f>
        <v>12.082409959911693</v>
      </c>
      <c r="I6" s="16">
        <f>(2*F6+G6+2*H6)/5/100</f>
        <v>0.38982655751032236</v>
      </c>
      <c r="J6" s="15">
        <f>VLOOKUP(A6,Demográfico!A$2:E$400,5,FALSE)/(VLOOKUP(C6,Controle!A$2:G$9,7,FALSE))*D6</f>
        <v>5.280832907083636</v>
      </c>
      <c r="K6" s="15">
        <f>VLOOKUP(A6,Demográfico!A$2:E$400,5,FALSE)/(VLOOKUP(C6,Controle!A$16:G$24,7,FALSE))*E6</f>
        <v>1.827726468889932</v>
      </c>
      <c r="L6" s="118">
        <f>((J6*(1+I6))+3*(I6+K6))/4</f>
        <v>3.4980252248100099</v>
      </c>
      <c r="M6" s="3">
        <v>3</v>
      </c>
      <c r="N6" s="88">
        <f>VLOOKUP(A6,Demográfico!A$2:E$400,5,FALSE)*I6</f>
        <v>17588.974274865745</v>
      </c>
      <c r="O6" s="96">
        <f>FLOOR(L6,1)</f>
        <v>3</v>
      </c>
      <c r="P6" s="96">
        <f>L6-O6</f>
        <v>0.49802522481000988</v>
      </c>
      <c r="Q6" s="87">
        <f>RANK(P6,P$2:P$400,0)</f>
        <v>156</v>
      </c>
      <c r="R6" s="3">
        <f>O6+IF(Q6&lt;Q$1,1,0)</f>
        <v>4</v>
      </c>
      <c r="T6" s="87">
        <f>VLOOKUP(A6,Demográfico!A$2:E$400,5,FALSE)*(I6)</f>
        <v>17588.974274865745</v>
      </c>
    </row>
    <row r="7" spans="1:20" ht="19.5" x14ac:dyDescent="0.25">
      <c r="A7" s="2" t="s">
        <v>12</v>
      </c>
      <c r="B7" s="37">
        <v>329628</v>
      </c>
      <c r="C7" s="4" t="str" cm="1">
        <f t="array" ref="C7">_xlfn.IFS(B7&lt;20000, "P1",B7&lt;40000, "P2",B7&lt;70000, "P3",B7&lt;100000, "P4",B7&lt;200000,"M1",B7&lt;500000,"M2",B7&lt;1000000,"G1",B7&gt;1000000,"G2")</f>
        <v>M2</v>
      </c>
      <c r="D7" s="13">
        <f>VLOOKUP(C7,Controle!A$2:H$9,8,FALSE)</f>
        <v>30.576514098907197</v>
      </c>
      <c r="E7" s="13">
        <f>VLOOKUP(C7,Controle!A$16:H$23,8,FALSE)</f>
        <v>10.582706388985502</v>
      </c>
      <c r="F7" s="5">
        <f>VLOOKUP(A7,Educacional!A$2:P$405,16,FALSE)</f>
        <v>71.120463170487568</v>
      </c>
      <c r="G7" s="6">
        <f>VLOOKUP(A7,Demográfico!A$2:L$405,12,FALSE)</f>
        <v>51.131176235873042</v>
      </c>
      <c r="H7" s="7">
        <f>VLOOKUP(A7,Socioeconômico!A$2:M$405,13,FALSE)</f>
        <v>14.615579776264079</v>
      </c>
      <c r="I7" s="16">
        <f>(2*F7+G7+2*H7)/5/100</f>
        <v>0.44520652425875268</v>
      </c>
      <c r="J7" s="15">
        <f>VLOOKUP(A7,Demográfico!A$2:E$400,5,FALSE)/(VLOOKUP(C7,Controle!A$2:G$9,7,FALSE))*D7</f>
        <v>5.5027402473281075</v>
      </c>
      <c r="K7" s="15">
        <f>VLOOKUP(A7,Demográfico!A$2:E$400,5,FALSE)/(VLOOKUP(C7,Controle!A$16:G$24,7,FALSE))*E7</f>
        <v>1.9045298683805194</v>
      </c>
      <c r="L7" s="118">
        <f>((J7*(1+I7))+3*(I7+K7))/4</f>
        <v>3.7504513211644053</v>
      </c>
      <c r="M7" s="3">
        <v>3</v>
      </c>
      <c r="N7" s="88">
        <f>VLOOKUP(A7,Demográfico!A$2:E$400,5,FALSE)*I7</f>
        <v>20931.829944549518</v>
      </c>
      <c r="O7" s="96">
        <f>FLOOR(L7,1)</f>
        <v>3</v>
      </c>
      <c r="P7" s="96">
        <f>L7-O7</f>
        <v>0.75045132116440527</v>
      </c>
      <c r="Q7" s="87">
        <f>RANK(P7,P$2:P$400,0)</f>
        <v>23</v>
      </c>
      <c r="R7" s="3">
        <f>O7+IF(Q7&lt;Q$1,1,0)</f>
        <v>4</v>
      </c>
      <c r="T7" s="87">
        <f>VLOOKUP(A7,Demográfico!A$2:E$400,5,FALSE)*(I7)</f>
        <v>20931.829944549518</v>
      </c>
    </row>
    <row r="8" spans="1:20" ht="19.5" x14ac:dyDescent="0.25">
      <c r="A8" s="2" t="s">
        <v>13</v>
      </c>
      <c r="B8" s="37">
        <v>285415</v>
      </c>
      <c r="C8" s="4" t="str" cm="1">
        <f t="array" ref="C8">_xlfn.IFS(B8&lt;20000, "P1",B8&lt;40000, "P2",B8&lt;70000, "P3",B8&lt;100000, "P4",B8&lt;200000,"M1",B8&lt;500000,"M2",B8&lt;1000000,"G1",B8&gt;1000000,"G2")</f>
        <v>M2</v>
      </c>
      <c r="D8" s="13">
        <f>VLOOKUP(C8,Controle!A$2:H$9,8,FALSE)</f>
        <v>30.576514098907197</v>
      </c>
      <c r="E8" s="13">
        <f>VLOOKUP(C8,Controle!A$16:H$23,8,FALSE)</f>
        <v>10.582706388985502</v>
      </c>
      <c r="F8" s="5">
        <f>VLOOKUP(A8,Educacional!A$2:P$405,16,FALSE)</f>
        <v>59.854018377483989</v>
      </c>
      <c r="G8" s="6">
        <f>VLOOKUP(A8,Demográfico!A$2:L$405,12,FALSE)</f>
        <v>53.393821239306995</v>
      </c>
      <c r="H8" s="7">
        <f>VLOOKUP(A8,Socioeconômico!A$2:M$405,13,FALSE)</f>
        <v>30.757392976440158</v>
      </c>
      <c r="I8" s="16">
        <f>(2*F8+G8+2*H8)/5/100</f>
        <v>0.46923328789431062</v>
      </c>
      <c r="J8" s="15">
        <f>VLOOKUP(A8,Demográfico!A$2:E$400,5,FALSE)/(VLOOKUP(C8,Controle!A$2:G$9,7,FALSE))*D8</f>
        <v>4.620845833434597</v>
      </c>
      <c r="K8" s="15">
        <f>VLOOKUP(A8,Demográfico!A$2:E$400,5,FALSE)/(VLOOKUP(C8,Controle!A$16:G$24,7,FALSE))*E8</f>
        <v>1.5993011684007845</v>
      </c>
      <c r="L8" s="118">
        <f>((J8*(1+I8))+3*(I8+K8))/4</f>
        <v>3.2486759713987809</v>
      </c>
      <c r="M8" s="3">
        <v>3</v>
      </c>
      <c r="N8" s="88">
        <f>VLOOKUP(A8,Demográfico!A$2:E$400,5,FALSE)*I8</f>
        <v>18525.799439355276</v>
      </c>
      <c r="O8" s="96">
        <f>FLOOR(L8,1)</f>
        <v>3</v>
      </c>
      <c r="P8" s="96">
        <f>L8-O8</f>
        <v>0.24867597139878095</v>
      </c>
      <c r="Q8" s="87">
        <f>RANK(P8,P$2:P$400,0)</f>
        <v>385</v>
      </c>
      <c r="R8" s="3">
        <f>O8+IF(Q8&lt;Q$1,1,0)</f>
        <v>3</v>
      </c>
      <c r="T8" s="87">
        <f>VLOOKUP(A8,Demográfico!A$2:E$400,5,FALSE)*(I8)</f>
        <v>18525.799439355276</v>
      </c>
    </row>
    <row r="9" spans="1:20" ht="19.5" x14ac:dyDescent="0.25">
      <c r="A9" s="2" t="s">
        <v>14</v>
      </c>
      <c r="B9" s="37">
        <v>232212</v>
      </c>
      <c r="C9" s="4" t="str" cm="1">
        <f t="array" ref="C9">_xlfn.IFS(B9&lt;20000, "P1",B9&lt;40000, "P2",B9&lt;70000, "P3",B9&lt;100000, "P4",B9&lt;200000,"M1",B9&lt;500000,"M2",B9&lt;1000000,"G1",B9&gt;1000000,"G2")</f>
        <v>M2</v>
      </c>
      <c r="D9" s="13">
        <f>VLOOKUP(C9,Controle!A$2:H$9,8,FALSE)</f>
        <v>30.576514098907197</v>
      </c>
      <c r="E9" s="13">
        <f>VLOOKUP(C9,Controle!A$16:H$23,8,FALSE)</f>
        <v>10.582706388985502</v>
      </c>
      <c r="F9" s="5">
        <f>VLOOKUP(A9,Educacional!A$2:P$405,16,FALSE)</f>
        <v>66.409353869502922</v>
      </c>
      <c r="G9" s="6">
        <f>VLOOKUP(A9,Demográfico!A$2:L$405,12,FALSE)</f>
        <v>50.192480760288369</v>
      </c>
      <c r="H9" s="7">
        <f>VLOOKUP(A9,Socioeconômico!A$2:M$405,13,FALSE)</f>
        <v>37.23533085442488</v>
      </c>
      <c r="I9" s="16">
        <f>(2*F9+G9+2*H9)/5/100</f>
        <v>0.51496370041628792</v>
      </c>
      <c r="J9" s="15">
        <f>VLOOKUP(A9,Demográfico!A$2:E$400,5,FALSE)/(VLOOKUP(C9,Controle!A$2:G$9,7,FALSE))*D9</f>
        <v>3.9362804151382274</v>
      </c>
      <c r="K9" s="15">
        <f>VLOOKUP(A9,Demográfico!A$2:E$400,5,FALSE)/(VLOOKUP(C9,Controle!A$16:G$24,7,FALSE))*E9</f>
        <v>1.362369162271857</v>
      </c>
      <c r="L9" s="118">
        <f>((J9*(1+I9))+3*(I9+K9))/4</f>
        <v>2.8988301329146013</v>
      </c>
      <c r="M9" s="3">
        <v>2</v>
      </c>
      <c r="N9" s="88">
        <f>VLOOKUP(A9,Demográfico!A$2:E$400,5,FALSE)*I9</f>
        <v>17319.259172400594</v>
      </c>
      <c r="O9" s="96">
        <f>FLOOR(L9,1)</f>
        <v>2</v>
      </c>
      <c r="P9" s="96">
        <f>L9-O9</f>
        <v>0.89883013291460134</v>
      </c>
      <c r="Q9" s="87">
        <f>RANK(P9,P$2:P$400,0)</f>
        <v>8</v>
      </c>
      <c r="R9" s="3">
        <f>O9+IF(Q9&lt;Q$1,1,0)</f>
        <v>3</v>
      </c>
      <c r="T9" s="87">
        <f>VLOOKUP(A9,Demográfico!A$2:E$400,5,FALSE)*(I9)</f>
        <v>17319.259172400594</v>
      </c>
    </row>
    <row r="10" spans="1:20" ht="19.5" x14ac:dyDescent="0.25">
      <c r="A10" s="2" t="s">
        <v>15</v>
      </c>
      <c r="B10" s="37">
        <v>182093</v>
      </c>
      <c r="C10" s="4" t="str" cm="1">
        <f t="array" ref="C10">_xlfn.IFS(B10&lt;20000, "P1",B10&lt;40000, "P2",B10&lt;70000, "P3",B10&lt;100000, "P4",B10&lt;200000,"M1",B10&lt;500000,"M2",B10&lt;1000000,"G1",B10&gt;1000000,"G2")</f>
        <v>M1</v>
      </c>
      <c r="D10" s="13">
        <f>VLOOKUP(C10,Controle!A$2:H$9,8,FALSE)</f>
        <v>30.79362280995862</v>
      </c>
      <c r="E10" s="13">
        <f>VLOOKUP(C10,Controle!A$16:H$23,8,FALSE)</f>
        <v>10.657848955470229</v>
      </c>
      <c r="F10" s="5">
        <f>VLOOKUP(A10,Educacional!A$2:P$405,16,FALSE)</f>
        <v>61.083403387561908</v>
      </c>
      <c r="G10" s="6">
        <f>VLOOKUP(A10,Demográfico!A$2:L$405,12,FALSE)</f>
        <v>55.600277119987865</v>
      </c>
      <c r="H10" s="7">
        <f>VLOOKUP(A10,Socioeconômico!A$2:M$405,13,FALSE)</f>
        <v>28.3840091657794</v>
      </c>
      <c r="I10" s="16">
        <f>(2*F10+G10+2*H10)/5/100</f>
        <v>0.46907020445334097</v>
      </c>
      <c r="J10" s="15">
        <f>VLOOKUP(A10,Demográfico!A$2:E$400,5,FALSE)/(VLOOKUP(C10,Controle!A$2:G$9,7,FALSE))*D10</f>
        <v>2.9908334243709049</v>
      </c>
      <c r="K10" s="15">
        <f>VLOOKUP(A10,Demográfico!A$2:E$400,5,FALSE)/(VLOOKUP(C10,Controle!A$16:G$24,7,FALSE))*E10</f>
        <v>1.0351445519949762</v>
      </c>
      <c r="L10" s="118">
        <f>((J10*(1+I10))+3*(I10+K10))/4</f>
        <v>2.2265971348928506</v>
      </c>
      <c r="M10" s="3">
        <v>2</v>
      </c>
      <c r="N10" s="88">
        <f>VLOOKUP(A10,Demográfico!A$2:E$400,5,FALSE)*I10</f>
        <v>11986.620004600674</v>
      </c>
      <c r="O10" s="96">
        <f>FLOOR(L10,1)</f>
        <v>2</v>
      </c>
      <c r="P10" s="96">
        <f>L10-O10</f>
        <v>0.2265971348928506</v>
      </c>
      <c r="Q10" s="87">
        <f>RANK(P10,P$2:P$400,0)</f>
        <v>388</v>
      </c>
      <c r="R10" s="3">
        <f>O10+IF(Q10&lt;Q$1,1,0)</f>
        <v>2</v>
      </c>
      <c r="T10" s="87">
        <f>VLOOKUP(A10,Demográfico!A$2:E$400,5,FALSE)*(I10)</f>
        <v>11986.620004600674</v>
      </c>
    </row>
    <row r="11" spans="1:20" ht="19.5" x14ac:dyDescent="0.25">
      <c r="A11" s="2" t="s">
        <v>16</v>
      </c>
      <c r="B11" s="37">
        <v>151666</v>
      </c>
      <c r="C11" s="4" t="str" cm="1">
        <f t="array" ref="C11">_xlfn.IFS(B11&lt;20000, "P1",B11&lt;40000, "P2",B11&lt;70000, "P3",B11&lt;100000, "P4",B11&lt;200000,"M1",B11&lt;500000,"M2",B11&lt;1000000,"G1",B11&gt;1000000,"G2")</f>
        <v>M1</v>
      </c>
      <c r="D11" s="13">
        <f>VLOOKUP(C11,Controle!A$2:H$9,8,FALSE)</f>
        <v>30.79362280995862</v>
      </c>
      <c r="E11" s="13">
        <f>VLOOKUP(C11,Controle!A$16:H$23,8,FALSE)</f>
        <v>10.657848955470229</v>
      </c>
      <c r="F11" s="5">
        <f>VLOOKUP(A11,Educacional!A$2:P$405,16,FALSE)</f>
        <v>48.892272958045986</v>
      </c>
      <c r="G11" s="6">
        <f>VLOOKUP(A11,Demográfico!A$2:L$405,12,FALSE)</f>
        <v>49.468609359384132</v>
      </c>
      <c r="H11" s="7">
        <f>VLOOKUP(A11,Socioeconômico!A$2:M$405,13,FALSE)</f>
        <v>16.192753341499312</v>
      </c>
      <c r="I11" s="16">
        <f>(2*F11+G11+2*H11)/5/100</f>
        <v>0.35927732391694944</v>
      </c>
      <c r="J11" s="15">
        <f>VLOOKUP(A11,Demográfico!A$2:E$400,5,FALSE)/(VLOOKUP(C11,Controle!A$2:G$9,7,FALSE))*D11</f>
        <v>2.6137313936390019</v>
      </c>
      <c r="K11" s="15">
        <f>VLOOKUP(A11,Demográfico!A$2:E$400,5,FALSE)/(VLOOKUP(C11,Controle!A$16:G$24,7,FALSE))*E11</f>
        <v>0.90462738260749043</v>
      </c>
      <c r="L11" s="118">
        <f>((J11*(1+I11))+3*(I11+K11))/4</f>
        <v>1.8361249834391651</v>
      </c>
      <c r="M11" s="3">
        <v>2</v>
      </c>
      <c r="N11" s="88">
        <f>VLOOKUP(A11,Demográfico!A$2:E$400,5,FALSE)*I11</f>
        <v>8023.3811977133146</v>
      </c>
      <c r="O11" s="96">
        <f>FLOOR(L11,1)</f>
        <v>1</v>
      </c>
      <c r="P11" s="96">
        <f>L11-O11</f>
        <v>0.83612498343916508</v>
      </c>
      <c r="Q11" s="87">
        <f>RANK(P11,P$2:P$400,0)</f>
        <v>15</v>
      </c>
      <c r="R11" s="3">
        <f>O11+IF(Q11&lt;Q$1,1,0)</f>
        <v>2</v>
      </c>
      <c r="T11" s="87">
        <f>VLOOKUP(A11,Demográfico!A$2:E$400,5,FALSE)*(I11)</f>
        <v>8023.3811977133146</v>
      </c>
    </row>
    <row r="12" spans="1:20" ht="19.5" x14ac:dyDescent="0.25">
      <c r="A12" s="2" t="s">
        <v>17</v>
      </c>
      <c r="B12" s="37">
        <v>150470</v>
      </c>
      <c r="C12" s="4" t="str" cm="1">
        <f t="array" ref="C12">_xlfn.IFS(B12&lt;20000, "P1",B12&lt;40000, "P2",B12&lt;70000, "P3",B12&lt;100000, "P4",B12&lt;200000,"M1",B12&lt;500000,"M2",B12&lt;1000000,"G1",B12&gt;1000000,"G2")</f>
        <v>M1</v>
      </c>
      <c r="D12" s="13">
        <f>VLOOKUP(C12,Controle!A$2:H$9,8,FALSE)</f>
        <v>30.79362280995862</v>
      </c>
      <c r="E12" s="13">
        <f>VLOOKUP(C12,Controle!A$16:H$23,8,FALSE)</f>
        <v>10.657848955470229</v>
      </c>
      <c r="F12" s="5">
        <f>VLOOKUP(A12,Educacional!A$2:P$405,16,FALSE)</f>
        <v>51.770830245353416</v>
      </c>
      <c r="G12" s="6">
        <f>VLOOKUP(A12,Demográfico!A$2:L$405,12,FALSE)</f>
        <v>46.319073773812491</v>
      </c>
      <c r="H12" s="7">
        <f>VLOOKUP(A12,Socioeconômico!A$2:M$405,13,FALSE)</f>
        <v>7.3073308822852958</v>
      </c>
      <c r="I12" s="16">
        <f>(2*F12+G12+2*H12)/5/100</f>
        <v>0.32895079205817984</v>
      </c>
      <c r="J12" s="15">
        <f>VLOOKUP(A12,Demográfico!A$2:E$400,5,FALSE)/(VLOOKUP(C12,Controle!A$2:G$9,7,FALSE))*D12</f>
        <v>2.2892972442942359</v>
      </c>
      <c r="K12" s="15">
        <f>VLOOKUP(A12,Demográfico!A$2:E$400,5,FALSE)/(VLOOKUP(C12,Controle!A$16:G$24,7,FALSE))*E12</f>
        <v>0.79233886816239074</v>
      </c>
      <c r="L12" s="118">
        <f>((J12*(1+I12))+3*(I12+K12))/4</f>
        <v>1.6015580916807863</v>
      </c>
      <c r="M12" s="3">
        <v>2</v>
      </c>
      <c r="N12" s="88">
        <f>VLOOKUP(A12,Demográfico!A$2:E$400,5,FALSE)*I12</f>
        <v>6434.2774926579978</v>
      </c>
      <c r="O12" s="96">
        <f>FLOOR(L12,1)</f>
        <v>1</v>
      </c>
      <c r="P12" s="96">
        <f>L12-O12</f>
        <v>0.60155809168078633</v>
      </c>
      <c r="Q12" s="87">
        <f>RANK(P12,P$2:P$400,0)</f>
        <v>72</v>
      </c>
      <c r="R12" s="3">
        <f>O12+IF(Q12&lt;Q$1,1,0)</f>
        <v>2</v>
      </c>
      <c r="T12" s="87">
        <f>VLOOKUP(A12,Demográfico!A$2:E$400,5,FALSE)*(I12)</f>
        <v>6434.2774926579978</v>
      </c>
    </row>
    <row r="13" spans="1:20" ht="19.5" x14ac:dyDescent="0.25">
      <c r="A13" s="2" t="s">
        <v>18</v>
      </c>
      <c r="B13" s="37">
        <v>148873</v>
      </c>
      <c r="C13" s="4" t="str" cm="1">
        <f t="array" ref="C13">_xlfn.IFS(B13&lt;20000, "P1",B13&lt;40000, "P2",B13&lt;70000, "P3",B13&lt;100000, "P4",B13&lt;200000,"M1",B13&lt;500000,"M2",B13&lt;1000000,"G1",B13&gt;1000000,"G2")</f>
        <v>M1</v>
      </c>
      <c r="D13" s="13">
        <f>VLOOKUP(C13,Controle!A$2:H$9,8,FALSE)</f>
        <v>30.79362280995862</v>
      </c>
      <c r="E13" s="13">
        <f>VLOOKUP(C13,Controle!A$16:H$23,8,FALSE)</f>
        <v>10.657848955470229</v>
      </c>
      <c r="F13" s="5">
        <f>VLOOKUP(A13,Educacional!A$2:P$405,16,FALSE)</f>
        <v>76.705673946923156</v>
      </c>
      <c r="G13" s="6">
        <f>VLOOKUP(A13,Demográfico!A$2:L$405,12,FALSE)</f>
        <v>60.165164239073853</v>
      </c>
      <c r="H13" s="7">
        <f>VLOOKUP(A13,Socioeconômico!A$2:M$405,13,FALSE)</f>
        <v>27.811608072946335</v>
      </c>
      <c r="I13" s="16">
        <f>(2*F13+G13+2*H13)/5/100</f>
        <v>0.53839945655762567</v>
      </c>
      <c r="J13" s="15">
        <f>VLOOKUP(A13,Demográfico!A$2:E$400,5,FALSE)/(VLOOKUP(C13,Controle!A$2:G$9,7,FALSE))*D13</f>
        <v>2.8812842310856595</v>
      </c>
      <c r="K13" s="15">
        <f>VLOOKUP(A13,Demográfico!A$2:E$400,5,FALSE)/(VLOOKUP(C13,Controle!A$16:G$24,7,FALSE))*E13</f>
        <v>0.9972289497148128</v>
      </c>
      <c r="L13" s="118">
        <f>((J13*(1+I13))+3*(I13+K13))/4</f>
        <v>2.2598628285268871</v>
      </c>
      <c r="M13" s="3">
        <v>2</v>
      </c>
      <c r="N13" s="88">
        <f>VLOOKUP(A13,Demográfico!A$2:E$400,5,FALSE)*I13</f>
        <v>13254.317821535629</v>
      </c>
      <c r="O13" s="96">
        <f>FLOOR(L13,1)</f>
        <v>2</v>
      </c>
      <c r="P13" s="96">
        <f>L13-O13</f>
        <v>0.25986282852688714</v>
      </c>
      <c r="Q13" s="87">
        <f>RANK(P13,P$2:P$400,0)</f>
        <v>378</v>
      </c>
      <c r="R13" s="3">
        <f>O13+IF(Q13&lt;Q$1,1,0)</f>
        <v>2</v>
      </c>
      <c r="T13" s="87">
        <f>VLOOKUP(A13,Demográfico!A$2:E$400,5,FALSE)*(I13)</f>
        <v>13254.317821535629</v>
      </c>
    </row>
    <row r="14" spans="1:20" ht="19.5" x14ac:dyDescent="0.25">
      <c r="A14" s="2" t="s">
        <v>19</v>
      </c>
      <c r="B14" s="37">
        <v>145829</v>
      </c>
      <c r="C14" s="4" t="str" cm="1">
        <f t="array" ref="C14">_xlfn.IFS(B14&lt;20000, "P1",B14&lt;40000, "P2",B14&lt;70000, "P3",B14&lt;100000, "P4",B14&lt;200000,"M1",B14&lt;500000,"M2",B14&lt;1000000,"G1",B14&gt;1000000,"G2")</f>
        <v>M1</v>
      </c>
      <c r="D14" s="13">
        <f>VLOOKUP(C14,Controle!A$2:H$9,8,FALSE)</f>
        <v>30.79362280995862</v>
      </c>
      <c r="E14" s="13">
        <f>VLOOKUP(C14,Controle!A$16:H$23,8,FALSE)</f>
        <v>10.657848955470229</v>
      </c>
      <c r="F14" s="5">
        <f>VLOOKUP(A14,Educacional!A$2:P$405,16,FALSE)</f>
        <v>65.08663201788643</v>
      </c>
      <c r="G14" s="6">
        <f>VLOOKUP(A14,Demográfico!A$2:L$405,12,FALSE)</f>
        <v>57.474840301119158</v>
      </c>
      <c r="H14" s="7">
        <f>VLOOKUP(A14,Socioeconômico!A$2:M$405,13,FALSE)</f>
        <v>27.509810848945399</v>
      </c>
      <c r="I14" s="16">
        <f>(2*F14+G14+2*H14)/5/100</f>
        <v>0.48533545206956563</v>
      </c>
      <c r="J14" s="15">
        <f>VLOOKUP(A14,Demográfico!A$2:E$400,5,FALSE)/(VLOOKUP(C14,Controle!A$2:G$9,7,FALSE))*D14</f>
        <v>2.466261325755017</v>
      </c>
      <c r="K14" s="15">
        <f>VLOOKUP(A14,Demográfico!A$2:E$400,5,FALSE)/(VLOOKUP(C14,Controle!A$16:G$24,7,FALSE))*E14</f>
        <v>0.8535871487688087</v>
      </c>
      <c r="L14" s="118">
        <f>((J14*(1+I14))+3*(I14+K14))/4</f>
        <v>1.9199982959317843</v>
      </c>
      <c r="M14" s="3">
        <v>2</v>
      </c>
      <c r="N14" s="88">
        <f>VLOOKUP(A14,Demográfico!A$2:E$400,5,FALSE)*I14</f>
        <v>10226.988646009888</v>
      </c>
      <c r="O14" s="96">
        <f>FLOOR(L14,1)</f>
        <v>1</v>
      </c>
      <c r="P14" s="96">
        <f>L14-O14</f>
        <v>0.91999829593178428</v>
      </c>
      <c r="Q14" s="87">
        <f>RANK(P14,P$2:P$400,0)</f>
        <v>5</v>
      </c>
      <c r="R14" s="3">
        <f>O14+IF(Q14&lt;Q$1,1,0)</f>
        <v>2</v>
      </c>
      <c r="T14" s="87">
        <f>VLOOKUP(A14,Demográfico!A$2:E$400,5,FALSE)*(I14)</f>
        <v>10226.988646009888</v>
      </c>
    </row>
    <row r="15" spans="1:20" ht="19.5" x14ac:dyDescent="0.25">
      <c r="A15" s="2" t="s">
        <v>20</v>
      </c>
      <c r="B15" s="37">
        <v>136327</v>
      </c>
      <c r="C15" s="4" t="str" cm="1">
        <f t="array" ref="C15">_xlfn.IFS(B15&lt;20000, "P1",B15&lt;40000, "P2",B15&lt;70000, "P3",B15&lt;100000, "P4",B15&lt;200000,"M1",B15&lt;500000,"M2",B15&lt;1000000,"G1",B15&gt;1000000,"G2")</f>
        <v>M1</v>
      </c>
      <c r="D15" s="13">
        <f>VLOOKUP(C15,Controle!A$2:H$9,8,FALSE)</f>
        <v>30.79362280995862</v>
      </c>
      <c r="E15" s="13">
        <f>VLOOKUP(C15,Controle!A$16:H$23,8,FALSE)</f>
        <v>10.657848955470229</v>
      </c>
      <c r="F15" s="5">
        <f>VLOOKUP(A15,Educacional!A$2:P$405,16,FALSE)</f>
        <v>62.554494849485195</v>
      </c>
      <c r="G15" s="6">
        <f>VLOOKUP(A15,Demográfico!A$2:L$405,12,FALSE)</f>
        <v>45.393209724675728</v>
      </c>
      <c r="H15" s="7">
        <f>VLOOKUP(A15,Socioeconômico!A$2:M$405,13,FALSE)</f>
        <v>26.48768600738499</v>
      </c>
      <c r="I15" s="16">
        <f>(2*F15+G15+2*H15)/5/100</f>
        <v>0.44695514287683225</v>
      </c>
      <c r="J15" s="15">
        <f>VLOOKUP(A15,Demográfico!A$2:E$400,5,FALSE)/(VLOOKUP(C15,Controle!A$2:G$9,7,FALSE))*D15</f>
        <v>2.1695655939408103</v>
      </c>
      <c r="K15" s="15">
        <f>VLOOKUP(A15,Demográfico!A$2:E$400,5,FALSE)/(VLOOKUP(C15,Controle!A$16:G$24,7,FALSE))*E15</f>
        <v>0.75089905926003264</v>
      </c>
      <c r="L15" s="118">
        <f>((J15*(1+I15))+3*(I15+K15))/4</f>
        <v>1.6832066750929697</v>
      </c>
      <c r="M15" s="3">
        <v>2</v>
      </c>
      <c r="N15" s="88">
        <f>VLOOKUP(A15,Demográfico!A$2:E$400,5,FALSE)*I15</f>
        <v>8285.2074835078402</v>
      </c>
      <c r="O15" s="96">
        <f>FLOOR(L15,1)</f>
        <v>1</v>
      </c>
      <c r="P15" s="96">
        <f>L15-O15</f>
        <v>0.68320667509296973</v>
      </c>
      <c r="Q15" s="87">
        <f>RANK(P15,P$2:P$400,0)</f>
        <v>39</v>
      </c>
      <c r="R15" s="3">
        <f>O15+IF(Q15&lt;Q$1,1,0)</f>
        <v>2</v>
      </c>
      <c r="T15" s="87">
        <f>VLOOKUP(A15,Demográfico!A$2:E$400,5,FALSE)*(I15)</f>
        <v>8285.2074835078402</v>
      </c>
    </row>
    <row r="16" spans="1:20" ht="19.5" x14ac:dyDescent="0.25">
      <c r="A16" s="2" t="s">
        <v>21</v>
      </c>
      <c r="B16" s="37">
        <v>130134</v>
      </c>
      <c r="C16" s="4" t="str" cm="1">
        <f t="array" ref="C16">_xlfn.IFS(B16&lt;20000, "P1",B16&lt;40000, "P2",B16&lt;70000, "P3",B16&lt;100000, "P4",B16&lt;200000,"M1",B16&lt;500000,"M2",B16&lt;1000000,"G1",B16&gt;1000000,"G2")</f>
        <v>M1</v>
      </c>
      <c r="D16" s="13">
        <f>VLOOKUP(C16,Controle!A$2:H$9,8,FALSE)</f>
        <v>30.79362280995862</v>
      </c>
      <c r="E16" s="13">
        <f>VLOOKUP(C16,Controle!A$16:H$23,8,FALSE)</f>
        <v>10.657848955470229</v>
      </c>
      <c r="F16" s="5">
        <f>VLOOKUP(A16,Educacional!A$2:P$405,16,FALSE)</f>
        <v>47.946666135264557</v>
      </c>
      <c r="G16" s="6">
        <f>VLOOKUP(A16,Demográfico!A$2:L$405,12,FALSE)</f>
        <v>44.057217275802422</v>
      </c>
      <c r="H16" s="7">
        <f>VLOOKUP(A16,Socioeconômico!A$2:M$405,13,FALSE)</f>
        <v>30.732470554840507</v>
      </c>
      <c r="I16" s="16">
        <f>(2*F16+G16+2*H16)/5/100</f>
        <v>0.40283098131202505</v>
      </c>
      <c r="J16" s="15">
        <f>VLOOKUP(A16,Demográfico!A$2:E$400,5,FALSE)/(VLOOKUP(C16,Controle!A$2:G$9,7,FALSE))*D16</f>
        <v>1.9831212938303442</v>
      </c>
      <c r="K16" s="15">
        <f>VLOOKUP(A16,Demográfico!A$2:E$400,5,FALSE)/(VLOOKUP(C16,Controle!A$16:G$24,7,FALSE))*E16</f>
        <v>0.68636962076398522</v>
      </c>
      <c r="L16" s="118">
        <f>((J16*(1+I16))+3*(I16+K16))/4</f>
        <v>1.5123964492282065</v>
      </c>
      <c r="M16" s="3">
        <v>1</v>
      </c>
      <c r="N16" s="88">
        <f>VLOOKUP(A16,Demográfico!A$2:E$400,5,FALSE)*I16</f>
        <v>6825.5681473509521</v>
      </c>
      <c r="O16" s="96">
        <f>FLOOR(L16,1)</f>
        <v>1</v>
      </c>
      <c r="P16" s="96">
        <f>L16-O16</f>
        <v>0.51239644922820649</v>
      </c>
      <c r="Q16" s="87">
        <f>RANK(P16,P$2:P$400,0)</f>
        <v>142</v>
      </c>
      <c r="R16" s="3">
        <f>O16+IF(Q16&lt;Q$1,1,0)</f>
        <v>2</v>
      </c>
      <c r="T16" s="87">
        <f>VLOOKUP(A16,Demográfico!A$2:E$400,5,FALSE)*(I16)</f>
        <v>6825.5681473509521</v>
      </c>
    </row>
    <row r="17" spans="1:20" ht="19.5" x14ac:dyDescent="0.25">
      <c r="A17" s="2" t="s">
        <v>22</v>
      </c>
      <c r="B17" s="37">
        <v>127019</v>
      </c>
      <c r="C17" s="4" t="str" cm="1">
        <f t="array" ref="C17">_xlfn.IFS(B17&lt;20000, "P1",B17&lt;40000, "P2",B17&lt;70000, "P3",B17&lt;100000, "P4",B17&lt;200000,"M1",B17&lt;500000,"M2",B17&lt;1000000,"G1",B17&gt;1000000,"G2")</f>
        <v>M1</v>
      </c>
      <c r="D17" s="13">
        <f>VLOOKUP(C17,Controle!A$2:H$9,8,FALSE)</f>
        <v>30.79362280995862</v>
      </c>
      <c r="E17" s="13">
        <f>VLOOKUP(C17,Controle!A$16:H$23,8,FALSE)</f>
        <v>10.657848955470229</v>
      </c>
      <c r="F17" s="5">
        <f>VLOOKUP(A17,Educacional!A$2:P$405,16,FALSE)</f>
        <v>44.434159588740187</v>
      </c>
      <c r="G17" s="6">
        <f>VLOOKUP(A17,Demográfico!A$2:L$405,12,FALSE)</f>
        <v>44.744745283965088</v>
      </c>
      <c r="H17" s="7">
        <f>VLOOKUP(A17,Socioeconômico!A$2:M$405,13,FALSE)</f>
        <v>24.630204990787867</v>
      </c>
      <c r="I17" s="16">
        <f>(2*F17+G17+2*H17)/5/100</f>
        <v>0.36574694888604237</v>
      </c>
      <c r="J17" s="15">
        <f>VLOOKUP(A17,Demográfico!A$2:E$400,5,FALSE)/(VLOOKUP(C17,Controle!A$2:G$9,7,FALSE))*D17</f>
        <v>1.9656823731043811</v>
      </c>
      <c r="K17" s="15">
        <f>VLOOKUP(A17,Demográfico!A$2:E$400,5,FALSE)/(VLOOKUP(C17,Controle!A$16:G$24,7,FALSE))*E17</f>
        <v>0.6803339105719507</v>
      </c>
      <c r="L17" s="118">
        <f>((J17*(1+I17))+3*(I17+K17))/4</f>
        <v>1.4557168204800908</v>
      </c>
      <c r="M17" s="3">
        <v>1</v>
      </c>
      <c r="N17" s="88">
        <f>VLOOKUP(A17,Demográfico!A$2:E$400,5,FALSE)*I17</f>
        <v>6142.7200065410816</v>
      </c>
      <c r="O17" s="96">
        <f>FLOOR(L17,1)</f>
        <v>1</v>
      </c>
      <c r="P17" s="96">
        <f>L17-O17</f>
        <v>0.45571682048009077</v>
      </c>
      <c r="Q17" s="87">
        <f>RANK(P17,P$2:P$400,0)</f>
        <v>206</v>
      </c>
      <c r="R17" s="3">
        <f>O17+IF(Q17&lt;Q$1,1,0)</f>
        <v>1</v>
      </c>
      <c r="T17" s="87">
        <f>VLOOKUP(A17,Demográfico!A$2:E$400,5,FALSE)*(I17)</f>
        <v>6142.7200065410816</v>
      </c>
    </row>
    <row r="18" spans="1:20" ht="19.5" x14ac:dyDescent="0.25">
      <c r="A18" s="2" t="s">
        <v>23</v>
      </c>
      <c r="B18" s="37">
        <v>119825</v>
      </c>
      <c r="C18" s="4" t="str" cm="1">
        <f t="array" ref="C18">_xlfn.IFS(B18&lt;20000, "P1",B18&lt;40000, "P2",B18&lt;70000, "P3",B18&lt;100000, "P4",B18&lt;200000,"M1",B18&lt;500000,"M2",B18&lt;1000000,"G1",B18&gt;1000000,"G2")</f>
        <v>M1</v>
      </c>
      <c r="D18" s="13">
        <f>VLOOKUP(C18,Controle!A$2:H$9,8,FALSE)</f>
        <v>30.79362280995862</v>
      </c>
      <c r="E18" s="13">
        <f>VLOOKUP(C18,Controle!A$16:H$23,8,FALSE)</f>
        <v>10.657848955470229</v>
      </c>
      <c r="F18" s="5">
        <f>VLOOKUP(A18,Educacional!A$2:P$405,16,FALSE)</f>
        <v>100</v>
      </c>
      <c r="G18" s="6">
        <f>VLOOKUP(A18,Demográfico!A$2:L$405,12,FALSE)</f>
        <v>55.369115563058649</v>
      </c>
      <c r="H18" s="7">
        <f>VLOOKUP(A18,Socioeconômico!A$2:M$405,13,FALSE)</f>
        <v>38.813775005746209</v>
      </c>
      <c r="I18" s="16">
        <f>(2*F18+G18+2*H18)/5/100</f>
        <v>0.66599333114910209</v>
      </c>
      <c r="J18" s="15">
        <f>VLOOKUP(A18,Demográfico!A$2:E$400,5,FALSE)/(VLOOKUP(C18,Controle!A$2:G$9,7,FALSE))*D18</f>
        <v>2.2138066143060056</v>
      </c>
      <c r="K18" s="15">
        <f>VLOOKUP(A18,Demográfico!A$2:E$400,5,FALSE)/(VLOOKUP(C18,Controle!A$16:G$24,7,FALSE))*E18</f>
        <v>0.76621112941163716</v>
      </c>
      <c r="L18" s="118">
        <f>((J18*(1+I18))+3*(I18+K18))/4</f>
        <v>1.9962001093924489</v>
      </c>
      <c r="M18" s="3">
        <v>2</v>
      </c>
      <c r="N18" s="88">
        <f>VLOOKUP(A18,Demográfico!A$2:E$400,5,FALSE)*I18</f>
        <v>12597.263858685266</v>
      </c>
      <c r="O18" s="96">
        <f>FLOOR(L18,1)</f>
        <v>1</v>
      </c>
      <c r="P18" s="96">
        <f>L18-O18</f>
        <v>0.99620010939244885</v>
      </c>
      <c r="Q18" s="87">
        <f>RANK(P18,P$2:P$400,0)</f>
        <v>1</v>
      </c>
      <c r="R18" s="3">
        <f>O18+IF(Q18&lt;Q$1,1,0)</f>
        <v>2</v>
      </c>
      <c r="T18" s="87">
        <f>VLOOKUP(A18,Demográfico!A$2:E$400,5,FALSE)*(I18)</f>
        <v>12597.263858685266</v>
      </c>
    </row>
    <row r="19" spans="1:20" ht="19.5" x14ac:dyDescent="0.25">
      <c r="A19" s="2" t="s">
        <v>24</v>
      </c>
      <c r="B19" s="37">
        <v>119138</v>
      </c>
      <c r="C19" s="4" t="str" cm="1">
        <f t="array" ref="C19">_xlfn.IFS(B19&lt;20000, "P1",B19&lt;40000, "P2",B19&lt;70000, "P3",B19&lt;100000, "P4",B19&lt;200000,"M1",B19&lt;500000,"M2",B19&lt;1000000,"G1",B19&gt;1000000,"G2")</f>
        <v>M1</v>
      </c>
      <c r="D19" s="13">
        <f>VLOOKUP(C19,Controle!A$2:H$9,8,FALSE)</f>
        <v>30.79362280995862</v>
      </c>
      <c r="E19" s="13">
        <f>VLOOKUP(C19,Controle!A$16:H$23,8,FALSE)</f>
        <v>10.657848955470229</v>
      </c>
      <c r="F19" s="5">
        <f>VLOOKUP(A19,Educacional!A$2:P$405,16,FALSE)</f>
        <v>53.064565806462618</v>
      </c>
      <c r="G19" s="6">
        <f>VLOOKUP(A19,Demográfico!A$2:L$405,12,FALSE)</f>
        <v>44.530897569765152</v>
      </c>
      <c r="H19" s="7">
        <f>VLOOKUP(A19,Socioeconômico!A$2:M$405,13,FALSE)</f>
        <v>23.0772524561952</v>
      </c>
      <c r="I19" s="16">
        <f>(2*F19+G19+2*H19)/5/100</f>
        <v>0.39362906819016152</v>
      </c>
      <c r="J19" s="15">
        <f>VLOOKUP(A19,Demográfico!A$2:E$400,5,FALSE)/(VLOOKUP(C19,Controle!A$2:G$9,7,FALSE))*D19</f>
        <v>1.8106047223533654</v>
      </c>
      <c r="K19" s="15">
        <f>VLOOKUP(A19,Demográfico!A$2:E$400,5,FALSE)/(VLOOKUP(C19,Controle!A$16:G$24,7,FALSE))*E19</f>
        <v>0.62666064879714645</v>
      </c>
      <c r="L19" s="118">
        <f>((J19*(1+I19))+3*(I19+K19))/4</f>
        <v>1.3960451307589876</v>
      </c>
      <c r="M19" s="3">
        <v>1</v>
      </c>
      <c r="N19" s="88">
        <f>VLOOKUP(A19,Demográfico!A$2:E$400,5,FALSE)*I19</f>
        <v>6089.4416849017989</v>
      </c>
      <c r="O19" s="96">
        <f>FLOOR(L19,1)</f>
        <v>1</v>
      </c>
      <c r="P19" s="96">
        <f>L19-O19</f>
        <v>0.39604513075898762</v>
      </c>
      <c r="Q19" s="87">
        <f>RANK(P19,P$2:P$400,0)</f>
        <v>291</v>
      </c>
      <c r="R19" s="3">
        <f>O19+IF(Q19&lt;Q$1,1,0)</f>
        <v>1</v>
      </c>
      <c r="T19" s="87">
        <f>VLOOKUP(A19,Demográfico!A$2:E$400,5,FALSE)*(I19)</f>
        <v>6089.4416849017989</v>
      </c>
    </row>
    <row r="20" spans="1:20" ht="19.5" x14ac:dyDescent="0.25">
      <c r="A20" s="2" t="s">
        <v>25</v>
      </c>
      <c r="B20" s="37">
        <v>118730</v>
      </c>
      <c r="C20" s="4" t="str" cm="1">
        <f t="array" ref="C20">_xlfn.IFS(B20&lt;20000, "P1",B20&lt;40000, "P2",B20&lt;70000, "P3",B20&lt;100000, "P4",B20&lt;200000,"M1",B20&lt;500000,"M2",B20&lt;1000000,"G1",B20&gt;1000000,"G2")</f>
        <v>M1</v>
      </c>
      <c r="D20" s="13">
        <f>VLOOKUP(C20,Controle!A$2:H$9,8,FALSE)</f>
        <v>30.79362280995862</v>
      </c>
      <c r="E20" s="13">
        <f>VLOOKUP(C20,Controle!A$16:H$23,8,FALSE)</f>
        <v>10.657848955470229</v>
      </c>
      <c r="F20" s="5">
        <f>VLOOKUP(A20,Educacional!A$2:P$405,16,FALSE)</f>
        <v>81.799610463789179</v>
      </c>
      <c r="G20" s="6">
        <f>VLOOKUP(A20,Demográfico!A$2:L$405,12,FALSE)</f>
        <v>51.092066078164997</v>
      </c>
      <c r="H20" s="7">
        <f>VLOOKUP(A20,Socioeconômico!A$2:M$405,13,FALSE)</f>
        <v>45.573903426322161</v>
      </c>
      <c r="I20" s="16">
        <f>(2*F20+G20+2*H20)/5/100</f>
        <v>0.6116781877167754</v>
      </c>
      <c r="J20" s="15">
        <f>VLOOKUP(A20,Demográfico!A$2:E$400,5,FALSE)/(VLOOKUP(C20,Controle!A$2:G$9,7,FALSE))*D20</f>
        <v>2.1324639974969823</v>
      </c>
      <c r="K20" s="15">
        <f>VLOOKUP(A20,Demográfico!A$2:E$400,5,FALSE)/(VLOOKUP(C20,Controle!A$16:G$24,7,FALSE))*E20</f>
        <v>0.73805798455617377</v>
      </c>
      <c r="L20" s="118">
        <f>((J20*(1+I20))+3*(I20+K20))/4</f>
        <v>1.8715135569190136</v>
      </c>
      <c r="M20" s="3">
        <v>2</v>
      </c>
      <c r="N20" s="88">
        <f>VLOOKUP(A20,Demográfico!A$2:E$400,5,FALSE)*I20</f>
        <v>11144.776580199648</v>
      </c>
      <c r="O20" s="96">
        <f>FLOOR(L20,1)</f>
        <v>1</v>
      </c>
      <c r="P20" s="96">
        <f>L20-O20</f>
        <v>0.87151355691901355</v>
      </c>
      <c r="Q20" s="87">
        <f>RANK(P20,P$2:P$400,0)</f>
        <v>11</v>
      </c>
      <c r="R20" s="3">
        <f>O20+IF(Q20&lt;Q$1,1,0)</f>
        <v>2</v>
      </c>
      <c r="T20" s="87">
        <f>VLOOKUP(A20,Demográfico!A$2:E$400,5,FALSE)*(I20)</f>
        <v>11144.776580199648</v>
      </c>
    </row>
    <row r="21" spans="1:20" ht="19.5" x14ac:dyDescent="0.25">
      <c r="A21" s="2" t="s">
        <v>26</v>
      </c>
      <c r="B21" s="37">
        <v>118455</v>
      </c>
      <c r="C21" s="4" t="str" cm="1">
        <f t="array" ref="C21">_xlfn.IFS(B21&lt;20000, "P1",B21&lt;40000, "P2",B21&lt;70000, "P3",B21&lt;100000, "P4",B21&lt;200000,"M1",B21&lt;500000,"M2",B21&lt;1000000,"G1",B21&gt;1000000,"G2")</f>
        <v>M1</v>
      </c>
      <c r="D21" s="13">
        <f>VLOOKUP(C21,Controle!A$2:H$9,8,FALSE)</f>
        <v>30.79362280995862</v>
      </c>
      <c r="E21" s="13">
        <f>VLOOKUP(C21,Controle!A$16:H$23,8,FALSE)</f>
        <v>10.657848955470229</v>
      </c>
      <c r="F21" s="5">
        <f>VLOOKUP(A21,Educacional!A$2:P$405,16,FALSE)</f>
        <v>76.677696216482133</v>
      </c>
      <c r="G21" s="6">
        <f>VLOOKUP(A21,Demográfico!A$2:L$405,12,FALSE)</f>
        <v>51.851290485378264</v>
      </c>
      <c r="H21" s="7">
        <f>VLOOKUP(A21,Socioeconômico!A$2:M$405,13,FALSE)</f>
        <v>26.119177815217618</v>
      </c>
      <c r="I21" s="16">
        <f>(2*F21+G21+2*H21)/5/100</f>
        <v>0.51489007709755552</v>
      </c>
      <c r="J21" s="15">
        <f>VLOOKUP(A21,Demográfico!A$2:E$400,5,FALSE)/(VLOOKUP(C21,Controle!A$2:G$9,7,FALSE))*D21</f>
        <v>1.9776204262187986</v>
      </c>
      <c r="K21" s="15">
        <f>VLOOKUP(A21,Demográfico!A$2:E$400,5,FALSE)/(VLOOKUP(C21,Controle!A$16:G$24,7,FALSE))*E21</f>
        <v>0.68446573902555818</v>
      </c>
      <c r="L21" s="118">
        <f>((J21*(1+I21))+3*(I21+K21))/4</f>
        <v>1.6484862520784094</v>
      </c>
      <c r="M21" s="3">
        <v>2</v>
      </c>
      <c r="N21" s="88">
        <f>VLOOKUP(A21,Demográfico!A$2:E$400,5,FALSE)*I21</f>
        <v>8700.0976327173958</v>
      </c>
      <c r="O21" s="96">
        <f>FLOOR(L21,1)</f>
        <v>1</v>
      </c>
      <c r="P21" s="96">
        <f>L21-O21</f>
        <v>0.64848625207840938</v>
      </c>
      <c r="Q21" s="87">
        <f>RANK(P21,P$2:P$400,0)</f>
        <v>52</v>
      </c>
      <c r="R21" s="3">
        <f>O21+IF(Q21&lt;Q$1,1,0)</f>
        <v>2</v>
      </c>
      <c r="T21" s="87">
        <f>VLOOKUP(A21,Demográfico!A$2:E$400,5,FALSE)*(I21)</f>
        <v>8700.0976327173958</v>
      </c>
    </row>
    <row r="22" spans="1:20" ht="19.5" x14ac:dyDescent="0.25">
      <c r="A22" s="2" t="s">
        <v>27</v>
      </c>
      <c r="B22" s="37">
        <v>117095</v>
      </c>
      <c r="C22" s="4" t="str" cm="1">
        <f t="array" ref="C22">_xlfn.IFS(B22&lt;20000, "P1",B22&lt;40000, "P2",B22&lt;70000, "P3",B22&lt;100000, "P4",B22&lt;200000,"M1",B22&lt;500000,"M2",B22&lt;1000000,"G1",B22&gt;1000000,"G2")</f>
        <v>M1</v>
      </c>
      <c r="D22" s="13">
        <f>VLOOKUP(C22,Controle!A$2:H$9,8,FALSE)</f>
        <v>30.79362280995862</v>
      </c>
      <c r="E22" s="13">
        <f>VLOOKUP(C22,Controle!A$16:H$23,8,FALSE)</f>
        <v>10.657848955470229</v>
      </c>
      <c r="F22" s="5">
        <f>VLOOKUP(A22,Educacional!A$2:P$405,16,FALSE)</f>
        <v>62.289704104402411</v>
      </c>
      <c r="G22" s="6">
        <f>VLOOKUP(A22,Demográfico!A$2:L$405,12,FALSE)</f>
        <v>51.318557185078674</v>
      </c>
      <c r="H22" s="7">
        <f>VLOOKUP(A22,Socioeconômico!A$2:M$405,13,FALSE)</f>
        <v>26.286785664377639</v>
      </c>
      <c r="I22" s="16">
        <f>(2*F22+G22+2*H22)/5/100</f>
        <v>0.45694307344527757</v>
      </c>
      <c r="J22" s="15">
        <f>VLOOKUP(A22,Demográfico!A$2:E$400,5,FALSE)/(VLOOKUP(C22,Controle!A$2:G$9,7,FALSE))*D22</f>
        <v>1.7305495426449167</v>
      </c>
      <c r="K22" s="15">
        <f>VLOOKUP(A22,Demográfico!A$2:E$400,5,FALSE)/(VLOOKUP(C22,Controle!A$16:G$24,7,FALSE))*E22</f>
        <v>0.59895309328471935</v>
      </c>
      <c r="L22" s="118">
        <f>((J22*(1+I22))+3*(I22+K22))/4</f>
        <v>1.4222501674000987</v>
      </c>
      <c r="M22" s="3">
        <v>1</v>
      </c>
      <c r="N22" s="88">
        <f>VLOOKUP(A22,Demográfico!A$2:E$400,5,FALSE)*I22</f>
        <v>6756.3602839618743</v>
      </c>
      <c r="O22" s="96">
        <f>FLOOR(L22,1)</f>
        <v>1</v>
      </c>
      <c r="P22" s="96">
        <f>L22-O22</f>
        <v>0.42225016740009869</v>
      </c>
      <c r="Q22" s="87">
        <f>RANK(P22,P$2:P$400,0)</f>
        <v>252</v>
      </c>
      <c r="R22" s="3">
        <f>O22+IF(Q22&lt;Q$1,1,0)</f>
        <v>1</v>
      </c>
      <c r="T22" s="87">
        <f>VLOOKUP(A22,Demográfico!A$2:E$400,5,FALSE)*(I22)</f>
        <v>6756.3602839618743</v>
      </c>
    </row>
    <row r="23" spans="1:20" ht="19.5" x14ac:dyDescent="0.25">
      <c r="A23" s="2" t="s">
        <v>28</v>
      </c>
      <c r="B23" s="37">
        <v>107208</v>
      </c>
      <c r="C23" s="4" t="str" cm="1">
        <f t="array" ref="C23">_xlfn.IFS(B23&lt;20000, "P1",B23&lt;40000, "P2",B23&lt;70000, "P3",B23&lt;100000, "P4",B23&lt;200000,"M1",B23&lt;500000,"M2",B23&lt;1000000,"G1",B23&gt;1000000,"G2")</f>
        <v>M1</v>
      </c>
      <c r="D23" s="13">
        <f>VLOOKUP(C23,Controle!A$2:H$9,8,FALSE)</f>
        <v>30.79362280995862</v>
      </c>
      <c r="E23" s="13">
        <f>VLOOKUP(C23,Controle!A$16:H$23,8,FALSE)</f>
        <v>10.657848955470229</v>
      </c>
      <c r="F23" s="5">
        <f>VLOOKUP(A23,Educacional!A$2:P$405,16,FALSE)</f>
        <v>60.84473196630379</v>
      </c>
      <c r="G23" s="6">
        <f>VLOOKUP(A23,Demográfico!A$2:L$405,12,FALSE)</f>
        <v>38.693440354626965</v>
      </c>
      <c r="H23" s="7">
        <f>VLOOKUP(A23,Socioeconômico!A$2:M$405,13,FALSE)</f>
        <v>27.829211958665283</v>
      </c>
      <c r="I23" s="16">
        <f>(2*F23+G23+2*H23)/5/100</f>
        <v>0.43208265640913018</v>
      </c>
      <c r="J23" s="15">
        <f>VLOOKUP(A23,Demográfico!A$2:E$400,5,FALSE)/(VLOOKUP(C23,Controle!A$2:G$9,7,FALSE))*D23</f>
        <v>1.5688006269181971</v>
      </c>
      <c r="K23" s="15">
        <f>VLOOKUP(A23,Demográfico!A$2:E$400,5,FALSE)/(VLOOKUP(C23,Controle!A$16:G$24,7,FALSE))*E23</f>
        <v>0.54297086855054633</v>
      </c>
      <c r="L23" s="118">
        <f>((J23*(1+I23))+3*(I23+K23))/4</f>
        <v>1.2929531860130876</v>
      </c>
      <c r="M23" s="3">
        <v>1</v>
      </c>
      <c r="N23" s="88">
        <f>VLOOKUP(A23,Demográfico!A$2:E$400,5,FALSE)*I23</f>
        <v>5791.6359265079809</v>
      </c>
      <c r="O23" s="96">
        <f>FLOOR(L23,1)</f>
        <v>1</v>
      </c>
      <c r="P23" s="96">
        <f>L23-O23</f>
        <v>0.29295318601308762</v>
      </c>
      <c r="Q23" s="87">
        <f>RANK(P23,P$2:P$400,0)</f>
        <v>364</v>
      </c>
      <c r="R23" s="3">
        <f>O23+IF(Q23&lt;Q$1,1,0)</f>
        <v>1</v>
      </c>
      <c r="T23" s="87">
        <f>VLOOKUP(A23,Demográfico!A$2:E$400,5,FALSE)*(I23)</f>
        <v>5791.6359265079809</v>
      </c>
    </row>
    <row r="24" spans="1:20" ht="19.5" x14ac:dyDescent="0.25">
      <c r="A24" s="2" t="s">
        <v>29</v>
      </c>
      <c r="B24" s="37">
        <v>99432</v>
      </c>
      <c r="C24" s="4" t="str" cm="1">
        <f t="array" ref="C24">_xlfn.IFS(B24&lt;20000, "P1",B24&lt;40000, "P2",B24&lt;70000, "P3",B24&lt;100000, "P4",B24&lt;200000,"M1",B24&lt;500000,"M2",B24&lt;1000000,"G1",B24&gt;1000000,"G2")</f>
        <v>P4</v>
      </c>
      <c r="D24" s="13">
        <f>VLOOKUP(C24,Controle!A$2:H$9,8,FALSE)</f>
        <v>10.65049897410691</v>
      </c>
      <c r="E24" s="13">
        <f>VLOOKUP(C24,Controle!A$16:H$23,8,FALSE)</f>
        <v>3.6861986024493558</v>
      </c>
      <c r="F24" s="5">
        <f>VLOOKUP(A24,Educacional!A$2:P$405,16,FALSE)</f>
        <v>53.827124495985956</v>
      </c>
      <c r="G24" s="6">
        <f>VLOOKUP(A24,Demográfico!A$2:L$405,12,FALSE)</f>
        <v>45.846592753140477</v>
      </c>
      <c r="H24" s="7">
        <f>VLOOKUP(A24,Socioeconômico!A$2:M$405,13,FALSE)</f>
        <v>25.280277700344406</v>
      </c>
      <c r="I24" s="16">
        <f>(2*F24+G24+2*H24)/5/100</f>
        <v>0.40812279429160242</v>
      </c>
      <c r="J24" s="15">
        <f>VLOOKUP(A24,Demográfico!A$2:E$400,5,FALSE)/(VLOOKUP(C24,Controle!A$2:G$9,7,FALSE))*D24</f>
        <v>1.4910862419380655</v>
      </c>
      <c r="K24" s="15">
        <f>VLOOKUP(A24,Demográfico!A$2:E$400,5,FALSE)/(VLOOKUP(C24,Controle!A$16:G$24,7,FALSE))*E24</f>
        <v>0.51607347548000304</v>
      </c>
      <c r="L24" s="118">
        <f>((J24*(1+I24))+3*(I24+K24))/4</f>
        <v>1.2180553337106024</v>
      </c>
      <c r="M24" s="3">
        <v>1</v>
      </c>
      <c r="N24" s="88">
        <f>VLOOKUP(A24,Demográfico!A$2:E$400,5,FALSE)*I24</f>
        <v>5199.4843992750148</v>
      </c>
      <c r="O24" s="96">
        <f>FLOOR(L24,1)</f>
        <v>1</v>
      </c>
      <c r="P24" s="96">
        <f>L24-O24</f>
        <v>0.21805533371060237</v>
      </c>
      <c r="Q24" s="87">
        <f>RANK(P24,P$2:P$400,0)</f>
        <v>390</v>
      </c>
      <c r="R24" s="3">
        <f>O24+IF(Q24&lt;Q$1,1,0)</f>
        <v>1</v>
      </c>
      <c r="T24" s="87">
        <f>VLOOKUP(A24,Demográfico!A$2:E$400,5,FALSE)*(I24)</f>
        <v>5199.4843992750148</v>
      </c>
    </row>
    <row r="25" spans="1:20" ht="19.5" x14ac:dyDescent="0.25">
      <c r="A25" s="2" t="s">
        <v>30</v>
      </c>
      <c r="B25" s="37">
        <v>96666</v>
      </c>
      <c r="C25" s="4" t="str" cm="1">
        <f t="array" ref="C25">_xlfn.IFS(B25&lt;20000, "P1",B25&lt;40000, "P2",B25&lt;70000, "P3",B25&lt;100000, "P4",B25&lt;200000,"M1",B25&lt;500000,"M2",B25&lt;1000000,"G1",B25&gt;1000000,"G2")</f>
        <v>P4</v>
      </c>
      <c r="D25" s="13">
        <f>VLOOKUP(C25,Controle!A$2:H$9,8,FALSE)</f>
        <v>10.65049897410691</v>
      </c>
      <c r="E25" s="13">
        <f>VLOOKUP(C25,Controle!A$16:H$23,8,FALSE)</f>
        <v>3.6861986024493558</v>
      </c>
      <c r="F25" s="5">
        <f>VLOOKUP(A25,Educacional!A$2:P$405,16,FALSE)</f>
        <v>44.924726012537327</v>
      </c>
      <c r="G25" s="6">
        <f>VLOOKUP(A25,Demográfico!A$2:L$405,12,FALSE)</f>
        <v>46.703697476772149</v>
      </c>
      <c r="H25" s="7">
        <f>VLOOKUP(A25,Socioeconômico!A$2:M$405,13,FALSE)</f>
        <v>19.334853979699254</v>
      </c>
      <c r="I25" s="16">
        <f>(2*F25+G25+2*H25)/5/100</f>
        <v>0.3504457149224906</v>
      </c>
      <c r="J25" s="15">
        <f>VLOOKUP(A25,Demográfico!A$2:E$400,5,FALSE)/(VLOOKUP(C25,Controle!A$2:G$9,7,FALSE))*D25</f>
        <v>1.4495371355104352</v>
      </c>
      <c r="K25" s="15">
        <f>VLOOKUP(A25,Demográfico!A$2:E$400,5,FALSE)/(VLOOKUP(C25,Controle!A$16:G$24,7,FALSE))*E25</f>
        <v>0.50169309213656499</v>
      </c>
      <c r="L25" s="118">
        <f>((J25*(1+I25))+3*(I25+K25))/4</f>
        <v>1.128484408612064</v>
      </c>
      <c r="M25" s="3">
        <v>1</v>
      </c>
      <c r="N25" s="88">
        <f>VLOOKUP(A25,Demográfico!A$2:E$400,5,FALSE)*I25</f>
        <v>4340.2701793150463</v>
      </c>
      <c r="O25" s="96">
        <f>FLOOR(L25,1)</f>
        <v>1</v>
      </c>
      <c r="P25" s="96">
        <f>L25-O25</f>
        <v>0.128484408612064</v>
      </c>
      <c r="Q25" s="87">
        <f>RANK(P25,P$2:P$400,0)</f>
        <v>394</v>
      </c>
      <c r="R25" s="3">
        <f>O25+IF(Q25&lt;Q$1,1,0)</f>
        <v>1</v>
      </c>
      <c r="T25" s="87">
        <f>VLOOKUP(A25,Demográfico!A$2:E$400,5,FALSE)*(I25)</f>
        <v>4340.2701793150463</v>
      </c>
    </row>
    <row r="26" spans="1:20" ht="19.5" x14ac:dyDescent="0.25">
      <c r="A26" s="2" t="s">
        <v>31</v>
      </c>
      <c r="B26" s="37">
        <v>92001</v>
      </c>
      <c r="C26" s="4" t="str" cm="1">
        <f t="array" ref="C26">_xlfn.IFS(B26&lt;20000, "P1",B26&lt;40000, "P2",B26&lt;70000, "P3",B26&lt;100000, "P4",B26&lt;200000,"M1",B26&lt;500000,"M2",B26&lt;1000000,"G1",B26&gt;1000000,"G2")</f>
        <v>P4</v>
      </c>
      <c r="D26" s="13">
        <f>VLOOKUP(C26,Controle!A$2:H$9,8,FALSE)</f>
        <v>10.65049897410691</v>
      </c>
      <c r="E26" s="13">
        <f>VLOOKUP(C26,Controle!A$16:H$23,8,FALSE)</f>
        <v>3.6861986024493558</v>
      </c>
      <c r="F26" s="5">
        <f>VLOOKUP(A26,Educacional!A$2:P$405,16,FALSE)</f>
        <v>58.518274181065891</v>
      </c>
      <c r="G26" s="6">
        <f>VLOOKUP(A26,Demográfico!A$2:L$405,12,FALSE)</f>
        <v>44.749668510355484</v>
      </c>
      <c r="H26" s="7">
        <f>VLOOKUP(A26,Socioeconômico!A$2:M$405,13,FALSE)</f>
        <v>27.359888472717529</v>
      </c>
      <c r="I26" s="16">
        <f>(2*F26+G26+2*H26)/5/100</f>
        <v>0.43301198763584464</v>
      </c>
      <c r="J26" s="15">
        <f>VLOOKUP(A26,Demográfico!A$2:E$400,5,FALSE)/(VLOOKUP(C26,Controle!A$2:G$9,7,FALSE))*D26</f>
        <v>1.4027212409440908</v>
      </c>
      <c r="K26" s="15">
        <f>VLOOKUP(A26,Demográfico!A$2:E$400,5,FALSE)/(VLOOKUP(C26,Controle!A$16:G$24,7,FALSE))*E26</f>
        <v>0.48548984329888822</v>
      </c>
      <c r="L26" s="118">
        <f>((J26*(1+I26))+3*(I26+K26))/4</f>
        <v>1.1914054615971272</v>
      </c>
      <c r="M26" s="3">
        <v>1</v>
      </c>
      <c r="N26" s="88">
        <f>VLOOKUP(A26,Demográfico!A$2:E$400,5,FALSE)*I26</f>
        <v>5189.6486718155984</v>
      </c>
      <c r="O26" s="96">
        <f>FLOOR(L26,1)</f>
        <v>1</v>
      </c>
      <c r="P26" s="96">
        <f>L26-O26</f>
        <v>0.19140546159712724</v>
      </c>
      <c r="Q26" s="87">
        <f>RANK(P26,P$2:P$400,0)</f>
        <v>392</v>
      </c>
      <c r="R26" s="3">
        <f>O26+IF(Q26&lt;Q$1,1,0)</f>
        <v>1</v>
      </c>
      <c r="T26" s="87">
        <f>VLOOKUP(A26,Demográfico!A$2:E$400,5,FALSE)*(I26)</f>
        <v>5189.6486718155984</v>
      </c>
    </row>
    <row r="27" spans="1:20" ht="19.5" x14ac:dyDescent="0.25">
      <c r="A27" s="2" t="s">
        <v>32</v>
      </c>
      <c r="B27" s="37">
        <v>91836</v>
      </c>
      <c r="C27" s="4" t="str" cm="1">
        <f t="array" ref="C27">_xlfn.IFS(B27&lt;20000, "P1",B27&lt;40000, "P2",B27&lt;70000, "P3",B27&lt;100000, "P4",B27&lt;200000,"M1",B27&lt;500000,"M2",B27&lt;1000000,"G1",B27&gt;1000000,"G2")</f>
        <v>P4</v>
      </c>
      <c r="D27" s="13">
        <f>VLOOKUP(C27,Controle!A$2:H$9,8,FALSE)</f>
        <v>10.65049897410691</v>
      </c>
      <c r="E27" s="13">
        <f>VLOOKUP(C27,Controle!A$16:H$23,8,FALSE)</f>
        <v>3.6861986024493558</v>
      </c>
      <c r="F27" s="5">
        <f>VLOOKUP(A27,Educacional!A$2:P$405,16,FALSE)</f>
        <v>50.621040997542281</v>
      </c>
      <c r="G27" s="6">
        <f>VLOOKUP(A27,Demográfico!A$2:L$405,12,FALSE)</f>
        <v>48.088322277109604</v>
      </c>
      <c r="H27" s="7">
        <f>VLOOKUP(A27,Socioeconômico!A$2:M$405,13,FALSE)</f>
        <v>11.259050306820823</v>
      </c>
      <c r="I27" s="16">
        <f>(2*F27+G27+2*H27)/5/100</f>
        <v>0.34369700977167161</v>
      </c>
      <c r="J27" s="15">
        <f>VLOOKUP(A27,Demográfico!A$2:E$400,5,FALSE)/(VLOOKUP(C27,Controle!A$2:G$9,7,FALSE))*D27</f>
        <v>1.3985078104331197</v>
      </c>
      <c r="K27" s="15">
        <f>VLOOKUP(A27,Demográfico!A$2:E$400,5,FALSE)/(VLOOKUP(C27,Controle!A$16:G$24,7,FALSE))*E27</f>
        <v>0.48403155090349731</v>
      </c>
      <c r="L27" s="118">
        <f>((J27*(1+I27))+3*(I27+K27))/4</f>
        <v>1.0905891112617043</v>
      </c>
      <c r="M27" s="3">
        <v>1</v>
      </c>
      <c r="N27" s="88">
        <f>VLOOKUP(A27,Demográfico!A$2:E$400,5,FALSE)*I27</f>
        <v>4106.8355697617044</v>
      </c>
      <c r="O27" s="96">
        <f>FLOOR(L27,1)</f>
        <v>1</v>
      </c>
      <c r="P27" s="96">
        <f>L27-O27</f>
        <v>9.0589111261704325E-2</v>
      </c>
      <c r="Q27" s="87">
        <f>RANK(P27,P$2:P$400,0)</f>
        <v>396</v>
      </c>
      <c r="R27" s="3">
        <f>O27+IF(Q27&lt;Q$1,1,0)</f>
        <v>1</v>
      </c>
      <c r="T27" s="87">
        <f>VLOOKUP(A27,Demográfico!A$2:E$400,5,FALSE)*(I27)</f>
        <v>4106.8355697617044</v>
      </c>
    </row>
    <row r="28" spans="1:20" ht="19.5" x14ac:dyDescent="0.25">
      <c r="A28" s="2" t="s">
        <v>33</v>
      </c>
      <c r="B28" s="37">
        <v>79527</v>
      </c>
      <c r="C28" s="4" t="str" cm="1">
        <f t="array" ref="C28">_xlfn.IFS(B28&lt;20000, "P1",B28&lt;40000, "P2",B28&lt;70000, "P3",B28&lt;100000, "P4",B28&lt;200000,"M1",B28&lt;500000,"M2",B28&lt;1000000,"G1",B28&gt;1000000,"G2")</f>
        <v>P4</v>
      </c>
      <c r="D28" s="13">
        <f>VLOOKUP(C28,Controle!A$2:H$9,8,FALSE)</f>
        <v>10.65049897410691</v>
      </c>
      <c r="E28" s="13">
        <f>VLOOKUP(C28,Controle!A$16:H$23,8,FALSE)</f>
        <v>3.6861986024493558</v>
      </c>
      <c r="F28" s="5">
        <f>VLOOKUP(A28,Educacional!A$2:P$405,16,FALSE)</f>
        <v>48.936339034471274</v>
      </c>
      <c r="G28" s="6">
        <f>VLOOKUP(A28,Demográfico!A$2:L$405,12,FALSE)</f>
        <v>44.947973091678008</v>
      </c>
      <c r="H28" s="7">
        <f>VLOOKUP(A28,Socioeconômico!A$2:M$405,13,FALSE)</f>
        <v>21.948345069503311</v>
      </c>
      <c r="I28" s="16">
        <f>(2*F28+G28+2*H28)/5/100</f>
        <v>0.37343468259925444</v>
      </c>
      <c r="J28" s="15">
        <f>VLOOKUP(A28,Demográfico!A$2:E$400,5,FALSE)/(VLOOKUP(C28,Controle!A$2:G$9,7,FALSE))*D28</f>
        <v>1.1846762120013421</v>
      </c>
      <c r="K28" s="15">
        <f>VLOOKUP(A28,Demográfico!A$2:E$400,5,FALSE)/(VLOOKUP(C28,Controle!A$16:G$24,7,FALSE))*E28</f>
        <v>0.41002321183740897</v>
      </c>
      <c r="L28" s="118">
        <f>((J28*(1+I28))+3*(I28+K28))/4</f>
        <v>0.99436227013073508</v>
      </c>
      <c r="M28" s="3">
        <v>1</v>
      </c>
      <c r="N28" s="88">
        <f>VLOOKUP(A28,Demográfico!A$2:E$400,5,FALSE)*I28</f>
        <v>3779.9058572696536</v>
      </c>
      <c r="O28" s="96">
        <f>FLOOR(L28,1)</f>
        <v>0</v>
      </c>
      <c r="P28" s="96">
        <f>L28-O28</f>
        <v>0.99436227013073508</v>
      </c>
      <c r="Q28" s="87">
        <f>RANK(P28,P$2:P$400,0)</f>
        <v>2</v>
      </c>
      <c r="R28" s="3">
        <f>O28+IF(Q28&lt;Q$1,1,0)</f>
        <v>1</v>
      </c>
      <c r="T28" s="87">
        <f>VLOOKUP(A28,Demográfico!A$2:E$400,5,FALSE)*(I28)</f>
        <v>3779.9058572696536</v>
      </c>
    </row>
    <row r="29" spans="1:20" ht="19.5" x14ac:dyDescent="0.25">
      <c r="A29" s="2" t="s">
        <v>34</v>
      </c>
      <c r="B29" s="37">
        <v>75042</v>
      </c>
      <c r="C29" s="4" t="str" cm="1">
        <f t="array" ref="C29">_xlfn.IFS(B29&lt;20000, "P1",B29&lt;40000, "P2",B29&lt;70000, "P3",B29&lt;100000, "P4",B29&lt;200000,"M1",B29&lt;500000,"M2",B29&lt;1000000,"G1",B29&gt;1000000,"G2")</f>
        <v>P4</v>
      </c>
      <c r="D29" s="13">
        <f>VLOOKUP(C29,Controle!A$2:H$9,8,FALSE)</f>
        <v>10.65049897410691</v>
      </c>
      <c r="E29" s="13">
        <f>VLOOKUP(C29,Controle!A$16:H$23,8,FALSE)</f>
        <v>3.6861986024493558</v>
      </c>
      <c r="F29" s="5">
        <f>VLOOKUP(A29,Educacional!A$2:P$405,16,FALSE)</f>
        <v>65.835350902111273</v>
      </c>
      <c r="G29" s="6">
        <f>VLOOKUP(A29,Demográfico!A$2:L$405,12,FALSE)</f>
        <v>56.385124568570646</v>
      </c>
      <c r="H29" s="7">
        <f>VLOOKUP(A29,Socioeconômico!A$2:M$405,13,FALSE)</f>
        <v>15.78442495615031</v>
      </c>
      <c r="I29" s="16">
        <f>(2*F29+G29+2*H29)/5/100</f>
        <v>0.4392493525701876</v>
      </c>
      <c r="J29" s="15">
        <f>VLOOKUP(A29,Demográfico!A$2:E$400,5,FALSE)/(VLOOKUP(C29,Controle!A$2:G$9,7,FALSE))*D29</f>
        <v>1.2896608555663693</v>
      </c>
      <c r="K29" s="15">
        <f>VLOOKUP(A29,Demográfico!A$2:E$400,5,FALSE)/(VLOOKUP(C29,Controle!A$16:G$24,7,FALSE))*E29</f>
        <v>0.44635899735589896</v>
      </c>
      <c r="L29" s="118">
        <f>((J29*(1+I29))+3*(I29+K29))/4</f>
        <v>1.1282421502968176</v>
      </c>
      <c r="M29" s="3">
        <v>1</v>
      </c>
      <c r="N29" s="88">
        <f>VLOOKUP(A29,Demográfico!A$2:E$400,5,FALSE)*I29</f>
        <v>4840.0886159708971</v>
      </c>
      <c r="O29" s="96">
        <f>FLOOR(L29,1)</f>
        <v>1</v>
      </c>
      <c r="P29" s="96">
        <f>L29-O29</f>
        <v>0.12824215029681763</v>
      </c>
      <c r="Q29" s="87">
        <f>RANK(P29,P$2:P$400,0)</f>
        <v>395</v>
      </c>
      <c r="R29" s="3">
        <f>O29+IF(Q29&lt;Q$1,1,0)</f>
        <v>1</v>
      </c>
      <c r="T29" s="87">
        <f>VLOOKUP(A29,Demográfico!A$2:E$400,5,FALSE)*(I29)</f>
        <v>4840.0886159708971</v>
      </c>
    </row>
    <row r="30" spans="1:20" ht="19.5" x14ac:dyDescent="0.25">
      <c r="A30" s="2" t="s">
        <v>35</v>
      </c>
      <c r="B30" s="37">
        <v>73075</v>
      </c>
      <c r="C30" s="4" t="str" cm="1">
        <f t="array" ref="C30">_xlfn.IFS(B30&lt;20000, "P1",B30&lt;40000, "P2",B30&lt;70000, "P3",B30&lt;100000, "P4",B30&lt;200000,"M1",B30&lt;500000,"M2",B30&lt;1000000,"G1",B30&gt;1000000,"G2")</f>
        <v>P4</v>
      </c>
      <c r="D30" s="13">
        <f>VLOOKUP(C30,Controle!A$2:H$9,8,FALSE)</f>
        <v>10.65049897410691</v>
      </c>
      <c r="E30" s="13">
        <f>VLOOKUP(C30,Controle!A$16:H$23,8,FALSE)</f>
        <v>3.6861986024493558</v>
      </c>
      <c r="F30" s="5">
        <f>VLOOKUP(A30,Educacional!A$2:P$405,16,FALSE)</f>
        <v>73.07245791371993</v>
      </c>
      <c r="G30" s="6">
        <f>VLOOKUP(A30,Demográfico!A$2:L$405,12,FALSE)</f>
        <v>56.431387419875179</v>
      </c>
      <c r="H30" s="7">
        <f>VLOOKUP(A30,Socioeconômico!A$2:M$405,13,FALSE)</f>
        <v>32.405816474315941</v>
      </c>
      <c r="I30" s="16">
        <f>(2*F30+G30+2*H30)/5/100</f>
        <v>0.53477587239189384</v>
      </c>
      <c r="J30" s="15">
        <f>VLOOKUP(A30,Demográfico!A$2:E$400,5,FALSE)/(VLOOKUP(C30,Controle!A$2:G$9,7,FALSE))*D30</f>
        <v>1.3214956638714834</v>
      </c>
      <c r="K30" s="15">
        <f>VLOOKUP(A30,Demográfico!A$2:E$400,5,FALSE)/(VLOOKUP(C30,Controle!A$16:G$24,7,FALSE))*E30</f>
        <v>0.45737720656551917</v>
      </c>
      <c r="L30" s="118">
        <f>((J30*(1+I30))+3*(I30+K30))/4</f>
        <v>1.2511647243131749</v>
      </c>
      <c r="M30" s="3">
        <v>1</v>
      </c>
      <c r="N30" s="88">
        <f>VLOOKUP(A30,Demográfico!A$2:E$400,5,FALSE)*I30</f>
        <v>6038.1543751768731</v>
      </c>
      <c r="O30" s="96">
        <f>FLOOR(L30,1)</f>
        <v>1</v>
      </c>
      <c r="P30" s="96">
        <f>L30-O30</f>
        <v>0.25116472431317494</v>
      </c>
      <c r="Q30" s="87">
        <f>RANK(P30,P$2:P$400,0)</f>
        <v>384</v>
      </c>
      <c r="R30" s="3">
        <f>O30+IF(Q30&lt;Q$1,1,0)</f>
        <v>1</v>
      </c>
      <c r="T30" s="87">
        <f>VLOOKUP(A30,Demográfico!A$2:E$400,5,FALSE)*(I30)</f>
        <v>6038.1543751768731</v>
      </c>
    </row>
    <row r="31" spans="1:20" ht="19.5" x14ac:dyDescent="0.25">
      <c r="A31" s="2" t="s">
        <v>36</v>
      </c>
      <c r="B31" s="37">
        <v>71670</v>
      </c>
      <c r="C31" s="4" t="str" cm="1">
        <f t="array" ref="C31">_xlfn.IFS(B31&lt;20000, "P1",B31&lt;40000, "P2",B31&lt;70000, "P3",B31&lt;100000, "P4",B31&lt;200000,"M1",B31&lt;500000,"M2",B31&lt;1000000,"G1",B31&gt;1000000,"G2")</f>
        <v>P4</v>
      </c>
      <c r="D31" s="13">
        <f>VLOOKUP(C31,Controle!A$2:H$9,8,FALSE)</f>
        <v>10.65049897410691</v>
      </c>
      <c r="E31" s="13">
        <f>VLOOKUP(C31,Controle!A$16:H$23,8,FALSE)</f>
        <v>3.6861986024493558</v>
      </c>
      <c r="F31" s="5">
        <f>VLOOKUP(A31,Educacional!A$2:P$405,16,FALSE)</f>
        <v>61.898387468606884</v>
      </c>
      <c r="G31" s="6">
        <f>VLOOKUP(A31,Demográfico!A$2:L$405,12,FALSE)</f>
        <v>51.665504657338126</v>
      </c>
      <c r="H31" s="7">
        <f>VLOOKUP(A31,Socioeconômico!A$2:M$405,13,FALSE)</f>
        <v>20.824024001308992</v>
      </c>
      <c r="I31" s="16">
        <f>(2*F31+G31+2*H31)/5/100</f>
        <v>0.43422065519433978</v>
      </c>
      <c r="J31" s="15">
        <f>VLOOKUP(A31,Demográfico!A$2:E$400,5,FALSE)/(VLOOKUP(C31,Controle!A$2:G$9,7,FALSE))*D31</f>
        <v>1.1128138138420036</v>
      </c>
      <c r="K31" s="15">
        <f>VLOOKUP(A31,Demográfico!A$2:E$400,5,FALSE)/(VLOOKUP(C31,Controle!A$16:G$24,7,FALSE))*E31</f>
        <v>0.38515122487157522</v>
      </c>
      <c r="L31" s="118">
        <f>((J31*(1+I31))+3*(I31+K31))/4</f>
        <v>1.0135340493488838</v>
      </c>
      <c r="M31" s="3">
        <v>1</v>
      </c>
      <c r="N31" s="88">
        <f>VLOOKUP(A31,Demográfico!A$2:E$400,5,FALSE)*I31</f>
        <v>4128.5699895877824</v>
      </c>
      <c r="O31" s="96">
        <f>FLOOR(L31,1)</f>
        <v>1</v>
      </c>
      <c r="P31" s="96">
        <f>L31-O31</f>
        <v>1.3534049348883803E-2</v>
      </c>
      <c r="Q31" s="87">
        <f>RANK(P31,P$2:P$400,0)</f>
        <v>399</v>
      </c>
      <c r="R31" s="3">
        <f>O31+IF(Q31&lt;Q$1,1,0)</f>
        <v>1</v>
      </c>
      <c r="T31" s="87">
        <f>VLOOKUP(A31,Demográfico!A$2:E$400,5,FALSE)*(I31)</f>
        <v>4128.5699895877824</v>
      </c>
    </row>
    <row r="32" spans="1:20" ht="19.5" x14ac:dyDescent="0.25">
      <c r="A32" s="2" t="s">
        <v>37</v>
      </c>
      <c r="B32" s="37">
        <v>59250</v>
      </c>
      <c r="C32" s="4" t="str" cm="1">
        <f t="array" ref="C32">_xlfn.IFS(B32&lt;20000, "P1",B32&lt;40000, "P2",B32&lt;70000, "P3",B32&lt;100000, "P4",B32&lt;200000,"M1",B32&lt;500000,"M2",B32&lt;1000000,"G1",B32&gt;1000000,"G2")</f>
        <v>P3</v>
      </c>
      <c r="D32" s="13">
        <f>VLOOKUP(C32,Controle!A$2:H$9,8,FALSE)</f>
        <v>12.727954295488436</v>
      </c>
      <c r="E32" s="13">
        <f>VLOOKUP(C32,Controle!A$16:H$23,8,FALSE)</f>
        <v>4.4052177696212595</v>
      </c>
      <c r="F32" s="5">
        <f>VLOOKUP(A32,Educacional!A$2:P$405,16,FALSE)</f>
        <v>65.32294594104161</v>
      </c>
      <c r="G32" s="6">
        <f>VLOOKUP(A32,Demográfico!A$2:L$405,12,FALSE)</f>
        <v>42.090227281186742</v>
      </c>
      <c r="H32" s="7">
        <f>VLOOKUP(A32,Socioeconômico!A$2:M$405,13,FALSE)</f>
        <v>40.36640337095627</v>
      </c>
      <c r="I32" s="16">
        <f>(2*F32+G32+2*H32)/5/100</f>
        <v>0.50693785181036499</v>
      </c>
      <c r="J32" s="15">
        <f>VLOOKUP(A32,Demográfico!A$2:E$400,5,FALSE)/(VLOOKUP(C32,Controle!A$2:G$9,7,FALSE))*D32</f>
        <v>0.89792885778248321</v>
      </c>
      <c r="K32" s="15">
        <f>VLOOKUP(A32,Demográfico!A$2:E$400,5,FALSE)/(VLOOKUP(C32,Controle!A$16:G$24,7,FALSE))*E32</f>
        <v>0.31077831270663914</v>
      </c>
      <c r="L32" s="118">
        <f>((J32*(1+I32))+3*(I32+K32))/4</f>
        <v>0.95156786939407056</v>
      </c>
      <c r="M32" s="3">
        <v>1</v>
      </c>
      <c r="N32" s="88">
        <f>VLOOKUP(A32,Demográfico!A$2:E$400,5,FALSE)*I32</f>
        <v>3889.2271990891204</v>
      </c>
      <c r="O32" s="96">
        <f>FLOOR(L32,1)</f>
        <v>0</v>
      </c>
      <c r="P32" s="96">
        <f>L32-O32</f>
        <v>0.95156786939407056</v>
      </c>
      <c r="Q32" s="87">
        <f>RANK(P32,P$2:P$400,0)</f>
        <v>4</v>
      </c>
      <c r="R32" s="3">
        <f>O32+IF(Q32&lt;Q$1,1,0)</f>
        <v>1</v>
      </c>
      <c r="T32" s="87">
        <f>VLOOKUP(A32,Demográfico!A$2:E$400,5,FALSE)*(I32)</f>
        <v>3889.2271990891204</v>
      </c>
    </row>
    <row r="33" spans="1:20" ht="19.5" x14ac:dyDescent="0.25">
      <c r="A33" s="2" t="s">
        <v>38</v>
      </c>
      <c r="B33" s="37">
        <v>55836</v>
      </c>
      <c r="C33" s="4" t="str" cm="1">
        <f t="array" ref="C33">_xlfn.IFS(B33&lt;20000, "P1",B33&lt;40000, "P2",B33&lt;70000, "P3",B33&lt;100000, "P4",B33&lt;200000,"M1",B33&lt;500000,"M2",B33&lt;1000000,"G1",B33&gt;1000000,"G2")</f>
        <v>P3</v>
      </c>
      <c r="D33" s="13">
        <f>VLOOKUP(C33,Controle!A$2:H$9,8,FALSE)</f>
        <v>12.727954295488436</v>
      </c>
      <c r="E33" s="13">
        <f>VLOOKUP(C33,Controle!A$16:H$23,8,FALSE)</f>
        <v>4.4052177696212595</v>
      </c>
      <c r="F33" s="5">
        <f>VLOOKUP(A33,Educacional!A$2:P$405,16,FALSE)</f>
        <v>48.265239520585055</v>
      </c>
      <c r="G33" s="6">
        <f>VLOOKUP(A33,Demográfico!A$2:L$405,12,FALSE)</f>
        <v>43.874611830583156</v>
      </c>
      <c r="H33" s="7">
        <f>VLOOKUP(A33,Socioeconômico!A$2:M$405,13,FALSE)</f>
        <v>13.962972699172022</v>
      </c>
      <c r="I33" s="16">
        <f>(2*F33+G33+2*H33)/5/100</f>
        <v>0.33666207254019459</v>
      </c>
      <c r="J33" s="15">
        <f>VLOOKUP(A33,Demográfico!A$2:E$400,5,FALSE)/(VLOOKUP(C33,Controle!A$2:G$9,7,FALSE))*D33</f>
        <v>0.81284096940815265</v>
      </c>
      <c r="K33" s="15">
        <f>VLOOKUP(A33,Demográfico!A$2:E$400,5,FALSE)/(VLOOKUP(C33,Controle!A$16:G$24,7,FALSE))*E33</f>
        <v>0.28132890794416177</v>
      </c>
      <c r="L33" s="118">
        <f>((J33*(1+I33))+3*(I33+K33))/4</f>
        <v>0.73511665906693779</v>
      </c>
      <c r="M33" s="3">
        <v>1</v>
      </c>
      <c r="N33" s="88">
        <f>VLOOKUP(A33,Demográfico!A$2:E$400,5,FALSE)*I33</f>
        <v>2338.1180937916515</v>
      </c>
      <c r="O33" s="96">
        <f>FLOOR(L33,1)</f>
        <v>0</v>
      </c>
      <c r="P33" s="96">
        <f>L33-O33</f>
        <v>0.73511665906693779</v>
      </c>
      <c r="Q33" s="87">
        <f>RANK(P33,P$2:P$400,0)</f>
        <v>28</v>
      </c>
      <c r="R33" s="3">
        <f>O33+IF(Q33&lt;Q$1,1,0)</f>
        <v>1</v>
      </c>
      <c r="T33" s="87">
        <f>VLOOKUP(A33,Demográfico!A$2:E$400,5,FALSE)*(I33)</f>
        <v>2338.1180937916515</v>
      </c>
    </row>
    <row r="34" spans="1:20" ht="19.5" x14ac:dyDescent="0.25">
      <c r="A34" s="2" t="s">
        <v>39</v>
      </c>
      <c r="B34" s="37">
        <v>55033</v>
      </c>
      <c r="C34" s="4" t="str" cm="1">
        <f t="array" ref="C34">_xlfn.IFS(B34&lt;20000, "P1",B34&lt;40000, "P2",B34&lt;70000, "P3",B34&lt;100000, "P4",B34&lt;200000,"M1",B34&lt;500000,"M2",B34&lt;1000000,"G1",B34&gt;1000000,"G2")</f>
        <v>P3</v>
      </c>
      <c r="D34" s="13">
        <f>VLOOKUP(C34,Controle!A$2:H$9,8,FALSE)</f>
        <v>12.727954295488436</v>
      </c>
      <c r="E34" s="13">
        <f>VLOOKUP(C34,Controle!A$16:H$23,8,FALSE)</f>
        <v>4.4052177696212595</v>
      </c>
      <c r="F34" s="5">
        <f>VLOOKUP(A34,Educacional!A$2:P$405,16,FALSE)</f>
        <v>55.995838637936771</v>
      </c>
      <c r="G34" s="6">
        <f>VLOOKUP(A34,Demográfico!A$2:L$405,12,FALSE)</f>
        <v>46.190754619304258</v>
      </c>
      <c r="H34" s="7">
        <f>VLOOKUP(A34,Socioeconômico!A$2:M$405,13,FALSE)</f>
        <v>32.956850211535091</v>
      </c>
      <c r="I34" s="16">
        <f>(2*F34+G34+2*H34)/5/100</f>
        <v>0.44819226463649592</v>
      </c>
      <c r="J34" s="15">
        <f>VLOOKUP(A34,Demográfico!A$2:E$400,5,FALSE)/(VLOOKUP(C34,Controle!A$2:G$9,7,FALSE))*D34</f>
        <v>0.84350538034910805</v>
      </c>
      <c r="K34" s="15">
        <f>VLOOKUP(A34,Demográfico!A$2:E$400,5,FALSE)/(VLOOKUP(C34,Controle!A$16:G$24,7,FALSE))*E34</f>
        <v>0.29194203593283996</v>
      </c>
      <c r="L34" s="118">
        <f>((J34*(1+I34))+3*(I34+K34))/4</f>
        <v>0.86049021717721286</v>
      </c>
      <c r="M34" s="3">
        <v>1</v>
      </c>
      <c r="N34" s="88">
        <f>VLOOKUP(A34,Demográfico!A$2:E$400,5,FALSE)*I34</f>
        <v>3230.1216512352262</v>
      </c>
      <c r="O34" s="96">
        <f>FLOOR(L34,1)</f>
        <v>0</v>
      </c>
      <c r="P34" s="96">
        <f>L34-O34</f>
        <v>0.86049021717721286</v>
      </c>
      <c r="Q34" s="87">
        <f>RANK(P34,P$2:P$400,0)</f>
        <v>12</v>
      </c>
      <c r="R34" s="3">
        <f>O34+IF(Q34&lt;Q$1,1,0)</f>
        <v>1</v>
      </c>
      <c r="T34" s="87">
        <f>VLOOKUP(A34,Demográfico!A$2:E$400,5,FALSE)*(I34)</f>
        <v>3230.1216512352262</v>
      </c>
    </row>
    <row r="35" spans="1:20" ht="19.5" x14ac:dyDescent="0.25">
      <c r="A35" s="2" t="s">
        <v>40</v>
      </c>
      <c r="B35" s="37">
        <v>54369</v>
      </c>
      <c r="C35" s="4" t="str" cm="1">
        <f t="array" ref="C35">_xlfn.IFS(B35&lt;20000, "P1",B35&lt;40000, "P2",B35&lt;70000, "P3",B35&lt;100000, "P4",B35&lt;200000,"M1",B35&lt;500000,"M2",B35&lt;1000000,"G1",B35&gt;1000000,"G2")</f>
        <v>P3</v>
      </c>
      <c r="D35" s="13">
        <f>VLOOKUP(C35,Controle!A$2:H$9,8,FALSE)</f>
        <v>12.727954295488436</v>
      </c>
      <c r="E35" s="13">
        <f>VLOOKUP(C35,Controle!A$16:H$23,8,FALSE)</f>
        <v>4.4052177696212595</v>
      </c>
      <c r="F35" s="5">
        <f>VLOOKUP(A35,Educacional!A$2:P$405,16,FALSE)</f>
        <v>44.364029112811139</v>
      </c>
      <c r="G35" s="6">
        <f>VLOOKUP(A35,Demográfico!A$2:L$405,12,FALSE)</f>
        <v>54.951014068289631</v>
      </c>
      <c r="H35" s="7">
        <f>VLOOKUP(A35,Socioeconômico!A$2:M$405,13,FALSE)</f>
        <v>8.6096202514985816</v>
      </c>
      <c r="I35" s="16">
        <f>(2*F35+G35+2*H35)/5/100</f>
        <v>0.32179662559381811</v>
      </c>
      <c r="J35" s="15">
        <f>VLOOKUP(A35,Demográfico!A$2:E$400,5,FALSE)/(VLOOKUP(C35,Controle!A$2:G$9,7,FALSE))*D35</f>
        <v>0.81003201573417194</v>
      </c>
      <c r="K35" s="15">
        <f>VLOOKUP(A35,Demográfico!A$2:E$400,5,FALSE)/(VLOOKUP(C35,Controle!A$16:G$24,7,FALSE))*E35</f>
        <v>0.28035671301390114</v>
      </c>
      <c r="L35" s="118">
        <f>((J35*(1+I35))+3*(I35+K35))/4</f>
        <v>0.71928940021088628</v>
      </c>
      <c r="M35" s="3">
        <v>1</v>
      </c>
      <c r="N35" s="88">
        <f>VLOOKUP(A35,Demográfico!A$2:E$400,5,FALSE)*I35</f>
        <v>2227.154445734815</v>
      </c>
      <c r="O35" s="96">
        <f>FLOOR(L35,1)</f>
        <v>0</v>
      </c>
      <c r="P35" s="96">
        <f>L35-O35</f>
        <v>0.71928940021088628</v>
      </c>
      <c r="Q35" s="87">
        <f>RANK(P35,P$2:P$400,0)</f>
        <v>32</v>
      </c>
      <c r="R35" s="3">
        <f>O35+IF(Q35&lt;Q$1,1,0)</f>
        <v>1</v>
      </c>
      <c r="T35" s="87">
        <f>VLOOKUP(A35,Demográfico!A$2:E$400,5,FALSE)*(I35)</f>
        <v>2227.154445734815</v>
      </c>
    </row>
    <row r="36" spans="1:20" ht="19.5" x14ac:dyDescent="0.25">
      <c r="A36" s="2" t="s">
        <v>41</v>
      </c>
      <c r="B36" s="37">
        <v>51603</v>
      </c>
      <c r="C36" s="4" t="str" cm="1">
        <f t="array" ref="C36">_xlfn.IFS(B36&lt;20000, "P1",B36&lt;40000, "P2",B36&lt;70000, "P3",B36&lt;100000, "P4",B36&lt;200000,"M1",B36&lt;500000,"M2",B36&lt;1000000,"G1",B36&gt;1000000,"G2")</f>
        <v>P3</v>
      </c>
      <c r="D36" s="13">
        <f>VLOOKUP(C36,Controle!A$2:H$9,8,FALSE)</f>
        <v>12.727954295488436</v>
      </c>
      <c r="E36" s="13">
        <f>VLOOKUP(C36,Controle!A$16:H$23,8,FALSE)</f>
        <v>4.4052177696212595</v>
      </c>
      <c r="F36" s="5">
        <f>VLOOKUP(A36,Educacional!A$2:P$405,16,FALSE)</f>
        <v>44.544379208892245</v>
      </c>
      <c r="G36" s="6">
        <f>VLOOKUP(A36,Demográfico!A$2:L$405,12,FALSE)</f>
        <v>56.082721415543958</v>
      </c>
      <c r="H36" s="7">
        <f>VLOOKUP(A36,Socioeconômico!A$2:M$405,13,FALSE)</f>
        <v>34.618049093154632</v>
      </c>
      <c r="I36" s="16">
        <f>(2*F36+G36+2*H36)/5/100</f>
        <v>0.42881515603927539</v>
      </c>
      <c r="J36" s="15">
        <f>VLOOKUP(A36,Demográfico!A$2:E$400,5,FALSE)/(VLOOKUP(C36,Controle!A$2:G$9,7,FALSE))*D36</f>
        <v>0.80008363813882388</v>
      </c>
      <c r="K36" s="15">
        <f>VLOOKUP(A36,Demográfico!A$2:E$400,5,FALSE)/(VLOOKUP(C36,Controle!A$16:G$24,7,FALSE))*E36</f>
        <v>0.27691352263589492</v>
      </c>
      <c r="L36" s="118">
        <f>((J36*(1+I36))+3*(I36+K36))/4</f>
        <v>0.81508941607432639</v>
      </c>
      <c r="M36" s="3">
        <v>1</v>
      </c>
      <c r="N36" s="88">
        <f>VLOOKUP(A36,Demográfico!A$2:E$400,5,FALSE)*I36</f>
        <v>2931.3804066844864</v>
      </c>
      <c r="O36" s="96">
        <f>FLOOR(L36,1)</f>
        <v>0</v>
      </c>
      <c r="P36" s="96">
        <f>L36-O36</f>
        <v>0.81508941607432639</v>
      </c>
      <c r="Q36" s="87">
        <f>RANK(P36,P$2:P$400,0)</f>
        <v>18</v>
      </c>
      <c r="R36" s="3">
        <f>O36+IF(Q36&lt;Q$1,1,0)</f>
        <v>1</v>
      </c>
      <c r="T36" s="87">
        <f>VLOOKUP(A36,Demográfico!A$2:E$400,5,FALSE)*(I36)</f>
        <v>2931.3804066844864</v>
      </c>
    </row>
    <row r="37" spans="1:20" ht="19.5" x14ac:dyDescent="0.25">
      <c r="A37" s="2" t="s">
        <v>42</v>
      </c>
      <c r="B37" s="37">
        <v>49393</v>
      </c>
      <c r="C37" s="4" t="str" cm="1">
        <f t="array" ref="C37">_xlfn.IFS(B37&lt;20000, "P1",B37&lt;40000, "P2",B37&lt;70000, "P3",B37&lt;100000, "P4",B37&lt;200000,"M1",B37&lt;500000,"M2",B37&lt;1000000,"G1",B37&gt;1000000,"G2")</f>
        <v>P3</v>
      </c>
      <c r="D37" s="13">
        <f>VLOOKUP(C37,Controle!A$2:H$9,8,FALSE)</f>
        <v>12.727954295488436</v>
      </c>
      <c r="E37" s="13">
        <f>VLOOKUP(C37,Controle!A$16:H$23,8,FALSE)</f>
        <v>4.4052177696212595</v>
      </c>
      <c r="F37" s="5">
        <f>VLOOKUP(A37,Educacional!A$2:P$405,16,FALSE)</f>
        <v>68.040210895218848</v>
      </c>
      <c r="G37" s="6">
        <f>VLOOKUP(A37,Demográfico!A$2:L$405,12,FALSE)</f>
        <v>44.152550091561331</v>
      </c>
      <c r="H37" s="7">
        <f>VLOOKUP(A37,Socioeconômico!A$2:M$405,13,FALSE)</f>
        <v>45.78237115588901</v>
      </c>
      <c r="I37" s="16">
        <f>(2*F37+G37+2*H37)/5/100</f>
        <v>0.54359542838755415</v>
      </c>
      <c r="J37" s="15">
        <f>VLOOKUP(A37,Demográfico!A$2:E$400,5,FALSE)/(VLOOKUP(C37,Controle!A$2:G$9,7,FALSE))*D37</f>
        <v>0.7712918629805221</v>
      </c>
      <c r="K37" s="15">
        <f>VLOOKUP(A37,Demográfico!A$2:E$400,5,FALSE)/(VLOOKUP(C37,Controle!A$16:G$24,7,FALSE))*E37</f>
        <v>0.26694852460072371</v>
      </c>
      <c r="L37" s="118">
        <f>((J37*(1+I37))+3*(I37+K37))/4</f>
        <v>0.90554861315352186</v>
      </c>
      <c r="M37" s="3">
        <v>1</v>
      </c>
      <c r="N37" s="88">
        <f>VLOOKUP(A37,Demográfico!A$2:E$400,5,FALSE)*I37</f>
        <v>3582.293873073982</v>
      </c>
      <c r="O37" s="96">
        <f>FLOOR(L37,1)</f>
        <v>0</v>
      </c>
      <c r="P37" s="96">
        <f>L37-O37</f>
        <v>0.90554861315352186</v>
      </c>
      <c r="Q37" s="87">
        <f>RANK(P37,P$2:P$400,0)</f>
        <v>7</v>
      </c>
      <c r="R37" s="3">
        <f>O37+IF(Q37&lt;Q$1,1,0)</f>
        <v>1</v>
      </c>
      <c r="T37" s="87">
        <f>VLOOKUP(A37,Demográfico!A$2:E$400,5,FALSE)*(I37)</f>
        <v>3582.293873073982</v>
      </c>
    </row>
    <row r="38" spans="1:20" ht="19.5" x14ac:dyDescent="0.25">
      <c r="A38" s="2" t="s">
        <v>43</v>
      </c>
      <c r="B38" s="37">
        <v>48247</v>
      </c>
      <c r="C38" s="4" t="str" cm="1">
        <f t="array" ref="C38">_xlfn.IFS(B38&lt;20000, "P1",B38&lt;40000, "P2",B38&lt;70000, "P3",B38&lt;100000, "P4",B38&lt;200000,"M1",B38&lt;500000,"M2",B38&lt;1000000,"G1",B38&gt;1000000,"G2")</f>
        <v>P3</v>
      </c>
      <c r="D38" s="13">
        <f>VLOOKUP(C38,Controle!A$2:H$9,8,FALSE)</f>
        <v>12.727954295488436</v>
      </c>
      <c r="E38" s="13">
        <f>VLOOKUP(C38,Controle!A$16:H$23,8,FALSE)</f>
        <v>4.4052177696212595</v>
      </c>
      <c r="F38" s="5">
        <f>VLOOKUP(A38,Educacional!A$2:P$405,16,FALSE)</f>
        <v>71.469773711462125</v>
      </c>
      <c r="G38" s="6">
        <f>VLOOKUP(A38,Demográfico!A$2:L$405,12,FALSE)</f>
        <v>78.204142693833361</v>
      </c>
      <c r="H38" s="7">
        <f>VLOOKUP(A38,Socioeconômico!A$2:M$405,13,FALSE)</f>
        <v>38.166829684893578</v>
      </c>
      <c r="I38" s="16">
        <f>(2*F38+G38+2*H38)/5/100</f>
        <v>0.5949546989730895</v>
      </c>
      <c r="J38" s="15">
        <f>VLOOKUP(A38,Demográfico!A$2:E$400,5,FALSE)/(VLOOKUP(C38,Controle!A$2:G$9,7,FALSE))*D38</f>
        <v>0.90460012275818746</v>
      </c>
      <c r="K38" s="15">
        <f>VLOOKUP(A38,Demográfico!A$2:E$400,5,FALSE)/(VLOOKUP(C38,Controle!A$16:G$24,7,FALSE))*E38</f>
        <v>0.31308727566600814</v>
      </c>
      <c r="L38" s="118">
        <f>((J38*(1+I38))+3*(I38+K38))/4</f>
        <v>1.0417305351005244</v>
      </c>
      <c r="M38" s="3">
        <v>1</v>
      </c>
      <c r="N38" s="88">
        <f>VLOOKUP(A38,Demográfico!A$2:E$400,5,FALSE)*I38</f>
        <v>4598.404868363009</v>
      </c>
      <c r="O38" s="96">
        <f>FLOOR(L38,1)</f>
        <v>1</v>
      </c>
      <c r="P38" s="96">
        <f>L38-O38</f>
        <v>4.173053510052438E-2</v>
      </c>
      <c r="Q38" s="87">
        <f>RANK(P38,P$2:P$400,0)</f>
        <v>398</v>
      </c>
      <c r="R38" s="3">
        <f>O38+IF(Q38&lt;Q$1,1,0)</f>
        <v>1</v>
      </c>
      <c r="T38" s="87">
        <f>VLOOKUP(A38,Demográfico!A$2:E$400,5,FALSE)*(I38)</f>
        <v>4598.404868363009</v>
      </c>
    </row>
    <row r="39" spans="1:20" ht="19.5" x14ac:dyDescent="0.25">
      <c r="A39" s="2" t="s">
        <v>44</v>
      </c>
      <c r="B39" s="37">
        <v>47825</v>
      </c>
      <c r="C39" s="4" t="str" cm="1">
        <f t="array" ref="C39">_xlfn.IFS(B39&lt;20000, "P1",B39&lt;40000, "P2",B39&lt;70000, "P3",B39&lt;100000, "P4",B39&lt;200000,"M1",B39&lt;500000,"M2",B39&lt;1000000,"G1",B39&gt;1000000,"G2")</f>
        <v>P3</v>
      </c>
      <c r="D39" s="13">
        <f>VLOOKUP(C39,Controle!A$2:H$9,8,FALSE)</f>
        <v>12.727954295488436</v>
      </c>
      <c r="E39" s="13">
        <f>VLOOKUP(C39,Controle!A$16:H$23,8,FALSE)</f>
        <v>4.4052177696212595</v>
      </c>
      <c r="F39" s="5">
        <f>VLOOKUP(A39,Educacional!A$2:P$405,16,FALSE)</f>
        <v>62.356853491898292</v>
      </c>
      <c r="G39" s="6">
        <f>VLOOKUP(A39,Demográfico!A$2:L$405,12,FALSE)</f>
        <v>58.974280851528945</v>
      </c>
      <c r="H39" s="7">
        <f>VLOOKUP(A39,Socioeconômico!A$2:M$405,13,FALSE)</f>
        <v>32.621851964139623</v>
      </c>
      <c r="I39" s="16">
        <f>(2*F39+G39+2*H39)/5/100</f>
        <v>0.4978633835272096</v>
      </c>
      <c r="J39" s="15">
        <f>VLOOKUP(A39,Demográfico!A$2:E$400,5,FALSE)/(VLOOKUP(C39,Controle!A$2:G$9,7,FALSE))*D39</f>
        <v>0.84303722140344473</v>
      </c>
      <c r="K39" s="15">
        <f>VLOOKUP(A39,Demográfico!A$2:E$400,5,FALSE)/(VLOOKUP(C39,Controle!A$16:G$24,7,FALSE))*E39</f>
        <v>0.29178000344446325</v>
      </c>
      <c r="L39" s="118">
        <f>((J39*(1+I39))+3*(I39+K39))/4</f>
        <v>0.90792118645143982</v>
      </c>
      <c r="M39" s="3">
        <v>1</v>
      </c>
      <c r="N39" s="88">
        <f>VLOOKUP(A39,Demográfico!A$2:E$400,5,FALSE)*I39</f>
        <v>3586.1099515464907</v>
      </c>
      <c r="O39" s="96">
        <f>FLOOR(L39,1)</f>
        <v>0</v>
      </c>
      <c r="P39" s="96">
        <f>L39-O39</f>
        <v>0.90792118645143982</v>
      </c>
      <c r="Q39" s="87">
        <f>RANK(P39,P$2:P$400,0)</f>
        <v>6</v>
      </c>
      <c r="R39" s="3">
        <f>O39+IF(Q39&lt;Q$1,1,0)</f>
        <v>1</v>
      </c>
      <c r="T39" s="87">
        <f>VLOOKUP(A39,Demográfico!A$2:E$400,5,FALSE)*(I39)</f>
        <v>3586.1099515464907</v>
      </c>
    </row>
    <row r="40" spans="1:20" ht="19.5" x14ac:dyDescent="0.25">
      <c r="A40" s="2" t="s">
        <v>45</v>
      </c>
      <c r="B40" s="37">
        <v>45962</v>
      </c>
      <c r="C40" s="4" t="str" cm="1">
        <f t="array" ref="C40">_xlfn.IFS(B40&lt;20000, "P1",B40&lt;40000, "P2",B40&lt;70000, "P3",B40&lt;100000, "P4",B40&lt;200000,"M1",B40&lt;500000,"M2",B40&lt;1000000,"G1",B40&gt;1000000,"G2")</f>
        <v>P3</v>
      </c>
      <c r="D40" s="13">
        <f>VLOOKUP(C40,Controle!A$2:H$9,8,FALSE)</f>
        <v>12.727954295488436</v>
      </c>
      <c r="E40" s="13">
        <f>VLOOKUP(C40,Controle!A$16:H$23,8,FALSE)</f>
        <v>4.4052177696212595</v>
      </c>
      <c r="F40" s="5">
        <f>VLOOKUP(A40,Educacional!A$2:P$405,16,FALSE)</f>
        <v>52.928465199026775</v>
      </c>
      <c r="G40" s="6">
        <f>VLOOKUP(A40,Demográfico!A$2:L$405,12,FALSE)</f>
        <v>52.388047846233377</v>
      </c>
      <c r="H40" s="7">
        <f>VLOOKUP(A40,Socioeconômico!A$2:M$405,13,FALSE)</f>
        <v>39.855772081915667</v>
      </c>
      <c r="I40" s="16">
        <f>(2*F40+G40+2*H40)/5/100</f>
        <v>0.47591304481623653</v>
      </c>
      <c r="J40" s="15">
        <f>VLOOKUP(A40,Demográfico!A$2:E$400,5,FALSE)/(VLOOKUP(C40,Controle!A$2:G$9,7,FALSE))*D40</f>
        <v>0.7456601607054486</v>
      </c>
      <c r="K40" s="15">
        <f>VLOOKUP(A40,Demográfico!A$2:E$400,5,FALSE)/(VLOOKUP(C40,Controle!A$16:G$24,7,FALSE))*E40</f>
        <v>0.25807724586209568</v>
      </c>
      <c r="L40" s="118">
        <f>((J40*(1+I40))+3*(I40+K40))/4</f>
        <v>0.82562510755498475</v>
      </c>
      <c r="M40" s="3">
        <v>1</v>
      </c>
      <c r="N40" s="88">
        <f>VLOOKUP(A40,Demográfico!A$2:E$400,5,FALSE)*I40</f>
        <v>3032.0420085242431</v>
      </c>
      <c r="O40" s="96">
        <f>FLOOR(L40,1)</f>
        <v>0</v>
      </c>
      <c r="P40" s="96">
        <f>L40-O40</f>
        <v>0.82562510755498475</v>
      </c>
      <c r="Q40" s="87">
        <f>RANK(P40,P$2:P$400,0)</f>
        <v>16</v>
      </c>
      <c r="R40" s="3">
        <f>O40+IF(Q40&lt;Q$1,1,0)</f>
        <v>1</v>
      </c>
      <c r="T40" s="87">
        <f>VLOOKUP(A40,Demográfico!A$2:E$400,5,FALSE)*(I40)</f>
        <v>3032.0420085242431</v>
      </c>
    </row>
    <row r="41" spans="1:20" ht="19.5" x14ac:dyDescent="0.25">
      <c r="A41" s="2" t="s">
        <v>46</v>
      </c>
      <c r="B41" s="37">
        <v>45206</v>
      </c>
      <c r="C41" s="4" t="str" cm="1">
        <f t="array" ref="C41">_xlfn.IFS(B41&lt;20000, "P1",B41&lt;40000, "P2",B41&lt;70000, "P3",B41&lt;100000, "P4",B41&lt;200000,"M1",B41&lt;500000,"M2",B41&lt;1000000,"G1",B41&gt;1000000,"G2")</f>
        <v>P3</v>
      </c>
      <c r="D41" s="13">
        <f>VLOOKUP(C41,Controle!A$2:H$9,8,FALSE)</f>
        <v>12.727954295488436</v>
      </c>
      <c r="E41" s="13">
        <f>VLOOKUP(C41,Controle!A$16:H$23,8,FALSE)</f>
        <v>4.4052177696212595</v>
      </c>
      <c r="F41" s="5">
        <f>VLOOKUP(A41,Educacional!A$2:P$405,16,FALSE)</f>
        <v>57.898640073672738</v>
      </c>
      <c r="G41" s="6">
        <f>VLOOKUP(A41,Demográfico!A$2:L$405,12,FALSE)</f>
        <v>33.91660138366904</v>
      </c>
      <c r="H41" s="7">
        <f>VLOOKUP(A41,Socioeconômico!A$2:M$405,13,FALSE)</f>
        <v>23.427535423480879</v>
      </c>
      <c r="I41" s="16">
        <f>(2*F41+G41+2*H41)/5/100</f>
        <v>0.39313790475595256</v>
      </c>
      <c r="J41" s="15">
        <f>VLOOKUP(A41,Demográfico!A$2:E$400,5,FALSE)/(VLOOKUP(C41,Controle!A$2:G$9,7,FALSE))*D41</f>
        <v>0.58461348339722419</v>
      </c>
      <c r="K41" s="15">
        <f>VLOOKUP(A41,Demográfico!A$2:E$400,5,FALSE)/(VLOOKUP(C41,Controle!A$16:G$24,7,FALSE))*E41</f>
        <v>0.20233806986048783</v>
      </c>
      <c r="L41" s="118">
        <f>((J41*(1+I41))+3*(I41+K41))/4</f>
        <v>0.65021878180035231</v>
      </c>
      <c r="M41" s="3">
        <v>1</v>
      </c>
      <c r="N41" s="88">
        <f>VLOOKUP(A41,Demográfico!A$2:E$400,5,FALSE)*I41</f>
        <v>1963.7238342559831</v>
      </c>
      <c r="O41" s="96">
        <f>FLOOR(L41,1)</f>
        <v>0</v>
      </c>
      <c r="P41" s="96">
        <f>L41-O41</f>
        <v>0.65021878180035231</v>
      </c>
      <c r="Q41" s="87">
        <f>RANK(P41,P$2:P$400,0)</f>
        <v>50</v>
      </c>
      <c r="R41" s="3">
        <f>O41+IF(Q41&lt;Q$1,1,0)</f>
        <v>1</v>
      </c>
      <c r="T41" s="87">
        <f>VLOOKUP(A41,Demográfico!A$2:E$400,5,FALSE)*(I41)</f>
        <v>1963.7238342559831</v>
      </c>
    </row>
    <row r="42" spans="1:20" ht="19.5" x14ac:dyDescent="0.25">
      <c r="A42" s="2" t="s">
        <v>47</v>
      </c>
      <c r="B42" s="37">
        <v>45003</v>
      </c>
      <c r="C42" s="4" t="str" cm="1">
        <f t="array" ref="C42">_xlfn.IFS(B42&lt;20000, "P1",B42&lt;40000, "P2",B42&lt;70000, "P3",B42&lt;100000, "P4",B42&lt;200000,"M1",B42&lt;500000,"M2",B42&lt;1000000,"G1",B42&gt;1000000,"G2")</f>
        <v>P3</v>
      </c>
      <c r="D42" s="13">
        <f>VLOOKUP(C42,Controle!A$2:H$9,8,FALSE)</f>
        <v>12.727954295488436</v>
      </c>
      <c r="E42" s="13">
        <f>VLOOKUP(C42,Controle!A$16:H$23,8,FALSE)</f>
        <v>4.4052177696212595</v>
      </c>
      <c r="F42" s="5">
        <f>VLOOKUP(A42,Educacional!A$2:P$405,16,FALSE)</f>
        <v>66.202104995409414</v>
      </c>
      <c r="G42" s="6">
        <f>VLOOKUP(A42,Demográfico!A$2:L$405,12,FALSE)</f>
        <v>50.004905058722493</v>
      </c>
      <c r="H42" s="7">
        <f>VLOOKUP(A42,Socioeconômico!A$2:M$405,13,FALSE)</f>
        <v>33.922885413188133</v>
      </c>
      <c r="I42" s="16">
        <f>(2*F42+G42+2*H42)/5/100</f>
        <v>0.5005097717518352</v>
      </c>
      <c r="J42" s="15">
        <f>VLOOKUP(A42,Demográfico!A$2:E$400,5,FALSE)/(VLOOKUP(C42,Controle!A$2:G$9,7,FALSE))*D42</f>
        <v>0.69521603431021251</v>
      </c>
      <c r="K42" s="15">
        <f>VLOOKUP(A42,Demográfico!A$2:E$400,5,FALSE)/(VLOOKUP(C42,Controle!A$16:G$24,7,FALSE))*E42</f>
        <v>0.24061824523949904</v>
      </c>
      <c r="L42" s="118">
        <f>((J42*(1+I42))+3*(I42+K42))/4</f>
        <v>0.81664062598375886</v>
      </c>
      <c r="M42" s="3">
        <v>1</v>
      </c>
      <c r="N42" s="88">
        <f>VLOOKUP(A42,Demográfico!A$2:E$400,5,FALSE)*I42</f>
        <v>2973.0280442059011</v>
      </c>
      <c r="O42" s="96">
        <f>FLOOR(L42,1)</f>
        <v>0</v>
      </c>
      <c r="P42" s="96">
        <f>L42-O42</f>
        <v>0.81664062598375886</v>
      </c>
      <c r="Q42" s="87">
        <f>RANK(P42,P$2:P$400,0)</f>
        <v>17</v>
      </c>
      <c r="R42" s="3">
        <f>O42+IF(Q42&lt;Q$1,1,0)</f>
        <v>1</v>
      </c>
      <c r="T42" s="87">
        <f>VLOOKUP(A42,Demográfico!A$2:E$400,5,FALSE)*(I42)</f>
        <v>2973.0280442059011</v>
      </c>
    </row>
    <row r="43" spans="1:20" ht="19.5" x14ac:dyDescent="0.25">
      <c r="A43" s="2" t="s">
        <v>48</v>
      </c>
      <c r="B43" s="37">
        <v>44869</v>
      </c>
      <c r="C43" s="4" t="str" cm="1">
        <f t="array" ref="C43">_xlfn.IFS(B43&lt;20000, "P1",B43&lt;40000, "P2",B43&lt;70000, "P3",B43&lt;100000, "P4",B43&lt;200000,"M1",B43&lt;500000,"M2",B43&lt;1000000,"G1",B43&gt;1000000,"G2")</f>
        <v>P3</v>
      </c>
      <c r="D43" s="13">
        <f>VLOOKUP(C43,Controle!A$2:H$9,8,FALSE)</f>
        <v>12.727954295488436</v>
      </c>
      <c r="E43" s="13">
        <f>VLOOKUP(C43,Controle!A$16:H$23,8,FALSE)</f>
        <v>4.4052177696212595</v>
      </c>
      <c r="F43" s="5">
        <f>VLOOKUP(A43,Educacional!A$2:P$405,16,FALSE)</f>
        <v>45.691604285692158</v>
      </c>
      <c r="G43" s="6">
        <f>VLOOKUP(A43,Demográfico!A$2:L$405,12,FALSE)</f>
        <v>46.06327137852805</v>
      </c>
      <c r="H43" s="7">
        <f>VLOOKUP(A43,Socioeconômico!A$2:M$405,13,FALSE)</f>
        <v>18.167620569213771</v>
      </c>
      <c r="I43" s="16">
        <f>(2*F43+G43+2*H43)/5/100</f>
        <v>0.34756344217667978</v>
      </c>
      <c r="J43" s="15">
        <f>VLOOKUP(A43,Demográfico!A$2:E$400,5,FALSE)/(VLOOKUP(C43,Controle!A$2:G$9,7,FALSE))*D43</f>
        <v>0.67672375595650658</v>
      </c>
      <c r="K43" s="15">
        <f>VLOOKUP(A43,Demográfico!A$2:E$400,5,FALSE)/(VLOOKUP(C43,Controle!A$16:G$24,7,FALSE))*E43</f>
        <v>0.23421796194861674</v>
      </c>
      <c r="L43" s="118">
        <f>((J43*(1+I43))+3*(I43+K43))/4</f>
        <v>0.66431810158884275</v>
      </c>
      <c r="M43" s="3">
        <v>1</v>
      </c>
      <c r="N43" s="88">
        <f>VLOOKUP(A43,Demográfico!A$2:E$400,5,FALSE)*I43</f>
        <v>2009.6118226655626</v>
      </c>
      <c r="O43" s="96">
        <f>FLOOR(L43,1)</f>
        <v>0</v>
      </c>
      <c r="P43" s="96">
        <f>L43-O43</f>
        <v>0.66431810158884275</v>
      </c>
      <c r="Q43" s="87">
        <f>RANK(P43,P$2:P$400,0)</f>
        <v>46</v>
      </c>
      <c r="R43" s="3">
        <f>O43+IF(Q43&lt;Q$1,1,0)</f>
        <v>1</v>
      </c>
      <c r="T43" s="87">
        <f>VLOOKUP(A43,Demográfico!A$2:E$400,5,FALSE)*(I43)</f>
        <v>2009.6118226655626</v>
      </c>
    </row>
    <row r="44" spans="1:20" ht="19.5" x14ac:dyDescent="0.25">
      <c r="A44" s="2" t="s">
        <v>49</v>
      </c>
      <c r="B44" s="37">
        <v>44369</v>
      </c>
      <c r="C44" s="4" t="str" cm="1">
        <f t="array" ref="C44">_xlfn.IFS(B44&lt;20000, "P1",B44&lt;40000, "P2",B44&lt;70000, "P3",B44&lt;100000, "P4",B44&lt;200000,"M1",B44&lt;500000,"M2",B44&lt;1000000,"G1",B44&gt;1000000,"G2")</f>
        <v>P3</v>
      </c>
      <c r="D44" s="13">
        <f>VLOOKUP(C44,Controle!A$2:H$9,8,FALSE)</f>
        <v>12.727954295488436</v>
      </c>
      <c r="E44" s="13">
        <f>VLOOKUP(C44,Controle!A$16:H$23,8,FALSE)</f>
        <v>4.4052177696212595</v>
      </c>
      <c r="F44" s="5">
        <f>VLOOKUP(A44,Educacional!A$2:P$405,16,FALSE)</f>
        <v>69.328159118439231</v>
      </c>
      <c r="G44" s="6">
        <f>VLOOKUP(A44,Demográfico!A$2:L$405,12,FALSE)</f>
        <v>44.283446434435</v>
      </c>
      <c r="H44" s="7">
        <f>VLOOKUP(A44,Socioeconômico!A$2:M$405,13,FALSE)</f>
        <v>41.985561268951258</v>
      </c>
      <c r="I44" s="16">
        <f>(2*F44+G44+2*H44)/5/100</f>
        <v>0.53382177441843193</v>
      </c>
      <c r="J44" s="15">
        <f>VLOOKUP(A44,Demográfico!A$2:E$400,5,FALSE)/(VLOOKUP(C44,Controle!A$2:G$9,7,FALSE))*D44</f>
        <v>0.68479949776920102</v>
      </c>
      <c r="K44" s="15">
        <f>VLOOKUP(A44,Demográfico!A$2:E$400,5,FALSE)/(VLOOKUP(C44,Controle!A$16:G$24,7,FALSE))*E44</f>
        <v>0.23701302237311597</v>
      </c>
      <c r="L44" s="118">
        <f>((J44*(1+I44))+3*(I44+K44))/4</f>
        <v>0.84071619279096255</v>
      </c>
      <c r="M44" s="3">
        <v>1</v>
      </c>
      <c r="N44" s="88">
        <f>VLOOKUP(A44,Demográfico!A$2:E$400,5,FALSE)*I44</f>
        <v>3123.3912021222454</v>
      </c>
      <c r="O44" s="96">
        <f>FLOOR(L44,1)</f>
        <v>0</v>
      </c>
      <c r="P44" s="96">
        <f>L44-O44</f>
        <v>0.84071619279096255</v>
      </c>
      <c r="Q44" s="87">
        <f>RANK(P44,P$2:P$400,0)</f>
        <v>14</v>
      </c>
      <c r="R44" s="3">
        <f>O44+IF(Q44&lt;Q$1,1,0)</f>
        <v>1</v>
      </c>
      <c r="T44" s="87">
        <f>VLOOKUP(A44,Demográfico!A$2:E$400,5,FALSE)*(I44)</f>
        <v>3123.3912021222454</v>
      </c>
    </row>
    <row r="45" spans="1:20" ht="19.5" x14ac:dyDescent="0.25">
      <c r="A45" s="2" t="s">
        <v>50</v>
      </c>
      <c r="B45" s="37">
        <v>42366</v>
      </c>
      <c r="C45" s="4" t="str" cm="1">
        <f t="array" ref="C45">_xlfn.IFS(B45&lt;20000, "P1",B45&lt;40000, "P2",B45&lt;70000, "P3",B45&lt;100000, "P4",B45&lt;200000,"M1",B45&lt;500000,"M2",B45&lt;1000000,"G1",B45&gt;1000000,"G2")</f>
        <v>P3</v>
      </c>
      <c r="D45" s="13">
        <f>VLOOKUP(C45,Controle!A$2:H$9,8,FALSE)</f>
        <v>12.727954295488436</v>
      </c>
      <c r="E45" s="13">
        <f>VLOOKUP(C45,Controle!A$16:H$23,8,FALSE)</f>
        <v>4.4052177696212595</v>
      </c>
      <c r="F45" s="5">
        <f>VLOOKUP(A45,Educacional!A$2:P$405,16,FALSE)</f>
        <v>60.621363590151766</v>
      </c>
      <c r="G45" s="6">
        <f>VLOOKUP(A45,Demográfico!A$2:L$405,12,FALSE)</f>
        <v>53.257957824811861</v>
      </c>
      <c r="H45" s="7">
        <f>VLOOKUP(A45,Socioeconômico!A$2:M$405,13,FALSE)</f>
        <v>33.140469897612789</v>
      </c>
      <c r="I45" s="16">
        <f>(2*F45+G45+2*H45)/5/100</f>
        <v>0.48156324960068198</v>
      </c>
      <c r="J45" s="15">
        <f>VLOOKUP(A45,Demográfico!A$2:E$400,5,FALSE)/(VLOOKUP(C45,Controle!A$2:G$9,7,FALSE))*D45</f>
        <v>0.67297848439119912</v>
      </c>
      <c r="K45" s="15">
        <f>VLOOKUP(A45,Demográfico!A$2:E$400,5,FALSE)/(VLOOKUP(C45,Controle!A$16:G$24,7,FALSE))*E45</f>
        <v>0.23292170204160262</v>
      </c>
      <c r="L45" s="118">
        <f>((J45*(1+I45))+3*(I45+K45))/4</f>
        <v>0.78512876129320519</v>
      </c>
      <c r="M45" s="3">
        <v>1</v>
      </c>
      <c r="N45" s="88">
        <f>VLOOKUP(A45,Demográfico!A$2:E$400,5,FALSE)*I45</f>
        <v>2768.9886852039212</v>
      </c>
      <c r="O45" s="96">
        <f>FLOOR(L45,1)</f>
        <v>0</v>
      </c>
      <c r="P45" s="96">
        <f>L45-O45</f>
        <v>0.78512876129320519</v>
      </c>
      <c r="Q45" s="87">
        <f>RANK(P45,P$2:P$400,0)</f>
        <v>21</v>
      </c>
      <c r="R45" s="3">
        <f>O45+IF(Q45&lt;Q$1,1,0)</f>
        <v>1</v>
      </c>
      <c r="T45" s="87">
        <f>VLOOKUP(A45,Demográfico!A$2:E$400,5,FALSE)*(I45)</f>
        <v>2768.9886852039212</v>
      </c>
    </row>
    <row r="46" spans="1:20" ht="19.5" x14ac:dyDescent="0.25">
      <c r="A46" s="2" t="s">
        <v>51</v>
      </c>
      <c r="B46" s="37">
        <v>42062</v>
      </c>
      <c r="C46" s="4" t="str" cm="1">
        <f t="array" ref="C46">_xlfn.IFS(B46&lt;20000, "P1",B46&lt;40000, "P2",B46&lt;70000, "P3",B46&lt;100000, "P4",B46&lt;200000,"M1",B46&lt;500000,"M2",B46&lt;1000000,"G1",B46&gt;1000000,"G2")</f>
        <v>P3</v>
      </c>
      <c r="D46" s="13">
        <f>VLOOKUP(C46,Controle!A$2:H$9,8,FALSE)</f>
        <v>12.727954295488436</v>
      </c>
      <c r="E46" s="13">
        <f>VLOOKUP(C46,Controle!A$16:H$23,8,FALSE)</f>
        <v>4.4052177696212595</v>
      </c>
      <c r="F46" s="5">
        <f>VLOOKUP(A46,Educacional!A$2:P$405,16,FALSE)</f>
        <v>27.172292361646921</v>
      </c>
      <c r="G46" s="6">
        <f>VLOOKUP(A46,Demográfico!A$2:L$405,12,FALSE)</f>
        <v>52.528426527383132</v>
      </c>
      <c r="H46" s="7">
        <f>VLOOKUP(A46,Socioeconômico!A$2:M$405,13,FALSE)</f>
        <v>46.808995918233613</v>
      </c>
      <c r="I46" s="16">
        <f>(2*F46+G46+2*H46)/5/100</f>
        <v>0.40098200617428836</v>
      </c>
      <c r="J46" s="15">
        <f>VLOOKUP(A46,Demográfico!A$2:E$400,5,FALSE)/(VLOOKUP(C46,Controle!A$2:G$9,7,FALSE))*D46</f>
        <v>0.72272037236793985</v>
      </c>
      <c r="K46" s="15">
        <f>VLOOKUP(A46,Demográfico!A$2:E$400,5,FALSE)/(VLOOKUP(C46,Controle!A$16:G$24,7,FALSE))*E46</f>
        <v>0.25013765393163412</v>
      </c>
      <c r="L46" s="118">
        <f>((J46*(1+I46))+3*(I46+K46))/4</f>
        <v>0.74146930437520808</v>
      </c>
      <c r="M46" s="3">
        <v>1</v>
      </c>
      <c r="N46" s="88">
        <f>VLOOKUP(A46,Demográfico!A$2:E$400,5,FALSE)*I46</f>
        <v>2476.0638881262307</v>
      </c>
      <c r="O46" s="96">
        <f>FLOOR(L46,1)</f>
        <v>0</v>
      </c>
      <c r="P46" s="96">
        <f>L46-O46</f>
        <v>0.74146930437520808</v>
      </c>
      <c r="Q46" s="87">
        <f>RANK(P46,P$2:P$400,0)</f>
        <v>26</v>
      </c>
      <c r="R46" s="3">
        <f>O46+IF(Q46&lt;Q$1,1,0)</f>
        <v>1</v>
      </c>
      <c r="T46" s="87">
        <f>VLOOKUP(A46,Demográfico!A$2:E$400,5,FALSE)*(I46)</f>
        <v>2476.0638881262307</v>
      </c>
    </row>
    <row r="47" spans="1:20" ht="19.5" x14ac:dyDescent="0.25">
      <c r="A47" s="2" t="s">
        <v>52</v>
      </c>
      <c r="B47" s="37">
        <v>41851</v>
      </c>
      <c r="C47" s="4" t="str" cm="1">
        <f t="array" ref="C47">_xlfn.IFS(B47&lt;20000, "P1",B47&lt;40000, "P2",B47&lt;70000, "P3",B47&lt;100000, "P4",B47&lt;200000,"M1",B47&lt;500000,"M2",B47&lt;1000000,"G1",B47&gt;1000000,"G2")</f>
        <v>P3</v>
      </c>
      <c r="D47" s="13">
        <f>VLOOKUP(C47,Controle!A$2:H$9,8,FALSE)</f>
        <v>12.727954295488436</v>
      </c>
      <c r="E47" s="13">
        <f>VLOOKUP(C47,Controle!A$16:H$23,8,FALSE)</f>
        <v>4.4052177696212595</v>
      </c>
      <c r="F47" s="5">
        <f>VLOOKUP(A47,Educacional!A$2:P$405,16,FALSE)</f>
        <v>49.335349514390138</v>
      </c>
      <c r="G47" s="6">
        <f>VLOOKUP(A47,Demográfico!A$2:L$405,12,FALSE)</f>
        <v>56.088550734969033</v>
      </c>
      <c r="H47" s="7">
        <f>VLOOKUP(A47,Socioeconômico!A$2:M$405,13,FALSE)</f>
        <v>27.884883132447445</v>
      </c>
      <c r="I47" s="16">
        <f>(2*F47+G47+2*H47)/5/100</f>
        <v>0.42105803205728842</v>
      </c>
      <c r="J47" s="15">
        <f>VLOOKUP(A47,Demográfico!A$2:E$400,5,FALSE)/(VLOOKUP(C47,Controle!A$2:G$9,7,FALSE))*D47</f>
        <v>0.63739840452077745</v>
      </c>
      <c r="K47" s="15">
        <f>VLOOKUP(A47,Demográfico!A$2:E$400,5,FALSE)/(VLOOKUP(C47,Controle!A$16:G$24,7,FALSE))*E47</f>
        <v>0.22060723292496834</v>
      </c>
      <c r="L47" s="118">
        <f>((J47*(1+I47))+3*(I47+K47))/4</f>
        <v>0.70769397932788036</v>
      </c>
      <c r="M47" s="3">
        <v>1</v>
      </c>
      <c r="N47" s="88">
        <f>VLOOKUP(A47,Demográfico!A$2:E$400,5,FALSE)*I47</f>
        <v>2293.0820425839929</v>
      </c>
      <c r="O47" s="96">
        <f>FLOOR(L47,1)</f>
        <v>0</v>
      </c>
      <c r="P47" s="96">
        <f>L47-O47</f>
        <v>0.70769397932788036</v>
      </c>
      <c r="Q47" s="87">
        <f>RANK(P47,P$2:P$400,0)</f>
        <v>34</v>
      </c>
      <c r="R47" s="3">
        <f>O47+IF(Q47&lt;Q$1,1,0)</f>
        <v>1</v>
      </c>
      <c r="T47" s="87">
        <f>VLOOKUP(A47,Demográfico!A$2:E$400,5,FALSE)*(I47)</f>
        <v>2293.0820425839929</v>
      </c>
    </row>
    <row r="48" spans="1:20" ht="19.5" x14ac:dyDescent="0.25">
      <c r="A48" s="2" t="s">
        <v>53</v>
      </c>
      <c r="B48" s="37">
        <v>40375</v>
      </c>
      <c r="C48" s="4" t="str" cm="1">
        <f t="array" ref="C48">_xlfn.IFS(B48&lt;20000, "P1",B48&lt;40000, "P2",B48&lt;70000, "P3",B48&lt;100000, "P4",B48&lt;200000,"M1",B48&lt;500000,"M2",B48&lt;1000000,"G1",B48&gt;1000000,"G2")</f>
        <v>P3</v>
      </c>
      <c r="D48" s="13">
        <f>VLOOKUP(C48,Controle!A$2:H$9,8,FALSE)</f>
        <v>12.727954295488436</v>
      </c>
      <c r="E48" s="13">
        <f>VLOOKUP(C48,Controle!A$16:H$23,8,FALSE)</f>
        <v>4.4052177696212595</v>
      </c>
      <c r="F48" s="5">
        <f>VLOOKUP(A48,Educacional!A$2:P$405,16,FALSE)</f>
        <v>45.981453491342677</v>
      </c>
      <c r="G48" s="6">
        <f>VLOOKUP(A48,Demográfico!A$2:L$405,12,FALSE)</f>
        <v>42.94876214773771</v>
      </c>
      <c r="H48" s="7">
        <f>VLOOKUP(A48,Socioeconômico!A$2:M$405,13,FALSE)</f>
        <v>36.809499199456219</v>
      </c>
      <c r="I48" s="16">
        <f>(2*F48+G48+2*H48)/5/100</f>
        <v>0.41706133505867099</v>
      </c>
      <c r="J48" s="15">
        <f>VLOOKUP(A48,Demográfico!A$2:E$400,5,FALSE)/(VLOOKUP(C48,Controle!A$2:G$9,7,FALSE))*D48</f>
        <v>0.62452403351503272</v>
      </c>
      <c r="K48" s="15">
        <f>VLOOKUP(A48,Demográfico!A$2:E$400,5,FALSE)/(VLOOKUP(C48,Controle!A$16:G$24,7,FALSE))*E48</f>
        <v>0.21615133949460721</v>
      </c>
      <c r="L48" s="118">
        <f>((J48*(1+I48))+3*(I48+K48))/4</f>
        <v>0.69615672109221827</v>
      </c>
      <c r="M48" s="3">
        <v>1</v>
      </c>
      <c r="N48" s="88">
        <f>VLOOKUP(A48,Demográfico!A$2:E$400,5,FALSE)*I48</f>
        <v>2225.4392838730682</v>
      </c>
      <c r="O48" s="96">
        <f>FLOOR(L48,1)</f>
        <v>0</v>
      </c>
      <c r="P48" s="96">
        <f>L48-O48</f>
        <v>0.69615672109221827</v>
      </c>
      <c r="Q48" s="87">
        <f>RANK(P48,P$2:P$400,0)</f>
        <v>36</v>
      </c>
      <c r="R48" s="3">
        <f>O48+IF(Q48&lt;Q$1,1,0)</f>
        <v>1</v>
      </c>
      <c r="T48" s="87">
        <f>VLOOKUP(A48,Demográfico!A$2:E$400,5,FALSE)*(I48)</f>
        <v>2225.4392838730682</v>
      </c>
    </row>
    <row r="49" spans="1:20" ht="19.5" x14ac:dyDescent="0.25">
      <c r="A49" s="2" t="s">
        <v>54</v>
      </c>
      <c r="B49" s="37">
        <v>39259</v>
      </c>
      <c r="C49" s="4" t="str" cm="1">
        <f t="array" ref="C49">_xlfn.IFS(B49&lt;20000, "P1",B49&lt;40000, "P2",B49&lt;70000, "P3",B49&lt;100000, "P4",B49&lt;200000,"M1",B49&lt;500000,"M2",B49&lt;1000000,"G1",B49&gt;1000000,"G2")</f>
        <v>P2</v>
      </c>
      <c r="D49" s="13">
        <f>VLOOKUP(C49,Controle!A$2:H$9,8,FALSE)</f>
        <v>20.095371623394037</v>
      </c>
      <c r="E49" s="13">
        <f>VLOOKUP(C49,Controle!A$16:H$23,8,FALSE)</f>
        <v>6.9551230392064429</v>
      </c>
      <c r="F49" s="5">
        <f>VLOOKUP(A49,Educacional!A$2:P$405,16,FALSE)</f>
        <v>50.079768421486335</v>
      </c>
      <c r="G49" s="6">
        <f>VLOOKUP(A49,Demográfico!A$2:L$405,12,FALSE)</f>
        <v>55.804533436387246</v>
      </c>
      <c r="H49" s="7">
        <f>VLOOKUP(A49,Socioeconômico!A$2:M$405,13,FALSE)</f>
        <v>40.32796977660351</v>
      </c>
      <c r="I49" s="16">
        <f>(2*F49+G49+2*H49)/5/100</f>
        <v>0.4732400196651339</v>
      </c>
      <c r="J49" s="15">
        <f>VLOOKUP(A49,Demográfico!A$2:E$400,5,FALSE)/(VLOOKUP(C49,Controle!A$2:G$9,7,FALSE))*D49</f>
        <v>0.62393883483295343</v>
      </c>
      <c r="K49" s="15">
        <f>VLOOKUP(A49,Demográfico!A$2:E$400,5,FALSE)/(VLOOKUP(C49,Controle!A$16:G$24,7,FALSE))*E49</f>
        <v>0.21594879888413629</v>
      </c>
      <c r="L49" s="118">
        <f>((J49*(1+I49))+3*(I49+K49))/4</f>
        <v>0.74669452923673785</v>
      </c>
      <c r="M49" s="3">
        <v>1</v>
      </c>
      <c r="N49" s="88">
        <f>VLOOKUP(A49,Demográfico!A$2:E$400,5,FALSE)*I49</f>
        <v>2522.8425448348289</v>
      </c>
      <c r="O49" s="96">
        <f>FLOOR(L49,1)</f>
        <v>0</v>
      </c>
      <c r="P49" s="96">
        <f>L49-O49</f>
        <v>0.74669452923673785</v>
      </c>
      <c r="Q49" s="87">
        <f>RANK(P49,P$2:P$400,0)</f>
        <v>24</v>
      </c>
      <c r="R49" s="3">
        <f>O49+IF(Q49&lt;Q$1,1,0)</f>
        <v>1</v>
      </c>
      <c r="T49" s="87">
        <f>VLOOKUP(A49,Demográfico!A$2:E$400,5,FALSE)*(I49)</f>
        <v>2522.8425448348289</v>
      </c>
    </row>
    <row r="50" spans="1:20" ht="19.5" x14ac:dyDescent="0.25">
      <c r="A50" s="2" t="s">
        <v>55</v>
      </c>
      <c r="B50" s="37">
        <v>37558</v>
      </c>
      <c r="C50" s="4" t="str" cm="1">
        <f t="array" ref="C50">_xlfn.IFS(B50&lt;20000, "P1",B50&lt;40000, "P2",B50&lt;70000, "P3",B50&lt;100000, "P4",B50&lt;200000,"M1",B50&lt;500000,"M2",B50&lt;1000000,"G1",B50&gt;1000000,"G2")</f>
        <v>P2</v>
      </c>
      <c r="D50" s="13">
        <f>VLOOKUP(C50,Controle!A$2:H$9,8,FALSE)</f>
        <v>20.095371623394037</v>
      </c>
      <c r="E50" s="13">
        <f>VLOOKUP(C50,Controle!A$16:H$23,8,FALSE)</f>
        <v>6.9551230392064429</v>
      </c>
      <c r="F50" s="5">
        <f>VLOOKUP(A50,Educacional!A$2:P$405,16,FALSE)</f>
        <v>72.472036249102203</v>
      </c>
      <c r="G50" s="6">
        <f>VLOOKUP(A50,Demográfico!A$2:L$405,12,FALSE)</f>
        <v>46.60777933401409</v>
      </c>
      <c r="H50" s="7">
        <f>VLOOKUP(A50,Socioeconômico!A$2:M$405,13,FALSE)</f>
        <v>46.594697609066017</v>
      </c>
      <c r="I50" s="16">
        <f>(2*F50+G50+2*H50)/5/100</f>
        <v>0.56948249410070106</v>
      </c>
      <c r="J50" s="15">
        <f>VLOOKUP(A50,Demográfico!A$2:E$400,5,FALSE)/(VLOOKUP(C50,Controle!A$2:G$9,7,FALSE))*D50</f>
        <v>0.65144317289068066</v>
      </c>
      <c r="K50" s="15">
        <f>VLOOKUP(A50,Demográfico!A$2:E$400,5,FALSE)/(VLOOKUP(C50,Controle!A$16:G$24,7,FALSE))*E50</f>
        <v>0.22546820757627134</v>
      </c>
      <c r="L50" s="118">
        <f>((J50*(1+I50))+3*(I50+K50))/4</f>
        <v>0.85182019019606414</v>
      </c>
      <c r="M50" s="3">
        <v>1</v>
      </c>
      <c r="N50" s="88">
        <f>VLOOKUP(A50,Demográfico!A$2:E$400,5,FALSE)*I50</f>
        <v>3169.7395621645023</v>
      </c>
      <c r="O50" s="96">
        <f>FLOOR(L50,1)</f>
        <v>0</v>
      </c>
      <c r="P50" s="96">
        <f>L50-O50</f>
        <v>0.85182019019606414</v>
      </c>
      <c r="Q50" s="87">
        <f>RANK(P50,P$2:P$400,0)</f>
        <v>13</v>
      </c>
      <c r="R50" s="3">
        <f>O50+IF(Q50&lt;Q$1,1,0)</f>
        <v>1</v>
      </c>
      <c r="T50" s="87">
        <f>VLOOKUP(A50,Demográfico!A$2:E$400,5,FALSE)*(I50)</f>
        <v>3169.7395621645023</v>
      </c>
    </row>
    <row r="51" spans="1:20" ht="19.5" x14ac:dyDescent="0.25">
      <c r="A51" s="2" t="s">
        <v>56</v>
      </c>
      <c r="B51" s="37">
        <v>36808</v>
      </c>
      <c r="C51" s="4" t="str" cm="1">
        <f t="array" ref="C51">_xlfn.IFS(B51&lt;20000, "P1",B51&lt;40000, "P2",B51&lt;70000, "P3",B51&lt;100000, "P4",B51&lt;200000,"M1",B51&lt;500000,"M2",B51&lt;1000000,"G1",B51&gt;1000000,"G2")</f>
        <v>P2</v>
      </c>
      <c r="D51" s="13">
        <f>VLOOKUP(C51,Controle!A$2:H$9,8,FALSE)</f>
        <v>20.095371623394037</v>
      </c>
      <c r="E51" s="13">
        <f>VLOOKUP(C51,Controle!A$16:H$23,8,FALSE)</f>
        <v>6.9551230392064429</v>
      </c>
      <c r="F51" s="5">
        <f>VLOOKUP(A51,Educacional!A$2:P$405,16,FALSE)</f>
        <v>44.430588436708582</v>
      </c>
      <c r="G51" s="6">
        <f>VLOOKUP(A51,Demográfico!A$2:L$405,12,FALSE)</f>
        <v>37.822830991493277</v>
      </c>
      <c r="H51" s="7">
        <f>VLOOKUP(A51,Socioeconômico!A$2:M$405,13,FALSE)</f>
        <v>32.217746462588501</v>
      </c>
      <c r="I51" s="16">
        <f>(2*F51+G51+2*H51)/5/100</f>
        <v>0.38223900158017488</v>
      </c>
      <c r="J51" s="15">
        <f>VLOOKUP(A51,Demográfico!A$2:E$400,5,FALSE)/(VLOOKUP(C51,Controle!A$2:G$9,7,FALSE))*D51</f>
        <v>0.52223130388757055</v>
      </c>
      <c r="K51" s="15">
        <f>VLOOKUP(A51,Demográfico!A$2:E$400,5,FALSE)/(VLOOKUP(C51,Controle!A$16:G$24,7,FALSE))*E51</f>
        <v>0.18074724078428364</v>
      </c>
      <c r="L51" s="118">
        <f>((J51*(1+I51))+3*(I51+K51))/4</f>
        <v>0.60270180079321101</v>
      </c>
      <c r="M51" s="3">
        <v>1</v>
      </c>
      <c r="N51" s="88">
        <f>VLOOKUP(A51,Demográfico!A$2:E$400,5,FALSE)*I51</f>
        <v>1705.5504250507404</v>
      </c>
      <c r="O51" s="96">
        <f>FLOOR(L51,1)</f>
        <v>0</v>
      </c>
      <c r="P51" s="96">
        <f>L51-O51</f>
        <v>0.60270180079321101</v>
      </c>
      <c r="Q51" s="87">
        <f>RANK(P51,P$2:P$400,0)</f>
        <v>71</v>
      </c>
      <c r="R51" s="3">
        <f>O51+IF(Q51&lt;Q$1,1,0)</f>
        <v>1</v>
      </c>
      <c r="T51" s="87">
        <f>VLOOKUP(A51,Demográfico!A$2:E$400,5,FALSE)*(I51)</f>
        <v>1705.5504250507404</v>
      </c>
    </row>
    <row r="52" spans="1:20" ht="19.5" x14ac:dyDescent="0.25">
      <c r="A52" s="2" t="s">
        <v>57</v>
      </c>
      <c r="B52" s="37">
        <v>36716</v>
      </c>
      <c r="C52" s="4" t="str" cm="1">
        <f t="array" ref="C52">_xlfn.IFS(B52&lt;20000, "P1",B52&lt;40000, "P2",B52&lt;70000, "P3",B52&lt;100000, "P4",B52&lt;200000,"M1",B52&lt;500000,"M2",B52&lt;1000000,"G1",B52&gt;1000000,"G2")</f>
        <v>P2</v>
      </c>
      <c r="D52" s="13">
        <f>VLOOKUP(C52,Controle!A$2:H$9,8,FALSE)</f>
        <v>20.095371623394037</v>
      </c>
      <c r="E52" s="13">
        <f>VLOOKUP(C52,Controle!A$16:H$23,8,FALSE)</f>
        <v>6.9551230392064429</v>
      </c>
      <c r="F52" s="5">
        <f>VLOOKUP(A52,Educacional!A$2:P$405,16,FALSE)</f>
        <v>47.675848324655377</v>
      </c>
      <c r="G52" s="6">
        <f>VLOOKUP(A52,Demográfico!A$2:L$405,12,FALSE)</f>
        <v>44.449557671775224</v>
      </c>
      <c r="H52" s="7">
        <f>VLOOKUP(A52,Socioeconômico!A$2:M$405,13,FALSE)</f>
        <v>15.09971922344617</v>
      </c>
      <c r="I52" s="16">
        <f>(2*F52+G52+2*H52)/5/100</f>
        <v>0.34000138553595671</v>
      </c>
      <c r="J52" s="15">
        <f>VLOOKUP(A52,Demográfico!A$2:E$400,5,FALSE)/(VLOOKUP(C52,Controle!A$2:G$9,7,FALSE))*D52</f>
        <v>0.52398689993380843</v>
      </c>
      <c r="K52" s="15">
        <f>VLOOKUP(A52,Demográfico!A$2:E$400,5,FALSE)/(VLOOKUP(C52,Controle!A$16:G$24,7,FALSE))*E52</f>
        <v>0.1813548626156965</v>
      </c>
      <c r="L52" s="118">
        <f>((J52*(1+I52))+3*(I52+K52))/4</f>
        <v>0.56655297909223834</v>
      </c>
      <c r="M52" s="3">
        <v>1</v>
      </c>
      <c r="N52" s="88">
        <f>VLOOKUP(A52,Demográfico!A$2:E$400,5,FALSE)*I52</f>
        <v>1522.1862030444781</v>
      </c>
      <c r="O52" s="96">
        <f>FLOOR(L52,1)</f>
        <v>0</v>
      </c>
      <c r="P52" s="96">
        <f>L52-O52</f>
        <v>0.56655297909223834</v>
      </c>
      <c r="Q52" s="87">
        <f>RANK(P52,P$2:P$400,0)</f>
        <v>108</v>
      </c>
      <c r="R52" s="3">
        <f>O52+IF(Q52&lt;Q$1,1,0)</f>
        <v>1</v>
      </c>
      <c r="T52" s="87">
        <f>VLOOKUP(A52,Demográfico!A$2:E$400,5,FALSE)*(I52)</f>
        <v>1522.1862030444781</v>
      </c>
    </row>
    <row r="53" spans="1:20" ht="19.5" x14ac:dyDescent="0.25">
      <c r="A53" s="2" t="s">
        <v>58</v>
      </c>
      <c r="B53" s="37">
        <v>35141</v>
      </c>
      <c r="C53" s="4" t="str" cm="1">
        <f t="array" ref="C53">_xlfn.IFS(B53&lt;20000, "P1",B53&lt;40000, "P2",B53&lt;70000, "P3",B53&lt;100000, "P4",B53&lt;200000,"M1",B53&lt;500000,"M2",B53&lt;1000000,"G1",B53&gt;1000000,"G2")</f>
        <v>P2</v>
      </c>
      <c r="D53" s="13">
        <f>VLOOKUP(C53,Controle!A$2:H$9,8,FALSE)</f>
        <v>20.095371623394037</v>
      </c>
      <c r="E53" s="13">
        <f>VLOOKUP(C53,Controle!A$16:H$23,8,FALSE)</f>
        <v>6.9551230392064429</v>
      </c>
      <c r="F53" s="5">
        <f>VLOOKUP(A53,Educacional!A$2:P$405,16,FALSE)</f>
        <v>75.695866007293588</v>
      </c>
      <c r="G53" s="6">
        <f>VLOOKUP(A53,Demográfico!A$2:L$405,12,FALSE)</f>
        <v>51.50290288329208</v>
      </c>
      <c r="H53" s="7">
        <f>VLOOKUP(A53,Socioeconômico!A$2:M$405,13,FALSE)</f>
        <v>31.443509253538078</v>
      </c>
      <c r="I53" s="16">
        <f>(2*F53+G53+2*H53)/5/100</f>
        <v>0.53156330680991082</v>
      </c>
      <c r="J53" s="15">
        <f>VLOOKUP(A53,Demográfico!A$2:E$400,5,FALSE)/(VLOOKUP(C53,Controle!A$2:G$9,7,FALSE))*D53</f>
        <v>0.61551197381101153</v>
      </c>
      <c r="K53" s="15">
        <f>VLOOKUP(A53,Demográfico!A$2:E$400,5,FALSE)/(VLOOKUP(C53,Controle!A$16:G$24,7,FALSE))*E53</f>
        <v>0.21303221409335449</v>
      </c>
      <c r="L53" s="118">
        <f>((J53*(1+I53))+3*(I53+K53))/4</f>
        <v>0.79412052917522102</v>
      </c>
      <c r="M53" s="3">
        <v>1</v>
      </c>
      <c r="N53" s="88">
        <f>VLOOKUP(A53,Demográfico!A$2:E$400,5,FALSE)*I53</f>
        <v>2795.4914305133211</v>
      </c>
      <c r="O53" s="96">
        <f>FLOOR(L53,1)</f>
        <v>0</v>
      </c>
      <c r="P53" s="96">
        <f>L53-O53</f>
        <v>0.79412052917522102</v>
      </c>
      <c r="Q53" s="87">
        <f>RANK(P53,P$2:P$400,0)</f>
        <v>20</v>
      </c>
      <c r="R53" s="3">
        <f>O53+IF(Q53&lt;Q$1,1,0)</f>
        <v>1</v>
      </c>
      <c r="T53" s="87">
        <f>VLOOKUP(A53,Demográfico!A$2:E$400,5,FALSE)*(I53)</f>
        <v>2795.4914305133211</v>
      </c>
    </row>
    <row r="54" spans="1:20" ht="19.5" x14ac:dyDescent="0.25">
      <c r="A54" s="2" t="s">
        <v>59</v>
      </c>
      <c r="B54" s="37">
        <v>35011</v>
      </c>
      <c r="C54" s="4" t="str" cm="1">
        <f t="array" ref="C54">_xlfn.IFS(B54&lt;20000, "P1",B54&lt;40000, "P2",B54&lt;70000, "P3",B54&lt;100000, "P4",B54&lt;200000,"M1",B54&lt;500000,"M2",B54&lt;1000000,"G1",B54&gt;1000000,"G2")</f>
        <v>P2</v>
      </c>
      <c r="D54" s="13">
        <f>VLOOKUP(C54,Controle!A$2:H$9,8,FALSE)</f>
        <v>20.095371623394037</v>
      </c>
      <c r="E54" s="13">
        <f>VLOOKUP(C54,Controle!A$16:H$23,8,FALSE)</f>
        <v>6.9551230392064429</v>
      </c>
      <c r="F54" s="5">
        <f>VLOOKUP(A54,Educacional!A$2:P$405,16,FALSE)</f>
        <v>37.350122509324194</v>
      </c>
      <c r="G54" s="6">
        <f>VLOOKUP(A54,Demográfico!A$2:L$405,12,FALSE)</f>
        <v>56.845285280966564</v>
      </c>
      <c r="H54" s="7">
        <f>VLOOKUP(A54,Socioeconômico!A$2:M$405,13,FALSE)</f>
        <v>6.1400279491172816</v>
      </c>
      <c r="I54" s="16">
        <f>(2*F54+G54+2*H54)/5/100</f>
        <v>0.28765117239569898</v>
      </c>
      <c r="J54" s="15">
        <f>VLOOKUP(A54,Demográfico!A$2:E$400,5,FALSE)/(VLOOKUP(C54,Controle!A$2:G$9,7,FALSE))*D54</f>
        <v>0.55312979430135767</v>
      </c>
      <c r="K54" s="15">
        <f>VLOOKUP(A54,Demográfico!A$2:E$400,5,FALSE)/(VLOOKUP(C54,Controle!A$16:G$24,7,FALSE))*E54</f>
        <v>0.19144138501715025</v>
      </c>
      <c r="L54" s="118">
        <f>((J54*(1+I54))+3*(I54+K54))/4</f>
        <v>0.53737897508942067</v>
      </c>
      <c r="M54" s="3">
        <v>1</v>
      </c>
      <c r="N54" s="88">
        <f>VLOOKUP(A54,Demográfico!A$2:E$400,5,FALSE)*I54</f>
        <v>1359.4394407420734</v>
      </c>
      <c r="O54" s="96">
        <f>FLOOR(L54,1)</f>
        <v>0</v>
      </c>
      <c r="P54" s="96">
        <f>L54-O54</f>
        <v>0.53737897508942067</v>
      </c>
      <c r="Q54" s="87">
        <f>RANK(P54,P$2:P$400,0)</f>
        <v>125</v>
      </c>
      <c r="R54" s="3">
        <f>O54+IF(Q54&lt;Q$1,1,0)</f>
        <v>1</v>
      </c>
      <c r="T54" s="87">
        <f>VLOOKUP(A54,Demográfico!A$2:E$400,5,FALSE)*(I54)</f>
        <v>1359.4394407420734</v>
      </c>
    </row>
    <row r="55" spans="1:20" ht="19.5" x14ac:dyDescent="0.25">
      <c r="A55" s="2" t="s">
        <v>60</v>
      </c>
      <c r="B55" s="37">
        <v>33855</v>
      </c>
      <c r="C55" s="4" t="str" cm="1">
        <f t="array" ref="C55">_xlfn.IFS(B55&lt;20000, "P1",B55&lt;40000, "P2",B55&lt;70000, "P3",B55&lt;100000, "P4",B55&lt;200000,"M1",B55&lt;500000,"M2",B55&lt;1000000,"G1",B55&gt;1000000,"G2")</f>
        <v>P2</v>
      </c>
      <c r="D55" s="13">
        <f>VLOOKUP(C55,Controle!A$2:H$9,8,FALSE)</f>
        <v>20.095371623394037</v>
      </c>
      <c r="E55" s="13">
        <f>VLOOKUP(C55,Controle!A$16:H$23,8,FALSE)</f>
        <v>6.9551230392064429</v>
      </c>
      <c r="F55" s="5">
        <f>VLOOKUP(A55,Educacional!A$2:P$405,16,FALSE)</f>
        <v>56.466209118200048</v>
      </c>
      <c r="G55" s="6">
        <f>VLOOKUP(A55,Demográfico!A$2:L$405,12,FALSE)</f>
        <v>51.135208884194974</v>
      </c>
      <c r="H55" s="7">
        <f>VLOOKUP(A55,Socioeconômico!A$2:M$405,13,FALSE)</f>
        <v>25.418978512544804</v>
      </c>
      <c r="I55" s="16">
        <f>(2*F55+G55+2*H55)/5/100</f>
        <v>0.42981116829136928</v>
      </c>
      <c r="J55" s="15">
        <f>VLOOKUP(A55,Demográfico!A$2:E$400,5,FALSE)/(VLOOKUP(C55,Controle!A$2:G$9,7,FALSE))*D55</f>
        <v>0.5347545556840676</v>
      </c>
      <c r="K55" s="15">
        <f>VLOOKUP(A55,Demográfico!A$2:E$400,5,FALSE)/(VLOOKUP(C55,Controle!A$16:G$24,7,FALSE))*E55</f>
        <v>0.18508160984836214</v>
      </c>
      <c r="L55" s="118">
        <f>((J55*(1+I55))+3*(I55+K55))/4</f>
        <v>0.65231909260774068</v>
      </c>
      <c r="M55" s="3">
        <v>1</v>
      </c>
      <c r="N55" s="88">
        <f>VLOOKUP(A55,Demográfico!A$2:E$400,5,FALSE)*I55</f>
        <v>1963.8072279232663</v>
      </c>
      <c r="O55" s="96">
        <f>FLOOR(L55,1)</f>
        <v>0</v>
      </c>
      <c r="P55" s="96">
        <f>L55-O55</f>
        <v>0.65231909260774068</v>
      </c>
      <c r="Q55" s="87">
        <f>RANK(P55,P$2:P$400,0)</f>
        <v>48</v>
      </c>
      <c r="R55" s="3">
        <f>O55+IF(Q55&lt;Q$1,1,0)</f>
        <v>1</v>
      </c>
      <c r="T55" s="87">
        <f>VLOOKUP(A55,Demográfico!A$2:E$400,5,FALSE)*(I55)</f>
        <v>1963.8072279232663</v>
      </c>
    </row>
    <row r="56" spans="1:20" ht="19.5" x14ac:dyDescent="0.25">
      <c r="A56" s="2" t="s">
        <v>61</v>
      </c>
      <c r="B56" s="37">
        <v>33567</v>
      </c>
      <c r="C56" s="4" t="str" cm="1">
        <f t="array" ref="C56">_xlfn.IFS(B56&lt;20000, "P1",B56&lt;40000, "P2",B56&lt;70000, "P3",B56&lt;100000, "P4",B56&lt;200000,"M1",B56&lt;500000,"M2",B56&lt;1000000,"G1",B56&gt;1000000,"G2")</f>
        <v>P2</v>
      </c>
      <c r="D56" s="13">
        <f>VLOOKUP(C56,Controle!A$2:H$9,8,FALSE)</f>
        <v>20.095371623394037</v>
      </c>
      <c r="E56" s="13">
        <f>VLOOKUP(C56,Controle!A$16:H$23,8,FALSE)</f>
        <v>6.9551230392064429</v>
      </c>
      <c r="F56" s="5">
        <f>VLOOKUP(A56,Educacional!A$2:P$405,16,FALSE)</f>
        <v>67.033321686282463</v>
      </c>
      <c r="G56" s="6">
        <f>VLOOKUP(A56,Demográfico!A$2:L$405,12,FALSE)</f>
        <v>51.05275714064669</v>
      </c>
      <c r="H56" s="7">
        <f>VLOOKUP(A56,Socioeconômico!A$2:M$405,13,FALSE)</f>
        <v>41.948223975004346</v>
      </c>
      <c r="I56" s="16">
        <f>(2*F56+G56+2*H56)/5/100</f>
        <v>0.53803169692644059</v>
      </c>
      <c r="J56" s="15">
        <f>VLOOKUP(A56,Demográfico!A$2:E$400,5,FALSE)/(VLOOKUP(C56,Controle!A$2:G$9,7,FALSE))*D56</f>
        <v>0.52738105228986842</v>
      </c>
      <c r="K56" s="15">
        <f>VLOOKUP(A56,Demográfico!A$2:E$400,5,FALSE)/(VLOOKUP(C56,Controle!A$16:G$24,7,FALSE))*E56</f>
        <v>0.18252959815642808</v>
      </c>
      <c r="L56" s="118">
        <f>((J56*(1+I56))+3*(I56+K56))/4</f>
        <v>0.74320316500721106</v>
      </c>
      <c r="M56" s="3">
        <v>1</v>
      </c>
      <c r="N56" s="88">
        <f>VLOOKUP(A56,Demográfico!A$2:E$400,5,FALSE)*I56</f>
        <v>2424.3708263505414</v>
      </c>
      <c r="O56" s="96">
        <f>FLOOR(L56,1)</f>
        <v>0</v>
      </c>
      <c r="P56" s="96">
        <f>L56-O56</f>
        <v>0.74320316500721106</v>
      </c>
      <c r="Q56" s="87">
        <f>RANK(P56,P$2:P$400,0)</f>
        <v>25</v>
      </c>
      <c r="R56" s="3">
        <f>O56+IF(Q56&lt;Q$1,1,0)</f>
        <v>1</v>
      </c>
      <c r="T56" s="87">
        <f>VLOOKUP(A56,Demográfico!A$2:E$400,5,FALSE)*(I56)</f>
        <v>2424.3708263505414</v>
      </c>
    </row>
    <row r="57" spans="1:20" ht="19.5" x14ac:dyDescent="0.25">
      <c r="A57" s="2" t="s">
        <v>62</v>
      </c>
      <c r="B57" s="37">
        <v>32720</v>
      </c>
      <c r="C57" s="4" t="str" cm="1">
        <f t="array" ref="C57">_xlfn.IFS(B57&lt;20000, "P1",B57&lt;40000, "P2",B57&lt;70000, "P3",B57&lt;100000, "P4",B57&lt;200000,"M1",B57&lt;500000,"M2",B57&lt;1000000,"G1",B57&gt;1000000,"G2")</f>
        <v>P2</v>
      </c>
      <c r="D57" s="13">
        <f>VLOOKUP(C57,Controle!A$2:H$9,8,FALSE)</f>
        <v>20.095371623394037</v>
      </c>
      <c r="E57" s="13">
        <f>VLOOKUP(C57,Controle!A$16:H$23,8,FALSE)</f>
        <v>6.9551230392064429</v>
      </c>
      <c r="F57" s="5">
        <f>VLOOKUP(A57,Educacional!A$2:P$405,16,FALSE)</f>
        <v>47.29050824101688</v>
      </c>
      <c r="G57" s="6">
        <f>VLOOKUP(A57,Demográfico!A$2:L$405,12,FALSE)</f>
        <v>53.691377884128975</v>
      </c>
      <c r="H57" s="7">
        <f>VLOOKUP(A57,Socioeconômico!A$2:M$405,13,FALSE)</f>
        <v>31.613077262114881</v>
      </c>
      <c r="I57" s="16">
        <f>(2*F57+G57+2*H57)/5/100</f>
        <v>0.42299709778078504</v>
      </c>
      <c r="J57" s="15">
        <f>VLOOKUP(A57,Demográfico!A$2:E$400,5,FALSE)/(VLOOKUP(C57,Controle!A$2:G$9,7,FALSE))*D57</f>
        <v>0.46148768068773882</v>
      </c>
      <c r="K57" s="15">
        <f>VLOOKUP(A57,Demográfico!A$2:E$400,5,FALSE)/(VLOOKUP(C57,Controle!A$16:G$24,7,FALSE))*E57</f>
        <v>0.15972352541739812</v>
      </c>
      <c r="L57" s="118">
        <f>((J57*(1+I57))+3*(I57+K57))/4</f>
        <v>0.6012143749686969</v>
      </c>
      <c r="M57" s="3">
        <v>1</v>
      </c>
      <c r="N57" s="88">
        <f>VLOOKUP(A57,Demográfico!A$2:E$400,5,FALSE)*I57</f>
        <v>1667.8775565496353</v>
      </c>
      <c r="O57" s="96">
        <f>FLOOR(L57,1)</f>
        <v>0</v>
      </c>
      <c r="P57" s="96">
        <f>L57-O57</f>
        <v>0.6012143749686969</v>
      </c>
      <c r="Q57" s="87">
        <f>RANK(P57,P$2:P$400,0)</f>
        <v>73</v>
      </c>
      <c r="R57" s="3">
        <f>O57+IF(Q57&lt;Q$1,1,0)</f>
        <v>1</v>
      </c>
      <c r="T57" s="87">
        <f>VLOOKUP(A57,Demográfico!A$2:E$400,5,FALSE)*(I57)</f>
        <v>1667.8775565496353</v>
      </c>
    </row>
    <row r="58" spans="1:20" ht="19.5" x14ac:dyDescent="0.25">
      <c r="A58" s="2" t="s">
        <v>63</v>
      </c>
      <c r="B58" s="37">
        <v>32227</v>
      </c>
      <c r="C58" s="4" t="str" cm="1">
        <f t="array" ref="C58">_xlfn.IFS(B58&lt;20000, "P1",B58&lt;40000, "P2",B58&lt;70000, "P3",B58&lt;100000, "P4",B58&lt;200000,"M1",B58&lt;500000,"M2",B58&lt;1000000,"G1",B58&gt;1000000,"G2")</f>
        <v>P2</v>
      </c>
      <c r="D58" s="13">
        <f>VLOOKUP(C58,Controle!A$2:H$9,8,FALSE)</f>
        <v>20.095371623394037</v>
      </c>
      <c r="E58" s="13">
        <f>VLOOKUP(C58,Controle!A$16:H$23,8,FALSE)</f>
        <v>6.9551230392064429</v>
      </c>
      <c r="F58" s="5">
        <f>VLOOKUP(A58,Educacional!A$2:P$405,16,FALSE)</f>
        <v>50.616345288559472</v>
      </c>
      <c r="G58" s="6">
        <f>VLOOKUP(A58,Demográfico!A$2:L$405,12,FALSE)</f>
        <v>62.729188755083918</v>
      </c>
      <c r="H58" s="7">
        <f>VLOOKUP(A58,Socioeconômico!A$2:M$405,13,FALSE)</f>
        <v>32.371837276757162</v>
      </c>
      <c r="I58" s="16">
        <f>(2*F58+G58+2*H58)/5/100</f>
        <v>0.4574111077714344</v>
      </c>
      <c r="J58" s="15">
        <f>VLOOKUP(A58,Demográfico!A$2:E$400,5,FALSE)/(VLOOKUP(C58,Controle!A$2:G$9,7,FALSE))*D58</f>
        <v>0.51778379390376783</v>
      </c>
      <c r="K58" s="15">
        <f>VLOOKUP(A58,Demográfico!A$2:E$400,5,FALSE)/(VLOOKUP(C58,Controle!A$16:G$24,7,FALSE))*E58</f>
        <v>0.17920793214470435</v>
      </c>
      <c r="L58" s="118">
        <f>((J58*(1+I58))+3*(I58+K58))/4</f>
        <v>0.66612024310195062</v>
      </c>
      <c r="M58" s="3">
        <v>1</v>
      </c>
      <c r="N58" s="88">
        <f>VLOOKUP(A58,Demográfico!A$2:E$400,5,FALSE)*I58</f>
        <v>2023.5867407808257</v>
      </c>
      <c r="O58" s="96">
        <f>FLOOR(L58,1)</f>
        <v>0</v>
      </c>
      <c r="P58" s="96">
        <f>L58-O58</f>
        <v>0.66612024310195062</v>
      </c>
      <c r="Q58" s="87">
        <f>RANK(P58,P$2:P$400,0)</f>
        <v>44</v>
      </c>
      <c r="R58" s="3">
        <f>O58+IF(Q58&lt;Q$1,1,0)</f>
        <v>1</v>
      </c>
      <c r="T58" s="87">
        <f>VLOOKUP(A58,Demográfico!A$2:E$400,5,FALSE)*(I58)</f>
        <v>2023.5867407808257</v>
      </c>
    </row>
    <row r="59" spans="1:20" ht="19.5" x14ac:dyDescent="0.25">
      <c r="A59" s="2" t="s">
        <v>64</v>
      </c>
      <c r="B59" s="37">
        <v>32097</v>
      </c>
      <c r="C59" s="4" t="str" cm="1">
        <f t="array" ref="C59">_xlfn.IFS(B59&lt;20000, "P1",B59&lt;40000, "P2",B59&lt;70000, "P3",B59&lt;100000, "P4",B59&lt;200000,"M1",B59&lt;500000,"M2",B59&lt;1000000,"G1",B59&gt;1000000,"G2")</f>
        <v>P2</v>
      </c>
      <c r="D59" s="13">
        <f>VLOOKUP(C59,Controle!A$2:H$9,8,FALSE)</f>
        <v>20.095371623394037</v>
      </c>
      <c r="E59" s="13">
        <f>VLOOKUP(C59,Controle!A$16:H$23,8,FALSE)</f>
        <v>6.9551230392064429</v>
      </c>
      <c r="F59" s="5">
        <f>VLOOKUP(A59,Educacional!A$2:P$405,16,FALSE)</f>
        <v>60.948926023522965</v>
      </c>
      <c r="G59" s="6">
        <f>VLOOKUP(A59,Demográfico!A$2:L$405,12,FALSE)</f>
        <v>48.794644371626703</v>
      </c>
      <c r="H59" s="7">
        <f>VLOOKUP(A59,Socioeconômico!A$2:M$405,13,FALSE)</f>
        <v>35.308326488521267</v>
      </c>
      <c r="I59" s="16">
        <f>(2*F59+G59+2*H59)/5/100</f>
        <v>0.48261829879143037</v>
      </c>
      <c r="J59" s="15">
        <f>VLOOKUP(A59,Demográfico!A$2:E$400,5,FALSE)/(VLOOKUP(C59,Controle!A$2:G$9,7,FALSE))*D59</f>
        <v>0.53732942988521648</v>
      </c>
      <c r="K59" s="15">
        <f>VLOOKUP(A59,Demográfico!A$2:E$400,5,FALSE)/(VLOOKUP(C59,Controle!A$16:G$24,7,FALSE))*E59</f>
        <v>0.18597278853443436</v>
      </c>
      <c r="L59" s="118">
        <f>((J59*(1+I59))+3*(I59+K59))/4</f>
        <v>0.70060692680114567</v>
      </c>
      <c r="M59" s="3">
        <v>1</v>
      </c>
      <c r="N59" s="88">
        <f>VLOOKUP(A59,Demográfico!A$2:E$400,5,FALSE)*I59</f>
        <v>2215.7006097514568</v>
      </c>
      <c r="O59" s="96">
        <f>FLOOR(L59,1)</f>
        <v>0</v>
      </c>
      <c r="P59" s="96">
        <f>L59-O59</f>
        <v>0.70060692680114567</v>
      </c>
      <c r="Q59" s="87">
        <f>RANK(P59,P$2:P$400,0)</f>
        <v>35</v>
      </c>
      <c r="R59" s="3">
        <f>O59+IF(Q59&lt;Q$1,1,0)</f>
        <v>1</v>
      </c>
      <c r="T59" s="87">
        <f>VLOOKUP(A59,Demográfico!A$2:E$400,5,FALSE)*(I59)</f>
        <v>2215.7006097514568</v>
      </c>
    </row>
    <row r="60" spans="1:20" ht="19.5" x14ac:dyDescent="0.25">
      <c r="A60" s="2" t="s">
        <v>65</v>
      </c>
      <c r="B60" s="37">
        <v>31457</v>
      </c>
      <c r="C60" s="4" t="str" cm="1">
        <f t="array" ref="C60">_xlfn.IFS(B60&lt;20000, "P1",B60&lt;40000, "P2",B60&lt;70000, "P3",B60&lt;100000, "P4",B60&lt;200000,"M1",B60&lt;500000,"M2",B60&lt;1000000,"G1",B60&gt;1000000,"G2")</f>
        <v>P2</v>
      </c>
      <c r="D60" s="13">
        <f>VLOOKUP(C60,Controle!A$2:H$9,8,FALSE)</f>
        <v>20.095371623394037</v>
      </c>
      <c r="E60" s="13">
        <f>VLOOKUP(C60,Controle!A$16:H$23,8,FALSE)</f>
        <v>6.9551230392064429</v>
      </c>
      <c r="F60" s="5">
        <f>VLOOKUP(A60,Educacional!A$2:P$405,16,FALSE)</f>
        <v>46.669497477851557</v>
      </c>
      <c r="G60" s="6">
        <f>VLOOKUP(A60,Demográfico!A$2:L$405,12,FALSE)</f>
        <v>48.541265005764508</v>
      </c>
      <c r="H60" s="7">
        <f>VLOOKUP(A60,Socioeconômico!A$2:M$405,13,FALSE)</f>
        <v>29.853143839694489</v>
      </c>
      <c r="I60" s="16">
        <f>(2*F60+G60+2*H60)/5/100</f>
        <v>0.40317309528171319</v>
      </c>
      <c r="J60" s="15">
        <f>VLOOKUP(A60,Demográfico!A$2:E$400,5,FALSE)/(VLOOKUP(C60,Controle!A$2:G$9,7,FALSE))*D60</f>
        <v>0.50256862816970593</v>
      </c>
      <c r="K60" s="15">
        <f>VLOOKUP(A60,Demográfico!A$2:E$400,5,FALSE)/(VLOOKUP(C60,Controle!A$16:G$24,7,FALSE))*E60</f>
        <v>0.17394187627245941</v>
      </c>
      <c r="L60" s="118">
        <f>((J60*(1+I60))+3*(I60+K60))/4</f>
        <v>0.60913392306072212</v>
      </c>
      <c r="M60" s="3">
        <v>1</v>
      </c>
      <c r="N60" s="88">
        <f>VLOOKUP(A60,Demográfico!A$2:E$400,5,FALSE)*I60</f>
        <v>1731.2252711396764</v>
      </c>
      <c r="O60" s="96">
        <f>FLOOR(L60,1)</f>
        <v>0</v>
      </c>
      <c r="P60" s="96">
        <f>L60-O60</f>
        <v>0.60913392306072212</v>
      </c>
      <c r="Q60" s="87">
        <f>RANK(P60,P$2:P$400,0)</f>
        <v>67</v>
      </c>
      <c r="R60" s="3">
        <f>O60+IF(Q60&lt;Q$1,1,0)</f>
        <v>1</v>
      </c>
      <c r="T60" s="87">
        <f>VLOOKUP(A60,Demográfico!A$2:E$400,5,FALSE)*(I60)</f>
        <v>1731.2252711396764</v>
      </c>
    </row>
    <row r="61" spans="1:20" ht="19.5" x14ac:dyDescent="0.25">
      <c r="A61" s="2" t="s">
        <v>66</v>
      </c>
      <c r="B61" s="37">
        <v>31324</v>
      </c>
      <c r="C61" s="4" t="str" cm="1">
        <f t="array" ref="C61">_xlfn.IFS(B61&lt;20000, "P1",B61&lt;40000, "P2",B61&lt;70000, "P3",B61&lt;100000, "P4",B61&lt;200000,"M1",B61&lt;500000,"M2",B61&lt;1000000,"G1",B61&gt;1000000,"G2")</f>
        <v>P2</v>
      </c>
      <c r="D61" s="13">
        <f>VLOOKUP(C61,Controle!A$2:H$9,8,FALSE)</f>
        <v>20.095371623394037</v>
      </c>
      <c r="E61" s="13">
        <f>VLOOKUP(C61,Controle!A$16:H$23,8,FALSE)</f>
        <v>6.9551230392064429</v>
      </c>
      <c r="F61" s="5">
        <f>VLOOKUP(A61,Educacional!A$2:P$405,16,FALSE)</f>
        <v>53.396083688210481</v>
      </c>
      <c r="G61" s="6">
        <f>VLOOKUP(A61,Demográfico!A$2:L$405,12,FALSE)</f>
        <v>35.272024065232507</v>
      </c>
      <c r="H61" s="7">
        <f>VLOOKUP(A61,Socioeconômico!A$2:M$405,13,FALSE)</f>
        <v>28.841578121197468</v>
      </c>
      <c r="I61" s="16">
        <f>(2*F61+G61+2*H61)/5/100</f>
        <v>0.39949469536809679</v>
      </c>
      <c r="J61" s="15">
        <f>VLOOKUP(A61,Demográfico!A$2:E$400,5,FALSE)/(VLOOKUP(C61,Controle!A$2:G$9,7,FALSE))*D61</f>
        <v>0.48126739614201924</v>
      </c>
      <c r="K61" s="15">
        <f>VLOOKUP(A61,Demográfico!A$2:E$400,5,FALSE)/(VLOOKUP(C61,Controle!A$16:G$24,7,FALSE))*E61</f>
        <v>0.16656939805131651</v>
      </c>
      <c r="L61" s="118">
        <f>((J61*(1+I61))+3*(I61+K61))/4</f>
        <v>0.59293086205315304</v>
      </c>
      <c r="M61" s="3">
        <v>1</v>
      </c>
      <c r="N61" s="88">
        <f>VLOOKUP(A61,Demográfico!A$2:E$400,5,FALSE)*I61</f>
        <v>1642.7221873536139</v>
      </c>
      <c r="O61" s="96">
        <f>FLOOR(L61,1)</f>
        <v>0</v>
      </c>
      <c r="P61" s="96">
        <f>L61-O61</f>
        <v>0.59293086205315304</v>
      </c>
      <c r="Q61" s="87">
        <f>RANK(P61,P$2:P$400,0)</f>
        <v>83</v>
      </c>
      <c r="R61" s="3">
        <f>O61+IF(Q61&lt;Q$1,1,0)</f>
        <v>1</v>
      </c>
      <c r="T61" s="87">
        <f>VLOOKUP(A61,Demográfico!A$2:E$400,5,FALSE)*(I61)</f>
        <v>1642.7221873536139</v>
      </c>
    </row>
    <row r="62" spans="1:20" ht="19.5" x14ac:dyDescent="0.25">
      <c r="A62" s="2" t="s">
        <v>67</v>
      </c>
      <c r="B62" s="37">
        <v>31273</v>
      </c>
      <c r="C62" s="4" t="str" cm="1">
        <f t="array" ref="C62">_xlfn.IFS(B62&lt;20000, "P1",B62&lt;40000, "P2",B62&lt;70000, "P3",B62&lt;100000, "P4",B62&lt;200000,"M1",B62&lt;500000,"M2",B62&lt;1000000,"G1",B62&gt;1000000,"G2")</f>
        <v>P2</v>
      </c>
      <c r="D62" s="13">
        <f>VLOOKUP(C62,Controle!A$2:H$9,8,FALSE)</f>
        <v>20.095371623394037</v>
      </c>
      <c r="E62" s="13">
        <f>VLOOKUP(C62,Controle!A$16:H$23,8,FALSE)</f>
        <v>6.9551230392064429</v>
      </c>
      <c r="F62" s="5">
        <f>VLOOKUP(A62,Educacional!A$2:P$405,16,FALSE)</f>
        <v>49.319422424413183</v>
      </c>
      <c r="G62" s="6">
        <f>VLOOKUP(A62,Demográfico!A$2:L$405,12,FALSE)</f>
        <v>36.980924974346188</v>
      </c>
      <c r="H62" s="7">
        <f>VLOOKUP(A62,Socioeconômico!A$2:M$405,13,FALSE)</f>
        <v>38.530193062835082</v>
      </c>
      <c r="I62" s="16">
        <f>(2*F62+G62+2*H62)/5/100</f>
        <v>0.42536031189768542</v>
      </c>
      <c r="J62" s="15">
        <f>VLOOKUP(A62,Demográfico!A$2:E$400,5,FALSE)/(VLOOKUP(C62,Controle!A$2:G$9,7,FALSE))*D62</f>
        <v>0.45189042230163823</v>
      </c>
      <c r="K62" s="15">
        <f>VLOOKUP(A62,Demográfico!A$2:E$400,5,FALSE)/(VLOOKUP(C62,Controle!A$16:G$24,7,FALSE))*E62</f>
        <v>0.15640185940567439</v>
      </c>
      <c r="L62" s="118">
        <f>((J62*(1+I62))+3*(I62+K62))/4</f>
        <v>0.5973482967963798</v>
      </c>
      <c r="M62" s="3">
        <v>1</v>
      </c>
      <c r="N62" s="88">
        <f>VLOOKUP(A62,Demográfico!A$2:E$400,5,FALSE)*I62</f>
        <v>1642.3161642369635</v>
      </c>
      <c r="O62" s="96">
        <f>FLOOR(L62,1)</f>
        <v>0</v>
      </c>
      <c r="P62" s="96">
        <f>L62-O62</f>
        <v>0.5973482967963798</v>
      </c>
      <c r="Q62" s="87">
        <f>RANK(P62,P$2:P$400,0)</f>
        <v>77</v>
      </c>
      <c r="R62" s="3">
        <f>O62+IF(Q62&lt;Q$1,1,0)</f>
        <v>1</v>
      </c>
      <c r="T62" s="87">
        <f>VLOOKUP(A62,Demográfico!A$2:E$400,5,FALSE)*(I62)</f>
        <v>1642.3161642369635</v>
      </c>
    </row>
    <row r="63" spans="1:20" ht="19.5" x14ac:dyDescent="0.25">
      <c r="A63" s="2" t="s">
        <v>68</v>
      </c>
      <c r="B63" s="37">
        <v>31217</v>
      </c>
      <c r="C63" s="4" t="str" cm="1">
        <f t="array" ref="C63">_xlfn.IFS(B63&lt;20000, "P1",B63&lt;40000, "P2",B63&lt;70000, "P3",B63&lt;100000, "P4",B63&lt;200000,"M1",B63&lt;500000,"M2",B63&lt;1000000,"G1",B63&gt;1000000,"G2")</f>
        <v>P2</v>
      </c>
      <c r="D63" s="13">
        <f>VLOOKUP(C63,Controle!A$2:H$9,8,FALSE)</f>
        <v>20.095371623394037</v>
      </c>
      <c r="E63" s="13">
        <f>VLOOKUP(C63,Controle!A$16:H$23,8,FALSE)</f>
        <v>6.9551230392064429</v>
      </c>
      <c r="F63" s="5">
        <f>VLOOKUP(A63,Educacional!A$2:P$405,16,FALSE)</f>
        <v>70.046651563035724</v>
      </c>
      <c r="G63" s="6">
        <f>VLOOKUP(A63,Demográfico!A$2:L$405,12,FALSE)</f>
        <v>58.965452549033259</v>
      </c>
      <c r="H63" s="7">
        <f>VLOOKUP(A63,Socioeconômico!A$2:M$405,13,FALSE)</f>
        <v>62.774834101560764</v>
      </c>
      <c r="I63" s="16">
        <f>(2*F63+G63+2*H63)/5/100</f>
        <v>0.6492168477564525</v>
      </c>
      <c r="J63" s="15">
        <f>VLOOKUP(A63,Demográfico!A$2:E$400,5,FALSE)/(VLOOKUP(C63,Controle!A$2:G$9,7,FALSE))*D63</f>
        <v>0.57817629789435199</v>
      </c>
      <c r="K63" s="15">
        <f>VLOOKUP(A63,Demográfico!A$2:E$400,5,FALSE)/(VLOOKUP(C63,Controle!A$16:G$24,7,FALSE))*E63</f>
        <v>0.20011012314530729</v>
      </c>
      <c r="L63" s="118">
        <f>((J63*(1+I63))+3*(I63+K63))/4</f>
        <v>0.87537975104152455</v>
      </c>
      <c r="M63" s="3">
        <v>1</v>
      </c>
      <c r="N63" s="88">
        <f>VLOOKUP(A63,Demográfico!A$2:E$400,5,FALSE)*I63</f>
        <v>3207.1312279168756</v>
      </c>
      <c r="O63" s="96">
        <f>FLOOR(L63,1)</f>
        <v>0</v>
      </c>
      <c r="P63" s="96">
        <f>L63-O63</f>
        <v>0.87537975104152455</v>
      </c>
      <c r="Q63" s="87">
        <f>RANK(P63,P$2:P$400,0)</f>
        <v>10</v>
      </c>
      <c r="R63" s="3">
        <f>O63+IF(Q63&lt;Q$1,1,0)</f>
        <v>1</v>
      </c>
      <c r="T63" s="87">
        <f>VLOOKUP(A63,Demográfico!A$2:E$400,5,FALSE)*(I63)</f>
        <v>3207.1312279168756</v>
      </c>
    </row>
    <row r="64" spans="1:20" ht="19.5" x14ac:dyDescent="0.25">
      <c r="A64" s="2" t="s">
        <v>69</v>
      </c>
      <c r="B64" s="37">
        <v>30738</v>
      </c>
      <c r="C64" s="4" t="str" cm="1">
        <f t="array" ref="C64">_xlfn.IFS(B64&lt;20000, "P1",B64&lt;40000, "P2",B64&lt;70000, "P3",B64&lt;100000, "P4",B64&lt;200000,"M1",B64&lt;500000,"M2",B64&lt;1000000,"G1",B64&gt;1000000,"G2")</f>
        <v>P2</v>
      </c>
      <c r="D64" s="13">
        <f>VLOOKUP(C64,Controle!A$2:H$9,8,FALSE)</f>
        <v>20.095371623394037</v>
      </c>
      <c r="E64" s="13">
        <f>VLOOKUP(C64,Controle!A$16:H$23,8,FALSE)</f>
        <v>6.9551230392064429</v>
      </c>
      <c r="F64" s="5">
        <f>VLOOKUP(A64,Educacional!A$2:P$405,16,FALSE)</f>
        <v>65.52345373946963</v>
      </c>
      <c r="G64" s="6">
        <f>VLOOKUP(A64,Demográfico!A$2:L$405,12,FALSE)</f>
        <v>71.960512684873748</v>
      </c>
      <c r="H64" s="7">
        <f>VLOOKUP(A64,Socioeconômico!A$2:M$405,13,FALSE)</f>
        <v>52.404126509709791</v>
      </c>
      <c r="I64" s="16">
        <f>(2*F64+G64+2*H64)/5/100</f>
        <v>0.61563134636646522</v>
      </c>
      <c r="J64" s="15">
        <f>VLOOKUP(A64,Demográfico!A$2:E$400,5,FALSE)/(VLOOKUP(C64,Controle!A$2:G$9,7,FALSE))*D64</f>
        <v>0.51567707864828227</v>
      </c>
      <c r="K64" s="15">
        <f>VLOOKUP(A64,Demográfico!A$2:E$400,5,FALSE)/(VLOOKUP(C64,Controle!A$16:G$24,7,FALSE))*E64</f>
        <v>0.17847878594700889</v>
      </c>
      <c r="L64" s="118">
        <f>((J64*(1+I64))+3*(I64+K64))/4</f>
        <v>0.80386861245181807</v>
      </c>
      <c r="M64" s="3">
        <v>1</v>
      </c>
      <c r="N64" s="88">
        <f>VLOOKUP(A64,Demográfico!A$2:E$400,5,FALSE)*I64</f>
        <v>2712.4717120906457</v>
      </c>
      <c r="O64" s="96">
        <f>FLOOR(L64,1)</f>
        <v>0</v>
      </c>
      <c r="P64" s="96">
        <f>L64-O64</f>
        <v>0.80386861245181807</v>
      </c>
      <c r="Q64" s="87">
        <f>RANK(P64,P$2:P$400,0)</f>
        <v>19</v>
      </c>
      <c r="R64" s="3">
        <f>O64+IF(Q64&lt;Q$1,1,0)</f>
        <v>1</v>
      </c>
      <c r="T64" s="87">
        <f>VLOOKUP(A64,Demográfico!A$2:E$400,5,FALSE)*(I64)</f>
        <v>2712.4717120906457</v>
      </c>
    </row>
    <row r="65" spans="1:20" ht="19.5" x14ac:dyDescent="0.25">
      <c r="A65" s="2" t="s">
        <v>70</v>
      </c>
      <c r="B65" s="37">
        <v>30425</v>
      </c>
      <c r="C65" s="4" t="str" cm="1">
        <f t="array" ref="C65">_xlfn.IFS(B65&lt;20000, "P1",B65&lt;40000, "P2",B65&lt;70000, "P3",B65&lt;100000, "P4",B65&lt;200000,"M1",B65&lt;500000,"M2",B65&lt;1000000,"G1",B65&gt;1000000,"G2")</f>
        <v>P2</v>
      </c>
      <c r="D65" s="13">
        <f>VLOOKUP(C65,Controle!A$2:H$9,8,FALSE)</f>
        <v>20.095371623394037</v>
      </c>
      <c r="E65" s="13">
        <f>VLOOKUP(C65,Controle!A$16:H$23,8,FALSE)</f>
        <v>6.9551230392064429</v>
      </c>
      <c r="F65" s="5">
        <f>VLOOKUP(A65,Educacional!A$2:P$405,16,FALSE)</f>
        <v>55.356749736881817</v>
      </c>
      <c r="G65" s="6">
        <f>VLOOKUP(A65,Demográfico!A$2:L$405,12,FALSE)</f>
        <v>31.116615008102272</v>
      </c>
      <c r="H65" s="7">
        <f>VLOOKUP(A65,Socioeconômico!A$2:M$405,13,FALSE)</f>
        <v>43.200403690843167</v>
      </c>
      <c r="I65" s="16">
        <f>(2*F65+G65+2*H65)/5/100</f>
        <v>0.45646184372710441</v>
      </c>
      <c r="J65" s="15">
        <f>VLOOKUP(A65,Demográfico!A$2:E$400,5,FALSE)/(VLOOKUP(C65,Controle!A$2:G$9,7,FALSE))*D65</f>
        <v>0.45329489913862858</v>
      </c>
      <c r="K65" s="15">
        <f>VLOOKUP(A65,Demográfico!A$2:E$400,5,FALSE)/(VLOOKUP(C65,Controle!A$16:G$24,7,FALSE))*E65</f>
        <v>0.1568879568708047</v>
      </c>
      <c r="L65" s="118">
        <f>((J65*(1+I65))+3*(I65+K65))/4</f>
        <v>0.62506403158631652</v>
      </c>
      <c r="M65" s="3">
        <v>1</v>
      </c>
      <c r="N65" s="88">
        <f>VLOOKUP(A65,Demográfico!A$2:E$400,5,FALSE)*I65</f>
        <v>1767.8767207550754</v>
      </c>
      <c r="O65" s="96">
        <f>FLOOR(L65,1)</f>
        <v>0</v>
      </c>
      <c r="P65" s="96">
        <f>L65-O65</f>
        <v>0.62506403158631652</v>
      </c>
      <c r="Q65" s="87">
        <f>RANK(P65,P$2:P$400,0)</f>
        <v>60</v>
      </c>
      <c r="R65" s="3">
        <f>O65+IF(Q65&lt;Q$1,1,0)</f>
        <v>1</v>
      </c>
      <c r="T65" s="87">
        <f>VLOOKUP(A65,Demográfico!A$2:E$400,5,FALSE)*(I65)</f>
        <v>1767.8767207550754</v>
      </c>
    </row>
    <row r="66" spans="1:20" ht="19.5" x14ac:dyDescent="0.25">
      <c r="A66" s="2" t="s">
        <v>71</v>
      </c>
      <c r="B66" s="37">
        <v>30160</v>
      </c>
      <c r="C66" s="4" t="str" cm="1">
        <f t="array" ref="C66">_xlfn.IFS(B66&lt;20000, "P1",B66&lt;40000, "P2",B66&lt;70000, "P3",B66&lt;100000, "P4",B66&lt;200000,"M1",B66&lt;500000,"M2",B66&lt;1000000,"G1",B66&gt;1000000,"G2")</f>
        <v>P2</v>
      </c>
      <c r="D66" s="13">
        <f>VLOOKUP(C66,Controle!A$2:H$9,8,FALSE)</f>
        <v>20.095371623394037</v>
      </c>
      <c r="E66" s="13">
        <f>VLOOKUP(C66,Controle!A$16:H$23,8,FALSE)</f>
        <v>6.9551230392064429</v>
      </c>
      <c r="F66" s="5">
        <f>VLOOKUP(A66,Educacional!A$2:P$405,16,FALSE)</f>
        <v>84.883095493877107</v>
      </c>
      <c r="G66" s="6">
        <f>VLOOKUP(A66,Demográfico!A$2:L$405,12,FALSE)</f>
        <v>40.435130224771527</v>
      </c>
      <c r="H66" s="7">
        <f>VLOOKUP(A66,Socioeconômico!A$2:M$405,13,FALSE)</f>
        <v>42.47584206221314</v>
      </c>
      <c r="I66" s="16">
        <f>(2*F66+G66+2*H66)/5/100</f>
        <v>0.59030601067390398</v>
      </c>
      <c r="J66" s="15">
        <f>VLOOKUP(A66,Demográfico!A$2:E$400,5,FALSE)/(VLOOKUP(C66,Controle!A$2:G$9,7,FALSE))*D66</f>
        <v>0.49554624398475428</v>
      </c>
      <c r="K66" s="15">
        <f>VLOOKUP(A66,Demográfico!A$2:E$400,5,FALSE)/(VLOOKUP(C66,Controle!A$16:G$24,7,FALSE))*E66</f>
        <v>0.17151138894680792</v>
      </c>
      <c r="L66" s="118">
        <f>((J66*(1+I66))+3*(I66+K66))/4</f>
        <v>0.76838059230949196</v>
      </c>
      <c r="M66" s="3">
        <v>1</v>
      </c>
      <c r="N66" s="88">
        <f>VLOOKUP(A66,Demográfico!A$2:E$400,5,FALSE)*I66</f>
        <v>2499.3556491933095</v>
      </c>
      <c r="O66" s="96">
        <f>FLOOR(L66,1)</f>
        <v>0</v>
      </c>
      <c r="P66" s="96">
        <f>L66-O66</f>
        <v>0.76838059230949196</v>
      </c>
      <c r="Q66" s="87">
        <f>RANK(P66,P$2:P$400,0)</f>
        <v>22</v>
      </c>
      <c r="R66" s="3">
        <f>O66+IF(Q66&lt;Q$1,1,0)</f>
        <v>1</v>
      </c>
      <c r="T66" s="87">
        <f>VLOOKUP(A66,Demográfico!A$2:E$400,5,FALSE)*(I66)</f>
        <v>2499.3556491933095</v>
      </c>
    </row>
    <row r="67" spans="1:20" ht="19.5" x14ac:dyDescent="0.25">
      <c r="A67" s="2" t="s">
        <v>72</v>
      </c>
      <c r="B67" s="37">
        <v>29924</v>
      </c>
      <c r="C67" s="4" t="str" cm="1">
        <f t="array" ref="C67">_xlfn.IFS(B67&lt;20000, "P1",B67&lt;40000, "P2",B67&lt;70000, "P3",B67&lt;100000, "P4",B67&lt;200000,"M1",B67&lt;500000,"M2",B67&lt;1000000,"G1",B67&gt;1000000,"G2")</f>
        <v>P2</v>
      </c>
      <c r="D67" s="13">
        <f>VLOOKUP(C67,Controle!A$2:H$9,8,FALSE)</f>
        <v>20.095371623394037</v>
      </c>
      <c r="E67" s="13">
        <f>VLOOKUP(C67,Controle!A$16:H$23,8,FALSE)</f>
        <v>6.9551230392064429</v>
      </c>
      <c r="F67" s="5">
        <f>VLOOKUP(A67,Educacional!A$2:P$405,16,FALSE)</f>
        <v>67.893160850338916</v>
      </c>
      <c r="G67" s="6">
        <f>VLOOKUP(A67,Demográfico!A$2:L$405,12,FALSE)</f>
        <v>58.501322828357203</v>
      </c>
      <c r="H67" s="7">
        <f>VLOOKUP(A67,Socioeconômico!A$2:M$405,13,FALSE)</f>
        <v>36.525728670647887</v>
      </c>
      <c r="I67" s="16">
        <f>(2*F67+G67+2*H67)/5/100</f>
        <v>0.53467820374066166</v>
      </c>
      <c r="J67" s="15">
        <f>VLOOKUP(A67,Demográfico!A$2:E$400,5,FALSE)/(VLOOKUP(C67,Controle!A$2:G$9,7,FALSE))*D67</f>
        <v>0.49975967449572523</v>
      </c>
      <c r="K67" s="15">
        <f>VLOOKUP(A67,Demográfico!A$2:E$400,5,FALSE)/(VLOOKUP(C67,Controle!A$16:G$24,7,FALSE))*E67</f>
        <v>0.17296968134219881</v>
      </c>
      <c r="L67" s="118">
        <f>((J67*(1+I67))+3*(I67+K67))/4</f>
        <v>0.72247848370142465</v>
      </c>
      <c r="M67" s="3">
        <v>1</v>
      </c>
      <c r="N67" s="88">
        <f>VLOOKUP(A67,Demográfico!A$2:E$400,5,FALSE)*I67</f>
        <v>2283.0759299726251</v>
      </c>
      <c r="O67" s="96">
        <f>FLOOR(L67,1)</f>
        <v>0</v>
      </c>
      <c r="P67" s="96">
        <f>L67-O67</f>
        <v>0.72247848370142465</v>
      </c>
      <c r="Q67" s="87">
        <f>RANK(P67,P$2:P$400,0)</f>
        <v>31</v>
      </c>
      <c r="R67" s="3">
        <f>O67+IF(Q67&lt;Q$1,1,0)</f>
        <v>1</v>
      </c>
      <c r="T67" s="87">
        <f>VLOOKUP(A67,Demográfico!A$2:E$400,5,FALSE)*(I67)</f>
        <v>2283.0759299726251</v>
      </c>
    </row>
    <row r="68" spans="1:20" ht="19.5" x14ac:dyDescent="0.25">
      <c r="A68" s="2" t="s">
        <v>73</v>
      </c>
      <c r="B68" s="37">
        <v>29886</v>
      </c>
      <c r="C68" s="4" t="str" cm="1">
        <f t="array" ref="C68">_xlfn.IFS(B68&lt;20000, "P1",B68&lt;40000, "P2",B68&lt;70000, "P3",B68&lt;100000, "P4",B68&lt;200000,"M1",B68&lt;500000,"M2",B68&lt;1000000,"G1",B68&gt;1000000,"G2")</f>
        <v>P2</v>
      </c>
      <c r="D68" s="13">
        <f>VLOOKUP(C68,Controle!A$2:H$9,8,FALSE)</f>
        <v>20.095371623394037</v>
      </c>
      <c r="E68" s="13">
        <f>VLOOKUP(C68,Controle!A$16:H$23,8,FALSE)</f>
        <v>6.9551230392064429</v>
      </c>
      <c r="F68" s="5">
        <f>VLOOKUP(A68,Educacional!A$2:P$405,16,FALSE)</f>
        <v>74.689393151808602</v>
      </c>
      <c r="G68" s="6">
        <f>VLOOKUP(A68,Demográfico!A$2:L$405,12,FALSE)</f>
        <v>75.177540753535126</v>
      </c>
      <c r="H68" s="7">
        <f>VLOOKUP(A68,Socioeconômico!A$2:M$405,13,FALSE)</f>
        <v>56.410524737879832</v>
      </c>
      <c r="I68" s="16">
        <f>(2*F68+G68+2*H68)/5/100</f>
        <v>0.674754753065824</v>
      </c>
      <c r="J68" s="15">
        <f>VLOOKUP(A68,Demográfico!A$2:E$400,5,FALSE)/(VLOOKUP(C68,Controle!A$2:G$9,7,FALSE))*D68</f>
        <v>0.54481997301583163</v>
      </c>
      <c r="K68" s="15">
        <f>VLOOKUP(A68,Demográfico!A$2:E$400,5,FALSE)/(VLOOKUP(C68,Controle!A$16:G$24,7,FALSE))*E68</f>
        <v>0.18856530834846263</v>
      </c>
      <c r="L68" s="118">
        <f>((J68*(1+I68))+3*(I68+K68))/4</f>
        <v>0.87560000590407938</v>
      </c>
      <c r="M68" s="3">
        <v>1</v>
      </c>
      <c r="N68" s="88">
        <f>VLOOKUP(A68,Demográfico!A$2:E$400,5,FALSE)*I68</f>
        <v>3140.9833755214108</v>
      </c>
      <c r="O68" s="96">
        <f>FLOOR(L68,1)</f>
        <v>0</v>
      </c>
      <c r="P68" s="96">
        <f>L68-O68</f>
        <v>0.87560000590407938</v>
      </c>
      <c r="Q68" s="87">
        <f>RANK(P68,P$2:P$400,0)</f>
        <v>9</v>
      </c>
      <c r="R68" s="3">
        <f>O68+IF(Q68&lt;Q$1,1,0)</f>
        <v>1</v>
      </c>
      <c r="T68" s="87">
        <f>VLOOKUP(A68,Demográfico!A$2:E$400,5,FALSE)*(I68)</f>
        <v>3140.9833755214108</v>
      </c>
    </row>
    <row r="69" spans="1:20" ht="19.5" x14ac:dyDescent="0.25">
      <c r="A69" s="2" t="s">
        <v>74</v>
      </c>
      <c r="B69" s="37">
        <v>29122</v>
      </c>
      <c r="C69" s="4" t="str" cm="1">
        <f t="array" ref="C69">_xlfn.IFS(B69&lt;20000, "P1",B69&lt;40000, "P2",B69&lt;70000, "P3",B69&lt;100000, "P4",B69&lt;200000,"M1",B69&lt;500000,"M2",B69&lt;1000000,"G1",B69&gt;1000000,"G2")</f>
        <v>P2</v>
      </c>
      <c r="D69" s="13">
        <f>VLOOKUP(C69,Controle!A$2:H$9,8,FALSE)</f>
        <v>20.095371623394037</v>
      </c>
      <c r="E69" s="13">
        <f>VLOOKUP(C69,Controle!A$16:H$23,8,FALSE)</f>
        <v>6.9551230392064429</v>
      </c>
      <c r="F69" s="5">
        <f>VLOOKUP(A69,Educacional!A$2:P$405,16,FALSE)</f>
        <v>47.671895203474705</v>
      </c>
      <c r="G69" s="6">
        <f>VLOOKUP(A69,Demográfico!A$2:L$405,12,FALSE)</f>
        <v>51.738260626099695</v>
      </c>
      <c r="H69" s="7">
        <f>VLOOKUP(A69,Socioeconômico!A$2:M$405,13,FALSE)</f>
        <v>27.087186185824013</v>
      </c>
      <c r="I69" s="16">
        <f>(2*F69+G69+2*H69)/5/100</f>
        <v>0.40251284680939425</v>
      </c>
      <c r="J69" s="15">
        <f>VLOOKUP(A69,Demográfico!A$2:E$400,5,FALSE)/(VLOOKUP(C69,Controle!A$2:G$9,7,FALSE))*D69</f>
        <v>0.4653499919894622</v>
      </c>
      <c r="K69" s="15">
        <f>VLOOKUP(A69,Demográfico!A$2:E$400,5,FALSE)/(VLOOKUP(C69,Controle!A$16:G$24,7,FALSE))*E69</f>
        <v>0.16106029344650644</v>
      </c>
      <c r="L69" s="118">
        <f>((J69*(1+I69))+3*(I69+K69))/4</f>
        <v>0.58584469069889289</v>
      </c>
      <c r="M69" s="3">
        <v>1</v>
      </c>
      <c r="N69" s="88">
        <f>VLOOKUP(A69,Demográfico!A$2:E$400,5,FALSE)*I69</f>
        <v>1600.3910789141516</v>
      </c>
      <c r="O69" s="96">
        <f>FLOOR(L69,1)</f>
        <v>0</v>
      </c>
      <c r="P69" s="96">
        <f>L69-O69</f>
        <v>0.58584469069889289</v>
      </c>
      <c r="Q69" s="87">
        <f>RANK(P69,P$2:P$400,0)</f>
        <v>87</v>
      </c>
      <c r="R69" s="3">
        <f>O69+IF(Q69&lt;Q$1,1,0)</f>
        <v>1</v>
      </c>
      <c r="T69" s="87">
        <f>VLOOKUP(A69,Demográfico!A$2:E$400,5,FALSE)*(I69)</f>
        <v>1600.3910789141516</v>
      </c>
    </row>
    <row r="70" spans="1:20" ht="19.5" x14ac:dyDescent="0.25">
      <c r="A70" s="2" t="s">
        <v>75</v>
      </c>
      <c r="B70" s="37">
        <v>28830</v>
      </c>
      <c r="C70" s="4" t="str" cm="1">
        <f t="array" ref="C70">_xlfn.IFS(B70&lt;20000, "P1",B70&lt;40000, "P2",B70&lt;70000, "P3",B70&lt;100000, "P4",B70&lt;200000,"M1",B70&lt;500000,"M2",B70&lt;1000000,"G1",B70&gt;1000000,"G2")</f>
        <v>P2</v>
      </c>
      <c r="D70" s="13">
        <f>VLOOKUP(C70,Controle!A$2:H$9,8,FALSE)</f>
        <v>20.095371623394037</v>
      </c>
      <c r="E70" s="13">
        <f>VLOOKUP(C70,Controle!A$16:H$23,8,FALSE)</f>
        <v>6.9551230392064429</v>
      </c>
      <c r="F70" s="5">
        <f>VLOOKUP(A70,Educacional!A$2:P$405,16,FALSE)</f>
        <v>54.102604911337714</v>
      </c>
      <c r="G70" s="6">
        <f>VLOOKUP(A70,Demográfico!A$2:L$405,12,FALSE)</f>
        <v>44.745304429203436</v>
      </c>
      <c r="H70" s="7">
        <f>VLOOKUP(A70,Socioeconômico!A$2:M$405,13,FALSE)</f>
        <v>37.905939274829933</v>
      </c>
      <c r="I70" s="16">
        <f>(2*F70+G70+2*H70)/5/100</f>
        <v>0.45752478560307752</v>
      </c>
      <c r="J70" s="15">
        <f>VLOOKUP(A70,Demográfico!A$2:E$400,5,FALSE)/(VLOOKUP(C70,Controle!A$2:G$9,7,FALSE))*D70</f>
        <v>0.43772861419531911</v>
      </c>
      <c r="K70" s="15">
        <f>VLOOKUP(A70,Demográfico!A$2:E$400,5,FALSE)/(VLOOKUP(C70,Controle!A$16:G$24,7,FALSE))*E70</f>
        <v>0.15150037663227719</v>
      </c>
      <c r="L70" s="118">
        <f>((J70*(1+I70))+3*(I70+K70))/4</f>
        <v>0.61626894781585717</v>
      </c>
      <c r="M70" s="3">
        <v>1</v>
      </c>
      <c r="N70" s="88">
        <f>VLOOKUP(A70,Demográfico!A$2:E$400,5,FALSE)*I70</f>
        <v>1711.1426981555098</v>
      </c>
      <c r="O70" s="96">
        <f>FLOOR(L70,1)</f>
        <v>0</v>
      </c>
      <c r="P70" s="96">
        <f>L70-O70</f>
        <v>0.61626894781585717</v>
      </c>
      <c r="Q70" s="87">
        <f>RANK(P70,P$2:P$400,0)</f>
        <v>65</v>
      </c>
      <c r="R70" s="3">
        <f>O70+IF(Q70&lt;Q$1,1,0)</f>
        <v>1</v>
      </c>
      <c r="T70" s="87">
        <f>VLOOKUP(A70,Demográfico!A$2:E$400,5,FALSE)*(I70)</f>
        <v>1711.1426981555098</v>
      </c>
    </row>
    <row r="71" spans="1:20" ht="19.5" x14ac:dyDescent="0.25">
      <c r="A71" s="2" t="s">
        <v>76</v>
      </c>
      <c r="B71" s="37">
        <v>28437</v>
      </c>
      <c r="C71" s="4" t="str" cm="1">
        <f t="array" ref="C71">_xlfn.IFS(B71&lt;20000, "P1",B71&lt;40000, "P2",B71&lt;70000, "P3",B71&lt;100000, "P4",B71&lt;200000,"M1",B71&lt;500000,"M2",B71&lt;1000000,"G1",B71&gt;1000000,"G2")</f>
        <v>P2</v>
      </c>
      <c r="D71" s="13">
        <f>VLOOKUP(C71,Controle!A$2:H$9,8,FALSE)</f>
        <v>20.095371623394037</v>
      </c>
      <c r="E71" s="13">
        <f>VLOOKUP(C71,Controle!A$16:H$23,8,FALSE)</f>
        <v>6.9551230392064429</v>
      </c>
      <c r="F71" s="5">
        <f>VLOOKUP(A71,Educacional!A$2:P$405,16,FALSE)</f>
        <v>42.472187663263604</v>
      </c>
      <c r="G71" s="6">
        <f>VLOOKUP(A71,Demográfico!A$2:L$405,12,FALSE)</f>
        <v>36.172444824008174</v>
      </c>
      <c r="H71" s="7">
        <f>VLOOKUP(A71,Socioeconômico!A$2:M$405,13,FALSE)</f>
        <v>42.825525589271166</v>
      </c>
      <c r="I71" s="16">
        <f>(2*F71+G71+2*H71)/5/100</f>
        <v>0.4135357426581554</v>
      </c>
      <c r="J71" s="15">
        <f>VLOOKUP(A71,Demográfico!A$2:E$400,5,FALSE)/(VLOOKUP(C71,Controle!A$2:G$9,7,FALSE))*D71</f>
        <v>0.41455474638497863</v>
      </c>
      <c r="K71" s="15">
        <f>VLOOKUP(A71,Demográfico!A$2:E$400,5,FALSE)/(VLOOKUP(C71,Controle!A$16:G$24,7,FALSE))*E71</f>
        <v>0.14347976845762722</v>
      </c>
      <c r="L71" s="118">
        <f>((J71*(1+I71))+3*(I71+K71))/4</f>
        <v>0.56425862116277548</v>
      </c>
      <c r="M71" s="3">
        <v>1</v>
      </c>
      <c r="N71" s="88">
        <f>VLOOKUP(A71,Demográfico!A$2:E$400,5,FALSE)*I71</f>
        <v>1464.7436004951865</v>
      </c>
      <c r="O71" s="96">
        <f>FLOOR(L71,1)</f>
        <v>0</v>
      </c>
      <c r="P71" s="96">
        <f>L71-O71</f>
        <v>0.56425862116277548</v>
      </c>
      <c r="Q71" s="87">
        <f>RANK(P71,P$2:P$400,0)</f>
        <v>111</v>
      </c>
      <c r="R71" s="3">
        <f>O71+IF(Q71&lt;Q$1,1,0)</f>
        <v>1</v>
      </c>
      <c r="T71" s="87">
        <f>VLOOKUP(A71,Demográfico!A$2:E$400,5,FALSE)*(I71)</f>
        <v>1464.7436004951865</v>
      </c>
    </row>
    <row r="72" spans="1:20" ht="19.5" x14ac:dyDescent="0.25">
      <c r="A72" s="2" t="s">
        <v>77</v>
      </c>
      <c r="B72" s="37">
        <v>27439</v>
      </c>
      <c r="C72" s="4" t="str" cm="1">
        <f t="array" ref="C72">_xlfn.IFS(B72&lt;20000, "P1",B72&lt;40000, "P2",B72&lt;70000, "P3",B72&lt;100000, "P4",B72&lt;200000,"M1",B72&lt;500000,"M2",B72&lt;1000000,"G1",B72&gt;1000000,"G2")</f>
        <v>P2</v>
      </c>
      <c r="D72" s="13">
        <f>VLOOKUP(C72,Controle!A$2:H$9,8,FALSE)</f>
        <v>20.095371623394037</v>
      </c>
      <c r="E72" s="13">
        <f>VLOOKUP(C72,Controle!A$16:H$23,8,FALSE)</f>
        <v>6.9551230392064429</v>
      </c>
      <c r="F72" s="5">
        <f>VLOOKUP(A72,Educacional!A$2:P$405,16,FALSE)</f>
        <v>68.406167543555341</v>
      </c>
      <c r="G72" s="6">
        <f>VLOOKUP(A72,Demográfico!A$2:L$405,12,FALSE)</f>
        <v>55.148226883905608</v>
      </c>
      <c r="H72" s="7">
        <f>VLOOKUP(A72,Socioeconômico!A$2:M$405,13,FALSE)</f>
        <v>46.469517904095149</v>
      </c>
      <c r="I72" s="16">
        <f>(2*F72+G72+2*H72)/5/100</f>
        <v>0.56979919555841319</v>
      </c>
      <c r="J72" s="15">
        <f>VLOOKUP(A72,Demográfico!A$2:E$400,5,FALSE)/(VLOOKUP(C72,Controle!A$2:G$9,7,FALSE))*D72</f>
        <v>0.4605513627964119</v>
      </c>
      <c r="K72" s="15">
        <f>VLOOKUP(A72,Demográfico!A$2:E$400,5,FALSE)/(VLOOKUP(C72,Controle!A$16:G$24,7,FALSE))*E72</f>
        <v>0.15939946044064457</v>
      </c>
      <c r="L72" s="118">
        <f>((J72*(1+I72))+3*(I72+K72))/4</f>
        <v>0.72764228170707779</v>
      </c>
      <c r="M72" s="3">
        <v>1</v>
      </c>
      <c r="N72" s="88">
        <f>VLOOKUP(A72,Demográfico!A$2:E$400,5,FALSE)*I72</f>
        <v>2242.1598345223561</v>
      </c>
      <c r="O72" s="96">
        <f>FLOOR(L72,1)</f>
        <v>0</v>
      </c>
      <c r="P72" s="96">
        <f>L72-O72</f>
        <v>0.72764228170707779</v>
      </c>
      <c r="Q72" s="87">
        <f>RANK(P72,P$2:P$400,0)</f>
        <v>29</v>
      </c>
      <c r="R72" s="3">
        <f>O72+IF(Q72&lt;Q$1,1,0)</f>
        <v>1</v>
      </c>
      <c r="T72" s="87">
        <f>VLOOKUP(A72,Demográfico!A$2:E$400,5,FALSE)*(I72)</f>
        <v>2242.1598345223561</v>
      </c>
    </row>
    <row r="73" spans="1:20" ht="19.5" x14ac:dyDescent="0.25">
      <c r="A73" s="2" t="s">
        <v>78</v>
      </c>
      <c r="B73" s="37">
        <v>26585</v>
      </c>
      <c r="C73" s="4" t="str" cm="1">
        <f t="array" ref="C73">_xlfn.IFS(B73&lt;20000, "P1",B73&lt;40000, "P2",B73&lt;70000, "P3",B73&lt;100000, "P4",B73&lt;200000,"M1",B73&lt;500000,"M2",B73&lt;1000000,"G1",B73&gt;1000000,"G2")</f>
        <v>P2</v>
      </c>
      <c r="D73" s="13">
        <f>VLOOKUP(C73,Controle!A$2:H$9,8,FALSE)</f>
        <v>20.095371623394037</v>
      </c>
      <c r="E73" s="13">
        <f>VLOOKUP(C73,Controle!A$16:H$23,8,FALSE)</f>
        <v>6.9551230392064429</v>
      </c>
      <c r="F73" s="5">
        <f>VLOOKUP(A73,Educacional!A$2:P$405,16,FALSE)</f>
        <v>53.726295679820801</v>
      </c>
      <c r="G73" s="6">
        <f>VLOOKUP(A73,Demográfico!A$2:L$405,12,FALSE)</f>
        <v>35.433149522430277</v>
      </c>
      <c r="H73" s="7">
        <f>VLOOKUP(A73,Socioeconômico!A$2:M$405,13,FALSE)</f>
        <v>39.575075931610534</v>
      </c>
      <c r="I73" s="16">
        <f>(2*F73+G73+2*H73)/5/100</f>
        <v>0.44407178549058585</v>
      </c>
      <c r="J73" s="15">
        <f>VLOOKUP(A73,Demográfico!A$2:E$400,5,FALSE)/(VLOOKUP(C73,Controle!A$2:G$9,7,FALSE))*D73</f>
        <v>0.37370787837584324</v>
      </c>
      <c r="K73" s="15">
        <f>VLOOKUP(A73,Demográfico!A$2:E$400,5,FALSE)/(VLOOKUP(C73,Controle!A$16:G$24,7,FALSE))*E73</f>
        <v>0.12934243384675428</v>
      </c>
      <c r="L73" s="118">
        <f>((J73*(1+I73))+3*(I73+K73))/4</f>
        <v>0.56497591529753077</v>
      </c>
      <c r="M73" s="3">
        <v>1</v>
      </c>
      <c r="N73" s="88">
        <f>VLOOKUP(A73,Demográfico!A$2:E$400,5,FALSE)*I73</f>
        <v>1417.9212110714407</v>
      </c>
      <c r="O73" s="96">
        <f>FLOOR(L73,1)</f>
        <v>0</v>
      </c>
      <c r="P73" s="96">
        <f>L73-O73</f>
        <v>0.56497591529753077</v>
      </c>
      <c r="Q73" s="87">
        <f>RANK(P73,P$2:P$400,0)</f>
        <v>110</v>
      </c>
      <c r="R73" s="3">
        <f>O73+IF(Q73&lt;Q$1,1,0)</f>
        <v>1</v>
      </c>
      <c r="T73" s="87">
        <f>VLOOKUP(A73,Demográfico!A$2:E$400,5,FALSE)*(I73)</f>
        <v>1417.9212110714407</v>
      </c>
    </row>
    <row r="74" spans="1:20" ht="19.5" x14ac:dyDescent="0.25">
      <c r="A74" s="2" t="s">
        <v>79</v>
      </c>
      <c r="B74" s="37">
        <v>25777</v>
      </c>
      <c r="C74" s="4" t="str" cm="1">
        <f t="array" ref="C74">_xlfn.IFS(B74&lt;20000, "P1",B74&lt;40000, "P2",B74&lt;70000, "P3",B74&lt;100000, "P4",B74&lt;200000,"M1",B74&lt;500000,"M2",B74&lt;1000000,"G1",B74&gt;1000000,"G2")</f>
        <v>P2</v>
      </c>
      <c r="D74" s="13">
        <f>VLOOKUP(C74,Controle!A$2:H$9,8,FALSE)</f>
        <v>20.095371623394037</v>
      </c>
      <c r="E74" s="13">
        <f>VLOOKUP(C74,Controle!A$16:H$23,8,FALSE)</f>
        <v>6.9551230392064429</v>
      </c>
      <c r="F74" s="5">
        <f>VLOOKUP(A74,Educacional!A$2:P$405,16,FALSE)</f>
        <v>62.380901367808605</v>
      </c>
      <c r="G74" s="6">
        <f>VLOOKUP(A74,Demográfico!A$2:L$405,12,FALSE)</f>
        <v>64.689216520569119</v>
      </c>
      <c r="H74" s="7">
        <f>VLOOKUP(A74,Socioeconômico!A$2:M$405,13,FALSE)</f>
        <v>34.076690438540844</v>
      </c>
      <c r="I74" s="16">
        <f>(2*F74+G74+2*H74)/5/100</f>
        <v>0.51520880026653604</v>
      </c>
      <c r="J74" s="15">
        <f>VLOOKUP(A74,Demográfico!A$2:E$400,5,FALSE)/(VLOOKUP(C74,Controle!A$2:G$9,7,FALSE))*D74</f>
        <v>0.43737749498607154</v>
      </c>
      <c r="K74" s="15">
        <f>VLOOKUP(A74,Demográfico!A$2:E$400,5,FALSE)/(VLOOKUP(C74,Controle!A$16:G$24,7,FALSE))*E74</f>
        <v>0.15137885226599462</v>
      </c>
      <c r="L74" s="118">
        <f>((J74*(1+I74))+3*(I74+K74))/4</f>
        <v>0.66562029675975509</v>
      </c>
      <c r="M74" s="3">
        <v>1</v>
      </c>
      <c r="N74" s="88">
        <f>VLOOKUP(A74,Demográfico!A$2:E$400,5,FALSE)*I74</f>
        <v>1925.3352865960451</v>
      </c>
      <c r="O74" s="96">
        <f>FLOOR(L74,1)</f>
        <v>0</v>
      </c>
      <c r="P74" s="96">
        <f>L74-O74</f>
        <v>0.66562029675975509</v>
      </c>
      <c r="Q74" s="87">
        <f>RANK(P74,P$2:P$400,0)</f>
        <v>45</v>
      </c>
      <c r="R74" s="3">
        <f>O74+IF(Q74&lt;Q$1,1,0)</f>
        <v>1</v>
      </c>
      <c r="T74" s="87">
        <f>VLOOKUP(A74,Demográfico!A$2:E$400,5,FALSE)*(I74)</f>
        <v>1925.3352865960451</v>
      </c>
    </row>
    <row r="75" spans="1:20" ht="19.5" x14ac:dyDescent="0.25">
      <c r="A75" s="2" t="s">
        <v>80</v>
      </c>
      <c r="B75" s="37">
        <v>25492</v>
      </c>
      <c r="C75" s="4" t="str" cm="1">
        <f t="array" ref="C75">_xlfn.IFS(B75&lt;20000, "P1",B75&lt;40000, "P2",B75&lt;70000, "P3",B75&lt;100000, "P4",B75&lt;200000,"M1",B75&lt;500000,"M2",B75&lt;1000000,"G1",B75&gt;1000000,"G2")</f>
        <v>P2</v>
      </c>
      <c r="D75" s="13">
        <f>VLOOKUP(C75,Controle!A$2:H$9,8,FALSE)</f>
        <v>20.095371623394037</v>
      </c>
      <c r="E75" s="13">
        <f>VLOOKUP(C75,Controle!A$16:H$23,8,FALSE)</f>
        <v>6.9551230392064429</v>
      </c>
      <c r="F75" s="5">
        <f>VLOOKUP(A75,Educacional!A$2:P$405,16,FALSE)</f>
        <v>37.366608203228893</v>
      </c>
      <c r="G75" s="6">
        <f>VLOOKUP(A75,Demográfico!A$2:L$405,12,FALSE)</f>
        <v>42.724956336928898</v>
      </c>
      <c r="H75" s="7">
        <f>VLOOKUP(A75,Socioeconômico!A$2:M$405,13,FALSE)</f>
        <v>26.949838578310221</v>
      </c>
      <c r="I75" s="16">
        <f>(2*F75+G75+2*H75)/5/100</f>
        <v>0.34271569980001426</v>
      </c>
      <c r="J75" s="15">
        <f>VLOOKUP(A75,Demográfico!A$2:E$400,5,FALSE)/(VLOOKUP(C75,Controle!A$2:G$9,7,FALSE))*D75</f>
        <v>0.38658224938158792</v>
      </c>
      <c r="K75" s="15">
        <f>VLOOKUP(A75,Demográfico!A$2:E$400,5,FALSE)/(VLOOKUP(C75,Controle!A$16:G$24,7,FALSE))*E75</f>
        <v>0.13379832727711538</v>
      </c>
      <c r="L75" s="118">
        <f>((J75*(1+I75))+3*(I75+K75))/4</f>
        <v>0.48715303418501282</v>
      </c>
      <c r="M75" s="3">
        <v>1</v>
      </c>
      <c r="N75" s="88">
        <f>VLOOKUP(A75,Demográfico!A$2:E$400,5,FALSE)*I75</f>
        <v>1131.989956439447</v>
      </c>
      <c r="O75" s="96">
        <f>FLOOR(L75,1)</f>
        <v>0</v>
      </c>
      <c r="P75" s="96">
        <f>L75-O75</f>
        <v>0.48715303418501282</v>
      </c>
      <c r="Q75" s="87">
        <f>RANK(P75,P$2:P$400,0)</f>
        <v>171</v>
      </c>
      <c r="R75" s="3">
        <f>O75+IF(Q75&lt;Q$1,1,0)</f>
        <v>1</v>
      </c>
      <c r="T75" s="87">
        <f>VLOOKUP(A75,Demográfico!A$2:E$400,5,FALSE)*(I75)</f>
        <v>1131.989956439447</v>
      </c>
    </row>
    <row r="76" spans="1:20" ht="19.5" x14ac:dyDescent="0.25">
      <c r="A76" s="2" t="s">
        <v>81</v>
      </c>
      <c r="B76" s="37">
        <v>25475</v>
      </c>
      <c r="C76" s="4" t="str" cm="1">
        <f t="array" ref="C76">_xlfn.IFS(B76&lt;20000, "P1",B76&lt;40000, "P2",B76&lt;70000, "P3",B76&lt;100000, "P4",B76&lt;200000,"M1",B76&lt;500000,"M2",B76&lt;1000000,"G1",B76&gt;1000000,"G2")</f>
        <v>P2</v>
      </c>
      <c r="D76" s="13">
        <f>VLOOKUP(C76,Controle!A$2:H$9,8,FALSE)</f>
        <v>20.095371623394037</v>
      </c>
      <c r="E76" s="13">
        <f>VLOOKUP(C76,Controle!A$16:H$23,8,FALSE)</f>
        <v>6.9551230392064429</v>
      </c>
      <c r="F76" s="5">
        <f>VLOOKUP(A76,Educacional!A$2:P$405,16,FALSE)</f>
        <v>50.414264785212261</v>
      </c>
      <c r="G76" s="6">
        <f>VLOOKUP(A76,Demográfico!A$2:L$405,12,FALSE)</f>
        <v>56.874393190168412</v>
      </c>
      <c r="H76" s="7">
        <f>VLOOKUP(A76,Socioeconômico!A$2:M$405,13,FALSE)</f>
        <v>33.407136280744631</v>
      </c>
      <c r="I76" s="16">
        <f>(2*F76+G76+2*H76)/5/100</f>
        <v>0.44903439064416445</v>
      </c>
      <c r="J76" s="15">
        <f>VLOOKUP(A76,Demográfico!A$2:E$400,5,FALSE)/(VLOOKUP(C76,Controle!A$2:G$9,7,FALSE))*D76</f>
        <v>0.37183524259318951</v>
      </c>
      <c r="K76" s="15">
        <f>VLOOKUP(A76,Demográfico!A$2:E$400,5,FALSE)/(VLOOKUP(C76,Controle!A$16:G$24,7,FALSE))*E76</f>
        <v>0.12869430389324724</v>
      </c>
      <c r="L76" s="118">
        <f>((J76*(1+I76))+3*(I76+K76))/4</f>
        <v>0.56799703444582073</v>
      </c>
      <c r="M76" s="3">
        <v>1</v>
      </c>
      <c r="N76" s="88">
        <f>VLOOKUP(A76,Demográfico!A$2:E$400,5,FALSE)*I76</f>
        <v>1426.5822590765104</v>
      </c>
      <c r="O76" s="96">
        <f>FLOOR(L76,1)</f>
        <v>0</v>
      </c>
      <c r="P76" s="96">
        <f>L76-O76</f>
        <v>0.56799703444582073</v>
      </c>
      <c r="Q76" s="87">
        <f>RANK(P76,P$2:P$400,0)</f>
        <v>107</v>
      </c>
      <c r="R76" s="3">
        <f>O76+IF(Q76&lt;Q$1,1,0)</f>
        <v>1</v>
      </c>
      <c r="T76" s="87">
        <f>VLOOKUP(A76,Demográfico!A$2:E$400,5,FALSE)*(I76)</f>
        <v>1426.5822590765104</v>
      </c>
    </row>
    <row r="77" spans="1:20" ht="19.5" x14ac:dyDescent="0.25">
      <c r="A77" s="2" t="s">
        <v>82</v>
      </c>
      <c r="B77" s="37">
        <v>24749</v>
      </c>
      <c r="C77" s="4" t="str" cm="1">
        <f t="array" ref="C77">_xlfn.IFS(B77&lt;20000, "P1",B77&lt;40000, "P2",B77&lt;70000, "P3",B77&lt;100000, "P4",B77&lt;200000,"M1",B77&lt;500000,"M2",B77&lt;1000000,"G1",B77&gt;1000000,"G2")</f>
        <v>P2</v>
      </c>
      <c r="D77" s="13">
        <f>VLOOKUP(C77,Controle!A$2:H$9,8,FALSE)</f>
        <v>20.095371623394037</v>
      </c>
      <c r="E77" s="13">
        <f>VLOOKUP(C77,Controle!A$16:H$23,8,FALSE)</f>
        <v>6.9551230392064429</v>
      </c>
      <c r="F77" s="5">
        <f>VLOOKUP(A77,Educacional!A$2:P$405,16,FALSE)</f>
        <v>47.647051797853621</v>
      </c>
      <c r="G77" s="6">
        <f>VLOOKUP(A77,Demográfico!A$2:L$405,12,FALSE)</f>
        <v>35.952184523021238</v>
      </c>
      <c r="H77" s="7">
        <f>VLOOKUP(A77,Socioeconômico!A$2:M$405,13,FALSE)</f>
        <v>24.776776551922687</v>
      </c>
      <c r="I77" s="16">
        <f>(2*F77+G77+2*H77)/5/100</f>
        <v>0.36159968244514767</v>
      </c>
      <c r="J77" s="15">
        <f>VLOOKUP(A77,Demográfico!A$2:E$400,5,FALSE)/(VLOOKUP(C77,Controle!A$2:G$9,7,FALSE))*D77</f>
        <v>0.37171820285677365</v>
      </c>
      <c r="K77" s="15">
        <f>VLOOKUP(A77,Demográfico!A$2:E$400,5,FALSE)/(VLOOKUP(C77,Controle!A$16:G$24,7,FALSE))*E77</f>
        <v>0.12865379577115305</v>
      </c>
      <c r="L77" s="118">
        <f>((J77*(1+I77))+3*(I77+K77))/4</f>
        <v>0.4942229554044415</v>
      </c>
      <c r="M77" s="3">
        <v>1</v>
      </c>
      <c r="N77" s="88">
        <f>VLOOKUP(A77,Demográfico!A$2:E$400,5,FALSE)*I77</f>
        <v>1148.4405914457891</v>
      </c>
      <c r="O77" s="96">
        <f>FLOOR(L77,1)</f>
        <v>0</v>
      </c>
      <c r="P77" s="96">
        <f>L77-O77</f>
        <v>0.4942229554044415</v>
      </c>
      <c r="Q77" s="87">
        <f>RANK(P77,P$2:P$400,0)</f>
        <v>164</v>
      </c>
      <c r="R77" s="3">
        <f>O77+IF(Q77&lt;Q$1,1,0)</f>
        <v>1</v>
      </c>
      <c r="T77" s="87">
        <f>VLOOKUP(A77,Demográfico!A$2:E$400,5,FALSE)*(I77)</f>
        <v>1148.4405914457891</v>
      </c>
    </row>
    <row r="78" spans="1:20" ht="19.5" x14ac:dyDescent="0.25">
      <c r="A78" s="2" t="s">
        <v>83</v>
      </c>
      <c r="B78" s="37">
        <v>24573</v>
      </c>
      <c r="C78" s="4" t="str" cm="1">
        <f t="array" ref="C78">_xlfn.IFS(B78&lt;20000, "P1",B78&lt;40000, "P2",B78&lt;70000, "P3",B78&lt;100000, "P4",B78&lt;200000,"M1",B78&lt;500000,"M2",B78&lt;1000000,"G1",B78&gt;1000000,"G2")</f>
        <v>P2</v>
      </c>
      <c r="D78" s="13">
        <f>VLOOKUP(C78,Controle!A$2:H$9,8,FALSE)</f>
        <v>20.095371623394037</v>
      </c>
      <c r="E78" s="13">
        <f>VLOOKUP(C78,Controle!A$16:H$23,8,FALSE)</f>
        <v>6.9551230392064429</v>
      </c>
      <c r="F78" s="5">
        <f>VLOOKUP(A78,Educacional!A$2:P$405,16,FALSE)</f>
        <v>68.942234369026522</v>
      </c>
      <c r="G78" s="6">
        <f>VLOOKUP(A78,Demográfico!A$2:L$405,12,FALSE)</f>
        <v>56.538362193177768</v>
      </c>
      <c r="H78" s="7">
        <f>VLOOKUP(A78,Socioeconômico!A$2:M$405,13,FALSE)</f>
        <v>57.052920067343535</v>
      </c>
      <c r="I78" s="16">
        <f>(2*F78+G78+2*H78)/5/100</f>
        <v>0.61705734213183572</v>
      </c>
      <c r="J78" s="15">
        <f>VLOOKUP(A78,Demográfico!A$2:E$400,5,FALSE)/(VLOOKUP(C78,Controle!A$2:G$9,7,FALSE))*D78</f>
        <v>0.41022427613759177</v>
      </c>
      <c r="K78" s="15">
        <f>VLOOKUP(A78,Demográfico!A$2:E$400,5,FALSE)/(VLOOKUP(C78,Controle!A$16:G$24,7,FALSE))*E78</f>
        <v>0.14198096794014212</v>
      </c>
      <c r="L78" s="118">
        <f>((J78*(1+I78))+3*(I78+K78))/4</f>
        <v>0.73511777696623604</v>
      </c>
      <c r="M78" s="3">
        <v>1</v>
      </c>
      <c r="N78" s="88">
        <f>VLOOKUP(A78,Demográfico!A$2:E$400,5,FALSE)*I78</f>
        <v>2162.7859841720842</v>
      </c>
      <c r="O78" s="96">
        <f>FLOOR(L78,1)</f>
        <v>0</v>
      </c>
      <c r="P78" s="96">
        <f>L78-O78</f>
        <v>0.73511777696623604</v>
      </c>
      <c r="Q78" s="87">
        <f>RANK(P78,P$2:P$400,0)</f>
        <v>27</v>
      </c>
      <c r="R78" s="3">
        <f>O78+IF(Q78&lt;Q$1,1,0)</f>
        <v>1</v>
      </c>
      <c r="T78" s="87">
        <f>VLOOKUP(A78,Demográfico!A$2:E$400,5,FALSE)*(I78)</f>
        <v>2162.7859841720842</v>
      </c>
    </row>
    <row r="79" spans="1:20" ht="19.5" x14ac:dyDescent="0.25">
      <c r="A79" s="2" t="s">
        <v>84</v>
      </c>
      <c r="B79" s="37">
        <v>24262</v>
      </c>
      <c r="C79" s="4" t="str" cm="1">
        <f t="array" ref="C79">_xlfn.IFS(B79&lt;20000, "P1",B79&lt;40000, "P2",B79&lt;70000, "P3",B79&lt;100000, "P4",B79&lt;200000,"M1",B79&lt;500000,"M2",B79&lt;1000000,"G1",B79&gt;1000000,"G2")</f>
        <v>P2</v>
      </c>
      <c r="D79" s="13">
        <f>VLOOKUP(C79,Controle!A$2:H$9,8,FALSE)</f>
        <v>20.095371623394037</v>
      </c>
      <c r="E79" s="13">
        <f>VLOOKUP(C79,Controle!A$16:H$23,8,FALSE)</f>
        <v>6.9551230392064429</v>
      </c>
      <c r="F79" s="5">
        <f>VLOOKUP(A79,Educacional!A$2:P$405,16,FALSE)</f>
        <v>56.067521207432804</v>
      </c>
      <c r="G79" s="6">
        <f>VLOOKUP(A79,Demográfico!A$2:L$405,12,FALSE)</f>
        <v>60.504093818936155</v>
      </c>
      <c r="H79" s="7">
        <f>VLOOKUP(A79,Socioeconômico!A$2:M$405,13,FALSE)</f>
        <v>36.553586639327804</v>
      </c>
      <c r="I79" s="16">
        <f>(2*F79+G79+2*H79)/5/100</f>
        <v>0.49149261902491476</v>
      </c>
      <c r="J79" s="15">
        <f>VLOOKUP(A79,Demográfico!A$2:E$400,5,FALSE)/(VLOOKUP(C79,Controle!A$2:G$9,7,FALSE))*D79</f>
        <v>0.37792130888681424</v>
      </c>
      <c r="K79" s="15">
        <f>VLOOKUP(A79,Demográfico!A$2:E$400,5,FALSE)/(VLOOKUP(C79,Controle!A$16:G$24,7,FALSE))*E79</f>
        <v>0.1308007262421452</v>
      </c>
      <c r="L79" s="118">
        <f>((J79*(1+I79))+3*(I79+K79))/4</f>
        <v>0.60763671964452459</v>
      </c>
      <c r="M79" s="3">
        <v>1</v>
      </c>
      <c r="N79" s="88">
        <f>VLOOKUP(A79,Demográfico!A$2:E$400,5,FALSE)*I79</f>
        <v>1587.0296668314497</v>
      </c>
      <c r="O79" s="96">
        <f>FLOOR(L79,1)</f>
        <v>0</v>
      </c>
      <c r="P79" s="96">
        <f>L79-O79</f>
        <v>0.60763671964452459</v>
      </c>
      <c r="Q79" s="87">
        <f>RANK(P79,P$2:P$400,0)</f>
        <v>69</v>
      </c>
      <c r="R79" s="3">
        <f>O79+IF(Q79&lt;Q$1,1,0)</f>
        <v>1</v>
      </c>
      <c r="T79" s="87">
        <f>VLOOKUP(A79,Demográfico!A$2:E$400,5,FALSE)*(I79)</f>
        <v>1587.0296668314497</v>
      </c>
    </row>
    <row r="80" spans="1:20" ht="19.5" x14ac:dyDescent="0.25">
      <c r="A80" s="2" t="s">
        <v>85</v>
      </c>
      <c r="B80" s="37">
        <v>24192</v>
      </c>
      <c r="C80" s="4" t="str" cm="1">
        <f t="array" ref="C80">_xlfn.IFS(B80&lt;20000, "P1",B80&lt;40000, "P2",B80&lt;70000, "P3",B80&lt;100000, "P4",B80&lt;200000,"M1",B80&lt;500000,"M2",B80&lt;1000000,"G1",B80&gt;1000000,"G2")</f>
        <v>P2</v>
      </c>
      <c r="D80" s="13">
        <f>VLOOKUP(C80,Controle!A$2:H$9,8,FALSE)</f>
        <v>20.095371623394037</v>
      </c>
      <c r="E80" s="13">
        <f>VLOOKUP(C80,Controle!A$16:H$23,8,FALSE)</f>
        <v>6.9551230392064429</v>
      </c>
      <c r="F80" s="5">
        <f>VLOOKUP(A80,Educacional!A$2:P$405,16,FALSE)</f>
        <v>73.363662482825802</v>
      </c>
      <c r="G80" s="6">
        <f>VLOOKUP(A80,Demográfico!A$2:L$405,12,FALSE)</f>
        <v>52.839744558566274</v>
      </c>
      <c r="H80" s="7">
        <f>VLOOKUP(A80,Socioeconômico!A$2:M$405,13,FALSE)</f>
        <v>36.192302979862298</v>
      </c>
      <c r="I80" s="16">
        <f>(2*F80+G80+2*H80)/5/100</f>
        <v>0.543903350967885</v>
      </c>
      <c r="J80" s="15">
        <f>VLOOKUP(A80,Demográfico!A$2:E$400,5,FALSE)/(VLOOKUP(C80,Controle!A$2:G$9,7,FALSE))*D80</f>
        <v>0.41993857426010822</v>
      </c>
      <c r="K80" s="15">
        <f>VLOOKUP(A80,Demográfico!A$2:E$400,5,FALSE)/(VLOOKUP(C80,Controle!A$16:G$24,7,FALSE))*E80</f>
        <v>0.14534314207396004</v>
      </c>
      <c r="L80" s="118">
        <f>((J80*(1+I80))+3*(I80+K80))/4</f>
        <v>0.6790210127815981</v>
      </c>
      <c r="M80" s="3">
        <v>1</v>
      </c>
      <c r="N80" s="88">
        <f>VLOOKUP(A80,Demográfico!A$2:E$400,5,FALSE)*I80</f>
        <v>1951.5252232727714</v>
      </c>
      <c r="O80" s="96">
        <f>FLOOR(L80,1)</f>
        <v>0</v>
      </c>
      <c r="P80" s="96">
        <f>L80-O80</f>
        <v>0.6790210127815981</v>
      </c>
      <c r="Q80" s="87">
        <f>RANK(P80,P$2:P$400,0)</f>
        <v>40</v>
      </c>
      <c r="R80" s="3">
        <f>O80+IF(Q80&lt;Q$1,1,0)</f>
        <v>1</v>
      </c>
      <c r="T80" s="87">
        <f>VLOOKUP(A80,Demográfico!A$2:E$400,5,FALSE)*(I80)</f>
        <v>1951.5252232727714</v>
      </c>
    </row>
    <row r="81" spans="1:20" ht="19.5" x14ac:dyDescent="0.25">
      <c r="A81" s="2" t="s">
        <v>86</v>
      </c>
      <c r="B81" s="37">
        <v>24191</v>
      </c>
      <c r="C81" s="4" t="str" cm="1">
        <f t="array" ref="C81">_xlfn.IFS(B81&lt;20000, "P1",B81&lt;40000, "P2",B81&lt;70000, "P3",B81&lt;100000, "P4",B81&lt;200000,"M1",B81&lt;500000,"M2",B81&lt;1000000,"G1",B81&gt;1000000,"G2")</f>
        <v>P2</v>
      </c>
      <c r="D81" s="13">
        <f>VLOOKUP(C81,Controle!A$2:H$9,8,FALSE)</f>
        <v>20.095371623394037</v>
      </c>
      <c r="E81" s="13">
        <f>VLOOKUP(C81,Controle!A$16:H$23,8,FALSE)</f>
        <v>6.9551230392064429</v>
      </c>
      <c r="F81" s="5">
        <f>VLOOKUP(A81,Educacional!A$2:P$405,16,FALSE)</f>
        <v>61.443611300613036</v>
      </c>
      <c r="G81" s="6">
        <f>VLOOKUP(A81,Demográfico!A$2:L$405,12,FALSE)</f>
        <v>43.490970060359182</v>
      </c>
      <c r="H81" s="7">
        <f>VLOOKUP(A81,Socioeconômico!A$2:M$405,13,FALSE)</f>
        <v>11.276520074213249</v>
      </c>
      <c r="I81" s="16">
        <f>(2*F81+G81+2*H81)/5/100</f>
        <v>0.37786246562002346</v>
      </c>
      <c r="J81" s="15">
        <f>VLOOKUP(A81,Demográfico!A$2:E$400,5,FALSE)/(VLOOKUP(C81,Controle!A$2:G$9,7,FALSE))*D81</f>
        <v>0.41256507086590899</v>
      </c>
      <c r="K81" s="15">
        <f>VLOOKUP(A81,Demográfico!A$2:E$400,5,FALSE)/(VLOOKUP(C81,Controle!A$16:G$24,7,FALSE))*E81</f>
        <v>0.14279113038202595</v>
      </c>
      <c r="L81" s="118">
        <f>((J81*(1+I81))+3*(I81+K81))/4</f>
        <v>0.53260467844453729</v>
      </c>
      <c r="M81" s="3">
        <v>1</v>
      </c>
      <c r="N81" s="88">
        <f>VLOOKUP(A81,Demográfico!A$2:E$400,5,FALSE)*I81</f>
        <v>1331.9651913105827</v>
      </c>
      <c r="O81" s="96">
        <f>FLOOR(L81,1)</f>
        <v>0</v>
      </c>
      <c r="P81" s="96">
        <f>L81-O81</f>
        <v>0.53260467844453729</v>
      </c>
      <c r="Q81" s="87">
        <f>RANK(P81,P$2:P$400,0)</f>
        <v>129</v>
      </c>
      <c r="R81" s="3">
        <f>O81+IF(Q81&lt;Q$1,1,0)</f>
        <v>1</v>
      </c>
      <c r="T81" s="87">
        <f>VLOOKUP(A81,Demográfico!A$2:E$400,5,FALSE)*(I81)</f>
        <v>1331.9651913105827</v>
      </c>
    </row>
    <row r="82" spans="1:20" ht="19.5" x14ac:dyDescent="0.25">
      <c r="A82" s="2" t="s">
        <v>87</v>
      </c>
      <c r="B82" s="37">
        <v>23831</v>
      </c>
      <c r="C82" s="4" t="str" cm="1">
        <f t="array" ref="C82">_xlfn.IFS(B82&lt;20000, "P1",B82&lt;40000, "P2",B82&lt;70000, "P3",B82&lt;100000, "P4",B82&lt;200000,"M1",B82&lt;500000,"M2",B82&lt;1000000,"G1",B82&gt;1000000,"G2")</f>
        <v>P2</v>
      </c>
      <c r="D82" s="13">
        <f>VLOOKUP(C82,Controle!A$2:H$9,8,FALSE)</f>
        <v>20.095371623394037</v>
      </c>
      <c r="E82" s="13">
        <f>VLOOKUP(C82,Controle!A$16:H$23,8,FALSE)</f>
        <v>6.9551230392064429</v>
      </c>
      <c r="F82" s="5">
        <f>VLOOKUP(A82,Educacional!A$2:P$405,16,FALSE)</f>
        <v>42.286846823647814</v>
      </c>
      <c r="G82" s="6">
        <f>VLOOKUP(A82,Demográfico!A$2:L$405,12,FALSE)</f>
        <v>41.312157944183141</v>
      </c>
      <c r="H82" s="7">
        <f>VLOOKUP(A82,Socioeconômico!A$2:M$405,13,FALSE)</f>
        <v>34.502874158446744</v>
      </c>
      <c r="I82" s="16">
        <f>(2*F82+G82+2*H82)/5/100</f>
        <v>0.38978319981674453</v>
      </c>
      <c r="J82" s="15">
        <f>VLOOKUP(A82,Demográfico!A$2:E$400,5,FALSE)/(VLOOKUP(C82,Controle!A$2:G$9,7,FALSE))*D82</f>
        <v>0.33695740114126305</v>
      </c>
      <c r="K82" s="15">
        <f>VLOOKUP(A82,Demográfico!A$2:E$400,5,FALSE)/(VLOOKUP(C82,Controle!A$16:G$24,7,FALSE))*E82</f>
        <v>0.1166228835091781</v>
      </c>
      <c r="L82" s="118">
        <f>((J82*(1+I82))+3*(I82+K82))/4</f>
        <v>0.49687899628445165</v>
      </c>
      <c r="M82" s="3">
        <v>1</v>
      </c>
      <c r="N82" s="88">
        <f>VLOOKUP(A82,Demográfico!A$2:E$400,5,FALSE)*I82</f>
        <v>1122.1858322724074</v>
      </c>
      <c r="O82" s="96">
        <f>FLOOR(L82,1)</f>
        <v>0</v>
      </c>
      <c r="P82" s="96">
        <f>L82-O82</f>
        <v>0.49687899628445165</v>
      </c>
      <c r="Q82" s="87">
        <f>RANK(P82,P$2:P$400,0)</f>
        <v>159</v>
      </c>
      <c r="R82" s="3">
        <f>O82+IF(Q82&lt;Q$1,1,0)</f>
        <v>1</v>
      </c>
      <c r="T82" s="87">
        <f>VLOOKUP(A82,Demográfico!A$2:E$400,5,FALSE)*(I82)</f>
        <v>1122.1858322724074</v>
      </c>
    </row>
    <row r="83" spans="1:20" ht="19.5" x14ac:dyDescent="0.25">
      <c r="A83" s="2" t="s">
        <v>88</v>
      </c>
      <c r="B83" s="37">
        <v>23673</v>
      </c>
      <c r="C83" s="4" t="str" cm="1">
        <f t="array" ref="C83">_xlfn.IFS(B83&lt;20000, "P1",B83&lt;40000, "P2",B83&lt;70000, "P3",B83&lt;100000, "P4",B83&lt;200000,"M1",B83&lt;500000,"M2",B83&lt;1000000,"G1",B83&gt;1000000,"G2")</f>
        <v>P2</v>
      </c>
      <c r="D83" s="13">
        <f>VLOOKUP(C83,Controle!A$2:H$9,8,FALSE)</f>
        <v>20.095371623394037</v>
      </c>
      <c r="E83" s="13">
        <f>VLOOKUP(C83,Controle!A$16:H$23,8,FALSE)</f>
        <v>6.9551230392064429</v>
      </c>
      <c r="F83" s="5">
        <f>VLOOKUP(A83,Educacional!A$2:P$405,16,FALSE)</f>
        <v>67.267103888243355</v>
      </c>
      <c r="G83" s="6">
        <f>VLOOKUP(A83,Demográfico!A$2:L$405,12,FALSE)</f>
        <v>37.262727025749008</v>
      </c>
      <c r="H83" s="7">
        <f>VLOOKUP(A83,Socioeconômico!A$2:M$405,13,FALSE)</f>
        <v>34.926424220431265</v>
      </c>
      <c r="I83" s="16">
        <f>(2*F83+G83+2*H83)/5/100</f>
        <v>0.48329956648619643</v>
      </c>
      <c r="J83" s="15">
        <f>VLOOKUP(A83,Demográfico!A$2:E$400,5,FALSE)/(VLOOKUP(C83,Controle!A$2:G$9,7,FALSE))*D83</f>
        <v>0.37675091152265566</v>
      </c>
      <c r="K83" s="15">
        <f>VLOOKUP(A83,Demográfico!A$2:E$400,5,FALSE)/(VLOOKUP(C83,Controle!A$16:G$24,7,FALSE))*E83</f>
        <v>0.13039564502120329</v>
      </c>
      <c r="L83" s="118">
        <f>((J83*(1+I83))+3*(I83+K83))/4</f>
        <v>0.59998002456425836</v>
      </c>
      <c r="M83" s="3">
        <v>1</v>
      </c>
      <c r="N83" s="88">
        <f>VLOOKUP(A83,Demográfico!A$2:E$400,5,FALSE)*I83</f>
        <v>1555.7413045190663</v>
      </c>
      <c r="O83" s="96">
        <f>FLOOR(L83,1)</f>
        <v>0</v>
      </c>
      <c r="P83" s="96">
        <f>L83-O83</f>
        <v>0.59998002456425836</v>
      </c>
      <c r="Q83" s="87">
        <f>RANK(P83,P$2:P$400,0)</f>
        <v>74</v>
      </c>
      <c r="R83" s="3">
        <f>O83+IF(Q83&lt;Q$1,1,0)</f>
        <v>1</v>
      </c>
      <c r="T83" s="87">
        <f>VLOOKUP(A83,Demográfico!A$2:E$400,5,FALSE)*(I83)</f>
        <v>1555.7413045190663</v>
      </c>
    </row>
    <row r="84" spans="1:20" ht="19.5" x14ac:dyDescent="0.25">
      <c r="A84" s="2" t="s">
        <v>89</v>
      </c>
      <c r="B84" s="37">
        <v>23651</v>
      </c>
      <c r="C84" s="4" t="str" cm="1">
        <f t="array" ref="C84">_xlfn.IFS(B84&lt;20000, "P1",B84&lt;40000, "P2",B84&lt;70000, "P3",B84&lt;100000, "P4",B84&lt;200000,"M1",B84&lt;500000,"M2",B84&lt;1000000,"G1",B84&gt;1000000,"G2")</f>
        <v>P2</v>
      </c>
      <c r="D84" s="13">
        <f>VLOOKUP(C84,Controle!A$2:H$9,8,FALSE)</f>
        <v>20.095371623394037</v>
      </c>
      <c r="E84" s="13">
        <f>VLOOKUP(C84,Controle!A$16:H$23,8,FALSE)</f>
        <v>6.9551230392064429</v>
      </c>
      <c r="F84" s="5">
        <f>VLOOKUP(A84,Educacional!A$2:P$405,16,FALSE)</f>
        <v>73.668386696259219</v>
      </c>
      <c r="G84" s="6">
        <f>VLOOKUP(A84,Demográfico!A$2:L$405,12,FALSE)</f>
        <v>50.03716093700038</v>
      </c>
      <c r="H84" s="7">
        <f>VLOOKUP(A84,Socioeconômico!A$2:M$405,13,FALSE)</f>
        <v>38.534688004719477</v>
      </c>
      <c r="I84" s="16">
        <f>(2*F84+G84+2*H84)/5/100</f>
        <v>0.54888662067791549</v>
      </c>
      <c r="J84" s="15">
        <f>VLOOKUP(A84,Demográfico!A$2:E$400,5,FALSE)/(VLOOKUP(C84,Controle!A$2:G$9,7,FALSE))*D84</f>
        <v>0.40753236220002698</v>
      </c>
      <c r="K84" s="15">
        <f>VLOOKUP(A84,Demográfico!A$2:E$400,5,FALSE)/(VLOOKUP(C84,Controle!A$16:G$24,7,FALSE))*E84</f>
        <v>0.14104928113197571</v>
      </c>
      <c r="L84" s="118">
        <f>((J84*(1+I84))+3*(I84+K84))/4</f>
        <v>0.67525728218364045</v>
      </c>
      <c r="M84" s="3">
        <v>1</v>
      </c>
      <c r="N84" s="88">
        <f>VLOOKUP(A84,Demográfico!A$2:E$400,5,FALSE)*I84</f>
        <v>1911.2232132005017</v>
      </c>
      <c r="O84" s="96">
        <f>FLOOR(L84,1)</f>
        <v>0</v>
      </c>
      <c r="P84" s="96">
        <f>L84-O84</f>
        <v>0.67525728218364045</v>
      </c>
      <c r="Q84" s="87">
        <f>RANK(P84,P$2:P$400,0)</f>
        <v>41</v>
      </c>
      <c r="R84" s="3">
        <f>O84+IF(Q84&lt;Q$1,1,0)</f>
        <v>1</v>
      </c>
      <c r="T84" s="87">
        <f>VLOOKUP(A84,Demográfico!A$2:E$400,5,FALSE)*(I84)</f>
        <v>1911.2232132005017</v>
      </c>
    </row>
    <row r="85" spans="1:20" ht="19.5" x14ac:dyDescent="0.25">
      <c r="A85" s="2" t="s">
        <v>90</v>
      </c>
      <c r="B85" s="37">
        <v>23331</v>
      </c>
      <c r="C85" s="4" t="str" cm="1">
        <f t="array" ref="C85">_xlfn.IFS(B85&lt;20000, "P1",B85&lt;40000, "P2",B85&lt;70000, "P3",B85&lt;100000, "P4",B85&lt;200000,"M1",B85&lt;500000,"M2",B85&lt;1000000,"G1",B85&gt;1000000,"G2")</f>
        <v>P2</v>
      </c>
      <c r="D85" s="13">
        <f>VLOOKUP(C85,Controle!A$2:H$9,8,FALSE)</f>
        <v>20.095371623394037</v>
      </c>
      <c r="E85" s="13">
        <f>VLOOKUP(C85,Controle!A$16:H$23,8,FALSE)</f>
        <v>6.9551230392064429</v>
      </c>
      <c r="F85" s="5">
        <f>VLOOKUP(A85,Educacional!A$2:P$405,16,FALSE)</f>
        <v>60.61079449095115</v>
      </c>
      <c r="G85" s="6">
        <f>VLOOKUP(A85,Demográfico!A$2:L$405,12,FALSE)</f>
        <v>52.747431585048432</v>
      </c>
      <c r="H85" s="7">
        <f>VLOOKUP(A85,Socioeconômico!A$2:M$405,13,FALSE)</f>
        <v>31.675641295023411</v>
      </c>
      <c r="I85" s="16">
        <f>(2*F85+G85+2*H85)/5/100</f>
        <v>0.47464060631399513</v>
      </c>
      <c r="J85" s="15">
        <f>VLOOKUP(A85,Demográfico!A$2:E$400,5,FALSE)/(VLOOKUP(C85,Controle!A$2:G$9,7,FALSE))*D85</f>
        <v>0.36106758684293033</v>
      </c>
      <c r="K85" s="15">
        <f>VLOOKUP(A85,Demográfico!A$2:E$400,5,FALSE)/(VLOOKUP(C85,Controle!A$16:G$24,7,FALSE))*E85</f>
        <v>0.1249675566605816</v>
      </c>
      <c r="L85" s="118">
        <f>((J85*(1+I85))+3*(I85+K85))/4</f>
        <v>0.58281735352652997</v>
      </c>
      <c r="M85" s="3">
        <v>1</v>
      </c>
      <c r="N85" s="88">
        <f>VLOOKUP(A85,Demográfico!A$2:E$400,5,FALSE)*I85</f>
        <v>1464.2662704786749</v>
      </c>
      <c r="O85" s="96">
        <f>FLOOR(L85,1)</f>
        <v>0</v>
      </c>
      <c r="P85" s="96">
        <f>L85-O85</f>
        <v>0.58281735352652997</v>
      </c>
      <c r="Q85" s="87">
        <f>RANK(P85,P$2:P$400,0)</f>
        <v>90</v>
      </c>
      <c r="R85" s="3">
        <f>O85+IF(Q85&lt;Q$1,1,0)</f>
        <v>1</v>
      </c>
      <c r="T85" s="87">
        <f>VLOOKUP(A85,Demográfico!A$2:E$400,5,FALSE)*(I85)</f>
        <v>1464.2662704786749</v>
      </c>
    </row>
    <row r="86" spans="1:20" ht="19.5" x14ac:dyDescent="0.25">
      <c r="A86" s="2" t="s">
        <v>91</v>
      </c>
      <c r="B86" s="37">
        <v>23283</v>
      </c>
      <c r="C86" s="4" t="str" cm="1">
        <f t="array" ref="C86">_xlfn.IFS(B86&lt;20000, "P1",B86&lt;40000, "P2",B86&lt;70000, "P3",B86&lt;100000, "P4",B86&lt;200000,"M1",B86&lt;500000,"M2",B86&lt;1000000,"G1",B86&gt;1000000,"G2")</f>
        <v>P2</v>
      </c>
      <c r="D86" s="13">
        <f>VLOOKUP(C86,Controle!A$2:H$9,8,FALSE)</f>
        <v>20.095371623394037</v>
      </c>
      <c r="E86" s="13">
        <f>VLOOKUP(C86,Controle!A$16:H$23,8,FALSE)</f>
        <v>6.9551230392064429</v>
      </c>
      <c r="F86" s="5">
        <f>VLOOKUP(A86,Educacional!A$2:P$405,16,FALSE)</f>
        <v>70.848456194039557</v>
      </c>
      <c r="G86" s="6">
        <f>VLOOKUP(A86,Demográfico!A$2:L$405,12,FALSE)</f>
        <v>63.984020317774416</v>
      </c>
      <c r="H86" s="7">
        <f>VLOOKUP(A86,Socioeconômico!A$2:M$405,13,FALSE)</f>
        <v>18.969668654862012</v>
      </c>
      <c r="I86" s="16">
        <f>(2*F86+G86+2*H86)/5/100</f>
        <v>0.48724054003115513</v>
      </c>
      <c r="J86" s="15">
        <f>VLOOKUP(A86,Demográfico!A$2:E$400,5,FALSE)/(VLOOKUP(C86,Controle!A$2:G$9,7,FALSE))*D86</f>
        <v>0.4431124420704487</v>
      </c>
      <c r="K86" s="15">
        <f>VLOOKUP(A86,Demográfico!A$2:E$400,5,FALSE)/(VLOOKUP(C86,Controle!A$16:G$24,7,FALSE))*E86</f>
        <v>0.15336375024861001</v>
      </c>
      <c r="L86" s="118">
        <f>((J86*(1+I86))+3*(I86+K86))/4</f>
        <v>0.64520691461966839</v>
      </c>
      <c r="M86" s="3">
        <v>1</v>
      </c>
      <c r="N86" s="88">
        <f>VLOOKUP(A86,Demográfico!A$2:E$400,5,FALSE)*I86</f>
        <v>1844.6926845579533</v>
      </c>
      <c r="O86" s="96">
        <f>FLOOR(L86,1)</f>
        <v>0</v>
      </c>
      <c r="P86" s="96">
        <f>L86-O86</f>
        <v>0.64520691461966839</v>
      </c>
      <c r="Q86" s="87">
        <f>RANK(P86,P$2:P$400,0)</f>
        <v>53</v>
      </c>
      <c r="R86" s="3">
        <f>O86+IF(Q86&lt;Q$1,1,0)</f>
        <v>1</v>
      </c>
      <c r="T86" s="87">
        <f>VLOOKUP(A86,Demográfico!A$2:E$400,5,FALSE)*(I86)</f>
        <v>1844.6926845579533</v>
      </c>
    </row>
    <row r="87" spans="1:20" ht="19.5" x14ac:dyDescent="0.25">
      <c r="A87" s="2" t="s">
        <v>92</v>
      </c>
      <c r="B87" s="37">
        <v>23225</v>
      </c>
      <c r="C87" s="4" t="str" cm="1">
        <f t="array" ref="C87">_xlfn.IFS(B87&lt;20000, "P1",B87&lt;40000, "P2",B87&lt;70000, "P3",B87&lt;100000, "P4",B87&lt;200000,"M1",B87&lt;500000,"M2",B87&lt;1000000,"G1",B87&gt;1000000,"G2")</f>
        <v>P2</v>
      </c>
      <c r="D87" s="13">
        <f>VLOOKUP(C87,Controle!A$2:H$9,8,FALSE)</f>
        <v>20.095371623394037</v>
      </c>
      <c r="E87" s="13">
        <f>VLOOKUP(C87,Controle!A$16:H$23,8,FALSE)</f>
        <v>6.9551230392064429</v>
      </c>
      <c r="F87" s="5">
        <f>VLOOKUP(A87,Educacional!A$2:P$405,16,FALSE)</f>
        <v>34.47354252401901</v>
      </c>
      <c r="G87" s="6">
        <f>VLOOKUP(A87,Demográfico!A$2:L$405,12,FALSE)</f>
        <v>45.659047503575238</v>
      </c>
      <c r="H87" s="7">
        <f>VLOOKUP(A87,Socioeconômico!A$2:M$405,13,FALSE)</f>
        <v>34.437358740635055</v>
      </c>
      <c r="I87" s="16">
        <f>(2*F87+G87+2*H87)/5/100</f>
        <v>0.36696170006576678</v>
      </c>
      <c r="J87" s="15">
        <f>VLOOKUP(A87,Demográfico!A$2:E$400,5,FALSE)/(VLOOKUP(C87,Controle!A$2:G$9,7,FALSE))*D87</f>
        <v>0.368909249182793</v>
      </c>
      <c r="K87" s="15">
        <f>VLOOKUP(A87,Demográfico!A$2:E$400,5,FALSE)/(VLOOKUP(C87,Controle!A$16:G$24,7,FALSE))*E87</f>
        <v>0.12768160084089245</v>
      </c>
      <c r="L87" s="118">
        <f>((J87*(1+I87))+3*(I87+K87))/4</f>
        <v>0.49705367928821853</v>
      </c>
      <c r="M87" s="3">
        <v>1</v>
      </c>
      <c r="N87" s="88">
        <f>VLOOKUP(A87,Demográfico!A$2:E$400,5,FALSE)*I87</f>
        <v>1156.6632786072969</v>
      </c>
      <c r="O87" s="96">
        <f>FLOOR(L87,1)</f>
        <v>0</v>
      </c>
      <c r="P87" s="96">
        <f>L87-O87</f>
        <v>0.49705367928821853</v>
      </c>
      <c r="Q87" s="87">
        <f>RANK(P87,P$2:P$400,0)</f>
        <v>158</v>
      </c>
      <c r="R87" s="3">
        <f>O87+IF(Q87&lt;Q$1,1,0)</f>
        <v>1</v>
      </c>
      <c r="T87" s="87">
        <f>VLOOKUP(A87,Demográfico!A$2:E$400,5,FALSE)*(I87)</f>
        <v>1156.6632786072969</v>
      </c>
    </row>
    <row r="88" spans="1:20" ht="19.5" x14ac:dyDescent="0.25">
      <c r="A88" s="2" t="s">
        <v>93</v>
      </c>
      <c r="B88" s="37">
        <v>23212</v>
      </c>
      <c r="C88" s="4" t="str" cm="1">
        <f t="array" ref="C88">_xlfn.IFS(B88&lt;20000, "P1",B88&lt;40000, "P2",B88&lt;70000, "P3",B88&lt;100000, "P4",B88&lt;200000,"M1",B88&lt;500000,"M2",B88&lt;1000000,"G1",B88&gt;1000000,"G2")</f>
        <v>P2</v>
      </c>
      <c r="D88" s="13">
        <f>VLOOKUP(C88,Controle!A$2:H$9,8,FALSE)</f>
        <v>20.095371623394037</v>
      </c>
      <c r="E88" s="13">
        <f>VLOOKUP(C88,Controle!A$16:H$23,8,FALSE)</f>
        <v>6.9551230392064429</v>
      </c>
      <c r="F88" s="5">
        <f>VLOOKUP(A88,Educacional!A$2:P$405,16,FALSE)</f>
        <v>60.281486490099013</v>
      </c>
      <c r="G88" s="6">
        <f>VLOOKUP(A88,Demográfico!A$2:L$405,12,FALSE)</f>
        <v>36.370764890655742</v>
      </c>
      <c r="H88" s="7">
        <f>VLOOKUP(A88,Socioeconômico!A$2:M$405,13,FALSE)</f>
        <v>45.278860384434019</v>
      </c>
      <c r="I88" s="16">
        <f>(2*F88+G88+2*H88)/5/100</f>
        <v>0.4949829172794436</v>
      </c>
      <c r="J88" s="15">
        <f>VLOOKUP(A88,Demográfico!A$2:E$400,5,FALSE)/(VLOOKUP(C88,Controle!A$2:G$9,7,FALSE))*D88</f>
        <v>0.33274397063029199</v>
      </c>
      <c r="K88" s="15">
        <f>VLOOKUP(A88,Demográfico!A$2:E$400,5,FALSE)/(VLOOKUP(C88,Controle!A$16:G$24,7,FALSE))*E88</f>
        <v>0.11516459111378718</v>
      </c>
      <c r="L88" s="118">
        <f>((J88*(1+I88))+3*(I88+K88))/4</f>
        <v>0.58197226927492796</v>
      </c>
      <c r="M88" s="3">
        <v>1</v>
      </c>
      <c r="N88" s="88">
        <f>VLOOKUP(A88,Demográfico!A$2:E$400,5,FALSE)*I88</f>
        <v>1407.2364338254581</v>
      </c>
      <c r="O88" s="96">
        <f>FLOOR(L88,1)</f>
        <v>0</v>
      </c>
      <c r="P88" s="96">
        <f>L88-O88</f>
        <v>0.58197226927492796</v>
      </c>
      <c r="Q88" s="87">
        <f>RANK(P88,P$2:P$400,0)</f>
        <v>91</v>
      </c>
      <c r="R88" s="3">
        <f>O88+IF(Q88&lt;Q$1,1,0)</f>
        <v>1</v>
      </c>
      <c r="T88" s="87">
        <f>VLOOKUP(A88,Demográfico!A$2:E$400,5,FALSE)*(I88)</f>
        <v>1407.2364338254581</v>
      </c>
    </row>
    <row r="89" spans="1:20" ht="19.5" x14ac:dyDescent="0.25">
      <c r="A89" s="2" t="s">
        <v>94</v>
      </c>
      <c r="B89" s="37">
        <v>22896</v>
      </c>
      <c r="C89" s="4" t="str" cm="1">
        <f t="array" ref="C89">_xlfn.IFS(B89&lt;20000, "P1",B89&lt;40000, "P2",B89&lt;70000, "P3",B89&lt;100000, "P4",B89&lt;200000,"M1",B89&lt;500000,"M2",B89&lt;1000000,"G1",B89&gt;1000000,"G2")</f>
        <v>P2</v>
      </c>
      <c r="D89" s="13">
        <f>VLOOKUP(C89,Controle!A$2:H$9,8,FALSE)</f>
        <v>20.095371623394037</v>
      </c>
      <c r="E89" s="13">
        <f>VLOOKUP(C89,Controle!A$16:H$23,8,FALSE)</f>
        <v>6.9551230392064429</v>
      </c>
      <c r="F89" s="5">
        <f>VLOOKUP(A89,Educacional!A$2:P$405,16,FALSE)</f>
        <v>62.408326704065701</v>
      </c>
      <c r="G89" s="6">
        <f>VLOOKUP(A89,Demográfico!A$2:L$405,12,FALSE)</f>
        <v>42.643010520037095</v>
      </c>
      <c r="H89" s="7">
        <f>VLOOKUP(A89,Socioeconômico!A$2:M$405,13,FALSE)</f>
        <v>24.233120427719314</v>
      </c>
      <c r="I89" s="16">
        <f>(2*F89+G89+2*H89)/5/100</f>
        <v>0.43185180956721425</v>
      </c>
      <c r="J89" s="15">
        <f>VLOOKUP(A89,Demográfico!A$2:E$400,5,FALSE)/(VLOOKUP(C89,Controle!A$2:G$9,7,FALSE))*D89</f>
        <v>0.29856836759686067</v>
      </c>
      <c r="K89" s="15">
        <f>VLOOKUP(A89,Demográfico!A$2:E$400,5,FALSE)/(VLOOKUP(C89,Controle!A$16:G$24,7,FALSE))*E89</f>
        <v>0.10333621946228319</v>
      </c>
      <c r="L89" s="118">
        <f>((J89*(1+I89))+3*(I89+K89))/4</f>
        <v>0.5082674361278966</v>
      </c>
      <c r="M89" s="3">
        <v>1</v>
      </c>
      <c r="N89" s="88">
        <f>VLOOKUP(A89,Demográfico!A$2:E$400,5,FALSE)*I89</f>
        <v>1101.6539662059636</v>
      </c>
      <c r="O89" s="96">
        <f>FLOOR(L89,1)</f>
        <v>0</v>
      </c>
      <c r="P89" s="96">
        <f>L89-O89</f>
        <v>0.5082674361278966</v>
      </c>
      <c r="Q89" s="87">
        <f>RANK(P89,P$2:P$400,0)</f>
        <v>146</v>
      </c>
      <c r="R89" s="3">
        <f>O89+IF(Q89&lt;Q$1,1,0)</f>
        <v>1</v>
      </c>
      <c r="T89" s="87">
        <f>VLOOKUP(A89,Demográfico!A$2:E$400,5,FALSE)*(I89)</f>
        <v>1101.6539662059636</v>
      </c>
    </row>
    <row r="90" spans="1:20" ht="19.5" x14ac:dyDescent="0.25">
      <c r="A90" s="2" t="s">
        <v>95</v>
      </c>
      <c r="B90" s="37">
        <v>22811</v>
      </c>
      <c r="C90" s="4" t="str" cm="1">
        <f t="array" ref="C90">_xlfn.IFS(B90&lt;20000, "P1",B90&lt;40000, "P2",B90&lt;70000, "P3",B90&lt;100000, "P4",B90&lt;200000,"M1",B90&lt;500000,"M2",B90&lt;1000000,"G1",B90&gt;1000000,"G2")</f>
        <v>P2</v>
      </c>
      <c r="D90" s="13">
        <f>VLOOKUP(C90,Controle!A$2:H$9,8,FALSE)</f>
        <v>20.095371623394037</v>
      </c>
      <c r="E90" s="13">
        <f>VLOOKUP(C90,Controle!A$16:H$23,8,FALSE)</f>
        <v>6.9551230392064429</v>
      </c>
      <c r="F90" s="5">
        <f>VLOOKUP(A90,Educacional!A$2:P$405,16,FALSE)</f>
        <v>54.821996237142436</v>
      </c>
      <c r="G90" s="6">
        <f>VLOOKUP(A90,Demográfico!A$2:L$405,12,FALSE)</f>
        <v>38.673343085004589</v>
      </c>
      <c r="H90" s="7">
        <f>VLOOKUP(A90,Socioeconômico!A$2:M$405,13,FALSE)</f>
        <v>34.92547577981825</v>
      </c>
      <c r="I90" s="16">
        <f>(2*F90+G90+2*H90)/5/100</f>
        <v>0.43633657423785188</v>
      </c>
      <c r="J90" s="15">
        <f>VLOOKUP(A90,Demográfico!A$2:E$400,5,FALSE)/(VLOOKUP(C90,Controle!A$2:G$9,7,FALSE))*D90</f>
        <v>0.34199010980714495</v>
      </c>
      <c r="K90" s="15">
        <f>VLOOKUP(A90,Demográfico!A$2:E$400,5,FALSE)/(VLOOKUP(C90,Controle!A$16:G$24,7,FALSE))*E90</f>
        <v>0.11836473275922832</v>
      </c>
      <c r="L90" s="118">
        <f>((J90*(1+I90))+3*(I90+K90))/4</f>
        <v>0.53882920593371542</v>
      </c>
      <c r="M90" s="3">
        <v>1</v>
      </c>
      <c r="N90" s="88">
        <f>VLOOKUP(A90,Demográfico!A$2:E$400,5,FALSE)*I90</f>
        <v>1274.9754699230032</v>
      </c>
      <c r="O90" s="96">
        <f>FLOOR(L90,1)</f>
        <v>0</v>
      </c>
      <c r="P90" s="96">
        <f>L90-O90</f>
        <v>0.53882920593371542</v>
      </c>
      <c r="Q90" s="87">
        <f>RANK(P90,P$2:P$400,0)</f>
        <v>124</v>
      </c>
      <c r="R90" s="3">
        <f>O90+IF(Q90&lt;Q$1,1,0)</f>
        <v>1</v>
      </c>
      <c r="T90" s="87">
        <f>VLOOKUP(A90,Demográfico!A$2:E$400,5,FALSE)*(I90)</f>
        <v>1274.9754699230032</v>
      </c>
    </row>
    <row r="91" spans="1:20" ht="19.5" x14ac:dyDescent="0.25">
      <c r="A91" s="2" t="s">
        <v>96</v>
      </c>
      <c r="B91" s="37">
        <v>21408</v>
      </c>
      <c r="C91" s="4" t="str" cm="1">
        <f t="array" ref="C91">_xlfn.IFS(B91&lt;20000, "P1",B91&lt;40000, "P2",B91&lt;70000, "P3",B91&lt;100000, "P4",B91&lt;200000,"M1",B91&lt;500000,"M2",B91&lt;1000000,"G1",B91&gt;1000000,"G2")</f>
        <v>P2</v>
      </c>
      <c r="D91" s="13">
        <f>VLOOKUP(C91,Controle!A$2:H$9,8,FALSE)</f>
        <v>20.095371623394037</v>
      </c>
      <c r="E91" s="13">
        <f>VLOOKUP(C91,Controle!A$16:H$23,8,FALSE)</f>
        <v>6.9551230392064429</v>
      </c>
      <c r="F91" s="5">
        <f>VLOOKUP(A91,Educacional!A$2:P$405,16,FALSE)</f>
        <v>42.648146470068859</v>
      </c>
      <c r="G91" s="6">
        <f>VLOOKUP(A91,Demográfico!A$2:L$405,12,FALSE)</f>
        <v>35.044915773245343</v>
      </c>
      <c r="H91" s="7">
        <f>VLOOKUP(A91,Socioeconômico!A$2:M$405,13,FALSE)</f>
        <v>33.40101961533049</v>
      </c>
      <c r="I91" s="16">
        <f>(2*F91+G91+2*H91)/5/100</f>
        <v>0.3742864958880881</v>
      </c>
      <c r="J91" s="15">
        <f>VLOOKUP(A91,Demográfico!A$2:E$400,5,FALSE)/(VLOOKUP(C91,Controle!A$2:G$9,7,FALSE))*D91</f>
        <v>0.28253392370788777</v>
      </c>
      <c r="K91" s="15">
        <f>VLOOKUP(A91,Demográfico!A$2:E$400,5,FALSE)/(VLOOKUP(C91,Controle!A$16:G$24,7,FALSE))*E91</f>
        <v>9.7786606735378909E-2</v>
      </c>
      <c r="L91" s="118">
        <f>((J91*(1+I91))+3*(I91+K91))/4</f>
        <v>0.45112546596310665</v>
      </c>
      <c r="M91" s="3">
        <v>1</v>
      </c>
      <c r="N91" s="88">
        <f>VLOOKUP(A91,Demográfico!A$2:E$400,5,FALSE)*I91</f>
        <v>903.52760107384472</v>
      </c>
      <c r="O91" s="96">
        <f>FLOOR(L91,1)</f>
        <v>0</v>
      </c>
      <c r="P91" s="96">
        <f>L91-O91</f>
        <v>0.45112546596310665</v>
      </c>
      <c r="Q91" s="87">
        <f>RANK(P91,P$2:P$400,0)</f>
        <v>209</v>
      </c>
      <c r="R91" s="3">
        <f>O91+IF(Q91&lt;Q$1,1,0)</f>
        <v>0</v>
      </c>
      <c r="T91" s="87">
        <f>VLOOKUP(A91,Demográfico!A$2:E$400,5,FALSE)*(I91)</f>
        <v>903.52760107384472</v>
      </c>
    </row>
    <row r="92" spans="1:20" ht="19.5" x14ac:dyDescent="0.25">
      <c r="A92" s="2" t="s">
        <v>97</v>
      </c>
      <c r="B92" s="37">
        <v>21085</v>
      </c>
      <c r="C92" s="4" t="str" cm="1">
        <f t="array" ref="C92">_xlfn.IFS(B92&lt;20000, "P1",B92&lt;40000, "P2",B92&lt;70000, "P3",B92&lt;100000, "P4",B92&lt;200000,"M1",B92&lt;500000,"M2",B92&lt;1000000,"G1",B92&gt;1000000,"G2")</f>
        <v>P2</v>
      </c>
      <c r="D92" s="13">
        <f>VLOOKUP(C92,Controle!A$2:H$9,8,FALSE)</f>
        <v>20.095371623394037</v>
      </c>
      <c r="E92" s="13">
        <f>VLOOKUP(C92,Controle!A$16:H$23,8,FALSE)</f>
        <v>6.9551230392064429</v>
      </c>
      <c r="F92" s="5">
        <f>VLOOKUP(A92,Educacional!A$2:P$405,16,FALSE)</f>
        <v>50.065653180463357</v>
      </c>
      <c r="G92" s="6">
        <f>VLOOKUP(A92,Demográfico!A$2:L$405,12,FALSE)</f>
        <v>49.336794413390258</v>
      </c>
      <c r="H92" s="7">
        <f>VLOOKUP(A92,Socioeconômico!A$2:M$405,13,FALSE)</f>
        <v>35.352893918403048</v>
      </c>
      <c r="I92" s="16">
        <f>(2*F92+G92+2*H92)/5/100</f>
        <v>0.44034777722224611</v>
      </c>
      <c r="J92" s="15">
        <f>VLOOKUP(A92,Demográfico!A$2:E$400,5,FALSE)/(VLOOKUP(C92,Controle!A$2:G$9,7,FALSE))*D92</f>
        <v>0.32478526855401346</v>
      </c>
      <c r="K92" s="15">
        <f>VLOOKUP(A92,Demográfico!A$2:E$400,5,FALSE)/(VLOOKUP(C92,Controle!A$16:G$24,7,FALSE))*E92</f>
        <v>0.11241003881138215</v>
      </c>
      <c r="L92" s="118">
        <f>((J92*(1+I92))+3*(I92+K92))/4</f>
        <v>0.53151929693429711</v>
      </c>
      <c r="M92" s="3">
        <v>1</v>
      </c>
      <c r="N92" s="88">
        <f>VLOOKUP(A92,Demográfico!A$2:E$400,5,FALSE)*I92</f>
        <v>1221.9650817917329</v>
      </c>
      <c r="O92" s="96">
        <f>FLOOR(L92,1)</f>
        <v>0</v>
      </c>
      <c r="P92" s="96">
        <f>L92-O92</f>
        <v>0.53151929693429711</v>
      </c>
      <c r="Q92" s="87">
        <f>RANK(P92,P$2:P$400,0)</f>
        <v>130</v>
      </c>
      <c r="R92" s="3">
        <f>O92+IF(Q92&lt;Q$1,1,0)</f>
        <v>1</v>
      </c>
      <c r="T92" s="87">
        <f>VLOOKUP(A92,Demográfico!A$2:E$400,5,FALSE)*(I92)</f>
        <v>1221.9650817917329</v>
      </c>
    </row>
    <row r="93" spans="1:20" ht="19.5" x14ac:dyDescent="0.25">
      <c r="A93" s="2" t="s">
        <v>98</v>
      </c>
      <c r="B93" s="37">
        <v>20481</v>
      </c>
      <c r="C93" s="4" t="str" cm="1">
        <f t="array" ref="C93">_xlfn.IFS(B93&lt;20000, "P1",B93&lt;40000, "P2",B93&lt;70000, "P3",B93&lt;100000, "P4",B93&lt;200000,"M1",B93&lt;500000,"M2",B93&lt;1000000,"G1",B93&gt;1000000,"G2")</f>
        <v>P2</v>
      </c>
      <c r="D93" s="13">
        <f>VLOOKUP(C93,Controle!A$2:H$9,8,FALSE)</f>
        <v>20.095371623394037</v>
      </c>
      <c r="E93" s="13">
        <f>VLOOKUP(C93,Controle!A$16:H$23,8,FALSE)</f>
        <v>6.9551230392064429</v>
      </c>
      <c r="F93" s="5">
        <f>VLOOKUP(A93,Educacional!A$2:P$405,16,FALSE)</f>
        <v>41.989554866622292</v>
      </c>
      <c r="G93" s="6">
        <f>VLOOKUP(A93,Demográfico!A$2:L$405,12,FALSE)</f>
        <v>43.289168879549464</v>
      </c>
      <c r="H93" s="7">
        <f>VLOOKUP(A93,Socioeconômico!A$2:M$405,13,FALSE)</f>
        <v>23.666388538973422</v>
      </c>
      <c r="I93" s="16">
        <f>(2*F93+G93+2*H93)/5/100</f>
        <v>0.34920211138148183</v>
      </c>
      <c r="J93" s="15">
        <f>VLOOKUP(A93,Demográfico!A$2:E$400,5,FALSE)/(VLOOKUP(C93,Controle!A$2:G$9,7,FALSE))*D93</f>
        <v>0.28838591052868079</v>
      </c>
      <c r="K93" s="15">
        <f>VLOOKUP(A93,Demográfico!A$2:E$400,5,FALSE)/(VLOOKUP(C93,Controle!A$16:G$24,7,FALSE))*E93</f>
        <v>9.9812012840088504E-2</v>
      </c>
      <c r="L93" s="118">
        <f>((J93*(1+I93))+3*(I93+K93))/4</f>
        <v>0.43403331301066955</v>
      </c>
      <c r="M93" s="3">
        <v>1</v>
      </c>
      <c r="N93" s="88">
        <f>VLOOKUP(A93,Demográfico!A$2:E$400,5,FALSE)*I93</f>
        <v>860.43400244397117</v>
      </c>
      <c r="O93" s="96">
        <f>FLOOR(L93,1)</f>
        <v>0</v>
      </c>
      <c r="P93" s="96">
        <f>L93-O93</f>
        <v>0.43403331301066955</v>
      </c>
      <c r="Q93" s="87">
        <f>RANK(P93,P$2:P$400,0)</f>
        <v>239</v>
      </c>
      <c r="R93" s="3">
        <f>O93+IF(Q93&lt;Q$1,1,0)</f>
        <v>0</v>
      </c>
      <c r="T93" s="87">
        <f>VLOOKUP(A93,Demográfico!A$2:E$400,5,FALSE)*(I93)</f>
        <v>860.43400244397117</v>
      </c>
    </row>
    <row r="94" spans="1:20" ht="19.5" x14ac:dyDescent="0.25">
      <c r="A94" s="2" t="s">
        <v>99</v>
      </c>
      <c r="B94" s="37">
        <v>19961</v>
      </c>
      <c r="C94" s="4" t="str" cm="1">
        <f t="array" ref="C94">_xlfn.IFS(B94&lt;20000, "P1",B94&lt;40000, "P2",B94&lt;70000, "P3",B94&lt;100000, "P4",B94&lt;200000,"M1",B94&lt;500000,"M2",B94&lt;1000000,"G1",B94&gt;1000000,"G2")</f>
        <v>P1</v>
      </c>
      <c r="D94" s="13">
        <f>VLOOKUP(C94,Controle!A$2:H$9,8,FALSE)</f>
        <v>38.874046212109647</v>
      </c>
      <c r="E94" s="13">
        <f>VLOOKUP(C94,Controle!A$16:H$23,8,FALSE)</f>
        <v>13.454529704853227</v>
      </c>
      <c r="F94" s="5">
        <f>VLOOKUP(A94,Educacional!A$2:P$405,16,FALSE)</f>
        <v>68.453183467430179</v>
      </c>
      <c r="G94" s="6">
        <f>VLOOKUP(A94,Demográfico!A$2:L$405,12,FALSE)</f>
        <v>55.537791978160264</v>
      </c>
      <c r="H94" s="7">
        <f>VLOOKUP(A94,Socioeconômico!A$2:M$405,13,FALSE)</f>
        <v>47.707525744351528</v>
      </c>
      <c r="I94" s="16">
        <f>(2*F94+G94+2*H94)/5/100</f>
        <v>0.57571842080344726</v>
      </c>
      <c r="J94" s="15">
        <f>VLOOKUP(A94,Demográfico!A$2:E$400,5,FALSE)/(VLOOKUP(C94,Controle!A$2:G$9,7,FALSE))*D94</f>
        <v>0.35334296423948358</v>
      </c>
      <c r="K94" s="15">
        <f>VLOOKUP(A94,Demográfico!A$2:E$400,5,FALSE)/(VLOOKUP(C94,Controle!A$16:G$24,7,FALSE))*E94</f>
        <v>0.12229402060236493</v>
      </c>
      <c r="L94" s="118">
        <f>((J94*(1+I94))+3*(I94+K94))/4</f>
        <v>0.66270158545772118</v>
      </c>
      <c r="M94" s="3">
        <v>1</v>
      </c>
      <c r="N94" s="88">
        <f>VLOOKUP(A94,Demográfico!A$2:E$400,5,FALSE)*I94</f>
        <v>1738.0939124056072</v>
      </c>
      <c r="O94" s="96">
        <f>FLOOR(L94,1)</f>
        <v>0</v>
      </c>
      <c r="P94" s="96">
        <f>L94-O94</f>
        <v>0.66270158545772118</v>
      </c>
      <c r="Q94" s="87">
        <f>RANK(P94,P$2:P$400,0)</f>
        <v>47</v>
      </c>
      <c r="R94" s="3">
        <f>O94+IF(Q94&lt;Q$1,1,0)</f>
        <v>1</v>
      </c>
      <c r="T94" s="87">
        <f>VLOOKUP(A94,Demográfico!A$2:E$400,5,FALSE)*(I94)</f>
        <v>1738.0939124056072</v>
      </c>
    </row>
    <row r="95" spans="1:20" ht="19.5" x14ac:dyDescent="0.25">
      <c r="A95" s="2" t="s">
        <v>100</v>
      </c>
      <c r="B95" s="37">
        <v>19878</v>
      </c>
      <c r="C95" s="4" t="str" cm="1">
        <f t="array" ref="C95">_xlfn.IFS(B95&lt;20000, "P1",B95&lt;40000, "P2",B95&lt;70000, "P3",B95&lt;100000, "P4",B95&lt;200000,"M1",B95&lt;500000,"M2",B95&lt;1000000,"G1",B95&gt;1000000,"G2")</f>
        <v>P1</v>
      </c>
      <c r="D95" s="13">
        <f>VLOOKUP(C95,Controle!A$2:H$9,8,FALSE)</f>
        <v>38.874046212109647</v>
      </c>
      <c r="E95" s="13">
        <f>VLOOKUP(C95,Controle!A$16:H$23,8,FALSE)</f>
        <v>13.454529704853227</v>
      </c>
      <c r="F95" s="5">
        <f>VLOOKUP(A95,Educacional!A$2:P$405,16,FALSE)</f>
        <v>48.312407828864295</v>
      </c>
      <c r="G95" s="6">
        <f>VLOOKUP(A95,Demográfico!A$2:L$405,12,FALSE)</f>
        <v>38.247281482138519</v>
      </c>
      <c r="H95" s="7">
        <f>VLOOKUP(A95,Socioeconômico!A$2:M$405,13,FALSE)</f>
        <v>44.161891430246023</v>
      </c>
      <c r="I95" s="16">
        <f>(2*F95+G95+2*H95)/5/100</f>
        <v>0.44639176000071829</v>
      </c>
      <c r="J95" s="15">
        <f>VLOOKUP(A95,Demográfico!A$2:E$400,5,FALSE)/(VLOOKUP(C95,Controle!A$2:G$9,7,FALSE))*D95</f>
        <v>0.27796937398766924</v>
      </c>
      <c r="K95" s="15">
        <f>VLOOKUP(A95,Demográfico!A$2:E$400,5,FALSE)/(VLOOKUP(C95,Controle!A$16:G$24,7,FALSE))*E95</f>
        <v>9.6206789973705423E-2</v>
      </c>
      <c r="L95" s="118">
        <f>((J95*(1+I95))+3*(I95+K95))/4</f>
        <v>0.50746206549789852</v>
      </c>
      <c r="M95" s="3">
        <v>1</v>
      </c>
      <c r="N95" s="88">
        <f>VLOOKUP(A95,Demográfico!A$2:E$400,5,FALSE)*I95</f>
        <v>1060.1804300017059</v>
      </c>
      <c r="O95" s="96">
        <f>FLOOR(L95,1)</f>
        <v>0</v>
      </c>
      <c r="P95" s="96">
        <f>L95-O95</f>
        <v>0.50746206549789852</v>
      </c>
      <c r="Q95" s="87">
        <f>RANK(P95,P$2:P$400,0)</f>
        <v>148</v>
      </c>
      <c r="R95" s="3">
        <f>O95+IF(Q95&lt;Q$1,1,0)</f>
        <v>1</v>
      </c>
      <c r="T95" s="87">
        <f>VLOOKUP(A95,Demográfico!A$2:E$400,5,FALSE)*(I95)</f>
        <v>1060.1804300017059</v>
      </c>
    </row>
    <row r="96" spans="1:20" ht="19.5" x14ac:dyDescent="0.25">
      <c r="A96" s="2" t="s">
        <v>101</v>
      </c>
      <c r="B96" s="37">
        <v>19620</v>
      </c>
      <c r="C96" s="4" t="str" cm="1">
        <f t="array" ref="C96">_xlfn.IFS(B96&lt;20000, "P1",B96&lt;40000, "P2",B96&lt;70000, "P3",B96&lt;100000, "P4",B96&lt;200000,"M1",B96&lt;500000,"M2",B96&lt;1000000,"G1",B96&gt;1000000,"G2")</f>
        <v>P1</v>
      </c>
      <c r="D96" s="13">
        <f>VLOOKUP(C96,Controle!A$2:H$9,8,FALSE)</f>
        <v>38.874046212109647</v>
      </c>
      <c r="E96" s="13">
        <f>VLOOKUP(C96,Controle!A$16:H$23,8,FALSE)</f>
        <v>13.454529704853227</v>
      </c>
      <c r="F96" s="5">
        <f>VLOOKUP(A96,Educacional!A$2:P$405,16,FALSE)</f>
        <v>62.509268507235596</v>
      </c>
      <c r="G96" s="6">
        <f>VLOOKUP(A96,Demográfico!A$2:L$405,12,FALSE)</f>
        <v>43.254936679218744</v>
      </c>
      <c r="H96" s="7">
        <f>VLOOKUP(A96,Socioeconômico!A$2:M$405,13,FALSE)</f>
        <v>23.827713768182885</v>
      </c>
      <c r="I96" s="16">
        <f>(2*F96+G96+2*H96)/5/100</f>
        <v>0.43185780246011141</v>
      </c>
      <c r="J96" s="15">
        <f>VLOOKUP(A96,Demográfico!A$2:E$400,5,FALSE)/(VLOOKUP(C96,Controle!A$2:G$9,7,FALSE))*D96</f>
        <v>0.29845132786044487</v>
      </c>
      <c r="K96" s="15">
        <f>VLOOKUP(A96,Demográfico!A$2:E$400,5,FALSE)/(VLOOKUP(C96,Controle!A$16:G$24,7,FALSE))*E96</f>
        <v>0.10329571134018899</v>
      </c>
      <c r="L96" s="118">
        <f>((J96*(1+I96))+3*(I96+K96))/4</f>
        <v>0.50820010096311508</v>
      </c>
      <c r="M96" s="3">
        <v>1</v>
      </c>
      <c r="N96" s="88">
        <f>VLOOKUP(A96,Demográfico!A$2:E$400,5,FALSE)*I96</f>
        <v>1101.237396273284</v>
      </c>
      <c r="O96" s="96">
        <f>FLOOR(L96,1)</f>
        <v>0</v>
      </c>
      <c r="P96" s="96">
        <f>L96-O96</f>
        <v>0.50820010096311508</v>
      </c>
      <c r="Q96" s="87">
        <f>RANK(P96,P$2:P$400,0)</f>
        <v>147</v>
      </c>
      <c r="R96" s="3">
        <f>O96+IF(Q96&lt;Q$1,1,0)</f>
        <v>1</v>
      </c>
      <c r="T96" s="87">
        <f>VLOOKUP(A96,Demográfico!A$2:E$400,5,FALSE)*(I96)</f>
        <v>1101.237396273284</v>
      </c>
    </row>
    <row r="97" spans="1:20" ht="19.5" x14ac:dyDescent="0.25">
      <c r="A97" s="2" t="s">
        <v>102</v>
      </c>
      <c r="B97" s="37">
        <v>19247</v>
      </c>
      <c r="C97" s="4" t="str" cm="1">
        <f t="array" ref="C97">_xlfn.IFS(B97&lt;20000, "P1",B97&lt;40000, "P2",B97&lt;70000, "P3",B97&lt;100000, "P4",B97&lt;200000,"M1",B97&lt;500000,"M2",B97&lt;1000000,"G1",B97&gt;1000000,"G2")</f>
        <v>P1</v>
      </c>
      <c r="D97" s="13">
        <f>VLOOKUP(C97,Controle!A$2:H$9,8,FALSE)</f>
        <v>38.874046212109647</v>
      </c>
      <c r="E97" s="13">
        <f>VLOOKUP(C97,Controle!A$16:H$23,8,FALSE)</f>
        <v>13.454529704853227</v>
      </c>
      <c r="F97" s="5">
        <f>VLOOKUP(A97,Educacional!A$2:P$405,16,FALSE)</f>
        <v>42.905757805544482</v>
      </c>
      <c r="G97" s="6">
        <f>VLOOKUP(A97,Demográfico!A$2:L$405,12,FALSE)</f>
        <v>38.613378272333151</v>
      </c>
      <c r="H97" s="7">
        <f>VLOOKUP(A97,Socioeconômico!A$2:M$405,13,FALSE)</f>
        <v>27.481442559309677</v>
      </c>
      <c r="I97" s="16">
        <f>(2*F97+G97+2*H97)/5/100</f>
        <v>0.35877555800408295</v>
      </c>
      <c r="J97" s="15">
        <f>VLOOKUP(A97,Demográfico!A$2:E$400,5,FALSE)/(VLOOKUP(C97,Controle!A$2:G$9,7,FALSE))*D97</f>
        <v>0.28335320186279883</v>
      </c>
      <c r="K97" s="15">
        <f>VLOOKUP(A97,Demográfico!A$2:E$400,5,FALSE)/(VLOOKUP(C97,Controle!A$16:G$24,7,FALSE))*E97</f>
        <v>9.8070163590038256E-2</v>
      </c>
      <c r="L97" s="118">
        <f>((J97*(1+I97))+3*(I97+K97))/4</f>
        <v>0.43888764243893286</v>
      </c>
      <c r="M97" s="3">
        <v>1</v>
      </c>
      <c r="N97" s="88">
        <f>VLOOKUP(A97,Demográfico!A$2:E$400,5,FALSE)*I97</f>
        <v>868.59562592788484</v>
      </c>
      <c r="O97" s="96">
        <f>FLOOR(L97,1)</f>
        <v>0</v>
      </c>
      <c r="P97" s="96">
        <f>L97-O97</f>
        <v>0.43888764243893286</v>
      </c>
      <c r="Q97" s="87">
        <f>RANK(P97,P$2:P$400,0)</f>
        <v>230</v>
      </c>
      <c r="R97" s="3">
        <f>O97+IF(Q97&lt;Q$1,1,0)</f>
        <v>0</v>
      </c>
      <c r="T97" s="87">
        <f>VLOOKUP(A97,Demográfico!A$2:E$400,5,FALSE)*(I97)</f>
        <v>868.59562592788484</v>
      </c>
    </row>
    <row r="98" spans="1:20" ht="19.5" x14ac:dyDescent="0.25">
      <c r="A98" s="2" t="s">
        <v>103</v>
      </c>
      <c r="B98" s="37">
        <v>19188</v>
      </c>
      <c r="C98" s="4" t="str" cm="1">
        <f t="array" ref="C98">_xlfn.IFS(B98&lt;20000, "P1",B98&lt;40000, "P2",B98&lt;70000, "P3",B98&lt;100000, "P4",B98&lt;200000,"M1",B98&lt;500000,"M2",B98&lt;1000000,"G1",B98&gt;1000000,"G2")</f>
        <v>P1</v>
      </c>
      <c r="D98" s="13">
        <f>VLOOKUP(C98,Controle!A$2:H$9,8,FALSE)</f>
        <v>38.874046212109647</v>
      </c>
      <c r="E98" s="13">
        <f>VLOOKUP(C98,Controle!A$16:H$23,8,FALSE)</f>
        <v>13.454529704853227</v>
      </c>
      <c r="F98" s="5">
        <f>VLOOKUP(A98,Educacional!A$2:P$405,16,FALSE)</f>
        <v>51.795150731251802</v>
      </c>
      <c r="G98" s="6">
        <f>VLOOKUP(A98,Demográfico!A$2:L$405,12,FALSE)</f>
        <v>49.091627016181327</v>
      </c>
      <c r="H98" s="7">
        <f>VLOOKUP(A98,Socioeconômico!A$2:M$405,13,FALSE)</f>
        <v>42.323098752169933</v>
      </c>
      <c r="I98" s="16">
        <f>(2*F98+G98+2*H98)/5/100</f>
        <v>0.4746562519660496</v>
      </c>
      <c r="J98" s="15">
        <f>VLOOKUP(A98,Demográfico!A$2:E$400,5,FALSE)/(VLOOKUP(C98,Controle!A$2:G$9,7,FALSE))*D98</f>
        <v>0.3023136391621683</v>
      </c>
      <c r="K98" s="15">
        <f>VLOOKUP(A98,Demográfico!A$2:E$400,5,FALSE)/(VLOOKUP(C98,Controle!A$16:G$24,7,FALSE))*E98</f>
        <v>0.10463247936929732</v>
      </c>
      <c r="L98" s="118">
        <f>((J98*(1+I98))+3*(I98+K98))/4</f>
        <v>0.54591872301278521</v>
      </c>
      <c r="M98" s="3">
        <v>1</v>
      </c>
      <c r="N98" s="88">
        <f>VLOOKUP(A98,Demográfico!A$2:E$400,5,FALSE)*I98</f>
        <v>1226.0370988283062</v>
      </c>
      <c r="O98" s="96">
        <f>FLOOR(L98,1)</f>
        <v>0</v>
      </c>
      <c r="P98" s="96">
        <f>L98-O98</f>
        <v>0.54591872301278521</v>
      </c>
      <c r="Q98" s="87">
        <f>RANK(P98,P$2:P$400,0)</f>
        <v>119</v>
      </c>
      <c r="R98" s="3">
        <f>O98+IF(Q98&lt;Q$1,1,0)</f>
        <v>1</v>
      </c>
      <c r="T98" s="87">
        <f>VLOOKUP(A98,Demográfico!A$2:E$400,5,FALSE)*(I98)</f>
        <v>1226.0370988283062</v>
      </c>
    </row>
    <row r="99" spans="1:20" ht="19.5" x14ac:dyDescent="0.25">
      <c r="A99" s="2" t="s">
        <v>104</v>
      </c>
      <c r="B99" s="37">
        <v>19128</v>
      </c>
      <c r="C99" s="4" t="str" cm="1">
        <f t="array" ref="C99">_xlfn.IFS(B99&lt;20000, "P1",B99&lt;40000, "P2",B99&lt;70000, "P3",B99&lt;100000, "P4",B99&lt;200000,"M1",B99&lt;500000,"M2",B99&lt;1000000,"G1",B99&gt;1000000,"G2")</f>
        <v>P1</v>
      </c>
      <c r="D99" s="13">
        <f>VLOOKUP(C99,Controle!A$2:H$9,8,FALSE)</f>
        <v>38.874046212109647</v>
      </c>
      <c r="E99" s="13">
        <f>VLOOKUP(C99,Controle!A$16:H$23,8,FALSE)</f>
        <v>13.454529704853227</v>
      </c>
      <c r="F99" s="5">
        <f>VLOOKUP(A99,Educacional!A$2:P$405,16,FALSE)</f>
        <v>81.430586789952201</v>
      </c>
      <c r="G99" s="6">
        <f>VLOOKUP(A99,Demográfico!A$2:L$405,12,FALSE)</f>
        <v>51.55112068597245</v>
      </c>
      <c r="H99" s="7">
        <f>VLOOKUP(A99,Socioeconômico!A$2:M$405,13,FALSE)</f>
        <v>39.239643019382662</v>
      </c>
      <c r="I99" s="16">
        <f>(2*F99+G99+2*H99)/5/100</f>
        <v>0.58578316060928426</v>
      </c>
      <c r="J99" s="15">
        <f>VLOOKUP(A99,Demográfico!A$2:E$400,5,FALSE)/(VLOOKUP(C99,Controle!A$2:G$9,7,FALSE))*D99</f>
        <v>0.32068887777945837</v>
      </c>
      <c r="K99" s="15">
        <f>VLOOKUP(A99,Demográfico!A$2:E$400,5,FALSE)/(VLOOKUP(C99,Controle!A$16:G$24,7,FALSE))*E99</f>
        <v>0.11099225453808541</v>
      </c>
      <c r="L99" s="118">
        <f>((J99*(1+I99))+3*(I99+K99))/4</f>
        <v>0.64971731690486578</v>
      </c>
      <c r="M99" s="3">
        <v>1</v>
      </c>
      <c r="N99" s="88">
        <f>VLOOKUP(A99,Demográfico!A$2:E$400,5,FALSE)*I99</f>
        <v>1605.045860069439</v>
      </c>
      <c r="O99" s="96">
        <f>FLOOR(L99,1)</f>
        <v>0</v>
      </c>
      <c r="P99" s="96">
        <f>L99-O99</f>
        <v>0.64971731690486578</v>
      </c>
      <c r="Q99" s="87">
        <f>RANK(P99,P$2:P$400,0)</f>
        <v>51</v>
      </c>
      <c r="R99" s="3">
        <f>O99+IF(Q99&lt;Q$1,1,0)</f>
        <v>1</v>
      </c>
      <c r="T99" s="87">
        <f>VLOOKUP(A99,Demográfico!A$2:E$400,5,FALSE)*(I99)</f>
        <v>1605.045860069439</v>
      </c>
    </row>
    <row r="100" spans="1:20" ht="19.5" x14ac:dyDescent="0.25">
      <c r="A100" s="2" t="s">
        <v>105</v>
      </c>
      <c r="B100" s="37">
        <v>18997</v>
      </c>
      <c r="C100" s="4" t="str" cm="1">
        <f t="array" ref="C100">_xlfn.IFS(B100&lt;20000, "P1",B100&lt;40000, "P2",B100&lt;70000, "P3",B100&lt;100000, "P4",B100&lt;200000,"M1",B100&lt;500000,"M2",B100&lt;1000000,"G1",B100&gt;1000000,"G2")</f>
        <v>P1</v>
      </c>
      <c r="D100" s="13">
        <f>VLOOKUP(C100,Controle!A$2:H$9,8,FALSE)</f>
        <v>38.874046212109647</v>
      </c>
      <c r="E100" s="13">
        <f>VLOOKUP(C100,Controle!A$16:H$23,8,FALSE)</f>
        <v>13.454529704853227</v>
      </c>
      <c r="F100" s="5">
        <f>VLOOKUP(A100,Educacional!A$2:P$405,16,FALSE)</f>
        <v>41.625160117243645</v>
      </c>
      <c r="G100" s="6">
        <f>VLOOKUP(A100,Demográfico!A$2:L$405,12,FALSE)</f>
        <v>44.569395683325851</v>
      </c>
      <c r="H100" s="7">
        <f>VLOOKUP(A100,Socioeconômico!A$2:M$405,13,FALSE)</f>
        <v>15.623612479985891</v>
      </c>
      <c r="I100" s="16">
        <f>(2*F100+G100+2*H100)/5/100</f>
        <v>0.31813388175556989</v>
      </c>
      <c r="J100" s="15">
        <f>VLOOKUP(A100,Demográfico!A$2:E$400,5,FALSE)/(VLOOKUP(C100,Controle!A$2:G$9,7,FALSE))*D100</f>
        <v>0.30067508285234623</v>
      </c>
      <c r="K100" s="15">
        <f>VLOOKUP(A100,Demográfico!A$2:E$400,5,FALSE)/(VLOOKUP(C100,Controle!A$16:G$24,7,FALSE))*E100</f>
        <v>0.10406536565997863</v>
      </c>
      <c r="L100" s="118">
        <f>((J100*(1+I100))+3*(I100+K100))/4</f>
        <v>0.41573193908849659</v>
      </c>
      <c r="M100" s="3">
        <v>1</v>
      </c>
      <c r="N100" s="88">
        <f>VLOOKUP(A100,Demográfico!A$2:E$400,5,FALSE)*I100</f>
        <v>817.28594223005905</v>
      </c>
      <c r="O100" s="96">
        <f>FLOOR(L100,1)</f>
        <v>0</v>
      </c>
      <c r="P100" s="96">
        <f>L100-O100</f>
        <v>0.41573193908849659</v>
      </c>
      <c r="Q100" s="87">
        <f>RANK(P100,P$2:P$400,0)</f>
        <v>264</v>
      </c>
      <c r="R100" s="3">
        <f>O100+IF(Q100&lt;Q$1,1,0)</f>
        <v>0</v>
      </c>
      <c r="T100" s="87">
        <f>VLOOKUP(A100,Demográfico!A$2:E$400,5,FALSE)*(I100)</f>
        <v>817.28594223005905</v>
      </c>
    </row>
    <row r="101" spans="1:20" ht="19.5" x14ac:dyDescent="0.25">
      <c r="A101" s="2" t="s">
        <v>106</v>
      </c>
      <c r="B101" s="37">
        <v>18742</v>
      </c>
      <c r="C101" s="4" t="str" cm="1">
        <f t="array" ref="C101">_xlfn.IFS(B101&lt;20000, "P1",B101&lt;40000, "P2",B101&lt;70000, "P3",B101&lt;100000, "P4",B101&lt;200000,"M1",B101&lt;500000,"M2",B101&lt;1000000,"G1",B101&gt;1000000,"G2")</f>
        <v>P1</v>
      </c>
      <c r="D101" s="13">
        <f>VLOOKUP(C101,Controle!A$2:H$9,8,FALSE)</f>
        <v>38.874046212109647</v>
      </c>
      <c r="E101" s="13">
        <f>VLOOKUP(C101,Controle!A$16:H$23,8,FALSE)</f>
        <v>13.454529704853227</v>
      </c>
      <c r="F101" s="5">
        <f>VLOOKUP(A101,Educacional!A$2:P$405,16,FALSE)</f>
        <v>48.049698205977556</v>
      </c>
      <c r="G101" s="6">
        <f>VLOOKUP(A101,Demográfico!A$2:L$405,12,FALSE)</f>
        <v>36.162379841633829</v>
      </c>
      <c r="H101" s="7">
        <f>VLOOKUP(A101,Socioeconômico!A$2:M$405,13,FALSE)</f>
        <v>39.898829698462251</v>
      </c>
      <c r="I101" s="16">
        <f>(2*F101+G101+2*H101)/5/100</f>
        <v>0.42411887130102693</v>
      </c>
      <c r="J101" s="15">
        <f>VLOOKUP(A101,Demográfico!A$2:E$400,5,FALSE)/(VLOOKUP(C101,Controle!A$2:G$9,7,FALSE))*D101</f>
        <v>0.2634564466721025</v>
      </c>
      <c r="K101" s="15">
        <f>VLOOKUP(A101,Demográfico!A$2:E$400,5,FALSE)/(VLOOKUP(C101,Controle!A$16:G$24,7,FALSE))*E101</f>
        <v>9.1183782834025645E-2</v>
      </c>
      <c r="L101" s="118">
        <f>((J101*(1+I101))+3*(I101+K101))/4</f>
        <v>0.48027531496920295</v>
      </c>
      <c r="M101" s="3">
        <v>1</v>
      </c>
      <c r="N101" s="88">
        <f>VLOOKUP(A101,Demográfico!A$2:E$400,5,FALSE)*I101</f>
        <v>954.6915792986116</v>
      </c>
      <c r="O101" s="96">
        <f>FLOOR(L101,1)</f>
        <v>0</v>
      </c>
      <c r="P101" s="96">
        <f>L101-O101</f>
        <v>0.48027531496920295</v>
      </c>
      <c r="Q101" s="87">
        <f>RANK(P101,P$2:P$400,0)</f>
        <v>174</v>
      </c>
      <c r="R101" s="3">
        <f>O101+IF(Q101&lt;Q$1,1,0)</f>
        <v>1</v>
      </c>
      <c r="T101" s="87">
        <f>VLOOKUP(A101,Demográfico!A$2:E$400,5,FALSE)*(I101)</f>
        <v>954.6915792986116</v>
      </c>
    </row>
    <row r="102" spans="1:20" ht="19.5" x14ac:dyDescent="0.25">
      <c r="A102" s="2" t="s">
        <v>107</v>
      </c>
      <c r="B102" s="37">
        <v>18450</v>
      </c>
      <c r="C102" s="4" t="str" cm="1">
        <f t="array" ref="C102">_xlfn.IFS(B102&lt;20000, "P1",B102&lt;40000, "P2",B102&lt;70000, "P3",B102&lt;100000, "P4",B102&lt;200000,"M1",B102&lt;500000,"M2",B102&lt;1000000,"G1",B102&gt;1000000,"G2")</f>
        <v>P1</v>
      </c>
      <c r="D102" s="13">
        <f>VLOOKUP(C102,Controle!A$2:H$9,8,FALSE)</f>
        <v>38.874046212109647</v>
      </c>
      <c r="E102" s="13">
        <f>VLOOKUP(C102,Controle!A$16:H$23,8,FALSE)</f>
        <v>13.454529704853227</v>
      </c>
      <c r="F102" s="5">
        <f>VLOOKUP(A102,Educacional!A$2:P$405,16,FALSE)</f>
        <v>41.307614887734857</v>
      </c>
      <c r="G102" s="6">
        <f>VLOOKUP(A102,Demográfico!A$2:L$405,12,FALSE)</f>
        <v>46.318301136249332</v>
      </c>
      <c r="H102" s="7">
        <f>VLOOKUP(A102,Socioeconômico!A$2:M$405,13,FALSE)</f>
        <v>10.769299807102648</v>
      </c>
      <c r="I102" s="16">
        <f>(2*F102+G102+2*H102)/5/100</f>
        <v>0.30094426105184868</v>
      </c>
      <c r="J102" s="15">
        <f>VLOOKUP(A102,Demográfico!A$2:E$400,5,FALSE)/(VLOOKUP(C102,Controle!A$2:G$9,7,FALSE))*D102</f>
        <v>0.29564237418646422</v>
      </c>
      <c r="K102" s="15">
        <f>VLOOKUP(A102,Demográfico!A$2:E$400,5,FALSE)/(VLOOKUP(C102,Controle!A$16:G$24,7,FALSE))*E102</f>
        <v>0.10232351640992839</v>
      </c>
      <c r="L102" s="118">
        <f>((J102*(1+I102))+3*(I102+K102))/4</f>
        <v>0.39860439560173877</v>
      </c>
      <c r="M102" s="3">
        <v>1</v>
      </c>
      <c r="N102" s="88">
        <f>VLOOKUP(A102,Demográfico!A$2:E$400,5,FALSE)*I102</f>
        <v>760.18520341696978</v>
      </c>
      <c r="O102" s="96">
        <f>FLOOR(L102,1)</f>
        <v>0</v>
      </c>
      <c r="P102" s="96">
        <f>L102-O102</f>
        <v>0.39860439560173877</v>
      </c>
      <c r="Q102" s="87">
        <f>RANK(P102,P$2:P$400,0)</f>
        <v>285</v>
      </c>
      <c r="R102" s="3">
        <f>O102+IF(Q102&lt;Q$1,1,0)</f>
        <v>0</v>
      </c>
      <c r="T102" s="87">
        <f>VLOOKUP(A102,Demográfico!A$2:E$400,5,FALSE)*(I102)</f>
        <v>760.18520341696978</v>
      </c>
    </row>
    <row r="103" spans="1:20" ht="19.5" x14ac:dyDescent="0.25">
      <c r="A103" s="2" t="s">
        <v>108</v>
      </c>
      <c r="B103" s="37">
        <v>18398</v>
      </c>
      <c r="C103" s="4" t="str" cm="1">
        <f t="array" ref="C103">_xlfn.IFS(B103&lt;20000, "P1",B103&lt;40000, "P2",B103&lt;70000, "P3",B103&lt;100000, "P4",B103&lt;200000,"M1",B103&lt;500000,"M2",B103&lt;1000000,"G1",B103&gt;1000000,"G2")</f>
        <v>P1</v>
      </c>
      <c r="D103" s="13">
        <f>VLOOKUP(C103,Controle!A$2:H$9,8,FALSE)</f>
        <v>38.874046212109647</v>
      </c>
      <c r="E103" s="13">
        <f>VLOOKUP(C103,Controle!A$16:H$23,8,FALSE)</f>
        <v>13.454529704853227</v>
      </c>
      <c r="F103" s="5">
        <f>VLOOKUP(A103,Educacional!A$2:P$405,16,FALSE)</f>
        <v>70.431031334375234</v>
      </c>
      <c r="G103" s="6">
        <f>VLOOKUP(A103,Demográfico!A$2:L$405,12,FALSE)</f>
        <v>41.994459154262096</v>
      </c>
      <c r="H103" s="7">
        <f>VLOOKUP(A103,Socioeconômico!A$2:M$405,13,FALSE)</f>
        <v>39.747401473652801</v>
      </c>
      <c r="I103" s="16">
        <f>(2*F103+G103+2*H103)/5/100</f>
        <v>0.52470264954063639</v>
      </c>
      <c r="J103" s="15">
        <f>VLOOKUP(A103,Demográfico!A$2:E$400,5,FALSE)/(VLOOKUP(C103,Controle!A$2:G$9,7,FALSE))*D103</f>
        <v>0.27937385082465954</v>
      </c>
      <c r="K103" s="15">
        <f>VLOOKUP(A103,Demográfico!A$2:E$400,5,FALSE)/(VLOOKUP(C103,Controle!A$16:G$24,7,FALSE))*E103</f>
        <v>9.6692887438835723E-2</v>
      </c>
      <c r="L103" s="118">
        <f>((J103*(1+I103))+3*(I103+K103))/4</f>
        <v>0.57253716537578636</v>
      </c>
      <c r="M103" s="3">
        <v>1</v>
      </c>
      <c r="N103" s="88">
        <f>VLOOKUP(A103,Demográfico!A$2:E$400,5,FALSE)*I103</f>
        <v>1252.4652244534991</v>
      </c>
      <c r="O103" s="96">
        <f>FLOOR(L103,1)</f>
        <v>0</v>
      </c>
      <c r="P103" s="96">
        <f>L103-O103</f>
        <v>0.57253716537578636</v>
      </c>
      <c r="Q103" s="87">
        <f>RANK(P103,P$2:P$400,0)</f>
        <v>102</v>
      </c>
      <c r="R103" s="3">
        <f>O103+IF(Q103&lt;Q$1,1,0)</f>
        <v>1</v>
      </c>
      <c r="T103" s="87">
        <f>VLOOKUP(A103,Demográfico!A$2:E$400,5,FALSE)*(I103)</f>
        <v>1252.4652244534991</v>
      </c>
    </row>
    <row r="104" spans="1:20" ht="19.5" x14ac:dyDescent="0.25">
      <c r="A104" s="2" t="s">
        <v>109</v>
      </c>
      <c r="B104" s="37">
        <v>18309</v>
      </c>
      <c r="C104" s="4" t="str" cm="1">
        <f t="array" ref="C104">_xlfn.IFS(B104&lt;20000, "P1",B104&lt;40000, "P2",B104&lt;70000, "P3",B104&lt;100000, "P4",B104&lt;200000,"M1",B104&lt;500000,"M2",B104&lt;1000000,"G1",B104&gt;1000000,"G2")</f>
        <v>P1</v>
      </c>
      <c r="D104" s="13">
        <f>VLOOKUP(C104,Controle!A$2:H$9,8,FALSE)</f>
        <v>38.874046212109647</v>
      </c>
      <c r="E104" s="13">
        <f>VLOOKUP(C104,Controle!A$16:H$23,8,FALSE)</f>
        <v>13.454529704853227</v>
      </c>
      <c r="F104" s="5">
        <f>VLOOKUP(A104,Educacional!A$2:P$405,16,FALSE)</f>
        <v>63.805331951264364</v>
      </c>
      <c r="G104" s="6">
        <f>VLOOKUP(A104,Demográfico!A$2:L$405,12,FALSE)</f>
        <v>37.614250090344704</v>
      </c>
      <c r="H104" s="7">
        <f>VLOOKUP(A104,Socioeconômico!A$2:M$405,13,FALSE)</f>
        <v>52.558011064975865</v>
      </c>
      <c r="I104" s="16">
        <f>(2*F104+G104+2*H104)/5/100</f>
        <v>0.54068187224565034</v>
      </c>
      <c r="J104" s="15">
        <f>VLOOKUP(A104,Demográfico!A$2:E$400,5,FALSE)/(VLOOKUP(C104,Controle!A$2:G$9,7,FALSE))*D104</f>
        <v>0.29178006288474079</v>
      </c>
      <c r="K104" s="15">
        <f>VLOOKUP(A104,Demográfico!A$2:E$400,5,FALSE)/(VLOOKUP(C104,Controle!A$16:G$24,7,FALSE))*E104</f>
        <v>0.10098674838082006</v>
      </c>
      <c r="L104" s="118">
        <f>((J104*(1+I104))+3*(I104+K104))/4</f>
        <v>0.59363652886215679</v>
      </c>
      <c r="M104" s="3">
        <v>1</v>
      </c>
      <c r="N104" s="88">
        <f>VLOOKUP(A104,Demográfico!A$2:E$400,5,FALSE)*I104</f>
        <v>1347.9199075084064</v>
      </c>
      <c r="O104" s="96">
        <f>FLOOR(L104,1)</f>
        <v>0</v>
      </c>
      <c r="P104" s="96">
        <f>L104-O104</f>
        <v>0.59363652886215679</v>
      </c>
      <c r="Q104" s="87">
        <f>RANK(P104,P$2:P$400,0)</f>
        <v>81</v>
      </c>
      <c r="R104" s="3">
        <f>O104+IF(Q104&lt;Q$1,1,0)</f>
        <v>1</v>
      </c>
      <c r="T104" s="87">
        <f>VLOOKUP(A104,Demográfico!A$2:E$400,5,FALSE)*(I104)</f>
        <v>1347.9199075084064</v>
      </c>
    </row>
    <row r="105" spans="1:20" ht="19.5" x14ac:dyDescent="0.25">
      <c r="A105" s="2" t="s">
        <v>110</v>
      </c>
      <c r="B105" s="37">
        <v>18119</v>
      </c>
      <c r="C105" s="4" t="str" cm="1">
        <f t="array" ref="C105">_xlfn.IFS(B105&lt;20000, "P1",B105&lt;40000, "P2",B105&lt;70000, "P3",B105&lt;100000, "P4",B105&lt;200000,"M1",B105&lt;500000,"M2",B105&lt;1000000,"G1",B105&gt;1000000,"G2")</f>
        <v>P1</v>
      </c>
      <c r="D105" s="13">
        <f>VLOOKUP(C105,Controle!A$2:H$9,8,FALSE)</f>
        <v>38.874046212109647</v>
      </c>
      <c r="E105" s="13">
        <f>VLOOKUP(C105,Controle!A$16:H$23,8,FALSE)</f>
        <v>13.454529704853227</v>
      </c>
      <c r="F105" s="5">
        <f>VLOOKUP(A105,Educacional!A$2:P$405,16,FALSE)</f>
        <v>55.75229260342973</v>
      </c>
      <c r="G105" s="6">
        <f>VLOOKUP(A105,Demográfico!A$2:L$405,12,FALSE)</f>
        <v>40.57103372958764</v>
      </c>
      <c r="H105" s="7">
        <f>VLOOKUP(A105,Socioeconômico!A$2:M$405,13,FALSE)</f>
        <v>33.612980905983463</v>
      </c>
      <c r="I105" s="16">
        <f>(2*F105+G105+2*H105)/5/100</f>
        <v>0.43860316149682804</v>
      </c>
      <c r="J105" s="15">
        <f>VLOOKUP(A105,Demográfico!A$2:E$400,5,FALSE)/(VLOOKUP(C105,Controle!A$2:G$9,7,FALSE))*D105</f>
        <v>0.28148056608014504</v>
      </c>
      <c r="K105" s="15">
        <f>VLOOKUP(A105,Demográfico!A$2:E$400,5,FALSE)/(VLOOKUP(C105,Controle!A$16:G$24,7,FALSE))*E105</f>
        <v>9.7422033636531166E-2</v>
      </c>
      <c r="L105" s="118">
        <f>((J105*(1+I105))+3*(I105+K105))/4</f>
        <v>0.50325360441572276</v>
      </c>
      <c r="M105" s="3">
        <v>1</v>
      </c>
      <c r="N105" s="88">
        <f>VLOOKUP(A105,Demográfico!A$2:E$400,5,FALSE)*I105</f>
        <v>1054.8406033998715</v>
      </c>
      <c r="O105" s="96">
        <f>FLOOR(L105,1)</f>
        <v>0</v>
      </c>
      <c r="P105" s="96">
        <f>L105-O105</f>
        <v>0.50325360441572276</v>
      </c>
      <c r="Q105" s="87">
        <f>RANK(P105,P$2:P$400,0)</f>
        <v>151</v>
      </c>
      <c r="R105" s="3">
        <f>O105+IF(Q105&lt;Q$1,1,0)</f>
        <v>1</v>
      </c>
      <c r="T105" s="87">
        <f>VLOOKUP(A105,Demográfico!A$2:E$400,5,FALSE)*(I105)</f>
        <v>1054.8406033998715</v>
      </c>
    </row>
    <row r="106" spans="1:20" ht="19.5" x14ac:dyDescent="0.25">
      <c r="A106" s="2" t="s">
        <v>111</v>
      </c>
      <c r="B106" s="37">
        <v>18091</v>
      </c>
      <c r="C106" s="4" t="str" cm="1">
        <f t="array" ref="C106">_xlfn.IFS(B106&lt;20000, "P1",B106&lt;40000, "P2",B106&lt;70000, "P3",B106&lt;100000, "P4",B106&lt;200000,"M1",B106&lt;500000,"M2",B106&lt;1000000,"G1",B106&gt;1000000,"G2")</f>
        <v>P1</v>
      </c>
      <c r="D106" s="13">
        <f>VLOOKUP(C106,Controle!A$2:H$9,8,FALSE)</f>
        <v>38.874046212109647</v>
      </c>
      <c r="E106" s="13">
        <f>VLOOKUP(C106,Controle!A$16:H$23,8,FALSE)</f>
        <v>13.454529704853227</v>
      </c>
      <c r="F106" s="5">
        <f>VLOOKUP(A106,Educacional!A$2:P$405,16,FALSE)</f>
        <v>71.111363486866509</v>
      </c>
      <c r="G106" s="6">
        <f>VLOOKUP(A106,Demográfico!A$2:L$405,12,FALSE)</f>
        <v>30.306251356132957</v>
      </c>
      <c r="H106" s="7">
        <f>VLOOKUP(A106,Socioeconômico!A$2:M$405,13,FALSE)</f>
        <v>63.788487131028162</v>
      </c>
      <c r="I106" s="16">
        <f>(2*F106+G106+2*H106)/5/100</f>
        <v>0.6002119051838446</v>
      </c>
      <c r="J106" s="15">
        <f>VLOOKUP(A106,Demográfico!A$2:E$400,5,FALSE)/(VLOOKUP(C106,Controle!A$2:G$9,7,FALSE))*D106</f>
        <v>0.2954082947136325</v>
      </c>
      <c r="K106" s="15">
        <f>VLOOKUP(A106,Demográfico!A$2:E$400,5,FALSE)/(VLOOKUP(C106,Controle!A$16:G$24,7,FALSE))*E106</f>
        <v>0.10224250016573999</v>
      </c>
      <c r="L106" s="118">
        <f>((J106*(1+I106))+3*(I106+K106))/4</f>
        <v>0.64501977153489154</v>
      </c>
      <c r="M106" s="3">
        <v>1</v>
      </c>
      <c r="N106" s="88">
        <f>VLOOKUP(A106,Demográfico!A$2:E$400,5,FALSE)*I106</f>
        <v>1514.9348486840238</v>
      </c>
      <c r="O106" s="96">
        <f>FLOOR(L106,1)</f>
        <v>0</v>
      </c>
      <c r="P106" s="96">
        <f>L106-O106</f>
        <v>0.64501977153489154</v>
      </c>
      <c r="Q106" s="87">
        <f>RANK(P106,P$2:P$400,0)</f>
        <v>54</v>
      </c>
      <c r="R106" s="3">
        <f>O106+IF(Q106&lt;Q$1,1,0)</f>
        <v>1</v>
      </c>
      <c r="T106" s="87">
        <f>VLOOKUP(A106,Demográfico!A$2:E$400,5,FALSE)*(I106)</f>
        <v>1514.9348486840238</v>
      </c>
    </row>
    <row r="107" spans="1:20" ht="19.5" x14ac:dyDescent="0.25">
      <c r="A107" s="2" t="s">
        <v>112</v>
      </c>
      <c r="B107" s="37">
        <v>17621</v>
      </c>
      <c r="C107" s="4" t="str" cm="1">
        <f t="array" ref="C107">_xlfn.IFS(B107&lt;20000, "P1",B107&lt;40000, "P2",B107&lt;70000, "P3",B107&lt;100000, "P4",B107&lt;200000,"M1",B107&lt;500000,"M2",B107&lt;1000000,"G1",B107&gt;1000000,"G2")</f>
        <v>P1</v>
      </c>
      <c r="D107" s="13">
        <f>VLOOKUP(C107,Controle!A$2:H$9,8,FALSE)</f>
        <v>38.874046212109647</v>
      </c>
      <c r="E107" s="13">
        <f>VLOOKUP(C107,Controle!A$16:H$23,8,FALSE)</f>
        <v>13.454529704853227</v>
      </c>
      <c r="F107" s="5">
        <f>VLOOKUP(A107,Educacional!A$2:P$405,16,FALSE)</f>
        <v>80.118411662822695</v>
      </c>
      <c r="G107" s="6">
        <f>VLOOKUP(A107,Demográfico!A$2:L$405,12,FALSE)</f>
        <v>74.746026182052901</v>
      </c>
      <c r="H107" s="7">
        <f>VLOOKUP(A107,Socioeconômico!A$2:M$405,13,FALSE)</f>
        <v>53.123423278138183</v>
      </c>
      <c r="I107" s="16">
        <f>(2*F107+G107+2*H107)/5/100</f>
        <v>0.68245939212794926</v>
      </c>
      <c r="J107" s="15">
        <f>VLOOKUP(A107,Demográfico!A$2:E$400,5,FALSE)/(VLOOKUP(C107,Controle!A$2:G$9,7,FALSE))*D107</f>
        <v>0.29447197682230558</v>
      </c>
      <c r="K107" s="15">
        <f>VLOOKUP(A107,Demográfico!A$2:E$400,5,FALSE)/(VLOOKUP(C107,Controle!A$16:G$24,7,FALSE))*E107</f>
        <v>0.10191843518898645</v>
      </c>
      <c r="L107" s="118">
        <f>((J107*(1+I107))+3*(I107+K107))/4</f>
        <v>0.71214265626849471</v>
      </c>
      <c r="M107" s="3">
        <v>1</v>
      </c>
      <c r="N107" s="88">
        <f>VLOOKUP(A107,Demográfico!A$2:E$400,5,FALSE)*I107</f>
        <v>1717.0678305939202</v>
      </c>
      <c r="O107" s="96">
        <f>FLOOR(L107,1)</f>
        <v>0</v>
      </c>
      <c r="P107" s="96">
        <f>L107-O107</f>
        <v>0.71214265626849471</v>
      </c>
      <c r="Q107" s="87">
        <f>RANK(P107,P$2:P$400,0)</f>
        <v>33</v>
      </c>
      <c r="R107" s="3">
        <f>O107+IF(Q107&lt;Q$1,1,0)</f>
        <v>1</v>
      </c>
      <c r="T107" s="87">
        <f>VLOOKUP(A107,Demográfico!A$2:E$400,5,FALSE)*(I107)</f>
        <v>1717.0678305939202</v>
      </c>
    </row>
    <row r="108" spans="1:20" ht="19.5" x14ac:dyDescent="0.25">
      <c r="A108" s="2" t="s">
        <v>113</v>
      </c>
      <c r="B108" s="37">
        <v>17568</v>
      </c>
      <c r="C108" s="4" t="str" cm="1">
        <f t="array" ref="C108">_xlfn.IFS(B108&lt;20000, "P1",B108&lt;40000, "P2",B108&lt;70000, "P3",B108&lt;100000, "P4",B108&lt;200000,"M1",B108&lt;500000,"M2",B108&lt;1000000,"G1",B108&gt;1000000,"G2")</f>
        <v>P1</v>
      </c>
      <c r="D108" s="13">
        <f>VLOOKUP(C108,Controle!A$2:H$9,8,FALSE)</f>
        <v>38.874046212109647</v>
      </c>
      <c r="E108" s="13">
        <f>VLOOKUP(C108,Controle!A$16:H$23,8,FALSE)</f>
        <v>13.454529704853227</v>
      </c>
      <c r="F108" s="5">
        <f>VLOOKUP(A108,Educacional!A$2:P$405,16,FALSE)</f>
        <v>45.167488690523768</v>
      </c>
      <c r="G108" s="6">
        <f>VLOOKUP(A108,Demográfico!A$2:L$405,12,FALSE)</f>
        <v>46.127181633581124</v>
      </c>
      <c r="H108" s="7">
        <f>VLOOKUP(A108,Socioeconômico!A$2:M$405,13,FALSE)</f>
        <v>27.60074520067468</v>
      </c>
      <c r="I108" s="16">
        <f>(2*F108+G108+2*H108)/5/100</f>
        <v>0.38332729883195604</v>
      </c>
      <c r="J108" s="15">
        <f>VLOOKUP(A108,Demográfico!A$2:E$400,5,FALSE)/(VLOOKUP(C108,Controle!A$2:G$9,7,FALSE))*D108</f>
        <v>0.2628712479900232</v>
      </c>
      <c r="K108" s="15">
        <f>VLOOKUP(A108,Demográfico!A$2:E$400,5,FALSE)/(VLOOKUP(C108,Controle!A$16:G$24,7,FALSE))*E108</f>
        <v>9.0981242223554692E-2</v>
      </c>
      <c r="L108" s="118">
        <f>((J108*(1+I108))+3*(I108+K108))/4</f>
        <v>0.44664064914728907</v>
      </c>
      <c r="M108" s="3">
        <v>1</v>
      </c>
      <c r="N108" s="88">
        <f>VLOOKUP(A108,Demográfico!A$2:E$400,5,FALSE)*I108</f>
        <v>860.95311317657331</v>
      </c>
      <c r="O108" s="96">
        <f>FLOOR(L108,1)</f>
        <v>0</v>
      </c>
      <c r="P108" s="96">
        <f>L108-O108</f>
        <v>0.44664064914728907</v>
      </c>
      <c r="Q108" s="87">
        <f>RANK(P108,P$2:P$400,0)</f>
        <v>216</v>
      </c>
      <c r="R108" s="3">
        <f>O108+IF(Q108&lt;Q$1,1,0)</f>
        <v>0</v>
      </c>
      <c r="T108" s="87">
        <f>VLOOKUP(A108,Demográfico!A$2:E$400,5,FALSE)*(I108)</f>
        <v>860.95311317657331</v>
      </c>
    </row>
    <row r="109" spans="1:20" ht="19.5" x14ac:dyDescent="0.25">
      <c r="A109" s="2" t="s">
        <v>114</v>
      </c>
      <c r="B109" s="37">
        <v>17470</v>
      </c>
      <c r="C109" s="4" t="str" cm="1">
        <f t="array" ref="C109">_xlfn.IFS(B109&lt;20000, "P1",B109&lt;40000, "P2",B109&lt;70000, "P3",B109&lt;100000, "P4",B109&lt;200000,"M1",B109&lt;500000,"M2",B109&lt;1000000,"G1",B109&gt;1000000,"G2")</f>
        <v>P1</v>
      </c>
      <c r="D109" s="13">
        <f>VLOOKUP(C109,Controle!A$2:H$9,8,FALSE)</f>
        <v>38.874046212109647</v>
      </c>
      <c r="E109" s="13">
        <f>VLOOKUP(C109,Controle!A$16:H$23,8,FALSE)</f>
        <v>13.454529704853227</v>
      </c>
      <c r="F109" s="5">
        <f>VLOOKUP(A109,Educacional!A$2:P$405,16,FALSE)</f>
        <v>42.625073926828932</v>
      </c>
      <c r="G109" s="6">
        <f>VLOOKUP(A109,Demográfico!A$2:L$405,12,FALSE)</f>
        <v>48.579858285376659</v>
      </c>
      <c r="H109" s="7">
        <f>VLOOKUP(A109,Socioeconômico!A$2:M$405,13,FALSE)</f>
        <v>35.168847591874439</v>
      </c>
      <c r="I109" s="16">
        <f>(2*F109+G109+2*H109)/5/100</f>
        <v>0.40833540264556684</v>
      </c>
      <c r="J109" s="15">
        <f>VLOOKUP(A109,Demográfico!A$2:E$400,5,FALSE)/(VLOOKUP(C109,Controle!A$2:G$9,7,FALSE))*D109</f>
        <v>0.26954251296572729</v>
      </c>
      <c r="K109" s="15">
        <f>VLOOKUP(A109,Demográfico!A$2:E$400,5,FALSE)/(VLOOKUP(C109,Controle!A$16:G$24,7,FALSE))*E109</f>
        <v>9.3290205182923622E-2</v>
      </c>
      <c r="L109" s="118">
        <f>((J109*(1+I109))+3*(I109+K109))/4</f>
        <v>0.47112077175328915</v>
      </c>
      <c r="M109" s="3">
        <v>1</v>
      </c>
      <c r="N109" s="88">
        <f>VLOOKUP(A109,Demográfico!A$2:E$400,5,FALSE)*I109</f>
        <v>940.39643229274043</v>
      </c>
      <c r="O109" s="96">
        <f>FLOOR(L109,1)</f>
        <v>0</v>
      </c>
      <c r="P109" s="96">
        <f>L109-O109</f>
        <v>0.47112077175328915</v>
      </c>
      <c r="Q109" s="87">
        <f>RANK(P109,P$2:P$400,0)</f>
        <v>186</v>
      </c>
      <c r="R109" s="3">
        <f>O109+IF(Q109&lt;Q$1,1,0)</f>
        <v>1</v>
      </c>
      <c r="T109" s="87">
        <f>VLOOKUP(A109,Demográfico!A$2:E$400,5,FALSE)*(I109)</f>
        <v>940.39643229274043</v>
      </c>
    </row>
    <row r="110" spans="1:20" ht="19.5" x14ac:dyDescent="0.25">
      <c r="A110" s="2" t="s">
        <v>115</v>
      </c>
      <c r="B110" s="37">
        <v>17270</v>
      </c>
      <c r="C110" s="4" t="str" cm="1">
        <f t="array" ref="C110">_xlfn.IFS(B110&lt;20000, "P1",B110&lt;40000, "P2",B110&lt;70000, "P3",B110&lt;100000, "P4",B110&lt;200000,"M1",B110&lt;500000,"M2",B110&lt;1000000,"G1",B110&gt;1000000,"G2")</f>
        <v>P1</v>
      </c>
      <c r="D110" s="13">
        <f>VLOOKUP(C110,Controle!A$2:H$9,8,FALSE)</f>
        <v>38.874046212109647</v>
      </c>
      <c r="E110" s="13">
        <f>VLOOKUP(C110,Controle!A$16:H$23,8,FALSE)</f>
        <v>13.454529704853227</v>
      </c>
      <c r="F110" s="5">
        <f>VLOOKUP(A110,Educacional!A$2:P$405,16,FALSE)</f>
        <v>60.138236161147219</v>
      </c>
      <c r="G110" s="6">
        <f>VLOOKUP(A110,Demográfico!A$2:L$405,12,FALSE)</f>
        <v>68.853716353580111</v>
      </c>
      <c r="H110" s="7">
        <f>VLOOKUP(A110,Socioeconômico!A$2:M$405,13,FALSE)</f>
        <v>34.702230718247854</v>
      </c>
      <c r="I110" s="16">
        <f>(2*F110+G110+2*H110)/5/100</f>
        <v>0.51706930022474051</v>
      </c>
      <c r="J110" s="15">
        <f>VLOOKUP(A110,Demográfico!A$2:E$400,5,FALSE)/(VLOOKUP(C110,Controle!A$2:G$9,7,FALSE))*D110</f>
        <v>0.29564237418646422</v>
      </c>
      <c r="K110" s="15">
        <f>VLOOKUP(A110,Demográfico!A$2:E$400,5,FALSE)/(VLOOKUP(C110,Controle!A$16:G$24,7,FALSE))*E110</f>
        <v>0.10232351640992839</v>
      </c>
      <c r="L110" s="118">
        <f>((J110*(1+I110))+3*(I110+K110))/4</f>
        <v>0.57667210490696175</v>
      </c>
      <c r="M110" s="3">
        <v>1</v>
      </c>
      <c r="N110" s="88">
        <f>VLOOKUP(A110,Demográfico!A$2:E$400,5,FALSE)*I110</f>
        <v>1306.1170523676944</v>
      </c>
      <c r="O110" s="96">
        <f>FLOOR(L110,1)</f>
        <v>0</v>
      </c>
      <c r="P110" s="96">
        <f>L110-O110</f>
        <v>0.57667210490696175</v>
      </c>
      <c r="Q110" s="87">
        <f>RANK(P110,P$2:P$400,0)</f>
        <v>99</v>
      </c>
      <c r="R110" s="3">
        <f>O110+IF(Q110&lt;Q$1,1,0)</f>
        <v>1</v>
      </c>
      <c r="T110" s="87">
        <f>VLOOKUP(A110,Demográfico!A$2:E$400,5,FALSE)*(I110)</f>
        <v>1306.1170523676944</v>
      </c>
    </row>
    <row r="111" spans="1:20" ht="19.5" x14ac:dyDescent="0.25">
      <c r="A111" s="2" t="s">
        <v>116</v>
      </c>
      <c r="B111" s="37">
        <v>16905</v>
      </c>
      <c r="C111" s="4" t="str" cm="1">
        <f t="array" ref="C111">_xlfn.IFS(B111&lt;20000, "P1",B111&lt;40000, "P2",B111&lt;70000, "P3",B111&lt;100000, "P4",B111&lt;200000,"M1",B111&lt;500000,"M2",B111&lt;1000000,"G1",B111&gt;1000000,"G2")</f>
        <v>P1</v>
      </c>
      <c r="D111" s="13">
        <f>VLOOKUP(C111,Controle!A$2:H$9,8,FALSE)</f>
        <v>38.874046212109647</v>
      </c>
      <c r="E111" s="13">
        <f>VLOOKUP(C111,Controle!A$16:H$23,8,FALSE)</f>
        <v>13.454529704853227</v>
      </c>
      <c r="F111" s="5">
        <f>VLOOKUP(A111,Educacional!A$2:P$405,16,FALSE)</f>
        <v>62.850032169669113</v>
      </c>
      <c r="G111" s="6">
        <f>VLOOKUP(A111,Demográfico!A$2:L$405,12,FALSE)</f>
        <v>51.798969400577988</v>
      </c>
      <c r="H111" s="7">
        <f>VLOOKUP(A111,Socioeconômico!A$2:M$405,13,FALSE)</f>
        <v>46.211196050313234</v>
      </c>
      <c r="I111" s="16">
        <f>(2*F111+G111+2*H111)/5/100</f>
        <v>0.53984285168108537</v>
      </c>
      <c r="J111" s="15">
        <f>VLOOKUP(A111,Demográfico!A$2:E$400,5,FALSE)/(VLOOKUP(C111,Controle!A$2:G$9,7,FALSE))*D111</f>
        <v>0.25924301616113155</v>
      </c>
      <c r="K111" s="15">
        <f>VLOOKUP(A111,Demográfico!A$2:E$400,5,FALSE)/(VLOOKUP(C111,Controle!A$16:G$24,7,FALSE))*E111</f>
        <v>8.9725490438634745E-2</v>
      </c>
      <c r="L111" s="118">
        <f>((J111*(1+I111))+3*(I111+K111))/4</f>
        <v>0.57197463291078077</v>
      </c>
      <c r="M111" s="3">
        <v>1</v>
      </c>
      <c r="N111" s="88">
        <f>VLOOKUP(A111,Demográfico!A$2:E$400,5,FALSE)*I111</f>
        <v>1195.7519164736041</v>
      </c>
      <c r="O111" s="96">
        <f>FLOOR(L111,1)</f>
        <v>0</v>
      </c>
      <c r="P111" s="96">
        <f>L111-O111</f>
        <v>0.57197463291078077</v>
      </c>
      <c r="Q111" s="87">
        <f>RANK(P111,P$2:P$400,0)</f>
        <v>103</v>
      </c>
      <c r="R111" s="3">
        <f>O111+IF(Q111&lt;Q$1,1,0)</f>
        <v>1</v>
      </c>
      <c r="T111" s="87">
        <f>VLOOKUP(A111,Demográfico!A$2:E$400,5,FALSE)*(I111)</f>
        <v>1195.7519164736041</v>
      </c>
    </row>
    <row r="112" spans="1:20" ht="19.5" x14ac:dyDescent="0.25">
      <c r="A112" s="2" t="s">
        <v>117</v>
      </c>
      <c r="B112" s="37">
        <v>16603</v>
      </c>
      <c r="C112" s="4" t="str" cm="1">
        <f t="array" ref="C112">_xlfn.IFS(B112&lt;20000, "P1",B112&lt;40000, "P2",B112&lt;70000, "P3",B112&lt;100000, "P4",B112&lt;200000,"M1",B112&lt;500000,"M2",B112&lt;1000000,"G1",B112&gt;1000000,"G2")</f>
        <v>P1</v>
      </c>
      <c r="D112" s="13">
        <f>VLOOKUP(C112,Controle!A$2:H$9,8,FALSE)</f>
        <v>38.874046212109647</v>
      </c>
      <c r="E112" s="13">
        <f>VLOOKUP(C112,Controle!A$16:H$23,8,FALSE)</f>
        <v>13.454529704853227</v>
      </c>
      <c r="F112" s="5">
        <f>VLOOKUP(A112,Educacional!A$2:P$405,16,FALSE)</f>
        <v>58.276435683969332</v>
      </c>
      <c r="G112" s="6">
        <f>VLOOKUP(A112,Demográfico!A$2:L$405,12,FALSE)</f>
        <v>78.464104025974123</v>
      </c>
      <c r="H112" s="7">
        <f>VLOOKUP(A112,Socioeconômico!A$2:M$405,13,FALSE)</f>
        <v>40.535014233842247</v>
      </c>
      <c r="I112" s="16">
        <f>(2*F112+G112+2*H112)/5/100</f>
        <v>0.55217400772319458</v>
      </c>
      <c r="J112" s="15">
        <f>VLOOKUP(A112,Demográfico!A$2:E$400,5,FALSE)/(VLOOKUP(C112,Controle!A$2:G$9,7,FALSE))*D112</f>
        <v>0.28557695685470019</v>
      </c>
      <c r="K112" s="15">
        <f>VLOOKUP(A112,Demográfico!A$2:E$400,5,FALSE)/(VLOOKUP(C112,Controle!A$16:G$24,7,FALSE))*E112</f>
        <v>9.883981790982789E-2</v>
      </c>
      <c r="L112" s="118">
        <f>((J112*(1+I112))+3*(I112+K112))/4</f>
        <v>0.59907665163340529</v>
      </c>
      <c r="M112" s="3">
        <v>1</v>
      </c>
      <c r="N112" s="88">
        <f>VLOOKUP(A112,Demográfico!A$2:E$400,5,FALSE)*I112</f>
        <v>1347.3045788445947</v>
      </c>
      <c r="O112" s="96">
        <f>FLOOR(L112,1)</f>
        <v>0</v>
      </c>
      <c r="P112" s="96">
        <f>L112-O112</f>
        <v>0.59907665163340529</v>
      </c>
      <c r="Q112" s="87">
        <f>RANK(P112,P$2:P$400,0)</f>
        <v>75</v>
      </c>
      <c r="R112" s="3">
        <f>O112+IF(Q112&lt;Q$1,1,0)</f>
        <v>1</v>
      </c>
      <c r="T112" s="87">
        <f>VLOOKUP(A112,Demográfico!A$2:E$400,5,FALSE)*(I112)</f>
        <v>1347.3045788445947</v>
      </c>
    </row>
    <row r="113" spans="1:20" ht="19.5" x14ac:dyDescent="0.25">
      <c r="A113" s="2" t="s">
        <v>118</v>
      </c>
      <c r="B113" s="37">
        <v>16389</v>
      </c>
      <c r="C113" s="4" t="str" cm="1">
        <f t="array" ref="C113">_xlfn.IFS(B113&lt;20000, "P1",B113&lt;40000, "P2",B113&lt;70000, "P3",B113&lt;100000, "P4",B113&lt;200000,"M1",B113&lt;500000,"M2",B113&lt;1000000,"G1",B113&gt;1000000,"G2")</f>
        <v>P1</v>
      </c>
      <c r="D113" s="13">
        <f>VLOOKUP(C113,Controle!A$2:H$9,8,FALSE)</f>
        <v>38.874046212109647</v>
      </c>
      <c r="E113" s="13">
        <f>VLOOKUP(C113,Controle!A$16:H$23,8,FALSE)</f>
        <v>13.454529704853227</v>
      </c>
      <c r="F113" s="5">
        <f>VLOOKUP(A113,Educacional!A$2:P$405,16,FALSE)</f>
        <v>48.102171758352767</v>
      </c>
      <c r="G113" s="6">
        <f>VLOOKUP(A113,Demográfico!A$2:L$405,12,FALSE)</f>
        <v>57.646281830850256</v>
      </c>
      <c r="H113" s="7">
        <f>VLOOKUP(A113,Socioeconômico!A$2:M$405,13,FALSE)</f>
        <v>57.577580849989396</v>
      </c>
      <c r="I113" s="16">
        <f>(2*F113+G113+2*H113)/5/100</f>
        <v>0.53801157409506917</v>
      </c>
      <c r="J113" s="15">
        <f>VLOOKUP(A113,Demográfico!A$2:E$400,5,FALSE)/(VLOOKUP(C113,Controle!A$2:G$9,7,FALSE))*D113</f>
        <v>0.27492634084085682</v>
      </c>
      <c r="K113" s="15">
        <f>VLOOKUP(A113,Demográfico!A$2:E$400,5,FALSE)/(VLOOKUP(C113,Controle!A$16:G$24,7,FALSE))*E113</f>
        <v>9.5153578799256427E-2</v>
      </c>
      <c r="L113" s="118">
        <f>((J113*(1+I113))+3*(I113+K113))/4</f>
        <v>0.58058383822995518</v>
      </c>
      <c r="M113" s="3">
        <v>1</v>
      </c>
      <c r="N113" s="88">
        <f>VLOOKUP(A113,Demográfico!A$2:E$400,5,FALSE)*I113</f>
        <v>1263.7891875493174</v>
      </c>
      <c r="O113" s="96">
        <f>FLOOR(L113,1)</f>
        <v>0</v>
      </c>
      <c r="P113" s="96">
        <f>L113-O113</f>
        <v>0.58058383822995518</v>
      </c>
      <c r="Q113" s="87">
        <f>RANK(P113,P$2:P$400,0)</f>
        <v>93</v>
      </c>
      <c r="R113" s="3">
        <f>O113+IF(Q113&lt;Q$1,1,0)</f>
        <v>1</v>
      </c>
      <c r="T113" s="87">
        <f>VLOOKUP(A113,Demográfico!A$2:E$400,5,FALSE)*(I113)</f>
        <v>1263.7891875493174</v>
      </c>
    </row>
    <row r="114" spans="1:20" ht="19.5" x14ac:dyDescent="0.25">
      <c r="A114" s="2" t="s">
        <v>119</v>
      </c>
      <c r="B114" s="37">
        <v>16134</v>
      </c>
      <c r="C114" s="4" t="str" cm="1">
        <f t="array" ref="C114">_xlfn.IFS(B114&lt;20000, "P1",B114&lt;40000, "P2",B114&lt;70000, "P3",B114&lt;100000, "P4",B114&lt;200000,"M1",B114&lt;500000,"M2",B114&lt;1000000,"G1",B114&gt;1000000,"G2")</f>
        <v>P1</v>
      </c>
      <c r="D114" s="13">
        <f>VLOOKUP(C114,Controle!A$2:H$9,8,FALSE)</f>
        <v>38.874046212109647</v>
      </c>
      <c r="E114" s="13">
        <f>VLOOKUP(C114,Controle!A$16:H$23,8,FALSE)</f>
        <v>13.454529704853227</v>
      </c>
      <c r="F114" s="5">
        <f>VLOOKUP(A114,Educacional!A$2:P$405,16,FALSE)</f>
        <v>91.456049270742497</v>
      </c>
      <c r="G114" s="6">
        <f>VLOOKUP(A114,Demográfico!A$2:L$405,12,FALSE)</f>
        <v>39.621090683117572</v>
      </c>
      <c r="H114" s="7">
        <f>VLOOKUP(A114,Socioeconômico!A$2:M$405,13,FALSE)</f>
        <v>69.739947733570958</v>
      </c>
      <c r="I114" s="16">
        <f>(2*F114+G114+2*H114)/5/100</f>
        <v>0.72402616938348885</v>
      </c>
      <c r="J114" s="15">
        <f>VLOOKUP(A114,Demográfico!A$2:E$400,5,FALSE)/(VLOOKUP(C114,Controle!A$2:G$9,7,FALSE))*D114</f>
        <v>0.26474388377267699</v>
      </c>
      <c r="K114" s="15">
        <f>VLOOKUP(A114,Demográfico!A$2:E$400,5,FALSE)/(VLOOKUP(C114,Controle!A$16:G$24,7,FALSE))*E114</f>
        <v>9.1629372177061755E-2</v>
      </c>
      <c r="L114" s="118">
        <f>((J114*(1+I114))+3*(I114+K114))/4</f>
        <v>0.72584800212249201</v>
      </c>
      <c r="M114" s="3">
        <v>1</v>
      </c>
      <c r="N114" s="88">
        <f>VLOOKUP(A114,Demográfico!A$2:E$400,5,FALSE)*I114</f>
        <v>1637.7471951454518</v>
      </c>
      <c r="O114" s="96">
        <f>FLOOR(L114,1)</f>
        <v>0</v>
      </c>
      <c r="P114" s="96">
        <f>L114-O114</f>
        <v>0.72584800212249201</v>
      </c>
      <c r="Q114" s="87">
        <f>RANK(P114,P$2:P$400,0)</f>
        <v>30</v>
      </c>
      <c r="R114" s="3">
        <f>O114+IF(Q114&lt;Q$1,1,0)</f>
        <v>1</v>
      </c>
      <c r="T114" s="87">
        <f>VLOOKUP(A114,Demográfico!A$2:E$400,5,FALSE)*(I114)</f>
        <v>1637.7471951454518</v>
      </c>
    </row>
    <row r="115" spans="1:20" ht="19.5" x14ac:dyDescent="0.25">
      <c r="A115" s="2" t="s">
        <v>120</v>
      </c>
      <c r="B115" s="37">
        <v>15978</v>
      </c>
      <c r="C115" s="4" t="str" cm="1">
        <f t="array" ref="C115">_xlfn.IFS(B115&lt;20000, "P1",B115&lt;40000, "P2",B115&lt;70000, "P3",B115&lt;100000, "P4",B115&lt;200000,"M1",B115&lt;500000,"M2",B115&lt;1000000,"G1",B115&gt;1000000,"G2")</f>
        <v>P1</v>
      </c>
      <c r="D115" s="13">
        <f>VLOOKUP(C115,Controle!A$2:H$9,8,FALSE)</f>
        <v>38.874046212109647</v>
      </c>
      <c r="E115" s="13">
        <f>VLOOKUP(C115,Controle!A$16:H$23,8,FALSE)</f>
        <v>13.454529704853227</v>
      </c>
      <c r="F115" s="5">
        <f>VLOOKUP(A115,Educacional!A$2:P$405,16,FALSE)</f>
        <v>74.135148188431188</v>
      </c>
      <c r="G115" s="6">
        <f>VLOOKUP(A115,Demográfico!A$2:L$405,12,FALSE)</f>
        <v>61.742376798912126</v>
      </c>
      <c r="H115" s="7">
        <f>VLOOKUP(A115,Socioeconômico!A$2:M$405,13,FALSE)</f>
        <v>46.059353125025382</v>
      </c>
      <c r="I115" s="16">
        <f>(2*F115+G115+2*H115)/5/100</f>
        <v>0.60426275885165048</v>
      </c>
      <c r="J115" s="15">
        <f>VLOOKUP(A115,Demográfico!A$2:E$400,5,FALSE)/(VLOOKUP(C115,Controle!A$2:G$9,7,FALSE))*D115</f>
        <v>0.23501579072304835</v>
      </c>
      <c r="K115" s="15">
        <f>VLOOKUP(A115,Demográfico!A$2:E$400,5,FALSE)/(VLOOKUP(C115,Controle!A$16:G$24,7,FALSE))*E115</f>
        <v>8.1340309165137056E-2</v>
      </c>
      <c r="L115" s="118">
        <f>((J115*(1+I115))+3*(I115+K115))/4</f>
        <v>0.60845907121235565</v>
      </c>
      <c r="M115" s="3">
        <v>1</v>
      </c>
      <c r="N115" s="88">
        <f>VLOOKUP(A115,Demográfico!A$2:E$400,5,FALSE)*I115</f>
        <v>1213.3596197741142</v>
      </c>
      <c r="O115" s="96">
        <f>FLOOR(L115,1)</f>
        <v>0</v>
      </c>
      <c r="P115" s="96">
        <f>L115-O115</f>
        <v>0.60845907121235565</v>
      </c>
      <c r="Q115" s="87">
        <f>RANK(P115,P$2:P$400,0)</f>
        <v>68</v>
      </c>
      <c r="R115" s="3">
        <f>O115+IF(Q115&lt;Q$1,1,0)</f>
        <v>1</v>
      </c>
      <c r="T115" s="87">
        <f>VLOOKUP(A115,Demográfico!A$2:E$400,5,FALSE)*(I115)</f>
        <v>1213.3596197741142</v>
      </c>
    </row>
    <row r="116" spans="1:20" ht="19.5" x14ac:dyDescent="0.25">
      <c r="A116" s="2" t="s">
        <v>121</v>
      </c>
      <c r="B116" s="37">
        <v>15930</v>
      </c>
      <c r="C116" s="4" t="str" cm="1">
        <f t="array" ref="C116">_xlfn.IFS(B116&lt;20000, "P1",B116&lt;40000, "P2",B116&lt;70000, "P3",B116&lt;100000, "P4",B116&lt;200000,"M1",B116&lt;500000,"M2",B116&lt;1000000,"G1",B116&gt;1000000,"G2")</f>
        <v>P1</v>
      </c>
      <c r="D116" s="13">
        <f>VLOOKUP(C116,Controle!A$2:H$9,8,FALSE)</f>
        <v>38.874046212109647</v>
      </c>
      <c r="E116" s="13">
        <f>VLOOKUP(C116,Controle!A$16:H$23,8,FALSE)</f>
        <v>13.454529704853227</v>
      </c>
      <c r="F116" s="5">
        <f>VLOOKUP(A116,Educacional!A$2:P$405,16,FALSE)</f>
        <v>69.417486043349982</v>
      </c>
      <c r="G116" s="6">
        <f>VLOOKUP(A116,Demográfico!A$2:L$405,12,FALSE)</f>
        <v>38.459376395682845</v>
      </c>
      <c r="H116" s="7">
        <f>VLOOKUP(A116,Socioeconômico!A$2:M$405,13,FALSE)</f>
        <v>31.676526411630373</v>
      </c>
      <c r="I116" s="16">
        <f>(2*F116+G116+2*H116)/5/100</f>
        <v>0.4812948026112871</v>
      </c>
      <c r="J116" s="15">
        <f>VLOOKUP(A116,Demográfico!A$2:E$400,5,FALSE)/(VLOOKUP(C116,Controle!A$2:G$9,7,FALSE))*D116</f>
        <v>0.22377997602712571</v>
      </c>
      <c r="K116" s="15">
        <f>VLOOKUP(A116,Demográfico!A$2:E$400,5,FALSE)/(VLOOKUP(C116,Controle!A$16:G$24,7,FALSE))*E116</f>
        <v>7.7451529444094641E-2</v>
      </c>
      <c r="L116" s="118">
        <f>((J116*(1+I116))+3*(I116+K116))/4</f>
        <v>0.50193077789590124</v>
      </c>
      <c r="M116" s="3">
        <v>1</v>
      </c>
      <c r="N116" s="88">
        <f>VLOOKUP(A116,Demográfico!A$2:E$400,5,FALSE)*I116</f>
        <v>920.23566259278095</v>
      </c>
      <c r="O116" s="96">
        <f>FLOOR(L116,1)</f>
        <v>0</v>
      </c>
      <c r="P116" s="96">
        <f>L116-O116</f>
        <v>0.50193077789590124</v>
      </c>
      <c r="Q116" s="87">
        <f>RANK(P116,P$2:P$400,0)</f>
        <v>152</v>
      </c>
      <c r="R116" s="3">
        <f>O116+IF(Q116&lt;Q$1,1,0)</f>
        <v>1</v>
      </c>
      <c r="T116" s="87">
        <f>VLOOKUP(A116,Demográfico!A$2:E$400,5,FALSE)*(I116)</f>
        <v>920.23566259278095</v>
      </c>
    </row>
    <row r="117" spans="1:20" ht="19.5" x14ac:dyDescent="0.25">
      <c r="A117" s="2" t="s">
        <v>122</v>
      </c>
      <c r="B117" s="37">
        <v>15901</v>
      </c>
      <c r="C117" s="4" t="str" cm="1">
        <f t="array" ref="C117">_xlfn.IFS(B117&lt;20000, "P1",B117&lt;40000, "P2",B117&lt;70000, "P3",B117&lt;100000, "P4",B117&lt;200000,"M1",B117&lt;500000,"M2",B117&lt;1000000,"G1",B117&gt;1000000,"G2")</f>
        <v>P1</v>
      </c>
      <c r="D117" s="13">
        <f>VLOOKUP(C117,Controle!A$2:H$9,8,FALSE)</f>
        <v>38.874046212109647</v>
      </c>
      <c r="E117" s="13">
        <f>VLOOKUP(C117,Controle!A$16:H$23,8,FALSE)</f>
        <v>13.454529704853227</v>
      </c>
      <c r="F117" s="5">
        <f>VLOOKUP(A117,Educacional!A$2:P$405,16,FALSE)</f>
        <v>60.670020022985348</v>
      </c>
      <c r="G117" s="6">
        <f>VLOOKUP(A117,Demográfico!A$2:L$405,12,FALSE)</f>
        <v>43.097502207160012</v>
      </c>
      <c r="H117" s="7">
        <f>VLOOKUP(A117,Socioeconômico!A$2:M$405,13,FALSE)</f>
        <v>37.392878865856638</v>
      </c>
      <c r="I117" s="16">
        <f>(2*F117+G117+2*H117)/5/100</f>
        <v>0.47844659996968802</v>
      </c>
      <c r="J117" s="15">
        <f>VLOOKUP(A117,Demográfico!A$2:E$400,5,FALSE)/(VLOOKUP(C117,Controle!A$2:G$9,7,FALSE))*D117</f>
        <v>0.24262337359007929</v>
      </c>
      <c r="K117" s="15">
        <f>VLOOKUP(A117,Demográfico!A$2:E$400,5,FALSE)/(VLOOKUP(C117,Controle!A$16:G$24,7,FALSE))*E117</f>
        <v>8.397333710125951E-2</v>
      </c>
      <c r="L117" s="118">
        <f>((J117*(1+I117))+3*(I117+K117))/4</f>
        <v>0.51149137824256763</v>
      </c>
      <c r="M117" s="3">
        <v>1</v>
      </c>
      <c r="N117" s="88">
        <f>VLOOKUP(A117,Demográfico!A$2:E$400,5,FALSE)*I117</f>
        <v>991.81980173716329</v>
      </c>
      <c r="O117" s="96">
        <f>FLOOR(L117,1)</f>
        <v>0</v>
      </c>
      <c r="P117" s="96">
        <f>L117-O117</f>
        <v>0.51149137824256763</v>
      </c>
      <c r="Q117" s="87">
        <f>RANK(P117,P$2:P$400,0)</f>
        <v>143</v>
      </c>
      <c r="R117" s="3">
        <f>O117+IF(Q117&lt;Q$1,1,0)</f>
        <v>1</v>
      </c>
      <c r="T117" s="87">
        <f>VLOOKUP(A117,Demográfico!A$2:E$400,5,FALSE)*(I117)</f>
        <v>991.81980173716329</v>
      </c>
    </row>
    <row r="118" spans="1:20" ht="19.5" x14ac:dyDescent="0.25">
      <c r="A118" s="2" t="s">
        <v>123</v>
      </c>
      <c r="B118" s="37">
        <v>15869</v>
      </c>
      <c r="C118" s="4" t="str" cm="1">
        <f t="array" ref="C118">_xlfn.IFS(B118&lt;20000, "P1",B118&lt;40000, "P2",B118&lt;70000, "P3",B118&lt;100000, "P4",B118&lt;200000,"M1",B118&lt;500000,"M2",B118&lt;1000000,"G1",B118&gt;1000000,"G2")</f>
        <v>P1</v>
      </c>
      <c r="D118" s="13">
        <f>VLOOKUP(C118,Controle!A$2:H$9,8,FALSE)</f>
        <v>38.874046212109647</v>
      </c>
      <c r="E118" s="13">
        <f>VLOOKUP(C118,Controle!A$16:H$23,8,FALSE)</f>
        <v>13.454529704853227</v>
      </c>
      <c r="F118" s="5">
        <f>VLOOKUP(A118,Educacional!A$2:P$405,16,FALSE)</f>
        <v>46.611060116821243</v>
      </c>
      <c r="G118" s="6">
        <f>VLOOKUP(A118,Demográfico!A$2:L$405,12,FALSE)</f>
        <v>46.908395983746722</v>
      </c>
      <c r="H118" s="7">
        <f>VLOOKUP(A118,Socioeconômico!A$2:M$405,13,FALSE)</f>
        <v>27.83033232040313</v>
      </c>
      <c r="I118" s="16">
        <f>(2*F118+G118+2*H118)/5/100</f>
        <v>0.39158236171639094</v>
      </c>
      <c r="J118" s="15">
        <f>VLOOKUP(A118,Demográfico!A$2:E$400,5,FALSE)/(VLOOKUP(C118,Controle!A$2:G$9,7,FALSE))*D118</f>
        <v>0.25619998301431912</v>
      </c>
      <c r="K118" s="15">
        <f>VLOOKUP(A118,Demográfico!A$2:E$400,5,FALSE)/(VLOOKUP(C118,Controle!A$16:G$24,7,FALSE))*E118</f>
        <v>8.8672279264185763E-2</v>
      </c>
      <c r="L118" s="118">
        <f>((J118*(1+I118))+3*(I118+K118))/4</f>
        <v>0.44932182509412388</v>
      </c>
      <c r="M118" s="3">
        <v>1</v>
      </c>
      <c r="N118" s="88">
        <f>VLOOKUP(A118,Demográfico!A$2:E$400,5,FALSE)*I118</f>
        <v>857.17378979717978</v>
      </c>
      <c r="O118" s="96">
        <f>FLOOR(L118,1)</f>
        <v>0</v>
      </c>
      <c r="P118" s="96">
        <f>L118-O118</f>
        <v>0.44932182509412388</v>
      </c>
      <c r="Q118" s="87">
        <f>RANK(P118,P$2:P$400,0)</f>
        <v>212</v>
      </c>
      <c r="R118" s="3">
        <f>O118+IF(Q118&lt;Q$1,1,0)</f>
        <v>0</v>
      </c>
      <c r="T118" s="87">
        <f>VLOOKUP(A118,Demográfico!A$2:E$400,5,FALSE)*(I118)</f>
        <v>857.17378979717978</v>
      </c>
    </row>
    <row r="119" spans="1:20" ht="19.5" x14ac:dyDescent="0.25">
      <c r="A119" s="2" t="s">
        <v>124</v>
      </c>
      <c r="B119" s="37">
        <v>15746</v>
      </c>
      <c r="C119" s="4" t="str" cm="1">
        <f t="array" ref="C119">_xlfn.IFS(B119&lt;20000, "P1",B119&lt;40000, "P2",B119&lt;70000, "P3",B119&lt;100000, "P4",B119&lt;200000,"M1",B119&lt;500000,"M2",B119&lt;1000000,"G1",B119&gt;1000000,"G2")</f>
        <v>P1</v>
      </c>
      <c r="D119" s="13">
        <f>VLOOKUP(C119,Controle!A$2:H$9,8,FALSE)</f>
        <v>38.874046212109647</v>
      </c>
      <c r="E119" s="13">
        <f>VLOOKUP(C119,Controle!A$16:H$23,8,FALSE)</f>
        <v>13.454529704853227</v>
      </c>
      <c r="F119" s="5">
        <f>VLOOKUP(A119,Educacional!A$2:P$405,16,FALSE)</f>
        <v>53.261673225120887</v>
      </c>
      <c r="G119" s="6">
        <f>VLOOKUP(A119,Demográfico!A$2:L$405,12,FALSE)</f>
        <v>36.659157879280826</v>
      </c>
      <c r="H119" s="7">
        <f>VLOOKUP(A119,Socioeconômico!A$2:M$405,13,FALSE)</f>
        <v>35.571516917211298</v>
      </c>
      <c r="I119" s="16">
        <f>(2*F119+G119+2*H119)/5/100</f>
        <v>0.4286510763278904</v>
      </c>
      <c r="J119" s="15">
        <f>VLOOKUP(A119,Demográfico!A$2:E$400,5,FALSE)/(VLOOKUP(C119,Controle!A$2:G$9,7,FALSE))*D119</f>
        <v>0.22916380390225533</v>
      </c>
      <c r="K119" s="15">
        <f>VLOOKUP(A119,Demográfico!A$2:E$400,5,FALSE)/(VLOOKUP(C119,Controle!A$16:G$24,7,FALSE))*E119</f>
        <v>7.9314903060427461E-2</v>
      </c>
      <c r="L119" s="118">
        <f>((J119*(1+I119))+3*(I119+K119))/4</f>
        <v>0.46282326331632606</v>
      </c>
      <c r="M119" s="3">
        <v>1</v>
      </c>
      <c r="N119" s="88">
        <f>VLOOKUP(A119,Demográfico!A$2:E$400,5,FALSE)*I119</f>
        <v>839.29880745000935</v>
      </c>
      <c r="O119" s="96">
        <f>FLOOR(L119,1)</f>
        <v>0</v>
      </c>
      <c r="P119" s="96">
        <f>L119-O119</f>
        <v>0.46282326331632606</v>
      </c>
      <c r="Q119" s="87">
        <f>RANK(P119,P$2:P$400,0)</f>
        <v>196</v>
      </c>
      <c r="R119" s="3">
        <f>O119+IF(Q119&lt;Q$1,1,0)</f>
        <v>0</v>
      </c>
      <c r="T119" s="87">
        <f>VLOOKUP(A119,Demográfico!A$2:E$400,5,FALSE)*(I119)</f>
        <v>839.29880745000935</v>
      </c>
    </row>
    <row r="120" spans="1:20" ht="19.5" x14ac:dyDescent="0.25">
      <c r="A120" s="2" t="s">
        <v>125</v>
      </c>
      <c r="B120" s="37">
        <v>15723</v>
      </c>
      <c r="C120" s="4" t="str" cm="1">
        <f t="array" ref="C120">_xlfn.IFS(B120&lt;20000, "P1",B120&lt;40000, "P2",B120&lt;70000, "P3",B120&lt;100000, "P4",B120&lt;200000,"M1",B120&lt;500000,"M2",B120&lt;1000000,"G1",B120&gt;1000000,"G2")</f>
        <v>P1</v>
      </c>
      <c r="D120" s="13">
        <f>VLOOKUP(C120,Controle!A$2:H$9,8,FALSE)</f>
        <v>38.874046212109647</v>
      </c>
      <c r="E120" s="13">
        <f>VLOOKUP(C120,Controle!A$16:H$23,8,FALSE)</f>
        <v>13.454529704853227</v>
      </c>
      <c r="F120" s="5">
        <f>VLOOKUP(A120,Educacional!A$2:P$405,16,FALSE)</f>
        <v>56.852551599715518</v>
      </c>
      <c r="G120" s="6">
        <f>VLOOKUP(A120,Demográfico!A$2:L$405,12,FALSE)</f>
        <v>61.118401119812425</v>
      </c>
      <c r="H120" s="7">
        <f>VLOOKUP(A120,Socioeconômico!A$2:M$405,13,FALSE)</f>
        <v>54.036075224489423</v>
      </c>
      <c r="I120" s="16">
        <f>(2*F120+G120+2*H120)/5/100</f>
        <v>0.56579130953644463</v>
      </c>
      <c r="J120" s="15">
        <f>VLOOKUP(A120,Demográfico!A$2:E$400,5,FALSE)/(VLOOKUP(C120,Controle!A$2:G$9,7,FALSE))*D120</f>
        <v>0.24613456568255512</v>
      </c>
      <c r="K120" s="15">
        <f>VLOOKUP(A120,Demográfico!A$2:E$400,5,FALSE)/(VLOOKUP(C120,Controle!A$16:G$24,7,FALSE))*E120</f>
        <v>8.5188580764085267E-2</v>
      </c>
      <c r="L120" s="118">
        <f>((J120*(1+I120))+3*(I120+K120))/4</f>
        <v>0.58458375870596546</v>
      </c>
      <c r="M120" s="3">
        <v>1</v>
      </c>
      <c r="N120" s="88">
        <f>VLOOKUP(A120,Demográfico!A$2:E$400,5,FALSE)*I120</f>
        <v>1189.8591239551431</v>
      </c>
      <c r="O120" s="96">
        <f>FLOOR(L120,1)</f>
        <v>0</v>
      </c>
      <c r="P120" s="96">
        <f>L120-O120</f>
        <v>0.58458375870596546</v>
      </c>
      <c r="Q120" s="87">
        <f>RANK(P120,P$2:P$400,0)</f>
        <v>88</v>
      </c>
      <c r="R120" s="3">
        <f>O120+IF(Q120&lt;Q$1,1,0)</f>
        <v>1</v>
      </c>
      <c r="T120" s="87">
        <f>VLOOKUP(A120,Demográfico!A$2:E$400,5,FALSE)*(I120)</f>
        <v>1189.8591239551431</v>
      </c>
    </row>
    <row r="121" spans="1:20" ht="19.5" x14ac:dyDescent="0.25">
      <c r="A121" s="2" t="s">
        <v>126</v>
      </c>
      <c r="B121" s="37">
        <v>15533</v>
      </c>
      <c r="C121" s="4" t="str" cm="1">
        <f t="array" ref="C121">_xlfn.IFS(B121&lt;20000, "P1",B121&lt;40000, "P2",B121&lt;70000, "P3",B121&lt;100000, "P4",B121&lt;200000,"M1",B121&lt;500000,"M2",B121&lt;1000000,"G1",B121&gt;1000000,"G2")</f>
        <v>P1</v>
      </c>
      <c r="D121" s="13">
        <f>VLOOKUP(C121,Controle!A$2:H$9,8,FALSE)</f>
        <v>38.874046212109647</v>
      </c>
      <c r="E121" s="13">
        <f>VLOOKUP(C121,Controle!A$16:H$23,8,FALSE)</f>
        <v>13.454529704853227</v>
      </c>
      <c r="F121" s="5">
        <f>VLOOKUP(A121,Educacional!A$2:P$405,16,FALSE)</f>
        <v>66.387215090105215</v>
      </c>
      <c r="G121" s="6">
        <f>VLOOKUP(A121,Demográfico!A$2:L$405,12,FALSE)</f>
        <v>69.794895741835859</v>
      </c>
      <c r="H121" s="7">
        <f>VLOOKUP(A121,Socioeconômico!A$2:M$405,13,FALSE)</f>
        <v>46.776964883093363</v>
      </c>
      <c r="I121" s="16">
        <f>(2*F121+G121+2*H121)/5/100</f>
        <v>0.592246511376466</v>
      </c>
      <c r="J121" s="15">
        <f>VLOOKUP(A121,Demográfico!A$2:E$400,5,FALSE)/(VLOOKUP(C121,Controle!A$2:G$9,7,FALSE))*D121</f>
        <v>0.26216900957152806</v>
      </c>
      <c r="K121" s="15">
        <f>VLOOKUP(A121,Demográfico!A$2:E$400,5,FALSE)/(VLOOKUP(C121,Controle!A$16:G$24,7,FALSE))*E121</f>
        <v>9.0738193490989535E-2</v>
      </c>
      <c r="L121" s="118">
        <f>((J121*(1+I121))+3*(I121+K121))/4</f>
        <v>0.61659795137091389</v>
      </c>
      <c r="M121" s="3">
        <v>1</v>
      </c>
      <c r="N121" s="88">
        <f>VLOOKUP(A121,Demográfico!A$2:E$400,5,FALSE)*I121</f>
        <v>1326.6321854832838</v>
      </c>
      <c r="O121" s="96">
        <f>FLOOR(L121,1)</f>
        <v>0</v>
      </c>
      <c r="P121" s="96">
        <f>L121-O121</f>
        <v>0.61659795137091389</v>
      </c>
      <c r="Q121" s="87">
        <f>RANK(P121,P$2:P$400,0)</f>
        <v>64</v>
      </c>
      <c r="R121" s="3">
        <f>O121+IF(Q121&lt;Q$1,1,0)</f>
        <v>1</v>
      </c>
      <c r="T121" s="87">
        <f>VLOOKUP(A121,Demográfico!A$2:E$400,5,FALSE)*(I121)</f>
        <v>1326.6321854832838</v>
      </c>
    </row>
    <row r="122" spans="1:20" ht="19.5" x14ac:dyDescent="0.25">
      <c r="A122" s="2" t="s">
        <v>127</v>
      </c>
      <c r="B122" s="37">
        <v>15244</v>
      </c>
      <c r="C122" s="4" t="str" cm="1">
        <f t="array" ref="C122">_xlfn.IFS(B122&lt;20000, "P1",B122&lt;40000, "P2",B122&lt;70000, "P3",B122&lt;100000, "P4",B122&lt;200000,"M1",B122&lt;500000,"M2",B122&lt;1000000,"G1",B122&gt;1000000,"G2")</f>
        <v>P1</v>
      </c>
      <c r="D122" s="13">
        <f>VLOOKUP(C122,Controle!A$2:H$9,8,FALSE)</f>
        <v>38.874046212109647</v>
      </c>
      <c r="E122" s="13">
        <f>VLOOKUP(C122,Controle!A$16:H$23,8,FALSE)</f>
        <v>13.454529704853227</v>
      </c>
      <c r="F122" s="5">
        <f>VLOOKUP(A122,Educacional!A$2:P$405,16,FALSE)</f>
        <v>72.629348056365032</v>
      </c>
      <c r="G122" s="6">
        <f>VLOOKUP(A122,Demográfico!A$2:L$405,12,FALSE)</f>
        <v>46.426357862558397</v>
      </c>
      <c r="H122" s="7">
        <f>VLOOKUP(A122,Socioeconômico!A$2:M$405,13,FALSE)</f>
        <v>67.165654419854675</v>
      </c>
      <c r="I122" s="16">
        <f>(2*F122+G122+2*H122)/5/100</f>
        <v>0.65203272562999559</v>
      </c>
      <c r="J122" s="15">
        <f>VLOOKUP(A122,Demográfico!A$2:E$400,5,FALSE)/(VLOOKUP(C122,Controle!A$2:G$9,7,FALSE))*D122</f>
        <v>0.24215521464441586</v>
      </c>
      <c r="K122" s="15">
        <f>VLOOKUP(A122,Demográfico!A$2:E$400,5,FALSE)/(VLOOKUP(C122,Controle!A$16:G$24,7,FALSE))*E122</f>
        <v>8.3811304612882748E-2</v>
      </c>
      <c r="L122" s="118">
        <f>((J122*(1+I122))+3*(I122+K122))/4</f>
        <v>0.65189510750079149</v>
      </c>
      <c r="M122" s="3">
        <v>1</v>
      </c>
      <c r="N122" s="88">
        <f>VLOOKUP(A122,Demográfico!A$2:E$400,5,FALSE)*I122</f>
        <v>1349.0557093284608</v>
      </c>
      <c r="O122" s="96">
        <f>FLOOR(L122,1)</f>
        <v>0</v>
      </c>
      <c r="P122" s="96">
        <f>L122-O122</f>
        <v>0.65189510750079149</v>
      </c>
      <c r="Q122" s="87">
        <f>RANK(P122,P$2:P$400,0)</f>
        <v>49</v>
      </c>
      <c r="R122" s="3">
        <f>O122+IF(Q122&lt;Q$1,1,0)</f>
        <v>1</v>
      </c>
      <c r="T122" s="87">
        <f>VLOOKUP(A122,Demográfico!A$2:E$400,5,FALSE)*(I122)</f>
        <v>1349.0557093284608</v>
      </c>
    </row>
    <row r="123" spans="1:20" ht="19.5" x14ac:dyDescent="0.25">
      <c r="A123" s="2" t="s">
        <v>128</v>
      </c>
      <c r="B123" s="37">
        <v>15223</v>
      </c>
      <c r="C123" s="4" t="str" cm="1">
        <f t="array" ref="C123">_xlfn.IFS(B123&lt;20000, "P1",B123&lt;40000, "P2",B123&lt;70000, "P3",B123&lt;100000, "P4",B123&lt;200000,"M1",B123&lt;500000,"M2",B123&lt;1000000,"G1",B123&gt;1000000,"G2")</f>
        <v>P1</v>
      </c>
      <c r="D123" s="13">
        <f>VLOOKUP(C123,Controle!A$2:H$9,8,FALSE)</f>
        <v>38.874046212109647</v>
      </c>
      <c r="E123" s="13">
        <f>VLOOKUP(C123,Controle!A$16:H$23,8,FALSE)</f>
        <v>13.454529704853227</v>
      </c>
      <c r="F123" s="5">
        <f>VLOOKUP(A123,Educacional!A$2:P$405,16,FALSE)</f>
        <v>71.062961258043401</v>
      </c>
      <c r="G123" s="6">
        <f>VLOOKUP(A123,Demográfico!A$2:L$405,12,FALSE)</f>
        <v>36.449378919290879</v>
      </c>
      <c r="H123" s="7">
        <f>VLOOKUP(A123,Socioeconômico!A$2:M$405,13,FALSE)</f>
        <v>40.411926392050802</v>
      </c>
      <c r="I123" s="16">
        <f>(2*F123+G123+2*H123)/5/100</f>
        <v>0.51879830843895869</v>
      </c>
      <c r="J123" s="15">
        <f>VLOOKUP(A123,Demográfico!A$2:E$400,5,FALSE)/(VLOOKUP(C123,Controle!A$2:G$9,7,FALSE))*D123</f>
        <v>0.23115347942132497</v>
      </c>
      <c r="K123" s="15">
        <f>VLOOKUP(A123,Demográfico!A$2:E$400,5,FALSE)/(VLOOKUP(C123,Controle!A$16:G$24,7,FALSE))*E123</f>
        <v>8.0003541136028727E-2</v>
      </c>
      <c r="L123" s="118">
        <f>((J123*(1+I123))+3*(I123+K123))/4</f>
        <v>0.53687026556496253</v>
      </c>
      <c r="M123" s="3">
        <v>1</v>
      </c>
      <c r="N123" s="88">
        <f>VLOOKUP(A123,Demográfico!A$2:E$400,5,FALSE)*I123</f>
        <v>1024.6266591669435</v>
      </c>
      <c r="O123" s="96">
        <f>FLOOR(L123,1)</f>
        <v>0</v>
      </c>
      <c r="P123" s="96">
        <f>L123-O123</f>
        <v>0.53687026556496253</v>
      </c>
      <c r="Q123" s="87">
        <f>RANK(P123,P$2:P$400,0)</f>
        <v>127</v>
      </c>
      <c r="R123" s="3">
        <f>O123+IF(Q123&lt;Q$1,1,0)</f>
        <v>1</v>
      </c>
      <c r="T123" s="87">
        <f>VLOOKUP(A123,Demográfico!A$2:E$400,5,FALSE)*(I123)</f>
        <v>1024.6266591669435</v>
      </c>
    </row>
    <row r="124" spans="1:20" ht="19.5" x14ac:dyDescent="0.25">
      <c r="A124" s="2" t="s">
        <v>129</v>
      </c>
      <c r="B124" s="37">
        <v>15122</v>
      </c>
      <c r="C124" s="4" t="str" cm="1">
        <f t="array" ref="C124">_xlfn.IFS(B124&lt;20000, "P1",B124&lt;40000, "P2",B124&lt;70000, "P3",B124&lt;100000, "P4",B124&lt;200000,"M1",B124&lt;500000,"M2",B124&lt;1000000,"G1",B124&gt;1000000,"G2")</f>
        <v>P1</v>
      </c>
      <c r="D124" s="13">
        <f>VLOOKUP(C124,Controle!A$2:H$9,8,FALSE)</f>
        <v>38.874046212109647</v>
      </c>
      <c r="E124" s="13">
        <f>VLOOKUP(C124,Controle!A$16:H$23,8,FALSE)</f>
        <v>13.454529704853227</v>
      </c>
      <c r="F124" s="5">
        <f>VLOOKUP(A124,Educacional!A$2:P$405,16,FALSE)</f>
        <v>55.084659556099993</v>
      </c>
      <c r="G124" s="6">
        <f>VLOOKUP(A124,Demográfico!A$2:L$405,12,FALSE)</f>
        <v>55.067762052356137</v>
      </c>
      <c r="H124" s="7">
        <f>VLOOKUP(A124,Socioeconômico!A$2:M$405,13,FALSE)</f>
        <v>14.72719499750853</v>
      </c>
      <c r="I124" s="16">
        <f>(2*F124+G124+2*H124)/5/100</f>
        <v>0.38938294231914639</v>
      </c>
      <c r="J124" s="15">
        <f>VLOOKUP(A124,Demográfico!A$2:E$400,5,FALSE)/(VLOOKUP(C124,Controle!A$2:G$9,7,FALSE))*D124</f>
        <v>0.24075073780742551</v>
      </c>
      <c r="K124" s="15">
        <f>VLOOKUP(A124,Demográfico!A$2:E$400,5,FALSE)/(VLOOKUP(C124,Controle!A$16:G$24,7,FALSE))*E124</f>
        <v>8.3325207147752448E-2</v>
      </c>
      <c r="L124" s="118">
        <f>((J124*(1+I124))+3*(I124+K124))/4</f>
        <v>0.43815485421527067</v>
      </c>
      <c r="M124" s="3">
        <v>1</v>
      </c>
      <c r="N124" s="88">
        <f>VLOOKUP(A124,Demográfico!A$2:E$400,5,FALSE)*I124</f>
        <v>800.96071235048407</v>
      </c>
      <c r="O124" s="96">
        <f>FLOOR(L124,1)</f>
        <v>0</v>
      </c>
      <c r="P124" s="96">
        <f>L124-O124</f>
        <v>0.43815485421527067</v>
      </c>
      <c r="Q124" s="87">
        <f>RANK(P124,P$2:P$400,0)</f>
        <v>232</v>
      </c>
      <c r="R124" s="3">
        <f>O124+IF(Q124&lt;Q$1,1,0)</f>
        <v>0</v>
      </c>
      <c r="T124" s="87">
        <f>VLOOKUP(A124,Demográfico!A$2:E$400,5,FALSE)*(I124)</f>
        <v>800.96071235048407</v>
      </c>
    </row>
    <row r="125" spans="1:20" ht="19.5" x14ac:dyDescent="0.25">
      <c r="A125" s="2" t="s">
        <v>130</v>
      </c>
      <c r="B125" s="37">
        <v>15070</v>
      </c>
      <c r="C125" s="4" t="str" cm="1">
        <f t="array" ref="C125">_xlfn.IFS(B125&lt;20000, "P1",B125&lt;40000, "P2",B125&lt;70000, "P3",B125&lt;100000, "P4",B125&lt;200000,"M1",B125&lt;500000,"M2",B125&lt;1000000,"G1",B125&gt;1000000,"G2")</f>
        <v>P1</v>
      </c>
      <c r="D125" s="13">
        <f>VLOOKUP(C125,Controle!A$2:H$9,8,FALSE)</f>
        <v>38.874046212109647</v>
      </c>
      <c r="E125" s="13">
        <f>VLOOKUP(C125,Controle!A$16:H$23,8,FALSE)</f>
        <v>13.454529704853227</v>
      </c>
      <c r="F125" s="5">
        <f>VLOOKUP(A125,Educacional!A$2:P$405,16,FALSE)</f>
        <v>57.669275675348011</v>
      </c>
      <c r="G125" s="6">
        <f>VLOOKUP(A125,Demográfico!A$2:L$405,12,FALSE)</f>
        <v>75.861948176203043</v>
      </c>
      <c r="H125" s="7">
        <f>VLOOKUP(A125,Socioeconômico!A$2:M$405,13,FALSE)</f>
        <v>44.525864531590216</v>
      </c>
      <c r="I125" s="16">
        <f>(2*F125+G125+2*H125)/5/100</f>
        <v>0.56050445718015907</v>
      </c>
      <c r="J125" s="15">
        <f>VLOOKUP(A125,Demográfico!A$2:E$400,5,FALSE)/(VLOOKUP(C125,Controle!A$2:G$9,7,FALSE))*D125</f>
        <v>0.25151839355768468</v>
      </c>
      <c r="K125" s="15">
        <f>VLOOKUP(A125,Demográfico!A$2:E$400,5,FALSE)/(VLOOKUP(C125,Controle!A$16:G$24,7,FALSE))*E125</f>
        <v>8.7051954380418087E-2</v>
      </c>
      <c r="L125" s="118">
        <f>((J125*(1+I125))+3*(I125+K125))/4</f>
        <v>0.58379120222282299</v>
      </c>
      <c r="M125" s="3">
        <v>1</v>
      </c>
      <c r="N125" s="88">
        <f>VLOOKUP(A125,Demográfico!A$2:E$400,5,FALSE)*I125</f>
        <v>1204.5240784801617</v>
      </c>
      <c r="O125" s="96">
        <f>FLOOR(L125,1)</f>
        <v>0</v>
      </c>
      <c r="P125" s="96">
        <f>L125-O125</f>
        <v>0.58379120222282299</v>
      </c>
      <c r="Q125" s="87">
        <f>RANK(P125,P$2:P$400,0)</f>
        <v>89</v>
      </c>
      <c r="R125" s="3">
        <f>O125+IF(Q125&lt;Q$1,1,0)</f>
        <v>1</v>
      </c>
      <c r="T125" s="87">
        <f>VLOOKUP(A125,Demográfico!A$2:E$400,5,FALSE)*(I125)</f>
        <v>1204.5240784801617</v>
      </c>
    </row>
    <row r="126" spans="1:20" ht="19.5" x14ac:dyDescent="0.25">
      <c r="A126" s="2" t="s">
        <v>131</v>
      </c>
      <c r="B126" s="37">
        <v>14973</v>
      </c>
      <c r="C126" s="4" t="str" cm="1">
        <f t="array" ref="C126">_xlfn.IFS(B126&lt;20000, "P1",B126&lt;40000, "P2",B126&lt;70000, "P3",B126&lt;100000, "P4",B126&lt;200000,"M1",B126&lt;500000,"M2",B126&lt;1000000,"G1",B126&gt;1000000,"G2")</f>
        <v>P1</v>
      </c>
      <c r="D126" s="13">
        <f>VLOOKUP(C126,Controle!A$2:H$9,8,FALSE)</f>
        <v>38.874046212109647</v>
      </c>
      <c r="E126" s="13">
        <f>VLOOKUP(C126,Controle!A$16:H$23,8,FALSE)</f>
        <v>13.454529704853227</v>
      </c>
      <c r="F126" s="5">
        <f>VLOOKUP(A126,Educacional!A$2:P$405,16,FALSE)</f>
        <v>67.133926153868103</v>
      </c>
      <c r="G126" s="6">
        <f>VLOOKUP(A126,Demográfico!A$2:L$405,12,FALSE)</f>
        <v>54.097368067605615</v>
      </c>
      <c r="H126" s="7">
        <f>VLOOKUP(A126,Socioeconômico!A$2:M$405,13,FALSE)</f>
        <v>41.48071404521729</v>
      </c>
      <c r="I126" s="16">
        <f>(2*F126+G126+2*H126)/5/100</f>
        <v>0.54265329693155284</v>
      </c>
      <c r="J126" s="15">
        <f>VLOOKUP(A126,Demográfico!A$2:E$400,5,FALSE)/(VLOOKUP(C126,Controle!A$2:G$9,7,FALSE))*D126</f>
        <v>0.26228604930794391</v>
      </c>
      <c r="K126" s="15">
        <f>VLOOKUP(A126,Demográfico!A$2:E$400,5,FALSE)/(VLOOKUP(C126,Controle!A$16:G$24,7,FALSE))*E126</f>
        <v>9.0778701613083726E-2</v>
      </c>
      <c r="L126" s="118">
        <f>((J126*(1+I126))+3*(I126+K126))/4</f>
        <v>0.57622810858449036</v>
      </c>
      <c r="M126" s="3">
        <v>1</v>
      </c>
      <c r="N126" s="88">
        <f>VLOOKUP(A126,Demográfico!A$2:E$400,5,FALSE)*I126</f>
        <v>1216.0860384236098</v>
      </c>
      <c r="O126" s="96">
        <f>FLOOR(L126,1)</f>
        <v>0</v>
      </c>
      <c r="P126" s="96">
        <f>L126-O126</f>
        <v>0.57622810858449036</v>
      </c>
      <c r="Q126" s="87">
        <f>RANK(P126,P$2:P$400,0)</f>
        <v>100</v>
      </c>
      <c r="R126" s="3">
        <f>O126+IF(Q126&lt;Q$1,1,0)</f>
        <v>1</v>
      </c>
      <c r="T126" s="87">
        <f>VLOOKUP(A126,Demográfico!A$2:E$400,5,FALSE)*(I126)</f>
        <v>1216.0860384236098</v>
      </c>
    </row>
    <row r="127" spans="1:20" ht="19.5" x14ac:dyDescent="0.25">
      <c r="A127" s="2" t="s">
        <v>132</v>
      </c>
      <c r="B127" s="37">
        <v>14842</v>
      </c>
      <c r="C127" s="4" t="str" cm="1">
        <f t="array" ref="C127">_xlfn.IFS(B127&lt;20000, "P1",B127&lt;40000, "P2",B127&lt;70000, "P3",B127&lt;100000, "P4",B127&lt;200000,"M1",B127&lt;500000,"M2",B127&lt;1000000,"G1",B127&gt;1000000,"G2")</f>
        <v>P1</v>
      </c>
      <c r="D127" s="13">
        <f>VLOOKUP(C127,Controle!A$2:H$9,8,FALSE)</f>
        <v>38.874046212109647</v>
      </c>
      <c r="E127" s="13">
        <f>VLOOKUP(C127,Controle!A$16:H$23,8,FALSE)</f>
        <v>13.454529704853227</v>
      </c>
      <c r="F127" s="5">
        <f>VLOOKUP(A127,Educacional!A$2:P$405,16,FALSE)</f>
        <v>45.18658035762985</v>
      </c>
      <c r="G127" s="6">
        <f>VLOOKUP(A127,Demográfico!A$2:L$405,12,FALSE)</f>
        <v>37.957031779853402</v>
      </c>
      <c r="H127" s="7">
        <f>VLOOKUP(A127,Socioeconômico!A$2:M$405,13,FALSE)</f>
        <v>44.422657794931638</v>
      </c>
      <c r="I127" s="16">
        <f>(2*F127+G127+2*H127)/5/100</f>
        <v>0.43435101616995275</v>
      </c>
      <c r="J127" s="15">
        <f>VLOOKUP(A127,Demográfico!A$2:E$400,5,FALSE)/(VLOOKUP(C127,Controle!A$2:G$9,7,FALSE))*D127</f>
        <v>0.23642026756003867</v>
      </c>
      <c r="K127" s="15">
        <f>VLOOKUP(A127,Demográfico!A$2:E$400,5,FALSE)/(VLOOKUP(C127,Controle!A$16:G$24,7,FALSE))*E127</f>
        <v>8.1826406630267343E-2</v>
      </c>
      <c r="L127" s="118">
        <f>((J127*(1+I127))+3*(I127+K127))/4</f>
        <v>0.47191047985464346</v>
      </c>
      <c r="M127" s="3">
        <v>1</v>
      </c>
      <c r="N127" s="88">
        <f>VLOOKUP(A127,Demográfico!A$2:E$400,5,FALSE)*I127</f>
        <v>877.3890526633046</v>
      </c>
      <c r="O127" s="96">
        <f>FLOOR(L127,1)</f>
        <v>0</v>
      </c>
      <c r="P127" s="96">
        <f>L127-O127</f>
        <v>0.47191047985464346</v>
      </c>
      <c r="Q127" s="87">
        <f>RANK(P127,P$2:P$400,0)</f>
        <v>183</v>
      </c>
      <c r="R127" s="3">
        <f>O127+IF(Q127&lt;Q$1,1,0)</f>
        <v>1</v>
      </c>
      <c r="T127" s="87">
        <f>VLOOKUP(A127,Demográfico!A$2:E$400,5,FALSE)*(I127)</f>
        <v>877.3890526633046</v>
      </c>
    </row>
    <row r="128" spans="1:20" ht="19.5" x14ac:dyDescent="0.25">
      <c r="A128" s="2" t="s">
        <v>133</v>
      </c>
      <c r="B128" s="37">
        <v>14833</v>
      </c>
      <c r="C128" s="4" t="str" cm="1">
        <f t="array" ref="C128">_xlfn.IFS(B128&lt;20000, "P1",B128&lt;40000, "P2",B128&lt;70000, "P3",B128&lt;100000, "P4",B128&lt;200000,"M1",B128&lt;500000,"M2",B128&lt;1000000,"G1",B128&gt;1000000,"G2")</f>
        <v>P1</v>
      </c>
      <c r="D128" s="13">
        <f>VLOOKUP(C128,Controle!A$2:H$9,8,FALSE)</f>
        <v>38.874046212109647</v>
      </c>
      <c r="E128" s="13">
        <f>VLOOKUP(C128,Controle!A$16:H$23,8,FALSE)</f>
        <v>13.454529704853227</v>
      </c>
      <c r="F128" s="5">
        <f>VLOOKUP(A128,Educacional!A$2:P$405,16,FALSE)</f>
        <v>62.607825957132398</v>
      </c>
      <c r="G128" s="6">
        <f>VLOOKUP(A128,Demográfico!A$2:L$405,12,FALSE)</f>
        <v>46.732552374869812</v>
      </c>
      <c r="H128" s="7">
        <f>VLOOKUP(A128,Socioeconômico!A$2:M$405,13,FALSE)</f>
        <v>52.13442258931876</v>
      </c>
      <c r="I128" s="16">
        <f>(2*F128+G128+2*H128)/5/100</f>
        <v>0.55243409893554418</v>
      </c>
      <c r="J128" s="15">
        <f>VLOOKUP(A128,Demográfico!A$2:E$400,5,FALSE)/(VLOOKUP(C128,Controle!A$2:G$9,7,FALSE))*D128</f>
        <v>0.21149080370346035</v>
      </c>
      <c r="K128" s="15">
        <f>VLOOKUP(A128,Demográfico!A$2:E$400,5,FALSE)/(VLOOKUP(C128,Controle!A$16:G$24,7,FALSE))*E128</f>
        <v>7.3198176624204511E-2</v>
      </c>
      <c r="L128" s="118">
        <f>((J128*(1+I128))+3*(I128+K128))/4</f>
        <v>0.55130559048994532</v>
      </c>
      <c r="M128" s="3">
        <v>1</v>
      </c>
      <c r="N128" s="88">
        <f>VLOOKUP(A128,Demográfico!A$2:E$400,5,FALSE)*I128</f>
        <v>998.2484167765283</v>
      </c>
      <c r="O128" s="96">
        <f>FLOOR(L128,1)</f>
        <v>0</v>
      </c>
      <c r="P128" s="96">
        <f>L128-O128</f>
        <v>0.55130559048994532</v>
      </c>
      <c r="Q128" s="87">
        <f>RANK(P128,P$2:P$400,0)</f>
        <v>118</v>
      </c>
      <c r="R128" s="3">
        <f>O128+IF(Q128&lt;Q$1,1,0)</f>
        <v>1</v>
      </c>
      <c r="T128" s="87">
        <f>VLOOKUP(A128,Demográfico!A$2:E$400,5,FALSE)*(I128)</f>
        <v>998.2484167765283</v>
      </c>
    </row>
    <row r="129" spans="1:20" ht="19.5" x14ac:dyDescent="0.25">
      <c r="A129" s="2" t="s">
        <v>134</v>
      </c>
      <c r="B129" s="37">
        <v>14648</v>
      </c>
      <c r="C129" s="4" t="str" cm="1">
        <f t="array" ref="C129">_xlfn.IFS(B129&lt;20000, "P1",B129&lt;40000, "P2",B129&lt;70000, "P3",B129&lt;100000, "P4",B129&lt;200000,"M1",B129&lt;500000,"M2",B129&lt;1000000,"G1",B129&gt;1000000,"G2")</f>
        <v>P1</v>
      </c>
      <c r="D129" s="13">
        <f>VLOOKUP(C129,Controle!A$2:H$9,8,FALSE)</f>
        <v>38.874046212109647</v>
      </c>
      <c r="E129" s="13">
        <f>VLOOKUP(C129,Controle!A$16:H$23,8,FALSE)</f>
        <v>13.454529704853227</v>
      </c>
      <c r="F129" s="5">
        <f>VLOOKUP(A129,Educacional!A$2:P$405,16,FALSE)</f>
        <v>53.912189099391064</v>
      </c>
      <c r="G129" s="6">
        <f>VLOOKUP(A129,Demográfico!A$2:L$405,12,FALSE)</f>
        <v>59.061937297167297</v>
      </c>
      <c r="H129" s="7">
        <f>VLOOKUP(A129,Socioeconômico!A$2:M$405,13,FALSE)</f>
        <v>44.724748254365814</v>
      </c>
      <c r="I129" s="16">
        <f>(2*F129+G129+2*H129)/5/100</f>
        <v>0.51267162400936206</v>
      </c>
      <c r="J129" s="15">
        <f>VLOOKUP(A129,Demográfico!A$2:E$400,5,FALSE)/(VLOOKUP(C129,Controle!A$2:G$9,7,FALSE))*D129</f>
        <v>0.22647188996469053</v>
      </c>
      <c r="K129" s="15">
        <f>VLOOKUP(A129,Demográfico!A$2:E$400,5,FALSE)/(VLOOKUP(C129,Controle!A$16:G$24,7,FALSE))*E129</f>
        <v>7.8383216252261051E-2</v>
      </c>
      <c r="L129" s="118">
        <f>((J129*(1+I129))+3*(I129+K129))/4</f>
        <v>0.52893553059255682</v>
      </c>
      <c r="M129" s="3">
        <v>1</v>
      </c>
      <c r="N129" s="88">
        <f>VLOOKUP(A129,Demográfico!A$2:E$400,5,FALSE)*I129</f>
        <v>992.01959245811554</v>
      </c>
      <c r="O129" s="96">
        <f>FLOOR(L129,1)</f>
        <v>0</v>
      </c>
      <c r="P129" s="96">
        <f>L129-O129</f>
        <v>0.52893553059255682</v>
      </c>
      <c r="Q129" s="87">
        <f>RANK(P129,P$2:P$400,0)</f>
        <v>132</v>
      </c>
      <c r="R129" s="3">
        <f>O129+IF(Q129&lt;Q$1,1,0)</f>
        <v>1</v>
      </c>
      <c r="T129" s="87">
        <f>VLOOKUP(A129,Demográfico!A$2:E$400,5,FALSE)*(I129)</f>
        <v>992.01959245811554</v>
      </c>
    </row>
    <row r="130" spans="1:20" ht="19.5" x14ac:dyDescent="0.25">
      <c r="A130" s="2" t="s">
        <v>135</v>
      </c>
      <c r="B130" s="37">
        <v>14514</v>
      </c>
      <c r="C130" s="4" t="str" cm="1">
        <f t="array" ref="C130">_xlfn.IFS(B130&lt;20000, "P1",B130&lt;40000, "P2",B130&lt;70000, "P3",B130&lt;100000, "P4",B130&lt;200000,"M1",B130&lt;500000,"M2",B130&lt;1000000,"G1",B130&gt;1000000,"G2")</f>
        <v>P1</v>
      </c>
      <c r="D130" s="13">
        <f>VLOOKUP(C130,Controle!A$2:H$9,8,FALSE)</f>
        <v>38.874046212109647</v>
      </c>
      <c r="E130" s="13">
        <f>VLOOKUP(C130,Controle!A$16:H$23,8,FALSE)</f>
        <v>13.454529704853227</v>
      </c>
      <c r="F130" s="5">
        <f>VLOOKUP(A130,Educacional!A$2:P$405,16,FALSE)</f>
        <v>69.836395690855525</v>
      </c>
      <c r="G130" s="6">
        <f>VLOOKUP(A130,Demográfico!A$2:L$405,12,FALSE)</f>
        <v>39.178180058778047</v>
      </c>
      <c r="H130" s="7">
        <f>VLOOKUP(A130,Socioeconômico!A$2:M$405,13,FALSE)</f>
        <v>54.699697974031544</v>
      </c>
      <c r="I130" s="16">
        <f>(2*F130+G130+2*H130)/5/100</f>
        <v>0.5765007347771044</v>
      </c>
      <c r="J130" s="15">
        <f>VLOOKUP(A130,Demográfico!A$2:E$400,5,FALSE)/(VLOOKUP(C130,Controle!A$2:G$9,7,FALSE))*D130</f>
        <v>0.22846156548376015</v>
      </c>
      <c r="K130" s="15">
        <f>VLOOKUP(A130,Demográfico!A$2:E$400,5,FALSE)/(VLOOKUP(C130,Controle!A$16:G$24,7,FALSE))*E130</f>
        <v>7.9071854327862318E-2</v>
      </c>
      <c r="L130" s="118">
        <f>((J130*(1+I130))+3*(I130+K130))/4</f>
        <v>0.58172189829209386</v>
      </c>
      <c r="M130" s="3">
        <v>1</v>
      </c>
      <c r="N130" s="88">
        <f>VLOOKUP(A130,Demográfico!A$2:E$400,5,FALSE)*I130</f>
        <v>1125.3294342849078</v>
      </c>
      <c r="O130" s="96">
        <f>FLOOR(L130,1)</f>
        <v>0</v>
      </c>
      <c r="P130" s="96">
        <f>L130-O130</f>
        <v>0.58172189829209386</v>
      </c>
      <c r="Q130" s="87">
        <f>RANK(P130,P$2:P$400,0)</f>
        <v>92</v>
      </c>
      <c r="R130" s="3">
        <f>O130+IF(Q130&lt;Q$1,1,0)</f>
        <v>1</v>
      </c>
      <c r="T130" s="87">
        <f>VLOOKUP(A130,Demográfico!A$2:E$400,5,FALSE)*(I130)</f>
        <v>1125.3294342849078</v>
      </c>
    </row>
    <row r="131" spans="1:20" ht="19.5" x14ac:dyDescent="0.25">
      <c r="A131" s="2" t="s">
        <v>136</v>
      </c>
      <c r="B131" s="37">
        <v>14485</v>
      </c>
      <c r="C131" s="4" t="str" cm="1">
        <f t="array" ref="C131">_xlfn.IFS(B131&lt;20000, "P1",B131&lt;40000, "P2",B131&lt;70000, "P3",B131&lt;100000, "P4",B131&lt;200000,"M1",B131&lt;500000,"M2",B131&lt;1000000,"G1",B131&gt;1000000,"G2")</f>
        <v>P1</v>
      </c>
      <c r="D131" s="13">
        <f>VLOOKUP(C131,Controle!A$2:H$9,8,FALSE)</f>
        <v>38.874046212109647</v>
      </c>
      <c r="E131" s="13">
        <f>VLOOKUP(C131,Controle!A$16:H$23,8,FALSE)</f>
        <v>13.454529704853227</v>
      </c>
      <c r="F131" s="5">
        <f>VLOOKUP(A131,Educacional!A$2:P$405,16,FALSE)</f>
        <v>69.335597529059172</v>
      </c>
      <c r="G131" s="6">
        <f>VLOOKUP(A131,Demográfico!A$2:L$405,12,FALSE)</f>
        <v>35.702608935150124</v>
      </c>
      <c r="H131" s="7">
        <f>VLOOKUP(A131,Socioeconômico!A$2:M$405,13,FALSE)</f>
        <v>37.293680844142777</v>
      </c>
      <c r="I131" s="16">
        <f>(2*F131+G131+2*H131)/5/100</f>
        <v>0.49792233136310798</v>
      </c>
      <c r="J131" s="15">
        <f>VLOOKUP(A131,Demográfico!A$2:E$400,5,FALSE)/(VLOOKUP(C131,Controle!A$2:G$9,7,FALSE))*D131</f>
        <v>0.21593831368726307</v>
      </c>
      <c r="K131" s="15">
        <f>VLOOKUP(A131,Demográfico!A$2:E$400,5,FALSE)/(VLOOKUP(C131,Controle!A$16:G$24,7,FALSE))*E131</f>
        <v>7.4737485263783793E-2</v>
      </c>
      <c r="L131" s="118">
        <f>((J131*(1+I131))+3*(I131+K131))/4</f>
        <v>0.51035956803742966</v>
      </c>
      <c r="M131" s="3">
        <v>1</v>
      </c>
      <c r="N131" s="88">
        <f>VLOOKUP(A131,Demográfico!A$2:E$400,5,FALSE)*I131</f>
        <v>918.66670136493428</v>
      </c>
      <c r="O131" s="96">
        <f>FLOOR(L131,1)</f>
        <v>0</v>
      </c>
      <c r="P131" s="96">
        <f>L131-O131</f>
        <v>0.51035956803742966</v>
      </c>
      <c r="Q131" s="87">
        <f>RANK(P131,P$2:P$400,0)</f>
        <v>144</v>
      </c>
      <c r="R131" s="3">
        <f>O131+IF(Q131&lt;Q$1,1,0)</f>
        <v>1</v>
      </c>
      <c r="T131" s="87">
        <f>VLOOKUP(A131,Demográfico!A$2:E$400,5,FALSE)*(I131)</f>
        <v>918.66670136493428</v>
      </c>
    </row>
    <row r="132" spans="1:20" ht="19.5" x14ac:dyDescent="0.25">
      <c r="A132" s="2" t="s">
        <v>137</v>
      </c>
      <c r="B132" s="37">
        <v>14374</v>
      </c>
      <c r="C132" s="4" t="str" cm="1">
        <f t="array" ref="C132">_xlfn.IFS(B132&lt;20000, "P1",B132&lt;40000, "P2",B132&lt;70000, "P3",B132&lt;100000, "P4",B132&lt;200000,"M1",B132&lt;500000,"M2",B132&lt;1000000,"G1",B132&gt;1000000,"G2")</f>
        <v>P1</v>
      </c>
      <c r="D132" s="13">
        <f>VLOOKUP(C132,Controle!A$2:H$9,8,FALSE)</f>
        <v>38.874046212109647</v>
      </c>
      <c r="E132" s="13">
        <f>VLOOKUP(C132,Controle!A$16:H$23,8,FALSE)</f>
        <v>13.454529704853227</v>
      </c>
      <c r="F132" s="5">
        <f>VLOOKUP(A132,Educacional!A$2:P$405,16,FALSE)</f>
        <v>56.586333224003212</v>
      </c>
      <c r="G132" s="6">
        <f>VLOOKUP(A132,Demográfico!A$2:L$405,12,FALSE)</f>
        <v>38.138050965098664</v>
      </c>
      <c r="H132" s="7">
        <f>VLOOKUP(A132,Socioeconômico!A$2:M$405,13,FALSE)</f>
        <v>34.393425945179914</v>
      </c>
      <c r="I132" s="16">
        <f>(2*F132+G132+2*H132)/5/100</f>
        <v>0.44019513860692983</v>
      </c>
      <c r="J132" s="15">
        <f>VLOOKUP(A132,Demográfico!A$2:E$400,5,FALSE)/(VLOOKUP(C132,Controle!A$2:G$9,7,FALSE))*D132</f>
        <v>0.18375238617290132</v>
      </c>
      <c r="K132" s="15">
        <f>VLOOKUP(A132,Demográfico!A$2:E$400,5,FALSE)/(VLOOKUP(C132,Controle!A$16:G$24,7,FALSE))*E132</f>
        <v>6.3597751687881052E-2</v>
      </c>
      <c r="L132" s="118">
        <f>((J132*(1+I132))+3*(I132+K132))/4</f>
        <v>0.44400449103951706</v>
      </c>
      <c r="M132" s="3">
        <v>1</v>
      </c>
      <c r="N132" s="88">
        <f>VLOOKUP(A132,Demográfico!A$2:E$400,5,FALSE)*I132</f>
        <v>691.10636761287981</v>
      </c>
      <c r="O132" s="96">
        <f>FLOOR(L132,1)</f>
        <v>0</v>
      </c>
      <c r="P132" s="96">
        <f>L132-O132</f>
        <v>0.44400449103951706</v>
      </c>
      <c r="Q132" s="87">
        <f>RANK(P132,P$2:P$400,0)</f>
        <v>219</v>
      </c>
      <c r="R132" s="3">
        <f>O132+IF(Q132&lt;Q$1,1,0)</f>
        <v>0</v>
      </c>
      <c r="T132" s="87">
        <f>VLOOKUP(A132,Demográfico!A$2:E$400,5,FALSE)*(I132)</f>
        <v>691.10636761287981</v>
      </c>
    </row>
    <row r="133" spans="1:20" ht="19.5" x14ac:dyDescent="0.25">
      <c r="A133" s="2" t="s">
        <v>138</v>
      </c>
      <c r="B133" s="37">
        <v>14249</v>
      </c>
      <c r="C133" s="4" t="str" cm="1">
        <f t="array" ref="C133">_xlfn.IFS(B133&lt;20000, "P1",B133&lt;40000, "P2",B133&lt;70000, "P3",B133&lt;100000, "P4",B133&lt;200000,"M1",B133&lt;500000,"M2",B133&lt;1000000,"G1",B133&gt;1000000,"G2")</f>
        <v>P1</v>
      </c>
      <c r="D133" s="13">
        <f>VLOOKUP(C133,Controle!A$2:H$9,8,FALSE)</f>
        <v>38.874046212109647</v>
      </c>
      <c r="E133" s="13">
        <f>VLOOKUP(C133,Controle!A$16:H$23,8,FALSE)</f>
        <v>13.454529704853227</v>
      </c>
      <c r="F133" s="5">
        <f>VLOOKUP(A133,Educacional!A$2:P$405,16,FALSE)</f>
        <v>88.18218666037005</v>
      </c>
      <c r="G133" s="6">
        <f>VLOOKUP(A133,Demográfico!A$2:L$405,12,FALSE)</f>
        <v>51.708103173250244</v>
      </c>
      <c r="H133" s="7">
        <f>VLOOKUP(A133,Socioeconômico!A$2:M$405,13,FALSE)</f>
        <v>45.183710271129932</v>
      </c>
      <c r="I133" s="16">
        <f>(2*F133+G133+2*H133)/5/100</f>
        <v>0.63687979407250039</v>
      </c>
      <c r="J133" s="15">
        <f>VLOOKUP(A133,Demográfico!A$2:E$400,5,FALSE)/(VLOOKUP(C133,Controle!A$2:G$9,7,FALSE))*D133</f>
        <v>0.24894351935653578</v>
      </c>
      <c r="K133" s="15">
        <f>VLOOKUP(A133,Demográfico!A$2:E$400,5,FALSE)/(VLOOKUP(C133,Controle!A$16:G$24,7,FALSE))*E133</f>
        <v>8.6160775694345867E-2</v>
      </c>
      <c r="L133" s="118">
        <f>((J133*(1+I133))+3*(I133+K133))/4</f>
        <v>0.64415308150013717</v>
      </c>
      <c r="M133" s="3">
        <v>1</v>
      </c>
      <c r="N133" s="88">
        <f>VLOOKUP(A133,Demográfico!A$2:E$400,5,FALSE)*I133</f>
        <v>1354.6433219922083</v>
      </c>
      <c r="O133" s="96">
        <f>FLOOR(L133,1)</f>
        <v>0</v>
      </c>
      <c r="P133" s="96">
        <f>L133-O133</f>
        <v>0.64415308150013717</v>
      </c>
      <c r="Q133" s="87">
        <f>RANK(P133,P$2:P$400,0)</f>
        <v>55</v>
      </c>
      <c r="R133" s="3">
        <f>O133+IF(Q133&lt;Q$1,1,0)</f>
        <v>1</v>
      </c>
      <c r="T133" s="87">
        <f>VLOOKUP(A133,Demográfico!A$2:E$400,5,FALSE)*(I133)</f>
        <v>1354.6433219922083</v>
      </c>
    </row>
    <row r="134" spans="1:20" ht="19.5" x14ac:dyDescent="0.25">
      <c r="A134" s="2" t="s">
        <v>139</v>
      </c>
      <c r="B134" s="37">
        <v>14240</v>
      </c>
      <c r="C134" s="4" t="str" cm="1">
        <f t="array" ref="C134">_xlfn.IFS(B134&lt;20000, "P1",B134&lt;40000, "P2",B134&lt;70000, "P3",B134&lt;100000, "P4",B134&lt;200000,"M1",B134&lt;500000,"M2",B134&lt;1000000,"G1",B134&gt;1000000,"G2")</f>
        <v>P1</v>
      </c>
      <c r="D134" s="13">
        <f>VLOOKUP(C134,Controle!A$2:H$9,8,FALSE)</f>
        <v>38.874046212109647</v>
      </c>
      <c r="E134" s="13">
        <f>VLOOKUP(C134,Controle!A$16:H$23,8,FALSE)</f>
        <v>13.454529704853227</v>
      </c>
      <c r="F134" s="5">
        <f>VLOOKUP(A134,Educacional!A$2:P$405,16,FALSE)</f>
        <v>62.134539478191478</v>
      </c>
      <c r="G134" s="6">
        <f>VLOOKUP(A134,Demográfico!A$2:L$405,12,FALSE)</f>
        <v>52.334237681766062</v>
      </c>
      <c r="H134" s="7">
        <f>VLOOKUP(A134,Socioeconômico!A$2:M$405,13,FALSE)</f>
        <v>45.732663768807882</v>
      </c>
      <c r="I134" s="16">
        <f>(2*F134+G134+2*H134)/5/100</f>
        <v>0.53613728835152963</v>
      </c>
      <c r="J134" s="15">
        <f>VLOOKUP(A134,Demográfico!A$2:E$400,5,FALSE)/(VLOOKUP(C134,Controle!A$2:G$9,7,FALSE))*D134</f>
        <v>0.24964575777503092</v>
      </c>
      <c r="K134" s="15">
        <f>VLOOKUP(A134,Demográfico!A$2:E$400,5,FALSE)/(VLOOKUP(C134,Controle!A$16:G$24,7,FALSE))*E134</f>
        <v>8.6403824426911024E-2</v>
      </c>
      <c r="L134" s="118">
        <f>((J134*(1+I134))+3*(I134+K134))/4</f>
        <v>0.56277837393308017</v>
      </c>
      <c r="M134" s="3">
        <v>1</v>
      </c>
      <c r="N134" s="88">
        <f>VLOOKUP(A134,Demográfico!A$2:E$400,5,FALSE)*I134</f>
        <v>1143.5808360538126</v>
      </c>
      <c r="O134" s="96">
        <f>FLOOR(L134,1)</f>
        <v>0</v>
      </c>
      <c r="P134" s="96">
        <f>L134-O134</f>
        <v>0.56277837393308017</v>
      </c>
      <c r="Q134" s="87">
        <f>RANK(P134,P$2:P$400,0)</f>
        <v>112</v>
      </c>
      <c r="R134" s="3">
        <f>O134+IF(Q134&lt;Q$1,1,0)</f>
        <v>1</v>
      </c>
      <c r="T134" s="87">
        <f>VLOOKUP(A134,Demográfico!A$2:E$400,5,FALSE)*(I134)</f>
        <v>1143.5808360538126</v>
      </c>
    </row>
    <row r="135" spans="1:20" ht="19.5" x14ac:dyDescent="0.25">
      <c r="A135" s="2" t="s">
        <v>140</v>
      </c>
      <c r="B135" s="37">
        <v>14231</v>
      </c>
      <c r="C135" s="4" t="str" cm="1">
        <f t="array" ref="C135">_xlfn.IFS(B135&lt;20000, "P1",B135&lt;40000, "P2",B135&lt;70000, "P3",B135&lt;100000, "P4",B135&lt;200000,"M1",B135&lt;500000,"M2",B135&lt;1000000,"G1",B135&gt;1000000,"G2")</f>
        <v>P1</v>
      </c>
      <c r="D135" s="13">
        <f>VLOOKUP(C135,Controle!A$2:H$9,8,FALSE)</f>
        <v>38.874046212109647</v>
      </c>
      <c r="E135" s="13">
        <f>VLOOKUP(C135,Controle!A$16:H$23,8,FALSE)</f>
        <v>13.454529704853227</v>
      </c>
      <c r="F135" s="5">
        <f>VLOOKUP(A135,Educacional!A$2:P$405,16,FALSE)</f>
        <v>58.116326187521892</v>
      </c>
      <c r="G135" s="6">
        <f>VLOOKUP(A135,Demográfico!A$2:L$405,12,FALSE)</f>
        <v>47.308324868155808</v>
      </c>
      <c r="H135" s="7">
        <f>VLOOKUP(A135,Socioeconômico!A$2:M$405,13,FALSE)</f>
        <v>39.446498252455036</v>
      </c>
      <c r="I135" s="16">
        <f>(2*F135+G135+2*H135)/5/100</f>
        <v>0.48486794749621936</v>
      </c>
      <c r="J135" s="15">
        <f>VLOOKUP(A135,Demográfico!A$2:E$400,5,FALSE)/(VLOOKUP(C135,Controle!A$2:G$9,7,FALSE))*D135</f>
        <v>0.24238929411724755</v>
      </c>
      <c r="K135" s="15">
        <f>VLOOKUP(A135,Demográfico!A$2:E$400,5,FALSE)/(VLOOKUP(C135,Controle!A$16:G$24,7,FALSE))*E135</f>
        <v>8.3892320857071129E-2</v>
      </c>
      <c r="L135" s="118">
        <f>((J135*(1+I135))+3*(I135+K135))/4</f>
        <v>0.51654922467770159</v>
      </c>
      <c r="M135" s="3">
        <v>1</v>
      </c>
      <c r="N135" s="88">
        <f>VLOOKUP(A135,Demográfico!A$2:E$400,5,FALSE)*I135</f>
        <v>1004.1615192646703</v>
      </c>
      <c r="O135" s="96">
        <f>FLOOR(L135,1)</f>
        <v>0</v>
      </c>
      <c r="P135" s="96">
        <f>L135-O135</f>
        <v>0.51654922467770159</v>
      </c>
      <c r="Q135" s="87">
        <f>RANK(P135,P$2:P$400,0)</f>
        <v>139</v>
      </c>
      <c r="R135" s="3">
        <f>O135+IF(Q135&lt;Q$1,1,0)</f>
        <v>1</v>
      </c>
      <c r="T135" s="87">
        <f>VLOOKUP(A135,Demográfico!A$2:E$400,5,FALSE)*(I135)</f>
        <v>1004.1615192646703</v>
      </c>
    </row>
    <row r="136" spans="1:20" ht="19.5" x14ac:dyDescent="0.25">
      <c r="A136" s="2" t="s">
        <v>141</v>
      </c>
      <c r="B136" s="37">
        <v>14142</v>
      </c>
      <c r="C136" s="4" t="str" cm="1">
        <f t="array" ref="C136">_xlfn.IFS(B136&lt;20000, "P1",B136&lt;40000, "P2",B136&lt;70000, "P3",B136&lt;100000, "P4",B136&lt;200000,"M1",B136&lt;500000,"M2",B136&lt;1000000,"G1",B136&gt;1000000,"G2")</f>
        <v>P1</v>
      </c>
      <c r="D136" s="13">
        <f>VLOOKUP(C136,Controle!A$2:H$9,8,FALSE)</f>
        <v>38.874046212109647</v>
      </c>
      <c r="E136" s="13">
        <f>VLOOKUP(C136,Controle!A$16:H$23,8,FALSE)</f>
        <v>13.454529704853227</v>
      </c>
      <c r="F136" s="5">
        <f>VLOOKUP(A136,Educacional!A$2:P$405,16,FALSE)</f>
        <v>73.44265641253574</v>
      </c>
      <c r="G136" s="6">
        <f>VLOOKUP(A136,Demográfico!A$2:L$405,12,FALSE)</f>
        <v>56.062698047165647</v>
      </c>
      <c r="H136" s="7">
        <f>VLOOKUP(A136,Socioeconômico!A$2:M$405,13,FALSE)</f>
        <v>40.994896150046209</v>
      </c>
      <c r="I136" s="16">
        <f>(2*F136+G136+2*H136)/5/100</f>
        <v>0.56987560634465906</v>
      </c>
      <c r="J136" s="15">
        <f>VLOOKUP(A136,Demográfico!A$2:E$400,5,FALSE)/(VLOOKUP(C136,Controle!A$2:G$9,7,FALSE))*D136</f>
        <v>0.23396243309530559</v>
      </c>
      <c r="K136" s="15">
        <f>VLOOKUP(A136,Demográfico!A$2:E$400,5,FALSE)/(VLOOKUP(C136,Controle!A$16:G$24,7,FALSE))*E136</f>
        <v>8.0975736066289314E-2</v>
      </c>
      <c r="L136" s="118">
        <f>((J136*(1+I136))+3*(I136+K136))/4</f>
        <v>0.57996148593755237</v>
      </c>
      <c r="M136" s="3">
        <v>1</v>
      </c>
      <c r="N136" s="88">
        <f>VLOOKUP(A136,Demográfico!A$2:E$400,5,FALSE)*I136</f>
        <v>1139.1813370829734</v>
      </c>
      <c r="O136" s="96">
        <f>FLOOR(L136,1)</f>
        <v>0</v>
      </c>
      <c r="P136" s="96">
        <f>L136-O136</f>
        <v>0.57996148593755237</v>
      </c>
      <c r="Q136" s="87">
        <f>RANK(P136,P$2:P$400,0)</f>
        <v>95</v>
      </c>
      <c r="R136" s="3">
        <f>O136+IF(Q136&lt;Q$1,1,0)</f>
        <v>1</v>
      </c>
      <c r="T136" s="87">
        <f>VLOOKUP(A136,Demográfico!A$2:E$400,5,FALSE)*(I136)</f>
        <v>1139.1813370829734</v>
      </c>
    </row>
    <row r="137" spans="1:20" ht="19.5" x14ac:dyDescent="0.25">
      <c r="A137" s="2" t="s">
        <v>142</v>
      </c>
      <c r="B137" s="37">
        <v>14070</v>
      </c>
      <c r="C137" s="4" t="str" cm="1">
        <f t="array" ref="C137">_xlfn.IFS(B137&lt;20000, "P1",B137&lt;40000, "P2",B137&lt;70000, "P3",B137&lt;100000, "P4",B137&lt;200000,"M1",B137&lt;500000,"M2",B137&lt;1000000,"G1",B137&gt;1000000,"G2")</f>
        <v>P1</v>
      </c>
      <c r="D137" s="13">
        <f>VLOOKUP(C137,Controle!A$2:H$9,8,FALSE)</f>
        <v>38.874046212109647</v>
      </c>
      <c r="E137" s="13">
        <f>VLOOKUP(C137,Controle!A$16:H$23,8,FALSE)</f>
        <v>13.454529704853227</v>
      </c>
      <c r="F137" s="5">
        <f>VLOOKUP(A137,Educacional!A$2:P$405,16,FALSE)</f>
        <v>63.901374730021054</v>
      </c>
      <c r="G137" s="6">
        <f>VLOOKUP(A137,Demográfico!A$2:L$405,12,FALSE)</f>
        <v>32.779074538010477</v>
      </c>
      <c r="H137" s="7">
        <f>VLOOKUP(A137,Socioeconômico!A$2:M$405,13,FALSE)</f>
        <v>35.074383737908505</v>
      </c>
      <c r="I137" s="16">
        <f>(2*F137+G137+2*H137)/5/100</f>
        <v>0.46146118294773919</v>
      </c>
      <c r="J137" s="15">
        <f>VLOOKUP(A137,Demográfico!A$2:E$400,5,FALSE)/(VLOOKUP(C137,Controle!A$2:G$9,7,FALSE))*D137</f>
        <v>0.21032040633930174</v>
      </c>
      <c r="K137" s="15">
        <f>VLOOKUP(A137,Demográfico!A$2:E$400,5,FALSE)/(VLOOKUP(C137,Controle!A$16:G$24,7,FALSE))*E137</f>
        <v>7.2793095403262592E-2</v>
      </c>
      <c r="L137" s="118">
        <f>((J137*(1+I137))+3*(I137+K137))/4</f>
        <v>0.47753448622492262</v>
      </c>
      <c r="M137" s="3">
        <v>1</v>
      </c>
      <c r="N137" s="88">
        <f>VLOOKUP(A137,Demográfico!A$2:E$400,5,FALSE)*I137</f>
        <v>829.24574575708732</v>
      </c>
      <c r="O137" s="96">
        <f>FLOOR(L137,1)</f>
        <v>0</v>
      </c>
      <c r="P137" s="96">
        <f>L137-O137</f>
        <v>0.47753448622492262</v>
      </c>
      <c r="Q137" s="87">
        <f>RANK(P137,P$2:P$400,0)</f>
        <v>178</v>
      </c>
      <c r="R137" s="3">
        <f>O137+IF(Q137&lt;Q$1,1,0)</f>
        <v>1</v>
      </c>
      <c r="T137" s="87">
        <f>VLOOKUP(A137,Demográfico!A$2:E$400,5,FALSE)*(I137)</f>
        <v>829.24574575708732</v>
      </c>
    </row>
    <row r="138" spans="1:20" ht="19.5" x14ac:dyDescent="0.25">
      <c r="A138" s="2" t="s">
        <v>143</v>
      </c>
      <c r="B138" s="37">
        <v>14025</v>
      </c>
      <c r="C138" s="4" t="str" cm="1">
        <f t="array" ref="C138">_xlfn.IFS(B138&lt;20000, "P1",B138&lt;40000, "P2",B138&lt;70000, "P3",B138&lt;100000, "P4",B138&lt;200000,"M1",B138&lt;500000,"M2",B138&lt;1000000,"G1",B138&gt;1000000,"G2")</f>
        <v>P1</v>
      </c>
      <c r="D138" s="13">
        <f>VLOOKUP(C138,Controle!A$2:H$9,8,FALSE)</f>
        <v>38.874046212109647</v>
      </c>
      <c r="E138" s="13">
        <f>VLOOKUP(C138,Controle!A$16:H$23,8,FALSE)</f>
        <v>13.454529704853227</v>
      </c>
      <c r="F138" s="5">
        <f>VLOOKUP(A138,Educacional!A$2:P$405,16,FALSE)</f>
        <v>89.741420085272651</v>
      </c>
      <c r="G138" s="6">
        <f>VLOOKUP(A138,Demográfico!A$2:L$405,12,FALSE)</f>
        <v>68.027407233179403</v>
      </c>
      <c r="H138" s="7">
        <f>VLOOKUP(A138,Socioeconômico!A$2:M$405,13,FALSE)</f>
        <v>35.804262427099616</v>
      </c>
      <c r="I138" s="16">
        <f>(2*F138+G138+2*H138)/5/100</f>
        <v>0.6382375445158478</v>
      </c>
      <c r="J138" s="15">
        <f>VLOOKUP(A138,Demográfico!A$2:E$400,5,FALSE)/(VLOOKUP(C138,Controle!A$2:G$9,7,FALSE))*D138</f>
        <v>0.21734279052425337</v>
      </c>
      <c r="K138" s="15">
        <f>VLOOKUP(A138,Demográfico!A$2:E$400,5,FALSE)/(VLOOKUP(C138,Controle!A$16:G$24,7,FALSE))*E138</f>
        <v>7.5223582728914093E-2</v>
      </c>
      <c r="L138" s="118">
        <f>((J138*(1+I138))+3*(I138+K138))/4</f>
        <v>0.62411062530024008</v>
      </c>
      <c r="M138" s="3">
        <v>1</v>
      </c>
      <c r="N138" s="88">
        <f>VLOOKUP(A138,Demográfico!A$2:E$400,5,FALSE)*I138</f>
        <v>1185.2071201659294</v>
      </c>
      <c r="O138" s="96">
        <f>FLOOR(L138,1)</f>
        <v>0</v>
      </c>
      <c r="P138" s="96">
        <f>L138-O138</f>
        <v>0.62411062530024008</v>
      </c>
      <c r="Q138" s="87">
        <f>RANK(P138,P$2:P$400,0)</f>
        <v>61</v>
      </c>
      <c r="R138" s="3">
        <f>O138+IF(Q138&lt;Q$1,1,0)</f>
        <v>1</v>
      </c>
      <c r="T138" s="87">
        <f>VLOOKUP(A138,Demográfico!A$2:E$400,5,FALSE)*(I138)</f>
        <v>1185.2071201659294</v>
      </c>
    </row>
    <row r="139" spans="1:20" ht="19.5" x14ac:dyDescent="0.25">
      <c r="A139" s="2" t="s">
        <v>144</v>
      </c>
      <c r="B139" s="37">
        <v>13929</v>
      </c>
      <c r="C139" s="4" t="str" cm="1">
        <f t="array" ref="C139">_xlfn.IFS(B139&lt;20000, "P1",B139&lt;40000, "P2",B139&lt;70000, "P3",B139&lt;100000, "P4",B139&lt;200000,"M1",B139&lt;500000,"M2",B139&lt;1000000,"G1",B139&gt;1000000,"G2")</f>
        <v>P1</v>
      </c>
      <c r="D139" s="13">
        <f>VLOOKUP(C139,Controle!A$2:H$9,8,FALSE)</f>
        <v>38.874046212109647</v>
      </c>
      <c r="E139" s="13">
        <f>VLOOKUP(C139,Controle!A$16:H$23,8,FALSE)</f>
        <v>13.454529704853227</v>
      </c>
      <c r="F139" s="5">
        <f>VLOOKUP(A139,Educacional!A$2:P$405,16,FALSE)</f>
        <v>71.730193585753867</v>
      </c>
      <c r="G139" s="6">
        <f>VLOOKUP(A139,Demográfico!A$2:L$405,12,FALSE)</f>
        <v>74.127802051132136</v>
      </c>
      <c r="H139" s="7">
        <f>VLOOKUP(A139,Socioeconômico!A$2:M$405,13,FALSE)</f>
        <v>62.759062882015741</v>
      </c>
      <c r="I139" s="16">
        <f>(2*F139+G139+2*H139)/5/100</f>
        <v>0.68621262997334265</v>
      </c>
      <c r="J139" s="15">
        <f>VLOOKUP(A139,Demográfico!A$2:E$400,5,FALSE)/(VLOOKUP(C139,Controle!A$2:G$9,7,FALSE))*D139</f>
        <v>0.25151839355768468</v>
      </c>
      <c r="K139" s="15">
        <f>VLOOKUP(A139,Demográfico!A$2:E$400,5,FALSE)/(VLOOKUP(C139,Controle!A$16:G$24,7,FALSE))*E139</f>
        <v>8.7051954380418087E-2</v>
      </c>
      <c r="L139" s="118">
        <f>((J139*(1+I139))+3*(I139+K139))/4</f>
        <v>0.68597681123721399</v>
      </c>
      <c r="M139" s="3">
        <v>1</v>
      </c>
      <c r="N139" s="88">
        <f>VLOOKUP(A139,Demográfico!A$2:E$400,5,FALSE)*I139</f>
        <v>1474.6709418127134</v>
      </c>
      <c r="O139" s="96">
        <f>FLOOR(L139,1)</f>
        <v>0</v>
      </c>
      <c r="P139" s="96">
        <f>L139-O139</f>
        <v>0.68597681123721399</v>
      </c>
      <c r="Q139" s="87">
        <f>RANK(P139,P$2:P$400,0)</f>
        <v>38</v>
      </c>
      <c r="R139" s="3">
        <f>O139+IF(Q139&lt;Q$1,1,0)</f>
        <v>1</v>
      </c>
      <c r="T139" s="87">
        <f>VLOOKUP(A139,Demográfico!A$2:E$400,5,FALSE)*(I139)</f>
        <v>1474.6709418127134</v>
      </c>
    </row>
    <row r="140" spans="1:20" ht="19.5" x14ac:dyDescent="0.25">
      <c r="A140" s="2" t="s">
        <v>145</v>
      </c>
      <c r="B140" s="37">
        <v>13909</v>
      </c>
      <c r="C140" s="4" t="str" cm="1">
        <f t="array" ref="C140">_xlfn.IFS(B140&lt;20000, "P1",B140&lt;40000, "P2",B140&lt;70000, "P3",B140&lt;100000, "P4",B140&lt;200000,"M1",B140&lt;500000,"M2",B140&lt;1000000,"G1",B140&gt;1000000,"G2")</f>
        <v>P1</v>
      </c>
      <c r="D140" s="13">
        <f>VLOOKUP(C140,Controle!A$2:H$9,8,FALSE)</f>
        <v>38.874046212109647</v>
      </c>
      <c r="E140" s="13">
        <f>VLOOKUP(C140,Controle!A$16:H$23,8,FALSE)</f>
        <v>13.454529704853227</v>
      </c>
      <c r="F140" s="5">
        <f>VLOOKUP(A140,Educacional!A$2:P$405,16,FALSE)</f>
        <v>68.148926671499666</v>
      </c>
      <c r="G140" s="6">
        <f>VLOOKUP(A140,Demográfico!A$2:L$405,12,FALSE)</f>
        <v>48.153743455211881</v>
      </c>
      <c r="H140" s="7">
        <f>VLOOKUP(A140,Socioeconômico!A$2:M$405,13,FALSE)</f>
        <v>50.456933370775658</v>
      </c>
      <c r="I140" s="16">
        <f>(2*F140+G140+2*H140)/5/100</f>
        <v>0.570730927079525</v>
      </c>
      <c r="J140" s="15">
        <f>VLOOKUP(A140,Demográfico!A$2:E$400,5,FALSE)/(VLOOKUP(C140,Controle!A$2:G$9,7,FALSE))*D140</f>
        <v>0.22506741312770018</v>
      </c>
      <c r="K140" s="15">
        <f>VLOOKUP(A140,Demográfico!A$2:E$400,5,FALSE)/(VLOOKUP(C140,Controle!A$16:G$24,7,FALSE))*E140</f>
        <v>7.7897118787130751E-2</v>
      </c>
      <c r="L140" s="118">
        <f>((J140*(1+I140))+3*(I140+K140))/4</f>
        <v>0.57485112101935754</v>
      </c>
      <c r="M140" s="3">
        <v>1</v>
      </c>
      <c r="N140" s="88">
        <f>VLOOKUP(A140,Demográfico!A$2:E$400,5,FALSE)*I140</f>
        <v>1097.5155727739266</v>
      </c>
      <c r="O140" s="96">
        <f>FLOOR(L140,1)</f>
        <v>0</v>
      </c>
      <c r="P140" s="96">
        <f>L140-O140</f>
        <v>0.57485112101935754</v>
      </c>
      <c r="Q140" s="87">
        <f>RANK(P140,P$2:P$400,0)</f>
        <v>101</v>
      </c>
      <c r="R140" s="3">
        <f>O140+IF(Q140&lt;Q$1,1,0)</f>
        <v>1</v>
      </c>
      <c r="T140" s="87">
        <f>VLOOKUP(A140,Demográfico!A$2:E$400,5,FALSE)*(I140)</f>
        <v>1097.5155727739266</v>
      </c>
    </row>
    <row r="141" spans="1:20" ht="19.5" x14ac:dyDescent="0.25">
      <c r="A141" s="2" t="s">
        <v>146</v>
      </c>
      <c r="B141" s="37">
        <v>13797</v>
      </c>
      <c r="C141" s="4" t="str" cm="1">
        <f t="array" ref="C141">_xlfn.IFS(B141&lt;20000, "P1",B141&lt;40000, "P2",B141&lt;70000, "P3",B141&lt;100000, "P4",B141&lt;200000,"M1",B141&lt;500000,"M2",B141&lt;1000000,"G1",B141&gt;1000000,"G2")</f>
        <v>P1</v>
      </c>
      <c r="D141" s="13">
        <f>VLOOKUP(C141,Controle!A$2:H$9,8,FALSE)</f>
        <v>38.874046212109647</v>
      </c>
      <c r="E141" s="13">
        <f>VLOOKUP(C141,Controle!A$16:H$23,8,FALSE)</f>
        <v>13.454529704853227</v>
      </c>
      <c r="F141" s="5">
        <f>VLOOKUP(A141,Educacional!A$2:P$405,16,FALSE)</f>
        <v>42.565118493670994</v>
      </c>
      <c r="G141" s="6">
        <f>VLOOKUP(A141,Demográfico!A$2:L$405,12,FALSE)</f>
        <v>35.873498245421011</v>
      </c>
      <c r="H141" s="7">
        <f>VLOOKUP(A141,Socioeconômico!A$2:M$405,13,FALSE)</f>
        <v>46.618540163452863</v>
      </c>
      <c r="I141" s="16">
        <f>(2*F141+G141+2*H141)/5/100</f>
        <v>0.42848163111933746</v>
      </c>
      <c r="J141" s="15">
        <f>VLOOKUP(A141,Demográfico!A$2:E$400,5,FALSE)/(VLOOKUP(C141,Controle!A$2:G$9,7,FALSE))*D141</f>
        <v>0.20540473740983556</v>
      </c>
      <c r="K141" s="15">
        <f>VLOOKUP(A141,Demográfico!A$2:E$400,5,FALSE)/(VLOOKUP(C141,Controle!A$16:G$24,7,FALSE))*E141</f>
        <v>7.1091754275306535E-2</v>
      </c>
      <c r="L141" s="118">
        <f>((J141*(1+I141))+3*(I141+K141))/4</f>
        <v>0.44803426262969326</v>
      </c>
      <c r="M141" s="3">
        <v>1</v>
      </c>
      <c r="N141" s="88">
        <f>VLOOKUP(A141,Demográfico!A$2:E$400,5,FALSE)*I141</f>
        <v>751.98526261443726</v>
      </c>
      <c r="O141" s="96">
        <f>FLOOR(L141,1)</f>
        <v>0</v>
      </c>
      <c r="P141" s="96">
        <f>L141-O141</f>
        <v>0.44803426262969326</v>
      </c>
      <c r="Q141" s="87">
        <f>RANK(P141,P$2:P$400,0)</f>
        <v>214</v>
      </c>
      <c r="R141" s="3">
        <f>O141+IF(Q141&lt;Q$1,1,0)</f>
        <v>0</v>
      </c>
      <c r="T141" s="87">
        <f>VLOOKUP(A141,Demográfico!A$2:E$400,5,FALSE)*(I141)</f>
        <v>751.98526261443726</v>
      </c>
    </row>
    <row r="142" spans="1:20" ht="19.5" x14ac:dyDescent="0.25">
      <c r="A142" s="2" t="s">
        <v>147</v>
      </c>
      <c r="B142" s="37">
        <v>13765</v>
      </c>
      <c r="C142" s="4" t="str" cm="1">
        <f t="array" ref="C142">_xlfn.IFS(B142&lt;20000, "P1",B142&lt;40000, "P2",B142&lt;70000, "P3",B142&lt;100000, "P4",B142&lt;200000,"M1",B142&lt;500000,"M2",B142&lt;1000000,"G1",B142&gt;1000000,"G2")</f>
        <v>P1</v>
      </c>
      <c r="D142" s="13">
        <f>VLOOKUP(C142,Controle!A$2:H$9,8,FALSE)</f>
        <v>38.874046212109647</v>
      </c>
      <c r="E142" s="13">
        <f>VLOOKUP(C142,Controle!A$16:H$23,8,FALSE)</f>
        <v>13.454529704853227</v>
      </c>
      <c r="F142" s="5">
        <f>VLOOKUP(A142,Educacional!A$2:P$405,16,FALSE)</f>
        <v>63.191714664502499</v>
      </c>
      <c r="G142" s="6">
        <f>VLOOKUP(A142,Demográfico!A$2:L$405,12,FALSE)</f>
        <v>47.422900103242441</v>
      </c>
      <c r="H142" s="7">
        <f>VLOOKUP(A142,Socioeconômico!A$2:M$405,13,FALSE)</f>
        <v>27.620552426226585</v>
      </c>
      <c r="I142" s="16">
        <f>(2*F142+G142+2*H142)/5/100</f>
        <v>0.45809486856940118</v>
      </c>
      <c r="J142" s="15">
        <f>VLOOKUP(A142,Demográfico!A$2:E$400,5,FALSE)/(VLOOKUP(C142,Controle!A$2:G$9,7,FALSE))*D142</f>
        <v>0.21652351236934234</v>
      </c>
      <c r="K142" s="15">
        <f>VLOOKUP(A142,Demográfico!A$2:E$400,5,FALSE)/(VLOOKUP(C142,Controle!A$16:G$24,7,FALSE))*E142</f>
        <v>7.4940025874254745E-2</v>
      </c>
      <c r="L142" s="118">
        <f>((J142*(1+I142))+3*(I142+K142))/4</f>
        <v>0.47870412641033233</v>
      </c>
      <c r="M142" s="3">
        <v>1</v>
      </c>
      <c r="N142" s="88">
        <f>VLOOKUP(A142,Demográfico!A$2:E$400,5,FALSE)*I142</f>
        <v>847.47550685339218</v>
      </c>
      <c r="O142" s="96">
        <f>FLOOR(L142,1)</f>
        <v>0</v>
      </c>
      <c r="P142" s="96">
        <f>L142-O142</f>
        <v>0.47870412641033233</v>
      </c>
      <c r="Q142" s="87">
        <f>RANK(P142,P$2:P$400,0)</f>
        <v>177</v>
      </c>
      <c r="R142" s="3">
        <f>O142+IF(Q142&lt;Q$1,1,0)</f>
        <v>1</v>
      </c>
      <c r="T142" s="87">
        <f>VLOOKUP(A142,Demográfico!A$2:E$400,5,FALSE)*(I142)</f>
        <v>847.47550685339218</v>
      </c>
    </row>
    <row r="143" spans="1:20" ht="19.5" x14ac:dyDescent="0.25">
      <c r="A143" s="2" t="s">
        <v>148</v>
      </c>
      <c r="B143" s="37">
        <v>13735</v>
      </c>
      <c r="C143" s="4" t="str" cm="1">
        <f t="array" ref="C143">_xlfn.IFS(B143&lt;20000, "P1",B143&lt;40000, "P2",B143&lt;70000, "P3",B143&lt;100000, "P4",B143&lt;200000,"M1",B143&lt;500000,"M2",B143&lt;1000000,"G1",B143&gt;1000000,"G2")</f>
        <v>P1</v>
      </c>
      <c r="D143" s="13">
        <f>VLOOKUP(C143,Controle!A$2:H$9,8,FALSE)</f>
        <v>38.874046212109647</v>
      </c>
      <c r="E143" s="13">
        <f>VLOOKUP(C143,Controle!A$16:H$23,8,FALSE)</f>
        <v>13.454529704853227</v>
      </c>
      <c r="F143" s="5">
        <f>VLOOKUP(A143,Educacional!A$2:P$405,16,FALSE)</f>
        <v>67.450575030641247</v>
      </c>
      <c r="G143" s="6">
        <f>VLOOKUP(A143,Demográfico!A$2:L$405,12,FALSE)</f>
        <v>37.441637440709897</v>
      </c>
      <c r="H143" s="7">
        <f>VLOOKUP(A143,Socioeconômico!A$2:M$405,13,FALSE)</f>
        <v>33.06271665731542</v>
      </c>
      <c r="I143" s="16">
        <f>(2*F143+G143+2*H143)/5/100</f>
        <v>0.4769364416332465</v>
      </c>
      <c r="J143" s="15">
        <f>VLOOKUP(A143,Demográfico!A$2:E$400,5,FALSE)/(VLOOKUP(C143,Controle!A$2:G$9,7,FALSE))*D143</f>
        <v>0.20060610821678532</v>
      </c>
      <c r="K143" s="15">
        <f>VLOOKUP(A143,Demográfico!A$2:E$400,5,FALSE)/(VLOOKUP(C143,Controle!A$16:G$24,7,FALSE))*E143</f>
        <v>6.9430921269444681E-2</v>
      </c>
      <c r="L143" s="118">
        <f>((J143*(1+I143))+3*(I143+K143))/4</f>
        <v>0.48384614008691662</v>
      </c>
      <c r="M143" s="3">
        <v>1</v>
      </c>
      <c r="N143" s="88">
        <f>VLOOKUP(A143,Demográfico!A$2:E$400,5,FALSE)*I143</f>
        <v>817.46906095938448</v>
      </c>
      <c r="O143" s="96">
        <f>FLOOR(L143,1)</f>
        <v>0</v>
      </c>
      <c r="P143" s="96">
        <f>L143-O143</f>
        <v>0.48384614008691662</v>
      </c>
      <c r="Q143" s="87">
        <f>RANK(P143,P$2:P$400,0)</f>
        <v>172</v>
      </c>
      <c r="R143" s="3">
        <f>O143+IF(Q143&lt;Q$1,1,0)</f>
        <v>1</v>
      </c>
      <c r="T143" s="87">
        <f>VLOOKUP(A143,Demográfico!A$2:E$400,5,FALSE)*(I143)</f>
        <v>817.46906095938448</v>
      </c>
    </row>
    <row r="144" spans="1:20" ht="19.5" x14ac:dyDescent="0.25">
      <c r="A144" s="2" t="s">
        <v>149</v>
      </c>
      <c r="B144" s="37">
        <v>13726</v>
      </c>
      <c r="C144" s="4" t="str" cm="1">
        <f t="array" ref="C144">_xlfn.IFS(B144&lt;20000, "P1",B144&lt;40000, "P2",B144&lt;70000, "P3",B144&lt;100000, "P4",B144&lt;200000,"M1",B144&lt;500000,"M2",B144&lt;1000000,"G1",B144&gt;1000000,"G2")</f>
        <v>P1</v>
      </c>
      <c r="D144" s="13">
        <f>VLOOKUP(C144,Controle!A$2:H$9,8,FALSE)</f>
        <v>38.874046212109647</v>
      </c>
      <c r="E144" s="13">
        <f>VLOOKUP(C144,Controle!A$16:H$23,8,FALSE)</f>
        <v>13.454529704853227</v>
      </c>
      <c r="F144" s="5">
        <f>VLOOKUP(A144,Educacional!A$2:P$405,16,FALSE)</f>
        <v>80.456959279638369</v>
      </c>
      <c r="G144" s="6">
        <f>VLOOKUP(A144,Demográfico!A$2:L$405,12,FALSE)</f>
        <v>38.966914098020297</v>
      </c>
      <c r="H144" s="7">
        <f>VLOOKUP(A144,Socioeconômico!A$2:M$405,13,FALSE)</f>
        <v>41.60043301990811</v>
      </c>
      <c r="I144" s="16">
        <f>(2*F144+G144+2*H144)/5/100</f>
        <v>0.56616339739422661</v>
      </c>
      <c r="J144" s="15">
        <f>VLOOKUP(A144,Demográfico!A$2:E$400,5,FALSE)/(VLOOKUP(C144,Controle!A$2:G$9,7,FALSE))*D144</f>
        <v>0.22061990314389746</v>
      </c>
      <c r="K144" s="15">
        <f>VLOOKUP(A144,Demográfico!A$2:E$400,5,FALSE)/(VLOOKUP(C144,Controle!A$16:G$24,7,FALSE))*E144</f>
        <v>7.6357810147551455E-2</v>
      </c>
      <c r="L144" s="118">
        <f>((J144*(1+I144))+3*(I144+K144))/4</f>
        <v>0.56827260991649153</v>
      </c>
      <c r="M144" s="3">
        <v>1</v>
      </c>
      <c r="N144" s="88">
        <f>VLOOKUP(A144,Demográfico!A$2:E$400,5,FALSE)*I144</f>
        <v>1067.2180040881171</v>
      </c>
      <c r="O144" s="96">
        <f>FLOOR(L144,1)</f>
        <v>0</v>
      </c>
      <c r="P144" s="96">
        <f>L144-O144</f>
        <v>0.56827260991649153</v>
      </c>
      <c r="Q144" s="87">
        <f>RANK(P144,P$2:P$400,0)</f>
        <v>105</v>
      </c>
      <c r="R144" s="3">
        <f>O144+IF(Q144&lt;Q$1,1,0)</f>
        <v>1</v>
      </c>
      <c r="T144" s="87">
        <f>VLOOKUP(A144,Demográfico!A$2:E$400,5,FALSE)*(I144)</f>
        <v>1067.2180040881171</v>
      </c>
    </row>
    <row r="145" spans="1:20" ht="19.5" x14ac:dyDescent="0.25">
      <c r="A145" s="2" t="s">
        <v>150</v>
      </c>
      <c r="B145" s="37">
        <v>13655</v>
      </c>
      <c r="C145" s="4" t="str" cm="1">
        <f t="array" ref="C145">_xlfn.IFS(B145&lt;20000, "P1",B145&lt;40000, "P2",B145&lt;70000, "P3",B145&lt;100000, "P4",B145&lt;200000,"M1",B145&lt;500000,"M2",B145&lt;1000000,"G1",B145&gt;1000000,"G2")</f>
        <v>P1</v>
      </c>
      <c r="D145" s="13">
        <f>VLOOKUP(C145,Controle!A$2:H$9,8,FALSE)</f>
        <v>38.874046212109647</v>
      </c>
      <c r="E145" s="13">
        <f>VLOOKUP(C145,Controle!A$16:H$23,8,FALSE)</f>
        <v>13.454529704853227</v>
      </c>
      <c r="F145" s="5">
        <f>VLOOKUP(A145,Educacional!A$2:P$405,16,FALSE)</f>
        <v>58.439372725360194</v>
      </c>
      <c r="G145" s="6">
        <f>VLOOKUP(A145,Demográfico!A$2:L$405,12,FALSE)</f>
        <v>46.66301127655796</v>
      </c>
      <c r="H145" s="7">
        <f>VLOOKUP(A145,Socioeconômico!A$2:M$405,13,FALSE)</f>
        <v>23.569170407312548</v>
      </c>
      <c r="I145" s="16">
        <f>(2*F145+G145+2*H145)/5/100</f>
        <v>0.42136019508380684</v>
      </c>
      <c r="J145" s="15">
        <f>VLOOKUP(A145,Demográfico!A$2:E$400,5,FALSE)/(VLOOKUP(C145,Controle!A$2:G$9,7,FALSE))*D145</f>
        <v>0.23150459863057252</v>
      </c>
      <c r="K145" s="15">
        <f>VLOOKUP(A145,Demográfico!A$2:E$400,5,FALSE)/(VLOOKUP(C145,Controle!A$16:G$24,7,FALSE))*E145</f>
        <v>8.0125065502311285E-2</v>
      </c>
      <c r="L145" s="118">
        <f>((J145*(1+I145))+3*(I145+K145))/4</f>
        <v>0.45837680080767579</v>
      </c>
      <c r="M145" s="3">
        <v>1</v>
      </c>
      <c r="N145" s="88">
        <f>VLOOKUP(A145,Demográfico!A$2:E$400,5,FALSE)*I145</f>
        <v>833.45046587576996</v>
      </c>
      <c r="O145" s="96">
        <f>FLOOR(L145,1)</f>
        <v>0</v>
      </c>
      <c r="P145" s="96">
        <f>L145-O145</f>
        <v>0.45837680080767579</v>
      </c>
      <c r="Q145" s="87">
        <f>RANK(P145,P$2:P$400,0)</f>
        <v>203</v>
      </c>
      <c r="R145" s="3">
        <f>O145+IF(Q145&lt;Q$1,1,0)</f>
        <v>0</v>
      </c>
      <c r="T145" s="87">
        <f>VLOOKUP(A145,Demográfico!A$2:E$400,5,FALSE)*(I145)</f>
        <v>833.45046587576996</v>
      </c>
    </row>
    <row r="146" spans="1:20" ht="19.5" x14ac:dyDescent="0.25">
      <c r="A146" s="2" t="s">
        <v>151</v>
      </c>
      <c r="B146" s="37">
        <v>13647</v>
      </c>
      <c r="C146" s="4" t="str" cm="1">
        <f t="array" ref="C146">_xlfn.IFS(B146&lt;20000, "P1",B146&lt;40000, "P2",B146&lt;70000, "P3",B146&lt;100000, "P4",B146&lt;200000,"M1",B146&lt;500000,"M2",B146&lt;1000000,"G1",B146&gt;1000000,"G2")</f>
        <v>P1</v>
      </c>
      <c r="D146" s="13">
        <f>VLOOKUP(C146,Controle!A$2:H$9,8,FALSE)</f>
        <v>38.874046212109647</v>
      </c>
      <c r="E146" s="13">
        <f>VLOOKUP(C146,Controle!A$16:H$23,8,FALSE)</f>
        <v>13.454529704853227</v>
      </c>
      <c r="F146" s="5">
        <f>VLOOKUP(A146,Educacional!A$2:P$405,16,FALSE)</f>
        <v>70.2780041586458</v>
      </c>
      <c r="G146" s="6">
        <f>VLOOKUP(A146,Demográfico!A$2:L$405,12,FALSE)</f>
        <v>45.052585532615694</v>
      </c>
      <c r="H146" s="7">
        <f>VLOOKUP(A146,Socioeconômico!A$2:M$405,13,FALSE)</f>
        <v>54.241168856070331</v>
      </c>
      <c r="I146" s="16">
        <f>(2*F146+G146+2*H146)/5/100</f>
        <v>0.58818186312409593</v>
      </c>
      <c r="J146" s="15">
        <f>VLOOKUP(A146,Demográfico!A$2:E$400,5,FALSE)/(VLOOKUP(C146,Controle!A$2:G$9,7,FALSE))*D146</f>
        <v>0.20903296923872727</v>
      </c>
      <c r="K146" s="15">
        <f>VLOOKUP(A146,Demográfico!A$2:E$400,5,FALSE)/(VLOOKUP(C146,Controle!A$16:G$24,7,FALSE))*E146</f>
        <v>7.2347506060226482E-2</v>
      </c>
      <c r="L146" s="118">
        <f>((J146*(1+I146))+3*(I146+K146))/4</f>
        <v>0.57839261952322274</v>
      </c>
      <c r="M146" s="3">
        <v>1</v>
      </c>
      <c r="N146" s="88">
        <f>VLOOKUP(A146,Demográfico!A$2:E$400,5,FALSE)*I146</f>
        <v>1050.4928075396354</v>
      </c>
      <c r="O146" s="96">
        <f>FLOOR(L146,1)</f>
        <v>0</v>
      </c>
      <c r="P146" s="96">
        <f>L146-O146</f>
        <v>0.57839261952322274</v>
      </c>
      <c r="Q146" s="87">
        <f>RANK(P146,P$2:P$400,0)</f>
        <v>98</v>
      </c>
      <c r="R146" s="3">
        <f>O146+IF(Q146&lt;Q$1,1,0)</f>
        <v>1</v>
      </c>
      <c r="T146" s="87">
        <f>VLOOKUP(A146,Demográfico!A$2:E$400,5,FALSE)*(I146)</f>
        <v>1050.4928075396354</v>
      </c>
    </row>
    <row r="147" spans="1:20" ht="19.5" x14ac:dyDescent="0.25">
      <c r="A147" s="2" t="s">
        <v>152</v>
      </c>
      <c r="B147" s="37">
        <v>13452</v>
      </c>
      <c r="C147" s="4" t="str" cm="1">
        <f t="array" ref="C147">_xlfn.IFS(B147&lt;20000, "P1",B147&lt;40000, "P2",B147&lt;70000, "P3",B147&lt;100000, "P4",B147&lt;200000,"M1",B147&lt;500000,"M2",B147&lt;1000000,"G1",B147&gt;1000000,"G2")</f>
        <v>P1</v>
      </c>
      <c r="D147" s="13">
        <f>VLOOKUP(C147,Controle!A$2:H$9,8,FALSE)</f>
        <v>38.874046212109647</v>
      </c>
      <c r="E147" s="13">
        <f>VLOOKUP(C147,Controle!A$16:H$23,8,FALSE)</f>
        <v>13.454529704853227</v>
      </c>
      <c r="F147" s="5">
        <f>VLOOKUP(A147,Educacional!A$2:P$405,16,FALSE)</f>
        <v>63.702019692956803</v>
      </c>
      <c r="G147" s="6">
        <f>VLOOKUP(A147,Demográfico!A$2:L$405,12,FALSE)</f>
        <v>25.916711091530964</v>
      </c>
      <c r="H147" s="7">
        <f>VLOOKUP(A147,Socioeconômico!A$2:M$405,13,FALSE)</f>
        <v>61.270983038400352</v>
      </c>
      <c r="I147" s="16">
        <f>(2*F147+G147+2*H147)/5/100</f>
        <v>0.55172543310849054</v>
      </c>
      <c r="J147" s="15">
        <f>VLOOKUP(A147,Demográfico!A$2:E$400,5,FALSE)/(VLOOKUP(C147,Controle!A$2:G$9,7,FALSE))*D147</f>
        <v>0.19756307506997292</v>
      </c>
      <c r="K147" s="15">
        <f>VLOOKUP(A147,Demográfico!A$2:E$400,5,FALSE)/(VLOOKUP(C147,Controle!A$16:G$24,7,FALSE))*E147</f>
        <v>6.8377710094995686E-2</v>
      </c>
      <c r="L147" s="118">
        <f>((J147*(1+I147))+3*(I147+K147))/4</f>
        <v>0.54171826945991441</v>
      </c>
      <c r="M147" s="3">
        <v>1</v>
      </c>
      <c r="N147" s="88">
        <f>VLOOKUP(A147,Demográfico!A$2:E$400,5,FALSE)*I147</f>
        <v>931.31253108713202</v>
      </c>
      <c r="O147" s="96">
        <f>FLOOR(L147,1)</f>
        <v>0</v>
      </c>
      <c r="P147" s="96">
        <f>L147-O147</f>
        <v>0.54171826945991441</v>
      </c>
      <c r="Q147" s="87">
        <f>RANK(P147,P$2:P$400,0)</f>
        <v>122</v>
      </c>
      <c r="R147" s="3">
        <f>O147+IF(Q147&lt;Q$1,1,0)</f>
        <v>1</v>
      </c>
      <c r="T147" s="87">
        <f>VLOOKUP(A147,Demográfico!A$2:E$400,5,FALSE)*(I147)</f>
        <v>931.31253108713202</v>
      </c>
    </row>
    <row r="148" spans="1:20" ht="19.5" x14ac:dyDescent="0.25">
      <c r="A148" s="2" t="s">
        <v>153</v>
      </c>
      <c r="B148" s="37">
        <v>13428</v>
      </c>
      <c r="C148" s="4" t="str" cm="1">
        <f t="array" ref="C148">_xlfn.IFS(B148&lt;20000, "P1",B148&lt;40000, "P2",B148&lt;70000, "P3",B148&lt;100000, "P4",B148&lt;200000,"M1",B148&lt;500000,"M2",B148&lt;1000000,"G1",B148&gt;1000000,"G2")</f>
        <v>P1</v>
      </c>
      <c r="D148" s="13">
        <f>VLOOKUP(C148,Controle!A$2:H$9,8,FALSE)</f>
        <v>38.874046212109647</v>
      </c>
      <c r="E148" s="13">
        <f>VLOOKUP(C148,Controle!A$16:H$23,8,FALSE)</f>
        <v>13.454529704853227</v>
      </c>
      <c r="F148" s="5">
        <f>VLOOKUP(A148,Educacional!A$2:P$405,16,FALSE)</f>
        <v>73.084823488165512</v>
      </c>
      <c r="G148" s="6">
        <f>VLOOKUP(A148,Demográfico!A$2:L$405,12,FALSE)</f>
        <v>29.831447796983834</v>
      </c>
      <c r="H148" s="7">
        <f>VLOOKUP(A148,Socioeconômico!A$2:M$405,13,FALSE)</f>
        <v>26.603421858520012</v>
      </c>
      <c r="I148" s="16">
        <f>(2*F148+G148+2*H148)/5/100</f>
        <v>0.45841587698070974</v>
      </c>
      <c r="J148" s="15">
        <f>VLOOKUP(A148,Demográfico!A$2:E$400,5,FALSE)/(VLOOKUP(C148,Controle!A$2:G$9,7,FALSE))*D148</f>
        <v>0.19112588956710058</v>
      </c>
      <c r="K148" s="15">
        <f>VLOOKUP(A148,Demográfico!A$2:E$400,5,FALSE)/(VLOOKUP(C148,Controle!A$16:G$24,7,FALSE))*E148</f>
        <v>6.6149763379815138E-2</v>
      </c>
      <c r="L148" s="118">
        <f>((J148*(1+I148))+3*(I148+K148))/4</f>
        <v>0.46310948823207398</v>
      </c>
      <c r="M148" s="3">
        <v>1</v>
      </c>
      <c r="N148" s="88">
        <f>VLOOKUP(A148,Demográfico!A$2:E$400,5,FALSE)*I148</f>
        <v>748.59312710949905</v>
      </c>
      <c r="O148" s="96">
        <f>FLOOR(L148,1)</f>
        <v>0</v>
      </c>
      <c r="P148" s="96">
        <f>L148-O148</f>
        <v>0.46310948823207398</v>
      </c>
      <c r="Q148" s="87">
        <f>RANK(P148,P$2:P$400,0)</f>
        <v>195</v>
      </c>
      <c r="R148" s="3">
        <f>O148+IF(Q148&lt;Q$1,1,0)</f>
        <v>0</v>
      </c>
      <c r="T148" s="87">
        <f>VLOOKUP(A148,Demográfico!A$2:E$400,5,FALSE)*(I148)</f>
        <v>748.59312710949905</v>
      </c>
    </row>
    <row r="149" spans="1:20" ht="19.5" x14ac:dyDescent="0.25">
      <c r="A149" s="2" t="s">
        <v>154</v>
      </c>
      <c r="B149" s="37">
        <v>13395</v>
      </c>
      <c r="C149" s="4" t="str" cm="1">
        <f t="array" ref="C149">_xlfn.IFS(B149&lt;20000, "P1",B149&lt;40000, "P2",B149&lt;70000, "P3",B149&lt;100000, "P4",B149&lt;200000,"M1",B149&lt;500000,"M2",B149&lt;1000000,"G1",B149&gt;1000000,"G2")</f>
        <v>P1</v>
      </c>
      <c r="D149" s="13">
        <f>VLOOKUP(C149,Controle!A$2:H$9,8,FALSE)</f>
        <v>38.874046212109647</v>
      </c>
      <c r="E149" s="13">
        <f>VLOOKUP(C149,Controle!A$16:H$23,8,FALSE)</f>
        <v>13.454529704853227</v>
      </c>
      <c r="F149" s="5">
        <f>VLOOKUP(A149,Educacional!A$2:P$405,16,FALSE)</f>
        <v>63.47781186199726</v>
      </c>
      <c r="G149" s="6">
        <f>VLOOKUP(A149,Demográfico!A$2:L$405,12,FALSE)</f>
        <v>60.632755041572928</v>
      </c>
      <c r="H149" s="7">
        <f>VLOOKUP(A149,Socioeconômico!A$2:M$405,13,FALSE)</f>
        <v>28.900106269272218</v>
      </c>
      <c r="I149" s="16">
        <f>(2*F149+G149+2*H149)/5/100</f>
        <v>0.49077718260822378</v>
      </c>
      <c r="J149" s="15">
        <f>VLOOKUP(A149,Demográfico!A$2:E$400,5,FALSE)/(VLOOKUP(C149,Controle!A$2:G$9,7,FALSE))*D149</f>
        <v>0.22401405549995745</v>
      </c>
      <c r="K149" s="15">
        <f>VLOOKUP(A149,Demográfico!A$2:E$400,5,FALSE)/(VLOOKUP(C149,Controle!A$16:G$24,7,FALSE))*E149</f>
        <v>7.7532545688283022E-2</v>
      </c>
      <c r="L149" s="118">
        <f>((J149*(1+I149))+3*(I149+K149))/4</f>
        <v>0.50972105685309732</v>
      </c>
      <c r="M149" s="3">
        <v>1</v>
      </c>
      <c r="N149" s="88">
        <f>VLOOKUP(A149,Demográfico!A$2:E$400,5,FALSE)*I149</f>
        <v>939.34752751214035</v>
      </c>
      <c r="O149" s="96">
        <f>FLOOR(L149,1)</f>
        <v>0</v>
      </c>
      <c r="P149" s="96">
        <f>L149-O149</f>
        <v>0.50972105685309732</v>
      </c>
      <c r="Q149" s="87">
        <f>RANK(P149,P$2:P$400,0)</f>
        <v>145</v>
      </c>
      <c r="R149" s="3">
        <f>O149+IF(Q149&lt;Q$1,1,0)</f>
        <v>1</v>
      </c>
      <c r="T149" s="87">
        <f>VLOOKUP(A149,Demográfico!A$2:E$400,5,FALSE)*(I149)</f>
        <v>939.34752751214035</v>
      </c>
    </row>
    <row r="150" spans="1:20" ht="19.5" x14ac:dyDescent="0.25">
      <c r="A150" s="2" t="s">
        <v>155</v>
      </c>
      <c r="B150" s="37">
        <v>13346</v>
      </c>
      <c r="C150" s="4" t="str" cm="1">
        <f t="array" ref="C150">_xlfn.IFS(B150&lt;20000, "P1",B150&lt;40000, "P2",B150&lt;70000, "P3",B150&lt;100000, "P4",B150&lt;200000,"M1",B150&lt;500000,"M2",B150&lt;1000000,"G1",B150&gt;1000000,"G2")</f>
        <v>P1</v>
      </c>
      <c r="D150" s="13">
        <f>VLOOKUP(C150,Controle!A$2:H$9,8,FALSE)</f>
        <v>38.874046212109647</v>
      </c>
      <c r="E150" s="13">
        <f>VLOOKUP(C150,Controle!A$16:H$23,8,FALSE)</f>
        <v>13.454529704853227</v>
      </c>
      <c r="F150" s="5">
        <f>VLOOKUP(A150,Educacional!A$2:P$405,16,FALSE)</f>
        <v>45.055874289862892</v>
      </c>
      <c r="G150" s="6">
        <f>VLOOKUP(A150,Demográfico!A$2:L$405,12,FALSE)</f>
        <v>42.359938765971002</v>
      </c>
      <c r="H150" s="7">
        <f>VLOOKUP(A150,Socioeconômico!A$2:M$405,13,FALSE)</f>
        <v>46.51717959595851</v>
      </c>
      <c r="I150" s="16">
        <f>(2*F150+G150+2*H150)/5/100</f>
        <v>0.4510120930752276</v>
      </c>
      <c r="J150" s="15">
        <f>VLOOKUP(A150,Demográfico!A$2:E$400,5,FALSE)/(VLOOKUP(C150,Controle!A$2:G$9,7,FALSE))*D150</f>
        <v>0.21125672423062863</v>
      </c>
      <c r="K150" s="15">
        <f>VLOOKUP(A150,Demográfico!A$2:E$400,5,FALSE)/(VLOOKUP(C150,Controle!A$16:G$24,7,FALSE))*E150</f>
        <v>7.311716038001613E-2</v>
      </c>
      <c r="L150" s="118">
        <f>((J150*(1+I150))+3*(I150+K150))/4</f>
        <v>0.46973095549195798</v>
      </c>
      <c r="M150" s="3">
        <v>1</v>
      </c>
      <c r="N150" s="88">
        <f>VLOOKUP(A150,Demográfico!A$2:E$400,5,FALSE)*I150</f>
        <v>814.07682800078578</v>
      </c>
      <c r="O150" s="96">
        <f>FLOOR(L150,1)</f>
        <v>0</v>
      </c>
      <c r="P150" s="96">
        <f>L150-O150</f>
        <v>0.46973095549195798</v>
      </c>
      <c r="Q150" s="87">
        <f>RANK(P150,P$2:P$400,0)</f>
        <v>188</v>
      </c>
      <c r="R150" s="3">
        <f>O150+IF(Q150&lt;Q$1,1,0)</f>
        <v>1</v>
      </c>
      <c r="T150" s="87">
        <f>VLOOKUP(A150,Demográfico!A$2:E$400,5,FALSE)*(I150)</f>
        <v>814.07682800078578</v>
      </c>
    </row>
    <row r="151" spans="1:20" ht="19.5" x14ac:dyDescent="0.25">
      <c r="A151" s="2" t="s">
        <v>156</v>
      </c>
      <c r="B151" s="37">
        <v>13299</v>
      </c>
      <c r="C151" s="4" t="str" cm="1">
        <f t="array" ref="C151">_xlfn.IFS(B151&lt;20000, "P1",B151&lt;40000, "P2",B151&lt;70000, "P3",B151&lt;100000, "P4",B151&lt;200000,"M1",B151&lt;500000,"M2",B151&lt;1000000,"G1",B151&gt;1000000,"G2")</f>
        <v>P1</v>
      </c>
      <c r="D151" s="13">
        <f>VLOOKUP(C151,Controle!A$2:H$9,8,FALSE)</f>
        <v>38.874046212109647</v>
      </c>
      <c r="E151" s="13">
        <f>VLOOKUP(C151,Controle!A$16:H$23,8,FALSE)</f>
        <v>13.454529704853227</v>
      </c>
      <c r="F151" s="5">
        <f>VLOOKUP(A151,Educacional!A$2:P$405,16,FALSE)</f>
        <v>73.090048142853774</v>
      </c>
      <c r="G151" s="6">
        <f>VLOOKUP(A151,Demográfico!A$2:L$405,12,FALSE)</f>
        <v>60.391566969334889</v>
      </c>
      <c r="H151" s="7">
        <f>VLOOKUP(A151,Socioeconômico!A$2:M$405,13,FALSE)</f>
        <v>54.858067653391188</v>
      </c>
      <c r="I151" s="16">
        <f>(2*F151+G151+2*H151)/5/100</f>
        <v>0.63257559712364964</v>
      </c>
      <c r="J151" s="15">
        <f>VLOOKUP(A151,Demográfico!A$2:E$400,5,FALSE)/(VLOOKUP(C151,Controle!A$2:G$9,7,FALSE))*D151</f>
        <v>0.23524987019588009</v>
      </c>
      <c r="K151" s="15">
        <f>VLOOKUP(A151,Demográfico!A$2:E$400,5,FALSE)/(VLOOKUP(C151,Controle!A$16:G$24,7,FALSE))*E151</f>
        <v>8.1421325409325437E-2</v>
      </c>
      <c r="L151" s="118">
        <f>((J151*(1+I151))+3*(I151+K151))/4</f>
        <v>0.63151349122680633</v>
      </c>
      <c r="M151" s="3">
        <v>1</v>
      </c>
      <c r="N151" s="88">
        <f>VLOOKUP(A151,Demográfico!A$2:E$400,5,FALSE)*I151</f>
        <v>1271.4769502185359</v>
      </c>
      <c r="O151" s="96">
        <f>FLOOR(L151,1)</f>
        <v>0</v>
      </c>
      <c r="P151" s="96">
        <f>L151-O151</f>
        <v>0.63151349122680633</v>
      </c>
      <c r="Q151" s="87">
        <f>RANK(P151,P$2:P$400,0)</f>
        <v>56</v>
      </c>
      <c r="R151" s="3">
        <f>O151+IF(Q151&lt;Q$1,1,0)</f>
        <v>1</v>
      </c>
      <c r="T151" s="87">
        <f>VLOOKUP(A151,Demográfico!A$2:E$400,5,FALSE)*(I151)</f>
        <v>1271.4769502185359</v>
      </c>
    </row>
    <row r="152" spans="1:20" ht="19.5" x14ac:dyDescent="0.25">
      <c r="A152" s="2" t="s">
        <v>157</v>
      </c>
      <c r="B152" s="37">
        <v>13245</v>
      </c>
      <c r="C152" s="4" t="str" cm="1">
        <f t="array" ref="C152">_xlfn.IFS(B152&lt;20000, "P1",B152&lt;40000, "P2",B152&lt;70000, "P3",B152&lt;100000, "P4",B152&lt;200000,"M1",B152&lt;500000,"M2",B152&lt;1000000,"G1",B152&gt;1000000,"G2")</f>
        <v>P1</v>
      </c>
      <c r="D152" s="13">
        <f>VLOOKUP(C152,Controle!A$2:H$9,8,FALSE)</f>
        <v>38.874046212109647</v>
      </c>
      <c r="E152" s="13">
        <f>VLOOKUP(C152,Controle!A$16:H$23,8,FALSE)</f>
        <v>13.454529704853227</v>
      </c>
      <c r="F152" s="5">
        <f>VLOOKUP(A152,Educacional!A$2:P$405,16,FALSE)</f>
        <v>37.75539371390618</v>
      </c>
      <c r="G152" s="6">
        <f>VLOOKUP(A152,Demográfico!A$2:L$405,12,FALSE)</f>
        <v>73.885195149540976</v>
      </c>
      <c r="H152" s="7">
        <f>VLOOKUP(A152,Socioeconômico!A$2:M$405,13,FALSE)</f>
        <v>18.432510197034404</v>
      </c>
      <c r="I152" s="16">
        <f>(2*F152+G152+2*H152)/5/100</f>
        <v>0.37252200594284424</v>
      </c>
      <c r="J152" s="15">
        <f>VLOOKUP(A152,Demográfico!A$2:E$400,5,FALSE)/(VLOOKUP(C152,Controle!A$2:G$9,7,FALSE))*D152</f>
        <v>0.20669217451041005</v>
      </c>
      <c r="K152" s="15">
        <f>VLOOKUP(A152,Demográfico!A$2:E$400,5,FALSE)/(VLOOKUP(C152,Controle!A$16:G$24,7,FALSE))*E152</f>
        <v>7.1537343618342644E-2</v>
      </c>
      <c r="L152" s="118">
        <f>((J152*(1+I152))+3*(I152+K152))/4</f>
        <v>0.40396690166381927</v>
      </c>
      <c r="M152" s="3">
        <v>0</v>
      </c>
      <c r="N152" s="88">
        <f>VLOOKUP(A152,Demográfico!A$2:E$400,5,FALSE)*I152</f>
        <v>657.87386249506289</v>
      </c>
      <c r="O152" s="96">
        <f>FLOOR(L152,1)</f>
        <v>0</v>
      </c>
      <c r="P152" s="96">
        <f>L152-O152</f>
        <v>0.40396690166381927</v>
      </c>
      <c r="Q152" s="87">
        <f>RANK(P152,P$2:P$400,0)</f>
        <v>279</v>
      </c>
      <c r="R152" s="3">
        <f>O152+IF(Q152&lt;Q$1,1,0)</f>
        <v>0</v>
      </c>
      <c r="T152" s="87">
        <f>VLOOKUP(A152,Demográfico!A$2:E$400,5,FALSE)*(I152)</f>
        <v>657.87386249506289</v>
      </c>
    </row>
    <row r="153" spans="1:20" ht="19.5" x14ac:dyDescent="0.25">
      <c r="A153" s="2" t="s">
        <v>158</v>
      </c>
      <c r="B153" s="37">
        <v>13229</v>
      </c>
      <c r="C153" s="4" t="str" cm="1">
        <f t="array" ref="C153">_xlfn.IFS(B153&lt;20000, "P1",B153&lt;40000, "P2",B153&lt;70000, "P3",B153&lt;100000, "P4",B153&lt;200000,"M1",B153&lt;500000,"M2",B153&lt;1000000,"G1",B153&gt;1000000,"G2")</f>
        <v>P1</v>
      </c>
      <c r="D153" s="13">
        <f>VLOOKUP(C153,Controle!A$2:H$9,8,FALSE)</f>
        <v>38.874046212109647</v>
      </c>
      <c r="E153" s="13">
        <f>VLOOKUP(C153,Controle!A$16:H$23,8,FALSE)</f>
        <v>13.454529704853227</v>
      </c>
      <c r="F153" s="5">
        <f>VLOOKUP(A153,Educacional!A$2:P$405,16,FALSE)</f>
        <v>70.716086075124323</v>
      </c>
      <c r="G153" s="6">
        <f>VLOOKUP(A153,Demográfico!A$2:L$405,12,FALSE)</f>
        <v>62.164562633636876</v>
      </c>
      <c r="H153" s="7">
        <f>VLOOKUP(A153,Socioeconômico!A$2:M$405,13,FALSE)</f>
        <v>56.377627111310261</v>
      </c>
      <c r="I153" s="16">
        <f>(2*F153+G153+2*H153)/5/100</f>
        <v>0.63270397801301215</v>
      </c>
      <c r="J153" s="15">
        <f>VLOOKUP(A153,Demográfico!A$2:E$400,5,FALSE)/(VLOOKUP(C153,Controle!A$2:G$9,7,FALSE))*D153</f>
        <v>0.22120510182597677</v>
      </c>
      <c r="K153" s="15">
        <f>VLOOKUP(A153,Demográfico!A$2:E$400,5,FALSE)/(VLOOKUP(C153,Controle!A$16:G$24,7,FALSE))*E153</f>
        <v>7.6560350758022422E-2</v>
      </c>
      <c r="L153" s="118">
        <f>((J153*(1+I153))+3*(I153+K153))/4</f>
        <v>0.6222388590052873</v>
      </c>
      <c r="M153" s="3">
        <v>1</v>
      </c>
      <c r="N153" s="88">
        <f>VLOOKUP(A153,Demográfico!A$2:E$400,5,FALSE)*I153</f>
        <v>1195.8105184445931</v>
      </c>
      <c r="O153" s="96">
        <f>FLOOR(L153,1)</f>
        <v>0</v>
      </c>
      <c r="P153" s="96">
        <f>L153-O153</f>
        <v>0.6222388590052873</v>
      </c>
      <c r="Q153" s="87">
        <f>RANK(P153,P$2:P$400,0)</f>
        <v>63</v>
      </c>
      <c r="R153" s="3">
        <f>O153+IF(Q153&lt;Q$1,1,0)</f>
        <v>1</v>
      </c>
      <c r="T153" s="87">
        <f>VLOOKUP(A153,Demográfico!A$2:E$400,5,FALSE)*(I153)</f>
        <v>1195.8105184445931</v>
      </c>
    </row>
    <row r="154" spans="1:20" ht="19.5" x14ac:dyDescent="0.25">
      <c r="A154" s="2" t="s">
        <v>159</v>
      </c>
      <c r="B154" s="37">
        <v>13174</v>
      </c>
      <c r="C154" s="4" t="str" cm="1">
        <f t="array" ref="C154">_xlfn.IFS(B154&lt;20000, "P1",B154&lt;40000, "P2",B154&lt;70000, "P3",B154&lt;100000, "P4",B154&lt;200000,"M1",B154&lt;500000,"M2",B154&lt;1000000,"G1",B154&gt;1000000,"G2")</f>
        <v>P1</v>
      </c>
      <c r="D154" s="13">
        <f>VLOOKUP(C154,Controle!A$2:H$9,8,FALSE)</f>
        <v>38.874046212109647</v>
      </c>
      <c r="E154" s="13">
        <f>VLOOKUP(C154,Controle!A$16:H$23,8,FALSE)</f>
        <v>13.454529704853227</v>
      </c>
      <c r="F154" s="5">
        <f>VLOOKUP(A154,Educacional!A$2:P$405,16,FALSE)</f>
        <v>58.906873365094746</v>
      </c>
      <c r="G154" s="6">
        <f>VLOOKUP(A154,Demográfico!A$2:L$405,12,FALSE)</f>
        <v>49.680540502336115</v>
      </c>
      <c r="H154" s="7">
        <f>VLOOKUP(A154,Socioeconômico!A$2:M$405,13,FALSE)</f>
        <v>34.481679457085498</v>
      </c>
      <c r="I154" s="16">
        <f>(2*F154+G154+2*H154)/5/100</f>
        <v>0.47291529229339324</v>
      </c>
      <c r="J154" s="15">
        <f>VLOOKUP(A154,Demográfico!A$2:E$400,5,FALSE)/(VLOOKUP(C154,Controle!A$2:G$9,7,FALSE))*D154</f>
        <v>0.22764228732884911</v>
      </c>
      <c r="K154" s="15">
        <f>VLOOKUP(A154,Demográfico!A$2:E$400,5,FALSE)/(VLOOKUP(C154,Controle!A$16:G$24,7,FALSE))*E154</f>
        <v>7.878829747320297E-2</v>
      </c>
      <c r="L154" s="118">
        <f>((J154*(1+I154))+3*(I154+K154))/4</f>
        <v>0.49760214386977419</v>
      </c>
      <c r="M154" s="3">
        <v>1</v>
      </c>
      <c r="N154" s="88">
        <f>VLOOKUP(A154,Demográfico!A$2:E$400,5,FALSE)*I154</f>
        <v>919.8202435106499</v>
      </c>
      <c r="O154" s="96">
        <f>FLOOR(L154,1)</f>
        <v>0</v>
      </c>
      <c r="P154" s="96">
        <f>L154-O154</f>
        <v>0.49760214386977419</v>
      </c>
      <c r="Q154" s="87">
        <f>RANK(P154,P$2:P$400,0)</f>
        <v>157</v>
      </c>
      <c r="R154" s="3">
        <f>O154+IF(Q154&lt;Q$1,1,0)</f>
        <v>1</v>
      </c>
      <c r="T154" s="87">
        <f>VLOOKUP(A154,Demográfico!A$2:E$400,5,FALSE)*(I154)</f>
        <v>919.8202435106499</v>
      </c>
    </row>
    <row r="155" spans="1:20" ht="19.5" x14ac:dyDescent="0.25">
      <c r="A155" s="2" t="s">
        <v>160</v>
      </c>
      <c r="B155" s="37">
        <v>13060</v>
      </c>
      <c r="C155" s="4" t="str" cm="1">
        <f t="array" ref="C155">_xlfn.IFS(B155&lt;20000, "P1",B155&lt;40000, "P2",B155&lt;70000, "P3",B155&lt;100000, "P4",B155&lt;200000,"M1",B155&lt;500000,"M2",B155&lt;1000000,"G1",B155&gt;1000000,"G2")</f>
        <v>P1</v>
      </c>
      <c r="D155" s="13">
        <f>VLOOKUP(C155,Controle!A$2:H$9,8,FALSE)</f>
        <v>38.874046212109647</v>
      </c>
      <c r="E155" s="13">
        <f>VLOOKUP(C155,Controle!A$16:H$23,8,FALSE)</f>
        <v>13.454529704853227</v>
      </c>
      <c r="F155" s="5">
        <f>VLOOKUP(A155,Educacional!A$2:P$405,16,FALSE)</f>
        <v>63.701244381639619</v>
      </c>
      <c r="G155" s="6">
        <f>VLOOKUP(A155,Demográfico!A$2:L$405,12,FALSE)</f>
        <v>64.530593179506297</v>
      </c>
      <c r="H155" s="7">
        <f>VLOOKUP(A155,Socioeconômico!A$2:M$405,13,FALSE)</f>
        <v>68.442849541453157</v>
      </c>
      <c r="I155" s="16">
        <f>(2*F155+G155+2*H155)/5/100</f>
        <v>0.65763756205138368</v>
      </c>
      <c r="J155" s="15">
        <f>VLOOKUP(A155,Demográfico!A$2:E$400,5,FALSE)/(VLOOKUP(C155,Controle!A$2:G$9,7,FALSE))*D155</f>
        <v>0.20294690294510254</v>
      </c>
      <c r="K155" s="15">
        <f>VLOOKUP(A155,Demográfico!A$2:E$400,5,FALSE)/(VLOOKUP(C155,Controle!A$16:G$24,7,FALSE))*E155</f>
        <v>7.024108371132852E-2</v>
      </c>
      <c r="L155" s="118">
        <f>((J155*(1+I155))+3*(I155+K155))/4</f>
        <v>0.63001208667798381</v>
      </c>
      <c r="M155" s="3">
        <v>1</v>
      </c>
      <c r="N155" s="88">
        <f>VLOOKUP(A155,Demográfico!A$2:E$400,5,FALSE)*I155</f>
        <v>1140.3435325970993</v>
      </c>
      <c r="O155" s="96">
        <f>FLOOR(L155,1)</f>
        <v>0</v>
      </c>
      <c r="P155" s="96">
        <f>L155-O155</f>
        <v>0.63001208667798381</v>
      </c>
      <c r="Q155" s="87">
        <f>RANK(P155,P$2:P$400,0)</f>
        <v>57</v>
      </c>
      <c r="R155" s="3">
        <f>O155+IF(Q155&lt;Q$1,1,0)</f>
        <v>1</v>
      </c>
      <c r="T155" s="87">
        <f>VLOOKUP(A155,Demográfico!A$2:E$400,5,FALSE)*(I155)</f>
        <v>1140.3435325970993</v>
      </c>
    </row>
    <row r="156" spans="1:20" ht="19.5" x14ac:dyDescent="0.25">
      <c r="A156" s="2" t="s">
        <v>161</v>
      </c>
      <c r="B156" s="37">
        <v>13033</v>
      </c>
      <c r="C156" s="4" t="str" cm="1">
        <f t="array" ref="C156">_xlfn.IFS(B156&lt;20000, "P1",B156&lt;40000, "P2",B156&lt;70000, "P3",B156&lt;100000, "P4",B156&lt;200000,"M1",B156&lt;500000,"M2",B156&lt;1000000,"G1",B156&gt;1000000,"G2")</f>
        <v>P1</v>
      </c>
      <c r="D156" s="13">
        <f>VLOOKUP(C156,Controle!A$2:H$9,8,FALSE)</f>
        <v>38.874046212109647</v>
      </c>
      <c r="E156" s="13">
        <f>VLOOKUP(C156,Controle!A$16:H$23,8,FALSE)</f>
        <v>13.454529704853227</v>
      </c>
      <c r="F156" s="5">
        <f>VLOOKUP(A156,Educacional!A$2:P$405,16,FALSE)</f>
        <v>65.363890049467727</v>
      </c>
      <c r="G156" s="6">
        <f>VLOOKUP(A156,Demográfico!A$2:L$405,12,FALSE)</f>
        <v>49.481260285291114</v>
      </c>
      <c r="H156" s="7">
        <f>VLOOKUP(A156,Socioeconômico!A$2:M$405,13,FALSE)</f>
        <v>61.862136944077363</v>
      </c>
      <c r="I156" s="16">
        <f>(2*F156+G156+2*H156)/5/100</f>
        <v>0.60786662854476259</v>
      </c>
      <c r="J156" s="15">
        <f>VLOOKUP(A156,Demográfico!A$2:E$400,5,FALSE)/(VLOOKUP(C156,Controle!A$2:G$9,7,FALSE))*D156</f>
        <v>0.21547015474159961</v>
      </c>
      <c r="K156" s="15">
        <f>VLOOKUP(A156,Demográfico!A$2:E$400,5,FALSE)/(VLOOKUP(C156,Controle!A$16:G$24,7,FALSE))*E156</f>
        <v>7.4575452775407031E-2</v>
      </c>
      <c r="L156" s="118">
        <f>((J156*(1+I156))+3*(I156+K156))/4</f>
        <v>0.59844337880422571</v>
      </c>
      <c r="M156" s="3">
        <v>1</v>
      </c>
      <c r="N156" s="88">
        <f>VLOOKUP(A156,Demográfico!A$2:E$400,5,FALSE)*I156</f>
        <v>1119.0824631509079</v>
      </c>
      <c r="O156" s="96">
        <f>FLOOR(L156,1)</f>
        <v>0</v>
      </c>
      <c r="P156" s="96">
        <f>L156-O156</f>
        <v>0.59844337880422571</v>
      </c>
      <c r="Q156" s="87">
        <f>RANK(P156,P$2:P$400,0)</f>
        <v>76</v>
      </c>
      <c r="R156" s="3">
        <f>O156+IF(Q156&lt;Q$1,1,0)</f>
        <v>1</v>
      </c>
      <c r="T156" s="87">
        <f>VLOOKUP(A156,Demográfico!A$2:E$400,5,FALSE)*(I156)</f>
        <v>1119.0824631509079</v>
      </c>
    </row>
    <row r="157" spans="1:20" ht="19.5" x14ac:dyDescent="0.25">
      <c r="A157" s="2" t="s">
        <v>162</v>
      </c>
      <c r="B157" s="37">
        <v>12923</v>
      </c>
      <c r="C157" s="4" t="str" cm="1">
        <f t="array" ref="C157">_xlfn.IFS(B157&lt;20000, "P1",B157&lt;40000, "P2",B157&lt;70000, "P3",B157&lt;100000, "P4",B157&lt;200000,"M1",B157&lt;500000,"M2",B157&lt;1000000,"G1",B157&gt;1000000,"G2")</f>
        <v>P1</v>
      </c>
      <c r="D157" s="13">
        <f>VLOOKUP(C157,Controle!A$2:H$9,8,FALSE)</f>
        <v>38.874046212109647</v>
      </c>
      <c r="E157" s="13">
        <f>VLOOKUP(C157,Controle!A$16:H$23,8,FALSE)</f>
        <v>13.454529704853227</v>
      </c>
      <c r="F157" s="5">
        <f>VLOOKUP(A157,Educacional!A$2:P$405,16,FALSE)</f>
        <v>37.268913781665816</v>
      </c>
      <c r="G157" s="6">
        <f>VLOOKUP(A157,Demográfico!A$2:L$405,12,FALSE)</f>
        <v>40.049449939501173</v>
      </c>
      <c r="H157" s="7">
        <f>VLOOKUP(A157,Socioeconômico!A$2:M$405,13,FALSE)</f>
        <v>34.477850567523937</v>
      </c>
      <c r="I157" s="16">
        <f>(2*F157+G157+2*H157)/5/100</f>
        <v>0.36708595727576138</v>
      </c>
      <c r="J157" s="15">
        <f>VLOOKUP(A157,Demográfico!A$2:E$400,5,FALSE)/(VLOOKUP(C157,Controle!A$2:G$9,7,FALSE))*D157</f>
        <v>0.19849939296129981</v>
      </c>
      <c r="K157" s="15">
        <f>VLOOKUP(A157,Demográfico!A$2:E$400,5,FALSE)/(VLOOKUP(C157,Controle!A$16:G$24,7,FALSE))*E157</f>
        <v>6.8701775071749224E-2</v>
      </c>
      <c r="L157" s="118">
        <f>((J157*(1+I157))+3*(I157+K157))/4</f>
        <v>0.39468223242192202</v>
      </c>
      <c r="M157" s="3">
        <v>0</v>
      </c>
      <c r="N157" s="88">
        <f>VLOOKUP(A157,Demográfico!A$2:E$400,5,FALSE)*I157</f>
        <v>622.57778353969127</v>
      </c>
      <c r="O157" s="96">
        <f>FLOOR(L157,1)</f>
        <v>0</v>
      </c>
      <c r="P157" s="96">
        <f>L157-O157</f>
        <v>0.39468223242192202</v>
      </c>
      <c r="Q157" s="87">
        <f>RANK(P157,P$2:P$400,0)</f>
        <v>293</v>
      </c>
      <c r="R157" s="3">
        <f>O157+IF(Q157&lt;Q$1,1,0)</f>
        <v>0</v>
      </c>
      <c r="T157" s="87">
        <f>VLOOKUP(A157,Demográfico!A$2:E$400,5,FALSE)*(I157)</f>
        <v>622.57778353969127</v>
      </c>
    </row>
    <row r="158" spans="1:20" ht="19.5" x14ac:dyDescent="0.25">
      <c r="A158" s="2" t="s">
        <v>163</v>
      </c>
      <c r="B158" s="37">
        <v>12699</v>
      </c>
      <c r="C158" s="4" t="str" cm="1">
        <f t="array" ref="C158">_xlfn.IFS(B158&lt;20000, "P1",B158&lt;40000, "P2",B158&lt;70000, "P3",B158&lt;100000, "P4",B158&lt;200000,"M1",B158&lt;500000,"M2",B158&lt;1000000,"G1",B158&gt;1000000,"G2")</f>
        <v>P1</v>
      </c>
      <c r="D158" s="13">
        <f>VLOOKUP(C158,Controle!A$2:H$9,8,FALSE)</f>
        <v>38.874046212109647</v>
      </c>
      <c r="E158" s="13">
        <f>VLOOKUP(C158,Controle!A$16:H$23,8,FALSE)</f>
        <v>13.454529704853227</v>
      </c>
      <c r="F158" s="5">
        <f>VLOOKUP(A158,Educacional!A$2:P$405,16,FALSE)</f>
        <v>76.506517769181116</v>
      </c>
      <c r="G158" s="6">
        <f>VLOOKUP(A158,Demográfico!A$2:L$405,12,FALSE)</f>
        <v>36.191089140501234</v>
      </c>
      <c r="H158" s="7">
        <f>VLOOKUP(A158,Socioeconômico!A$2:M$405,13,FALSE)</f>
        <v>32.387636918637583</v>
      </c>
      <c r="I158" s="16">
        <f>(2*F158+G158+2*H158)/5/100</f>
        <v>0.50795879703227731</v>
      </c>
      <c r="J158" s="15">
        <f>VLOOKUP(A158,Demográfico!A$2:E$400,5,FALSE)/(VLOOKUP(C158,Controle!A$2:G$9,7,FALSE))*D158</f>
        <v>0.19768011480638878</v>
      </c>
      <c r="K158" s="15">
        <f>VLOOKUP(A158,Demográfico!A$2:E$400,5,FALSE)/(VLOOKUP(C158,Controle!A$16:G$24,7,FALSE))*E158</f>
        <v>6.8418218217089877E-2</v>
      </c>
      <c r="L158" s="118">
        <f>((J158*(1+I158))+3*(I158+K158))/4</f>
        <v>0.50680612846718653</v>
      </c>
      <c r="M158" s="3">
        <v>1</v>
      </c>
      <c r="N158" s="88">
        <f>VLOOKUP(A158,Demográfico!A$2:E$400,5,FALSE)*I158</f>
        <v>857.94240818751632</v>
      </c>
      <c r="O158" s="96">
        <f>FLOOR(L158,1)</f>
        <v>0</v>
      </c>
      <c r="P158" s="96">
        <f>L158-O158</f>
        <v>0.50680612846718653</v>
      </c>
      <c r="Q158" s="87">
        <f>RANK(P158,P$2:P$400,0)</f>
        <v>149</v>
      </c>
      <c r="R158" s="3">
        <f>O158+IF(Q158&lt;Q$1,1,0)</f>
        <v>1</v>
      </c>
      <c r="T158" s="87">
        <f>VLOOKUP(A158,Demográfico!A$2:E$400,5,FALSE)*(I158)</f>
        <v>857.94240818751632</v>
      </c>
    </row>
    <row r="159" spans="1:20" ht="19.5" x14ac:dyDescent="0.25">
      <c r="A159" s="2" t="s">
        <v>164</v>
      </c>
      <c r="B159" s="37">
        <v>12454</v>
      </c>
      <c r="C159" s="4" t="str" cm="1">
        <f t="array" ref="C159">_xlfn.IFS(B159&lt;20000, "P1",B159&lt;40000, "P2",B159&lt;70000, "P3",B159&lt;100000, "P4",B159&lt;200000,"M1",B159&lt;500000,"M2",B159&lt;1000000,"G1",B159&gt;1000000,"G2")</f>
        <v>P1</v>
      </c>
      <c r="D159" s="13">
        <f>VLOOKUP(C159,Controle!A$2:H$9,8,FALSE)</f>
        <v>38.874046212109647</v>
      </c>
      <c r="E159" s="13">
        <f>VLOOKUP(C159,Controle!A$16:H$23,8,FALSE)</f>
        <v>13.454529704853227</v>
      </c>
      <c r="F159" s="5">
        <f>VLOOKUP(A159,Educacional!A$2:P$405,16,FALSE)</f>
        <v>32.321370393944953</v>
      </c>
      <c r="G159" s="6">
        <f>VLOOKUP(A159,Demográfico!A$2:L$405,12,FALSE)</f>
        <v>28.084924417844842</v>
      </c>
      <c r="H159" s="7">
        <f>VLOOKUP(A159,Socioeconômico!A$2:M$405,13,FALSE)</f>
        <v>48.461848192354338</v>
      </c>
      <c r="I159" s="16">
        <f>(2*F159+G159+2*H159)/5/100</f>
        <v>0.37930272318088681</v>
      </c>
      <c r="J159" s="15">
        <f>VLOOKUP(A159,Demográfico!A$2:E$400,5,FALSE)/(VLOOKUP(C159,Controle!A$2:G$9,7,FALSE))*D159</f>
        <v>0.1692394588573346</v>
      </c>
      <c r="K159" s="15">
        <f>VLOOKUP(A159,Demográfico!A$2:E$400,5,FALSE)/(VLOOKUP(C159,Controle!A$16:G$24,7,FALSE))*E159</f>
        <v>5.8574744548201281E-2</v>
      </c>
      <c r="L159" s="118">
        <f>((J159*(1+I159))+3*(I159+K159))/4</f>
        <v>0.38676621241471137</v>
      </c>
      <c r="M159" s="3">
        <v>0</v>
      </c>
      <c r="N159" s="88">
        <f>VLOOKUP(A159,Demográfico!A$2:E$400,5,FALSE)*I159</f>
        <v>548.47173771956238</v>
      </c>
      <c r="O159" s="96">
        <f>FLOOR(L159,1)</f>
        <v>0</v>
      </c>
      <c r="P159" s="96">
        <f>L159-O159</f>
        <v>0.38676621241471137</v>
      </c>
      <c r="Q159" s="87">
        <f>RANK(P159,P$2:P$400,0)</f>
        <v>298</v>
      </c>
      <c r="R159" s="3">
        <f>O159+IF(Q159&lt;Q$1,1,0)</f>
        <v>0</v>
      </c>
      <c r="T159" s="87">
        <f>VLOOKUP(A159,Demográfico!A$2:E$400,5,FALSE)*(I159)</f>
        <v>548.47173771956238</v>
      </c>
    </row>
    <row r="160" spans="1:20" ht="19.5" x14ac:dyDescent="0.25">
      <c r="A160" s="2" t="s">
        <v>165</v>
      </c>
      <c r="B160" s="37">
        <v>12364</v>
      </c>
      <c r="C160" s="4" t="str" cm="1">
        <f t="array" ref="C160">_xlfn.IFS(B160&lt;20000, "P1",B160&lt;40000, "P2",B160&lt;70000, "P3",B160&lt;100000, "P4",B160&lt;200000,"M1",B160&lt;500000,"M2",B160&lt;1000000,"G1",B160&gt;1000000,"G2")</f>
        <v>P1</v>
      </c>
      <c r="D160" s="13">
        <f>VLOOKUP(C160,Controle!A$2:H$9,8,FALSE)</f>
        <v>38.874046212109647</v>
      </c>
      <c r="E160" s="13">
        <f>VLOOKUP(C160,Controle!A$16:H$23,8,FALSE)</f>
        <v>13.454529704853227</v>
      </c>
      <c r="F160" s="5">
        <f>VLOOKUP(A160,Educacional!A$2:P$405,16,FALSE)</f>
        <v>54.997121111186296</v>
      </c>
      <c r="G160" s="6">
        <f>VLOOKUP(A160,Demográfico!A$2:L$405,12,FALSE)</f>
        <v>38.346452141548774</v>
      </c>
      <c r="H160" s="7">
        <f>VLOOKUP(A160,Socioeconômico!A$2:M$405,13,FALSE)</f>
        <v>41.549414255443843</v>
      </c>
      <c r="I160" s="16">
        <f>(2*F160+G160+2*H160)/5/100</f>
        <v>0.46287904574961808</v>
      </c>
      <c r="J160" s="15">
        <f>VLOOKUP(A160,Demográfico!A$2:E$400,5,FALSE)/(VLOOKUP(C160,Controle!A$2:G$9,7,FALSE))*D160</f>
        <v>0.17661296225153386</v>
      </c>
      <c r="K160" s="15">
        <f>VLOOKUP(A160,Demográfico!A$2:E$400,5,FALSE)/(VLOOKUP(C160,Controle!A$16:G$24,7,FALSE))*E160</f>
        <v>6.1126756240135367E-2</v>
      </c>
      <c r="L160" s="118">
        <f>((J160*(1+I160))+3*(I160+K160))/4</f>
        <v>0.45759520191369935</v>
      </c>
      <c r="M160" s="3">
        <v>1</v>
      </c>
      <c r="N160" s="88">
        <f>VLOOKUP(A160,Demográfico!A$2:E$400,5,FALSE)*I160</f>
        <v>698.48448003617364</v>
      </c>
      <c r="O160" s="96">
        <f>FLOOR(L160,1)</f>
        <v>0</v>
      </c>
      <c r="P160" s="96">
        <f>L160-O160</f>
        <v>0.45759520191369935</v>
      </c>
      <c r="Q160" s="87">
        <f>RANK(P160,P$2:P$400,0)</f>
        <v>204</v>
      </c>
      <c r="R160" s="3">
        <f>O160+IF(Q160&lt;Q$1,1,0)</f>
        <v>0</v>
      </c>
      <c r="T160" s="87">
        <f>VLOOKUP(A160,Demográfico!A$2:E$400,5,FALSE)*(I160)</f>
        <v>698.48448003617364</v>
      </c>
    </row>
    <row r="161" spans="1:20" ht="19.5" x14ac:dyDescent="0.25">
      <c r="A161" s="2" t="s">
        <v>166</v>
      </c>
      <c r="B161" s="37">
        <v>12344</v>
      </c>
      <c r="C161" s="4" t="str" cm="1">
        <f t="array" ref="C161">_xlfn.IFS(B161&lt;20000, "P1",B161&lt;40000, "P2",B161&lt;70000, "P3",B161&lt;100000, "P4",B161&lt;200000,"M1",B161&lt;500000,"M2",B161&lt;1000000,"G1",B161&gt;1000000,"G2")</f>
        <v>P1</v>
      </c>
      <c r="D161" s="13">
        <f>VLOOKUP(C161,Controle!A$2:H$9,8,FALSE)</f>
        <v>38.874046212109647</v>
      </c>
      <c r="E161" s="13">
        <f>VLOOKUP(C161,Controle!A$16:H$23,8,FALSE)</f>
        <v>13.454529704853227</v>
      </c>
      <c r="F161" s="5">
        <f>VLOOKUP(A161,Educacional!A$2:P$405,16,FALSE)</f>
        <v>54.040104505808237</v>
      </c>
      <c r="G161" s="6">
        <f>VLOOKUP(A161,Demográfico!A$2:L$405,12,FALSE)</f>
        <v>52.838621528550867</v>
      </c>
      <c r="H161" s="7">
        <f>VLOOKUP(A161,Socioeconômico!A$2:M$405,13,FALSE)</f>
        <v>34.454248531662678</v>
      </c>
      <c r="I161" s="16">
        <f>(2*F161+G161+2*H161)/5/100</f>
        <v>0.45965465520698534</v>
      </c>
      <c r="J161" s="15">
        <f>VLOOKUP(A161,Demográfico!A$2:E$400,5,FALSE)/(VLOOKUP(C161,Controle!A$2:G$9,7,FALSE))*D161</f>
        <v>0.18621022063763443</v>
      </c>
      <c r="K161" s="15">
        <f>VLOOKUP(A161,Demográfico!A$2:E$400,5,FALSE)/(VLOOKUP(C161,Controle!A$16:G$24,7,FALSE))*E161</f>
        <v>6.444842225185908E-2</v>
      </c>
      <c r="L161" s="118">
        <f>((J161*(1+I161))+3*(I161+K161))/4</f>
        <v>0.46102796194434403</v>
      </c>
      <c r="M161" s="3">
        <v>1</v>
      </c>
      <c r="N161" s="88">
        <f>VLOOKUP(A161,Demográfico!A$2:E$400,5,FALSE)*I161</f>
        <v>731.31055643431364</v>
      </c>
      <c r="O161" s="96">
        <f>FLOOR(L161,1)</f>
        <v>0</v>
      </c>
      <c r="P161" s="96">
        <f>L161-O161</f>
        <v>0.46102796194434403</v>
      </c>
      <c r="Q161" s="87">
        <f>RANK(P161,P$2:P$400,0)</f>
        <v>199</v>
      </c>
      <c r="R161" s="3">
        <f>O161+IF(Q161&lt;Q$1,1,0)</f>
        <v>0</v>
      </c>
      <c r="T161" s="87">
        <f>VLOOKUP(A161,Demográfico!A$2:E$400,5,FALSE)*(I161)</f>
        <v>731.31055643431364</v>
      </c>
    </row>
    <row r="162" spans="1:20" ht="19.5" x14ac:dyDescent="0.25">
      <c r="A162" s="2" t="s">
        <v>167</v>
      </c>
      <c r="B162" s="37">
        <v>12074</v>
      </c>
      <c r="C162" s="4" t="str" cm="1">
        <f t="array" ref="C162">_xlfn.IFS(B162&lt;20000, "P1",B162&lt;40000, "P2",B162&lt;70000, "P3",B162&lt;100000, "P4",B162&lt;200000,"M1",B162&lt;500000,"M2",B162&lt;1000000,"G1",B162&gt;1000000,"G2")</f>
        <v>P1</v>
      </c>
      <c r="D162" s="13">
        <f>VLOOKUP(C162,Controle!A$2:H$9,8,FALSE)</f>
        <v>38.874046212109647</v>
      </c>
      <c r="E162" s="13">
        <f>VLOOKUP(C162,Controle!A$16:H$23,8,FALSE)</f>
        <v>13.454529704853227</v>
      </c>
      <c r="F162" s="5">
        <f>VLOOKUP(A162,Educacional!A$2:P$405,16,FALSE)</f>
        <v>80.505035345230624</v>
      </c>
      <c r="G162" s="6">
        <f>VLOOKUP(A162,Demográfico!A$2:L$405,12,FALSE)</f>
        <v>76.906000405486537</v>
      </c>
      <c r="H162" s="7">
        <f>VLOOKUP(A162,Socioeconômico!A$2:M$405,13,FALSE)</f>
        <v>59.116762969253799</v>
      </c>
      <c r="I162" s="16">
        <f>(2*F162+G162+2*H162)/5/100</f>
        <v>0.71229919406891073</v>
      </c>
      <c r="J162" s="15">
        <f>VLOOKUP(A162,Demográfico!A$2:E$400,5,FALSE)/(VLOOKUP(C162,Controle!A$2:G$9,7,FALSE))*D162</f>
        <v>0.22694004891035396</v>
      </c>
      <c r="K162" s="15">
        <f>VLOOKUP(A162,Demográfico!A$2:E$400,5,FALSE)/(VLOOKUP(C162,Controle!A$16:G$24,7,FALSE))*E162</f>
        <v>7.8545248740637827E-2</v>
      </c>
      <c r="L162" s="118">
        <f>((J162*(1+I162))+3*(I162+K162))/4</f>
        <v>0.69028064781995102</v>
      </c>
      <c r="M162" s="3">
        <v>1</v>
      </c>
      <c r="N162" s="88">
        <f>VLOOKUP(A162,Demográfico!A$2:E$400,5,FALSE)*I162</f>
        <v>1381.1481372996179</v>
      </c>
      <c r="O162" s="96">
        <f>FLOOR(L162,1)</f>
        <v>0</v>
      </c>
      <c r="P162" s="96">
        <f>L162-O162</f>
        <v>0.69028064781995102</v>
      </c>
      <c r="Q162" s="87">
        <f>RANK(P162,P$2:P$400,0)</f>
        <v>37</v>
      </c>
      <c r="R162" s="3">
        <f>O162+IF(Q162&lt;Q$1,1,0)</f>
        <v>1</v>
      </c>
      <c r="T162" s="87">
        <f>VLOOKUP(A162,Demográfico!A$2:E$400,5,FALSE)*(I162)</f>
        <v>1381.1481372996179</v>
      </c>
    </row>
    <row r="163" spans="1:20" ht="19.5" x14ac:dyDescent="0.25">
      <c r="A163" s="2" t="s">
        <v>168</v>
      </c>
      <c r="B163" s="37">
        <v>12004</v>
      </c>
      <c r="C163" s="4" t="str" cm="1">
        <f t="array" ref="C163">_xlfn.IFS(B163&lt;20000, "P1",B163&lt;40000, "P2",B163&lt;70000, "P3",B163&lt;100000, "P4",B163&lt;200000,"M1",B163&lt;500000,"M2",B163&lt;1000000,"G1",B163&gt;1000000,"G2")</f>
        <v>P1</v>
      </c>
      <c r="D163" s="13">
        <f>VLOOKUP(C163,Controle!A$2:H$9,8,FALSE)</f>
        <v>38.874046212109647</v>
      </c>
      <c r="E163" s="13">
        <f>VLOOKUP(C163,Controle!A$16:H$23,8,FALSE)</f>
        <v>13.454529704853227</v>
      </c>
      <c r="F163" s="5">
        <f>VLOOKUP(A163,Educacional!A$2:P$405,16,FALSE)</f>
        <v>58.524907946429309</v>
      </c>
      <c r="G163" s="6">
        <f>VLOOKUP(A163,Demográfico!A$2:L$405,12,FALSE)</f>
        <v>37.987122492118594</v>
      </c>
      <c r="H163" s="7">
        <f>VLOOKUP(A163,Socioeconômico!A$2:M$405,13,FALSE)</f>
        <v>49.235815480094544</v>
      </c>
      <c r="I163" s="16">
        <f>(2*F163+G163+2*H163)/5/100</f>
        <v>0.5070171386903326</v>
      </c>
      <c r="J163" s="15">
        <f>VLOOKUP(A163,Demográfico!A$2:E$400,5,FALSE)/(VLOOKUP(C163,Controle!A$2:G$9,7,FALSE))*D163</f>
        <v>0.17239953174056288</v>
      </c>
      <c r="K163" s="15">
        <f>VLOOKUP(A163,Demográfico!A$2:E$400,5,FALSE)/(VLOOKUP(C163,Controle!A$16:G$24,7,FALSE))*E163</f>
        <v>5.9668463844744467E-2</v>
      </c>
      <c r="L163" s="118">
        <f>((J163*(1+I163))+3*(I163+K163))/4</f>
        <v>0.48996646416011186</v>
      </c>
      <c r="M163" s="3">
        <v>1</v>
      </c>
      <c r="N163" s="88">
        <f>VLOOKUP(A163,Demográfico!A$2:E$400,5,FALSE)*I163</f>
        <v>746.83624529085989</v>
      </c>
      <c r="O163" s="96">
        <f>FLOOR(L163,1)</f>
        <v>0</v>
      </c>
      <c r="P163" s="96">
        <f>L163-O163</f>
        <v>0.48996646416011186</v>
      </c>
      <c r="Q163" s="87">
        <f>RANK(P163,P$2:P$400,0)</f>
        <v>169</v>
      </c>
      <c r="R163" s="3">
        <f>O163+IF(Q163&lt;Q$1,1,0)</f>
        <v>1</v>
      </c>
      <c r="T163" s="87">
        <f>VLOOKUP(A163,Demográfico!A$2:E$400,5,FALSE)*(I163)</f>
        <v>746.83624529085989</v>
      </c>
    </row>
    <row r="164" spans="1:20" ht="19.5" x14ac:dyDescent="0.25">
      <c r="A164" s="2" t="s">
        <v>169</v>
      </c>
      <c r="B164" s="37">
        <v>11945</v>
      </c>
      <c r="C164" s="4" t="str" cm="1">
        <f t="array" ref="C164">_xlfn.IFS(B164&lt;20000, "P1",B164&lt;40000, "P2",B164&lt;70000, "P3",B164&lt;100000, "P4",B164&lt;200000,"M1",B164&lt;500000,"M2",B164&lt;1000000,"G1",B164&gt;1000000,"G2")</f>
        <v>P1</v>
      </c>
      <c r="D164" s="13">
        <f>VLOOKUP(C164,Controle!A$2:H$9,8,FALSE)</f>
        <v>38.874046212109647</v>
      </c>
      <c r="E164" s="13">
        <f>VLOOKUP(C164,Controle!A$16:H$23,8,FALSE)</f>
        <v>13.454529704853227</v>
      </c>
      <c r="F164" s="5">
        <f>VLOOKUP(A164,Educacional!A$2:P$405,16,FALSE)</f>
        <v>40.474299605319906</v>
      </c>
      <c r="G164" s="6">
        <f>VLOOKUP(A164,Demográfico!A$2:L$405,12,FALSE)</f>
        <v>64.144509267279886</v>
      </c>
      <c r="H164" s="7">
        <f>VLOOKUP(A164,Socioeconômico!A$2:M$405,13,FALSE)</f>
        <v>20.634758149414196</v>
      </c>
      <c r="I164" s="16">
        <f>(2*F164+G164+2*H164)/5/100</f>
        <v>0.37272524955349623</v>
      </c>
      <c r="J164" s="15">
        <f>VLOOKUP(A164,Demográfico!A$2:E$400,5,FALSE)/(VLOOKUP(C164,Controle!A$2:G$9,7,FALSE))*D164</f>
        <v>0.18714653852896132</v>
      </c>
      <c r="K164" s="15">
        <f>VLOOKUP(A164,Demográfico!A$2:E$400,5,FALSE)/(VLOOKUP(C164,Controle!A$16:G$24,7,FALSE))*E164</f>
        <v>6.4772487228612619E-2</v>
      </c>
      <c r="L164" s="118">
        <f>((J164*(1+I164))+3*(I164+K164))/4</f>
        <v>0.39234849728789201</v>
      </c>
      <c r="M164" s="3">
        <v>0</v>
      </c>
      <c r="N164" s="88">
        <f>VLOOKUP(A164,Demográfico!A$2:E$400,5,FALSE)*I164</f>
        <v>595.98767403604052</v>
      </c>
      <c r="O164" s="96">
        <f>FLOOR(L164,1)</f>
        <v>0</v>
      </c>
      <c r="P164" s="96">
        <f>L164-O164</f>
        <v>0.39234849728789201</v>
      </c>
      <c r="Q164" s="87">
        <f>RANK(P164,P$2:P$400,0)</f>
        <v>295</v>
      </c>
      <c r="R164" s="3">
        <f>O164+IF(Q164&lt;Q$1,1,0)</f>
        <v>0</v>
      </c>
      <c r="T164" s="87">
        <f>VLOOKUP(A164,Demográfico!A$2:E$400,5,FALSE)*(I164)</f>
        <v>595.98767403604052</v>
      </c>
    </row>
    <row r="165" spans="1:20" ht="19.5" x14ac:dyDescent="0.25">
      <c r="A165" s="2" t="s">
        <v>170</v>
      </c>
      <c r="B165" s="37">
        <v>11886</v>
      </c>
      <c r="C165" s="4" t="str" cm="1">
        <f t="array" ref="C165">_xlfn.IFS(B165&lt;20000, "P1",B165&lt;40000, "P2",B165&lt;70000, "P3",B165&lt;100000, "P4",B165&lt;200000,"M1",B165&lt;500000,"M2",B165&lt;1000000,"G1",B165&gt;1000000,"G2")</f>
        <v>P1</v>
      </c>
      <c r="D165" s="13">
        <f>VLOOKUP(C165,Controle!A$2:H$9,8,FALSE)</f>
        <v>38.874046212109647</v>
      </c>
      <c r="E165" s="13">
        <f>VLOOKUP(C165,Controle!A$16:H$23,8,FALSE)</f>
        <v>13.454529704853227</v>
      </c>
      <c r="F165" s="5">
        <f>VLOOKUP(A165,Educacional!A$2:P$405,16,FALSE)</f>
        <v>52.153779237800691</v>
      </c>
      <c r="G165" s="6">
        <f>VLOOKUP(A165,Demográfico!A$2:L$405,12,FALSE)</f>
        <v>37.329843515497252</v>
      </c>
      <c r="H165" s="7">
        <f>VLOOKUP(A165,Socioeconômico!A$2:M$405,13,FALSE)</f>
        <v>25.39042380375087</v>
      </c>
      <c r="I165" s="16">
        <f>(2*F165+G165+2*H165)/5/100</f>
        <v>0.3848364991972007</v>
      </c>
      <c r="J165" s="15">
        <f>VLOOKUP(A165,Demográfico!A$2:E$400,5,FALSE)/(VLOOKUP(C165,Controle!A$2:G$9,7,FALSE))*D165</f>
        <v>0.1695905780665822</v>
      </c>
      <c r="K165" s="15">
        <f>VLOOKUP(A165,Demográfico!A$2:E$400,5,FALSE)/(VLOOKUP(C165,Controle!A$16:G$24,7,FALSE))*E165</f>
        <v>5.869626891448386E-2</v>
      </c>
      <c r="L165" s="118">
        <f>((J165*(1+I165))+3*(I165+K165))/4</f>
        <v>0.39136338169040225</v>
      </c>
      <c r="M165" s="3">
        <v>0</v>
      </c>
      <c r="N165" s="88">
        <f>VLOOKUP(A165,Demográfico!A$2:E$400,5,FALSE)*I165</f>
        <v>557.62808733674376</v>
      </c>
      <c r="O165" s="96">
        <f>FLOOR(L165,1)</f>
        <v>0</v>
      </c>
      <c r="P165" s="96">
        <f>L165-O165</f>
        <v>0.39136338169040225</v>
      </c>
      <c r="Q165" s="87">
        <f>RANK(P165,P$2:P$400,0)</f>
        <v>296</v>
      </c>
      <c r="R165" s="3">
        <f>O165+IF(Q165&lt;Q$1,1,0)</f>
        <v>0</v>
      </c>
      <c r="T165" s="87">
        <f>VLOOKUP(A165,Demográfico!A$2:E$400,5,FALSE)*(I165)</f>
        <v>557.62808733674376</v>
      </c>
    </row>
    <row r="166" spans="1:20" ht="19.5" x14ac:dyDescent="0.25">
      <c r="A166" s="2" t="s">
        <v>171</v>
      </c>
      <c r="B166" s="37">
        <v>11878</v>
      </c>
      <c r="C166" s="4" t="str" cm="1">
        <f t="array" ref="C166">_xlfn.IFS(B166&lt;20000, "P1",B166&lt;40000, "P2",B166&lt;70000, "P3",B166&lt;100000, "P4",B166&lt;200000,"M1",B166&lt;500000,"M2",B166&lt;1000000,"G1",B166&gt;1000000,"G2")</f>
        <v>P1</v>
      </c>
      <c r="D166" s="13">
        <f>VLOOKUP(C166,Controle!A$2:H$9,8,FALSE)</f>
        <v>38.874046212109647</v>
      </c>
      <c r="E166" s="13">
        <f>VLOOKUP(C166,Controle!A$16:H$23,8,FALSE)</f>
        <v>13.454529704853227</v>
      </c>
      <c r="F166" s="5">
        <f>VLOOKUP(A166,Educacional!A$2:P$405,16,FALSE)</f>
        <v>48.387299497823115</v>
      </c>
      <c r="G166" s="6">
        <f>VLOOKUP(A166,Demográfico!A$2:L$405,12,FALSE)</f>
        <v>34.4664216025635</v>
      </c>
      <c r="H166" s="7">
        <f>VLOOKUP(A166,Socioeconômico!A$2:M$405,13,FALSE)</f>
        <v>33.599485593282594</v>
      </c>
      <c r="I166" s="16">
        <f>(2*F166+G166+2*H166)/5/100</f>
        <v>0.39687998356954984</v>
      </c>
      <c r="J166" s="15">
        <f>VLOOKUP(A166,Demográfico!A$2:E$400,5,FALSE)/(VLOOKUP(C166,Controle!A$2:G$9,7,FALSE))*D166</f>
        <v>0.17122913437640425</v>
      </c>
      <c r="K166" s="15">
        <f>VLOOKUP(A166,Demográfico!A$2:E$400,5,FALSE)/(VLOOKUP(C166,Controle!A$16:G$24,7,FALSE))*E166</f>
        <v>5.9263382623802541E-2</v>
      </c>
      <c r="L166" s="118">
        <f>((J166*(1+I166))+3*(I166+K166))/4</f>
        <v>0.40190416224859921</v>
      </c>
      <c r="M166" s="3">
        <v>0</v>
      </c>
      <c r="N166" s="88">
        <f>VLOOKUP(A166,Demográfico!A$2:E$400,5,FALSE)*I166</f>
        <v>580.63541596225139</v>
      </c>
      <c r="O166" s="96">
        <f>FLOOR(L166,1)</f>
        <v>0</v>
      </c>
      <c r="P166" s="96">
        <f>L166-O166</f>
        <v>0.40190416224859921</v>
      </c>
      <c r="Q166" s="87">
        <f>RANK(P166,P$2:P$400,0)</f>
        <v>281</v>
      </c>
      <c r="R166" s="3">
        <f>O166+IF(Q166&lt;Q$1,1,0)</f>
        <v>0</v>
      </c>
      <c r="T166" s="87">
        <f>VLOOKUP(A166,Demográfico!A$2:E$400,5,FALSE)*(I166)</f>
        <v>580.63541596225139</v>
      </c>
    </row>
    <row r="167" spans="1:20" ht="19.5" x14ac:dyDescent="0.25">
      <c r="A167" s="2" t="s">
        <v>172</v>
      </c>
      <c r="B167" s="37">
        <v>11813</v>
      </c>
      <c r="C167" s="4" t="str" cm="1">
        <f t="array" ref="C167">_xlfn.IFS(B167&lt;20000, "P1",B167&lt;40000, "P2",B167&lt;70000, "P3",B167&lt;100000, "P4",B167&lt;200000,"M1",B167&lt;500000,"M2",B167&lt;1000000,"G1",B167&gt;1000000,"G2")</f>
        <v>P1</v>
      </c>
      <c r="D167" s="13">
        <f>VLOOKUP(C167,Controle!A$2:H$9,8,FALSE)</f>
        <v>38.874046212109647</v>
      </c>
      <c r="E167" s="13">
        <f>VLOOKUP(C167,Controle!A$16:H$23,8,FALSE)</f>
        <v>13.454529704853227</v>
      </c>
      <c r="F167" s="5">
        <f>VLOOKUP(A167,Educacional!A$2:P$405,16,FALSE)</f>
        <v>56.243668408767114</v>
      </c>
      <c r="G167" s="6">
        <f>VLOOKUP(A167,Demográfico!A$2:L$405,12,FALSE)</f>
        <v>58.455340459410223</v>
      </c>
      <c r="H167" s="7">
        <f>VLOOKUP(A167,Socioeconômico!A$2:M$405,13,FALSE)</f>
        <v>46.919197163674284</v>
      </c>
      <c r="I167" s="16">
        <f>(2*F167+G167+2*H167)/5/100</f>
        <v>0.52956214320858597</v>
      </c>
      <c r="J167" s="15">
        <f>VLOOKUP(A167,Demográfico!A$2:E$400,5,FALSE)/(VLOOKUP(C167,Controle!A$2:G$9,7,FALSE))*D167</f>
        <v>0.18328422722723792</v>
      </c>
      <c r="K167" s="15">
        <f>VLOOKUP(A167,Demográfico!A$2:E$400,5,FALSE)/(VLOOKUP(C167,Controle!A$16:G$24,7,FALSE))*E167</f>
        <v>6.3435719199504303E-2</v>
      </c>
      <c r="L167" s="118">
        <f>((J167*(1+I167))+3*(I167+K167))/4</f>
        <v>0.51483455065957362</v>
      </c>
      <c r="M167" s="3">
        <v>1</v>
      </c>
      <c r="N167" s="88">
        <f>VLOOKUP(A167,Demográfico!A$2:E$400,5,FALSE)*I167</f>
        <v>829.29431626464566</v>
      </c>
      <c r="O167" s="96">
        <f>FLOOR(L167,1)</f>
        <v>0</v>
      </c>
      <c r="P167" s="96">
        <f>L167-O167</f>
        <v>0.51483455065957362</v>
      </c>
      <c r="Q167" s="87">
        <f>RANK(P167,P$2:P$400,0)</f>
        <v>140</v>
      </c>
      <c r="R167" s="3">
        <f>O167+IF(Q167&lt;Q$1,1,0)</f>
        <v>1</v>
      </c>
      <c r="T167" s="87">
        <f>VLOOKUP(A167,Demográfico!A$2:E$400,5,FALSE)*(I167)</f>
        <v>829.29431626464566</v>
      </c>
    </row>
    <row r="168" spans="1:20" ht="19.5" x14ac:dyDescent="0.25">
      <c r="A168" s="2" t="s">
        <v>173</v>
      </c>
      <c r="B168" s="37">
        <v>11624</v>
      </c>
      <c r="C168" s="4" t="str" cm="1">
        <f t="array" ref="C168">_xlfn.IFS(B168&lt;20000, "P1",B168&lt;40000, "P2",B168&lt;70000, "P3",B168&lt;100000, "P4",B168&lt;200000,"M1",B168&lt;500000,"M2",B168&lt;1000000,"G1",B168&gt;1000000,"G2")</f>
        <v>P1</v>
      </c>
      <c r="D168" s="13">
        <f>VLOOKUP(C168,Controle!A$2:H$9,8,FALSE)</f>
        <v>38.874046212109647</v>
      </c>
      <c r="E168" s="13">
        <f>VLOOKUP(C168,Controle!A$16:H$23,8,FALSE)</f>
        <v>13.454529704853227</v>
      </c>
      <c r="F168" s="5">
        <f>VLOOKUP(A168,Educacional!A$2:P$405,16,FALSE)</f>
        <v>47.83663565596423</v>
      </c>
      <c r="G168" s="6">
        <f>VLOOKUP(A168,Demográfico!A$2:L$405,12,FALSE)</f>
        <v>27.953215920218849</v>
      </c>
      <c r="H168" s="7">
        <f>VLOOKUP(A168,Socioeconômico!A$2:M$405,13,FALSE)</f>
        <v>52.642063391101516</v>
      </c>
      <c r="I168" s="16">
        <f>(2*F168+G168+2*H168)/5/100</f>
        <v>0.45782122802870068</v>
      </c>
      <c r="J168" s="15">
        <f>VLOOKUP(A168,Demográfico!A$2:E$400,5,FALSE)/(VLOOKUP(C168,Controle!A$2:G$9,7,FALSE))*D168</f>
        <v>0.15355613417760927</v>
      </c>
      <c r="K168" s="15">
        <f>VLOOKUP(A168,Demográfico!A$2:E$400,5,FALSE)/(VLOOKUP(C168,Controle!A$16:G$24,7,FALSE))*E168</f>
        <v>5.3146656187579584E-2</v>
      </c>
      <c r="L168" s="118">
        <f>((J168*(1+I168))+3*(I168+K168))/4</f>
        <v>0.43919026118674581</v>
      </c>
      <c r="M168" s="3">
        <v>0</v>
      </c>
      <c r="N168" s="88">
        <f>VLOOKUP(A168,Demográfico!A$2:E$400,5,FALSE)*I168</f>
        <v>600.66145117365534</v>
      </c>
      <c r="O168" s="96">
        <f>FLOOR(L168,1)</f>
        <v>0</v>
      </c>
      <c r="P168" s="96">
        <f>L168-O168</f>
        <v>0.43919026118674581</v>
      </c>
      <c r="Q168" s="87">
        <f>RANK(P168,P$2:P$400,0)</f>
        <v>229</v>
      </c>
      <c r="R168" s="3">
        <f>O168+IF(Q168&lt;Q$1,1,0)</f>
        <v>0</v>
      </c>
      <c r="T168" s="87">
        <f>VLOOKUP(A168,Demográfico!A$2:E$400,5,FALSE)*(I168)</f>
        <v>600.66145117365534</v>
      </c>
    </row>
    <row r="169" spans="1:20" ht="19.5" x14ac:dyDescent="0.25">
      <c r="A169" s="2" t="s">
        <v>174</v>
      </c>
      <c r="B169" s="37">
        <v>11485</v>
      </c>
      <c r="C169" s="4" t="str" cm="1">
        <f t="array" ref="C169">_xlfn.IFS(B169&lt;20000, "P1",B169&lt;40000, "P2",B169&lt;70000, "P3",B169&lt;100000, "P4",B169&lt;200000,"M1",B169&lt;500000,"M2",B169&lt;1000000,"G1",B169&gt;1000000,"G2")</f>
        <v>P1</v>
      </c>
      <c r="D169" s="13">
        <f>VLOOKUP(C169,Controle!A$2:H$9,8,FALSE)</f>
        <v>38.874046212109647</v>
      </c>
      <c r="E169" s="13">
        <f>VLOOKUP(C169,Controle!A$16:H$23,8,FALSE)</f>
        <v>13.454529704853227</v>
      </c>
      <c r="F169" s="5">
        <f>VLOOKUP(A169,Educacional!A$2:P$405,16,FALSE)</f>
        <v>35.137114607743264</v>
      </c>
      <c r="G169" s="6">
        <f>VLOOKUP(A169,Demográfico!A$2:L$405,12,FALSE)</f>
        <v>58.862433609244633</v>
      </c>
      <c r="H169" s="7">
        <f>VLOOKUP(A169,Socioeconômico!A$2:M$405,13,FALSE)</f>
        <v>17.154508918167384</v>
      </c>
      <c r="I169" s="16">
        <f>(2*F169+G169+2*H169)/5/100</f>
        <v>0.32689136132213187</v>
      </c>
      <c r="J169" s="15">
        <f>VLOOKUP(A169,Demográfico!A$2:E$400,5,FALSE)/(VLOOKUP(C169,Controle!A$2:G$9,7,FALSE))*D169</f>
        <v>0.19334964455900192</v>
      </c>
      <c r="K169" s="15">
        <f>VLOOKUP(A169,Demográfico!A$2:E$400,5,FALSE)/(VLOOKUP(C169,Controle!A$16:G$24,7,FALSE))*E169</f>
        <v>6.6919417699604786E-2</v>
      </c>
      <c r="L169" s="118">
        <f>((J169*(1+I169))+3*(I169+K169))/4</f>
        <v>0.35949657753631359</v>
      </c>
      <c r="M169" s="3">
        <v>0</v>
      </c>
      <c r="N169" s="88">
        <f>VLOOKUP(A169,Demográfico!A$2:E$400,5,FALSE)*I169</f>
        <v>540.0245289041618</v>
      </c>
      <c r="O169" s="96">
        <f>FLOOR(L169,1)</f>
        <v>0</v>
      </c>
      <c r="P169" s="96">
        <f>L169-O169</f>
        <v>0.35949657753631359</v>
      </c>
      <c r="Q169" s="87">
        <f>RANK(P169,P$2:P$400,0)</f>
        <v>320</v>
      </c>
      <c r="R169" s="3">
        <f>O169+IF(Q169&lt;Q$1,1,0)</f>
        <v>0</v>
      </c>
      <c r="T169" s="87">
        <f>VLOOKUP(A169,Demográfico!A$2:E$400,5,FALSE)*(I169)</f>
        <v>540.0245289041618</v>
      </c>
    </row>
    <row r="170" spans="1:20" ht="19.5" x14ac:dyDescent="0.25">
      <c r="A170" s="2" t="s">
        <v>175</v>
      </c>
      <c r="B170" s="37">
        <v>11467</v>
      </c>
      <c r="C170" s="4" t="str" cm="1">
        <f t="array" ref="C170">_xlfn.IFS(B170&lt;20000, "P1",B170&lt;40000, "P2",B170&lt;70000, "P3",B170&lt;100000, "P4",B170&lt;200000,"M1",B170&lt;500000,"M2",B170&lt;1000000,"G1",B170&gt;1000000,"G2")</f>
        <v>P1</v>
      </c>
      <c r="D170" s="13">
        <f>VLOOKUP(C170,Controle!A$2:H$9,8,FALSE)</f>
        <v>38.874046212109647</v>
      </c>
      <c r="E170" s="13">
        <f>VLOOKUP(C170,Controle!A$16:H$23,8,FALSE)</f>
        <v>13.454529704853227</v>
      </c>
      <c r="F170" s="5">
        <f>VLOOKUP(A170,Educacional!A$2:P$405,16,FALSE)</f>
        <v>42.297664016494764</v>
      </c>
      <c r="G170" s="6">
        <f>VLOOKUP(A170,Demográfico!A$2:L$405,12,FALSE)</f>
        <v>53.187900285024071</v>
      </c>
      <c r="H170" s="7">
        <f>VLOOKUP(A170,Socioeconômico!A$2:M$405,13,FALSE)</f>
        <v>29.728442357685264</v>
      </c>
      <c r="I170" s="16">
        <f>(2*F170+G170+2*H170)/5/100</f>
        <v>0.39448022606676825</v>
      </c>
      <c r="J170" s="15">
        <f>VLOOKUP(A170,Demográfico!A$2:E$400,5,FALSE)/(VLOOKUP(C170,Controle!A$2:G$9,7,FALSE))*D170</f>
        <v>0.18070935302608898</v>
      </c>
      <c r="K170" s="15">
        <f>VLOOKUP(A170,Demográfico!A$2:E$400,5,FALSE)/(VLOOKUP(C170,Controle!A$16:G$24,7,FALSE))*E170</f>
        <v>6.254454051343207E-2</v>
      </c>
      <c r="L170" s="118">
        <f>((J170*(1+I170))+3*(I170+K170))/4</f>
        <v>0.40576747980020023</v>
      </c>
      <c r="M170" s="3">
        <v>0</v>
      </c>
      <c r="N170" s="88">
        <f>VLOOKUP(A170,Demográfico!A$2:E$400,5,FALSE)*I170</f>
        <v>609.07746904709018</v>
      </c>
      <c r="O170" s="96">
        <f>FLOOR(L170,1)</f>
        <v>0</v>
      </c>
      <c r="P170" s="96">
        <f>L170-O170</f>
        <v>0.40576747980020023</v>
      </c>
      <c r="Q170" s="87">
        <f>RANK(P170,P$2:P$400,0)</f>
        <v>277</v>
      </c>
      <c r="R170" s="3">
        <f>O170+IF(Q170&lt;Q$1,1,0)</f>
        <v>0</v>
      </c>
      <c r="T170" s="87">
        <f>VLOOKUP(A170,Demográfico!A$2:E$400,5,FALSE)*(I170)</f>
        <v>609.07746904709018</v>
      </c>
    </row>
    <row r="171" spans="1:20" ht="19.5" x14ac:dyDescent="0.25">
      <c r="A171" s="2" t="s">
        <v>176</v>
      </c>
      <c r="B171" s="37">
        <v>11446</v>
      </c>
      <c r="C171" s="4" t="str" cm="1">
        <f t="array" ref="C171">_xlfn.IFS(B171&lt;20000, "P1",B171&lt;40000, "P2",B171&lt;70000, "P3",B171&lt;100000, "P4",B171&lt;200000,"M1",B171&lt;500000,"M2",B171&lt;1000000,"G1",B171&gt;1000000,"G2")</f>
        <v>P1</v>
      </c>
      <c r="D171" s="13">
        <f>VLOOKUP(C171,Controle!A$2:H$9,8,FALSE)</f>
        <v>38.874046212109647</v>
      </c>
      <c r="E171" s="13">
        <f>VLOOKUP(C171,Controle!A$16:H$23,8,FALSE)</f>
        <v>13.454529704853227</v>
      </c>
      <c r="F171" s="5">
        <f>VLOOKUP(A171,Educacional!A$2:P$405,16,FALSE)</f>
        <v>54.806494965027454</v>
      </c>
      <c r="G171" s="6">
        <f>VLOOKUP(A171,Demográfico!A$2:L$405,12,FALSE)</f>
        <v>35.115017417613572</v>
      </c>
      <c r="H171" s="7">
        <f>VLOOKUP(A171,Socioeconômico!A$2:M$405,13,FALSE)</f>
        <v>56.013656485943827</v>
      </c>
      <c r="I171" s="16">
        <f>(2*F171+G171+2*H171)/5/100</f>
        <v>0.51351064063911234</v>
      </c>
      <c r="J171" s="15">
        <f>VLOOKUP(A171,Demográfico!A$2:E$400,5,FALSE)/(VLOOKUP(C171,Controle!A$2:G$9,7,FALSE))*D171</f>
        <v>0.17216545226773114</v>
      </c>
      <c r="K171" s="15">
        <f>VLOOKUP(A171,Demográfico!A$2:E$400,5,FALSE)/(VLOOKUP(C171,Controle!A$16:G$24,7,FALSE))*E171</f>
        <v>5.9587447600556079E-2</v>
      </c>
      <c r="L171" s="118">
        <f>((J171*(1+I171))+3*(I171+K171))/4</f>
        <v>0.49496712716916547</v>
      </c>
      <c r="M171" s="3">
        <v>1</v>
      </c>
      <c r="N171" s="88">
        <f>VLOOKUP(A171,Demográfico!A$2:E$400,5,FALSE)*I171</f>
        <v>755.37415238013421</v>
      </c>
      <c r="O171" s="96">
        <f>FLOOR(L171,1)</f>
        <v>0</v>
      </c>
      <c r="P171" s="96">
        <f>L171-O171</f>
        <v>0.49496712716916547</v>
      </c>
      <c r="Q171" s="87">
        <f>RANK(P171,P$2:P$400,0)</f>
        <v>162</v>
      </c>
      <c r="R171" s="3">
        <f>O171+IF(Q171&lt;Q$1,1,0)</f>
        <v>1</v>
      </c>
      <c r="T171" s="87">
        <f>VLOOKUP(A171,Demográfico!A$2:E$400,5,FALSE)*(I171)</f>
        <v>755.37415238013421</v>
      </c>
    </row>
    <row r="172" spans="1:20" ht="19.5" x14ac:dyDescent="0.25">
      <c r="A172" s="2" t="s">
        <v>177</v>
      </c>
      <c r="B172" s="37">
        <v>11378</v>
      </c>
      <c r="C172" s="4" t="str" cm="1">
        <f t="array" ref="C172">_xlfn.IFS(B172&lt;20000, "P1",B172&lt;40000, "P2",B172&lt;70000, "P3",B172&lt;100000, "P4",B172&lt;200000,"M1",B172&lt;500000,"M2",B172&lt;1000000,"G1",B172&gt;1000000,"G2")</f>
        <v>P1</v>
      </c>
      <c r="D172" s="13">
        <f>VLOOKUP(C172,Controle!A$2:H$9,8,FALSE)</f>
        <v>38.874046212109647</v>
      </c>
      <c r="E172" s="13">
        <f>VLOOKUP(C172,Controle!A$16:H$23,8,FALSE)</f>
        <v>13.454529704853227</v>
      </c>
      <c r="F172" s="5">
        <f>VLOOKUP(A172,Educacional!A$2:P$405,16,FALSE)</f>
        <v>25.241835112003802</v>
      </c>
      <c r="G172" s="6">
        <f>VLOOKUP(A172,Demográfico!A$2:L$405,12,FALSE)</f>
        <v>39.516684484949735</v>
      </c>
      <c r="H172" s="7">
        <f>VLOOKUP(A172,Socioeconômico!A$2:M$405,13,FALSE)</f>
        <v>31.520378602639127</v>
      </c>
      <c r="I172" s="16">
        <f>(2*F172+G172+2*H172)/5/100</f>
        <v>0.30608222382847117</v>
      </c>
      <c r="J172" s="15">
        <f>VLOOKUP(A172,Demográfico!A$2:E$400,5,FALSE)/(VLOOKUP(C172,Controle!A$2:G$9,7,FALSE))*D172</f>
        <v>0.16081259783539265</v>
      </c>
      <c r="K172" s="15">
        <f>VLOOKUP(A172,Demográfico!A$2:E$400,5,FALSE)/(VLOOKUP(C172,Controle!A$16:G$24,7,FALSE))*E172</f>
        <v>5.5658159757419473E-2</v>
      </c>
      <c r="L172" s="118">
        <f>((J172*(1+I172))+3*(I172+K172))/4</f>
        <v>0.32381390653953879</v>
      </c>
      <c r="M172" s="3">
        <v>0</v>
      </c>
      <c r="N172" s="88">
        <f>VLOOKUP(A172,Demográfico!A$2:E$400,5,FALSE)*I172</f>
        <v>420.5569755403194</v>
      </c>
      <c r="O172" s="96">
        <f>FLOOR(L172,1)</f>
        <v>0</v>
      </c>
      <c r="P172" s="96">
        <f>L172-O172</f>
        <v>0.32381390653953879</v>
      </c>
      <c r="Q172" s="87">
        <f>RANK(P172,P$2:P$400,0)</f>
        <v>347</v>
      </c>
      <c r="R172" s="3">
        <f>O172+IF(Q172&lt;Q$1,1,0)</f>
        <v>0</v>
      </c>
      <c r="T172" s="87">
        <f>VLOOKUP(A172,Demográfico!A$2:E$400,5,FALSE)*(I172)</f>
        <v>420.5569755403194</v>
      </c>
    </row>
    <row r="173" spans="1:20" ht="19.5" x14ac:dyDescent="0.25">
      <c r="A173" s="2" t="s">
        <v>178</v>
      </c>
      <c r="B173" s="37">
        <v>11251</v>
      </c>
      <c r="C173" s="4" t="str" cm="1">
        <f t="array" ref="C173">_xlfn.IFS(B173&lt;20000, "P1",B173&lt;40000, "P2",B173&lt;70000, "P3",B173&lt;100000, "P4",B173&lt;200000,"M1",B173&lt;500000,"M2",B173&lt;1000000,"G1",B173&gt;1000000,"G2")</f>
        <v>P1</v>
      </c>
      <c r="D173" s="13">
        <f>VLOOKUP(C173,Controle!A$2:H$9,8,FALSE)</f>
        <v>38.874046212109647</v>
      </c>
      <c r="E173" s="13">
        <f>VLOOKUP(C173,Controle!A$16:H$23,8,FALSE)</f>
        <v>13.454529704853227</v>
      </c>
      <c r="F173" s="5">
        <f>VLOOKUP(A173,Educacional!A$2:P$405,16,FALSE)</f>
        <v>63.137807971349368</v>
      </c>
      <c r="G173" s="6">
        <f>VLOOKUP(A173,Demográfico!A$2:L$405,12,FALSE)</f>
        <v>45.864739173678295</v>
      </c>
      <c r="H173" s="7">
        <f>VLOOKUP(A173,Socioeconômico!A$2:M$405,13,FALSE)</f>
        <v>42.779209117392078</v>
      </c>
      <c r="I173" s="16">
        <f>(2*F173+G173+2*H173)/5/100</f>
        <v>0.51539754670232241</v>
      </c>
      <c r="J173" s="15">
        <f>VLOOKUP(A173,Demográfico!A$2:E$400,5,FALSE)/(VLOOKUP(C173,Controle!A$2:G$9,7,FALSE))*D173</f>
        <v>0.16678162439260152</v>
      </c>
      <c r="K173" s="15">
        <f>VLOOKUP(A173,Demográfico!A$2:E$400,5,FALSE)/(VLOOKUP(C173,Controle!A$16:G$24,7,FALSE))*E173</f>
        <v>5.7724073984223252E-2</v>
      </c>
      <c r="L173" s="118">
        <f>((J173*(1+I173))+3*(I173+K173))/4</f>
        <v>0.49302633162480342</v>
      </c>
      <c r="M173" s="3">
        <v>1</v>
      </c>
      <c r="N173" s="88">
        <f>VLOOKUP(A173,Demográfico!A$2:E$400,5,FALSE)*I173</f>
        <v>734.44150405080939</v>
      </c>
      <c r="O173" s="96">
        <f>FLOOR(L173,1)</f>
        <v>0</v>
      </c>
      <c r="P173" s="96">
        <f>L173-O173</f>
        <v>0.49302633162480342</v>
      </c>
      <c r="Q173" s="87">
        <f>RANK(P173,P$2:P$400,0)</f>
        <v>167</v>
      </c>
      <c r="R173" s="3">
        <f>O173+IF(Q173&lt;Q$1,1,0)</f>
        <v>1</v>
      </c>
      <c r="T173" s="87">
        <f>VLOOKUP(A173,Demográfico!A$2:E$400,5,FALSE)*(I173)</f>
        <v>734.44150405080939</v>
      </c>
    </row>
    <row r="174" spans="1:20" ht="19.5" x14ac:dyDescent="0.25">
      <c r="A174" s="2" t="s">
        <v>179</v>
      </c>
      <c r="B174" s="37">
        <v>11175</v>
      </c>
      <c r="C174" s="4" t="str" cm="1">
        <f t="array" ref="C174">_xlfn.IFS(B174&lt;20000, "P1",B174&lt;40000, "P2",B174&lt;70000, "P3",B174&lt;100000, "P4",B174&lt;200000,"M1",B174&lt;500000,"M2",B174&lt;1000000,"G1",B174&gt;1000000,"G2")</f>
        <v>P1</v>
      </c>
      <c r="D174" s="13">
        <f>VLOOKUP(C174,Controle!A$2:H$9,8,FALSE)</f>
        <v>38.874046212109647</v>
      </c>
      <c r="E174" s="13">
        <f>VLOOKUP(C174,Controle!A$16:H$23,8,FALSE)</f>
        <v>13.454529704853227</v>
      </c>
      <c r="F174" s="5">
        <f>VLOOKUP(A174,Educacional!A$2:P$405,16,FALSE)</f>
        <v>59.533621066101283</v>
      </c>
      <c r="G174" s="6">
        <f>VLOOKUP(A174,Demográfico!A$2:L$405,12,FALSE)</f>
        <v>42.570102297556367</v>
      </c>
      <c r="H174" s="7">
        <f>VLOOKUP(A174,Socioeconômico!A$2:M$405,13,FALSE)</f>
        <v>52.065497302454702</v>
      </c>
      <c r="I174" s="16">
        <f>(2*F174+G174+2*H174)/5/100</f>
        <v>0.53153667806933658</v>
      </c>
      <c r="J174" s="15">
        <f>VLOOKUP(A174,Demográfico!A$2:E$400,5,FALSE)/(VLOOKUP(C174,Controle!A$2:G$9,7,FALSE))*D174</f>
        <v>0.15496061101459963</v>
      </c>
      <c r="K174" s="15">
        <f>VLOOKUP(A174,Demográfico!A$2:E$400,5,FALSE)/(VLOOKUP(C174,Controle!A$16:G$24,7,FALSE))*E174</f>
        <v>5.3632753652709891E-2</v>
      </c>
      <c r="L174" s="118">
        <f>((J174*(1+I174))+3*(I174+K174))/4</f>
        <v>0.49820903864775851</v>
      </c>
      <c r="M174" s="3">
        <v>1</v>
      </c>
      <c r="N174" s="88">
        <f>VLOOKUP(A174,Demográfico!A$2:E$400,5,FALSE)*I174</f>
        <v>703.75456176380158</v>
      </c>
      <c r="O174" s="96">
        <f>FLOOR(L174,1)</f>
        <v>0</v>
      </c>
      <c r="P174" s="96">
        <f>L174-O174</f>
        <v>0.49820903864775851</v>
      </c>
      <c r="Q174" s="87">
        <f>RANK(P174,P$2:P$400,0)</f>
        <v>155</v>
      </c>
      <c r="R174" s="3">
        <f>O174+IF(Q174&lt;Q$1,1,0)</f>
        <v>1</v>
      </c>
      <c r="T174" s="87">
        <f>VLOOKUP(A174,Demográfico!A$2:E$400,5,FALSE)*(I174)</f>
        <v>703.75456176380158</v>
      </c>
    </row>
    <row r="175" spans="1:20" ht="19.5" x14ac:dyDescent="0.25">
      <c r="A175" s="2" t="s">
        <v>180</v>
      </c>
      <c r="B175" s="37">
        <v>11135</v>
      </c>
      <c r="C175" s="4" t="str" cm="1">
        <f t="array" ref="C175">_xlfn.IFS(B175&lt;20000, "P1",B175&lt;40000, "P2",B175&lt;70000, "P3",B175&lt;100000, "P4",B175&lt;200000,"M1",B175&lt;500000,"M2",B175&lt;1000000,"G1",B175&gt;1000000,"G2")</f>
        <v>P1</v>
      </c>
      <c r="D175" s="13">
        <f>VLOOKUP(C175,Controle!A$2:H$9,8,FALSE)</f>
        <v>38.874046212109647</v>
      </c>
      <c r="E175" s="13">
        <f>VLOOKUP(C175,Controle!A$16:H$23,8,FALSE)</f>
        <v>13.454529704853227</v>
      </c>
      <c r="F175" s="5">
        <f>VLOOKUP(A175,Educacional!A$2:P$405,16,FALSE)</f>
        <v>54.968121452854604</v>
      </c>
      <c r="G175" s="6">
        <f>VLOOKUP(A175,Demográfico!A$2:L$405,12,FALSE)</f>
        <v>56.641571360945541</v>
      </c>
      <c r="H175" s="7">
        <f>VLOOKUP(A175,Socioeconômico!A$2:M$405,13,FALSE)</f>
        <v>52.010339167790946</v>
      </c>
      <c r="I175" s="16">
        <f>(2*F175+G175+2*H175)/5/100</f>
        <v>0.54119698520447335</v>
      </c>
      <c r="J175" s="15">
        <f>VLOOKUP(A175,Demográfico!A$2:E$400,5,FALSE)/(VLOOKUP(C175,Controle!A$2:G$9,7,FALSE))*D175</f>
        <v>0.1782515185613559</v>
      </c>
      <c r="K175" s="15">
        <f>VLOOKUP(A175,Demográfico!A$2:E$400,5,FALSE)/(VLOOKUP(C175,Controle!A$16:G$24,7,FALSE))*E175</f>
        <v>6.1693869949454049E-2</v>
      </c>
      <c r="L175" s="118">
        <f>((J175*(1+I175))+3*(I175+K175))/4</f>
        <v>0.52084831711916579</v>
      </c>
      <c r="M175" s="3">
        <v>1</v>
      </c>
      <c r="N175" s="88">
        <f>VLOOKUP(A175,Demográfico!A$2:E$400,5,FALSE)*I175</f>
        <v>824.2430084664129</v>
      </c>
      <c r="O175" s="96">
        <f>FLOOR(L175,1)</f>
        <v>0</v>
      </c>
      <c r="P175" s="96">
        <f>L175-O175</f>
        <v>0.52084831711916579</v>
      </c>
      <c r="Q175" s="87">
        <f>RANK(P175,P$2:P$400,0)</f>
        <v>134</v>
      </c>
      <c r="R175" s="3">
        <f>O175+IF(Q175&lt;Q$1,1,0)</f>
        <v>1</v>
      </c>
      <c r="T175" s="87">
        <f>VLOOKUP(A175,Demográfico!A$2:E$400,5,FALSE)*(I175)</f>
        <v>824.2430084664129</v>
      </c>
    </row>
    <row r="176" spans="1:20" ht="19.5" x14ac:dyDescent="0.25">
      <c r="A176" s="2" t="s">
        <v>181</v>
      </c>
      <c r="B176" s="37">
        <v>11087</v>
      </c>
      <c r="C176" s="4" t="str" cm="1">
        <f t="array" ref="C176">_xlfn.IFS(B176&lt;20000, "P1",B176&lt;40000, "P2",B176&lt;70000, "P3",B176&lt;100000, "P4",B176&lt;200000,"M1",B176&lt;500000,"M2",B176&lt;1000000,"G1",B176&gt;1000000,"G2")</f>
        <v>P1</v>
      </c>
      <c r="D176" s="13">
        <f>VLOOKUP(C176,Controle!A$2:H$9,8,FALSE)</f>
        <v>38.874046212109647</v>
      </c>
      <c r="E176" s="13">
        <f>VLOOKUP(C176,Controle!A$16:H$23,8,FALSE)</f>
        <v>13.454529704853227</v>
      </c>
      <c r="F176" s="5">
        <f>VLOOKUP(A176,Educacional!A$2:P$405,16,FALSE)</f>
        <v>52.345677970173391</v>
      </c>
      <c r="G176" s="6">
        <f>VLOOKUP(A176,Demográfico!A$2:L$405,12,FALSE)</f>
        <v>30.802526559737458</v>
      </c>
      <c r="H176" s="7">
        <f>VLOOKUP(A176,Socioeconômico!A$2:M$405,13,FALSE)</f>
        <v>23.797600338713057</v>
      </c>
      <c r="I176" s="16">
        <f>(2*F176+G176+2*H176)/5/100</f>
        <v>0.36617816635502065</v>
      </c>
      <c r="J176" s="15">
        <f>VLOOKUP(A176,Demográfico!A$2:E$400,5,FALSE)/(VLOOKUP(C176,Controle!A$2:G$9,7,FALSE))*D176</f>
        <v>0.15589692890592649</v>
      </c>
      <c r="K176" s="15">
        <f>VLOOKUP(A176,Demográfico!A$2:E$400,5,FALSE)/(VLOOKUP(C176,Controle!A$16:G$24,7,FALSE))*E176</f>
        <v>5.3956818629463416E-2</v>
      </c>
      <c r="L176" s="118">
        <f>((J176*(1+I176))+3*(I176+K176))/4</f>
        <v>0.36834698385663245</v>
      </c>
      <c r="M176" s="3">
        <v>0</v>
      </c>
      <c r="N176" s="88">
        <f>VLOOKUP(A176,Demográfico!A$2:E$400,5,FALSE)*I176</f>
        <v>487.74931758488754</v>
      </c>
      <c r="O176" s="96">
        <f>FLOOR(L176,1)</f>
        <v>0</v>
      </c>
      <c r="P176" s="96">
        <f>L176-O176</f>
        <v>0.36834698385663245</v>
      </c>
      <c r="Q176" s="87">
        <f>RANK(P176,P$2:P$400,0)</f>
        <v>314</v>
      </c>
      <c r="R176" s="3">
        <f>O176+IF(Q176&lt;Q$1,1,0)</f>
        <v>0</v>
      </c>
      <c r="T176" s="87">
        <f>VLOOKUP(A176,Demográfico!A$2:E$400,5,FALSE)*(I176)</f>
        <v>487.74931758488754</v>
      </c>
    </row>
    <row r="177" spans="1:20" ht="19.5" x14ac:dyDescent="0.25">
      <c r="A177" s="2" t="s">
        <v>182</v>
      </c>
      <c r="B177" s="37">
        <v>11066</v>
      </c>
      <c r="C177" s="4" t="str" cm="1">
        <f t="array" ref="C177">_xlfn.IFS(B177&lt;20000, "P1",B177&lt;40000, "P2",B177&lt;70000, "P3",B177&lt;100000, "P4",B177&lt;200000,"M1",B177&lt;500000,"M2",B177&lt;1000000,"G1",B177&gt;1000000,"G2")</f>
        <v>P1</v>
      </c>
      <c r="D177" s="13">
        <f>VLOOKUP(C177,Controle!A$2:H$9,8,FALSE)</f>
        <v>38.874046212109647</v>
      </c>
      <c r="E177" s="13">
        <f>VLOOKUP(C177,Controle!A$16:H$23,8,FALSE)</f>
        <v>13.454529704853227</v>
      </c>
      <c r="F177" s="5">
        <f>VLOOKUP(A177,Educacional!A$2:P$405,16,FALSE)</f>
        <v>48.864531246807047</v>
      </c>
      <c r="G177" s="6">
        <f>VLOOKUP(A177,Demográfico!A$2:L$405,12,FALSE)</f>
        <v>55.64640408043303</v>
      </c>
      <c r="H177" s="7">
        <f>VLOOKUP(A177,Socioeconômico!A$2:M$405,13,FALSE)</f>
        <v>55.632793070335509</v>
      </c>
      <c r="I177" s="16">
        <f>(2*F177+G177+2*H177)/5/100</f>
        <v>0.52928210542943632</v>
      </c>
      <c r="J177" s="15">
        <f>VLOOKUP(A177,Demográfico!A$2:E$400,5,FALSE)/(VLOOKUP(C177,Controle!A$2:G$9,7,FALSE))*D177</f>
        <v>0.15016198182154933</v>
      </c>
      <c r="K177" s="15">
        <f>VLOOKUP(A177,Demográfico!A$2:E$400,5,FALSE)/(VLOOKUP(C177,Controle!A$16:G$24,7,FALSE))*E177</f>
        <v>5.1971920646848024E-2</v>
      </c>
      <c r="L177" s="118">
        <f>((J177*(1+I177))+3*(I177+K177))/4</f>
        <v>0.49335052748609221</v>
      </c>
      <c r="M177" s="3">
        <v>1</v>
      </c>
      <c r="N177" s="88">
        <f>VLOOKUP(A177,Demográfico!A$2:E$400,5,FALSE)*I177</f>
        <v>679.06894126596683</v>
      </c>
      <c r="O177" s="96">
        <f>FLOOR(L177,1)</f>
        <v>0</v>
      </c>
      <c r="P177" s="96">
        <f>L177-O177</f>
        <v>0.49335052748609221</v>
      </c>
      <c r="Q177" s="87">
        <f>RANK(P177,P$2:P$400,0)</f>
        <v>166</v>
      </c>
      <c r="R177" s="3">
        <f>O177+IF(Q177&lt;Q$1,1,0)</f>
        <v>1</v>
      </c>
      <c r="T177" s="87">
        <f>VLOOKUP(A177,Demográfico!A$2:E$400,5,FALSE)*(I177)</f>
        <v>679.06894126596683</v>
      </c>
    </row>
    <row r="178" spans="1:20" ht="19.5" x14ac:dyDescent="0.25">
      <c r="A178" s="2" t="s">
        <v>183</v>
      </c>
      <c r="B178" s="37">
        <v>11064</v>
      </c>
      <c r="C178" s="4" t="str" cm="1">
        <f t="array" ref="C178">_xlfn.IFS(B178&lt;20000, "P1",B178&lt;40000, "P2",B178&lt;70000, "P3",B178&lt;100000, "P4",B178&lt;200000,"M1",B178&lt;500000,"M2",B178&lt;1000000,"G1",B178&gt;1000000,"G2")</f>
        <v>P1</v>
      </c>
      <c r="D178" s="13">
        <f>VLOOKUP(C178,Controle!A$2:H$9,8,FALSE)</f>
        <v>38.874046212109647</v>
      </c>
      <c r="E178" s="13">
        <f>VLOOKUP(C178,Controle!A$16:H$23,8,FALSE)</f>
        <v>13.454529704853227</v>
      </c>
      <c r="F178" s="5">
        <f>VLOOKUP(A178,Educacional!A$2:P$405,16,FALSE)</f>
        <v>51.249337293796749</v>
      </c>
      <c r="G178" s="6">
        <f>VLOOKUP(A178,Demográfico!A$2:L$405,12,FALSE)</f>
        <v>35.915950858881999</v>
      </c>
      <c r="H178" s="7">
        <f>VLOOKUP(A178,Socioeconômico!A$2:M$405,13,FALSE)</f>
        <v>38.537258143412814</v>
      </c>
      <c r="I178" s="16">
        <f>(2*F178+G178+2*H178)/5/100</f>
        <v>0.43097828346660222</v>
      </c>
      <c r="J178" s="15">
        <f>VLOOKUP(A178,Demográfico!A$2:E$400,5,FALSE)/(VLOOKUP(C178,Controle!A$2:G$9,7,FALSE))*D178</f>
        <v>0.15858884284349128</v>
      </c>
      <c r="K178" s="15">
        <f>VLOOKUP(A178,Demográfico!A$2:E$400,5,FALSE)/(VLOOKUP(C178,Controle!A$16:G$24,7,FALSE))*E178</f>
        <v>5.4888505437629832E-2</v>
      </c>
      <c r="L178" s="118">
        <f>((J178*(1+I178))+3*(I178+K178))/4</f>
        <v>0.42113438920545754</v>
      </c>
      <c r="M178" s="3">
        <v>1</v>
      </c>
      <c r="N178" s="88">
        <f>VLOOKUP(A178,Demográfico!A$2:E$400,5,FALSE)*I178</f>
        <v>583.97557409724595</v>
      </c>
      <c r="O178" s="96">
        <f>FLOOR(L178,1)</f>
        <v>0</v>
      </c>
      <c r="P178" s="96">
        <f>L178-O178</f>
        <v>0.42113438920545754</v>
      </c>
      <c r="Q178" s="87">
        <f>RANK(P178,P$2:P$400,0)</f>
        <v>254</v>
      </c>
      <c r="R178" s="3">
        <f>O178+IF(Q178&lt;Q$1,1,0)</f>
        <v>0</v>
      </c>
      <c r="T178" s="87">
        <f>VLOOKUP(A178,Demográfico!A$2:E$400,5,FALSE)*(I178)</f>
        <v>583.97557409724595</v>
      </c>
    </row>
    <row r="179" spans="1:20" ht="19.5" x14ac:dyDescent="0.25">
      <c r="A179" s="2" t="s">
        <v>184</v>
      </c>
      <c r="B179" s="37">
        <v>11062</v>
      </c>
      <c r="C179" s="4" t="str" cm="1">
        <f t="array" ref="C179">_xlfn.IFS(B179&lt;20000, "P1",B179&lt;40000, "P2",B179&lt;70000, "P3",B179&lt;100000, "P4",B179&lt;200000,"M1",B179&lt;500000,"M2",B179&lt;1000000,"G1",B179&gt;1000000,"G2")</f>
        <v>P1</v>
      </c>
      <c r="D179" s="13">
        <f>VLOOKUP(C179,Controle!A$2:H$9,8,FALSE)</f>
        <v>38.874046212109647</v>
      </c>
      <c r="E179" s="13">
        <f>VLOOKUP(C179,Controle!A$16:H$23,8,FALSE)</f>
        <v>13.454529704853227</v>
      </c>
      <c r="F179" s="5">
        <f>VLOOKUP(A179,Educacional!A$2:P$405,16,FALSE)</f>
        <v>87.413275421155262</v>
      </c>
      <c r="G179" s="6">
        <f>VLOOKUP(A179,Demográfico!A$2:L$405,12,FALSE)</f>
        <v>56.086844526614179</v>
      </c>
      <c r="H179" s="7">
        <f>VLOOKUP(A179,Socioeconômico!A$2:M$405,13,FALSE)</f>
        <v>63.789404723478548</v>
      </c>
      <c r="I179" s="16">
        <f>(2*F179+G179+2*H179)/5/100</f>
        <v>0.71698440963176358</v>
      </c>
      <c r="J179" s="15">
        <f>VLOOKUP(A179,Demográfico!A$2:E$400,5,FALSE)/(VLOOKUP(C179,Controle!A$2:G$9,7,FALSE))*D179</f>
        <v>0.19077477035785298</v>
      </c>
      <c r="K179" s="15">
        <f>VLOOKUP(A179,Demográfico!A$2:E$400,5,FALSE)/(VLOOKUP(C179,Controle!A$16:G$24,7,FALSE))*E179</f>
        <v>6.6028239013532566E-2</v>
      </c>
      <c r="L179" s="118">
        <f>((J179*(1+I179))+3*(I179+K179))/4</f>
        <v>0.66914881309785057</v>
      </c>
      <c r="M179" s="3">
        <v>1</v>
      </c>
      <c r="N179" s="88">
        <f>VLOOKUP(A179,Demográfico!A$2:E$400,5,FALSE)*I179</f>
        <v>1168.6845876997747</v>
      </c>
      <c r="O179" s="96">
        <f>FLOOR(L179,1)</f>
        <v>0</v>
      </c>
      <c r="P179" s="96">
        <f>L179-O179</f>
        <v>0.66914881309785057</v>
      </c>
      <c r="Q179" s="87">
        <f>RANK(P179,P$2:P$400,0)</f>
        <v>43</v>
      </c>
      <c r="R179" s="3">
        <f>O179+IF(Q179&lt;Q$1,1,0)</f>
        <v>1</v>
      </c>
      <c r="T179" s="87">
        <f>VLOOKUP(A179,Demográfico!A$2:E$400,5,FALSE)*(I179)</f>
        <v>1168.6845876997747</v>
      </c>
    </row>
    <row r="180" spans="1:20" ht="19.5" x14ac:dyDescent="0.25">
      <c r="A180" s="2" t="s">
        <v>185</v>
      </c>
      <c r="B180" s="37">
        <v>10933</v>
      </c>
      <c r="C180" s="4" t="str" cm="1">
        <f t="array" ref="C180">_xlfn.IFS(B180&lt;20000, "P1",B180&lt;40000, "P2",B180&lt;70000, "P3",B180&lt;100000, "P4",B180&lt;200000,"M1",B180&lt;500000,"M2",B180&lt;1000000,"G1",B180&gt;1000000,"G2")</f>
        <v>P1</v>
      </c>
      <c r="D180" s="13">
        <f>VLOOKUP(C180,Controle!A$2:H$9,8,FALSE)</f>
        <v>38.874046212109647</v>
      </c>
      <c r="E180" s="13">
        <f>VLOOKUP(C180,Controle!A$16:H$23,8,FALSE)</f>
        <v>13.454529704853227</v>
      </c>
      <c r="F180" s="5">
        <f>VLOOKUP(A180,Educacional!A$2:P$405,16,FALSE)</f>
        <v>54.028833162106395</v>
      </c>
      <c r="G180" s="6">
        <f>VLOOKUP(A180,Demográfico!A$2:L$405,12,FALSE)</f>
        <v>68.34551811956608</v>
      </c>
      <c r="H180" s="7">
        <f>VLOOKUP(A180,Socioeconômico!A$2:M$405,13,FALSE)</f>
        <v>57.348124385500384</v>
      </c>
      <c r="I180" s="16">
        <f>(2*F180+G180+2*H180)/5/100</f>
        <v>0.58219886642955931</v>
      </c>
      <c r="J180" s="15">
        <f>VLOOKUP(A180,Demográfico!A$2:E$400,5,FALSE)/(VLOOKUP(C180,Controle!A$2:G$9,7,FALSE))*D180</f>
        <v>0.18855101536595162</v>
      </c>
      <c r="K180" s="15">
        <f>VLOOKUP(A180,Demográfico!A$2:E$400,5,FALSE)/(VLOOKUP(C180,Controle!A$16:G$24,7,FALSE))*E180</f>
        <v>6.5258584693742919E-2</v>
      </c>
      <c r="L180" s="118">
        <f>((J180*(1+I180))+3*(I180+K180))/4</f>
        <v>0.5601743890365144</v>
      </c>
      <c r="M180" s="3">
        <v>1</v>
      </c>
      <c r="N180" s="88">
        <f>VLOOKUP(A180,Demográfico!A$2:E$400,5,FALSE)*I180</f>
        <v>937.92237381802011</v>
      </c>
      <c r="O180" s="96">
        <f>FLOOR(L180,1)</f>
        <v>0</v>
      </c>
      <c r="P180" s="96">
        <f>L180-O180</f>
        <v>0.5601743890365144</v>
      </c>
      <c r="Q180" s="87">
        <f>RANK(P180,P$2:P$400,0)</f>
        <v>115</v>
      </c>
      <c r="R180" s="3">
        <f>O180+IF(Q180&lt;Q$1,1,0)</f>
        <v>1</v>
      </c>
      <c r="T180" s="87">
        <f>VLOOKUP(A180,Demográfico!A$2:E$400,5,FALSE)*(I180)</f>
        <v>937.92237381802011</v>
      </c>
    </row>
    <row r="181" spans="1:20" ht="19.5" x14ac:dyDescent="0.25">
      <c r="A181" s="2" t="s">
        <v>186</v>
      </c>
      <c r="B181" s="37">
        <v>10832</v>
      </c>
      <c r="C181" s="4" t="str" cm="1">
        <f t="array" ref="C181">_xlfn.IFS(B181&lt;20000, "P1",B181&lt;40000, "P2",B181&lt;70000, "P3",B181&lt;100000, "P4",B181&lt;200000,"M1",B181&lt;500000,"M2",B181&lt;1000000,"G1",B181&gt;1000000,"G2")</f>
        <v>P1</v>
      </c>
      <c r="D181" s="13">
        <f>VLOOKUP(C181,Controle!A$2:H$9,8,FALSE)</f>
        <v>38.874046212109647</v>
      </c>
      <c r="E181" s="13">
        <f>VLOOKUP(C181,Controle!A$16:H$23,8,FALSE)</f>
        <v>13.454529704853227</v>
      </c>
      <c r="F181" s="5">
        <f>VLOOKUP(A181,Educacional!A$2:P$405,16,FALSE)</f>
        <v>65.367335327397114</v>
      </c>
      <c r="G181" s="6">
        <f>VLOOKUP(A181,Demográfico!A$2:L$405,12,FALSE)</f>
        <v>23.097705205503686</v>
      </c>
      <c r="H181" s="7">
        <f>VLOOKUP(A181,Socioeconômico!A$2:M$405,13,FALSE)</f>
        <v>34.921371439544039</v>
      </c>
      <c r="I181" s="16">
        <f>(2*F181+G181+2*H181)/5/100</f>
        <v>0.44735023747877201</v>
      </c>
      <c r="J181" s="15">
        <f>VLOOKUP(A181,Demográfico!A$2:E$400,5,FALSE)/(VLOOKUP(C181,Controle!A$2:G$9,7,FALSE))*D181</f>
        <v>0.15671620706083753</v>
      </c>
      <c r="K181" s="15">
        <f>VLOOKUP(A181,Demográfico!A$2:E$400,5,FALSE)/(VLOOKUP(C181,Controle!A$16:G$24,7,FALSE))*E181</f>
        <v>5.4240375484122763E-2</v>
      </c>
      <c r="L181" s="118">
        <f>((J181*(1+I181))+3*(I181+K181))/4</f>
        <v>0.43289876959873996</v>
      </c>
      <c r="M181" s="3">
        <v>1</v>
      </c>
      <c r="N181" s="88">
        <f>VLOOKUP(A181,Demográfico!A$2:E$400,5,FALSE)*I181</f>
        <v>599.00196798407569</v>
      </c>
      <c r="O181" s="96">
        <f>FLOOR(L181,1)</f>
        <v>0</v>
      </c>
      <c r="P181" s="96">
        <f>L181-O181</f>
        <v>0.43289876959873996</v>
      </c>
      <c r="Q181" s="87">
        <f>RANK(P181,P$2:P$400,0)</f>
        <v>240</v>
      </c>
      <c r="R181" s="3">
        <f>O181+IF(Q181&lt;Q$1,1,0)</f>
        <v>0</v>
      </c>
      <c r="T181" s="87">
        <f>VLOOKUP(A181,Demográfico!A$2:E$400,5,FALSE)*(I181)</f>
        <v>599.00196798407569</v>
      </c>
    </row>
    <row r="182" spans="1:20" ht="19.5" x14ac:dyDescent="0.25">
      <c r="A182" s="2" t="s">
        <v>187</v>
      </c>
      <c r="B182" s="37">
        <v>10830</v>
      </c>
      <c r="C182" s="4" t="str" cm="1">
        <f t="array" ref="C182">_xlfn.IFS(B182&lt;20000, "P1",B182&lt;40000, "P2",B182&lt;70000, "P3",B182&lt;100000, "P4",B182&lt;200000,"M1",B182&lt;500000,"M2",B182&lt;1000000,"G1",B182&gt;1000000,"G2")</f>
        <v>P1</v>
      </c>
      <c r="D182" s="13">
        <f>VLOOKUP(C182,Controle!A$2:H$9,8,FALSE)</f>
        <v>38.874046212109647</v>
      </c>
      <c r="E182" s="13">
        <f>VLOOKUP(C182,Controle!A$16:H$23,8,FALSE)</f>
        <v>13.454529704853227</v>
      </c>
      <c r="F182" s="5">
        <f>VLOOKUP(A182,Educacional!A$2:P$405,16,FALSE)</f>
        <v>78.986863365527299</v>
      </c>
      <c r="G182" s="6">
        <f>VLOOKUP(A182,Demográfico!A$2:L$405,12,FALSE)</f>
        <v>36.0288436545667</v>
      </c>
      <c r="H182" s="7">
        <f>VLOOKUP(A182,Socioeconômico!A$2:M$405,13,FALSE)</f>
        <v>56.824636278811369</v>
      </c>
      <c r="I182" s="16">
        <f>(2*F182+G182+2*H182)/5/100</f>
        <v>0.61530368588648809</v>
      </c>
      <c r="J182" s="15">
        <f>VLOOKUP(A182,Demográfico!A$2:E$400,5,FALSE)/(VLOOKUP(C182,Controle!A$2:G$9,7,FALSE))*D182</f>
        <v>0.17801743908852416</v>
      </c>
      <c r="K182" s="15">
        <f>VLOOKUP(A182,Demográfico!A$2:E$400,5,FALSE)/(VLOOKUP(C182,Controle!A$16:G$24,7,FALSE))*E182</f>
        <v>6.1612853705265661E-2</v>
      </c>
      <c r="L182" s="118">
        <f>((J182*(1+I182))+3*(I182+K182))/4</f>
        <v>0.57957546107175695</v>
      </c>
      <c r="M182" s="3">
        <v>1</v>
      </c>
      <c r="N182" s="88">
        <f>VLOOKUP(A182,Demográfico!A$2:E$400,5,FALSE)*I182</f>
        <v>935.87690623334834</v>
      </c>
      <c r="O182" s="96">
        <f>FLOOR(L182,1)</f>
        <v>0</v>
      </c>
      <c r="P182" s="96">
        <f>L182-O182</f>
        <v>0.57957546107175695</v>
      </c>
      <c r="Q182" s="87">
        <f>RANK(P182,P$2:P$400,0)</f>
        <v>96</v>
      </c>
      <c r="R182" s="3">
        <f>O182+IF(Q182&lt;Q$1,1,0)</f>
        <v>1</v>
      </c>
      <c r="T182" s="87">
        <f>VLOOKUP(A182,Demográfico!A$2:E$400,5,FALSE)*(I182)</f>
        <v>935.87690623334834</v>
      </c>
    </row>
    <row r="183" spans="1:20" ht="19.5" x14ac:dyDescent="0.25">
      <c r="A183" s="2" t="s">
        <v>188</v>
      </c>
      <c r="B183" s="37">
        <v>10795</v>
      </c>
      <c r="C183" s="4" t="str" cm="1">
        <f t="array" ref="C183">_xlfn.IFS(B183&lt;20000, "P1",B183&lt;40000, "P2",B183&lt;70000, "P3",B183&lt;100000, "P4",B183&lt;200000,"M1",B183&lt;500000,"M2",B183&lt;1000000,"G1",B183&gt;1000000,"G2")</f>
        <v>P1</v>
      </c>
      <c r="D183" s="13">
        <f>VLOOKUP(C183,Controle!A$2:H$9,8,FALSE)</f>
        <v>38.874046212109647</v>
      </c>
      <c r="E183" s="13">
        <f>VLOOKUP(C183,Controle!A$16:H$23,8,FALSE)</f>
        <v>13.454529704853227</v>
      </c>
      <c r="F183" s="5">
        <f>VLOOKUP(A183,Educacional!A$2:P$405,16,FALSE)</f>
        <v>66.086576106787604</v>
      </c>
      <c r="G183" s="6">
        <f>VLOOKUP(A183,Demográfico!A$2:L$405,12,FALSE)</f>
        <v>23.977314707231155</v>
      </c>
      <c r="H183" s="7">
        <f>VLOOKUP(A183,Socioeconômico!A$2:M$405,13,FALSE)</f>
        <v>56.23180541933597</v>
      </c>
      <c r="I183" s="16">
        <f>(2*F183+G183+2*H183)/5/100</f>
        <v>0.53722815551895653</v>
      </c>
      <c r="J183" s="15">
        <f>VLOOKUP(A183,Demográfico!A$2:E$400,5,FALSE)/(VLOOKUP(C183,Controle!A$2:G$9,7,FALSE))*D183</f>
        <v>0.14910862419380658</v>
      </c>
      <c r="K183" s="15">
        <f>VLOOKUP(A183,Demográfico!A$2:E$400,5,FALSE)/(VLOOKUP(C183,Controle!A$16:G$24,7,FALSE))*E183</f>
        <v>5.1607347548000303E-2</v>
      </c>
      <c r="L183" s="118">
        <f>((J183*(1+I183))+3*(I183+K183))/4</f>
        <v>0.49893012113557128</v>
      </c>
      <c r="M183" s="3">
        <v>1</v>
      </c>
      <c r="N183" s="88">
        <f>VLOOKUP(A183,Demográfico!A$2:E$400,5,FALSE)*I183</f>
        <v>684.42867013115062</v>
      </c>
      <c r="O183" s="96">
        <f>FLOOR(L183,1)</f>
        <v>0</v>
      </c>
      <c r="P183" s="96">
        <f>L183-O183</f>
        <v>0.49893012113557128</v>
      </c>
      <c r="Q183" s="87">
        <f>RANK(P183,P$2:P$400,0)</f>
        <v>154</v>
      </c>
      <c r="R183" s="3">
        <f>O183+IF(Q183&lt;Q$1,1,0)</f>
        <v>1</v>
      </c>
      <c r="T183" s="87">
        <f>VLOOKUP(A183,Demográfico!A$2:E$400,5,FALSE)*(I183)</f>
        <v>684.42867013115062</v>
      </c>
    </row>
    <row r="184" spans="1:20" ht="19.5" x14ac:dyDescent="0.25">
      <c r="A184" s="2" t="s">
        <v>189</v>
      </c>
      <c r="B184" s="37">
        <v>10707</v>
      </c>
      <c r="C184" s="4" t="str" cm="1">
        <f t="array" ref="C184">_xlfn.IFS(B184&lt;20000, "P1",B184&lt;40000, "P2",B184&lt;70000, "P3",B184&lt;100000, "P4",B184&lt;200000,"M1",B184&lt;500000,"M2",B184&lt;1000000,"G1",B184&gt;1000000,"G2")</f>
        <v>P1</v>
      </c>
      <c r="D184" s="13">
        <f>VLOOKUP(C184,Controle!A$2:H$9,8,FALSE)</f>
        <v>38.874046212109647</v>
      </c>
      <c r="E184" s="13">
        <f>VLOOKUP(C184,Controle!A$16:H$23,8,FALSE)</f>
        <v>13.454529704853227</v>
      </c>
      <c r="F184" s="5">
        <f>VLOOKUP(A184,Educacional!A$2:P$405,16,FALSE)</f>
        <v>73.255775886876833</v>
      </c>
      <c r="G184" s="6">
        <f>VLOOKUP(A184,Demográfico!A$2:L$405,12,FALSE)</f>
        <v>52.853438122230209</v>
      </c>
      <c r="H184" s="7">
        <f>VLOOKUP(A184,Socioeconômico!A$2:M$405,13,FALSE)</f>
        <v>44.999611210777125</v>
      </c>
      <c r="I184" s="16">
        <f>(2*F184+G184+2*H184)/5/100</f>
        <v>0.57872842463507634</v>
      </c>
      <c r="J184" s="15">
        <f>VLOOKUP(A184,Demográfico!A$2:E$400,5,FALSE)/(VLOOKUP(C184,Controle!A$2:G$9,7,FALSE))*D184</f>
        <v>0.19054069088502126</v>
      </c>
      <c r="K184" s="15">
        <f>VLOOKUP(A184,Demográfico!A$2:E$400,5,FALSE)/(VLOOKUP(C184,Controle!A$16:G$24,7,FALSE))*E184</f>
        <v>6.5947222769344171E-2</v>
      </c>
      <c r="L184" s="118">
        <f>((J184*(1+I184))+3*(I184+K184))/4</f>
        <v>0.55870973674076252</v>
      </c>
      <c r="M184" s="3">
        <v>1</v>
      </c>
      <c r="N184" s="88">
        <f>VLOOKUP(A184,Demográfico!A$2:E$400,5,FALSE)*I184</f>
        <v>942.16987530590427</v>
      </c>
      <c r="O184" s="96">
        <f>FLOOR(L184,1)</f>
        <v>0</v>
      </c>
      <c r="P184" s="96">
        <f>L184-O184</f>
        <v>0.55870973674076252</v>
      </c>
      <c r="Q184" s="87">
        <f>RANK(P184,P$2:P$400,0)</f>
        <v>116</v>
      </c>
      <c r="R184" s="3">
        <f>O184+IF(Q184&lt;Q$1,1,0)</f>
        <v>1</v>
      </c>
      <c r="T184" s="87">
        <f>VLOOKUP(A184,Demográfico!A$2:E$400,5,FALSE)*(I184)</f>
        <v>942.16987530590427</v>
      </c>
    </row>
    <row r="185" spans="1:20" ht="19.5" x14ac:dyDescent="0.25">
      <c r="A185" s="2" t="s">
        <v>190</v>
      </c>
      <c r="B185" s="37">
        <v>10685</v>
      </c>
      <c r="C185" s="4" t="str" cm="1">
        <f t="array" ref="C185">_xlfn.IFS(B185&lt;20000, "P1",B185&lt;40000, "P2",B185&lt;70000, "P3",B185&lt;100000, "P4",B185&lt;200000,"M1",B185&lt;500000,"M2",B185&lt;1000000,"G1",B185&gt;1000000,"G2")</f>
        <v>P1</v>
      </c>
      <c r="D185" s="13">
        <f>VLOOKUP(C185,Controle!A$2:H$9,8,FALSE)</f>
        <v>38.874046212109647</v>
      </c>
      <c r="E185" s="13">
        <f>VLOOKUP(C185,Controle!A$16:H$23,8,FALSE)</f>
        <v>13.454529704853227</v>
      </c>
      <c r="F185" s="5">
        <f>VLOOKUP(A185,Educacional!A$2:P$405,16,FALSE)</f>
        <v>51.858459188765018</v>
      </c>
      <c r="G185" s="6">
        <f>VLOOKUP(A185,Demográfico!A$2:L$405,12,FALSE)</f>
        <v>45.173904748323473</v>
      </c>
      <c r="H185" s="7">
        <f>VLOOKUP(A185,Socioeconômico!A$2:M$405,13,FALSE)</f>
        <v>50.976914889021096</v>
      </c>
      <c r="I185" s="16">
        <f>(2*F185+G185+2*H185)/5/100</f>
        <v>0.50168930580779136</v>
      </c>
      <c r="J185" s="15">
        <f>VLOOKUP(A185,Demográfico!A$2:E$400,5,FALSE)/(VLOOKUP(C185,Controle!A$2:G$9,7,FALSE))*D185</f>
        <v>0.18047527355325724</v>
      </c>
      <c r="K185" s="15">
        <f>VLOOKUP(A185,Demográfico!A$2:E$400,5,FALSE)/(VLOOKUP(C185,Controle!A$16:G$24,7,FALSE))*E185</f>
        <v>6.2463524269243689E-2</v>
      </c>
      <c r="L185" s="118">
        <f>((J185*(1+I185))+3*(I185+K185))/4</f>
        <v>0.49086906962219184</v>
      </c>
      <c r="M185" s="3">
        <v>1</v>
      </c>
      <c r="N185" s="88">
        <f>VLOOKUP(A185,Demográfico!A$2:E$400,5,FALSE)*I185</f>
        <v>773.60490955561431</v>
      </c>
      <c r="O185" s="96">
        <f>FLOOR(L185,1)</f>
        <v>0</v>
      </c>
      <c r="P185" s="96">
        <f>L185-O185</f>
        <v>0.49086906962219184</v>
      </c>
      <c r="Q185" s="87">
        <f>RANK(P185,P$2:P$400,0)</f>
        <v>168</v>
      </c>
      <c r="R185" s="3">
        <f>O185+IF(Q185&lt;Q$1,1,0)</f>
        <v>1</v>
      </c>
      <c r="T185" s="87">
        <f>VLOOKUP(A185,Demográfico!A$2:E$400,5,FALSE)*(I185)</f>
        <v>773.60490955561431</v>
      </c>
    </row>
    <row r="186" spans="1:20" ht="19.5" x14ac:dyDescent="0.25">
      <c r="A186" s="2" t="s">
        <v>191</v>
      </c>
      <c r="B186" s="37">
        <v>10684</v>
      </c>
      <c r="C186" s="4" t="str" cm="1">
        <f t="array" ref="C186">_xlfn.IFS(B186&lt;20000, "P1",B186&lt;40000, "P2",B186&lt;70000, "P3",B186&lt;100000, "P4",B186&lt;200000,"M1",B186&lt;500000,"M2",B186&lt;1000000,"G1",B186&gt;1000000,"G2")</f>
        <v>P1</v>
      </c>
      <c r="D186" s="13">
        <f>VLOOKUP(C186,Controle!A$2:H$9,8,FALSE)</f>
        <v>38.874046212109647</v>
      </c>
      <c r="E186" s="13">
        <f>VLOOKUP(C186,Controle!A$16:H$23,8,FALSE)</f>
        <v>13.454529704853227</v>
      </c>
      <c r="F186" s="5">
        <f>VLOOKUP(A186,Educacional!A$2:P$405,16,FALSE)</f>
        <v>54.204872177291996</v>
      </c>
      <c r="G186" s="6">
        <f>VLOOKUP(A186,Demográfico!A$2:L$405,12,FALSE)</f>
        <v>57.574200510339033</v>
      </c>
      <c r="H186" s="7">
        <f>VLOOKUP(A186,Socioeconômico!A$2:M$405,13,FALSE)</f>
        <v>47.592938107011115</v>
      </c>
      <c r="I186" s="16">
        <f>(2*F186+G186+2*H186)/5/100</f>
        <v>0.52233964215789042</v>
      </c>
      <c r="J186" s="15">
        <f>VLOOKUP(A186,Demográfico!A$2:E$400,5,FALSE)/(VLOOKUP(C186,Controle!A$2:G$9,7,FALSE))*D186</f>
        <v>0.16233411440879883</v>
      </c>
      <c r="K186" s="15">
        <f>VLOOKUP(A186,Demográfico!A$2:E$400,5,FALSE)/(VLOOKUP(C186,Controle!A$16:G$24,7,FALSE))*E186</f>
        <v>5.6184765344643964E-2</v>
      </c>
      <c r="L186" s="118">
        <f>((J186*(1+I186))+3*(I186+K186))/4</f>
        <v>0.49567522003667802</v>
      </c>
      <c r="M186" s="3">
        <v>1</v>
      </c>
      <c r="N186" s="88">
        <f>VLOOKUP(A186,Demográfico!A$2:E$400,5,FALSE)*I186</f>
        <v>724.48508367299405</v>
      </c>
      <c r="O186" s="96">
        <f>FLOOR(L186,1)</f>
        <v>0</v>
      </c>
      <c r="P186" s="96">
        <f>L186-O186</f>
        <v>0.49567522003667802</v>
      </c>
      <c r="Q186" s="87">
        <f>RANK(P186,P$2:P$400,0)</f>
        <v>160</v>
      </c>
      <c r="R186" s="3">
        <f>O186+IF(Q186&lt;Q$1,1,0)</f>
        <v>1</v>
      </c>
      <c r="T186" s="87">
        <f>VLOOKUP(A186,Demográfico!A$2:E$400,5,FALSE)*(I186)</f>
        <v>724.48508367299405</v>
      </c>
    </row>
    <row r="187" spans="1:20" ht="19.5" x14ac:dyDescent="0.25">
      <c r="A187" s="2" t="s">
        <v>192</v>
      </c>
      <c r="B187" s="37">
        <v>10667</v>
      </c>
      <c r="C187" s="4" t="str" cm="1">
        <f t="array" ref="C187">_xlfn.IFS(B187&lt;20000, "P1",B187&lt;40000, "P2",B187&lt;70000, "P3",B187&lt;100000, "P4",B187&lt;200000,"M1",B187&lt;500000,"M2",B187&lt;1000000,"G1",B187&gt;1000000,"G2")</f>
        <v>P1</v>
      </c>
      <c r="D187" s="13">
        <f>VLOOKUP(C187,Controle!A$2:H$9,8,FALSE)</f>
        <v>38.874046212109647</v>
      </c>
      <c r="E187" s="13">
        <f>VLOOKUP(C187,Controle!A$16:H$23,8,FALSE)</f>
        <v>13.454529704853227</v>
      </c>
      <c r="F187" s="5">
        <f>VLOOKUP(A187,Educacional!A$2:P$405,16,FALSE)</f>
        <v>36.250389941524297</v>
      </c>
      <c r="G187" s="6">
        <f>VLOOKUP(A187,Demográfico!A$2:L$405,12,FALSE)</f>
        <v>44.433365513436982</v>
      </c>
      <c r="H187" s="7">
        <f>VLOOKUP(A187,Socioeconômico!A$2:M$405,13,FALSE)</f>
        <v>47.744059978293549</v>
      </c>
      <c r="I187" s="16">
        <f>(2*F187+G187+2*H187)/5/100</f>
        <v>0.42484453070614536</v>
      </c>
      <c r="J187" s="15">
        <f>VLOOKUP(A187,Demográfico!A$2:E$400,5,FALSE)/(VLOOKUP(C187,Controle!A$2:G$9,7,FALSE))*D187</f>
        <v>0.14196920027243906</v>
      </c>
      <c r="K187" s="15">
        <f>VLOOKUP(A187,Demográfico!A$2:E$400,5,FALSE)/(VLOOKUP(C187,Controle!A$16:G$24,7,FALSE))*E187</f>
        <v>4.9136352100254597E-2</v>
      </c>
      <c r="L187" s="118">
        <f>((J187*(1+I187))+3*(I187+K187))/4</f>
        <v>0.40605667173902749</v>
      </c>
      <c r="M187" s="3">
        <v>0</v>
      </c>
      <c r="N187" s="88">
        <f>VLOOKUP(A187,Demográfico!A$2:E$400,5,FALSE)*I187</f>
        <v>515.33641574655428</v>
      </c>
      <c r="O187" s="96">
        <f>FLOOR(L187,1)</f>
        <v>0</v>
      </c>
      <c r="P187" s="96">
        <f>L187-O187</f>
        <v>0.40605667173902749</v>
      </c>
      <c r="Q187" s="87">
        <f>RANK(P187,P$2:P$400,0)</f>
        <v>276</v>
      </c>
      <c r="R187" s="3">
        <f>O187+IF(Q187&lt;Q$1,1,0)</f>
        <v>0</v>
      </c>
      <c r="T187" s="87">
        <f>VLOOKUP(A187,Demográfico!A$2:E$400,5,FALSE)*(I187)</f>
        <v>515.33641574655428</v>
      </c>
    </row>
    <row r="188" spans="1:20" ht="19.5" x14ac:dyDescent="0.25">
      <c r="A188" s="2" t="s">
        <v>193</v>
      </c>
      <c r="B188" s="37">
        <v>10506</v>
      </c>
      <c r="C188" s="4" t="str" cm="1">
        <f t="array" ref="C188">_xlfn.IFS(B188&lt;20000, "P1",B188&lt;40000, "P2",B188&lt;70000, "P3",B188&lt;100000, "P4",B188&lt;200000,"M1",B188&lt;500000,"M2",B188&lt;1000000,"G1",B188&gt;1000000,"G2")</f>
        <v>P1</v>
      </c>
      <c r="D188" s="13">
        <f>VLOOKUP(C188,Controle!A$2:H$9,8,FALSE)</f>
        <v>38.874046212109647</v>
      </c>
      <c r="E188" s="13">
        <f>VLOOKUP(C188,Controle!A$16:H$23,8,FALSE)</f>
        <v>13.454529704853227</v>
      </c>
      <c r="F188" s="5">
        <f>VLOOKUP(A188,Educacional!A$2:P$405,16,FALSE)</f>
        <v>52.53026957564736</v>
      </c>
      <c r="G188" s="6">
        <f>VLOOKUP(A188,Demográfico!A$2:L$405,12,FALSE)</f>
        <v>34.347097022214527</v>
      </c>
      <c r="H188" s="7">
        <f>VLOOKUP(A188,Socioeconômico!A$2:M$405,13,FALSE)</f>
        <v>44.684341898726025</v>
      </c>
      <c r="I188" s="16">
        <f>(2*F188+G188+2*H188)/5/100</f>
        <v>0.45755263994192263</v>
      </c>
      <c r="J188" s="15">
        <f>VLOOKUP(A188,Demográfico!A$2:E$400,5,FALSE)/(VLOOKUP(C188,Controle!A$2:G$9,7,FALSE))*D188</f>
        <v>0.15870588257990714</v>
      </c>
      <c r="K188" s="15">
        <f>VLOOKUP(A188,Demográfico!A$2:E$400,5,FALSE)/(VLOOKUP(C188,Controle!A$16:G$24,7,FALSE))*E188</f>
        <v>5.4929013559724023E-2</v>
      </c>
      <c r="L188" s="118">
        <f>((J188*(1+I188))+3*(I188+K188))/4</f>
        <v>0.44219178465839909</v>
      </c>
      <c r="M188" s="3">
        <v>1</v>
      </c>
      <c r="N188" s="88">
        <f>VLOOKUP(A188,Demográfico!A$2:E$400,5,FALSE)*I188</f>
        <v>620.44137976124705</v>
      </c>
      <c r="O188" s="96">
        <f>FLOOR(L188,1)</f>
        <v>0</v>
      </c>
      <c r="P188" s="96">
        <f>L188-O188</f>
        <v>0.44219178465839909</v>
      </c>
      <c r="Q188" s="87">
        <f>RANK(P188,P$2:P$400,0)</f>
        <v>224</v>
      </c>
      <c r="R188" s="3">
        <f>O188+IF(Q188&lt;Q$1,1,0)</f>
        <v>0</v>
      </c>
      <c r="T188" s="87">
        <f>VLOOKUP(A188,Demográfico!A$2:E$400,5,FALSE)*(I188)</f>
        <v>620.44137976124705</v>
      </c>
    </row>
    <row r="189" spans="1:20" ht="19.5" x14ac:dyDescent="0.25">
      <c r="A189" s="2" t="s">
        <v>194</v>
      </c>
      <c r="B189" s="37">
        <v>10458</v>
      </c>
      <c r="C189" s="4" t="str" cm="1">
        <f t="array" ref="C189">_xlfn.IFS(B189&lt;20000, "P1",B189&lt;40000, "P2",B189&lt;70000, "P3",B189&lt;100000, "P4",B189&lt;200000,"M1",B189&lt;500000,"M2",B189&lt;1000000,"G1",B189&gt;1000000,"G2")</f>
        <v>P1</v>
      </c>
      <c r="D189" s="13">
        <f>VLOOKUP(C189,Controle!A$2:H$9,8,FALSE)</f>
        <v>38.874046212109647</v>
      </c>
      <c r="E189" s="13">
        <f>VLOOKUP(C189,Controle!A$16:H$23,8,FALSE)</f>
        <v>13.454529704853227</v>
      </c>
      <c r="F189" s="5">
        <f>VLOOKUP(A189,Educacional!A$2:P$405,16,FALSE)</f>
        <v>36.26230123109481</v>
      </c>
      <c r="G189" s="6">
        <f>VLOOKUP(A189,Demográfico!A$2:L$405,12,FALSE)</f>
        <v>44.237867877881612</v>
      </c>
      <c r="H189" s="7">
        <f>VLOOKUP(A189,Socioeconômico!A$2:M$405,13,FALSE)</f>
        <v>31.709155921106603</v>
      </c>
      <c r="I189" s="16">
        <f>(2*F189+G189+2*H189)/5/100</f>
        <v>0.3603615643645689</v>
      </c>
      <c r="J189" s="15">
        <f>VLOOKUP(A189,Demográfico!A$2:E$400,5,FALSE)/(VLOOKUP(C189,Controle!A$2:G$9,7,FALSE))*D189</f>
        <v>0.172282492004147</v>
      </c>
      <c r="K189" s="15">
        <f>VLOOKUP(A189,Demográfico!A$2:E$400,5,FALSE)/(VLOOKUP(C189,Controle!A$16:G$24,7,FALSE))*E189</f>
        <v>5.9627955722650269E-2</v>
      </c>
      <c r="L189" s="118">
        <f>((J189*(1+I189))+3*(I189+K189))/4</f>
        <v>0.37358376014926131</v>
      </c>
      <c r="M189" s="3">
        <v>0</v>
      </c>
      <c r="N189" s="88">
        <f>VLOOKUP(A189,Demográfico!A$2:E$400,5,FALSE)*I189</f>
        <v>530.45222274464538</v>
      </c>
      <c r="O189" s="96">
        <f>FLOOR(L189,1)</f>
        <v>0</v>
      </c>
      <c r="P189" s="96">
        <f>L189-O189</f>
        <v>0.37358376014926131</v>
      </c>
      <c r="Q189" s="87">
        <f>RANK(P189,P$2:P$400,0)</f>
        <v>309</v>
      </c>
      <c r="R189" s="3">
        <f>O189+IF(Q189&lt;Q$1,1,0)</f>
        <v>0</v>
      </c>
      <c r="T189" s="87">
        <f>VLOOKUP(A189,Demográfico!A$2:E$400,5,FALSE)*(I189)</f>
        <v>530.45222274464538</v>
      </c>
    </row>
    <row r="190" spans="1:20" ht="19.5" x14ac:dyDescent="0.25">
      <c r="A190" s="2" t="s">
        <v>195</v>
      </c>
      <c r="B190" s="37">
        <v>10446</v>
      </c>
      <c r="C190" s="4" t="str" cm="1">
        <f t="array" ref="C190">_xlfn.IFS(B190&lt;20000, "P1",B190&lt;40000, "P2",B190&lt;70000, "P3",B190&lt;100000, "P4",B190&lt;200000,"M1",B190&lt;500000,"M2",B190&lt;1000000,"G1",B190&gt;1000000,"G2")</f>
        <v>P1</v>
      </c>
      <c r="D190" s="13">
        <f>VLOOKUP(C190,Controle!A$2:H$9,8,FALSE)</f>
        <v>38.874046212109647</v>
      </c>
      <c r="E190" s="13">
        <f>VLOOKUP(C190,Controle!A$16:H$23,8,FALSE)</f>
        <v>13.454529704853227</v>
      </c>
      <c r="F190" s="5">
        <f>VLOOKUP(A190,Educacional!A$2:P$405,16,FALSE)</f>
        <v>66.124392018656664</v>
      </c>
      <c r="G190" s="6">
        <f>VLOOKUP(A190,Demográfico!A$2:L$405,12,FALSE)</f>
        <v>30.792447053379867</v>
      </c>
      <c r="H190" s="7">
        <f>VLOOKUP(A190,Socioeconômico!A$2:M$405,13,FALSE)</f>
        <v>42.614211164953133</v>
      </c>
      <c r="I190" s="16">
        <f>(2*F190+G190+2*H190)/5/100</f>
        <v>0.4965393068411989</v>
      </c>
      <c r="J190" s="15">
        <f>VLOOKUP(A190,Demográfico!A$2:E$400,5,FALSE)/(VLOOKUP(C190,Controle!A$2:G$9,7,FALSE))*D190</f>
        <v>0.16116371704464022</v>
      </c>
      <c r="K190" s="15">
        <f>VLOOKUP(A190,Demográfico!A$2:E$400,5,FALSE)/(VLOOKUP(C190,Controle!A$16:G$24,7,FALSE))*E190</f>
        <v>5.5779684123702052E-2</v>
      </c>
      <c r="L190" s="118">
        <f>((J190*(1+I190))+3*(I190+K190))/4</f>
        <v>0.47453620257216</v>
      </c>
      <c r="M190" s="3">
        <v>1</v>
      </c>
      <c r="N190" s="88">
        <f>VLOOKUP(A190,Demográfico!A$2:E$400,5,FALSE)*I190</f>
        <v>683.73462552033084</v>
      </c>
      <c r="O190" s="96">
        <f>FLOOR(L190,1)</f>
        <v>0</v>
      </c>
      <c r="P190" s="96">
        <f>L190-O190</f>
        <v>0.47453620257216</v>
      </c>
      <c r="Q190" s="87">
        <f>RANK(P190,P$2:P$400,0)</f>
        <v>180</v>
      </c>
      <c r="R190" s="3">
        <f>O190+IF(Q190&lt;Q$1,1,0)</f>
        <v>1</v>
      </c>
      <c r="T190" s="87">
        <f>VLOOKUP(A190,Demográfico!A$2:E$400,5,FALSE)*(I190)</f>
        <v>683.73462552033084</v>
      </c>
    </row>
    <row r="191" spans="1:20" ht="19.5" x14ac:dyDescent="0.25">
      <c r="A191" s="2" t="s">
        <v>196</v>
      </c>
      <c r="B191" s="37">
        <v>10406</v>
      </c>
      <c r="C191" s="4" t="str" cm="1">
        <f t="array" ref="C191">_xlfn.IFS(B191&lt;20000, "P1",B191&lt;40000, "P2",B191&lt;70000, "P3",B191&lt;100000, "P4",B191&lt;200000,"M1",B191&lt;500000,"M2",B191&lt;1000000,"G1",B191&gt;1000000,"G2")</f>
        <v>P1</v>
      </c>
      <c r="D191" s="13">
        <f>VLOOKUP(C191,Controle!A$2:H$9,8,FALSE)</f>
        <v>38.874046212109647</v>
      </c>
      <c r="E191" s="13">
        <f>VLOOKUP(C191,Controle!A$16:H$23,8,FALSE)</f>
        <v>13.454529704853227</v>
      </c>
      <c r="F191" s="5">
        <f>VLOOKUP(A191,Educacional!A$2:P$405,16,FALSE)</f>
        <v>59.179762681286007</v>
      </c>
      <c r="G191" s="6">
        <f>VLOOKUP(A191,Demográfico!A$2:L$405,12,FALSE)</f>
        <v>16.390390717389636</v>
      </c>
      <c r="H191" s="7">
        <f>VLOOKUP(A191,Socioeconômico!A$2:M$405,13,FALSE)</f>
        <v>50.75557376306574</v>
      </c>
      <c r="I191" s="16">
        <f>(2*F191+G191+2*H191)/5/100</f>
        <v>0.47252212721218628</v>
      </c>
      <c r="J191" s="15">
        <f>VLOOKUP(A191,Demográfico!A$2:E$400,5,FALSE)/(VLOOKUP(C191,Controle!A$2:G$9,7,FALSE))*D191</f>
        <v>0.1418521605360232</v>
      </c>
      <c r="K191" s="15">
        <f>VLOOKUP(A191,Demográfico!A$2:E$400,5,FALSE)/(VLOOKUP(C191,Controle!A$16:G$24,7,FALSE))*E191</f>
        <v>4.9095843978160407E-2</v>
      </c>
      <c r="L191" s="118">
        <f>((J191*(1+I191))+3*(I191+K191))/4</f>
        <v>0.44343358968829738</v>
      </c>
      <c r="M191" s="3">
        <v>1</v>
      </c>
      <c r="N191" s="88">
        <f>VLOOKUP(A191,Demográfico!A$2:E$400,5,FALSE)*I191</f>
        <v>572.69681818116976</v>
      </c>
      <c r="O191" s="96">
        <f>FLOOR(L191,1)</f>
        <v>0</v>
      </c>
      <c r="P191" s="96">
        <f>L191-O191</f>
        <v>0.44343358968829738</v>
      </c>
      <c r="Q191" s="87">
        <f>RANK(P191,P$2:P$400,0)</f>
        <v>220</v>
      </c>
      <c r="R191" s="3">
        <f>O191+IF(Q191&lt;Q$1,1,0)</f>
        <v>0</v>
      </c>
      <c r="T191" s="87">
        <f>VLOOKUP(A191,Demográfico!A$2:E$400,5,FALSE)*(I191)</f>
        <v>572.69681818116976</v>
      </c>
    </row>
    <row r="192" spans="1:20" ht="19.5" x14ac:dyDescent="0.25">
      <c r="A192" s="2" t="s">
        <v>197</v>
      </c>
      <c r="B192" s="37">
        <v>10326</v>
      </c>
      <c r="C192" s="4" t="str" cm="1">
        <f t="array" ref="C192">_xlfn.IFS(B192&lt;20000, "P1",B192&lt;40000, "P2",B192&lt;70000, "P3",B192&lt;100000, "P4",B192&lt;200000,"M1",B192&lt;500000,"M2",B192&lt;1000000,"G1",B192&gt;1000000,"G2")</f>
        <v>P1</v>
      </c>
      <c r="D192" s="13">
        <f>VLOOKUP(C192,Controle!A$2:H$9,8,FALSE)</f>
        <v>38.874046212109647</v>
      </c>
      <c r="E192" s="13">
        <f>VLOOKUP(C192,Controle!A$16:H$23,8,FALSE)</f>
        <v>13.454529704853227</v>
      </c>
      <c r="F192" s="5">
        <f>VLOOKUP(A192,Educacional!A$2:P$405,16,FALSE)</f>
        <v>51.482171646483557</v>
      </c>
      <c r="G192" s="6">
        <f>VLOOKUP(A192,Demográfico!A$2:L$405,12,FALSE)</f>
        <v>16.536652153926344</v>
      </c>
      <c r="H192" s="7">
        <f>VLOOKUP(A192,Socioeconômico!A$2:M$405,13,FALSE)</f>
        <v>46.991404984092597</v>
      </c>
      <c r="I192" s="16">
        <f>(2*F192+G192+2*H192)/5/100</f>
        <v>0.42696761083015727</v>
      </c>
      <c r="J192" s="15">
        <f>VLOOKUP(A192,Demográfico!A$2:E$400,5,FALSE)/(VLOOKUP(C192,Controle!A$2:G$9,7,FALSE))*D192</f>
        <v>0.1362342531880619</v>
      </c>
      <c r="K192" s="15">
        <f>VLOOKUP(A192,Demográfico!A$2:E$400,5,FALSE)/(VLOOKUP(C192,Controle!A$16:G$24,7,FALSE))*E192</f>
        <v>4.7151454117639206E-2</v>
      </c>
      <c r="L192" s="118">
        <f>((J192*(1+I192))+3*(I192+K192))/4</f>
        <v>0.40418976540709722</v>
      </c>
      <c r="M192" s="3">
        <v>0</v>
      </c>
      <c r="N192" s="88">
        <f>VLOOKUP(A192,Demográfico!A$2:E$400,5,FALSE)*I192</f>
        <v>496.99029900630308</v>
      </c>
      <c r="O192" s="96">
        <f>FLOOR(L192,1)</f>
        <v>0</v>
      </c>
      <c r="P192" s="96">
        <f>L192-O192</f>
        <v>0.40418976540709722</v>
      </c>
      <c r="Q192" s="87">
        <f>RANK(P192,P$2:P$400,0)</f>
        <v>278</v>
      </c>
      <c r="R192" s="3">
        <f>O192+IF(Q192&lt;Q$1,1,0)</f>
        <v>0</v>
      </c>
      <c r="T192" s="87">
        <f>VLOOKUP(A192,Demográfico!A$2:E$400,5,FALSE)*(I192)</f>
        <v>496.99029900630308</v>
      </c>
    </row>
    <row r="193" spans="1:20" ht="19.5" x14ac:dyDescent="0.25">
      <c r="A193" s="2" t="s">
        <v>198</v>
      </c>
      <c r="B193" s="37">
        <v>10233</v>
      </c>
      <c r="C193" s="4" t="str" cm="1">
        <f t="array" ref="C193">_xlfn.IFS(B193&lt;20000, "P1",B193&lt;40000, "P2",B193&lt;70000, "P3",B193&lt;100000, "P4",B193&lt;200000,"M1",B193&lt;500000,"M2",B193&lt;1000000,"G1",B193&gt;1000000,"G2")</f>
        <v>P1</v>
      </c>
      <c r="D193" s="13">
        <f>VLOOKUP(C193,Controle!A$2:H$9,8,FALSE)</f>
        <v>38.874046212109647</v>
      </c>
      <c r="E193" s="13">
        <f>VLOOKUP(C193,Controle!A$16:H$23,8,FALSE)</f>
        <v>13.454529704853227</v>
      </c>
      <c r="F193" s="5">
        <f>VLOOKUP(A193,Educacional!A$2:P$405,16,FALSE)</f>
        <v>70.948615764438827</v>
      </c>
      <c r="G193" s="6">
        <f>VLOOKUP(A193,Demográfico!A$2:L$405,12,FALSE)</f>
        <v>48.391929315177094</v>
      </c>
      <c r="H193" s="7">
        <f>VLOOKUP(A193,Socioeconômico!A$2:M$405,13,FALSE)</f>
        <v>59.783831977009314</v>
      </c>
      <c r="I193" s="16">
        <f>(2*F193+G193+2*H193)/5/100</f>
        <v>0.61971364959614672</v>
      </c>
      <c r="J193" s="15">
        <f>VLOOKUP(A193,Demográfico!A$2:E$400,5,FALSE)/(VLOOKUP(C193,Controle!A$2:G$9,7,FALSE))*D193</f>
        <v>0.17345288936830561</v>
      </c>
      <c r="K193" s="15">
        <f>VLOOKUP(A193,Demográfico!A$2:E$400,5,FALSE)/(VLOOKUP(C193,Controle!A$16:G$24,7,FALSE))*E193</f>
        <v>6.0033036943592182E-2</v>
      </c>
      <c r="L193" s="118">
        <f>((J193*(1+I193))+3*(I193+K193))/4</f>
        <v>0.58004601802273792</v>
      </c>
      <c r="M193" s="3">
        <v>1</v>
      </c>
      <c r="N193" s="88">
        <f>VLOOKUP(A193,Demográfico!A$2:E$400,5,FALSE)*I193</f>
        <v>918.41562870148948</v>
      </c>
      <c r="O193" s="96">
        <f>FLOOR(L193,1)</f>
        <v>0</v>
      </c>
      <c r="P193" s="96">
        <f>L193-O193</f>
        <v>0.58004601802273792</v>
      </c>
      <c r="Q193" s="87">
        <f>RANK(P193,P$2:P$400,0)</f>
        <v>94</v>
      </c>
      <c r="R193" s="3">
        <f>O193+IF(Q193&lt;Q$1,1,0)</f>
        <v>1</v>
      </c>
      <c r="T193" s="87">
        <f>VLOOKUP(A193,Demográfico!A$2:E$400,5,FALSE)*(I193)</f>
        <v>918.41562870148948</v>
      </c>
    </row>
    <row r="194" spans="1:20" ht="19.5" x14ac:dyDescent="0.25">
      <c r="A194" s="2" t="s">
        <v>199</v>
      </c>
      <c r="B194" s="37">
        <v>10082</v>
      </c>
      <c r="C194" s="4" t="str" cm="1">
        <f t="array" ref="C194">_xlfn.IFS(B194&lt;20000, "P1",B194&lt;40000, "P2",B194&lt;70000, "P3",B194&lt;100000, "P4",B194&lt;200000,"M1",B194&lt;500000,"M2",B194&lt;1000000,"G1",B194&gt;1000000,"G2")</f>
        <v>P1</v>
      </c>
      <c r="D194" s="13">
        <f>VLOOKUP(C194,Controle!A$2:H$9,8,FALSE)</f>
        <v>38.874046212109647</v>
      </c>
      <c r="E194" s="13">
        <f>VLOOKUP(C194,Controle!A$16:H$23,8,FALSE)</f>
        <v>13.454529704853227</v>
      </c>
      <c r="F194" s="5">
        <f>VLOOKUP(A194,Educacional!A$2:P$405,16,FALSE)</f>
        <v>46.478869335745664</v>
      </c>
      <c r="G194" s="6">
        <f>VLOOKUP(A194,Demográfico!A$2:L$405,12,FALSE)</f>
        <v>18.206403140954613</v>
      </c>
      <c r="H194" s="7">
        <f>VLOOKUP(A194,Socioeconômico!A$2:M$405,13,FALSE)</f>
        <v>45.878755301777808</v>
      </c>
      <c r="I194" s="16">
        <f>(2*F194+G194+2*H194)/5/100</f>
        <v>0.40584330483200309</v>
      </c>
      <c r="J194" s="15">
        <f>VLOOKUP(A194,Demográfico!A$2:E$400,5,FALSE)/(VLOOKUP(C194,Controle!A$2:G$9,7,FALSE))*D194</f>
        <v>0.12745627295687234</v>
      </c>
      <c r="K194" s="15">
        <f>VLOOKUP(A194,Demográfico!A$2:E$400,5,FALSE)/(VLOOKUP(C194,Controle!A$16:G$24,7,FALSE))*E194</f>
        <v>4.4113344960574827E-2</v>
      </c>
      <c r="L194" s="118">
        <f>((J194*(1+I194))+3*(I194+K194))/4</f>
        <v>0.38226337434324825</v>
      </c>
      <c r="M194" s="3">
        <v>0</v>
      </c>
      <c r="N194" s="88">
        <f>VLOOKUP(A194,Demográfico!A$2:E$400,5,FALSE)*I194</f>
        <v>441.96335896205136</v>
      </c>
      <c r="O194" s="96">
        <f>FLOOR(L194,1)</f>
        <v>0</v>
      </c>
      <c r="P194" s="96">
        <f>L194-O194</f>
        <v>0.38226337434324825</v>
      </c>
      <c r="Q194" s="87">
        <f>RANK(P194,P$2:P$400,0)</f>
        <v>304</v>
      </c>
      <c r="R194" s="3">
        <f>O194+IF(Q194&lt;Q$1,1,0)</f>
        <v>0</v>
      </c>
      <c r="T194" s="87">
        <f>VLOOKUP(A194,Demográfico!A$2:E$400,5,FALSE)*(I194)</f>
        <v>441.96335896205136</v>
      </c>
    </row>
    <row r="195" spans="1:20" ht="19.5" x14ac:dyDescent="0.25">
      <c r="A195" s="2" t="s">
        <v>200</v>
      </c>
      <c r="B195" s="37">
        <v>9934</v>
      </c>
      <c r="C195" s="4" t="str" cm="1">
        <f t="array" ref="C195">_xlfn.IFS(B195&lt;20000, "P1",B195&lt;40000, "P2",B195&lt;70000, "P3",B195&lt;100000, "P4",B195&lt;200000,"M1",B195&lt;500000,"M2",B195&lt;1000000,"G1",B195&gt;1000000,"G2")</f>
        <v>P1</v>
      </c>
      <c r="D195" s="13">
        <f>VLOOKUP(C195,Controle!A$2:H$9,8,FALSE)</f>
        <v>38.874046212109647</v>
      </c>
      <c r="E195" s="13">
        <f>VLOOKUP(C195,Controle!A$16:H$23,8,FALSE)</f>
        <v>13.454529704853227</v>
      </c>
      <c r="F195" s="5">
        <f>VLOOKUP(A195,Educacional!A$2:P$405,16,FALSE)</f>
        <v>65.30601306766134</v>
      </c>
      <c r="G195" s="6">
        <f>VLOOKUP(A195,Demográfico!A$2:L$405,12,FALSE)</f>
        <v>54.356782728545774</v>
      </c>
      <c r="H195" s="7">
        <f>VLOOKUP(A195,Socioeconômico!A$2:M$405,13,FALSE)</f>
        <v>64.012374065474049</v>
      </c>
      <c r="I195" s="16">
        <f>(2*F195+G195+2*H195)/5/100</f>
        <v>0.62598711398963314</v>
      </c>
      <c r="J195" s="15">
        <f>VLOOKUP(A195,Demográfico!A$2:E$400,5,FALSE)/(VLOOKUP(C195,Controle!A$2:G$9,7,FALSE))*D195</f>
        <v>0.16490898860994777</v>
      </c>
      <c r="K195" s="15">
        <f>VLOOKUP(A195,Demográfico!A$2:E$400,5,FALSE)/(VLOOKUP(C195,Controle!A$16:G$24,7,FALSE))*E195</f>
        <v>5.7075944030716183E-2</v>
      </c>
      <c r="L195" s="118">
        <f>((J195*(1+I195))+3*(I195+K195))/4</f>
        <v>0.57933226613047151</v>
      </c>
      <c r="M195" s="3">
        <v>1</v>
      </c>
      <c r="N195" s="88">
        <f>VLOOKUP(A195,Demográfico!A$2:E$400,5,FALSE)*I195</f>
        <v>882.01584361139305</v>
      </c>
      <c r="O195" s="96">
        <f>FLOOR(L195,1)</f>
        <v>0</v>
      </c>
      <c r="P195" s="96">
        <f>L195-O195</f>
        <v>0.57933226613047151</v>
      </c>
      <c r="Q195" s="87">
        <f>RANK(P195,P$2:P$400,0)</f>
        <v>97</v>
      </c>
      <c r="R195" s="3">
        <f>O195+IF(Q195&lt;Q$1,1,0)</f>
        <v>1</v>
      </c>
      <c r="T195" s="87">
        <f>VLOOKUP(A195,Demográfico!A$2:E$400,5,FALSE)*(I195)</f>
        <v>882.01584361139305</v>
      </c>
    </row>
    <row r="196" spans="1:20" ht="19.5" x14ac:dyDescent="0.25">
      <c r="A196" s="2" t="s">
        <v>201</v>
      </c>
      <c r="B196" s="37">
        <v>9847</v>
      </c>
      <c r="C196" s="4" t="str" cm="1">
        <f t="array" ref="C196">_xlfn.IFS(B196&lt;20000, "P1",B196&lt;40000, "P2",B196&lt;70000, "P3",B196&lt;100000, "P4",B196&lt;200000,"M1",B196&lt;500000,"M2",B196&lt;1000000,"G1",B196&gt;1000000,"G2")</f>
        <v>P1</v>
      </c>
      <c r="D196" s="13">
        <f>VLOOKUP(C196,Controle!A$2:H$9,8,FALSE)</f>
        <v>38.874046212109647</v>
      </c>
      <c r="E196" s="13">
        <f>VLOOKUP(C196,Controle!A$16:H$23,8,FALSE)</f>
        <v>13.454529704853227</v>
      </c>
      <c r="F196" s="5">
        <f>VLOOKUP(A196,Educacional!A$2:P$405,16,FALSE)</f>
        <v>82.128265830853536</v>
      </c>
      <c r="G196" s="6">
        <f>VLOOKUP(A196,Demográfico!A$2:L$405,12,FALSE)</f>
        <v>51.033498303037398</v>
      </c>
      <c r="H196" s="7">
        <f>VLOOKUP(A196,Socioeconômico!A$2:M$405,13,FALSE)</f>
        <v>53.993247689174119</v>
      </c>
      <c r="I196" s="16">
        <f>(2*F196+G196+2*H196)/5/100</f>
        <v>0.6465530506861854</v>
      </c>
      <c r="J196" s="15">
        <f>VLOOKUP(A196,Demográfico!A$2:E$400,5,FALSE)/(VLOOKUP(C196,Controle!A$2:G$9,7,FALSE))*D196</f>
        <v>0.16221707467238297</v>
      </c>
      <c r="K196" s="15">
        <f>VLOOKUP(A196,Demográfico!A$2:E$400,5,FALSE)/(VLOOKUP(C196,Controle!A$16:G$24,7,FALSE))*E196</f>
        <v>5.6144257222549773E-2</v>
      </c>
      <c r="L196" s="118">
        <f>((J196*(1+I196))+3*(I196+K196))/4</f>
        <v>0.59379773572535166</v>
      </c>
      <c r="M196" s="3">
        <v>1</v>
      </c>
      <c r="N196" s="88">
        <f>VLOOKUP(A196,Demográfico!A$2:E$400,5,FALSE)*I196</f>
        <v>896.12252825105293</v>
      </c>
      <c r="O196" s="96">
        <f>FLOOR(L196,1)</f>
        <v>0</v>
      </c>
      <c r="P196" s="96">
        <f>L196-O196</f>
        <v>0.59379773572535166</v>
      </c>
      <c r="Q196" s="87">
        <f>RANK(P196,P$2:P$400,0)</f>
        <v>80</v>
      </c>
      <c r="R196" s="3">
        <f>O196+IF(Q196&lt;Q$1,1,0)</f>
        <v>1</v>
      </c>
      <c r="T196" s="87">
        <f>VLOOKUP(A196,Demográfico!A$2:E$400,5,FALSE)*(I196)</f>
        <v>896.12252825105293</v>
      </c>
    </row>
    <row r="197" spans="1:20" ht="19.5" x14ac:dyDescent="0.25">
      <c r="A197" s="2" t="s">
        <v>202</v>
      </c>
      <c r="B197" s="37">
        <v>9759</v>
      </c>
      <c r="C197" s="4" t="str" cm="1">
        <f t="array" ref="C197">_xlfn.IFS(B197&lt;20000, "P1",B197&lt;40000, "P2",B197&lt;70000, "P3",B197&lt;100000, "P4",B197&lt;200000,"M1",B197&lt;500000,"M2",B197&lt;1000000,"G1",B197&gt;1000000,"G2")</f>
        <v>P1</v>
      </c>
      <c r="D197" s="13">
        <f>VLOOKUP(C197,Controle!A$2:H$9,8,FALSE)</f>
        <v>38.874046212109647</v>
      </c>
      <c r="E197" s="13">
        <f>VLOOKUP(C197,Controle!A$16:H$23,8,FALSE)</f>
        <v>13.454529704853227</v>
      </c>
      <c r="F197" s="5">
        <f>VLOOKUP(A197,Educacional!A$2:P$405,16,FALSE)</f>
        <v>53.235335855801893</v>
      </c>
      <c r="G197" s="6">
        <f>VLOOKUP(A197,Demográfico!A$2:L$405,12,FALSE)</f>
        <v>41.140671579632297</v>
      </c>
      <c r="H197" s="7">
        <f>VLOOKUP(A197,Socioeconômico!A$2:M$405,13,FALSE)</f>
        <v>46.343786601409953</v>
      </c>
      <c r="I197" s="16">
        <f>(2*F197+G197+2*H197)/5/100</f>
        <v>0.48059783298811204</v>
      </c>
      <c r="J197" s="15">
        <f>VLOOKUP(A197,Demográfico!A$2:E$400,5,FALSE)/(VLOOKUP(C197,Controle!A$2:G$9,7,FALSE))*D197</f>
        <v>0.15870588257990714</v>
      </c>
      <c r="K197" s="15">
        <f>VLOOKUP(A197,Demográfico!A$2:E$400,5,FALSE)/(VLOOKUP(C197,Controle!A$16:G$24,7,FALSE))*E197</f>
        <v>5.4929013559724023E-2</v>
      </c>
      <c r="L197" s="118">
        <f>((J197*(1+I197))+3*(I197+K197))/4</f>
        <v>0.46039003136844614</v>
      </c>
      <c r="M197" s="3">
        <v>1</v>
      </c>
      <c r="N197" s="88">
        <f>VLOOKUP(A197,Demográfico!A$2:E$400,5,FALSE)*I197</f>
        <v>651.69066153187987</v>
      </c>
      <c r="O197" s="96">
        <f>FLOOR(L197,1)</f>
        <v>0</v>
      </c>
      <c r="P197" s="96">
        <f>L197-O197</f>
        <v>0.46039003136844614</v>
      </c>
      <c r="Q197" s="87">
        <f>RANK(P197,P$2:P$400,0)</f>
        <v>201</v>
      </c>
      <c r="R197" s="3">
        <f>O197+IF(Q197&lt;Q$1,1,0)</f>
        <v>0</v>
      </c>
      <c r="T197" s="87">
        <f>VLOOKUP(A197,Demográfico!A$2:E$400,5,FALSE)*(I197)</f>
        <v>651.69066153187987</v>
      </c>
    </row>
    <row r="198" spans="1:20" ht="19.5" x14ac:dyDescent="0.25">
      <c r="A198" s="2" t="s">
        <v>203</v>
      </c>
      <c r="B198" s="37">
        <v>9727</v>
      </c>
      <c r="C198" s="4" t="str" cm="1">
        <f t="array" ref="C198">_xlfn.IFS(B198&lt;20000, "P1",B198&lt;40000, "P2",B198&lt;70000, "P3",B198&lt;100000, "P4",B198&lt;200000,"M1",B198&lt;500000,"M2",B198&lt;1000000,"G1",B198&gt;1000000,"G2")</f>
        <v>P1</v>
      </c>
      <c r="D198" s="13">
        <f>VLOOKUP(C198,Controle!A$2:H$9,8,FALSE)</f>
        <v>38.874046212109647</v>
      </c>
      <c r="E198" s="13">
        <f>VLOOKUP(C198,Controle!A$16:H$23,8,FALSE)</f>
        <v>13.454529704853227</v>
      </c>
      <c r="F198" s="5">
        <f>VLOOKUP(A198,Educacional!A$2:P$405,16,FALSE)</f>
        <v>56.80448049133792</v>
      </c>
      <c r="G198" s="6">
        <f>VLOOKUP(A198,Demográfico!A$2:L$405,12,FALSE)</f>
        <v>43.114277390566365</v>
      </c>
      <c r="H198" s="7">
        <f>VLOOKUP(A198,Socioeconômico!A$2:M$405,13,FALSE)</f>
        <v>46.047778903034001</v>
      </c>
      <c r="I198" s="16">
        <f>(2*F198+G198+2*H198)/5/100</f>
        <v>0.49763759235862037</v>
      </c>
      <c r="J198" s="15">
        <f>VLOOKUP(A198,Demográfico!A$2:E$400,5,FALSE)/(VLOOKUP(C198,Controle!A$2:G$9,7,FALSE))*D198</f>
        <v>0.14899158445739072</v>
      </c>
      <c r="K198" s="15">
        <f>VLOOKUP(A198,Demográfico!A$2:E$400,5,FALSE)/(VLOOKUP(C198,Controle!A$16:G$24,7,FALSE))*E198</f>
        <v>5.1566839425906112E-2</v>
      </c>
      <c r="L198" s="118">
        <f>((J198*(1+I198))+3*(I198+K198))/4</f>
        <v>0.46768717329551057</v>
      </c>
      <c r="M198" s="3">
        <v>1</v>
      </c>
      <c r="N198" s="88">
        <f>VLOOKUP(A198,Demográfico!A$2:E$400,5,FALSE)*I198</f>
        <v>633.49265507252369</v>
      </c>
      <c r="O198" s="96">
        <f>FLOOR(L198,1)</f>
        <v>0</v>
      </c>
      <c r="P198" s="96">
        <f>L198-O198</f>
        <v>0.46768717329551057</v>
      </c>
      <c r="Q198" s="87">
        <f>RANK(P198,P$2:P$400,0)</f>
        <v>189</v>
      </c>
      <c r="R198" s="3">
        <f>O198+IF(Q198&lt;Q$1,1,0)</f>
        <v>1</v>
      </c>
      <c r="T198" s="87">
        <f>VLOOKUP(A198,Demográfico!A$2:E$400,5,FALSE)*(I198)</f>
        <v>633.49265507252369</v>
      </c>
    </row>
    <row r="199" spans="1:20" ht="19.5" x14ac:dyDescent="0.25">
      <c r="A199" s="2" t="s">
        <v>204</v>
      </c>
      <c r="B199" s="37">
        <v>9706</v>
      </c>
      <c r="C199" s="4" t="str" cm="1">
        <f t="array" ref="C199">_xlfn.IFS(B199&lt;20000, "P1",B199&lt;40000, "P2",B199&lt;70000, "P3",B199&lt;100000, "P4",B199&lt;200000,"M1",B199&lt;500000,"M2",B199&lt;1000000,"G1",B199&gt;1000000,"G2")</f>
        <v>P1</v>
      </c>
      <c r="D199" s="13">
        <f>VLOOKUP(C199,Controle!A$2:H$9,8,FALSE)</f>
        <v>38.874046212109647</v>
      </c>
      <c r="E199" s="13">
        <f>VLOOKUP(C199,Controle!A$16:H$23,8,FALSE)</f>
        <v>13.454529704853227</v>
      </c>
      <c r="F199" s="5">
        <f>VLOOKUP(A199,Educacional!A$2:P$405,16,FALSE)</f>
        <v>77.332740048140707</v>
      </c>
      <c r="G199" s="6">
        <f>VLOOKUP(A199,Demográfico!A$2:L$405,12,FALSE)</f>
        <v>46.747803888215358</v>
      </c>
      <c r="H199" s="7">
        <f>VLOOKUP(A199,Socioeconômico!A$2:M$405,13,FALSE)</f>
        <v>29.392056254016651</v>
      </c>
      <c r="I199" s="16">
        <f>(2*F199+G199+2*H199)/5/100</f>
        <v>0.52039479298506008</v>
      </c>
      <c r="J199" s="15">
        <f>VLOOKUP(A199,Demográfico!A$2:E$400,5,FALSE)/(VLOOKUP(C199,Controle!A$2:G$9,7,FALSE))*D199</f>
        <v>0.1800071146075938</v>
      </c>
      <c r="K199" s="15">
        <f>VLOOKUP(A199,Demográfico!A$2:E$400,5,FALSE)/(VLOOKUP(C199,Controle!A$16:G$24,7,FALSE))*E199</f>
        <v>6.230149178086692E-2</v>
      </c>
      <c r="L199" s="118">
        <f>((J199*(1+I199))+3*(I199+K199))/4</f>
        <v>0.50544268351185795</v>
      </c>
      <c r="M199" s="3">
        <v>1</v>
      </c>
      <c r="N199" s="88">
        <f>VLOOKUP(A199,Demográfico!A$2:E$400,5,FALSE)*I199</f>
        <v>800.36719161102246</v>
      </c>
      <c r="O199" s="96">
        <f>FLOOR(L199,1)</f>
        <v>0</v>
      </c>
      <c r="P199" s="96">
        <f>L199-O199</f>
        <v>0.50544268351185795</v>
      </c>
      <c r="Q199" s="87">
        <f>RANK(P199,P$2:P$400,0)</f>
        <v>150</v>
      </c>
      <c r="R199" s="3">
        <f>O199+IF(Q199&lt;Q$1,1,0)</f>
        <v>1</v>
      </c>
      <c r="T199" s="87">
        <f>VLOOKUP(A199,Demográfico!A$2:E$400,5,FALSE)*(I199)</f>
        <v>800.36719161102246</v>
      </c>
    </row>
    <row r="200" spans="1:20" ht="19.5" x14ac:dyDescent="0.25">
      <c r="A200" s="2" t="s">
        <v>205</v>
      </c>
      <c r="B200" s="37">
        <v>9681</v>
      </c>
      <c r="C200" s="4" t="str" cm="1">
        <f t="array" ref="C200">_xlfn.IFS(B200&lt;20000, "P1",B200&lt;40000, "P2",B200&lt;70000, "P3",B200&lt;100000, "P4",B200&lt;200000,"M1",B200&lt;500000,"M2",B200&lt;1000000,"G1",B200&gt;1000000,"G2")</f>
        <v>P1</v>
      </c>
      <c r="D200" s="13">
        <f>VLOOKUP(C200,Controle!A$2:H$9,8,FALSE)</f>
        <v>38.874046212109647</v>
      </c>
      <c r="E200" s="13">
        <f>VLOOKUP(C200,Controle!A$16:H$23,8,FALSE)</f>
        <v>13.454529704853227</v>
      </c>
      <c r="F200" s="5">
        <f>VLOOKUP(A200,Educacional!A$2:P$405,16,FALSE)</f>
        <v>65.531439870216531</v>
      </c>
      <c r="G200" s="6">
        <f>VLOOKUP(A200,Demográfico!A$2:L$405,12,FALSE)</f>
        <v>70.933436181007139</v>
      </c>
      <c r="H200" s="7">
        <f>VLOOKUP(A200,Socioeconômico!A$2:M$405,13,FALSE)</f>
        <v>37.767109496647144</v>
      </c>
      <c r="I200" s="16">
        <f>(2*F200+G200+2*H200)/5/100</f>
        <v>0.55506106982946901</v>
      </c>
      <c r="J200" s="15">
        <f>VLOOKUP(A200,Demográfico!A$2:E$400,5,FALSE)/(VLOOKUP(C200,Controle!A$2:G$9,7,FALSE))*D200</f>
        <v>0.15940812099840232</v>
      </c>
      <c r="K200" s="15">
        <f>VLOOKUP(A200,Demográfico!A$2:E$400,5,FALSE)/(VLOOKUP(C200,Controle!A$16:G$24,7,FALSE))*E200</f>
        <v>5.517206229228918E-2</v>
      </c>
      <c r="L200" s="118">
        <f>((J200*(1+I200))+3*(I200+K200))/4</f>
        <v>0.51964718988613889</v>
      </c>
      <c r="M200" s="3">
        <v>1</v>
      </c>
      <c r="N200" s="88">
        <f>VLOOKUP(A200,Demográfico!A$2:E$400,5,FALSE)*I200</f>
        <v>755.99317710773676</v>
      </c>
      <c r="O200" s="96">
        <f>FLOOR(L200,1)</f>
        <v>0</v>
      </c>
      <c r="P200" s="96">
        <f>L200-O200</f>
        <v>0.51964718988613889</v>
      </c>
      <c r="Q200" s="87">
        <f>RANK(P200,P$2:P$400,0)</f>
        <v>136</v>
      </c>
      <c r="R200" s="3">
        <f>O200+IF(Q200&lt;Q$1,1,0)</f>
        <v>1</v>
      </c>
      <c r="T200" s="87">
        <f>VLOOKUP(A200,Demográfico!A$2:E$400,5,FALSE)*(I200)</f>
        <v>755.99317710773676</v>
      </c>
    </row>
    <row r="201" spans="1:20" ht="19.5" x14ac:dyDescent="0.25">
      <c r="A201" s="2" t="s">
        <v>206</v>
      </c>
      <c r="B201" s="37">
        <v>9670</v>
      </c>
      <c r="C201" s="4" t="str" cm="1">
        <f t="array" ref="C201">_xlfn.IFS(B201&lt;20000, "P1",B201&lt;40000, "P2",B201&lt;70000, "P3",B201&lt;100000, "P4",B201&lt;200000,"M1",B201&lt;500000,"M2",B201&lt;1000000,"G1",B201&gt;1000000,"G2")</f>
        <v>P1</v>
      </c>
      <c r="D201" s="13">
        <f>VLOOKUP(C201,Controle!A$2:H$9,8,FALSE)</f>
        <v>38.874046212109647</v>
      </c>
      <c r="E201" s="13">
        <f>VLOOKUP(C201,Controle!A$16:H$23,8,FALSE)</f>
        <v>13.454529704853227</v>
      </c>
      <c r="F201" s="5">
        <f>VLOOKUP(A201,Educacional!A$2:P$405,16,FALSE)</f>
        <v>77.692521009393161</v>
      </c>
      <c r="G201" s="6">
        <f>VLOOKUP(A201,Demográfico!A$2:L$405,12,FALSE)</f>
        <v>58.564596434806404</v>
      </c>
      <c r="H201" s="7">
        <f>VLOOKUP(A201,Socioeconômico!A$2:M$405,13,FALSE)</f>
        <v>63.615724597295767</v>
      </c>
      <c r="I201" s="16">
        <f>(2*F201+G201+2*H201)/5/100</f>
        <v>0.68236217529636856</v>
      </c>
      <c r="J201" s="15">
        <f>VLOOKUP(A201,Demográfico!A$2:E$400,5,FALSE)/(VLOOKUP(C201,Controle!A$2:G$9,7,FALSE))*D201</f>
        <v>0.172282492004147</v>
      </c>
      <c r="K201" s="15">
        <f>VLOOKUP(A201,Demográfico!A$2:E$400,5,FALSE)/(VLOOKUP(C201,Controle!A$16:G$24,7,FALSE))*E201</f>
        <v>5.9627955722650269E-2</v>
      </c>
      <c r="L201" s="118">
        <f>((J201*(1+I201))+3*(I201+K201))/4</f>
        <v>0.62895298526765808</v>
      </c>
      <c r="M201" s="3">
        <v>1</v>
      </c>
      <c r="N201" s="88">
        <f>VLOOKUP(A201,Demográfico!A$2:E$400,5,FALSE)*I201</f>
        <v>1004.4371220362546</v>
      </c>
      <c r="O201" s="96">
        <f>FLOOR(L201,1)</f>
        <v>0</v>
      </c>
      <c r="P201" s="96">
        <f>L201-O201</f>
        <v>0.62895298526765808</v>
      </c>
      <c r="Q201" s="87">
        <f>RANK(P201,P$2:P$400,0)</f>
        <v>58</v>
      </c>
      <c r="R201" s="3">
        <f>O201+IF(Q201&lt;Q$1,1,0)</f>
        <v>1</v>
      </c>
      <c r="T201" s="87">
        <f>VLOOKUP(A201,Demográfico!A$2:E$400,5,FALSE)*(I201)</f>
        <v>1004.4371220362546</v>
      </c>
    </row>
    <row r="202" spans="1:20" ht="19.5" x14ac:dyDescent="0.25">
      <c r="A202" s="2" t="s">
        <v>207</v>
      </c>
      <c r="B202" s="37">
        <v>9557</v>
      </c>
      <c r="C202" s="4" t="str" cm="1">
        <f t="array" ref="C202">_xlfn.IFS(B202&lt;20000, "P1",B202&lt;40000, "P2",B202&lt;70000, "P3",B202&lt;100000, "P4",B202&lt;200000,"M1",B202&lt;500000,"M2",B202&lt;1000000,"G1",B202&gt;1000000,"G2")</f>
        <v>P1</v>
      </c>
      <c r="D202" s="13">
        <f>VLOOKUP(C202,Controle!A$2:H$9,8,FALSE)</f>
        <v>38.874046212109647</v>
      </c>
      <c r="E202" s="13">
        <f>VLOOKUP(C202,Controle!A$16:H$23,8,FALSE)</f>
        <v>13.454529704853227</v>
      </c>
      <c r="F202" s="5">
        <f>VLOOKUP(A202,Educacional!A$2:P$405,16,FALSE)</f>
        <v>45.587479699198923</v>
      </c>
      <c r="G202" s="6">
        <f>VLOOKUP(A202,Demográfico!A$2:L$405,12,FALSE)</f>
        <v>58.189872800625196</v>
      </c>
      <c r="H202" s="7">
        <f>VLOOKUP(A202,Socioeconômico!A$2:M$405,13,FALSE)</f>
        <v>36.091155046539207</v>
      </c>
      <c r="I202" s="16">
        <f>(2*F202+G202+2*H202)/5/100</f>
        <v>0.44309428458420291</v>
      </c>
      <c r="J202" s="15">
        <f>VLOOKUP(A202,Demográfico!A$2:E$400,5,FALSE)/(VLOOKUP(C202,Controle!A$2:G$9,7,FALSE))*D202</f>
        <v>0.15390725338685685</v>
      </c>
      <c r="K202" s="15">
        <f>VLOOKUP(A202,Demográfico!A$2:E$400,5,FALSE)/(VLOOKUP(C202,Controle!A$16:G$24,7,FALSE))*E202</f>
        <v>5.3268180553862163E-2</v>
      </c>
      <c r="L202" s="118">
        <f>((J202*(1+I202))+3*(I202+K202))/4</f>
        <v>0.42779751828320528</v>
      </c>
      <c r="M202" s="3">
        <v>0</v>
      </c>
      <c r="N202" s="88">
        <f>VLOOKUP(A202,Demográfico!A$2:E$400,5,FALSE)*I202</f>
        <v>582.6689842282268</v>
      </c>
      <c r="O202" s="96">
        <f>FLOOR(L202,1)</f>
        <v>0</v>
      </c>
      <c r="P202" s="96">
        <f>L202-O202</f>
        <v>0.42779751828320528</v>
      </c>
      <c r="Q202" s="87">
        <f>RANK(P202,P$2:P$400,0)</f>
        <v>244</v>
      </c>
      <c r="R202" s="3">
        <f>O202+IF(Q202&lt;Q$1,1,0)</f>
        <v>0</v>
      </c>
      <c r="T202" s="87">
        <f>VLOOKUP(A202,Demográfico!A$2:E$400,5,FALSE)*(I202)</f>
        <v>582.6689842282268</v>
      </c>
    </row>
    <row r="203" spans="1:20" ht="19.5" x14ac:dyDescent="0.25">
      <c r="A203" s="2" t="s">
        <v>208</v>
      </c>
      <c r="B203" s="37">
        <v>9547</v>
      </c>
      <c r="C203" s="4" t="str" cm="1">
        <f t="array" ref="C203">_xlfn.IFS(B203&lt;20000, "P1",B203&lt;40000, "P2",B203&lt;70000, "P3",B203&lt;100000, "P4",B203&lt;200000,"M1",B203&lt;500000,"M2",B203&lt;1000000,"G1",B203&gt;1000000,"G2")</f>
        <v>P1</v>
      </c>
      <c r="D203" s="13">
        <f>VLOOKUP(C203,Controle!A$2:H$9,8,FALSE)</f>
        <v>38.874046212109647</v>
      </c>
      <c r="E203" s="13">
        <f>VLOOKUP(C203,Controle!A$16:H$23,8,FALSE)</f>
        <v>13.454529704853227</v>
      </c>
      <c r="F203" s="5">
        <f>VLOOKUP(A203,Educacional!A$2:P$405,16,FALSE)</f>
        <v>74.270402190174678</v>
      </c>
      <c r="G203" s="6">
        <f>VLOOKUP(A203,Demográfico!A$2:L$405,12,FALSE)</f>
        <v>52.897022733084142</v>
      </c>
      <c r="H203" s="7">
        <f>VLOOKUP(A203,Socioeconômico!A$2:M$405,13,FALSE)</f>
        <v>54.963639580418914</v>
      </c>
      <c r="I203" s="16">
        <f>(2*F203+G203+2*H203)/5/100</f>
        <v>0.62273021254854266</v>
      </c>
      <c r="J203" s="15">
        <f>VLOOKUP(A203,Demográfico!A$2:E$400,5,FALSE)/(VLOOKUP(C203,Controle!A$2:G$9,7,FALSE))*D203</f>
        <v>0.15203461760420309</v>
      </c>
      <c r="K203" s="15">
        <f>VLOOKUP(A203,Demográfico!A$2:E$400,5,FALSE)/(VLOOKUP(C203,Controle!A$16:G$24,7,FALSE))*E203</f>
        <v>5.2620050600355094E-2</v>
      </c>
      <c r="L203" s="118">
        <f>((J203*(1+I203))+3*(I203+K203))/4</f>
        <v>0.56819048919657456</v>
      </c>
      <c r="M203" s="3">
        <v>1</v>
      </c>
      <c r="N203" s="88">
        <f>VLOOKUP(A203,Demográfico!A$2:E$400,5,FALSE)*I203</f>
        <v>808.92654610055695</v>
      </c>
      <c r="O203" s="96">
        <f>FLOOR(L203,1)</f>
        <v>0</v>
      </c>
      <c r="P203" s="96">
        <f>L203-O203</f>
        <v>0.56819048919657456</v>
      </c>
      <c r="Q203" s="87">
        <f>RANK(P203,P$2:P$400,0)</f>
        <v>106</v>
      </c>
      <c r="R203" s="3">
        <f>O203+IF(Q203&lt;Q$1,1,0)</f>
        <v>1</v>
      </c>
      <c r="T203" s="87">
        <f>VLOOKUP(A203,Demográfico!A$2:E$400,5,FALSE)*(I203)</f>
        <v>808.92654610055695</v>
      </c>
    </row>
    <row r="204" spans="1:20" ht="19.5" x14ac:dyDescent="0.25">
      <c r="A204" s="2" t="s">
        <v>209</v>
      </c>
      <c r="B204" s="37">
        <v>9460</v>
      </c>
      <c r="C204" s="4" t="str" cm="1">
        <f t="array" ref="C204">_xlfn.IFS(B204&lt;20000, "P1",B204&lt;40000, "P2",B204&lt;70000, "P3",B204&lt;100000, "P4",B204&lt;200000,"M1",B204&lt;500000,"M2",B204&lt;1000000,"G1",B204&gt;1000000,"G2")</f>
        <v>P1</v>
      </c>
      <c r="D204" s="13">
        <f>VLOOKUP(C204,Controle!A$2:H$9,8,FALSE)</f>
        <v>38.874046212109647</v>
      </c>
      <c r="E204" s="13">
        <f>VLOOKUP(C204,Controle!A$16:H$23,8,FALSE)</f>
        <v>13.454529704853227</v>
      </c>
      <c r="F204" s="5">
        <f>VLOOKUP(A204,Educacional!A$2:P$405,16,FALSE)</f>
        <v>53.429573298964414</v>
      </c>
      <c r="G204" s="6">
        <f>VLOOKUP(A204,Demográfico!A$2:L$405,12,FALSE)</f>
        <v>31.797562234926136</v>
      </c>
      <c r="H204" s="7">
        <f>VLOOKUP(A204,Socioeconômico!A$2:M$405,13,FALSE)</f>
        <v>33.465382233448132</v>
      </c>
      <c r="I204" s="16">
        <f>(2*F204+G204+2*H204)/5/100</f>
        <v>0.41117494659950254</v>
      </c>
      <c r="J204" s="15">
        <f>VLOOKUP(A204,Demográfico!A$2:E$400,5,FALSE)/(VLOOKUP(C204,Controle!A$2:G$9,7,FALSE))*D204</f>
        <v>0.14360775658226113</v>
      </c>
      <c r="K204" s="15">
        <f>VLOOKUP(A204,Demográfico!A$2:E$400,5,FALSE)/(VLOOKUP(C204,Controle!A$16:G$24,7,FALSE))*E204</f>
        <v>4.9703465809573286E-2</v>
      </c>
      <c r="L204" s="118">
        <f>((J204*(1+I204))+3*(I204+K204))/4</f>
        <v>0.39632272636336852</v>
      </c>
      <c r="M204" s="3">
        <v>0</v>
      </c>
      <c r="N204" s="88">
        <f>VLOOKUP(A204,Demográfico!A$2:E$400,5,FALSE)*I204</f>
        <v>504.5116594775896</v>
      </c>
      <c r="O204" s="96">
        <f>FLOOR(L204,1)</f>
        <v>0</v>
      </c>
      <c r="P204" s="96">
        <f>L204-O204</f>
        <v>0.39632272636336852</v>
      </c>
      <c r="Q204" s="87">
        <f>RANK(P204,P$2:P$400,0)</f>
        <v>290</v>
      </c>
      <c r="R204" s="3">
        <f>O204+IF(Q204&lt;Q$1,1,0)</f>
        <v>0</v>
      </c>
      <c r="T204" s="87">
        <f>VLOOKUP(A204,Demográfico!A$2:E$400,5,FALSE)*(I204)</f>
        <v>504.5116594775896</v>
      </c>
    </row>
    <row r="205" spans="1:20" ht="19.5" x14ac:dyDescent="0.25">
      <c r="A205" s="2" t="s">
        <v>210</v>
      </c>
      <c r="B205" s="37">
        <v>9383</v>
      </c>
      <c r="C205" s="4" t="str" cm="1">
        <f t="array" ref="C205">_xlfn.IFS(B205&lt;20000, "P1",B205&lt;40000, "P2",B205&lt;70000, "P3",B205&lt;100000, "P4",B205&lt;200000,"M1",B205&lt;500000,"M2",B205&lt;1000000,"G1",B205&gt;1000000,"G2")</f>
        <v>P1</v>
      </c>
      <c r="D205" s="13">
        <f>VLOOKUP(C205,Controle!A$2:H$9,8,FALSE)</f>
        <v>38.874046212109647</v>
      </c>
      <c r="E205" s="13">
        <f>VLOOKUP(C205,Controle!A$16:H$23,8,FALSE)</f>
        <v>13.454529704853227</v>
      </c>
      <c r="F205" s="5">
        <f>VLOOKUP(A205,Educacional!A$2:P$405,16,FALSE)</f>
        <v>53.983278307296658</v>
      </c>
      <c r="G205" s="6">
        <f>VLOOKUP(A205,Demográfico!A$2:L$405,12,FALSE)</f>
        <v>48.531081461072759</v>
      </c>
      <c r="H205" s="7">
        <f>VLOOKUP(A205,Socioeconômico!A$2:M$405,13,FALSE)</f>
        <v>49.441012591261376</v>
      </c>
      <c r="I205" s="16">
        <f>(2*F205+G205+2*H205)/5/100</f>
        <v>0.51075932651637768</v>
      </c>
      <c r="J205" s="15">
        <f>VLOOKUP(A205,Demográfico!A$2:E$400,5,FALSE)/(VLOOKUP(C205,Controle!A$2:G$9,7,FALSE))*D205</f>
        <v>0.17485736620529596</v>
      </c>
      <c r="K205" s="15">
        <f>VLOOKUP(A205,Demográfico!A$2:E$400,5,FALSE)/(VLOOKUP(C205,Controle!A$16:G$24,7,FALSE))*E205</f>
        <v>6.0519134408722489E-2</v>
      </c>
      <c r="L205" s="118">
        <f>((J205*(1+I205))+3*(I205+K205))/4</f>
        <v>0.49450069489501025</v>
      </c>
      <c r="M205" s="3">
        <v>1</v>
      </c>
      <c r="N205" s="88">
        <f>VLOOKUP(A205,Demográfico!A$2:E$400,5,FALSE)*I205</f>
        <v>763.0744338154683</v>
      </c>
      <c r="O205" s="96">
        <f>FLOOR(L205,1)</f>
        <v>0</v>
      </c>
      <c r="P205" s="96">
        <f>L205-O205</f>
        <v>0.49450069489501025</v>
      </c>
      <c r="Q205" s="87">
        <f>RANK(P205,P$2:P$400,0)</f>
        <v>163</v>
      </c>
      <c r="R205" s="3">
        <f>O205+IF(Q205&lt;Q$1,1,0)</f>
        <v>1</v>
      </c>
      <c r="T205" s="87">
        <f>VLOOKUP(A205,Demográfico!A$2:E$400,5,FALSE)*(I205)</f>
        <v>763.0744338154683</v>
      </c>
    </row>
    <row r="206" spans="1:20" ht="19.5" x14ac:dyDescent="0.25">
      <c r="A206" s="2" t="s">
        <v>211</v>
      </c>
      <c r="B206" s="37">
        <v>9378</v>
      </c>
      <c r="C206" s="4" t="str" cm="1">
        <f t="array" ref="C206">_xlfn.IFS(B206&lt;20000, "P1",B206&lt;40000, "P2",B206&lt;70000, "P3",B206&lt;100000, "P4",B206&lt;200000,"M1",B206&lt;500000,"M2",B206&lt;1000000,"G1",B206&gt;1000000,"G2")</f>
        <v>P1</v>
      </c>
      <c r="D206" s="13">
        <f>VLOOKUP(C206,Controle!A$2:H$9,8,FALSE)</f>
        <v>38.874046212109647</v>
      </c>
      <c r="E206" s="13">
        <f>VLOOKUP(C206,Controle!A$16:H$23,8,FALSE)</f>
        <v>13.454529704853227</v>
      </c>
      <c r="F206" s="5">
        <f>VLOOKUP(A206,Educacional!A$2:P$405,16,FALSE)</f>
        <v>43.393518444900167</v>
      </c>
      <c r="G206" s="6">
        <f>VLOOKUP(A206,Demográfico!A$2:L$405,12,FALSE)</f>
        <v>37.890030560047123</v>
      </c>
      <c r="H206" s="7">
        <f>VLOOKUP(A206,Socioeconômico!A$2:M$405,13,FALSE)</f>
        <v>29.432163408539026</v>
      </c>
      <c r="I206" s="16">
        <f>(2*F206+G206+2*H206)/5/100</f>
        <v>0.36708278853385101</v>
      </c>
      <c r="J206" s="15">
        <f>VLOOKUP(A206,Demográfico!A$2:E$400,5,FALSE)/(VLOOKUP(C206,Controle!A$2:G$9,7,FALSE))*D206</f>
        <v>0.13822392870713152</v>
      </c>
      <c r="K206" s="15">
        <f>VLOOKUP(A206,Demográfico!A$2:E$400,5,FALSE)/(VLOOKUP(C206,Controle!A$16:G$24,7,FALSE))*E206</f>
        <v>4.7840092193240466E-2</v>
      </c>
      <c r="L206" s="118">
        <f>((J206*(1+I206))+3*(I206+K206))/4</f>
        <v>0.358433049020081</v>
      </c>
      <c r="M206" s="3">
        <v>0</v>
      </c>
      <c r="N206" s="88">
        <f>VLOOKUP(A206,Demográfico!A$2:E$400,5,FALSE)*I206</f>
        <v>433.52477325847804</v>
      </c>
      <c r="O206" s="96">
        <f>FLOOR(L206,1)</f>
        <v>0</v>
      </c>
      <c r="P206" s="96">
        <f>L206-O206</f>
        <v>0.358433049020081</v>
      </c>
      <c r="Q206" s="87">
        <f>RANK(P206,P$2:P$400,0)</f>
        <v>322</v>
      </c>
      <c r="R206" s="3">
        <f>O206+IF(Q206&lt;Q$1,1,0)</f>
        <v>0</v>
      </c>
      <c r="T206" s="87">
        <f>VLOOKUP(A206,Demográfico!A$2:E$400,5,FALSE)*(I206)</f>
        <v>433.52477325847804</v>
      </c>
    </row>
    <row r="207" spans="1:20" ht="19.5" x14ac:dyDescent="0.25">
      <c r="A207" s="2" t="s">
        <v>212</v>
      </c>
      <c r="B207" s="37">
        <v>9161</v>
      </c>
      <c r="C207" s="4" t="str" cm="1">
        <f t="array" ref="C207">_xlfn.IFS(B207&lt;20000, "P1",B207&lt;40000, "P2",B207&lt;70000, "P3",B207&lt;100000, "P4",B207&lt;200000,"M1",B207&lt;500000,"M2",B207&lt;1000000,"G1",B207&gt;1000000,"G2")</f>
        <v>P1</v>
      </c>
      <c r="D207" s="13">
        <f>VLOOKUP(C207,Controle!A$2:H$9,8,FALSE)</f>
        <v>38.874046212109647</v>
      </c>
      <c r="E207" s="13">
        <f>VLOOKUP(C207,Controle!A$16:H$23,8,FALSE)</f>
        <v>13.454529704853227</v>
      </c>
      <c r="F207" s="5">
        <f>VLOOKUP(A207,Educacional!A$2:P$405,16,FALSE)</f>
        <v>41.480863288666136</v>
      </c>
      <c r="G207" s="6">
        <f>VLOOKUP(A207,Demográfico!A$2:L$405,12,FALSE)</f>
        <v>30.205668510062171</v>
      </c>
      <c r="H207" s="7">
        <f>VLOOKUP(A207,Socioeconômico!A$2:M$405,13,FALSE)</f>
        <v>22.427845618265319</v>
      </c>
      <c r="I207" s="16">
        <f>(2*F207+G207+2*H207)/5/100</f>
        <v>0.31604617264785012</v>
      </c>
      <c r="J207" s="15">
        <f>VLOOKUP(A207,Demográfico!A$2:E$400,5,FALSE)/(VLOOKUP(C207,Controle!A$2:G$9,7,FALSE))*D207</f>
        <v>0.14138400159035977</v>
      </c>
      <c r="K207" s="15">
        <f>VLOOKUP(A207,Demográfico!A$2:E$400,5,FALSE)/(VLOOKUP(C207,Controle!A$16:G$24,7,FALSE))*E207</f>
        <v>4.8933811489783645E-2</v>
      </c>
      <c r="L207" s="118">
        <f>((J207*(1+I207))+3*(I207+K207))/4</f>
        <v>0.32025195664488293</v>
      </c>
      <c r="M207" s="3">
        <v>0</v>
      </c>
      <c r="N207" s="88">
        <f>VLOOKUP(A207,Demográfico!A$2:E$400,5,FALSE)*I207</f>
        <v>381.78377655860294</v>
      </c>
      <c r="O207" s="96">
        <f>FLOOR(L207,1)</f>
        <v>0</v>
      </c>
      <c r="P207" s="96">
        <f>L207-O207</f>
        <v>0.32025195664488293</v>
      </c>
      <c r="Q207" s="87">
        <f>RANK(P207,P$2:P$400,0)</f>
        <v>348</v>
      </c>
      <c r="R207" s="3">
        <f>O207+IF(Q207&lt;Q$1,1,0)</f>
        <v>0</v>
      </c>
      <c r="T207" s="87">
        <f>VLOOKUP(A207,Demográfico!A$2:E$400,5,FALSE)*(I207)</f>
        <v>381.78377655860294</v>
      </c>
    </row>
    <row r="208" spans="1:20" ht="19.5" x14ac:dyDescent="0.25">
      <c r="A208" s="2" t="s">
        <v>213</v>
      </c>
      <c r="B208" s="37">
        <v>9144</v>
      </c>
      <c r="C208" s="4" t="str" cm="1">
        <f t="array" ref="C208">_xlfn.IFS(B208&lt;20000, "P1",B208&lt;40000, "P2",B208&lt;70000, "P3",B208&lt;100000, "P4",B208&lt;200000,"M1",B208&lt;500000,"M2",B208&lt;1000000,"G1",B208&gt;1000000,"G2")</f>
        <v>P1</v>
      </c>
      <c r="D208" s="13">
        <f>VLOOKUP(C208,Controle!A$2:H$9,8,FALSE)</f>
        <v>38.874046212109647</v>
      </c>
      <c r="E208" s="13">
        <f>VLOOKUP(C208,Controle!A$16:H$23,8,FALSE)</f>
        <v>13.454529704853227</v>
      </c>
      <c r="F208" s="5">
        <f>VLOOKUP(A208,Educacional!A$2:P$405,16,FALSE)</f>
        <v>55.494261924356067</v>
      </c>
      <c r="G208" s="6">
        <f>VLOOKUP(A208,Demográfico!A$2:L$405,12,FALSE)</f>
        <v>40.908058617877607</v>
      </c>
      <c r="H208" s="7">
        <f>VLOOKUP(A208,Socioeconômico!A$2:M$405,13,FALSE)</f>
        <v>39.319095405145234</v>
      </c>
      <c r="I208" s="16">
        <f>(2*F208+G208+2*H208)/5/100</f>
        <v>0.46106954655376042</v>
      </c>
      <c r="J208" s="15">
        <f>VLOOKUP(A208,Demográfico!A$2:E$400,5,FALSE)/(VLOOKUP(C208,Controle!A$2:G$9,7,FALSE))*D208</f>
        <v>0.11879533246209865</v>
      </c>
      <c r="K208" s="15">
        <f>VLOOKUP(A208,Demográfico!A$2:E$400,5,FALSE)/(VLOOKUP(C208,Controle!A$16:G$24,7,FALSE))*E208</f>
        <v>4.1115743925604638E-2</v>
      </c>
      <c r="L208" s="118">
        <f>((J208*(1+I208))+3*(I208+K208))/4</f>
        <v>0.42003102849279927</v>
      </c>
      <c r="M208" s="3">
        <v>1</v>
      </c>
      <c r="N208" s="88">
        <f>VLOOKUP(A208,Demográfico!A$2:E$400,5,FALSE)*I208</f>
        <v>467.98558975206686</v>
      </c>
      <c r="O208" s="96">
        <f>FLOOR(L208,1)</f>
        <v>0</v>
      </c>
      <c r="P208" s="96">
        <f>L208-O208</f>
        <v>0.42003102849279927</v>
      </c>
      <c r="Q208" s="87">
        <f>RANK(P208,P$2:P$400,0)</f>
        <v>256</v>
      </c>
      <c r="R208" s="3">
        <f>O208+IF(Q208&lt;Q$1,1,0)</f>
        <v>0</v>
      </c>
      <c r="T208" s="87">
        <f>VLOOKUP(A208,Demográfico!A$2:E$400,5,FALSE)*(I208)</f>
        <v>467.98558975206686</v>
      </c>
    </row>
    <row r="209" spans="1:20" ht="19.5" x14ac:dyDescent="0.25">
      <c r="A209" s="2" t="s">
        <v>214</v>
      </c>
      <c r="B209" s="37">
        <v>9097</v>
      </c>
      <c r="C209" s="4" t="str" cm="1">
        <f t="array" ref="C209">_xlfn.IFS(B209&lt;20000, "P1",B209&lt;40000, "P2",B209&lt;70000, "P3",B209&lt;100000, "P4",B209&lt;200000,"M1",B209&lt;500000,"M2",B209&lt;1000000,"G1",B209&gt;1000000,"G2")</f>
        <v>P1</v>
      </c>
      <c r="D209" s="13">
        <f>VLOOKUP(C209,Controle!A$2:H$9,8,FALSE)</f>
        <v>38.874046212109647</v>
      </c>
      <c r="E209" s="13">
        <f>VLOOKUP(C209,Controle!A$16:H$23,8,FALSE)</f>
        <v>13.454529704853227</v>
      </c>
      <c r="F209" s="5">
        <f>VLOOKUP(A209,Educacional!A$2:P$405,16,FALSE)</f>
        <v>41.05527688415296</v>
      </c>
      <c r="G209" s="6">
        <f>VLOOKUP(A209,Demográfico!A$2:L$405,12,FALSE)</f>
        <v>51.003504979803679</v>
      </c>
      <c r="H209" s="7">
        <f>VLOOKUP(A209,Socioeconômico!A$2:M$405,13,FALSE)</f>
        <v>33.32067438084961</v>
      </c>
      <c r="I209" s="16">
        <f>(2*F209+G209+2*H209)/5/100</f>
        <v>0.3995108150196176</v>
      </c>
      <c r="J209" s="15">
        <f>VLOOKUP(A209,Demográfico!A$2:E$400,5,FALSE)/(VLOOKUP(C209,Controle!A$2:G$9,7,FALSE))*D209</f>
        <v>0.13857504791637909</v>
      </c>
      <c r="K209" s="15">
        <f>VLOOKUP(A209,Demográfico!A$2:E$400,5,FALSE)/(VLOOKUP(C209,Controle!A$16:G$24,7,FALSE))*E209</f>
        <v>4.7961616559523038E-2</v>
      </c>
      <c r="L209" s="118">
        <f>((J209*(1+I209))+3*(I209+K209))/4</f>
        <v>0.38408864324706399</v>
      </c>
      <c r="M209" s="3">
        <v>0</v>
      </c>
      <c r="N209" s="88">
        <f>VLOOKUP(A209,Demográfico!A$2:E$400,5,FALSE)*I209</f>
        <v>473.02080498322726</v>
      </c>
      <c r="O209" s="96">
        <f>FLOOR(L209,1)</f>
        <v>0</v>
      </c>
      <c r="P209" s="96">
        <f>L209-O209</f>
        <v>0.38408864324706399</v>
      </c>
      <c r="Q209" s="87">
        <f>RANK(P209,P$2:P$400,0)</f>
        <v>302</v>
      </c>
      <c r="R209" s="3">
        <f>O209+IF(Q209&lt;Q$1,1,0)</f>
        <v>0</v>
      </c>
      <c r="T209" s="87">
        <f>VLOOKUP(A209,Demográfico!A$2:E$400,5,FALSE)*(I209)</f>
        <v>473.02080498322726</v>
      </c>
    </row>
    <row r="210" spans="1:20" ht="19.5" x14ac:dyDescent="0.25">
      <c r="A210" s="2" t="s">
        <v>215</v>
      </c>
      <c r="B210" s="37">
        <v>8991</v>
      </c>
      <c r="C210" s="4" t="str" cm="1">
        <f t="array" ref="C210">_xlfn.IFS(B210&lt;20000, "P1",B210&lt;40000, "P2",B210&lt;70000, "P3",B210&lt;100000, "P4",B210&lt;200000,"M1",B210&lt;500000,"M2",B210&lt;1000000,"G1",B210&gt;1000000,"G2")</f>
        <v>P1</v>
      </c>
      <c r="D210" s="13">
        <f>VLOOKUP(C210,Controle!A$2:H$9,8,FALSE)</f>
        <v>38.874046212109647</v>
      </c>
      <c r="E210" s="13">
        <f>VLOOKUP(C210,Controle!A$16:H$23,8,FALSE)</f>
        <v>13.454529704853227</v>
      </c>
      <c r="F210" s="5">
        <f>VLOOKUP(A210,Educacional!A$2:P$405,16,FALSE)</f>
        <v>57.226352678877646</v>
      </c>
      <c r="G210" s="6">
        <f>VLOOKUP(A210,Demográfico!A$2:L$405,12,FALSE)</f>
        <v>68.492797687399715</v>
      </c>
      <c r="H210" s="7">
        <f>VLOOKUP(A210,Socioeconômico!A$2:M$405,13,FALSE)</f>
        <v>53.164948582935843</v>
      </c>
      <c r="I210" s="16">
        <f>(2*F210+G210+2*H210)/5/100</f>
        <v>0.57855080042205342</v>
      </c>
      <c r="J210" s="15">
        <f>VLOOKUP(A210,Demográfico!A$2:E$400,5,FALSE)/(VLOOKUP(C210,Controle!A$2:G$9,7,FALSE))*D210</f>
        <v>0.12300876297306963</v>
      </c>
      <c r="K210" s="15">
        <f>VLOOKUP(A210,Demográfico!A$2:E$400,5,FALSE)/(VLOOKUP(C210,Controle!A$16:G$24,7,FALSE))*E210</f>
        <v>4.2574036320995538E-2</v>
      </c>
      <c r="L210" s="118">
        <f>((J210*(1+I210))+3*(I210+K210))/4</f>
        <v>0.51438752286980316</v>
      </c>
      <c r="M210" s="3">
        <v>1</v>
      </c>
      <c r="N210" s="88">
        <f>VLOOKUP(A210,Demográfico!A$2:E$400,5,FALSE)*I210</f>
        <v>608.05689124357809</v>
      </c>
      <c r="O210" s="96">
        <f>FLOOR(L210,1)</f>
        <v>0</v>
      </c>
      <c r="P210" s="96">
        <f>L210-O210</f>
        <v>0.51438752286980316</v>
      </c>
      <c r="Q210" s="87">
        <f>RANK(P210,P$2:P$400,0)</f>
        <v>141</v>
      </c>
      <c r="R210" s="3">
        <f>O210+IF(Q210&lt;Q$1,1,0)</f>
        <v>1</v>
      </c>
      <c r="T210" s="87">
        <f>VLOOKUP(A210,Demográfico!A$2:E$400,5,FALSE)*(I210)</f>
        <v>608.05689124357809</v>
      </c>
    </row>
    <row r="211" spans="1:20" ht="19.5" x14ac:dyDescent="0.25">
      <c r="A211" s="2" t="s">
        <v>216</v>
      </c>
      <c r="B211" s="37">
        <v>8912</v>
      </c>
      <c r="C211" s="4" t="str" cm="1">
        <f t="array" ref="C211">_xlfn.IFS(B211&lt;20000, "P1",B211&lt;40000, "P2",B211&lt;70000, "P3",B211&lt;100000, "P4",B211&lt;200000,"M1",B211&lt;500000,"M2",B211&lt;1000000,"G1",B211&gt;1000000,"G2")</f>
        <v>P1</v>
      </c>
      <c r="D211" s="13">
        <f>VLOOKUP(C211,Controle!A$2:H$9,8,FALSE)</f>
        <v>38.874046212109647</v>
      </c>
      <c r="E211" s="13">
        <f>VLOOKUP(C211,Controle!A$16:H$23,8,FALSE)</f>
        <v>13.454529704853227</v>
      </c>
      <c r="F211" s="5">
        <f>VLOOKUP(A211,Educacional!A$2:P$405,16,FALSE)</f>
        <v>44.996822745396479</v>
      </c>
      <c r="G211" s="6">
        <f>VLOOKUP(A211,Demográfico!A$2:L$405,12,FALSE)</f>
        <v>69.91508056393829</v>
      </c>
      <c r="H211" s="7">
        <f>VLOOKUP(A211,Socioeconômico!A$2:M$405,13,FALSE)</f>
        <v>36.367251451268579</v>
      </c>
      <c r="I211" s="16">
        <f>(2*F211+G211+2*H211)/5/100</f>
        <v>0.46528645791453677</v>
      </c>
      <c r="J211" s="15">
        <f>VLOOKUP(A211,Demográfico!A$2:E$400,5,FALSE)/(VLOOKUP(C211,Controle!A$2:G$9,7,FALSE))*D211</f>
        <v>0.12733923322045648</v>
      </c>
      <c r="K211" s="15">
        <f>VLOOKUP(A211,Demográfico!A$2:E$400,5,FALSE)/(VLOOKUP(C211,Controle!A$16:G$24,7,FALSE))*E211</f>
        <v>4.4072836838480636E-2</v>
      </c>
      <c r="L211" s="118">
        <f>((J211*(1+I211))+3*(I211+K211))/4</f>
        <v>0.42866658456455203</v>
      </c>
      <c r="M211" s="3">
        <v>0</v>
      </c>
      <c r="N211" s="88">
        <f>VLOOKUP(A211,Demográfico!A$2:E$400,5,FALSE)*I211</f>
        <v>506.23166621101598</v>
      </c>
      <c r="O211" s="96">
        <f>FLOOR(L211,1)</f>
        <v>0</v>
      </c>
      <c r="P211" s="96">
        <f>L211-O211</f>
        <v>0.42866658456455203</v>
      </c>
      <c r="Q211" s="87">
        <f>RANK(P211,P$2:P$400,0)</f>
        <v>243</v>
      </c>
      <c r="R211" s="3">
        <f>O211+IF(Q211&lt;Q$1,1,0)</f>
        <v>0</v>
      </c>
      <c r="T211" s="87">
        <f>VLOOKUP(A211,Demográfico!A$2:E$400,5,FALSE)*(I211)</f>
        <v>506.23166621101598</v>
      </c>
    </row>
    <row r="212" spans="1:20" ht="19.5" x14ac:dyDescent="0.25">
      <c r="A212" s="2" t="s">
        <v>217</v>
      </c>
      <c r="B212" s="37">
        <v>8822</v>
      </c>
      <c r="C212" s="4" t="str" cm="1">
        <f t="array" ref="C212">_xlfn.IFS(B212&lt;20000, "P1",B212&lt;40000, "P2",B212&lt;70000, "P3",B212&lt;100000, "P4",B212&lt;200000,"M1",B212&lt;500000,"M2",B212&lt;1000000,"G1",B212&gt;1000000,"G2")</f>
        <v>P1</v>
      </c>
      <c r="D212" s="13">
        <f>VLOOKUP(C212,Controle!A$2:H$9,8,FALSE)</f>
        <v>38.874046212109647</v>
      </c>
      <c r="E212" s="13">
        <f>VLOOKUP(C212,Controle!A$16:H$23,8,FALSE)</f>
        <v>13.454529704853227</v>
      </c>
      <c r="F212" s="5">
        <f>VLOOKUP(A212,Educacional!A$2:P$405,16,FALSE)</f>
        <v>36.951930290174232</v>
      </c>
      <c r="G212" s="6">
        <f>VLOOKUP(A212,Demográfico!A$2:L$405,12,FALSE)</f>
        <v>37.876096667331154</v>
      </c>
      <c r="H212" s="7">
        <f>VLOOKUP(A212,Socioeconômico!A$2:M$405,13,FALSE)</f>
        <v>20.904353979802632</v>
      </c>
      <c r="I212" s="16">
        <f>(2*F212+G212+2*H212)/5/100</f>
        <v>0.30717733041456979</v>
      </c>
      <c r="J212" s="15">
        <f>VLOOKUP(A212,Demográfico!A$2:E$400,5,FALSE)/(VLOOKUP(C212,Controle!A$2:G$9,7,FALSE))*D212</f>
        <v>0.14103288238111217</v>
      </c>
      <c r="K212" s="15">
        <f>VLOOKUP(A212,Demográfico!A$2:E$400,5,FALSE)/(VLOOKUP(C212,Controle!A$16:G$24,7,FALSE))*E212</f>
        <v>4.8812287123501066E-2</v>
      </c>
      <c r="L212" s="118">
        <f>((J212*(1+I212))+3*(I212+K212))/4</f>
        <v>0.31308095982645667</v>
      </c>
      <c r="M212" s="3">
        <v>0</v>
      </c>
      <c r="N212" s="88">
        <f>VLOOKUP(A212,Demográfico!A$2:E$400,5,FALSE)*I212</f>
        <v>370.14868314955658</v>
      </c>
      <c r="O212" s="96">
        <f>FLOOR(L212,1)</f>
        <v>0</v>
      </c>
      <c r="P212" s="96">
        <f>L212-O212</f>
        <v>0.31308095982645667</v>
      </c>
      <c r="Q212" s="87">
        <f>RANK(P212,P$2:P$400,0)</f>
        <v>352</v>
      </c>
      <c r="R212" s="3">
        <f>O212+IF(Q212&lt;Q$1,1,0)</f>
        <v>0</v>
      </c>
      <c r="T212" s="87">
        <f>VLOOKUP(A212,Demográfico!A$2:E$400,5,FALSE)*(I212)</f>
        <v>370.14868314955658</v>
      </c>
    </row>
    <row r="213" spans="1:20" ht="19.5" x14ac:dyDescent="0.25">
      <c r="A213" s="2" t="s">
        <v>218</v>
      </c>
      <c r="B213" s="37">
        <v>8710</v>
      </c>
      <c r="C213" s="4" t="str" cm="1">
        <f t="array" ref="C213">_xlfn.IFS(B213&lt;20000, "P1",B213&lt;40000, "P2",B213&lt;70000, "P3",B213&lt;100000, "P4",B213&lt;200000,"M1",B213&lt;500000,"M2",B213&lt;1000000,"G1",B213&gt;1000000,"G2")</f>
        <v>P1</v>
      </c>
      <c r="D213" s="13">
        <f>VLOOKUP(C213,Controle!A$2:H$9,8,FALSE)</f>
        <v>38.874046212109647</v>
      </c>
      <c r="E213" s="13">
        <f>VLOOKUP(C213,Controle!A$16:H$23,8,FALSE)</f>
        <v>13.454529704853227</v>
      </c>
      <c r="F213" s="5">
        <f>VLOOKUP(A213,Educacional!A$2:P$405,16,FALSE)</f>
        <v>38.983673121097404</v>
      </c>
      <c r="G213" s="6">
        <f>VLOOKUP(A213,Demográfico!A$2:L$405,12,FALSE)</f>
        <v>60.683836732827025</v>
      </c>
      <c r="H213" s="7">
        <f>VLOOKUP(A213,Socioeconômico!A$2:M$405,13,FALSE)</f>
        <v>46.886568304697008</v>
      </c>
      <c r="I213" s="16">
        <f>(2*F213+G213+2*H213)/5/100</f>
        <v>0.46484863916883173</v>
      </c>
      <c r="J213" s="15">
        <f>VLOOKUP(A213,Demográfico!A$2:E$400,5,FALSE)/(VLOOKUP(C213,Controle!A$2:G$9,7,FALSE))*D213</f>
        <v>0.13670241213372533</v>
      </c>
      <c r="K213" s="15">
        <f>VLOOKUP(A213,Demográfico!A$2:E$400,5,FALSE)/(VLOOKUP(C213,Controle!A$16:G$24,7,FALSE))*E213</f>
        <v>4.7313486606015975E-2</v>
      </c>
      <c r="L213" s="118">
        <f>((J213*(1+I213))+3*(I213+K213))/4</f>
        <v>0.43418367992743184</v>
      </c>
      <c r="M213" s="3">
        <v>0</v>
      </c>
      <c r="N213" s="88">
        <f>VLOOKUP(A213,Demográfico!A$2:E$400,5,FALSE)*I213</f>
        <v>542.94321054919544</v>
      </c>
      <c r="O213" s="96">
        <f>FLOOR(L213,1)</f>
        <v>0</v>
      </c>
      <c r="P213" s="96">
        <f>L213-O213</f>
        <v>0.43418367992743184</v>
      </c>
      <c r="Q213" s="87">
        <f>RANK(P213,P$2:P$400,0)</f>
        <v>238</v>
      </c>
      <c r="R213" s="3">
        <f>O213+IF(Q213&lt;Q$1,1,0)</f>
        <v>0</v>
      </c>
      <c r="T213" s="87">
        <f>VLOOKUP(A213,Demográfico!A$2:E$400,5,FALSE)*(I213)</f>
        <v>542.94321054919544</v>
      </c>
    </row>
    <row r="214" spans="1:20" ht="19.5" x14ac:dyDescent="0.25">
      <c r="A214" s="2" t="s">
        <v>219</v>
      </c>
      <c r="B214" s="37">
        <v>8690</v>
      </c>
      <c r="C214" s="4" t="str" cm="1">
        <f t="array" ref="C214">_xlfn.IFS(B214&lt;20000, "P1",B214&lt;40000, "P2",B214&lt;70000, "P3",B214&lt;100000, "P4",B214&lt;200000,"M1",B214&lt;500000,"M2",B214&lt;1000000,"G1",B214&gt;1000000,"G2")</f>
        <v>P1</v>
      </c>
      <c r="D214" s="13">
        <f>VLOOKUP(C214,Controle!A$2:H$9,8,FALSE)</f>
        <v>38.874046212109647</v>
      </c>
      <c r="E214" s="13">
        <f>VLOOKUP(C214,Controle!A$16:H$23,8,FALSE)</f>
        <v>13.454529704853227</v>
      </c>
      <c r="F214" s="5">
        <f>VLOOKUP(A214,Educacional!A$2:P$405,16,FALSE)</f>
        <v>39.591351996113595</v>
      </c>
      <c r="G214" s="6">
        <f>VLOOKUP(A214,Demográfico!A$2:L$405,12,FALSE)</f>
        <v>80.828757370586402</v>
      </c>
      <c r="H214" s="7">
        <f>VLOOKUP(A214,Socioeconômico!A$2:M$405,13,FALSE)</f>
        <v>44.96056893841309</v>
      </c>
      <c r="I214" s="16">
        <f>(2*F214+G214+2*H214)/5/100</f>
        <v>0.49986519847927952</v>
      </c>
      <c r="J214" s="15">
        <f>VLOOKUP(A214,Demográfico!A$2:E$400,5,FALSE)/(VLOOKUP(C214,Controle!A$2:G$9,7,FALSE))*D214</f>
        <v>0.12687107427479302</v>
      </c>
      <c r="K214" s="15">
        <f>VLOOKUP(A214,Demográfico!A$2:E$400,5,FALSE)/(VLOOKUP(C214,Controle!A$16:G$24,7,FALSE))*E214</f>
        <v>4.3910804350103867E-2</v>
      </c>
      <c r="L214" s="118">
        <f>((J214*(1+I214))+3*(I214+K214))/4</f>
        <v>0.45540437937164802</v>
      </c>
      <c r="M214" s="3">
        <v>1</v>
      </c>
      <c r="N214" s="88">
        <f>VLOOKUP(A214,Demográfico!A$2:E$400,5,FALSE)*I214</f>
        <v>541.853875151539</v>
      </c>
      <c r="O214" s="96">
        <f>FLOOR(L214,1)</f>
        <v>0</v>
      </c>
      <c r="P214" s="96">
        <f>L214-O214</f>
        <v>0.45540437937164802</v>
      </c>
      <c r="Q214" s="87">
        <f>RANK(P214,P$2:P$400,0)</f>
        <v>207</v>
      </c>
      <c r="R214" s="3">
        <f>O214+IF(Q214&lt;Q$1,1,0)</f>
        <v>0</v>
      </c>
      <c r="T214" s="87">
        <f>VLOOKUP(A214,Demográfico!A$2:E$400,5,FALSE)*(I214)</f>
        <v>541.853875151539</v>
      </c>
    </row>
    <row r="215" spans="1:20" ht="19.5" x14ac:dyDescent="0.25">
      <c r="A215" s="2" t="s">
        <v>220</v>
      </c>
      <c r="B215" s="37">
        <v>8677</v>
      </c>
      <c r="C215" s="4" t="str" cm="1">
        <f t="array" ref="C215">_xlfn.IFS(B215&lt;20000, "P1",B215&lt;40000, "P2",B215&lt;70000, "P3",B215&lt;100000, "P4",B215&lt;200000,"M1",B215&lt;500000,"M2",B215&lt;1000000,"G1",B215&gt;1000000,"G2")</f>
        <v>P1</v>
      </c>
      <c r="D215" s="13">
        <f>VLOOKUP(C215,Controle!A$2:H$9,8,FALSE)</f>
        <v>38.874046212109647</v>
      </c>
      <c r="E215" s="13">
        <f>VLOOKUP(C215,Controle!A$16:H$23,8,FALSE)</f>
        <v>13.454529704853227</v>
      </c>
      <c r="F215" s="5">
        <f>VLOOKUP(A215,Educacional!A$2:P$405,16,FALSE)</f>
        <v>70.586385440077962</v>
      </c>
      <c r="G215" s="6">
        <f>VLOOKUP(A215,Demográfico!A$2:L$405,12,FALSE)</f>
        <v>42.834042446564084</v>
      </c>
      <c r="H215" s="7">
        <f>VLOOKUP(A215,Socioeconômico!A$2:M$405,13,FALSE)</f>
        <v>50.873644696157619</v>
      </c>
      <c r="I215" s="16">
        <f>(2*F215+G215+2*H215)/5/100</f>
        <v>0.57150820543807046</v>
      </c>
      <c r="J215" s="15">
        <f>VLOOKUP(A215,Demográfico!A$2:E$400,5,FALSE)/(VLOOKUP(C215,Controle!A$2:G$9,7,FALSE))*D215</f>
        <v>0.1362342531880619</v>
      </c>
      <c r="K215" s="15">
        <f>VLOOKUP(A215,Demográfico!A$2:E$400,5,FALSE)/(VLOOKUP(C215,Controle!A$16:G$24,7,FALSE))*E215</f>
        <v>4.7151454117639206E-2</v>
      </c>
      <c r="L215" s="118">
        <f>((J215*(1+I215))+3*(I215+K215))/4</f>
        <v>0.51751805635347403</v>
      </c>
      <c r="M215" s="3">
        <v>1</v>
      </c>
      <c r="N215" s="88">
        <f>VLOOKUP(A215,Demográfico!A$2:E$400,5,FALSE)*I215</f>
        <v>665.23555112991403</v>
      </c>
      <c r="O215" s="96">
        <f>FLOOR(L215,1)</f>
        <v>0</v>
      </c>
      <c r="P215" s="96">
        <f>L215-O215</f>
        <v>0.51751805635347403</v>
      </c>
      <c r="Q215" s="87">
        <f>RANK(P215,P$2:P$400,0)</f>
        <v>138</v>
      </c>
      <c r="R215" s="3">
        <f>O215+IF(Q215&lt;Q$1,1,0)</f>
        <v>1</v>
      </c>
      <c r="T215" s="87">
        <f>VLOOKUP(A215,Demográfico!A$2:E$400,5,FALSE)*(I215)</f>
        <v>665.23555112991403</v>
      </c>
    </row>
    <row r="216" spans="1:20" ht="19.5" x14ac:dyDescent="0.25">
      <c r="A216" s="2" t="s">
        <v>221</v>
      </c>
      <c r="B216" s="37">
        <v>8613</v>
      </c>
      <c r="C216" s="4" t="str" cm="1">
        <f t="array" ref="C216">_xlfn.IFS(B216&lt;20000, "P1",B216&lt;40000, "P2",B216&lt;70000, "P3",B216&lt;100000, "P4",B216&lt;200000,"M1",B216&lt;500000,"M2",B216&lt;1000000,"G1",B216&gt;1000000,"G2")</f>
        <v>P1</v>
      </c>
      <c r="D216" s="13">
        <f>VLOOKUP(C216,Controle!A$2:H$9,8,FALSE)</f>
        <v>38.874046212109647</v>
      </c>
      <c r="E216" s="13">
        <f>VLOOKUP(C216,Controle!A$16:H$23,8,FALSE)</f>
        <v>13.454529704853227</v>
      </c>
      <c r="F216" s="5">
        <f>VLOOKUP(A216,Educacional!A$2:P$405,16,FALSE)</f>
        <v>32.484939831080766</v>
      </c>
      <c r="G216" s="6">
        <f>VLOOKUP(A216,Demográfico!A$2:L$405,12,FALSE)</f>
        <v>42.736703219623379</v>
      </c>
      <c r="H216" s="7">
        <f>VLOOKUP(A216,Socioeconômico!A$2:M$405,13,FALSE)</f>
        <v>52.652362903647628</v>
      </c>
      <c r="I216" s="16">
        <f>(2*F216+G216+2*H216)/5/100</f>
        <v>0.42602261737816038</v>
      </c>
      <c r="J216" s="15">
        <f>VLOOKUP(A216,Demográfico!A$2:E$400,5,FALSE)/(VLOOKUP(C216,Controle!A$2:G$9,7,FALSE))*D216</f>
        <v>0.12991410742160542</v>
      </c>
      <c r="K216" s="15">
        <f>VLOOKUP(A216,Demográfico!A$2:E$400,5,FALSE)/(VLOOKUP(C216,Controle!A$16:G$24,7,FALSE))*E216</f>
        <v>4.4964015524552849E-2</v>
      </c>
      <c r="L216" s="118">
        <f>((J216*(1+I216))+3*(I216+K216))/4</f>
        <v>0.39955508855196126</v>
      </c>
      <c r="M216" s="3">
        <v>0</v>
      </c>
      <c r="N216" s="88">
        <f>VLOOKUP(A216,Demográfico!A$2:E$400,5,FALSE)*I216</f>
        <v>472.88510528975803</v>
      </c>
      <c r="O216" s="96">
        <f>FLOOR(L216,1)</f>
        <v>0</v>
      </c>
      <c r="P216" s="96">
        <f>L216-O216</f>
        <v>0.39955508855196126</v>
      </c>
      <c r="Q216" s="87">
        <f>RANK(P216,P$2:P$400,0)</f>
        <v>283</v>
      </c>
      <c r="R216" s="3">
        <f>O216+IF(Q216&lt;Q$1,1,0)</f>
        <v>0</v>
      </c>
      <c r="T216" s="87">
        <f>VLOOKUP(A216,Demográfico!A$2:E$400,5,FALSE)*(I216)</f>
        <v>472.88510528975803</v>
      </c>
    </row>
    <row r="217" spans="1:20" ht="19.5" x14ac:dyDescent="0.25">
      <c r="A217" s="2" t="s">
        <v>222</v>
      </c>
      <c r="B217" s="37">
        <v>8426</v>
      </c>
      <c r="C217" s="4" t="str" cm="1">
        <f t="array" ref="C217">_xlfn.IFS(B217&lt;20000, "P1",B217&lt;40000, "P2",B217&lt;70000, "P3",B217&lt;100000, "P4",B217&lt;200000,"M1",B217&lt;500000,"M2",B217&lt;1000000,"G1",B217&gt;1000000,"G2")</f>
        <v>P1</v>
      </c>
      <c r="D217" s="13">
        <f>VLOOKUP(C217,Controle!A$2:H$9,8,FALSE)</f>
        <v>38.874046212109647</v>
      </c>
      <c r="E217" s="13">
        <f>VLOOKUP(C217,Controle!A$16:H$23,8,FALSE)</f>
        <v>13.454529704853227</v>
      </c>
      <c r="F217" s="5">
        <f>VLOOKUP(A217,Educacional!A$2:P$405,16,FALSE)</f>
        <v>55.239878559798747</v>
      </c>
      <c r="G217" s="6">
        <f>VLOOKUP(A217,Demográfico!A$2:L$405,12,FALSE)</f>
        <v>48.391284726509426</v>
      </c>
      <c r="H217" s="7">
        <f>VLOOKUP(A217,Socioeconômico!A$2:M$405,13,FALSE)</f>
        <v>48.784981474123192</v>
      </c>
      <c r="I217" s="16">
        <f>(2*F217+G217+2*H217)/5/100</f>
        <v>0.51288200958870656</v>
      </c>
      <c r="J217" s="15">
        <f>VLOOKUP(A217,Demográfico!A$2:E$400,5,FALSE)/(VLOOKUP(C217,Controle!A$2:G$9,7,FALSE))*D217</f>
        <v>0.11832717351643519</v>
      </c>
      <c r="K217" s="15">
        <f>VLOOKUP(A217,Demográfico!A$2:E$400,5,FALSE)/(VLOOKUP(C217,Controle!A$16:G$24,7,FALSE))*E217</f>
        <v>4.0953711437227869E-2</v>
      </c>
      <c r="L217" s="118">
        <f>((J217*(1+I217))+3*(I217+K217))/4</f>
        <v>0.4601305537840748</v>
      </c>
      <c r="M217" s="3">
        <v>1</v>
      </c>
      <c r="N217" s="88">
        <f>VLOOKUP(A217,Demográfico!A$2:E$400,5,FALSE)*I217</f>
        <v>518.52371169418234</v>
      </c>
      <c r="O217" s="96">
        <f>FLOOR(L217,1)</f>
        <v>0</v>
      </c>
      <c r="P217" s="96">
        <f>L217-O217</f>
        <v>0.4601305537840748</v>
      </c>
      <c r="Q217" s="87">
        <f>RANK(P217,P$2:P$400,0)</f>
        <v>202</v>
      </c>
      <c r="R217" s="3">
        <f>O217+IF(Q217&lt;Q$1,1,0)</f>
        <v>0</v>
      </c>
      <c r="T217" s="87">
        <f>VLOOKUP(A217,Demográfico!A$2:E$400,5,FALSE)*(I217)</f>
        <v>518.52371169418234</v>
      </c>
    </row>
    <row r="218" spans="1:20" ht="19.5" x14ac:dyDescent="0.25">
      <c r="A218" s="2" t="s">
        <v>223</v>
      </c>
      <c r="B218" s="37">
        <v>8322</v>
      </c>
      <c r="C218" s="4" t="str" cm="1">
        <f t="array" ref="C218">_xlfn.IFS(B218&lt;20000, "P1",B218&lt;40000, "P2",B218&lt;70000, "P3",B218&lt;100000, "P4",B218&lt;200000,"M1",B218&lt;500000,"M2",B218&lt;1000000,"G1",B218&gt;1000000,"G2")</f>
        <v>P1</v>
      </c>
      <c r="D218" s="13">
        <f>VLOOKUP(C218,Controle!A$2:H$9,8,FALSE)</f>
        <v>38.874046212109647</v>
      </c>
      <c r="E218" s="13">
        <f>VLOOKUP(C218,Controle!A$16:H$23,8,FALSE)</f>
        <v>13.454529704853227</v>
      </c>
      <c r="F218" s="5">
        <f>VLOOKUP(A218,Educacional!A$2:P$405,16,FALSE)</f>
        <v>33.436561374844445</v>
      </c>
      <c r="G218" s="6">
        <f>VLOOKUP(A218,Demográfico!A$2:L$405,12,FALSE)</f>
        <v>31.052204343630514</v>
      </c>
      <c r="H218" s="7">
        <f>VLOOKUP(A218,Socioeconômico!A$2:M$405,13,FALSE)</f>
        <v>28.843729261527123</v>
      </c>
      <c r="I218" s="16">
        <f>(2*F218+G218+2*H218)/5/100</f>
        <v>0.31122557123274724</v>
      </c>
      <c r="J218" s="15">
        <f>VLOOKUP(A218,Demográfico!A$2:E$400,5,FALSE)/(VLOOKUP(C218,Controle!A$2:G$9,7,FALSE))*D218</f>
        <v>0.12406212060081238</v>
      </c>
      <c r="K218" s="15">
        <f>VLOOKUP(A218,Demográfico!A$2:E$400,5,FALSE)/(VLOOKUP(C218,Controle!A$16:G$24,7,FALSE))*E218</f>
        <v>4.2938609419843267E-2</v>
      </c>
      <c r="L218" s="118">
        <f>((J218*(1+I218))+3*(I218+K218))/4</f>
        <v>0.3062914917277294</v>
      </c>
      <c r="M218" s="3">
        <v>0</v>
      </c>
      <c r="N218" s="88">
        <f>VLOOKUP(A218,Demográfico!A$2:E$400,5,FALSE)*I218</f>
        <v>329.89910550671209</v>
      </c>
      <c r="O218" s="96">
        <f>FLOOR(L218,1)</f>
        <v>0</v>
      </c>
      <c r="P218" s="96">
        <f>L218-O218</f>
        <v>0.3062914917277294</v>
      </c>
      <c r="Q218" s="87">
        <f>RANK(P218,P$2:P$400,0)</f>
        <v>355</v>
      </c>
      <c r="R218" s="3">
        <f>O218+IF(Q218&lt;Q$1,1,0)</f>
        <v>0</v>
      </c>
      <c r="T218" s="87">
        <f>VLOOKUP(A218,Demográfico!A$2:E$400,5,FALSE)*(I218)</f>
        <v>329.89910550671209</v>
      </c>
    </row>
    <row r="219" spans="1:20" ht="19.5" x14ac:dyDescent="0.25">
      <c r="A219" s="2" t="s">
        <v>224</v>
      </c>
      <c r="B219" s="37">
        <v>8320</v>
      </c>
      <c r="C219" s="4" t="str" cm="1">
        <f t="array" ref="C219">_xlfn.IFS(B219&lt;20000, "P1",B219&lt;40000, "P2",B219&lt;70000, "P3",B219&lt;100000, "P4",B219&lt;200000,"M1",B219&lt;500000,"M2",B219&lt;1000000,"G1",B219&gt;1000000,"G2")</f>
        <v>P1</v>
      </c>
      <c r="D219" s="13">
        <f>VLOOKUP(C219,Controle!A$2:H$9,8,FALSE)</f>
        <v>38.874046212109647</v>
      </c>
      <c r="E219" s="13">
        <f>VLOOKUP(C219,Controle!A$16:H$23,8,FALSE)</f>
        <v>13.454529704853227</v>
      </c>
      <c r="F219" s="5">
        <f>VLOOKUP(A219,Educacional!A$2:P$405,16,FALSE)</f>
        <v>67.651864884693268</v>
      </c>
      <c r="G219" s="6">
        <f>VLOOKUP(A219,Demográfico!A$2:L$405,12,FALSE)</f>
        <v>43.087185187278571</v>
      </c>
      <c r="H219" s="7">
        <f>VLOOKUP(A219,Socioeconômico!A$2:M$405,13,FALSE)</f>
        <v>58.413450059523001</v>
      </c>
      <c r="I219" s="16">
        <f>(2*F219+G219+2*H219)/5/100</f>
        <v>0.5904356301514222</v>
      </c>
      <c r="J219" s="15">
        <f>VLOOKUP(A219,Demográfico!A$2:E$400,5,FALSE)/(VLOOKUP(C219,Controle!A$2:G$9,7,FALSE))*D219</f>
        <v>0.13693649160655705</v>
      </c>
      <c r="K219" s="15">
        <f>VLOOKUP(A219,Demográfico!A$2:E$400,5,FALSE)/(VLOOKUP(C219,Controle!A$16:G$24,7,FALSE))*E219</f>
        <v>4.7394502850204356E-2</v>
      </c>
      <c r="L219" s="118">
        <f>((J219*(1+I219))+3*(I219+K219))/4</f>
        <v>0.5328197685809698</v>
      </c>
      <c r="M219" s="3">
        <v>1</v>
      </c>
      <c r="N219" s="88">
        <f>VLOOKUP(A219,Demográfico!A$2:E$400,5,FALSE)*I219</f>
        <v>690.80968727716402</v>
      </c>
      <c r="O219" s="96">
        <f>FLOOR(L219,1)</f>
        <v>0</v>
      </c>
      <c r="P219" s="96">
        <f>L219-O219</f>
        <v>0.5328197685809698</v>
      </c>
      <c r="Q219" s="87">
        <f>RANK(P219,P$2:P$400,0)</f>
        <v>128</v>
      </c>
      <c r="R219" s="3">
        <f>O219+IF(Q219&lt;Q$1,1,0)</f>
        <v>1</v>
      </c>
      <c r="T219" s="87">
        <f>VLOOKUP(A219,Demográfico!A$2:E$400,5,FALSE)*(I219)</f>
        <v>690.80968727716402</v>
      </c>
    </row>
    <row r="220" spans="1:20" ht="19.5" x14ac:dyDescent="0.25">
      <c r="A220" s="2" t="s">
        <v>225</v>
      </c>
      <c r="B220" s="37">
        <v>8215</v>
      </c>
      <c r="C220" s="4" t="str" cm="1">
        <f t="array" ref="C220">_xlfn.IFS(B220&lt;20000, "P1",B220&lt;40000, "P2",B220&lt;70000, "P3",B220&lt;100000, "P4",B220&lt;200000,"M1",B220&lt;500000,"M2",B220&lt;1000000,"G1",B220&gt;1000000,"G2")</f>
        <v>P1</v>
      </c>
      <c r="D220" s="13">
        <f>VLOOKUP(C220,Controle!A$2:H$9,8,FALSE)</f>
        <v>38.874046212109647</v>
      </c>
      <c r="E220" s="13">
        <f>VLOOKUP(C220,Controle!A$16:H$23,8,FALSE)</f>
        <v>13.454529704853227</v>
      </c>
      <c r="F220" s="5">
        <f>VLOOKUP(A220,Educacional!A$2:P$405,16,FALSE)</f>
        <v>72.826823838742513</v>
      </c>
      <c r="G220" s="6">
        <f>VLOOKUP(A220,Demográfico!A$2:L$405,12,FALSE)</f>
        <v>29.593067380115269</v>
      </c>
      <c r="H220" s="7">
        <f>VLOOKUP(A220,Socioeconômico!A$2:M$405,13,FALSE)</f>
        <v>42.331178097355256</v>
      </c>
      <c r="I220" s="16">
        <f>(2*F220+G220+2*H220)/5/100</f>
        <v>0.51981814250462166</v>
      </c>
      <c r="J220" s="15">
        <f>VLOOKUP(A220,Demográfico!A$2:E$400,5,FALSE)/(VLOOKUP(C220,Controle!A$2:G$9,7,FALSE))*D220</f>
        <v>0.12055092850833656</v>
      </c>
      <c r="K220" s="15">
        <f>VLOOKUP(A220,Demográfico!A$2:E$400,5,FALSE)/(VLOOKUP(C220,Controle!A$16:G$24,7,FALSE))*E220</f>
        <v>4.172336575701751E-2</v>
      </c>
      <c r="L220" s="118">
        <f>((J220*(1+I220))+3*(I220+K220))/4</f>
        <v>0.46696000325691628</v>
      </c>
      <c r="M220" s="3">
        <v>1</v>
      </c>
      <c r="N220" s="88">
        <f>VLOOKUP(A220,Demográfico!A$2:E$400,5,FALSE)*I220</f>
        <v>535.41268677976029</v>
      </c>
      <c r="O220" s="96">
        <f>FLOOR(L220,1)</f>
        <v>0</v>
      </c>
      <c r="P220" s="96">
        <f>L220-O220</f>
        <v>0.46696000325691628</v>
      </c>
      <c r="Q220" s="87">
        <f>RANK(P220,P$2:P$400,0)</f>
        <v>190</v>
      </c>
      <c r="R220" s="3">
        <f>O220+IF(Q220&lt;Q$1,1,0)</f>
        <v>1</v>
      </c>
      <c r="T220" s="87">
        <f>VLOOKUP(A220,Demográfico!A$2:E$400,5,FALSE)*(I220)</f>
        <v>535.41268677976029</v>
      </c>
    </row>
    <row r="221" spans="1:20" ht="19.5" x14ac:dyDescent="0.25">
      <c r="A221" s="2" t="s">
        <v>226</v>
      </c>
      <c r="B221" s="37">
        <v>8116</v>
      </c>
      <c r="C221" s="4" t="str" cm="1">
        <f t="array" ref="C221">_xlfn.IFS(B221&lt;20000, "P1",B221&lt;40000, "P2",B221&lt;70000, "P3",B221&lt;100000, "P4",B221&lt;200000,"M1",B221&lt;500000,"M2",B221&lt;1000000,"G1",B221&gt;1000000,"G2")</f>
        <v>P1</v>
      </c>
      <c r="D221" s="13">
        <f>VLOOKUP(C221,Controle!A$2:H$9,8,FALSE)</f>
        <v>38.874046212109647</v>
      </c>
      <c r="E221" s="13">
        <f>VLOOKUP(C221,Controle!A$16:H$23,8,FALSE)</f>
        <v>13.454529704853227</v>
      </c>
      <c r="F221" s="5">
        <f>VLOOKUP(A221,Educacional!A$2:P$405,16,FALSE)</f>
        <v>83.979998499116945</v>
      </c>
      <c r="G221" s="6">
        <f>VLOOKUP(A221,Demográfico!A$2:L$405,12,FALSE)</f>
        <v>74.591283275749944</v>
      </c>
      <c r="H221" s="7">
        <f>VLOOKUP(A221,Socioeconômico!A$2:M$405,13,FALSE)</f>
        <v>47.121138475671373</v>
      </c>
      <c r="I221" s="16">
        <f>(2*F221+G221+2*H221)/5/100</f>
        <v>0.67358711445065322</v>
      </c>
      <c r="J221" s="15">
        <f>VLOOKUP(A221,Demográfico!A$2:E$400,5,FALSE)/(VLOOKUP(C221,Controle!A$2:G$9,7,FALSE))*D221</f>
        <v>0.13108450478576403</v>
      </c>
      <c r="K221" s="15">
        <f>VLOOKUP(A221,Demográfico!A$2:E$400,5,FALSE)/(VLOOKUP(C221,Controle!A$16:G$24,7,FALSE))*E221</f>
        <v>4.5369096745494768E-2</v>
      </c>
      <c r="L221" s="118">
        <f>((J221*(1+I221))+3*(I221+K221))/4</f>
        <v>0.59406249292551083</v>
      </c>
      <c r="M221" s="3">
        <v>1</v>
      </c>
      <c r="N221" s="88">
        <f>VLOOKUP(A221,Demográfico!A$2:E$400,5,FALSE)*I221</f>
        <v>754.41756818473164</v>
      </c>
      <c r="O221" s="96">
        <f>FLOOR(L221,1)</f>
        <v>0</v>
      </c>
      <c r="P221" s="96">
        <f>L221-O221</f>
        <v>0.59406249292551083</v>
      </c>
      <c r="Q221" s="87">
        <f>RANK(P221,P$2:P$400,0)</f>
        <v>79</v>
      </c>
      <c r="R221" s="3">
        <f>O221+IF(Q221&lt;Q$1,1,0)</f>
        <v>1</v>
      </c>
      <c r="T221" s="87">
        <f>VLOOKUP(A221,Demográfico!A$2:E$400,5,FALSE)*(I221)</f>
        <v>754.41756818473164</v>
      </c>
    </row>
    <row r="222" spans="1:20" ht="19.5" x14ac:dyDescent="0.25">
      <c r="A222" s="2" t="s">
        <v>227</v>
      </c>
      <c r="B222" s="37">
        <v>8099</v>
      </c>
      <c r="C222" s="4" t="str" cm="1">
        <f t="array" ref="C222">_xlfn.IFS(B222&lt;20000, "P1",B222&lt;40000, "P2",B222&lt;70000, "P3",B222&lt;100000, "P4",B222&lt;200000,"M1",B222&lt;500000,"M2",B222&lt;1000000,"G1",B222&gt;1000000,"G2")</f>
        <v>P1</v>
      </c>
      <c r="D222" s="13">
        <f>VLOOKUP(C222,Controle!A$2:H$9,8,FALSE)</f>
        <v>38.874046212109647</v>
      </c>
      <c r="E222" s="13">
        <f>VLOOKUP(C222,Controle!A$16:H$23,8,FALSE)</f>
        <v>13.454529704853227</v>
      </c>
      <c r="F222" s="5">
        <f>VLOOKUP(A222,Educacional!A$2:P$405,16,FALSE)</f>
        <v>40.428148887149689</v>
      </c>
      <c r="G222" s="6">
        <f>VLOOKUP(A222,Demográfico!A$2:L$405,12,FALSE)</f>
        <v>34.999859712288846</v>
      </c>
      <c r="H222" s="7">
        <f>VLOOKUP(A222,Socioeconômico!A$2:M$405,13,FALSE)</f>
        <v>43.767317562671138</v>
      </c>
      <c r="I222" s="16">
        <f>(2*F222+G222+2*H222)/5/100</f>
        <v>0.40678158522386099</v>
      </c>
      <c r="J222" s="15">
        <f>VLOOKUP(A222,Demográfico!A$2:E$400,5,FALSE)/(VLOOKUP(C222,Controle!A$2:G$9,7,FALSE))*D222</f>
        <v>0.11645453773378144</v>
      </c>
      <c r="K222" s="15">
        <f>VLOOKUP(A222,Demográfico!A$2:E$400,5,FALSE)/(VLOOKUP(C222,Controle!A$16:G$24,7,FALSE))*E222</f>
        <v>4.03055814837208E-2</v>
      </c>
      <c r="L222" s="118">
        <f>((J222*(1+I222))+3*(I222+K222))/4</f>
        <v>0.37627189983059661</v>
      </c>
      <c r="M222" s="3">
        <v>0</v>
      </c>
      <c r="N222" s="88">
        <f>VLOOKUP(A222,Demográfico!A$2:E$400,5,FALSE)*I222</f>
        <v>404.74767729774169</v>
      </c>
      <c r="O222" s="96">
        <f>FLOOR(L222,1)</f>
        <v>0</v>
      </c>
      <c r="P222" s="96">
        <f>L222-O222</f>
        <v>0.37627189983059661</v>
      </c>
      <c r="Q222" s="87">
        <f>RANK(P222,P$2:P$400,0)</f>
        <v>306</v>
      </c>
      <c r="R222" s="3">
        <f>O222+IF(Q222&lt;Q$1,1,0)</f>
        <v>0</v>
      </c>
      <c r="T222" s="87">
        <f>VLOOKUP(A222,Demográfico!A$2:E$400,5,FALSE)*(I222)</f>
        <v>404.74767729774169</v>
      </c>
    </row>
    <row r="223" spans="1:20" ht="19.5" x14ac:dyDescent="0.25">
      <c r="A223" s="2" t="s">
        <v>228</v>
      </c>
      <c r="B223" s="37">
        <v>8077</v>
      </c>
      <c r="C223" s="4" t="str" cm="1">
        <f t="array" ref="C223">_xlfn.IFS(B223&lt;20000, "P1",B223&lt;40000, "P2",B223&lt;70000, "P3",B223&lt;100000, "P4",B223&lt;200000,"M1",B223&lt;500000,"M2",B223&lt;1000000,"G1",B223&gt;1000000,"G2")</f>
        <v>P1</v>
      </c>
      <c r="D223" s="13">
        <f>VLOOKUP(C223,Controle!A$2:H$9,8,FALSE)</f>
        <v>38.874046212109647</v>
      </c>
      <c r="E223" s="13">
        <f>VLOOKUP(C223,Controle!A$16:H$23,8,FALSE)</f>
        <v>13.454529704853227</v>
      </c>
      <c r="F223" s="5">
        <f>VLOOKUP(A223,Educacional!A$2:P$405,16,FALSE)</f>
        <v>49.064563812412018</v>
      </c>
      <c r="G223" s="6">
        <f>VLOOKUP(A223,Demográfico!A$2:L$405,12,FALSE)</f>
        <v>22.598192255482303</v>
      </c>
      <c r="H223" s="7">
        <f>VLOOKUP(A223,Socioeconômico!A$2:M$405,13,FALSE)</f>
        <v>27.585002481672198</v>
      </c>
      <c r="I223" s="16">
        <f>(2*F223+G223+2*H223)/5/100</f>
        <v>0.35179464968730145</v>
      </c>
      <c r="J223" s="15">
        <f>VLOOKUP(A223,Demográfico!A$2:E$400,5,FALSE)/(VLOOKUP(C223,Controle!A$2:G$9,7,FALSE))*D223</f>
        <v>0.11259222643205802</v>
      </c>
      <c r="K223" s="15">
        <f>VLOOKUP(A223,Demográfico!A$2:E$400,5,FALSE)/(VLOOKUP(C223,Controle!A$16:G$24,7,FALSE))*E223</f>
        <v>3.8968813454612471E-2</v>
      </c>
      <c r="L223" s="118">
        <f>((J223*(1+I223))+3*(I223+K223))/4</f>
        <v>0.33112298967824472</v>
      </c>
      <c r="M223" s="3">
        <v>0</v>
      </c>
      <c r="N223" s="88">
        <f>VLOOKUP(A223,Demográfico!A$2:E$400,5,FALSE)*I223</f>
        <v>338.42645299918399</v>
      </c>
      <c r="O223" s="96">
        <f>FLOOR(L223,1)</f>
        <v>0</v>
      </c>
      <c r="P223" s="96">
        <f>L223-O223</f>
        <v>0.33112298967824472</v>
      </c>
      <c r="Q223" s="87">
        <f>RANK(P223,P$2:P$400,0)</f>
        <v>343</v>
      </c>
      <c r="R223" s="3">
        <f>O223+IF(Q223&lt;Q$1,1,0)</f>
        <v>0</v>
      </c>
      <c r="T223" s="87">
        <f>VLOOKUP(A223,Demográfico!A$2:E$400,5,FALSE)*(I223)</f>
        <v>338.42645299918399</v>
      </c>
    </row>
    <row r="224" spans="1:20" ht="19.5" x14ac:dyDescent="0.25">
      <c r="A224" s="2" t="s">
        <v>229</v>
      </c>
      <c r="B224" s="37">
        <v>8067</v>
      </c>
      <c r="C224" s="4" t="str" cm="1">
        <f t="array" ref="C224">_xlfn.IFS(B224&lt;20000, "P1",B224&lt;40000, "P2",B224&lt;70000, "P3",B224&lt;100000, "P4",B224&lt;200000,"M1",B224&lt;500000,"M2",B224&lt;1000000,"G1",B224&gt;1000000,"G2")</f>
        <v>P1</v>
      </c>
      <c r="D224" s="13">
        <f>VLOOKUP(C224,Controle!A$2:H$9,8,FALSE)</f>
        <v>38.874046212109647</v>
      </c>
      <c r="E224" s="13">
        <f>VLOOKUP(C224,Controle!A$16:H$23,8,FALSE)</f>
        <v>13.454529704853227</v>
      </c>
      <c r="F224" s="5">
        <f>VLOOKUP(A224,Educacional!A$2:P$405,16,FALSE)</f>
        <v>54.857286707194838</v>
      </c>
      <c r="G224" s="6">
        <f>VLOOKUP(A224,Demográfico!A$2:L$405,12,FALSE)</f>
        <v>42.394289914954605</v>
      </c>
      <c r="H224" s="7">
        <f>VLOOKUP(A224,Socioeconômico!A$2:M$405,13,FALSE)</f>
        <v>46.426707559476114</v>
      </c>
      <c r="I224" s="16">
        <f>(2*F224+G224+2*H224)/5/100</f>
        <v>0.48992455689659303</v>
      </c>
      <c r="J224" s="15">
        <f>VLOOKUP(A224,Demográfico!A$2:E$400,5,FALSE)/(VLOOKUP(C224,Controle!A$2:G$9,7,FALSE))*D224</f>
        <v>0.1227746835002379</v>
      </c>
      <c r="K224" s="15">
        <f>VLOOKUP(A224,Demográfico!A$2:E$400,5,FALSE)/(VLOOKUP(C224,Controle!A$16:G$24,7,FALSE))*E224</f>
        <v>4.2493020076807157E-2</v>
      </c>
      <c r="L224" s="118">
        <f>((J224*(1+I224))+3*(I224+K224))/4</f>
        <v>0.44504443670810295</v>
      </c>
      <c r="M224" s="3">
        <v>1</v>
      </c>
      <c r="N224" s="88">
        <f>VLOOKUP(A224,Demográfico!A$2:E$400,5,FALSE)*I224</f>
        <v>513.93086018452607</v>
      </c>
      <c r="O224" s="96">
        <f>FLOOR(L224,1)</f>
        <v>0</v>
      </c>
      <c r="P224" s="96">
        <f>L224-O224</f>
        <v>0.44504443670810295</v>
      </c>
      <c r="Q224" s="87">
        <f>RANK(P224,P$2:P$400,0)</f>
        <v>218</v>
      </c>
      <c r="R224" s="3">
        <f>O224+IF(Q224&lt;Q$1,1,0)</f>
        <v>0</v>
      </c>
      <c r="T224" s="87">
        <f>VLOOKUP(A224,Demográfico!A$2:E$400,5,FALSE)*(I224)</f>
        <v>513.93086018452607</v>
      </c>
    </row>
    <row r="225" spans="1:20" ht="19.5" x14ac:dyDescent="0.25">
      <c r="A225" s="2" t="s">
        <v>230</v>
      </c>
      <c r="B225" s="37">
        <v>8063</v>
      </c>
      <c r="C225" s="4" t="str" cm="1">
        <f t="array" ref="C225">_xlfn.IFS(B225&lt;20000, "P1",B225&lt;40000, "P2",B225&lt;70000, "P3",B225&lt;100000, "P4",B225&lt;200000,"M1",B225&lt;500000,"M2",B225&lt;1000000,"G1",B225&gt;1000000,"G2")</f>
        <v>P1</v>
      </c>
      <c r="D225" s="13">
        <f>VLOOKUP(C225,Controle!A$2:H$9,8,FALSE)</f>
        <v>38.874046212109647</v>
      </c>
      <c r="E225" s="13">
        <f>VLOOKUP(C225,Controle!A$16:H$23,8,FALSE)</f>
        <v>13.454529704853227</v>
      </c>
      <c r="F225" s="5">
        <f>VLOOKUP(A225,Educacional!A$2:P$405,16,FALSE)</f>
        <v>50.003421997328509</v>
      </c>
      <c r="G225" s="6">
        <f>VLOOKUP(A225,Demográfico!A$2:L$405,12,FALSE)</f>
        <v>30.773978858747359</v>
      </c>
      <c r="H225" s="7">
        <f>VLOOKUP(A225,Socioeconômico!A$2:M$405,13,FALSE)</f>
        <v>62.304035314504659</v>
      </c>
      <c r="I225" s="16">
        <f>(2*F225+G225+2*H225)/5/100</f>
        <v>0.51077778696482734</v>
      </c>
      <c r="J225" s="15">
        <f>VLOOKUP(A225,Demográfico!A$2:E$400,5,FALSE)/(VLOOKUP(C225,Controle!A$2:G$9,7,FALSE))*D225</f>
        <v>0.12382804112798065</v>
      </c>
      <c r="K225" s="15">
        <f>VLOOKUP(A225,Demográfico!A$2:E$400,5,FALSE)/(VLOOKUP(C225,Controle!A$16:G$24,7,FALSE))*E225</f>
        <v>4.2857593175654879E-2</v>
      </c>
      <c r="L225" s="118">
        <f>((J225*(1+I225))+3*(I225+K225))/4</f>
        <v>0.4619956985902417</v>
      </c>
      <c r="M225" s="3">
        <v>1</v>
      </c>
      <c r="N225" s="88">
        <f>VLOOKUP(A225,Demográfico!A$2:E$400,5,FALSE)*I225</f>
        <v>540.40289860878738</v>
      </c>
      <c r="O225" s="96">
        <f>FLOOR(L225,1)</f>
        <v>0</v>
      </c>
      <c r="P225" s="96">
        <f>L225-O225</f>
        <v>0.4619956985902417</v>
      </c>
      <c r="Q225" s="87">
        <f>RANK(P225,P$2:P$400,0)</f>
        <v>198</v>
      </c>
      <c r="R225" s="3">
        <f>O225+IF(Q225&lt;Q$1,1,0)</f>
        <v>0</v>
      </c>
      <c r="T225" s="87">
        <f>VLOOKUP(A225,Demográfico!A$2:E$400,5,FALSE)*(I225)</f>
        <v>540.40289860878738</v>
      </c>
    </row>
    <row r="226" spans="1:20" ht="19.5" x14ac:dyDescent="0.25">
      <c r="A226" s="2" t="s">
        <v>231</v>
      </c>
      <c r="B226" s="37">
        <v>8062</v>
      </c>
      <c r="C226" s="4" t="str" cm="1">
        <f t="array" ref="C226">_xlfn.IFS(B226&lt;20000, "P1",B226&lt;40000, "P2",B226&lt;70000, "P3",B226&lt;100000, "P4",B226&lt;200000,"M1",B226&lt;500000,"M2",B226&lt;1000000,"G1",B226&gt;1000000,"G2")</f>
        <v>P1</v>
      </c>
      <c r="D226" s="13">
        <f>VLOOKUP(C226,Controle!A$2:H$9,8,FALSE)</f>
        <v>38.874046212109647</v>
      </c>
      <c r="E226" s="13">
        <f>VLOOKUP(C226,Controle!A$16:H$23,8,FALSE)</f>
        <v>13.454529704853227</v>
      </c>
      <c r="F226" s="5">
        <f>VLOOKUP(A226,Educacional!A$2:P$405,16,FALSE)</f>
        <v>73.926992433356972</v>
      </c>
      <c r="G226" s="6">
        <f>VLOOKUP(A226,Demográfico!A$2:L$405,12,FALSE)</f>
        <v>24.887138304125671</v>
      </c>
      <c r="H226" s="7">
        <f>VLOOKUP(A226,Socioeconômico!A$2:M$405,13,FALSE)</f>
        <v>53.600062287898773</v>
      </c>
      <c r="I226" s="16">
        <f>(2*F226+G226+2*H226)/5/100</f>
        <v>0.55988249549327429</v>
      </c>
      <c r="J226" s="15">
        <f>VLOOKUP(A226,Demográfico!A$2:E$400,5,FALSE)/(VLOOKUP(C226,Controle!A$2:G$9,7,FALSE))*D226</f>
        <v>0.11598637878811797</v>
      </c>
      <c r="K226" s="15">
        <f>VLOOKUP(A226,Demográfico!A$2:E$400,5,FALSE)/(VLOOKUP(C226,Controle!A$16:G$24,7,FALSE))*E226</f>
        <v>4.0143548995344031E-2</v>
      </c>
      <c r="L226" s="118">
        <f>((J226*(1+I226))+3*(I226+K226))/4</f>
        <v>0.49525081386327313</v>
      </c>
      <c r="M226" s="3">
        <v>1</v>
      </c>
      <c r="N226" s="88">
        <f>VLOOKUP(A226,Demográfico!A$2:E$400,5,FALSE)*I226</f>
        <v>554.84355303383484</v>
      </c>
      <c r="O226" s="96">
        <f>FLOOR(L226,1)</f>
        <v>0</v>
      </c>
      <c r="P226" s="96">
        <f>L226-O226</f>
        <v>0.49525081386327313</v>
      </c>
      <c r="Q226" s="87">
        <f>RANK(P226,P$2:P$400,0)</f>
        <v>161</v>
      </c>
      <c r="R226" s="3">
        <f>O226+IF(Q226&lt;Q$1,1,0)</f>
        <v>1</v>
      </c>
      <c r="T226" s="87">
        <f>VLOOKUP(A226,Demográfico!A$2:E$400,5,FALSE)*(I226)</f>
        <v>554.84355303383484</v>
      </c>
    </row>
    <row r="227" spans="1:20" ht="19.5" x14ac:dyDescent="0.25">
      <c r="A227" s="2" t="s">
        <v>232</v>
      </c>
      <c r="B227" s="37">
        <v>7932</v>
      </c>
      <c r="C227" s="4" t="str" cm="1">
        <f t="array" ref="C227">_xlfn.IFS(B227&lt;20000, "P1",B227&lt;40000, "P2",B227&lt;70000, "P3",B227&lt;100000, "P4",B227&lt;200000,"M1",B227&lt;500000,"M2",B227&lt;1000000,"G1",B227&gt;1000000,"G2")</f>
        <v>P1</v>
      </c>
      <c r="D227" s="13">
        <f>VLOOKUP(C227,Controle!A$2:H$9,8,FALSE)</f>
        <v>38.874046212109647</v>
      </c>
      <c r="E227" s="13">
        <f>VLOOKUP(C227,Controle!A$16:H$23,8,FALSE)</f>
        <v>13.454529704853227</v>
      </c>
      <c r="F227" s="5">
        <f>VLOOKUP(A227,Educacional!A$2:P$405,16,FALSE)</f>
        <v>51.487802354748212</v>
      </c>
      <c r="G227" s="6">
        <f>VLOOKUP(A227,Demográfico!A$2:L$405,12,FALSE)</f>
        <v>46.064003136875392</v>
      </c>
      <c r="H227" s="7">
        <f>VLOOKUP(A227,Socioeconômico!A$2:M$405,13,FALSE)</f>
        <v>30.273730199676706</v>
      </c>
      <c r="I227" s="16">
        <f>(2*F227+G227+2*H227)/5/100</f>
        <v>0.41917413649145047</v>
      </c>
      <c r="J227" s="15">
        <f>VLOOKUP(A227,Demográfico!A$2:E$400,5,FALSE)/(VLOOKUP(C227,Controle!A$2:G$9,7,FALSE))*D227</f>
        <v>0.1144648622147118</v>
      </c>
      <c r="K227" s="15">
        <f>VLOOKUP(A227,Demográfico!A$2:E$400,5,FALSE)/(VLOOKUP(C227,Controle!A$16:G$24,7,FALSE))*E227</f>
        <v>3.961694340811954E-2</v>
      </c>
      <c r="L227" s="118">
        <f>((J227*(1+I227))+3*(I227+K227))/4</f>
        <v>0.38470470292272163</v>
      </c>
      <c r="M227" s="3">
        <v>0</v>
      </c>
      <c r="N227" s="88">
        <f>VLOOKUP(A227,Demográfico!A$2:E$400,5,FALSE)*I227</f>
        <v>409.95230548863856</v>
      </c>
      <c r="O227" s="96">
        <f>FLOOR(L227,1)</f>
        <v>0</v>
      </c>
      <c r="P227" s="96">
        <f>L227-O227</f>
        <v>0.38470470292272163</v>
      </c>
      <c r="Q227" s="87">
        <f>RANK(P227,P$2:P$400,0)</f>
        <v>301</v>
      </c>
      <c r="R227" s="3">
        <f>O227+IF(Q227&lt;Q$1,1,0)</f>
        <v>0</v>
      </c>
      <c r="T227" s="87">
        <f>VLOOKUP(A227,Demográfico!A$2:E$400,5,FALSE)*(I227)</f>
        <v>409.95230548863856</v>
      </c>
    </row>
    <row r="228" spans="1:20" ht="19.5" x14ac:dyDescent="0.25">
      <c r="A228" s="2" t="s">
        <v>233</v>
      </c>
      <c r="B228" s="37">
        <v>7924</v>
      </c>
      <c r="C228" s="4" t="str" cm="1">
        <f t="array" ref="C228">_xlfn.IFS(B228&lt;20000, "P1",B228&lt;40000, "P2",B228&lt;70000, "P3",B228&lt;100000, "P4",B228&lt;200000,"M1",B228&lt;500000,"M2",B228&lt;1000000,"G1",B228&gt;1000000,"G2")</f>
        <v>P1</v>
      </c>
      <c r="D228" s="13">
        <f>VLOOKUP(C228,Controle!A$2:H$9,8,FALSE)</f>
        <v>38.874046212109647</v>
      </c>
      <c r="E228" s="13">
        <f>VLOOKUP(C228,Controle!A$16:H$23,8,FALSE)</f>
        <v>13.454529704853227</v>
      </c>
      <c r="F228" s="5">
        <f>VLOOKUP(A228,Educacional!A$2:P$405,16,FALSE)</f>
        <v>52.683878246267426</v>
      </c>
      <c r="G228" s="6">
        <f>VLOOKUP(A228,Demográfico!A$2:L$405,12,FALSE)</f>
        <v>41.82975172507102</v>
      </c>
      <c r="H228" s="7">
        <f>VLOOKUP(A228,Socioeconômico!A$2:M$405,13,FALSE)</f>
        <v>60.681904537971739</v>
      </c>
      <c r="I228" s="16">
        <f>(2*F228+G228+2*H228)/5/100</f>
        <v>0.53712263458709875</v>
      </c>
      <c r="J228" s="15">
        <f>VLOOKUP(A228,Demográfico!A$2:E$400,5,FALSE)/(VLOOKUP(C228,Controle!A$2:G$9,7,FALSE))*D228</f>
        <v>0.13096746504934814</v>
      </c>
      <c r="K228" s="15">
        <f>VLOOKUP(A228,Demográfico!A$2:E$400,5,FALSE)/(VLOOKUP(C228,Controle!A$16:G$24,7,FALSE))*E228</f>
        <v>4.5328588623400577E-2</v>
      </c>
      <c r="L228" s="118">
        <f>((J228*(1+I228))+3*(I228+K228))/4</f>
        <v>0.4871666811383365</v>
      </c>
      <c r="M228" s="3">
        <v>1</v>
      </c>
      <c r="N228" s="88">
        <f>VLOOKUP(A228,Demográfico!A$2:E$400,5,FALSE)*I228</f>
        <v>601.04022810296351</v>
      </c>
      <c r="O228" s="96">
        <f>FLOOR(L228,1)</f>
        <v>0</v>
      </c>
      <c r="P228" s="96">
        <f>L228-O228</f>
        <v>0.4871666811383365</v>
      </c>
      <c r="Q228" s="87">
        <f>RANK(P228,P$2:P$400,0)</f>
        <v>170</v>
      </c>
      <c r="R228" s="3">
        <f>O228+IF(Q228&lt;Q$1,1,0)</f>
        <v>1</v>
      </c>
      <c r="T228" s="87">
        <f>VLOOKUP(A228,Demográfico!A$2:E$400,5,FALSE)*(I228)</f>
        <v>601.04022810296351</v>
      </c>
    </row>
    <row r="229" spans="1:20" ht="19.5" x14ac:dyDescent="0.25">
      <c r="A229" s="2" t="s">
        <v>234</v>
      </c>
      <c r="B229" s="37">
        <v>7856</v>
      </c>
      <c r="C229" s="4" t="str" cm="1">
        <f t="array" ref="C229">_xlfn.IFS(B229&lt;20000, "P1",B229&lt;40000, "P2",B229&lt;70000, "P3",B229&lt;100000, "P4",B229&lt;200000,"M1",B229&lt;500000,"M2",B229&lt;1000000,"G1",B229&gt;1000000,"G2")</f>
        <v>P1</v>
      </c>
      <c r="D229" s="13">
        <f>VLOOKUP(C229,Controle!A$2:H$9,8,FALSE)</f>
        <v>38.874046212109647</v>
      </c>
      <c r="E229" s="13">
        <f>VLOOKUP(C229,Controle!A$16:H$23,8,FALSE)</f>
        <v>13.454529704853227</v>
      </c>
      <c r="F229" s="5">
        <f>VLOOKUP(A229,Educacional!A$2:P$405,16,FALSE)</f>
        <v>89.485079612599378</v>
      </c>
      <c r="G229" s="6">
        <f>VLOOKUP(A229,Demográfico!A$2:L$405,12,FALSE)</f>
        <v>71.525717605685472</v>
      </c>
      <c r="H229" s="7">
        <f>VLOOKUP(A229,Socioeconômico!A$2:M$405,13,FALSE)</f>
        <v>49.572973429762172</v>
      </c>
      <c r="I229" s="16">
        <f>(2*F229+G229+2*H229)/5/100</f>
        <v>0.69928364738081727</v>
      </c>
      <c r="J229" s="15">
        <f>VLOOKUP(A229,Demográfico!A$2:E$400,5,FALSE)/(VLOOKUP(C229,Controle!A$2:G$9,7,FALSE))*D229</f>
        <v>0.12827555111178338</v>
      </c>
      <c r="K229" s="15">
        <f>VLOOKUP(A229,Demográfico!A$2:E$400,5,FALSE)/(VLOOKUP(C229,Controle!A$16:G$24,7,FALSE))*E229</f>
        <v>4.4396901815234167E-2</v>
      </c>
      <c r="L229" s="118">
        <f>((J229*(1+I229))+3*(I229+K229))/4</f>
        <v>0.61225454848779248</v>
      </c>
      <c r="M229" s="3">
        <v>1</v>
      </c>
      <c r="N229" s="88">
        <f>VLOOKUP(A229,Demográfico!A$2:E$400,5,FALSE)*I229</f>
        <v>766.41487752937576</v>
      </c>
      <c r="O229" s="96">
        <f>FLOOR(L229,1)</f>
        <v>0</v>
      </c>
      <c r="P229" s="96">
        <f>L229-O229</f>
        <v>0.61225454848779248</v>
      </c>
      <c r="Q229" s="87">
        <f>RANK(P229,P$2:P$400,0)</f>
        <v>66</v>
      </c>
      <c r="R229" s="3">
        <f>O229+IF(Q229&lt;Q$1,1,0)</f>
        <v>1</v>
      </c>
      <c r="T229" s="87">
        <f>VLOOKUP(A229,Demográfico!A$2:E$400,5,FALSE)*(I229)</f>
        <v>766.41487752937576</v>
      </c>
    </row>
    <row r="230" spans="1:20" ht="19.5" x14ac:dyDescent="0.25">
      <c r="A230" s="2" t="s">
        <v>235</v>
      </c>
      <c r="B230" s="37">
        <v>7771</v>
      </c>
      <c r="C230" s="4" t="str" cm="1">
        <f t="array" ref="C230">_xlfn.IFS(B230&lt;20000, "P1",B230&lt;40000, "P2",B230&lt;70000, "P3",B230&lt;100000, "P4",B230&lt;200000,"M1",B230&lt;500000,"M2",B230&lt;1000000,"G1",B230&gt;1000000,"G2")</f>
        <v>P1</v>
      </c>
      <c r="D230" s="13">
        <f>VLOOKUP(C230,Controle!A$2:H$9,8,FALSE)</f>
        <v>38.874046212109647</v>
      </c>
      <c r="E230" s="13">
        <f>VLOOKUP(C230,Controle!A$16:H$23,8,FALSE)</f>
        <v>13.454529704853227</v>
      </c>
      <c r="F230" s="5">
        <f>VLOOKUP(A230,Educacional!A$2:P$405,16,FALSE)</f>
        <v>63.764534360402934</v>
      </c>
      <c r="G230" s="6">
        <f>VLOOKUP(A230,Demográfico!A$2:L$405,12,FALSE)</f>
        <v>28.583821262443731</v>
      </c>
      <c r="H230" s="7">
        <f>VLOOKUP(A230,Socioeconômico!A$2:M$405,13,FALSE)</f>
        <v>46.090424321128552</v>
      </c>
      <c r="I230" s="16">
        <f>(2*F230+G230+2*H230)/5/100</f>
        <v>0.49658747725101343</v>
      </c>
      <c r="J230" s="15">
        <f>VLOOKUP(A230,Demográfico!A$2:E$400,5,FALSE)/(VLOOKUP(C230,Controle!A$2:G$9,7,FALSE))*D230</f>
        <v>0.11142182906789941</v>
      </c>
      <c r="K230" s="15">
        <f>VLOOKUP(A230,Demográfico!A$2:E$400,5,FALSE)/(VLOOKUP(C230,Controle!A$16:G$24,7,FALSE))*E230</f>
        <v>3.8563732233670552E-2</v>
      </c>
      <c r="L230" s="118">
        <f>((J230*(1+I230))+3*(I230+K230))/4</f>
        <v>0.44305153563236827</v>
      </c>
      <c r="M230" s="3">
        <v>1</v>
      </c>
      <c r="N230" s="88">
        <f>VLOOKUP(A230,Demográfico!A$2:E$400,5,FALSE)*I230</f>
        <v>472.75127834296478</v>
      </c>
      <c r="O230" s="96">
        <f>FLOOR(L230,1)</f>
        <v>0</v>
      </c>
      <c r="P230" s="96">
        <f>L230-O230</f>
        <v>0.44305153563236827</v>
      </c>
      <c r="Q230" s="87">
        <f>RANK(P230,P$2:P$400,0)</f>
        <v>221</v>
      </c>
      <c r="R230" s="3">
        <f>O230+IF(Q230&lt;Q$1,1,0)</f>
        <v>0</v>
      </c>
      <c r="T230" s="87">
        <f>VLOOKUP(A230,Demográfico!A$2:E$400,5,FALSE)*(I230)</f>
        <v>472.75127834296478</v>
      </c>
    </row>
    <row r="231" spans="1:20" ht="19.5" x14ac:dyDescent="0.25">
      <c r="A231" s="2" t="s">
        <v>236</v>
      </c>
      <c r="B231" s="37">
        <v>7735</v>
      </c>
      <c r="C231" s="4" t="str" cm="1">
        <f t="array" ref="C231">_xlfn.IFS(B231&lt;20000, "P1",B231&lt;40000, "P2",B231&lt;70000, "P3",B231&lt;100000, "P4",B231&lt;200000,"M1",B231&lt;500000,"M2",B231&lt;1000000,"G1",B231&gt;1000000,"G2")</f>
        <v>P1</v>
      </c>
      <c r="D231" s="13">
        <f>VLOOKUP(C231,Controle!A$2:H$9,8,FALSE)</f>
        <v>38.874046212109647</v>
      </c>
      <c r="E231" s="13">
        <f>VLOOKUP(C231,Controle!A$16:H$23,8,FALSE)</f>
        <v>13.454529704853227</v>
      </c>
      <c r="F231" s="5">
        <f>VLOOKUP(A231,Educacional!A$2:P$405,16,FALSE)</f>
        <v>52.405818747968034</v>
      </c>
      <c r="G231" s="6">
        <f>VLOOKUP(A231,Demográfico!A$2:L$405,12,FALSE)</f>
        <v>39.587880056663522</v>
      </c>
      <c r="H231" s="7">
        <f>VLOOKUP(A231,Socioeconômico!A$2:M$405,13,FALSE)</f>
        <v>51.153935605860227</v>
      </c>
      <c r="I231" s="16">
        <f>(2*F231+G231+2*H231)/5/100</f>
        <v>0.4934147775286401</v>
      </c>
      <c r="J231" s="15">
        <f>VLOOKUP(A231,Demográfico!A$2:E$400,5,FALSE)/(VLOOKUP(C231,Controle!A$2:G$9,7,FALSE))*D231</f>
        <v>0.10779359723900774</v>
      </c>
      <c r="K231" s="15">
        <f>VLOOKUP(A231,Demográfico!A$2:E$400,5,FALSE)/(VLOOKUP(C231,Controle!A$16:G$24,7,FALSE))*E231</f>
        <v>3.7307980448750611E-2</v>
      </c>
      <c r="L231" s="118">
        <f>((J231*(1+I231))+3*(I231+K231))/4</f>
        <v>0.43828720624296924</v>
      </c>
      <c r="M231" s="3">
        <v>1</v>
      </c>
      <c r="N231" s="88">
        <f>VLOOKUP(A231,Demográfico!A$2:E$400,5,FALSE)*I231</f>
        <v>454.43501010387752</v>
      </c>
      <c r="O231" s="96">
        <f>FLOOR(L231,1)</f>
        <v>0</v>
      </c>
      <c r="P231" s="96">
        <f>L231-O231</f>
        <v>0.43828720624296924</v>
      </c>
      <c r="Q231" s="87">
        <f>RANK(P231,P$2:P$400,0)</f>
        <v>231</v>
      </c>
      <c r="R231" s="3">
        <f>O231+IF(Q231&lt;Q$1,1,0)</f>
        <v>0</v>
      </c>
      <c r="T231" s="87">
        <f>VLOOKUP(A231,Demográfico!A$2:E$400,5,FALSE)*(I231)</f>
        <v>454.43501010387752</v>
      </c>
    </row>
    <row r="232" spans="1:20" ht="19.5" x14ac:dyDescent="0.25">
      <c r="A232" s="2" t="s">
        <v>237</v>
      </c>
      <c r="B232" s="37">
        <v>7635</v>
      </c>
      <c r="C232" s="4" t="str" cm="1">
        <f t="array" ref="C232">_xlfn.IFS(B232&lt;20000, "P1",B232&lt;40000, "P2",B232&lt;70000, "P3",B232&lt;100000, "P4",B232&lt;200000,"M1",B232&lt;500000,"M2",B232&lt;1000000,"G1",B232&gt;1000000,"G2")</f>
        <v>P1</v>
      </c>
      <c r="D232" s="13">
        <f>VLOOKUP(C232,Controle!A$2:H$9,8,FALSE)</f>
        <v>38.874046212109647</v>
      </c>
      <c r="E232" s="13">
        <f>VLOOKUP(C232,Controle!A$16:H$23,8,FALSE)</f>
        <v>13.454529704853227</v>
      </c>
      <c r="F232" s="5">
        <f>VLOOKUP(A232,Educacional!A$2:P$405,16,FALSE)</f>
        <v>35.480124049664148</v>
      </c>
      <c r="G232" s="6">
        <f>VLOOKUP(A232,Demográfico!A$2:L$405,12,FALSE)</f>
        <v>20.094737336421375</v>
      </c>
      <c r="H232" s="7">
        <f>VLOOKUP(A232,Socioeconômico!A$2:M$405,13,FALSE)</f>
        <v>52.012479550048226</v>
      </c>
      <c r="I232" s="16">
        <f>(2*F232+G232+2*H232)/5/100</f>
        <v>0.39015988907169225</v>
      </c>
      <c r="J232" s="15">
        <f>VLOOKUP(A232,Demográfico!A$2:E$400,5,FALSE)/(VLOOKUP(C232,Controle!A$2:G$9,7,FALSE))*D232</f>
        <v>9.6557782543085099E-2</v>
      </c>
      <c r="K232" s="15">
        <f>VLOOKUP(A232,Demográfico!A$2:E$400,5,FALSE)/(VLOOKUP(C232,Controle!A$16:G$24,7,FALSE))*E232</f>
        <v>3.3419200727708202E-2</v>
      </c>
      <c r="L232" s="118">
        <f>((J232*(1+I232))+3*(I232+K232))/4</f>
        <v>0.35124200641682624</v>
      </c>
      <c r="M232" s="3">
        <v>0</v>
      </c>
      <c r="N232" s="88">
        <f>VLOOKUP(A232,Demográfico!A$2:E$400,5,FALSE)*I232</f>
        <v>321.88190848414609</v>
      </c>
      <c r="O232" s="96">
        <f>FLOOR(L232,1)</f>
        <v>0</v>
      </c>
      <c r="P232" s="96">
        <f>L232-O232</f>
        <v>0.35124200641682624</v>
      </c>
      <c r="Q232" s="87">
        <f>RANK(P232,P$2:P$400,0)</f>
        <v>328</v>
      </c>
      <c r="R232" s="3">
        <f>O232+IF(Q232&lt;Q$1,1,0)</f>
        <v>0</v>
      </c>
      <c r="T232" s="87">
        <f>VLOOKUP(A232,Demográfico!A$2:E$400,5,FALSE)*(I232)</f>
        <v>321.88190848414609</v>
      </c>
    </row>
    <row r="233" spans="1:20" ht="19.5" x14ac:dyDescent="0.25">
      <c r="A233" s="2" t="s">
        <v>238</v>
      </c>
      <c r="B233" s="37">
        <v>7508</v>
      </c>
      <c r="C233" s="4" t="str" cm="1">
        <f t="array" ref="C233">_xlfn.IFS(B233&lt;20000, "P1",B233&lt;40000, "P2",B233&lt;70000, "P3",B233&lt;100000, "P4",B233&lt;200000,"M1",B233&lt;500000,"M2",B233&lt;1000000,"G1",B233&gt;1000000,"G2")</f>
        <v>P1</v>
      </c>
      <c r="D233" s="13">
        <f>VLOOKUP(C233,Controle!A$2:H$9,8,FALSE)</f>
        <v>38.874046212109647</v>
      </c>
      <c r="E233" s="13">
        <f>VLOOKUP(C233,Controle!A$16:H$23,8,FALSE)</f>
        <v>13.454529704853227</v>
      </c>
      <c r="F233" s="5">
        <f>VLOOKUP(A233,Educacional!A$2:P$405,16,FALSE)</f>
        <v>70.622218480306117</v>
      </c>
      <c r="G233" s="6">
        <f>VLOOKUP(A233,Demográfico!A$2:L$405,12,FALSE)</f>
        <v>76.481896029463584</v>
      </c>
      <c r="H233" s="7">
        <f>VLOOKUP(A233,Socioeconômico!A$2:M$405,13,FALSE)</f>
        <v>55.069895368486613</v>
      </c>
      <c r="I233" s="16">
        <f>(2*F233+G233+2*H233)/5/100</f>
        <v>0.65573224745409819</v>
      </c>
      <c r="J233" s="15">
        <f>VLOOKUP(A233,Demográfico!A$2:E$400,5,FALSE)/(VLOOKUP(C233,Controle!A$2:G$9,7,FALSE))*D233</f>
        <v>0.14220327974527078</v>
      </c>
      <c r="K233" s="15">
        <f>VLOOKUP(A233,Demográfico!A$2:E$400,5,FALSE)/(VLOOKUP(C233,Controle!A$16:G$24,7,FALSE))*E233</f>
        <v>4.9217368344442985E-2</v>
      </c>
      <c r="L233" s="118">
        <f>((J233*(1+I233))+3*(I233+K233))/4</f>
        <v>0.58757485084090122</v>
      </c>
      <c r="M233" s="3">
        <v>1</v>
      </c>
      <c r="N233" s="88">
        <f>VLOOKUP(A233,Demográfico!A$2:E$400,5,FALSE)*I233</f>
        <v>796.71468065672934</v>
      </c>
      <c r="O233" s="96">
        <f>FLOOR(L233,1)</f>
        <v>0</v>
      </c>
      <c r="P233" s="96">
        <f>L233-O233</f>
        <v>0.58757485084090122</v>
      </c>
      <c r="Q233" s="87">
        <f>RANK(P233,P$2:P$400,0)</f>
        <v>86</v>
      </c>
      <c r="R233" s="3">
        <f>O233+IF(Q233&lt;Q$1,1,0)</f>
        <v>1</v>
      </c>
      <c r="T233" s="87">
        <f>VLOOKUP(A233,Demográfico!A$2:E$400,5,FALSE)*(I233)</f>
        <v>796.71468065672934</v>
      </c>
    </row>
    <row r="234" spans="1:20" ht="19.5" x14ac:dyDescent="0.25">
      <c r="A234" s="2" t="s">
        <v>239</v>
      </c>
      <c r="B234" s="37">
        <v>7430</v>
      </c>
      <c r="C234" s="4" t="str" cm="1">
        <f t="array" ref="C234">_xlfn.IFS(B234&lt;20000, "P1",B234&lt;40000, "P2",B234&lt;70000, "P3",B234&lt;100000, "P4",B234&lt;200000,"M1",B234&lt;500000,"M2",B234&lt;1000000,"G1",B234&gt;1000000,"G2")</f>
        <v>P1</v>
      </c>
      <c r="D234" s="13">
        <f>VLOOKUP(C234,Controle!A$2:H$9,8,FALSE)</f>
        <v>38.874046212109647</v>
      </c>
      <c r="E234" s="13">
        <f>VLOOKUP(C234,Controle!A$16:H$23,8,FALSE)</f>
        <v>13.454529704853227</v>
      </c>
      <c r="F234" s="5">
        <f>VLOOKUP(A234,Educacional!A$2:P$405,16,FALSE)</f>
        <v>88.058725907013397</v>
      </c>
      <c r="G234" s="6">
        <f>VLOOKUP(A234,Demográfico!A$2:L$405,12,FALSE)</f>
        <v>42.45213896761598</v>
      </c>
      <c r="H234" s="7">
        <f>VLOOKUP(A234,Socioeconômico!A$2:M$405,13,FALSE)</f>
        <v>84.564180502517331</v>
      </c>
      <c r="I234" s="16">
        <f>(2*F234+G234+2*H234)/5/100</f>
        <v>0.77539590357335486</v>
      </c>
      <c r="J234" s="15">
        <f>VLOOKUP(A234,Demográfico!A$2:E$400,5,FALSE)/(VLOOKUP(C234,Controle!A$2:G$9,7,FALSE))*D234</f>
        <v>0.12581771664705027</v>
      </c>
      <c r="K234" s="15">
        <f>VLOOKUP(A234,Demográfico!A$2:E$400,5,FALSE)/(VLOOKUP(C234,Controle!A$16:G$24,7,FALSE))*E234</f>
        <v>4.3546231251256139E-2</v>
      </c>
      <c r="L234" s="118">
        <f>((J234*(1+I234))+3*(I234+K234))/4</f>
        <v>0.67005066580148975</v>
      </c>
      <c r="M234" s="3">
        <v>1</v>
      </c>
      <c r="N234" s="132">
        <f>VLOOKUP(A234,Demográfico!A$2:E$400,5,FALSE)*I234</f>
        <v>833.55059634135648</v>
      </c>
      <c r="O234" s="96">
        <f>FLOOR(L234,1)</f>
        <v>0</v>
      </c>
      <c r="P234" s="96">
        <f>L234-O234</f>
        <v>0.67005066580148975</v>
      </c>
      <c r="Q234" s="87">
        <f>RANK(P234,P$2:P$400,0)</f>
        <v>42</v>
      </c>
      <c r="R234" s="3">
        <f>O234+IF(Q234&lt;Q$1,1,0)</f>
        <v>1</v>
      </c>
      <c r="T234" s="87">
        <f>VLOOKUP(A234,Demográfico!A$2:E$400,5,FALSE)*(I234)</f>
        <v>833.55059634135648</v>
      </c>
    </row>
    <row r="235" spans="1:20" ht="19.5" x14ac:dyDescent="0.25">
      <c r="A235" s="2" t="s">
        <v>240</v>
      </c>
      <c r="B235" s="37">
        <v>7253</v>
      </c>
      <c r="C235" s="4" t="str" cm="1">
        <f t="array" ref="C235">_xlfn.IFS(B235&lt;20000, "P1",B235&lt;40000, "P2",B235&lt;70000, "P3",B235&lt;100000, "P4",B235&lt;200000,"M1",B235&lt;500000,"M2",B235&lt;1000000,"G1",B235&gt;1000000,"G2")</f>
        <v>P1</v>
      </c>
      <c r="D235" s="13">
        <f>VLOOKUP(C235,Controle!A$2:H$9,8,FALSE)</f>
        <v>38.874046212109647</v>
      </c>
      <c r="E235" s="13">
        <f>VLOOKUP(C235,Controle!A$16:H$23,8,FALSE)</f>
        <v>13.454529704853227</v>
      </c>
      <c r="F235" s="5">
        <f>VLOOKUP(A235,Educacional!A$2:P$405,16,FALSE)</f>
        <v>52.756474837661635</v>
      </c>
      <c r="G235" s="6">
        <f>VLOOKUP(A235,Demográfico!A$2:L$405,12,FALSE)</f>
        <v>50.528863817385428</v>
      </c>
      <c r="H235" s="7">
        <f>VLOOKUP(A235,Socioeconômico!A$2:M$405,13,FALSE)</f>
        <v>43.775191765930877</v>
      </c>
      <c r="I235" s="16">
        <f>(2*F235+G235+2*H235)/5/100</f>
        <v>0.48718439404914093</v>
      </c>
      <c r="J235" s="15">
        <f>VLOOKUP(A235,Demográfico!A$2:E$400,5,FALSE)/(VLOOKUP(C235,Controle!A$2:G$9,7,FALSE))*D235</f>
        <v>0.11200702774997873</v>
      </c>
      <c r="K235" s="15">
        <f>VLOOKUP(A235,Demográfico!A$2:E$400,5,FALSE)/(VLOOKUP(C235,Controle!A$16:G$24,7,FALSE))*E235</f>
        <v>3.8766272844141511E-2</v>
      </c>
      <c r="L235" s="118">
        <f>((J235*(1+I235))+3*(I235+K235))/4</f>
        <v>0.43610677609336118</v>
      </c>
      <c r="M235" s="3">
        <v>1</v>
      </c>
      <c r="N235" s="88">
        <f>VLOOKUP(A235,Demográfico!A$2:E$400,5,FALSE)*I235</f>
        <v>466.23546510502786</v>
      </c>
      <c r="O235" s="96">
        <f>FLOOR(L235,1)</f>
        <v>0</v>
      </c>
      <c r="P235" s="96">
        <f>L235-O235</f>
        <v>0.43610677609336118</v>
      </c>
      <c r="Q235" s="87">
        <f>RANK(P235,P$2:P$400,0)</f>
        <v>234</v>
      </c>
      <c r="R235" s="3">
        <f>O235+IF(Q235&lt;Q$1,1,0)</f>
        <v>0</v>
      </c>
      <c r="T235" s="87">
        <f>VLOOKUP(A235,Demográfico!A$2:E$400,5,FALSE)*(I235)</f>
        <v>466.23546510502786</v>
      </c>
    </row>
    <row r="236" spans="1:20" ht="19.5" x14ac:dyDescent="0.25">
      <c r="A236" s="2" t="s">
        <v>241</v>
      </c>
      <c r="B236" s="37">
        <v>7241</v>
      </c>
      <c r="C236" s="4" t="str" cm="1">
        <f t="array" ref="C236">_xlfn.IFS(B236&lt;20000, "P1",B236&lt;40000, "P2",B236&lt;70000, "P3",B236&lt;100000, "P4",B236&lt;200000,"M1",B236&lt;500000,"M2",B236&lt;1000000,"G1",B236&gt;1000000,"G2")</f>
        <v>P1</v>
      </c>
      <c r="D236" s="13">
        <f>VLOOKUP(C236,Controle!A$2:H$9,8,FALSE)</f>
        <v>38.874046212109647</v>
      </c>
      <c r="E236" s="13">
        <f>VLOOKUP(C236,Controle!A$16:H$23,8,FALSE)</f>
        <v>13.454529704853227</v>
      </c>
      <c r="F236" s="5">
        <f>VLOOKUP(A236,Educacional!A$2:P$405,16,FALSE)</f>
        <v>49.260677818510061</v>
      </c>
      <c r="G236" s="6">
        <f>VLOOKUP(A236,Demográfico!A$2:L$405,12,FALSE)</f>
        <v>29.063360060673695</v>
      </c>
      <c r="H236" s="7">
        <f>VLOOKUP(A236,Socioeconômico!A$2:M$405,13,FALSE)</f>
        <v>51.819369135802077</v>
      </c>
      <c r="I236" s="16">
        <f>(2*F236+G236+2*H236)/5/100</f>
        <v>0.46244690793859589</v>
      </c>
      <c r="J236" s="15">
        <f>VLOOKUP(A236,Demográfico!A$2:E$400,5,FALSE)/(VLOOKUP(C236,Controle!A$2:G$9,7,FALSE))*D236</f>
        <v>0.10697431908409671</v>
      </c>
      <c r="K236" s="15">
        <f>VLOOKUP(A236,Demográfico!A$2:E$400,5,FALSE)/(VLOOKUP(C236,Controle!A$16:G$24,7,FALSE))*E236</f>
        <v>3.702442359409127E-2</v>
      </c>
      <c r="L236" s="118">
        <f>((J236*(1+I236))+3*(I236+K236))/4</f>
        <v>0.41371456419285885</v>
      </c>
      <c r="M236" s="3">
        <v>0</v>
      </c>
      <c r="N236" s="88">
        <f>VLOOKUP(A236,Demográfico!A$2:E$400,5,FALSE)*I236</f>
        <v>422.67647385587662</v>
      </c>
      <c r="O236" s="96">
        <f>FLOOR(L236,1)</f>
        <v>0</v>
      </c>
      <c r="P236" s="96">
        <f>L236-O236</f>
        <v>0.41371456419285885</v>
      </c>
      <c r="Q236" s="87">
        <f>RANK(P236,P$2:P$400,0)</f>
        <v>265</v>
      </c>
      <c r="R236" s="3">
        <f>O236+IF(Q236&lt;Q$1,1,0)</f>
        <v>0</v>
      </c>
      <c r="T236" s="87">
        <f>VLOOKUP(A236,Demográfico!A$2:E$400,5,FALSE)*(I236)</f>
        <v>422.67647385587662</v>
      </c>
    </row>
    <row r="237" spans="1:20" ht="19.5" x14ac:dyDescent="0.25">
      <c r="A237" s="2" t="s">
        <v>242</v>
      </c>
      <c r="B237" s="37">
        <v>7225</v>
      </c>
      <c r="C237" s="4" t="str" cm="1">
        <f t="array" ref="C237">_xlfn.IFS(B237&lt;20000, "P1",B237&lt;40000, "P2",B237&lt;70000, "P3",B237&lt;100000, "P4",B237&lt;200000,"M1",B237&lt;500000,"M2",B237&lt;1000000,"G1",B237&gt;1000000,"G2")</f>
        <v>P1</v>
      </c>
      <c r="D237" s="13">
        <f>VLOOKUP(C237,Controle!A$2:H$9,8,FALSE)</f>
        <v>38.874046212109647</v>
      </c>
      <c r="E237" s="13">
        <f>VLOOKUP(C237,Controle!A$16:H$23,8,FALSE)</f>
        <v>13.454529704853227</v>
      </c>
      <c r="F237" s="5">
        <f>VLOOKUP(A237,Educacional!A$2:P$405,16,FALSE)</f>
        <v>28.476542566959463</v>
      </c>
      <c r="G237" s="6">
        <f>VLOOKUP(A237,Demográfico!A$2:L$405,12,FALSE)</f>
        <v>43.143885253589161</v>
      </c>
      <c r="H237" s="7">
        <f>VLOOKUP(A237,Socioeconômico!A$2:M$405,13,FALSE)</f>
        <v>52.351952459587537</v>
      </c>
      <c r="I237" s="16">
        <f>(2*F237+G237+2*H237)/5/100</f>
        <v>0.40960175061336634</v>
      </c>
      <c r="J237" s="15">
        <f>VLOOKUP(A237,Demográfico!A$2:E$400,5,FALSE)/(VLOOKUP(C237,Controle!A$2:G$9,7,FALSE))*D237</f>
        <v>0.10837879592108704</v>
      </c>
      <c r="K237" s="15">
        <f>VLOOKUP(A237,Demográfico!A$2:E$400,5,FALSE)/(VLOOKUP(C237,Controle!A$16:G$24,7,FALSE))*E237</f>
        <v>3.7510521059221563E-2</v>
      </c>
      <c r="L237" s="118">
        <f>((J237*(1+I237))+3*(I237+K237))/4</f>
        <v>0.37352693886937421</v>
      </c>
      <c r="M237" s="3">
        <v>0</v>
      </c>
      <c r="N237" s="88">
        <f>VLOOKUP(A237,Demográfico!A$2:E$400,5,FALSE)*I237</f>
        <v>379.29122106797723</v>
      </c>
      <c r="O237" s="96">
        <f>FLOOR(L237,1)</f>
        <v>0</v>
      </c>
      <c r="P237" s="96">
        <f>L237-O237</f>
        <v>0.37352693886937421</v>
      </c>
      <c r="Q237" s="87">
        <f>RANK(P237,P$2:P$400,0)</f>
        <v>310</v>
      </c>
      <c r="R237" s="3">
        <f>O237+IF(Q237&lt;Q$1,1,0)</f>
        <v>0</v>
      </c>
      <c r="T237" s="87">
        <f>VLOOKUP(A237,Demográfico!A$2:E$400,5,FALSE)*(I237)</f>
        <v>379.29122106797723</v>
      </c>
    </row>
    <row r="238" spans="1:20" ht="19.5" x14ac:dyDescent="0.25">
      <c r="A238" s="2" t="s">
        <v>243</v>
      </c>
      <c r="B238" s="37">
        <v>7189</v>
      </c>
      <c r="C238" s="4" t="str" cm="1">
        <f t="array" ref="C238">_xlfn.IFS(B238&lt;20000, "P1",B238&lt;40000, "P2",B238&lt;70000, "P3",B238&lt;100000, "P4",B238&lt;200000,"M1",B238&lt;500000,"M2",B238&lt;1000000,"G1",B238&gt;1000000,"G2")</f>
        <v>P1</v>
      </c>
      <c r="D238" s="13">
        <f>VLOOKUP(C238,Controle!A$2:H$9,8,FALSE)</f>
        <v>38.874046212109647</v>
      </c>
      <c r="E238" s="13">
        <f>VLOOKUP(C238,Controle!A$16:H$23,8,FALSE)</f>
        <v>13.454529704853227</v>
      </c>
      <c r="F238" s="5">
        <f>VLOOKUP(A238,Educacional!A$2:P$405,16,FALSE)</f>
        <v>64.675824618463395</v>
      </c>
      <c r="G238" s="6">
        <f>VLOOKUP(A238,Demográfico!A$2:L$405,12,FALSE)</f>
        <v>38.40796894814055</v>
      </c>
      <c r="H238" s="7">
        <f>VLOOKUP(A238,Socioeconômico!A$2:M$405,13,FALSE)</f>
        <v>38.857537553154103</v>
      </c>
      <c r="I238" s="16">
        <f>(2*F238+G238+2*H238)/5/100</f>
        <v>0.49094938658275106</v>
      </c>
      <c r="J238" s="15">
        <f>VLOOKUP(A238,Demográfico!A$2:E$400,5,FALSE)/(VLOOKUP(C238,Controle!A$2:G$9,7,FALSE))*D238</f>
        <v>0.10568688198352225</v>
      </c>
      <c r="K238" s="15">
        <f>VLOOKUP(A238,Demográfico!A$2:E$400,5,FALSE)/(VLOOKUP(C238,Controle!A$16:G$24,7,FALSE))*E238</f>
        <v>3.657883425105516E-2</v>
      </c>
      <c r="L238" s="118">
        <f>((J238*(1+I238))+3*(I238+K238))/4</f>
        <v>0.43503961359114873</v>
      </c>
      <c r="M238" s="3">
        <v>1</v>
      </c>
      <c r="N238" s="88">
        <f>VLOOKUP(A238,Demográfico!A$2:E$400,5,FALSE)*I238</f>
        <v>443.3272960842242</v>
      </c>
      <c r="O238" s="96">
        <f>FLOOR(L238,1)</f>
        <v>0</v>
      </c>
      <c r="P238" s="96">
        <f>L238-O238</f>
        <v>0.43503961359114873</v>
      </c>
      <c r="Q238" s="87">
        <f>RANK(P238,P$2:P$400,0)</f>
        <v>237</v>
      </c>
      <c r="R238" s="3">
        <f>O238+IF(Q238&lt;Q$1,1,0)</f>
        <v>0</v>
      </c>
      <c r="T238" s="87">
        <f>VLOOKUP(A238,Demográfico!A$2:E$400,5,FALSE)*(I238)</f>
        <v>443.3272960842242</v>
      </c>
    </row>
    <row r="239" spans="1:20" ht="19.5" x14ac:dyDescent="0.25">
      <c r="A239" s="2" t="s">
        <v>244</v>
      </c>
      <c r="B239" s="37">
        <v>7018</v>
      </c>
      <c r="C239" s="4" t="str" cm="1">
        <f t="array" ref="C239">_xlfn.IFS(B239&lt;20000, "P1",B239&lt;40000, "P2",B239&lt;70000, "P3",B239&lt;100000, "P4",B239&lt;200000,"M1",B239&lt;500000,"M2",B239&lt;1000000,"G1",B239&gt;1000000,"G2")</f>
        <v>P1</v>
      </c>
      <c r="D239" s="13">
        <f>VLOOKUP(C239,Controle!A$2:H$9,8,FALSE)</f>
        <v>38.874046212109647</v>
      </c>
      <c r="E239" s="13">
        <f>VLOOKUP(C239,Controle!A$16:H$23,8,FALSE)</f>
        <v>13.454529704853227</v>
      </c>
      <c r="F239" s="5">
        <f>VLOOKUP(A239,Educacional!A$2:P$405,16,FALSE)</f>
        <v>92.697701884372336</v>
      </c>
      <c r="G239" s="6">
        <f>VLOOKUP(A239,Demográfico!A$2:L$405,12,FALSE)</f>
        <v>31.715958003190469</v>
      </c>
      <c r="H239" s="7">
        <f>VLOOKUP(A239,Socioeconômico!A$2:M$405,13,FALSE)</f>
        <v>65.675789741776541</v>
      </c>
      <c r="I239" s="16">
        <f>(2*F239+G239+2*H239)/5/100</f>
        <v>0.69692588251097642</v>
      </c>
      <c r="J239" s="15">
        <f>VLOOKUP(A239,Demográfico!A$2:E$400,5,FALSE)/(VLOOKUP(C239,Controle!A$2:G$9,7,FALSE))*D239</f>
        <v>0.10334608725520503</v>
      </c>
      <c r="K239" s="15">
        <f>VLOOKUP(A239,Demográfico!A$2:E$400,5,FALSE)/(VLOOKUP(C239,Controle!A$16:G$24,7,FALSE))*E239</f>
        <v>3.5768671809171322E-2</v>
      </c>
      <c r="L239" s="118">
        <f>((J239*(1+I239))+3*(I239+K239))/4</f>
        <v>0.59336357832000963</v>
      </c>
      <c r="M239" s="3">
        <v>1</v>
      </c>
      <c r="N239" s="88">
        <f>VLOOKUP(A239,Demográfico!A$2:E$400,5,FALSE)*I239</f>
        <v>615.38555425719221</v>
      </c>
      <c r="O239" s="96">
        <f>FLOOR(L239,1)</f>
        <v>0</v>
      </c>
      <c r="P239" s="96">
        <f>L239-O239</f>
        <v>0.59336357832000963</v>
      </c>
      <c r="Q239" s="87">
        <f>RANK(P239,P$2:P$400,0)</f>
        <v>82</v>
      </c>
      <c r="R239" s="3">
        <f>O239+IF(Q239&lt;Q$1,1,0)</f>
        <v>1</v>
      </c>
      <c r="T239" s="87">
        <f>VLOOKUP(A239,Demográfico!A$2:E$400,5,FALSE)*(I239)</f>
        <v>615.38555425719221</v>
      </c>
    </row>
    <row r="240" spans="1:20" ht="19.5" x14ac:dyDescent="0.25">
      <c r="A240" s="2" t="s">
        <v>245</v>
      </c>
      <c r="B240" s="37">
        <v>6848</v>
      </c>
      <c r="C240" s="4" t="str" cm="1">
        <f t="array" ref="C240">_xlfn.IFS(B240&lt;20000, "P1",B240&lt;40000, "P2",B240&lt;70000, "P3",B240&lt;100000, "P4",B240&lt;200000,"M1",B240&lt;500000,"M2",B240&lt;1000000,"G1",B240&gt;1000000,"G2")</f>
        <v>P1</v>
      </c>
      <c r="D240" s="13">
        <f>VLOOKUP(C240,Controle!A$2:H$9,8,FALSE)</f>
        <v>38.874046212109647</v>
      </c>
      <c r="E240" s="13">
        <f>VLOOKUP(C240,Controle!A$16:H$23,8,FALSE)</f>
        <v>13.454529704853227</v>
      </c>
      <c r="F240" s="5">
        <f>VLOOKUP(A240,Educacional!A$2:P$405,16,FALSE)</f>
        <v>46.593768927171389</v>
      </c>
      <c r="G240" s="6">
        <f>VLOOKUP(A240,Demográfico!A$2:L$405,12,FALSE)</f>
        <v>49.543727076001318</v>
      </c>
      <c r="H240" s="7">
        <f>VLOOKUP(A240,Socioeconômico!A$2:M$405,13,FALSE)</f>
        <v>53.431146755153179</v>
      </c>
      <c r="I240" s="16">
        <f>(2*F240+G240+2*H240)/5/100</f>
        <v>0.49918711688130091</v>
      </c>
      <c r="J240" s="15">
        <f>VLOOKUP(A240,Demográfico!A$2:E$400,5,FALSE)/(VLOOKUP(C240,Controle!A$2:G$9,7,FALSE))*D240</f>
        <v>0.10416536541011605</v>
      </c>
      <c r="K240" s="15">
        <f>VLOOKUP(A240,Demográfico!A$2:E$400,5,FALSE)/(VLOOKUP(C240,Controle!A$16:G$24,7,FALSE))*E240</f>
        <v>3.6052228663830663E-2</v>
      </c>
      <c r="L240" s="118">
        <f>((J240*(1+I240))+3*(I240+K240))/4</f>
        <v>0.44047035262086842</v>
      </c>
      <c r="M240" s="3">
        <v>0</v>
      </c>
      <c r="N240" s="88">
        <f>VLOOKUP(A240,Demográfico!A$2:E$400,5,FALSE)*I240</f>
        <v>444.27653402435783</v>
      </c>
      <c r="O240" s="96">
        <f>FLOOR(L240,1)</f>
        <v>0</v>
      </c>
      <c r="P240" s="96">
        <f>L240-O240</f>
        <v>0.44047035262086842</v>
      </c>
      <c r="Q240" s="87">
        <f>RANK(P240,P$2:P$400,0)</f>
        <v>227</v>
      </c>
      <c r="R240" s="3">
        <f>O240+IF(Q240&lt;Q$1,1,0)</f>
        <v>0</v>
      </c>
      <c r="T240" s="87">
        <f>VLOOKUP(A240,Demográfico!A$2:E$400,5,FALSE)*(I240)</f>
        <v>444.27653402435783</v>
      </c>
    </row>
    <row r="241" spans="1:20" ht="19.5" x14ac:dyDescent="0.25">
      <c r="A241" s="2" t="s">
        <v>246</v>
      </c>
      <c r="B241" s="37">
        <v>6845</v>
      </c>
      <c r="C241" s="4" t="str" cm="1">
        <f t="array" ref="C241">_xlfn.IFS(B241&lt;20000, "P1",B241&lt;40000, "P2",B241&lt;70000, "P3",B241&lt;100000, "P4",B241&lt;200000,"M1",B241&lt;500000,"M2",B241&lt;1000000,"G1",B241&gt;1000000,"G2")</f>
        <v>P1</v>
      </c>
      <c r="D241" s="13">
        <f>VLOOKUP(C241,Controle!A$2:H$9,8,FALSE)</f>
        <v>38.874046212109647</v>
      </c>
      <c r="E241" s="13">
        <f>VLOOKUP(C241,Controle!A$16:H$23,8,FALSE)</f>
        <v>13.454529704853227</v>
      </c>
      <c r="F241" s="5">
        <f>VLOOKUP(A241,Educacional!A$2:P$405,16,FALSE)</f>
        <v>74.401981646781067</v>
      </c>
      <c r="G241" s="6">
        <f>VLOOKUP(A241,Demográfico!A$2:L$405,12,FALSE)</f>
        <v>36.21532203246678</v>
      </c>
      <c r="H241" s="7">
        <f>VLOOKUP(A241,Socioeconômico!A$2:M$405,13,FALSE)</f>
        <v>24.764943667378517</v>
      </c>
      <c r="I241" s="16">
        <f>(2*F241+G241+2*H241)/5/100</f>
        <v>0.46909834532157191</v>
      </c>
      <c r="J241" s="15">
        <f>VLOOKUP(A241,Demográfico!A$2:E$400,5,FALSE)/(VLOOKUP(C241,Controle!A$2:G$9,7,FALSE))*D241</f>
        <v>0.10568688198352225</v>
      </c>
      <c r="K241" s="15">
        <f>VLOOKUP(A241,Demográfico!A$2:E$400,5,FALSE)/(VLOOKUP(C241,Controle!A$16:G$24,7,FALSE))*E241</f>
        <v>3.657883425105516E-2</v>
      </c>
      <c r="L241" s="118">
        <f>((J241*(1+I241))+3*(I241+K241))/4</f>
        <v>0.41807399054051753</v>
      </c>
      <c r="M241" s="3">
        <v>1</v>
      </c>
      <c r="N241" s="88">
        <f>VLOOKUP(A241,Demográfico!A$2:E$400,5,FALSE)*I241</f>
        <v>423.59580582537944</v>
      </c>
      <c r="O241" s="96">
        <f>FLOOR(L241,1)</f>
        <v>0</v>
      </c>
      <c r="P241" s="96">
        <f>L241-O241</f>
        <v>0.41807399054051753</v>
      </c>
      <c r="Q241" s="87">
        <f>RANK(P241,P$2:P$400,0)</f>
        <v>259</v>
      </c>
      <c r="R241" s="3">
        <f>O241+IF(Q241&lt;Q$1,1,0)</f>
        <v>0</v>
      </c>
      <c r="T241" s="87">
        <f>VLOOKUP(A241,Demográfico!A$2:E$400,5,FALSE)*(I241)</f>
        <v>423.59580582537944</v>
      </c>
    </row>
    <row r="242" spans="1:20" ht="19.5" x14ac:dyDescent="0.25">
      <c r="A242" s="2" t="s">
        <v>247</v>
      </c>
      <c r="B242" s="37">
        <v>6831</v>
      </c>
      <c r="C242" s="4" t="str" cm="1">
        <f t="array" ref="C242">_xlfn.IFS(B242&lt;20000, "P1",B242&lt;40000, "P2",B242&lt;70000, "P3",B242&lt;100000, "P4",B242&lt;200000,"M1",B242&lt;500000,"M2",B242&lt;1000000,"G1",B242&gt;1000000,"G2")</f>
        <v>P1</v>
      </c>
      <c r="D242" s="13">
        <f>VLOOKUP(C242,Controle!A$2:H$9,8,FALSE)</f>
        <v>38.874046212109647</v>
      </c>
      <c r="E242" s="13">
        <f>VLOOKUP(C242,Controle!A$16:H$23,8,FALSE)</f>
        <v>13.454529704853227</v>
      </c>
      <c r="F242" s="5">
        <f>VLOOKUP(A242,Educacional!A$2:P$405,16,FALSE)</f>
        <v>47.883312956307108</v>
      </c>
      <c r="G242" s="6">
        <f>VLOOKUP(A242,Demográfico!A$2:L$405,12,FALSE)</f>
        <v>53.46419925620345</v>
      </c>
      <c r="H242" s="7">
        <f>VLOOKUP(A242,Socioeconômico!A$2:M$405,13,FALSE)</f>
        <v>41.187729436042289</v>
      </c>
      <c r="I242" s="16">
        <f>(2*F242+G242+2*H242)/5/100</f>
        <v>0.4632125680818045</v>
      </c>
      <c r="J242" s="15">
        <f>VLOOKUP(A242,Demográfico!A$2:E$400,5,FALSE)/(VLOOKUP(C242,Controle!A$2:G$9,7,FALSE))*D242</f>
        <v>0.10533576277427466</v>
      </c>
      <c r="K242" s="15">
        <f>VLOOKUP(A242,Demográfico!A$2:E$400,5,FALSE)/(VLOOKUP(C242,Controle!A$16:G$24,7,FALSE))*E242</f>
        <v>3.6457309884772582E-2</v>
      </c>
      <c r="L242" s="118">
        <f>((J242*(1+I242))+3*(I242+K242))/4</f>
        <v>0.41328456146488335</v>
      </c>
      <c r="M242" s="3">
        <v>0</v>
      </c>
      <c r="N242" s="88">
        <f>VLOOKUP(A242,Demográfico!A$2:E$400,5,FALSE)*I242</f>
        <v>416.89131127362407</v>
      </c>
      <c r="O242" s="96">
        <f>FLOOR(L242,1)</f>
        <v>0</v>
      </c>
      <c r="P242" s="96">
        <f>L242-O242</f>
        <v>0.41328456146488335</v>
      </c>
      <c r="Q242" s="87">
        <f>RANK(P242,P$2:P$400,0)</f>
        <v>266</v>
      </c>
      <c r="R242" s="3">
        <f>O242+IF(Q242&lt;Q$1,1,0)</f>
        <v>0</v>
      </c>
      <c r="T242" s="87">
        <f>VLOOKUP(A242,Demográfico!A$2:E$400,5,FALSE)*(I242)</f>
        <v>416.89131127362407</v>
      </c>
    </row>
    <row r="243" spans="1:20" ht="19.5" x14ac:dyDescent="0.25">
      <c r="A243" s="2" t="s">
        <v>248</v>
      </c>
      <c r="B243" s="37">
        <v>6790</v>
      </c>
      <c r="C243" s="4" t="str" cm="1">
        <f t="array" ref="C243">_xlfn.IFS(B243&lt;20000, "P1",B243&lt;40000, "P2",B243&lt;70000, "P3",B243&lt;100000, "P4",B243&lt;200000,"M1",B243&lt;500000,"M2",B243&lt;1000000,"G1",B243&gt;1000000,"G2")</f>
        <v>P1</v>
      </c>
      <c r="D243" s="13">
        <f>VLOOKUP(C243,Controle!A$2:H$9,8,FALSE)</f>
        <v>38.874046212109647</v>
      </c>
      <c r="E243" s="13">
        <f>VLOOKUP(C243,Controle!A$16:H$23,8,FALSE)</f>
        <v>13.454529704853227</v>
      </c>
      <c r="F243" s="5">
        <f>VLOOKUP(A243,Educacional!A$2:P$405,16,FALSE)</f>
        <v>49.137195192222208</v>
      </c>
      <c r="G243" s="6">
        <f>VLOOKUP(A243,Demográfico!A$2:L$405,12,FALSE)</f>
        <v>54.157865610148967</v>
      </c>
      <c r="H243" s="7">
        <f>VLOOKUP(A243,Socioeconômico!A$2:M$405,13,FALSE)</f>
        <v>55.895465081882264</v>
      </c>
      <c r="I243" s="16">
        <f>(2*F243+G243+2*H243)/5/100</f>
        <v>0.52844637231671587</v>
      </c>
      <c r="J243" s="15">
        <f>VLOOKUP(A243,Demográfico!A$2:E$400,5,FALSE)/(VLOOKUP(C243,Controle!A$2:G$9,7,FALSE))*D243</f>
        <v>0.10287792830954158</v>
      </c>
      <c r="K243" s="15">
        <f>VLOOKUP(A243,Demográfico!A$2:E$400,5,FALSE)/(VLOOKUP(C243,Controle!A$16:G$24,7,FALSE))*E243</f>
        <v>3.5606639320794553E-2</v>
      </c>
      <c r="L243" s="118">
        <f>((J243*(1+I243))+3*(I243+K243))/4</f>
        <v>0.46235060780717729</v>
      </c>
      <c r="M243" s="3">
        <v>1</v>
      </c>
      <c r="N243" s="88">
        <f>VLOOKUP(A243,Demográfico!A$2:E$400,5,FALSE)*I243</f>
        <v>464.50436126639323</v>
      </c>
      <c r="O243" s="96">
        <f>FLOOR(L243,1)</f>
        <v>0</v>
      </c>
      <c r="P243" s="96">
        <f>L243-O243</f>
        <v>0.46235060780717729</v>
      </c>
      <c r="Q243" s="87">
        <f>RANK(P243,P$2:P$400,0)</f>
        <v>197</v>
      </c>
      <c r="R243" s="3">
        <f>O243+IF(Q243&lt;Q$1,1,0)</f>
        <v>0</v>
      </c>
      <c r="T243" s="87">
        <f>VLOOKUP(A243,Demográfico!A$2:E$400,5,FALSE)*(I243)</f>
        <v>464.50436126639323</v>
      </c>
    </row>
    <row r="244" spans="1:20" ht="19.5" x14ac:dyDescent="0.25">
      <c r="A244" s="2" t="s">
        <v>249</v>
      </c>
      <c r="B244" s="37">
        <v>6785</v>
      </c>
      <c r="C244" s="4" t="str" cm="1">
        <f t="array" ref="C244">_xlfn.IFS(B244&lt;20000, "P1",B244&lt;40000, "P2",B244&lt;70000, "P3",B244&lt;100000, "P4",B244&lt;200000,"M1",B244&lt;500000,"M2",B244&lt;1000000,"G1",B244&gt;1000000,"G2")</f>
        <v>P1</v>
      </c>
      <c r="D244" s="13">
        <f>VLOOKUP(C244,Controle!A$2:H$9,8,FALSE)</f>
        <v>38.874046212109647</v>
      </c>
      <c r="E244" s="13">
        <f>VLOOKUP(C244,Controle!A$16:H$23,8,FALSE)</f>
        <v>13.454529704853227</v>
      </c>
      <c r="F244" s="5">
        <f>VLOOKUP(A244,Educacional!A$2:P$405,16,FALSE)</f>
        <v>54.401486989414096</v>
      </c>
      <c r="G244" s="6">
        <f>VLOOKUP(A244,Demográfico!A$2:L$405,12,FALSE)</f>
        <v>68.28782369218473</v>
      </c>
      <c r="H244" s="7">
        <f>VLOOKUP(A244,Socioeconômico!A$2:M$405,13,FALSE)</f>
        <v>28.982507823947586</v>
      </c>
      <c r="I244" s="16">
        <f>(2*F244+G244+2*H244)/5/100</f>
        <v>0.47011162663781619</v>
      </c>
      <c r="J244" s="15">
        <f>VLOOKUP(A244,Demográfico!A$2:E$400,5,FALSE)/(VLOOKUP(C244,Controle!A$2:G$9,7,FALSE))*D244</f>
        <v>0.10767655750259188</v>
      </c>
      <c r="K244" s="15">
        <f>VLOOKUP(A244,Demográfico!A$2:E$400,5,FALSE)/(VLOOKUP(C244,Controle!A$16:G$24,7,FALSE))*E244</f>
        <v>3.726747232665642E-2</v>
      </c>
      <c r="L244" s="118">
        <f>((J244*(1+I244))+3*(I244+K244))/4</f>
        <v>0.42010846399857843</v>
      </c>
      <c r="M244" s="3">
        <v>1</v>
      </c>
      <c r="N244" s="88">
        <f>VLOOKUP(A244,Demográfico!A$2:E$400,5,FALSE)*I244</f>
        <v>432.50269650679093</v>
      </c>
      <c r="O244" s="96">
        <f>FLOOR(L244,1)</f>
        <v>0</v>
      </c>
      <c r="P244" s="96">
        <f>L244-O244</f>
        <v>0.42010846399857843</v>
      </c>
      <c r="Q244" s="87">
        <f>RANK(P244,P$2:P$400,0)</f>
        <v>255</v>
      </c>
      <c r="R244" s="3">
        <f>O244+IF(Q244&lt;Q$1,1,0)</f>
        <v>0</v>
      </c>
      <c r="T244" s="87">
        <f>VLOOKUP(A244,Demográfico!A$2:E$400,5,FALSE)*(I244)</f>
        <v>432.50269650679093</v>
      </c>
    </row>
    <row r="245" spans="1:20" ht="19.5" x14ac:dyDescent="0.25">
      <c r="A245" s="2" t="s">
        <v>250</v>
      </c>
      <c r="B245" s="37">
        <v>6695</v>
      </c>
      <c r="C245" s="4" t="str" cm="1">
        <f t="array" ref="C245">_xlfn.IFS(B245&lt;20000, "P1",B245&lt;40000, "P2",B245&lt;70000, "P3",B245&lt;100000, "P4",B245&lt;200000,"M1",B245&lt;500000,"M2",B245&lt;1000000,"G1",B245&gt;1000000,"G2")</f>
        <v>P1</v>
      </c>
      <c r="D245" s="13">
        <f>VLOOKUP(C245,Controle!A$2:H$9,8,FALSE)</f>
        <v>38.874046212109647</v>
      </c>
      <c r="E245" s="13">
        <f>VLOOKUP(C245,Controle!A$16:H$23,8,FALSE)</f>
        <v>13.454529704853227</v>
      </c>
      <c r="F245" s="5">
        <f>VLOOKUP(A245,Educacional!A$2:P$405,16,FALSE)</f>
        <v>50.495597406862316</v>
      </c>
      <c r="G245" s="6">
        <f>VLOOKUP(A245,Demográfico!A$2:L$405,12,FALSE)</f>
        <v>35.542846388892578</v>
      </c>
      <c r="H245" s="7">
        <f>VLOOKUP(A245,Socioeconômico!A$2:M$405,13,FALSE)</f>
        <v>58.50817178321568</v>
      </c>
      <c r="I245" s="16">
        <f>(2*F245+G245+2*H245)/5/100</f>
        <v>0.50710076953809713</v>
      </c>
      <c r="J245" s="15">
        <f>VLOOKUP(A245,Demográfico!A$2:E$400,5,FALSE)/(VLOOKUP(C245,Controle!A$2:G$9,7,FALSE))*D245</f>
        <v>9.7728179907243709E-2</v>
      </c>
      <c r="K245" s="15">
        <f>VLOOKUP(A245,Demográfico!A$2:E$400,5,FALSE)/(VLOOKUP(C245,Controle!A$16:G$24,7,FALSE))*E245</f>
        <v>3.3824281948650115E-2</v>
      </c>
      <c r="L245" s="118">
        <f>((J245*(1+I245))+3*(I245+K245))/4</f>
        <v>0.44251534240100154</v>
      </c>
      <c r="M245" s="3">
        <v>0</v>
      </c>
      <c r="N245" s="88">
        <f>VLOOKUP(A245,Demográfico!A$2:E$400,5,FALSE)*I245</f>
        <v>423.42914256431112</v>
      </c>
      <c r="O245" s="96">
        <f>FLOOR(L245,1)</f>
        <v>0</v>
      </c>
      <c r="P245" s="96">
        <f>L245-O245</f>
        <v>0.44251534240100154</v>
      </c>
      <c r="Q245" s="87">
        <f>RANK(P245,P$2:P$400,0)</f>
        <v>223</v>
      </c>
      <c r="R245" s="3">
        <f>O245+IF(Q245&lt;Q$1,1,0)</f>
        <v>0</v>
      </c>
      <c r="T245" s="87">
        <f>VLOOKUP(A245,Demográfico!A$2:E$400,5,FALSE)*(I245)</f>
        <v>423.42914256431112</v>
      </c>
    </row>
    <row r="246" spans="1:20" ht="19.5" x14ac:dyDescent="0.25">
      <c r="A246" s="2" t="s">
        <v>252</v>
      </c>
      <c r="B246" s="37">
        <v>6690</v>
      </c>
      <c r="C246" s="4" t="str" cm="1">
        <f t="array" ref="C246">_xlfn.IFS(B246&lt;20000, "P1",B246&lt;40000, "P2",B246&lt;70000, "P3",B246&lt;100000, "P4",B246&lt;200000,"M1",B246&lt;500000,"M2",B246&lt;1000000,"G1",B246&gt;1000000,"G2")</f>
        <v>P1</v>
      </c>
      <c r="D246" s="13">
        <f>VLOOKUP(C246,Controle!A$2:H$9,8,FALSE)</f>
        <v>38.874046212109647</v>
      </c>
      <c r="E246" s="13">
        <f>VLOOKUP(C246,Controle!A$16:H$23,8,FALSE)</f>
        <v>13.454529704853227</v>
      </c>
      <c r="F246" s="5">
        <f>VLOOKUP(A246,Educacional!A$2:P$405,16,FALSE)</f>
        <v>83.601323163637346</v>
      </c>
      <c r="G246" s="6">
        <f>VLOOKUP(A246,Demográfico!A$2:L$405,12,FALSE)</f>
        <v>39.045672774867185</v>
      </c>
      <c r="H246" s="7">
        <f>VLOOKUP(A246,Socioeconômico!A$2:M$405,13,FALSE)</f>
        <v>50.565084412068309</v>
      </c>
      <c r="I246" s="16">
        <f>(2*F246+G246+2*H246)/5/100</f>
        <v>0.61475697585255695</v>
      </c>
      <c r="J246" s="15">
        <f>VLOOKUP(A246,Demográfico!A$2:E$400,5,FALSE)/(VLOOKUP(C246,Controle!A$2:G$9,7,FALSE))*D246</f>
        <v>0.11481598142395938</v>
      </c>
      <c r="K246" s="15">
        <f>VLOOKUP(A246,Demográfico!A$2:E$400,5,FALSE)/(VLOOKUP(C246,Controle!A$16:G$24,7,FALSE))*E246</f>
        <v>3.9738467774402111E-2</v>
      </c>
      <c r="L246" s="118">
        <f>((J246*(1+I246))+3*(I246+K246))/4</f>
        <v>0.53722155945614336</v>
      </c>
      <c r="M246" s="3">
        <v>1</v>
      </c>
      <c r="N246" s="88">
        <f>VLOOKUP(A246,Demográfico!A$2:E$400,5,FALSE)*I246</f>
        <v>603.07659331135835</v>
      </c>
      <c r="O246" s="96">
        <f>FLOOR(L246,1)</f>
        <v>0</v>
      </c>
      <c r="P246" s="96">
        <f>L246-O246</f>
        <v>0.53722155945614336</v>
      </c>
      <c r="Q246" s="87">
        <f>RANK(P246,P$2:P$400,0)</f>
        <v>126</v>
      </c>
      <c r="R246" s="3">
        <f>O246+IF(Q246&lt;Q$1,1,0)</f>
        <v>1</v>
      </c>
      <c r="T246" s="87">
        <f>VLOOKUP(A246,Demográfico!A$2:E$400,5,FALSE)*(I246)</f>
        <v>603.07659331135835</v>
      </c>
    </row>
    <row r="247" spans="1:20" ht="19.5" x14ac:dyDescent="0.25">
      <c r="A247" s="2" t="s">
        <v>251</v>
      </c>
      <c r="B247" s="37">
        <v>6690</v>
      </c>
      <c r="C247" s="4" t="str" cm="1">
        <f t="array" ref="C247">_xlfn.IFS(B247&lt;20000, "P1",B247&lt;40000, "P2",B247&lt;70000, "P3",B247&lt;100000, "P4",B247&lt;200000,"M1",B247&lt;500000,"M2",B247&lt;1000000,"G1",B247&gt;1000000,"G2")</f>
        <v>P1</v>
      </c>
      <c r="D247" s="13">
        <f>VLOOKUP(C247,Controle!A$2:H$9,8,FALSE)</f>
        <v>38.874046212109647</v>
      </c>
      <c r="E247" s="13">
        <f>VLOOKUP(C247,Controle!A$16:H$23,8,FALSE)</f>
        <v>13.454529704853227</v>
      </c>
      <c r="F247" s="5">
        <f>VLOOKUP(A247,Educacional!A$2:P$405,16,FALSE)</f>
        <v>42.282543568688062</v>
      </c>
      <c r="G247" s="6">
        <f>VLOOKUP(A247,Demográfico!A$2:L$405,12,FALSE)</f>
        <v>25.300408249132428</v>
      </c>
      <c r="H247" s="7">
        <f>VLOOKUP(A247,Socioeconômico!A$2:M$405,13,FALSE)</f>
        <v>19.966899884926423</v>
      </c>
      <c r="I247" s="16">
        <f>(2*F247+G247+2*H247)/5/100</f>
        <v>0.29959859031272279</v>
      </c>
      <c r="J247" s="15">
        <f>VLOOKUP(A247,Demográfico!A$2:E$400,5,FALSE)/(VLOOKUP(C247,Controle!A$2:G$9,7,FALSE))*D247</f>
        <v>0.10240976936387815</v>
      </c>
      <c r="K247" s="15">
        <f>VLOOKUP(A247,Demográfico!A$2:E$400,5,FALSE)/(VLOOKUP(C247,Controle!A$16:G$24,7,FALSE))*E247</f>
        <v>3.5444606832417791E-2</v>
      </c>
      <c r="L247" s="118">
        <f>((J247*(1+I247))+3*(I247+K247))/4</f>
        <v>0.28455529583374217</v>
      </c>
      <c r="M247" s="3">
        <v>0</v>
      </c>
      <c r="N247" s="88">
        <f>VLOOKUP(A247,Demográfico!A$2:E$400,5,FALSE)*I247</f>
        <v>262.14876652363245</v>
      </c>
      <c r="O247" s="96">
        <f>FLOOR(L247,1)</f>
        <v>0</v>
      </c>
      <c r="P247" s="96">
        <f>L247-O247</f>
        <v>0.28455529583374217</v>
      </c>
      <c r="Q247" s="87">
        <f>RANK(P247,P$2:P$400,0)</f>
        <v>371</v>
      </c>
      <c r="R247" s="3">
        <f>O247+IF(Q247&lt;Q$1,1,0)</f>
        <v>0</v>
      </c>
      <c r="T247" s="87">
        <f>VLOOKUP(A247,Demográfico!A$2:E$400,5,FALSE)*(I247)</f>
        <v>262.14876652363245</v>
      </c>
    </row>
    <row r="248" spans="1:20" ht="19.5" x14ac:dyDescent="0.25">
      <c r="A248" s="2" t="s">
        <v>253</v>
      </c>
      <c r="B248" s="37">
        <v>6587</v>
      </c>
      <c r="C248" s="4" t="str" cm="1">
        <f t="array" ref="C248">_xlfn.IFS(B248&lt;20000, "P1",B248&lt;40000, "P2",B248&lt;70000, "P3",B248&lt;100000, "P4",B248&lt;200000,"M1",B248&lt;500000,"M2",B248&lt;1000000,"G1",B248&gt;1000000,"G2")</f>
        <v>P1</v>
      </c>
      <c r="D248" s="13">
        <f>VLOOKUP(C248,Controle!A$2:H$9,8,FALSE)</f>
        <v>38.874046212109647</v>
      </c>
      <c r="E248" s="13">
        <f>VLOOKUP(C248,Controle!A$16:H$23,8,FALSE)</f>
        <v>13.454529704853227</v>
      </c>
      <c r="F248" s="5">
        <f>VLOOKUP(A248,Educacional!A$2:P$405,16,FALSE)</f>
        <v>54.302258472869305</v>
      </c>
      <c r="G248" s="6">
        <f>VLOOKUP(A248,Demográfico!A$2:L$405,12,FALSE)</f>
        <v>88.241082087650497</v>
      </c>
      <c r="H248" s="7">
        <f>VLOOKUP(A248,Socioeconômico!A$2:M$405,13,FALSE)</f>
        <v>43.621842947739353</v>
      </c>
      <c r="I248" s="16">
        <f>(2*F248+G248+2*H248)/5/100</f>
        <v>0.56817856985773563</v>
      </c>
      <c r="J248" s="15">
        <f>VLOOKUP(A248,Demográfico!A$2:E$400,5,FALSE)/(VLOOKUP(C248,Controle!A$2:G$9,7,FALSE))*D248</f>
        <v>0.10393128593728432</v>
      </c>
      <c r="K248" s="15">
        <f>VLOOKUP(A248,Demográfico!A$2:E$400,5,FALSE)/(VLOOKUP(C248,Controle!A$16:G$24,7,FALSE))*E248</f>
        <v>3.5971212419642282E-2</v>
      </c>
      <c r="L248" s="118">
        <f>((J248*(1+I248))+3*(I248+K248))/4</f>
        <v>0.49385804054418492</v>
      </c>
      <c r="M248" s="3">
        <v>1</v>
      </c>
      <c r="N248" s="88">
        <f>VLOOKUP(A248,Demográfico!A$2:E$400,5,FALSE)*I248</f>
        <v>504.54257003366922</v>
      </c>
      <c r="O248" s="96">
        <f>FLOOR(L248,1)</f>
        <v>0</v>
      </c>
      <c r="P248" s="96">
        <f>L248-O248</f>
        <v>0.49385804054418492</v>
      </c>
      <c r="Q248" s="87">
        <f>RANK(P248,P$2:P$400,0)</f>
        <v>165</v>
      </c>
      <c r="R248" s="3">
        <f>O248+IF(Q248&lt;Q$1,1,0)</f>
        <v>1</v>
      </c>
      <c r="T248" s="87">
        <f>VLOOKUP(A248,Demográfico!A$2:E$400,5,FALSE)*(I248)</f>
        <v>504.54257003366922</v>
      </c>
    </row>
    <row r="249" spans="1:20" ht="19.5" x14ac:dyDescent="0.25">
      <c r="A249" s="2" t="s">
        <v>254</v>
      </c>
      <c r="B249" s="37">
        <v>6587</v>
      </c>
      <c r="C249" s="4" t="str" cm="1">
        <f t="array" ref="C249">_xlfn.IFS(B249&lt;20000, "P1",B249&lt;40000, "P2",B249&lt;70000, "P3",B249&lt;100000, "P4",B249&lt;200000,"M1",B249&lt;500000,"M2",B249&lt;1000000,"G1",B249&gt;1000000,"G2")</f>
        <v>P1</v>
      </c>
      <c r="D249" s="13">
        <f>VLOOKUP(C249,Controle!A$2:H$9,8,FALSE)</f>
        <v>38.874046212109647</v>
      </c>
      <c r="E249" s="13">
        <f>VLOOKUP(C249,Controle!A$16:H$23,8,FALSE)</f>
        <v>13.454529704853227</v>
      </c>
      <c r="F249" s="5">
        <f>VLOOKUP(A249,Educacional!A$2:P$405,16,FALSE)</f>
        <v>46.018937966077686</v>
      </c>
      <c r="G249" s="6">
        <f>VLOOKUP(A249,Demográfico!A$2:L$405,12,FALSE)</f>
        <v>30.935228989568923</v>
      </c>
      <c r="H249" s="7">
        <f>VLOOKUP(A249,Socioeconômico!A$2:M$405,13,FALSE)</f>
        <v>41.116231155668785</v>
      </c>
      <c r="I249" s="16">
        <f>(2*F249+G249+2*H249)/5/100</f>
        <v>0.41041113446612371</v>
      </c>
      <c r="J249" s="15">
        <f>VLOOKUP(A249,Demográfico!A$2:E$400,5,FALSE)/(VLOOKUP(C249,Controle!A$2:G$9,7,FALSE))*D249</f>
        <v>0.10100529252688781</v>
      </c>
      <c r="K249" s="15">
        <f>VLOOKUP(A249,Demográfico!A$2:E$400,5,FALSE)/(VLOOKUP(C249,Controle!A$16:G$24,7,FALSE))*E249</f>
        <v>3.4958509367287484E-2</v>
      </c>
      <c r="L249" s="118">
        <f>((J249*(1+I249))+3*(I249+K249))/4</f>
        <v>0.36964198018004107</v>
      </c>
      <c r="M249" s="3">
        <v>0</v>
      </c>
      <c r="N249" s="88">
        <f>VLOOKUP(A249,Demográfico!A$2:E$400,5,FALSE)*I249</f>
        <v>354.18480904426474</v>
      </c>
      <c r="O249" s="96">
        <f>FLOOR(L249,1)</f>
        <v>0</v>
      </c>
      <c r="P249" s="96">
        <f>L249-O249</f>
        <v>0.36964198018004107</v>
      </c>
      <c r="Q249" s="87">
        <f>RANK(P249,P$2:P$400,0)</f>
        <v>312</v>
      </c>
      <c r="R249" s="3">
        <f>O249+IF(Q249&lt;Q$1,1,0)</f>
        <v>0</v>
      </c>
      <c r="T249" s="87">
        <f>VLOOKUP(A249,Demográfico!A$2:E$400,5,FALSE)*(I249)</f>
        <v>354.18480904426474</v>
      </c>
    </row>
    <row r="250" spans="1:20" ht="19.5" x14ac:dyDescent="0.25">
      <c r="A250" s="2" t="s">
        <v>255</v>
      </c>
      <c r="B250" s="37">
        <v>6581</v>
      </c>
      <c r="C250" s="4" t="str" cm="1">
        <f t="array" ref="C250">_xlfn.IFS(B250&lt;20000, "P1",B250&lt;40000, "P2",B250&lt;70000, "P3",B250&lt;100000, "P4",B250&lt;200000,"M1",B250&lt;500000,"M2",B250&lt;1000000,"G1",B250&gt;1000000,"G2")</f>
        <v>P1</v>
      </c>
      <c r="D250" s="13">
        <f>VLOOKUP(C250,Controle!A$2:H$9,8,FALSE)</f>
        <v>38.874046212109647</v>
      </c>
      <c r="E250" s="13">
        <f>VLOOKUP(C250,Controle!A$16:H$23,8,FALSE)</f>
        <v>13.454529704853227</v>
      </c>
      <c r="F250" s="5">
        <f>VLOOKUP(A250,Educacional!A$2:P$405,16,FALSE)</f>
        <v>44.131520147672177</v>
      </c>
      <c r="G250" s="6">
        <f>VLOOKUP(A250,Demográfico!A$2:L$405,12,FALSE)</f>
        <v>32.157834445977834</v>
      </c>
      <c r="H250" s="7">
        <f>VLOOKUP(A250,Socioeconômico!A$2:M$405,13,FALSE)</f>
        <v>49.437362784719291</v>
      </c>
      <c r="I250" s="16">
        <f>(2*F250+G250+2*H250)/5/100</f>
        <v>0.43859120062152157</v>
      </c>
      <c r="J250" s="15">
        <f>VLOOKUP(A250,Demográfico!A$2:E$400,5,FALSE)/(VLOOKUP(C250,Controle!A$2:G$9,7,FALSE))*D250</f>
        <v>0.10990031249449322</v>
      </c>
      <c r="K250" s="15">
        <f>VLOOKUP(A250,Demográfico!A$2:E$400,5,FALSE)/(VLOOKUP(C250,Controle!A$16:G$24,7,FALSE))*E250</f>
        <v>3.8037126646446061E-2</v>
      </c>
      <c r="L250" s="118">
        <f>((J250*(1+I250))+3*(I250+K250))/4</f>
        <v>0.39699665107600907</v>
      </c>
      <c r="M250" s="3">
        <v>0</v>
      </c>
      <c r="N250" s="88">
        <f>VLOOKUP(A250,Demográfico!A$2:E$400,5,FALSE)*I250</f>
        <v>411.83713738360876</v>
      </c>
      <c r="O250" s="96">
        <f>FLOOR(L250,1)</f>
        <v>0</v>
      </c>
      <c r="P250" s="96">
        <f>L250-O250</f>
        <v>0.39699665107600907</v>
      </c>
      <c r="Q250" s="87">
        <f>RANK(P250,P$2:P$400,0)</f>
        <v>288</v>
      </c>
      <c r="R250" s="3">
        <f>O250+IF(Q250&lt;Q$1,1,0)</f>
        <v>0</v>
      </c>
      <c r="T250" s="87">
        <f>VLOOKUP(A250,Demográfico!A$2:E$400,5,FALSE)*(I250)</f>
        <v>411.83713738360876</v>
      </c>
    </row>
    <row r="251" spans="1:20" ht="19.5" x14ac:dyDescent="0.25">
      <c r="A251" s="2" t="s">
        <v>256</v>
      </c>
      <c r="B251" s="37">
        <v>6566</v>
      </c>
      <c r="C251" s="4" t="str" cm="1">
        <f t="array" ref="C251">_xlfn.IFS(B251&lt;20000, "P1",B251&lt;40000, "P2",B251&lt;70000, "P3",B251&lt;100000, "P4",B251&lt;200000,"M1",B251&lt;500000,"M2",B251&lt;1000000,"G1",B251&gt;1000000,"G2")</f>
        <v>P1</v>
      </c>
      <c r="D251" s="13">
        <f>VLOOKUP(C251,Controle!A$2:H$9,8,FALSE)</f>
        <v>38.874046212109647</v>
      </c>
      <c r="E251" s="13">
        <f>VLOOKUP(C251,Controle!A$16:H$23,8,FALSE)</f>
        <v>13.454529704853227</v>
      </c>
      <c r="F251" s="5">
        <f>VLOOKUP(A251,Educacional!A$2:P$405,16,FALSE)</f>
        <v>60.642526573084673</v>
      </c>
      <c r="G251" s="6">
        <f>VLOOKUP(A251,Demográfico!A$2:L$405,12,FALSE)</f>
        <v>70.317491580126784</v>
      </c>
      <c r="H251" s="7">
        <f>VLOOKUP(A251,Socioeconômico!A$2:M$405,13,FALSE)</f>
        <v>66.502751718446575</v>
      </c>
      <c r="I251" s="16">
        <f>(2*F251+G251+2*H251)/5/100</f>
        <v>0.64921609632637856</v>
      </c>
      <c r="J251" s="15">
        <f>VLOOKUP(A251,Demográfico!A$2:E$400,5,FALSE)/(VLOOKUP(C251,Controle!A$2:G$9,7,FALSE))*D251</f>
        <v>0.10954919328524564</v>
      </c>
      <c r="K251" s="15">
        <f>VLOOKUP(A251,Demográfico!A$2:E$400,5,FALSE)/(VLOOKUP(C251,Controle!A$16:G$24,7,FALSE))*E251</f>
        <v>3.7915602280163482E-2</v>
      </c>
      <c r="L251" s="118">
        <f>((J251*(1+I251))+3*(I251+K251))/4</f>
        <v>0.56051634718130572</v>
      </c>
      <c r="M251" s="3">
        <v>1</v>
      </c>
      <c r="N251" s="88">
        <f>VLOOKUP(A251,Demográfico!A$2:E$400,5,FALSE)*I251</f>
        <v>607.66626616149028</v>
      </c>
      <c r="O251" s="96">
        <f>FLOOR(L251,1)</f>
        <v>0</v>
      </c>
      <c r="P251" s="96">
        <f>L251-O251</f>
        <v>0.56051634718130572</v>
      </c>
      <c r="Q251" s="87">
        <f>RANK(P251,P$2:P$400,0)</f>
        <v>114</v>
      </c>
      <c r="R251" s="3">
        <f>O251+IF(Q251&lt;Q$1,1,0)</f>
        <v>1</v>
      </c>
      <c r="T251" s="87">
        <f>VLOOKUP(A251,Demográfico!A$2:E$400,5,FALSE)*(I251)</f>
        <v>607.66626616149028</v>
      </c>
    </row>
    <row r="252" spans="1:20" ht="19.5" x14ac:dyDescent="0.25">
      <c r="A252" s="2" t="s">
        <v>257</v>
      </c>
      <c r="B252" s="37">
        <v>6566</v>
      </c>
      <c r="C252" s="4" t="str" cm="1">
        <f t="array" ref="C252">_xlfn.IFS(B252&lt;20000, "P1",B252&lt;40000, "P2",B252&lt;70000, "P3",B252&lt;100000, "P4",B252&lt;200000,"M1",B252&lt;500000,"M2",B252&lt;1000000,"G1",B252&gt;1000000,"G2")</f>
        <v>P1</v>
      </c>
      <c r="D252" s="13">
        <f>VLOOKUP(C252,Controle!A$2:H$9,8,FALSE)</f>
        <v>38.874046212109647</v>
      </c>
      <c r="E252" s="13">
        <f>VLOOKUP(C252,Controle!A$16:H$23,8,FALSE)</f>
        <v>13.454529704853227</v>
      </c>
      <c r="F252" s="5">
        <f>VLOOKUP(A252,Educacional!A$2:P$405,16,FALSE)</f>
        <v>55.504385239553002</v>
      </c>
      <c r="G252" s="6">
        <f>VLOOKUP(A252,Demográfico!A$2:L$405,12,FALSE)</f>
        <v>27.361103123243257</v>
      </c>
      <c r="H252" s="7">
        <f>VLOOKUP(A252,Socioeconômico!A$2:M$405,13,FALSE)</f>
        <v>57.942162308825175</v>
      </c>
      <c r="I252" s="16">
        <f>(2*F252+G252+2*H252)/5/100</f>
        <v>0.50850839643999923</v>
      </c>
      <c r="J252" s="15">
        <f>VLOOKUP(A252,Demográfico!A$2:E$400,5,FALSE)/(VLOOKUP(C252,Controle!A$2:G$9,7,FALSE))*D252</f>
        <v>9.6089623597421667E-2</v>
      </c>
      <c r="K252" s="15">
        <f>VLOOKUP(A252,Demográfico!A$2:E$400,5,FALSE)/(VLOOKUP(C252,Controle!A$16:G$24,7,FALSE))*E252</f>
        <v>3.3257168239331433E-2</v>
      </c>
      <c r="L252" s="118">
        <f>((J252*(1+I252))+3*(I252+K252))/4</f>
        <v>0.44256217451136542</v>
      </c>
      <c r="M252" s="3">
        <v>1</v>
      </c>
      <c r="N252" s="88">
        <f>VLOOKUP(A252,Demográfico!A$2:E$400,5,FALSE)*I252</f>
        <v>417.48539347723937</v>
      </c>
      <c r="O252" s="96">
        <f>FLOOR(L252,1)</f>
        <v>0</v>
      </c>
      <c r="P252" s="96">
        <f>L252-O252</f>
        <v>0.44256217451136542</v>
      </c>
      <c r="Q252" s="87">
        <f>RANK(P252,P$2:P$400,0)</f>
        <v>222</v>
      </c>
      <c r="R252" s="3">
        <f>O252+IF(Q252&lt;Q$1,1,0)</f>
        <v>0</v>
      </c>
      <c r="T252" s="87">
        <f>VLOOKUP(A252,Demográfico!A$2:E$400,5,FALSE)*(I252)</f>
        <v>417.48539347723937</v>
      </c>
    </row>
    <row r="253" spans="1:20" ht="19.5" x14ac:dyDescent="0.25">
      <c r="A253" s="2" t="s">
        <v>258</v>
      </c>
      <c r="B253" s="37">
        <v>6555</v>
      </c>
      <c r="C253" s="4" t="str" cm="1">
        <f t="array" ref="C253">_xlfn.IFS(B253&lt;20000, "P1",B253&lt;40000, "P2",B253&lt;70000, "P3",B253&lt;100000, "P4",B253&lt;200000,"M1",B253&lt;500000,"M2",B253&lt;1000000,"G1",B253&gt;1000000,"G2")</f>
        <v>P1</v>
      </c>
      <c r="D253" s="13">
        <f>VLOOKUP(C253,Controle!A$2:H$9,8,FALSE)</f>
        <v>38.874046212109647</v>
      </c>
      <c r="E253" s="13">
        <f>VLOOKUP(C253,Controle!A$16:H$23,8,FALSE)</f>
        <v>13.454529704853227</v>
      </c>
      <c r="F253" s="5">
        <f>VLOOKUP(A253,Educacional!A$2:P$405,16,FALSE)</f>
        <v>45.226519327916954</v>
      </c>
      <c r="G253" s="6">
        <f>VLOOKUP(A253,Demográfico!A$2:L$405,12,FALSE)</f>
        <v>51.410219818831592</v>
      </c>
      <c r="H253" s="7">
        <f>VLOOKUP(A253,Socioeconômico!A$2:M$405,13,FALSE)</f>
        <v>24.314904132351362</v>
      </c>
      <c r="I253" s="16">
        <f>(2*F253+G253+2*H253)/5/100</f>
        <v>0.38098613347873639</v>
      </c>
      <c r="J253" s="15">
        <f>VLOOKUP(A253,Demográfico!A$2:E$400,5,FALSE)/(VLOOKUP(C253,Controle!A$2:G$9,7,FALSE))*D253</f>
        <v>0.11317742511413734</v>
      </c>
      <c r="K253" s="15">
        <f>VLOOKUP(A253,Demográfico!A$2:E$400,5,FALSE)/(VLOOKUP(C253,Controle!A$16:G$24,7,FALSE))*E253</f>
        <v>3.917135406508343E-2</v>
      </c>
      <c r="L253" s="118">
        <f>((J253*(1+I253))+3*(I253+K253))/4</f>
        <v>0.35419222933422778</v>
      </c>
      <c r="M253" s="3">
        <v>0</v>
      </c>
      <c r="N253" s="88">
        <f>VLOOKUP(A253,Demográfico!A$2:E$400,5,FALSE)*I253</f>
        <v>368.41359107393811</v>
      </c>
      <c r="O253" s="96">
        <f>FLOOR(L253,1)</f>
        <v>0</v>
      </c>
      <c r="P253" s="96">
        <f>L253-O253</f>
        <v>0.35419222933422778</v>
      </c>
      <c r="Q253" s="87">
        <f>RANK(P253,P$2:P$400,0)</f>
        <v>324</v>
      </c>
      <c r="R253" s="3">
        <f>O253+IF(Q253&lt;Q$1,1,0)</f>
        <v>0</v>
      </c>
      <c r="T253" s="87">
        <f>VLOOKUP(A253,Demográfico!A$2:E$400,5,FALSE)*(I253)</f>
        <v>368.41359107393811</v>
      </c>
    </row>
    <row r="254" spans="1:20" ht="19.5" x14ac:dyDescent="0.25">
      <c r="A254" s="2" t="s">
        <v>259</v>
      </c>
      <c r="B254" s="37">
        <v>6553</v>
      </c>
      <c r="C254" s="4" t="str" cm="1">
        <f t="array" ref="C254">_xlfn.IFS(B254&lt;20000, "P1",B254&lt;40000, "P2",B254&lt;70000, "P3",B254&lt;100000, "P4",B254&lt;200000,"M1",B254&lt;500000,"M2",B254&lt;1000000,"G1",B254&gt;1000000,"G2")</f>
        <v>P1</v>
      </c>
      <c r="D254" s="13">
        <f>VLOOKUP(C254,Controle!A$2:H$9,8,FALSE)</f>
        <v>38.874046212109647</v>
      </c>
      <c r="E254" s="13">
        <f>VLOOKUP(C254,Controle!A$16:H$23,8,FALSE)</f>
        <v>13.454529704853227</v>
      </c>
      <c r="F254" s="5">
        <f>VLOOKUP(A254,Educacional!A$2:P$405,16,FALSE)</f>
        <v>65.712208634832464</v>
      </c>
      <c r="G254" s="6">
        <f>VLOOKUP(A254,Demográfico!A$2:L$405,12,FALSE)</f>
        <v>64.724887643424694</v>
      </c>
      <c r="H254" s="7">
        <f>VLOOKUP(A254,Socioeconômico!A$2:M$405,13,FALSE)</f>
        <v>50.972516948825486</v>
      </c>
      <c r="I254" s="16">
        <f>(2*F254+G254+2*H254)/5/100</f>
        <v>0.59618867762148131</v>
      </c>
      <c r="J254" s="15">
        <f>VLOOKUP(A254,Demográfico!A$2:E$400,5,FALSE)/(VLOOKUP(C254,Controle!A$2:G$9,7,FALSE))*D254</f>
        <v>0.12663699480196131</v>
      </c>
      <c r="K254" s="15">
        <f>VLOOKUP(A254,Demográfico!A$2:E$400,5,FALSE)/(VLOOKUP(C254,Controle!A$16:G$24,7,FALSE))*E254</f>
        <v>4.3829788105915479E-2</v>
      </c>
      <c r="L254" s="118">
        <f>((J254*(1+I254))+3*(I254+K254))/4</f>
        <v>0.53054798361327293</v>
      </c>
      <c r="M254" s="3">
        <v>1</v>
      </c>
      <c r="N254" s="88">
        <f>VLOOKUP(A254,Demográfico!A$2:E$400,5,FALSE)*I254</f>
        <v>645.07614918644276</v>
      </c>
      <c r="O254" s="96">
        <f>FLOOR(L254,1)</f>
        <v>0</v>
      </c>
      <c r="P254" s="96">
        <f>L254-O254</f>
        <v>0.53054798361327293</v>
      </c>
      <c r="Q254" s="87">
        <f>RANK(P254,P$2:P$400,0)</f>
        <v>131</v>
      </c>
      <c r="R254" s="3">
        <f>O254+IF(Q254&lt;Q$1,1,0)</f>
        <v>1</v>
      </c>
      <c r="T254" s="87">
        <f>VLOOKUP(A254,Demográfico!A$2:E$400,5,FALSE)*(I254)</f>
        <v>645.07614918644276</v>
      </c>
    </row>
    <row r="255" spans="1:20" ht="19.5" x14ac:dyDescent="0.25">
      <c r="A255" s="2" t="s">
        <v>260</v>
      </c>
      <c r="B255" s="37">
        <v>6504</v>
      </c>
      <c r="C255" s="4" t="str" cm="1">
        <f t="array" ref="C255">_xlfn.IFS(B255&lt;20000, "P1",B255&lt;40000, "P2",B255&lt;70000, "P3",B255&lt;100000, "P4",B255&lt;200000,"M1",B255&lt;500000,"M2",B255&lt;1000000,"G1",B255&gt;1000000,"G2")</f>
        <v>P1</v>
      </c>
      <c r="D255" s="13">
        <f>VLOOKUP(C255,Controle!A$2:H$9,8,FALSE)</f>
        <v>38.874046212109647</v>
      </c>
      <c r="E255" s="13">
        <f>VLOOKUP(C255,Controle!A$16:H$23,8,FALSE)</f>
        <v>13.454529704853227</v>
      </c>
      <c r="F255" s="5">
        <f>VLOOKUP(A255,Educacional!A$2:P$405,16,FALSE)</f>
        <v>59.327406246981326</v>
      </c>
      <c r="G255" s="6">
        <f>VLOOKUP(A255,Demográfico!A$2:L$405,12,FALSE)</f>
        <v>33.942491624961811</v>
      </c>
      <c r="H255" s="7">
        <f>VLOOKUP(A255,Socioeconômico!A$2:M$405,13,FALSE)</f>
        <v>47.208536214403082</v>
      </c>
      <c r="I255" s="16">
        <f>(2*F255+G255+2*H255)/5/100</f>
        <v>0.49402875309546124</v>
      </c>
      <c r="J255" s="15">
        <f>VLOOKUP(A255,Demográfico!A$2:E$400,5,FALSE)/(VLOOKUP(C255,Controle!A$2:G$9,7,FALSE))*D255</f>
        <v>8.579012679282591E-2</v>
      </c>
      <c r="K255" s="15">
        <f>VLOOKUP(A255,Demográfico!A$2:E$400,5,FALSE)/(VLOOKUP(C255,Controle!A$16:G$24,7,FALSE))*E255</f>
        <v>2.969245349504256E-2</v>
      </c>
      <c r="L255" s="118">
        <f>((J255*(1+I255))+3*(I255+K255))/4</f>
        <v>0.42483413398292463</v>
      </c>
      <c r="M255" s="3">
        <v>1</v>
      </c>
      <c r="N255" s="88">
        <f>VLOOKUP(A255,Demográfico!A$2:E$400,5,FALSE)*I255</f>
        <v>362.12307601897311</v>
      </c>
      <c r="O255" s="96">
        <f>FLOOR(L255,1)</f>
        <v>0</v>
      </c>
      <c r="P255" s="96">
        <f>L255-O255</f>
        <v>0.42483413398292463</v>
      </c>
      <c r="Q255" s="87">
        <f>RANK(P255,P$2:P$400,0)</f>
        <v>247</v>
      </c>
      <c r="R255" s="3">
        <f>O255+IF(Q255&lt;Q$1,1,0)</f>
        <v>0</v>
      </c>
      <c r="T255" s="87">
        <f>VLOOKUP(A255,Demográfico!A$2:E$400,5,FALSE)*(I255)</f>
        <v>362.12307601897311</v>
      </c>
    </row>
    <row r="256" spans="1:20" ht="19.5" x14ac:dyDescent="0.25">
      <c r="A256" s="2" t="s">
        <v>261</v>
      </c>
      <c r="B256" s="37">
        <v>6378</v>
      </c>
      <c r="C256" s="4" t="str" cm="1">
        <f t="array" ref="C256">_xlfn.IFS(B256&lt;20000, "P1",B256&lt;40000, "P2",B256&lt;70000, "P3",B256&lt;100000, "P4",B256&lt;200000,"M1",B256&lt;500000,"M2",B256&lt;1000000,"G1",B256&gt;1000000,"G2")</f>
        <v>P1</v>
      </c>
      <c r="D256" s="13">
        <f>VLOOKUP(C256,Controle!A$2:H$9,8,FALSE)</f>
        <v>38.874046212109647</v>
      </c>
      <c r="E256" s="13">
        <f>VLOOKUP(C256,Controle!A$16:H$23,8,FALSE)</f>
        <v>13.454529704853227</v>
      </c>
      <c r="F256" s="5">
        <f>VLOOKUP(A256,Educacional!A$2:P$405,16,FALSE)</f>
        <v>77.703470953546386</v>
      </c>
      <c r="G256" s="6">
        <f>VLOOKUP(A256,Demográfico!A$2:L$405,12,FALSE)</f>
        <v>57.5753049631791</v>
      </c>
      <c r="H256" s="7">
        <f>VLOOKUP(A256,Socioeconômico!A$2:M$405,13,FALSE)</f>
        <v>51.927915281585825</v>
      </c>
      <c r="I256" s="16">
        <f>(2*F256+G256+2*H256)/5/100</f>
        <v>0.63367615486688711</v>
      </c>
      <c r="J256" s="15">
        <f>VLOOKUP(A256,Demográfico!A$2:E$400,5,FALSE)/(VLOOKUP(C256,Controle!A$2:G$9,7,FALSE))*D256</f>
        <v>0.10276088857312572</v>
      </c>
      <c r="K256" s="15">
        <f>VLOOKUP(A256,Demográfico!A$2:E$400,5,FALSE)/(VLOOKUP(C256,Controle!A$16:G$24,7,FALSE))*E256</f>
        <v>3.5566131198700363E-2</v>
      </c>
      <c r="L256" s="118">
        <f>((J256*(1+I256))+3*(I256+K256))/4</f>
        <v>0.5439012178779028</v>
      </c>
      <c r="M256" s="3">
        <v>1</v>
      </c>
      <c r="N256" s="88">
        <f>VLOOKUP(A256,Demográfico!A$2:E$400,5,FALSE)*I256</f>
        <v>556.36766397312692</v>
      </c>
      <c r="O256" s="96">
        <f>FLOOR(L256,1)</f>
        <v>0</v>
      </c>
      <c r="P256" s="96">
        <f>L256-O256</f>
        <v>0.5439012178779028</v>
      </c>
      <c r="Q256" s="87">
        <f>RANK(P256,P$2:P$400,0)</f>
        <v>120</v>
      </c>
      <c r="R256" s="3">
        <f>O256+IF(Q256&lt;Q$1,1,0)</f>
        <v>1</v>
      </c>
      <c r="T256" s="87">
        <f>VLOOKUP(A256,Demográfico!A$2:E$400,5,FALSE)*(I256)</f>
        <v>556.36766397312692</v>
      </c>
    </row>
    <row r="257" spans="1:20" ht="19.5" x14ac:dyDescent="0.25">
      <c r="A257" s="2" t="s">
        <v>262</v>
      </c>
      <c r="B257" s="37">
        <v>6371</v>
      </c>
      <c r="C257" s="4" t="str" cm="1">
        <f t="array" ref="C257">_xlfn.IFS(B257&lt;20000, "P1",B257&lt;40000, "P2",B257&lt;70000, "P3",B257&lt;100000, "P4",B257&lt;200000,"M1",B257&lt;500000,"M2",B257&lt;1000000,"G1",B257&gt;1000000,"G2")</f>
        <v>P1</v>
      </c>
      <c r="D257" s="13">
        <f>VLOOKUP(C257,Controle!A$2:H$9,8,FALSE)</f>
        <v>38.874046212109647</v>
      </c>
      <c r="E257" s="13">
        <f>VLOOKUP(C257,Controle!A$16:H$23,8,FALSE)</f>
        <v>13.454529704853227</v>
      </c>
      <c r="F257" s="5">
        <f>VLOOKUP(A257,Educacional!A$2:P$405,16,FALSE)</f>
        <v>34.611648998076397</v>
      </c>
      <c r="G257" s="6">
        <f>VLOOKUP(A257,Demográfico!A$2:L$405,12,FALSE)</f>
        <v>54.721397878647515</v>
      </c>
      <c r="H257" s="7">
        <f>VLOOKUP(A257,Socioeconômico!A$2:M$405,13,FALSE)</f>
        <v>41.272916725410568</v>
      </c>
      <c r="I257" s="16">
        <f>(2*F257+G257+2*H257)/5/100</f>
        <v>0.4129810586512429</v>
      </c>
      <c r="J257" s="15">
        <f>VLOOKUP(A257,Demográfico!A$2:E$400,5,FALSE)/(VLOOKUP(C257,Controle!A$2:G$9,7,FALSE))*D257</f>
        <v>9.7025941488748546E-2</v>
      </c>
      <c r="K257" s="15">
        <f>VLOOKUP(A257,Demográfico!A$2:E$400,5,FALSE)/(VLOOKUP(C257,Controle!A$16:G$24,7,FALSE))*E257</f>
        <v>3.3581233216084971E-2</v>
      </c>
      <c r="L257" s="118">
        <f>((J257*(1+I257))+3*(I257+K257))/4</f>
        <v>0.36919567328084729</v>
      </c>
      <c r="M257" s="3">
        <v>0</v>
      </c>
      <c r="N257" s="88">
        <f>VLOOKUP(A257,Demográfico!A$2:E$400,5,FALSE)*I257</f>
        <v>342.3612976218804</v>
      </c>
      <c r="O257" s="96">
        <f>FLOOR(L257,1)</f>
        <v>0</v>
      </c>
      <c r="P257" s="96">
        <f>L257-O257</f>
        <v>0.36919567328084729</v>
      </c>
      <c r="Q257" s="87">
        <f>RANK(P257,P$2:P$400,0)</f>
        <v>313</v>
      </c>
      <c r="R257" s="3">
        <f>O257+IF(Q257&lt;Q$1,1,0)</f>
        <v>0</v>
      </c>
      <c r="T257" s="87">
        <f>VLOOKUP(A257,Demográfico!A$2:E$400,5,FALSE)*(I257)</f>
        <v>342.3612976218804</v>
      </c>
    </row>
    <row r="258" spans="1:20" ht="19.5" x14ac:dyDescent="0.25">
      <c r="A258" s="2" t="s">
        <v>263</v>
      </c>
      <c r="B258" s="37">
        <v>6343</v>
      </c>
      <c r="C258" s="4" t="str" cm="1">
        <f t="array" ref="C258">_xlfn.IFS(B258&lt;20000, "P1",B258&lt;40000, "P2",B258&lt;70000, "P3",B258&lt;100000, "P4",B258&lt;200000,"M1",B258&lt;500000,"M2",B258&lt;1000000,"G1",B258&gt;1000000,"G2")</f>
        <v>P1</v>
      </c>
      <c r="D258" s="13">
        <f>VLOOKUP(C258,Controle!A$2:H$9,8,FALSE)</f>
        <v>38.874046212109647</v>
      </c>
      <c r="E258" s="13">
        <f>VLOOKUP(C258,Controle!A$16:H$23,8,FALSE)</f>
        <v>13.454529704853227</v>
      </c>
      <c r="F258" s="5">
        <f>VLOOKUP(A258,Educacional!A$2:P$405,16,FALSE)</f>
        <v>49.966510449230242</v>
      </c>
      <c r="G258" s="6">
        <f>VLOOKUP(A258,Demográfico!A$2:L$405,12,FALSE)</f>
        <v>49.87609780575675</v>
      </c>
      <c r="H258" s="7">
        <f>VLOOKUP(A258,Socioeconômico!A$2:M$405,13,FALSE)</f>
        <v>39.372612509254438</v>
      </c>
      <c r="I258" s="16">
        <f>(2*F258+G258+2*H258)/5/100</f>
        <v>0.45710868744545224</v>
      </c>
      <c r="J258" s="15">
        <f>VLOOKUP(A258,Demográfico!A$2:E$400,5,FALSE)/(VLOOKUP(C258,Controle!A$2:G$9,7,FALSE))*D258</f>
        <v>8.742868310264798E-2</v>
      </c>
      <c r="K258" s="15">
        <f>VLOOKUP(A258,Demográfico!A$2:E$400,5,FALSE)/(VLOOKUP(C258,Controle!A$16:G$24,7,FALSE))*E258</f>
        <v>3.0259567204361244E-2</v>
      </c>
      <c r="L258" s="118">
        <f>((J258*(1+I258))+3*(I258+K258))/4</f>
        <v>0.39737446440755608</v>
      </c>
      <c r="M258" s="3">
        <v>0</v>
      </c>
      <c r="N258" s="88">
        <f>VLOOKUP(A258,Demográfico!A$2:E$400,5,FALSE)*I258</f>
        <v>341.46018952175285</v>
      </c>
      <c r="O258" s="96">
        <f>FLOOR(L258,1)</f>
        <v>0</v>
      </c>
      <c r="P258" s="96">
        <f>L258-O258</f>
        <v>0.39737446440755608</v>
      </c>
      <c r="Q258" s="87">
        <f>RANK(P258,P$2:P$400,0)</f>
        <v>287</v>
      </c>
      <c r="R258" s="3">
        <f>O258+IF(Q258&lt;Q$1,1,0)</f>
        <v>0</v>
      </c>
      <c r="T258" s="87">
        <f>VLOOKUP(A258,Demográfico!A$2:E$400,5,FALSE)*(I258)</f>
        <v>341.46018952175285</v>
      </c>
    </row>
    <row r="259" spans="1:20" ht="19.5" x14ac:dyDescent="0.25">
      <c r="A259" s="2" t="s">
        <v>264</v>
      </c>
      <c r="B259" s="37">
        <v>6327</v>
      </c>
      <c r="C259" s="4" t="str" cm="1">
        <f t="array" ref="C259">_xlfn.IFS(B259&lt;20000, "P1",B259&lt;40000, "P2",B259&lt;70000, "P3",B259&lt;100000, "P4",B259&lt;200000,"M1",B259&lt;500000,"M2",B259&lt;1000000,"G1",B259&gt;1000000,"G2")</f>
        <v>P1</v>
      </c>
      <c r="D259" s="13">
        <f>VLOOKUP(C259,Controle!A$2:H$9,8,FALSE)</f>
        <v>38.874046212109647</v>
      </c>
      <c r="E259" s="13">
        <f>VLOOKUP(C259,Controle!A$16:H$23,8,FALSE)</f>
        <v>13.454529704853227</v>
      </c>
      <c r="F259" s="5">
        <f>VLOOKUP(A259,Educacional!A$2:P$405,16,FALSE)</f>
        <v>49.805144223950606</v>
      </c>
      <c r="G259" s="6">
        <f>VLOOKUP(A259,Demográfico!A$2:L$405,12,FALSE)</f>
        <v>53.468971633337681</v>
      </c>
      <c r="H259" s="7">
        <f>VLOOKUP(A259,Socioeconômico!A$2:M$405,13,FALSE)</f>
        <v>43.215111768794394</v>
      </c>
      <c r="I259" s="16">
        <f>(2*F259+G259+2*H259)/5/100</f>
        <v>0.47901896723765541</v>
      </c>
      <c r="J259" s="15">
        <f>VLOOKUP(A259,Demográfico!A$2:E$400,5,FALSE)/(VLOOKUP(C259,Controle!A$2:G$9,7,FALSE))*D259</f>
        <v>8.0640378390528053E-2</v>
      </c>
      <c r="K259" s="15">
        <f>VLOOKUP(A259,Demográfico!A$2:E$400,5,FALSE)/(VLOOKUP(C259,Controle!A$16:G$24,7,FALSE))*E259</f>
        <v>2.7910096122898121E-2</v>
      </c>
      <c r="L259" s="118">
        <f>((J259*(1+I259))+3*(I259+K259))/4</f>
        <v>0.41001395981161826</v>
      </c>
      <c r="M259" s="3">
        <v>0</v>
      </c>
      <c r="N259" s="88">
        <f>VLOOKUP(A259,Demográfico!A$2:E$400,5,FALSE)*I259</f>
        <v>330.04406842674456</v>
      </c>
      <c r="O259" s="96">
        <f>FLOOR(L259,1)</f>
        <v>0</v>
      </c>
      <c r="P259" s="96">
        <f>L259-O259</f>
        <v>0.41001395981161826</v>
      </c>
      <c r="Q259" s="87">
        <f>RANK(P259,P$2:P$400,0)</f>
        <v>270</v>
      </c>
      <c r="R259" s="3">
        <f>O259+IF(Q259&lt;Q$1,1,0)</f>
        <v>0</v>
      </c>
      <c r="T259" s="87">
        <f>VLOOKUP(A259,Demográfico!A$2:E$400,5,FALSE)*(I259)</f>
        <v>330.04406842674456</v>
      </c>
    </row>
    <row r="260" spans="1:20" ht="19.5" x14ac:dyDescent="0.25">
      <c r="A260" s="2" t="s">
        <v>265</v>
      </c>
      <c r="B260" s="37">
        <v>6256</v>
      </c>
      <c r="C260" s="4" t="str" cm="1">
        <f t="array" ref="C260">_xlfn.IFS(B260&lt;20000, "P1",B260&lt;40000, "P2",B260&lt;70000, "P3",B260&lt;100000, "P4",B260&lt;200000,"M1",B260&lt;500000,"M2",B260&lt;1000000,"G1",B260&gt;1000000,"G2")</f>
        <v>P1</v>
      </c>
      <c r="D260" s="13">
        <f>VLOOKUP(C260,Controle!A$2:H$9,8,FALSE)</f>
        <v>38.874046212109647</v>
      </c>
      <c r="E260" s="13">
        <f>VLOOKUP(C260,Controle!A$16:H$23,8,FALSE)</f>
        <v>13.454529704853227</v>
      </c>
      <c r="F260" s="5">
        <f>VLOOKUP(A260,Educacional!A$2:P$405,16,FALSE)</f>
        <v>74.281066746031073</v>
      </c>
      <c r="G260" s="6">
        <f>VLOOKUP(A260,Demográfico!A$2:L$405,12,FALSE)</f>
        <v>36.216672083134576</v>
      </c>
      <c r="H260" s="7">
        <f>VLOOKUP(A260,Socioeconômico!A$2:M$405,13,FALSE)</f>
        <v>39.674505313203149</v>
      </c>
      <c r="I260" s="16">
        <f>(2*F260+G260+2*H260)/5/100</f>
        <v>0.52825563240320605</v>
      </c>
      <c r="J260" s="15">
        <f>VLOOKUP(A260,Demográfico!A$2:E$400,5,FALSE)/(VLOOKUP(C260,Controle!A$2:G$9,7,FALSE))*D260</f>
        <v>0.10685727934768086</v>
      </c>
      <c r="K260" s="15">
        <f>VLOOKUP(A260,Demográfico!A$2:E$400,5,FALSE)/(VLOOKUP(C260,Controle!A$16:G$24,7,FALSE))*E260</f>
        <v>3.6983915471997079E-2</v>
      </c>
      <c r="L260" s="118">
        <f>((J260*(1+I260))+3*(I260+K260))/4</f>
        <v>0.4647559706629964</v>
      </c>
      <c r="M260" s="3">
        <v>1</v>
      </c>
      <c r="N260" s="88">
        <f>VLOOKUP(A260,Demográfico!A$2:E$400,5,FALSE)*I260</f>
        <v>482.29739238412714</v>
      </c>
      <c r="O260" s="96">
        <f>FLOOR(L260,1)</f>
        <v>0</v>
      </c>
      <c r="P260" s="96">
        <f>L260-O260</f>
        <v>0.4647559706629964</v>
      </c>
      <c r="Q260" s="87">
        <f>RANK(P260,P$2:P$400,0)</f>
        <v>193</v>
      </c>
      <c r="R260" s="3">
        <f>O260+IF(Q260&lt;Q$1,1,0)</f>
        <v>0</v>
      </c>
      <c r="T260" s="87">
        <f>VLOOKUP(A260,Demográfico!A$2:E$400,5,FALSE)*(I260)</f>
        <v>482.29739238412714</v>
      </c>
    </row>
    <row r="261" spans="1:20" ht="19.5" x14ac:dyDescent="0.25">
      <c r="A261" s="2" t="s">
        <v>266</v>
      </c>
      <c r="B261" s="37">
        <v>6255</v>
      </c>
      <c r="C261" s="4" t="str" cm="1">
        <f t="array" ref="C261">_xlfn.IFS(B261&lt;20000, "P1",B261&lt;40000, "P2",B261&lt;70000, "P3",B261&lt;100000, "P4",B261&lt;200000,"M1",B261&lt;500000,"M2",B261&lt;1000000,"G1",B261&gt;1000000,"G2")</f>
        <v>P1</v>
      </c>
      <c r="D261" s="13">
        <f>VLOOKUP(C261,Controle!A$2:H$9,8,FALSE)</f>
        <v>38.874046212109647</v>
      </c>
      <c r="E261" s="13">
        <f>VLOOKUP(C261,Controle!A$16:H$23,8,FALSE)</f>
        <v>13.454529704853227</v>
      </c>
      <c r="F261" s="5">
        <f>VLOOKUP(A261,Educacional!A$2:P$405,16,FALSE)</f>
        <v>63.112700776299846</v>
      </c>
      <c r="G261" s="6">
        <f>VLOOKUP(A261,Demográfico!A$2:L$405,12,FALSE)</f>
        <v>33.508982456567495</v>
      </c>
      <c r="H261" s="7">
        <f>VLOOKUP(A261,Socioeconômico!A$2:M$405,13,FALSE)</f>
        <v>62.737781286813785</v>
      </c>
      <c r="I261" s="16">
        <f>(2*F261+G261+2*H261)/5/100</f>
        <v>0.57041989316558939</v>
      </c>
      <c r="J261" s="15">
        <f>VLOOKUP(A261,Demográfico!A$2:E$400,5,FALSE)/(VLOOKUP(C261,Controle!A$2:G$9,7,FALSE))*D261</f>
        <v>0.1100173522309091</v>
      </c>
      <c r="K261" s="15">
        <f>VLOOKUP(A261,Demográfico!A$2:E$400,5,FALSE)/(VLOOKUP(C261,Controle!A$16:G$24,7,FALSE))*E261</f>
        <v>3.8077634768540251E-2</v>
      </c>
      <c r="L261" s="118">
        <f>((J261*(1+I261))+3*(I261+K261))/4</f>
        <v>0.49956650558480353</v>
      </c>
      <c r="M261" s="3">
        <v>1</v>
      </c>
      <c r="N261" s="88">
        <f>VLOOKUP(A261,Demográfico!A$2:E$400,5,FALSE)*I261</f>
        <v>536.194699575654</v>
      </c>
      <c r="O261" s="96">
        <f>FLOOR(L261,1)</f>
        <v>0</v>
      </c>
      <c r="P261" s="96">
        <f>L261-O261</f>
        <v>0.49956650558480353</v>
      </c>
      <c r="Q261" s="87">
        <f>RANK(P261,P$2:P$400,0)</f>
        <v>153</v>
      </c>
      <c r="R261" s="3">
        <f>O261+IF(Q261&lt;Q$1,1,0)</f>
        <v>1</v>
      </c>
      <c r="T261" s="87">
        <f>VLOOKUP(A261,Demográfico!A$2:E$400,5,FALSE)*(I261)</f>
        <v>536.194699575654</v>
      </c>
    </row>
    <row r="262" spans="1:20" ht="19.5" x14ac:dyDescent="0.25">
      <c r="A262" s="2" t="s">
        <v>267</v>
      </c>
      <c r="B262" s="37">
        <v>6221</v>
      </c>
      <c r="C262" s="4" t="str" cm="1">
        <f t="array" ref="C262">_xlfn.IFS(B262&lt;20000, "P1",B262&lt;40000, "P2",B262&lt;70000, "P3",B262&lt;100000, "P4",B262&lt;200000,"M1",B262&lt;500000,"M2",B262&lt;1000000,"G1",B262&gt;1000000,"G2")</f>
        <v>P1</v>
      </c>
      <c r="D262" s="13">
        <f>VLOOKUP(C262,Controle!A$2:H$9,8,FALSE)</f>
        <v>38.874046212109647</v>
      </c>
      <c r="E262" s="13">
        <f>VLOOKUP(C262,Controle!A$16:H$23,8,FALSE)</f>
        <v>13.454529704853227</v>
      </c>
      <c r="F262" s="5">
        <f>VLOOKUP(A262,Educacional!A$2:P$405,16,FALSE)</f>
        <v>49.46358091124862</v>
      </c>
      <c r="G262" s="6">
        <f>VLOOKUP(A262,Demográfico!A$2:L$405,12,FALSE)</f>
        <v>32.02551034408507</v>
      </c>
      <c r="H262" s="7">
        <f>VLOOKUP(A262,Socioeconômico!A$2:M$405,13,FALSE)</f>
        <v>45.77430727375144</v>
      </c>
      <c r="I262" s="16">
        <f>(2*F262+G262+2*H262)/5/100</f>
        <v>0.44500257342817046</v>
      </c>
      <c r="J262" s="15">
        <f>VLOOKUP(A262,Demográfico!A$2:E$400,5,FALSE)/(VLOOKUP(C262,Controle!A$2:G$9,7,FALSE))*D262</f>
        <v>7.9118861817121855E-2</v>
      </c>
      <c r="K262" s="15">
        <f>VLOOKUP(A262,Demográfico!A$2:E$400,5,FALSE)/(VLOOKUP(C262,Controle!A$16:G$24,7,FALSE))*E262</f>
        <v>2.7383490535673627E-2</v>
      </c>
      <c r="L262" s="118">
        <f>((J262*(1+I262))+3*(I262+K262))/4</f>
        <v>0.38287128770599527</v>
      </c>
      <c r="M262" s="3">
        <v>0</v>
      </c>
      <c r="N262" s="88">
        <f>VLOOKUP(A262,Demográfico!A$2:E$400,5,FALSE)*I262</f>
        <v>300.82173963744322</v>
      </c>
      <c r="O262" s="96">
        <f>FLOOR(L262,1)</f>
        <v>0</v>
      </c>
      <c r="P262" s="96">
        <f>L262-O262</f>
        <v>0.38287128770599527</v>
      </c>
      <c r="Q262" s="87">
        <f>RANK(P262,P$2:P$400,0)</f>
        <v>303</v>
      </c>
      <c r="R262" s="3">
        <f>O262+IF(Q262&lt;Q$1,1,0)</f>
        <v>0</v>
      </c>
      <c r="T262" s="87">
        <f>VLOOKUP(A262,Demográfico!A$2:E$400,5,FALSE)*(I262)</f>
        <v>300.82173963744322</v>
      </c>
    </row>
    <row r="263" spans="1:20" ht="19.5" x14ac:dyDescent="0.25">
      <c r="A263" s="2" t="s">
        <v>268</v>
      </c>
      <c r="B263" s="37">
        <v>6219</v>
      </c>
      <c r="C263" s="4" t="str" cm="1">
        <f t="array" ref="C263">_xlfn.IFS(B263&lt;20000, "P1",B263&lt;40000, "P2",B263&lt;70000, "P3",B263&lt;100000, "P4",B263&lt;200000,"M1",B263&lt;500000,"M2",B263&lt;1000000,"G1",B263&gt;1000000,"G2")</f>
        <v>P1</v>
      </c>
      <c r="D263" s="13">
        <f>VLOOKUP(C263,Controle!A$2:H$9,8,FALSE)</f>
        <v>38.874046212109647</v>
      </c>
      <c r="E263" s="13">
        <f>VLOOKUP(C263,Controle!A$16:H$23,8,FALSE)</f>
        <v>13.454529704853227</v>
      </c>
      <c r="F263" s="5">
        <f>VLOOKUP(A263,Educacional!A$2:P$405,16,FALSE)</f>
        <v>71.935389699530674</v>
      </c>
      <c r="G263" s="6">
        <f>VLOOKUP(A263,Demográfico!A$2:L$405,12,FALSE)</f>
        <v>73.265162857458392</v>
      </c>
      <c r="H263" s="7">
        <f>VLOOKUP(A263,Socioeconômico!A$2:M$405,13,FALSE)</f>
        <v>59.712155161464139</v>
      </c>
      <c r="I263" s="16">
        <f>(2*F263+G263+2*H263)/5/100</f>
        <v>0.6731205051588961</v>
      </c>
      <c r="J263" s="15">
        <f>VLOOKUP(A263,Demográfico!A$2:E$400,5,FALSE)/(VLOOKUP(C263,Controle!A$2:G$9,7,FALSE))*D263</f>
        <v>0.12523251796497098</v>
      </c>
      <c r="K263" s="15">
        <f>VLOOKUP(A263,Demográfico!A$2:E$400,5,FALSE)/(VLOOKUP(C263,Controle!A$16:G$24,7,FALSE))*E263</f>
        <v>4.3343690640785186E-2</v>
      </c>
      <c r="L263" s="118">
        <f>((J263*(1+I263))+3*(I263+K263))/4</f>
        <v>0.58973042027972911</v>
      </c>
      <c r="M263" s="3">
        <v>1</v>
      </c>
      <c r="N263" s="88">
        <f>VLOOKUP(A263,Demográfico!A$2:E$400,5,FALSE)*I263</f>
        <v>720.23894052001879</v>
      </c>
      <c r="O263" s="96">
        <f>FLOOR(L263,1)</f>
        <v>0</v>
      </c>
      <c r="P263" s="96">
        <f>L263-O263</f>
        <v>0.58973042027972911</v>
      </c>
      <c r="Q263" s="87">
        <f>RANK(P263,P$2:P$400,0)</f>
        <v>84</v>
      </c>
      <c r="R263" s="3">
        <f>O263+IF(Q263&lt;Q$1,1,0)</f>
        <v>1</v>
      </c>
      <c r="T263" s="87">
        <f>VLOOKUP(A263,Demográfico!A$2:E$400,5,FALSE)*(I263)</f>
        <v>720.23894052001879</v>
      </c>
    </row>
    <row r="264" spans="1:20" ht="19.5" x14ac:dyDescent="0.25">
      <c r="A264" s="2" t="s">
        <v>269</v>
      </c>
      <c r="B264" s="37">
        <v>6218</v>
      </c>
      <c r="C264" s="4" t="str" cm="1">
        <f t="array" ref="C264">_xlfn.IFS(B264&lt;20000, "P1",B264&lt;40000, "P2",B264&lt;70000, "P3",B264&lt;100000, "P4",B264&lt;200000,"M1",B264&lt;500000,"M2",B264&lt;1000000,"G1",B264&gt;1000000,"G2")</f>
        <v>P1</v>
      </c>
      <c r="D264" s="13">
        <f>VLOOKUP(C264,Controle!A$2:H$9,8,FALSE)</f>
        <v>38.874046212109647</v>
      </c>
      <c r="E264" s="13">
        <f>VLOOKUP(C264,Controle!A$16:H$23,8,FALSE)</f>
        <v>13.454529704853227</v>
      </c>
      <c r="F264" s="5">
        <f>VLOOKUP(A264,Educacional!A$2:P$405,16,FALSE)</f>
        <v>43.501749107011413</v>
      </c>
      <c r="G264" s="6">
        <f>VLOOKUP(A264,Demográfico!A$2:L$405,12,FALSE)</f>
        <v>41.782803326099952</v>
      </c>
      <c r="H264" s="7">
        <f>VLOOKUP(A264,Socioeconômico!A$2:M$405,13,FALSE)</f>
        <v>55.768103689380943</v>
      </c>
      <c r="I264" s="16">
        <f>(2*F264+G264+2*H264)/5/100</f>
        <v>0.48064501783776942</v>
      </c>
      <c r="J264" s="15">
        <f>VLOOKUP(A264,Demográfico!A$2:E$400,5,FALSE)/(VLOOKUP(C264,Controle!A$2:G$9,7,FALSE))*D264</f>
        <v>0.10287792830954158</v>
      </c>
      <c r="K264" s="15">
        <f>VLOOKUP(A264,Demográfico!A$2:E$400,5,FALSE)/(VLOOKUP(C264,Controle!A$16:G$24,7,FALSE))*E264</f>
        <v>3.5606639320794553E-2</v>
      </c>
      <c r="L264" s="118">
        <f>((J264*(1+I264))+3*(I264+K264))/4</f>
        <v>0.42527016586817151</v>
      </c>
      <c r="M264" s="3">
        <v>0</v>
      </c>
      <c r="N264" s="88">
        <f>VLOOKUP(A264,Demográfico!A$2:E$400,5,FALSE)*I264</f>
        <v>422.48697067939929</v>
      </c>
      <c r="O264" s="96">
        <f>FLOOR(L264,1)</f>
        <v>0</v>
      </c>
      <c r="P264" s="96">
        <f>L264-O264</f>
        <v>0.42527016586817151</v>
      </c>
      <c r="Q264" s="87">
        <f>RANK(P264,P$2:P$400,0)</f>
        <v>246</v>
      </c>
      <c r="R264" s="3">
        <f>O264+IF(Q264&lt;Q$1,1,0)</f>
        <v>0</v>
      </c>
      <c r="T264" s="87">
        <f>VLOOKUP(A264,Demográfico!A$2:E$400,5,FALSE)*(I264)</f>
        <v>422.48697067939929</v>
      </c>
    </row>
    <row r="265" spans="1:20" ht="19.5" x14ac:dyDescent="0.25">
      <c r="A265" s="2" t="s">
        <v>270</v>
      </c>
      <c r="B265" s="37">
        <v>6181</v>
      </c>
      <c r="C265" s="4" t="str" cm="1">
        <f t="array" ref="C265">_xlfn.IFS(B265&lt;20000, "P1",B265&lt;40000, "P2",B265&lt;70000, "P3",B265&lt;100000, "P4",B265&lt;200000,"M1",B265&lt;500000,"M2",B265&lt;1000000,"G1",B265&gt;1000000,"G2")</f>
        <v>P1</v>
      </c>
      <c r="D265" s="13">
        <f>VLOOKUP(C265,Controle!A$2:H$9,8,FALSE)</f>
        <v>38.874046212109647</v>
      </c>
      <c r="E265" s="13">
        <f>VLOOKUP(C265,Controle!A$16:H$23,8,FALSE)</f>
        <v>13.454529704853227</v>
      </c>
      <c r="F265" s="5">
        <f>VLOOKUP(A265,Educacional!A$2:P$405,16,FALSE)</f>
        <v>37.219209581143453</v>
      </c>
      <c r="G265" s="6">
        <f>VLOOKUP(A265,Demográfico!A$2:L$405,12,FALSE)</f>
        <v>57.161103390172045</v>
      </c>
      <c r="H265" s="7">
        <f>VLOOKUP(A265,Socioeconômico!A$2:M$405,13,FALSE)</f>
        <v>6.0563420380573554</v>
      </c>
      <c r="I265" s="16">
        <f>(2*F265+G265+2*H265)/5/100</f>
        <v>0.28742441325714729</v>
      </c>
      <c r="J265" s="15">
        <f>VLOOKUP(A265,Demográfico!A$2:E$400,5,FALSE)/(VLOOKUP(C265,Controle!A$2:G$9,7,FALSE))*D265</f>
        <v>9.8898577271402319E-2</v>
      </c>
      <c r="K265" s="15">
        <f>VLOOKUP(A265,Demográfico!A$2:E$400,5,FALSE)/(VLOOKUP(C265,Controle!A$16:G$24,7,FALSE))*E265</f>
        <v>3.4229363169592034E-2</v>
      </c>
      <c r="L265" s="118">
        <f>((J265*(1+I265))+3*(I265+K265))/4</f>
        <v>0.27307144302395492</v>
      </c>
      <c r="M265" s="3">
        <v>0</v>
      </c>
      <c r="N265" s="88">
        <f>VLOOKUP(A265,Demográfico!A$2:E$400,5,FALSE)*I265</f>
        <v>242.87362920228946</v>
      </c>
      <c r="O265" s="96">
        <f>FLOOR(L265,1)</f>
        <v>0</v>
      </c>
      <c r="P265" s="96">
        <f>L265-O265</f>
        <v>0.27307144302395492</v>
      </c>
      <c r="Q265" s="87">
        <f>RANK(P265,P$2:P$400,0)</f>
        <v>374</v>
      </c>
      <c r="R265" s="3">
        <f>O265+IF(Q265&lt;Q$1,1,0)</f>
        <v>0</v>
      </c>
      <c r="T265" s="87">
        <f>VLOOKUP(A265,Demográfico!A$2:E$400,5,FALSE)*(I265)</f>
        <v>242.87362920228946</v>
      </c>
    </row>
    <row r="266" spans="1:20" ht="19.5" x14ac:dyDescent="0.25">
      <c r="A266" s="2" t="s">
        <v>271</v>
      </c>
      <c r="B266" s="37">
        <v>6111</v>
      </c>
      <c r="C266" s="4" t="str" cm="1">
        <f t="array" ref="C266">_xlfn.IFS(B266&lt;20000, "P1",B266&lt;40000, "P2",B266&lt;70000, "P3",B266&lt;100000, "P4",B266&lt;200000,"M1",B266&lt;500000,"M2",B266&lt;1000000,"G1",B266&gt;1000000,"G2")</f>
        <v>P1</v>
      </c>
      <c r="D266" s="13">
        <f>VLOOKUP(C266,Controle!A$2:H$9,8,FALSE)</f>
        <v>38.874046212109647</v>
      </c>
      <c r="E266" s="13">
        <f>VLOOKUP(C266,Controle!A$16:H$23,8,FALSE)</f>
        <v>13.454529704853227</v>
      </c>
      <c r="F266" s="5">
        <f>VLOOKUP(A266,Educacional!A$2:P$405,16,FALSE)</f>
        <v>37.689468253757937</v>
      </c>
      <c r="G266" s="6">
        <f>VLOOKUP(A266,Demográfico!A$2:L$405,12,FALSE)</f>
        <v>34.186449229651082</v>
      </c>
      <c r="H266" s="7">
        <f>VLOOKUP(A266,Socioeconômico!A$2:M$405,13,FALSE)</f>
        <v>27.052322694208147</v>
      </c>
      <c r="I266" s="16">
        <f>(2*F266+G266+2*H266)/5/100</f>
        <v>0.32734006225116652</v>
      </c>
      <c r="J266" s="15">
        <f>VLOOKUP(A266,Demográfico!A$2:E$400,5,FALSE)/(VLOOKUP(C266,Controle!A$2:G$9,7,FALSE))*D266</f>
        <v>8.1459656545439074E-2</v>
      </c>
      <c r="K266" s="15">
        <f>VLOOKUP(A266,Demográfico!A$2:E$400,5,FALSE)/(VLOOKUP(C266,Controle!A$16:G$24,7,FALSE))*E266</f>
        <v>2.8193652977557465E-2</v>
      </c>
      <c r="L266" s="118">
        <f>((J266*(1+I266))+3*(I266+K266))/4</f>
        <v>0.2936814528190384</v>
      </c>
      <c r="M266" s="3">
        <v>0</v>
      </c>
      <c r="N266" s="88">
        <f>VLOOKUP(A266,Demográfico!A$2:E$400,5,FALSE)*I266</f>
        <v>227.8286833268119</v>
      </c>
      <c r="O266" s="96">
        <f>FLOOR(L266,1)</f>
        <v>0</v>
      </c>
      <c r="P266" s="96">
        <f>L266-O266</f>
        <v>0.2936814528190384</v>
      </c>
      <c r="Q266" s="87">
        <f>RANK(P266,P$2:P$400,0)</f>
        <v>363</v>
      </c>
      <c r="R266" s="3">
        <f>O266+IF(Q266&lt;Q$1,1,0)</f>
        <v>0</v>
      </c>
      <c r="T266" s="87">
        <f>VLOOKUP(A266,Demográfico!A$2:E$400,5,FALSE)*(I266)</f>
        <v>227.8286833268119</v>
      </c>
    </row>
    <row r="267" spans="1:20" ht="19.5" x14ac:dyDescent="0.25">
      <c r="A267" s="2" t="s">
        <v>272</v>
      </c>
      <c r="B267" s="37">
        <v>6108</v>
      </c>
      <c r="C267" s="4" t="str" cm="1">
        <f t="array" ref="C267">_xlfn.IFS(B267&lt;20000, "P1",B267&lt;40000, "P2",B267&lt;70000, "P3",B267&lt;100000, "P4",B267&lt;200000,"M1",B267&lt;500000,"M2",B267&lt;1000000,"G1",B267&gt;1000000,"G2")</f>
        <v>P1</v>
      </c>
      <c r="D267" s="13">
        <f>VLOOKUP(C267,Controle!A$2:H$9,8,FALSE)</f>
        <v>38.874046212109647</v>
      </c>
      <c r="E267" s="13">
        <f>VLOOKUP(C267,Controle!A$16:H$23,8,FALSE)</f>
        <v>13.454529704853227</v>
      </c>
      <c r="F267" s="5">
        <f>VLOOKUP(A267,Educacional!A$2:P$405,16,FALSE)</f>
        <v>53.757204706573205</v>
      </c>
      <c r="G267" s="6">
        <f>VLOOKUP(A267,Demográfico!A$2:L$405,12,FALSE)</f>
        <v>81.454535621642293</v>
      </c>
      <c r="H267" s="7">
        <f>VLOOKUP(A267,Socioeconômico!A$2:M$405,13,FALSE)</f>
        <v>25.52773284268935</v>
      </c>
      <c r="I267" s="16">
        <f>(2*F267+G267+2*H267)/5/100</f>
        <v>0.48004882144033478</v>
      </c>
      <c r="J267" s="15">
        <f>VLOOKUP(A267,Demográfico!A$2:E$400,5,FALSE)/(VLOOKUP(C267,Controle!A$2:G$9,7,FALSE))*D267</f>
        <v>0.11200702774997873</v>
      </c>
      <c r="K267" s="15">
        <f>VLOOKUP(A267,Demográfico!A$2:E$400,5,FALSE)/(VLOOKUP(C267,Controle!A$16:G$24,7,FALSE))*E267</f>
        <v>3.8766272844141511E-2</v>
      </c>
      <c r="L267" s="118">
        <f>((J267*(1+I267))+3*(I267+K267))/4</f>
        <v>0.43055528806695492</v>
      </c>
      <c r="M267" s="3">
        <v>1</v>
      </c>
      <c r="N267" s="88">
        <f>VLOOKUP(A267,Demográfico!A$2:E$400,5,FALSE)*I267</f>
        <v>459.40672211840041</v>
      </c>
      <c r="O267" s="96">
        <f>FLOOR(L267,1)</f>
        <v>0</v>
      </c>
      <c r="P267" s="96">
        <f>L267-O267</f>
        <v>0.43055528806695492</v>
      </c>
      <c r="Q267" s="87">
        <f>RANK(P267,P$2:P$400,0)</f>
        <v>242</v>
      </c>
      <c r="R267" s="3">
        <f>O267+IF(Q267&lt;Q$1,1,0)</f>
        <v>0</v>
      </c>
      <c r="T267" s="87">
        <f>VLOOKUP(A267,Demográfico!A$2:E$400,5,FALSE)*(I267)</f>
        <v>459.40672211840041</v>
      </c>
    </row>
    <row r="268" spans="1:20" ht="19.5" x14ac:dyDescent="0.25">
      <c r="A268" s="2" t="s">
        <v>273</v>
      </c>
      <c r="B268" s="37">
        <v>6040</v>
      </c>
      <c r="C268" s="4" t="str" cm="1">
        <f t="array" ref="C268">_xlfn.IFS(B268&lt;20000, "P1",B268&lt;40000, "P2",B268&lt;70000, "P3",B268&lt;100000, "P4",B268&lt;200000,"M1",B268&lt;500000,"M2",B268&lt;1000000,"G1",B268&gt;1000000,"G2")</f>
        <v>P1</v>
      </c>
      <c r="D268" s="13">
        <f>VLOOKUP(C268,Controle!A$2:H$9,8,FALSE)</f>
        <v>38.874046212109647</v>
      </c>
      <c r="E268" s="13">
        <f>VLOOKUP(C268,Controle!A$16:H$23,8,FALSE)</f>
        <v>13.454529704853227</v>
      </c>
      <c r="F268" s="5">
        <f>VLOOKUP(A268,Educacional!A$2:P$405,16,FALSE)</f>
        <v>81.325711292522911</v>
      </c>
      <c r="G268" s="6">
        <f>VLOOKUP(A268,Demográfico!A$2:L$405,12,FALSE)</f>
        <v>61.962796248648388</v>
      </c>
      <c r="H268" s="7">
        <f>VLOOKUP(A268,Socioeconômico!A$2:M$405,13,FALSE)</f>
        <v>55.152012386950119</v>
      </c>
      <c r="I268" s="16">
        <f>(2*F268+G268+2*H268)/5/100</f>
        <v>0.66983648721518907</v>
      </c>
      <c r="J268" s="15">
        <f>VLOOKUP(A268,Demográfico!A$2:E$400,5,FALSE)/(VLOOKUP(C268,Controle!A$2:G$9,7,FALSE))*D268</f>
        <v>8.7662762575479683E-2</v>
      </c>
      <c r="K268" s="15">
        <f>VLOOKUP(A268,Demográfico!A$2:E$400,5,FALSE)/(VLOOKUP(C268,Controle!A$16:G$24,7,FALSE))*E268</f>
        <v>3.0340583448549625E-2</v>
      </c>
      <c r="L268" s="118">
        <f>((J268*(1+I268))+3*(I268+K268))/4</f>
        <v>0.5617284228774585</v>
      </c>
      <c r="M268" s="3">
        <v>1</v>
      </c>
      <c r="N268" s="88">
        <f>VLOOKUP(A268,Demográfico!A$2:E$400,5,FALSE)*I268</f>
        <v>501.70752892417659</v>
      </c>
      <c r="O268" s="96">
        <f>FLOOR(L268,1)</f>
        <v>0</v>
      </c>
      <c r="P268" s="96">
        <f>L268-O268</f>
        <v>0.5617284228774585</v>
      </c>
      <c r="Q268" s="87">
        <f>RANK(P268,P$2:P$400,0)</f>
        <v>113</v>
      </c>
      <c r="R268" s="3">
        <f>O268+IF(Q268&lt;Q$1,1,0)</f>
        <v>1</v>
      </c>
      <c r="T268" s="87">
        <f>VLOOKUP(A268,Demográfico!A$2:E$400,5,FALSE)*(I268)</f>
        <v>501.70752892417659</v>
      </c>
    </row>
    <row r="269" spans="1:20" ht="19.5" x14ac:dyDescent="0.25">
      <c r="A269" s="2" t="s">
        <v>274</v>
      </c>
      <c r="B269" s="37">
        <v>5999</v>
      </c>
      <c r="C269" s="4" t="str" cm="1">
        <f t="array" ref="C269">_xlfn.IFS(B269&lt;20000, "P1",B269&lt;40000, "P2",B269&lt;70000, "P3",B269&lt;100000, "P4",B269&lt;200000,"M1",B269&lt;500000,"M2",B269&lt;1000000,"G1",B269&gt;1000000,"G2")</f>
        <v>P1</v>
      </c>
      <c r="D269" s="13">
        <f>VLOOKUP(C269,Controle!A$2:H$9,8,FALSE)</f>
        <v>38.874046212109647</v>
      </c>
      <c r="E269" s="13">
        <f>VLOOKUP(C269,Controle!A$16:H$23,8,FALSE)</f>
        <v>13.454529704853227</v>
      </c>
      <c r="F269" s="5">
        <f>VLOOKUP(A269,Educacional!A$2:P$405,16,FALSE)</f>
        <v>60.57920408962373</v>
      </c>
      <c r="G269" s="6">
        <f>VLOOKUP(A269,Demográfico!A$2:L$405,12,FALSE)</f>
        <v>42.204527809363448</v>
      </c>
      <c r="H269" s="7">
        <f>VLOOKUP(A269,Socioeconômico!A$2:M$405,13,FALSE)</f>
        <v>39.674516004979857</v>
      </c>
      <c r="I269" s="16">
        <f>(2*F269+G269+2*H269)/5/100</f>
        <v>0.48542393599714123</v>
      </c>
      <c r="J269" s="15">
        <f>VLOOKUP(A269,Demográfico!A$2:E$400,5,FALSE)/(VLOOKUP(C269,Controle!A$2:G$9,7,FALSE))*D269</f>
        <v>9.15250738772031E-2</v>
      </c>
      <c r="K269" s="15">
        <f>VLOOKUP(A269,Demográfico!A$2:E$400,5,FALSE)/(VLOOKUP(C269,Controle!A$16:G$24,7,FALSE))*E269</f>
        <v>3.1677351477657954E-2</v>
      </c>
      <c r="L269" s="118">
        <f>((J269*(1+I269))+3*(I269+K269))/4</f>
        <v>0.42181434947637542</v>
      </c>
      <c r="M269" s="3">
        <v>1</v>
      </c>
      <c r="N269" s="88">
        <f>VLOOKUP(A269,Demográfico!A$2:E$400,5,FALSE)*I269</f>
        <v>379.60151794976446</v>
      </c>
      <c r="O269" s="96">
        <f>FLOOR(L269,1)</f>
        <v>0</v>
      </c>
      <c r="P269" s="96">
        <f>L269-O269</f>
        <v>0.42181434947637542</v>
      </c>
      <c r="Q269" s="87">
        <f>RANK(P269,P$2:P$400,0)</f>
        <v>253</v>
      </c>
      <c r="R269" s="3">
        <f>O269+IF(Q269&lt;Q$1,1,0)</f>
        <v>0</v>
      </c>
      <c r="T269" s="87">
        <f>VLOOKUP(A269,Demográfico!A$2:E$400,5,FALSE)*(I269)</f>
        <v>379.60151794976446</v>
      </c>
    </row>
    <row r="270" spans="1:20" ht="19.5" x14ac:dyDescent="0.25">
      <c r="A270" s="2" t="s">
        <v>275</v>
      </c>
      <c r="B270" s="37">
        <v>5931</v>
      </c>
      <c r="C270" s="4" t="str" cm="1">
        <f t="array" ref="C270">_xlfn.IFS(B270&lt;20000, "P1",B270&lt;40000, "P2",B270&lt;70000, "P3",B270&lt;100000, "P4",B270&lt;200000,"M1",B270&lt;500000,"M2",B270&lt;1000000,"G1",B270&gt;1000000,"G2")</f>
        <v>P1</v>
      </c>
      <c r="D270" s="13">
        <f>VLOOKUP(C270,Controle!A$2:H$9,8,FALSE)</f>
        <v>38.874046212109647</v>
      </c>
      <c r="E270" s="13">
        <f>VLOOKUP(C270,Controle!A$16:H$23,8,FALSE)</f>
        <v>13.454529704853227</v>
      </c>
      <c r="F270" s="5">
        <f>VLOOKUP(A270,Educacional!A$2:P$405,16,FALSE)</f>
        <v>50.684323836072565</v>
      </c>
      <c r="G270" s="6">
        <f>VLOOKUP(A270,Demográfico!A$2:L$405,12,FALSE)</f>
        <v>29.096668800960384</v>
      </c>
      <c r="H270" s="7">
        <f>VLOOKUP(A270,Socioeconômico!A$2:M$405,13,FALSE)</f>
        <v>22.184977435886104</v>
      </c>
      <c r="I270" s="16">
        <f>(2*F270+G270+2*H270)/5/100</f>
        <v>0.34967054268975539</v>
      </c>
      <c r="J270" s="15">
        <f>VLOOKUP(A270,Demográfico!A$2:E$400,5,FALSE)/(VLOOKUP(C270,Controle!A$2:G$9,7,FALSE))*D270</f>
        <v>9.562146465175822E-2</v>
      </c>
      <c r="K270" s="15">
        <f>VLOOKUP(A270,Demográfico!A$2:E$400,5,FALSE)/(VLOOKUP(C270,Controle!A$16:G$24,7,FALSE))*E270</f>
        <v>3.3095135750954664E-2</v>
      </c>
      <c r="L270" s="118">
        <f>((J270*(1+I270))+3*(I270+K270))/4</f>
        <v>0.3193386273528645</v>
      </c>
      <c r="M270" s="3">
        <v>0</v>
      </c>
      <c r="N270" s="88">
        <f>VLOOKUP(A270,Demográfico!A$2:E$400,5,FALSE)*I270</f>
        <v>285.68083337753018</v>
      </c>
      <c r="O270" s="96">
        <f>FLOOR(L270,1)</f>
        <v>0</v>
      </c>
      <c r="P270" s="96">
        <f>L270-O270</f>
        <v>0.3193386273528645</v>
      </c>
      <c r="Q270" s="87">
        <f>RANK(P270,P$2:P$400,0)</f>
        <v>350</v>
      </c>
      <c r="R270" s="3">
        <f>O270+IF(Q270&lt;Q$1,1,0)</f>
        <v>0</v>
      </c>
      <c r="T270" s="87">
        <f>VLOOKUP(A270,Demográfico!A$2:E$400,5,FALSE)*(I270)</f>
        <v>285.68083337753018</v>
      </c>
    </row>
    <row r="271" spans="1:20" ht="19.5" x14ac:dyDescent="0.25">
      <c r="A271" s="2" t="s">
        <v>276</v>
      </c>
      <c r="B271" s="37">
        <v>5908</v>
      </c>
      <c r="C271" s="4" t="str" cm="1">
        <f t="array" ref="C271">_xlfn.IFS(B271&lt;20000, "P1",B271&lt;40000, "P2",B271&lt;70000, "P3",B271&lt;100000, "P4",B271&lt;200000,"M1",B271&lt;500000,"M2",B271&lt;1000000,"G1",B271&gt;1000000,"G2")</f>
        <v>P1</v>
      </c>
      <c r="D271" s="13">
        <f>VLOOKUP(C271,Controle!A$2:H$9,8,FALSE)</f>
        <v>38.874046212109647</v>
      </c>
      <c r="E271" s="13">
        <f>VLOOKUP(C271,Controle!A$16:H$23,8,FALSE)</f>
        <v>13.454529704853227</v>
      </c>
      <c r="F271" s="5">
        <f>VLOOKUP(A271,Educacional!A$2:P$405,16,FALSE)</f>
        <v>55.244760107418891</v>
      </c>
      <c r="G271" s="6">
        <f>VLOOKUP(A271,Demográfico!A$2:L$405,12,FALSE)</f>
        <v>21.609146739074895</v>
      </c>
      <c r="H271" s="7">
        <f>VLOOKUP(A271,Socioeconômico!A$2:M$405,13,FALSE)</f>
        <v>54.479995775849446</v>
      </c>
      <c r="I271" s="16">
        <f>(2*F271+G271+2*H271)/5/100</f>
        <v>0.48211731701122312</v>
      </c>
      <c r="J271" s="15">
        <f>VLOOKUP(A271,Demográfico!A$2:E$400,5,FALSE)/(VLOOKUP(C271,Controle!A$2:G$9,7,FALSE))*D271</f>
        <v>8.1810775754686663E-2</v>
      </c>
      <c r="K271" s="15">
        <f>VLOOKUP(A271,Demográfico!A$2:E$400,5,FALSE)/(VLOOKUP(C271,Controle!A$16:G$24,7,FALSE))*E271</f>
        <v>2.831517734384004E-2</v>
      </c>
      <c r="L271" s="118">
        <f>((J271*(1+I271))+3*(I271+K271))/4</f>
        <v>0.41313766263233315</v>
      </c>
      <c r="M271" s="3">
        <v>0</v>
      </c>
      <c r="N271" s="88">
        <f>VLOOKUP(A271,Demográfico!A$2:E$400,5,FALSE)*I271</f>
        <v>337.00000459084498</v>
      </c>
      <c r="O271" s="96">
        <f>FLOOR(L271,1)</f>
        <v>0</v>
      </c>
      <c r="P271" s="96">
        <f>L271-O271</f>
        <v>0.41313766263233315</v>
      </c>
      <c r="Q271" s="87">
        <f>RANK(P271,P$2:P$400,0)</f>
        <v>268</v>
      </c>
      <c r="R271" s="3">
        <f>O271+IF(Q271&lt;Q$1,1,0)</f>
        <v>0</v>
      </c>
      <c r="T271" s="87">
        <f>VLOOKUP(A271,Demográfico!A$2:E$400,5,FALSE)*(I271)</f>
        <v>337.00000459084498</v>
      </c>
    </row>
    <row r="272" spans="1:20" ht="19.5" x14ac:dyDescent="0.25">
      <c r="A272" s="2" t="s">
        <v>277</v>
      </c>
      <c r="B272" s="37">
        <v>5870</v>
      </c>
      <c r="C272" s="4" t="str" cm="1">
        <f t="array" ref="C272">_xlfn.IFS(B272&lt;20000, "P1",B272&lt;40000, "P2",B272&lt;70000, "P3",B272&lt;100000, "P4",B272&lt;200000,"M1",B272&lt;500000,"M2",B272&lt;1000000,"G1",B272&gt;1000000,"G2")</f>
        <v>P1</v>
      </c>
      <c r="D272" s="13">
        <f>VLOOKUP(C272,Controle!A$2:H$9,8,FALSE)</f>
        <v>38.874046212109647</v>
      </c>
      <c r="E272" s="13">
        <f>VLOOKUP(C272,Controle!A$16:H$23,8,FALSE)</f>
        <v>13.454529704853227</v>
      </c>
      <c r="F272" s="5">
        <f>VLOOKUP(A272,Educacional!A$2:P$405,16,FALSE)</f>
        <v>57.90837303770148</v>
      </c>
      <c r="G272" s="6">
        <f>VLOOKUP(A272,Demográfico!A$2:L$405,12,FALSE)</f>
        <v>24.091047532621594</v>
      </c>
      <c r="H272" s="7">
        <f>VLOOKUP(A272,Socioeconômico!A$2:M$405,13,FALSE)</f>
        <v>42.887732986353491</v>
      </c>
      <c r="I272" s="16">
        <f>(2*F272+G272+2*H272)/5/100</f>
        <v>0.45136651916146309</v>
      </c>
      <c r="J272" s="15">
        <f>VLOOKUP(A272,Demográfico!A$2:E$400,5,FALSE)/(VLOOKUP(C272,Controle!A$2:G$9,7,FALSE))*D272</f>
        <v>7.8065504189379104E-2</v>
      </c>
      <c r="K272" s="15">
        <f>VLOOKUP(A272,Demográfico!A$2:E$400,5,FALSE)/(VLOOKUP(C272,Controle!A$16:G$24,7,FALSE))*E272</f>
        <v>2.7018917436825902E-2</v>
      </c>
      <c r="L272" s="118">
        <f>((J272*(1+I272))+3*(I272+K272))/4</f>
        <v>0.38711449221919769</v>
      </c>
      <c r="M272" s="3">
        <v>0</v>
      </c>
      <c r="N272" s="88">
        <f>VLOOKUP(A272,Demográfico!A$2:E$400,5,FALSE)*I272</f>
        <v>301.06146828069586</v>
      </c>
      <c r="O272" s="96">
        <f>FLOOR(L272,1)</f>
        <v>0</v>
      </c>
      <c r="P272" s="96">
        <f>L272-O272</f>
        <v>0.38711449221919769</v>
      </c>
      <c r="Q272" s="87">
        <f>RANK(P272,P$2:P$400,0)</f>
        <v>297</v>
      </c>
      <c r="R272" s="3">
        <f>O272+IF(Q272&lt;Q$1,1,0)</f>
        <v>0</v>
      </c>
      <c r="T272" s="87">
        <f>VLOOKUP(A272,Demográfico!A$2:E$400,5,FALSE)*(I272)</f>
        <v>301.06146828069586</v>
      </c>
    </row>
    <row r="273" spans="1:20" ht="19.5" x14ac:dyDescent="0.25">
      <c r="A273" s="2" t="s">
        <v>278</v>
      </c>
      <c r="B273" s="37">
        <v>5865</v>
      </c>
      <c r="C273" s="4" t="str" cm="1">
        <f t="array" ref="C273">_xlfn.IFS(B273&lt;20000, "P1",B273&lt;40000, "P2",B273&lt;70000, "P3",B273&lt;100000, "P4",B273&lt;200000,"M1",B273&lt;500000,"M2",B273&lt;1000000,"G1",B273&gt;1000000,"G2")</f>
        <v>P1</v>
      </c>
      <c r="D273" s="13">
        <f>VLOOKUP(C273,Controle!A$2:H$9,8,FALSE)</f>
        <v>38.874046212109647</v>
      </c>
      <c r="E273" s="13">
        <f>VLOOKUP(C273,Controle!A$16:H$23,8,FALSE)</f>
        <v>13.454529704853227</v>
      </c>
      <c r="F273" s="5">
        <f>VLOOKUP(A273,Educacional!A$2:P$405,16,FALSE)</f>
        <v>55.284353518801112</v>
      </c>
      <c r="G273" s="6">
        <f>VLOOKUP(A273,Demográfico!A$2:L$405,12,FALSE)</f>
        <v>24.506945137817766</v>
      </c>
      <c r="H273" s="7">
        <f>VLOOKUP(A273,Socioeconômico!A$2:M$405,13,FALSE)</f>
        <v>47.137475147179103</v>
      </c>
      <c r="I273" s="16">
        <f>(2*F273+G273+2*H273)/5/100</f>
        <v>0.45870120493955641</v>
      </c>
      <c r="J273" s="15">
        <f>VLOOKUP(A273,Demográfico!A$2:E$400,5,FALSE)/(VLOOKUP(C273,Controle!A$2:G$9,7,FALSE))*D273</f>
        <v>8.0874457863359769E-2</v>
      </c>
      <c r="K273" s="15">
        <f>VLOOKUP(A273,Demográfico!A$2:E$400,5,FALSE)/(VLOOKUP(C273,Controle!A$16:G$24,7,FALSE))*E273</f>
        <v>2.7991112367086509E-2</v>
      </c>
      <c r="L273" s="118">
        <f>((J273*(1+I273))+3*(I273+K273))/4</f>
        <v>0.3945121552635113</v>
      </c>
      <c r="M273" s="3">
        <v>0</v>
      </c>
      <c r="N273" s="88">
        <f>VLOOKUP(A273,Demográfico!A$2:E$400,5,FALSE)*I273</f>
        <v>316.96253261323346</v>
      </c>
      <c r="O273" s="96">
        <f>FLOOR(L273,1)</f>
        <v>0</v>
      </c>
      <c r="P273" s="96">
        <f>L273-O273</f>
        <v>0.3945121552635113</v>
      </c>
      <c r="Q273" s="87">
        <f>RANK(P273,P$2:P$400,0)</f>
        <v>294</v>
      </c>
      <c r="R273" s="3">
        <f>O273+IF(Q273&lt;Q$1,1,0)</f>
        <v>0</v>
      </c>
      <c r="T273" s="87">
        <f>VLOOKUP(A273,Demográfico!A$2:E$400,5,FALSE)*(I273)</f>
        <v>316.96253261323346</v>
      </c>
    </row>
    <row r="274" spans="1:20" ht="19.5" x14ac:dyDescent="0.25">
      <c r="A274" s="2" t="s">
        <v>279</v>
      </c>
      <c r="B274" s="37">
        <v>5833</v>
      </c>
      <c r="C274" s="4" t="str" cm="1">
        <f t="array" ref="C274">_xlfn.IFS(B274&lt;20000, "P1",B274&lt;40000, "P2",B274&lt;70000, "P3",B274&lt;100000, "P4",B274&lt;200000,"M1",B274&lt;500000,"M2",B274&lt;1000000,"G1",B274&gt;1000000,"G2")</f>
        <v>P1</v>
      </c>
      <c r="D274" s="13">
        <f>VLOOKUP(C274,Controle!A$2:H$9,8,FALSE)</f>
        <v>38.874046212109647</v>
      </c>
      <c r="E274" s="13">
        <f>VLOOKUP(C274,Controle!A$16:H$23,8,FALSE)</f>
        <v>13.454529704853227</v>
      </c>
      <c r="F274" s="5">
        <f>VLOOKUP(A274,Educacional!A$2:P$405,16,FALSE)</f>
        <v>32.49760914165936</v>
      </c>
      <c r="G274" s="6">
        <f>VLOOKUP(A274,Demográfico!A$2:L$405,12,FALSE)</f>
        <v>43.006727799516639</v>
      </c>
      <c r="H274" s="7">
        <f>VLOOKUP(A274,Socioeconômico!A$2:M$405,13,FALSE)</f>
        <v>41.466777715229014</v>
      </c>
      <c r="I274" s="16">
        <f>(2*F274+G274+2*H274)/5/100</f>
        <v>0.38187100302658677</v>
      </c>
      <c r="J274" s="15">
        <f>VLOOKUP(A274,Demográfico!A$2:E$400,5,FALSE)/(VLOOKUP(C274,Controle!A$2:G$9,7,FALSE))*D274</f>
        <v>8.5439007583578322E-2</v>
      </c>
      <c r="K274" s="15">
        <f>VLOOKUP(A274,Demográfico!A$2:E$400,5,FALSE)/(VLOOKUP(C274,Controle!A$16:G$24,7,FALSE))*E274</f>
        <v>2.9570929128759981E-2</v>
      </c>
      <c r="L274" s="118">
        <f>((J274*(1+I274))+3*(I274+K274))/4</f>
        <v>0.33809787089328897</v>
      </c>
      <c r="M274" s="3">
        <v>0</v>
      </c>
      <c r="N274" s="88">
        <f>VLOOKUP(A274,Demográfico!A$2:E$400,5,FALSE)*I274</f>
        <v>278.76583220940836</v>
      </c>
      <c r="O274" s="96">
        <f>FLOOR(L274,1)</f>
        <v>0</v>
      </c>
      <c r="P274" s="96">
        <f>L274-O274</f>
        <v>0.33809787089328897</v>
      </c>
      <c r="Q274" s="87">
        <f>RANK(P274,P$2:P$400,0)</f>
        <v>338</v>
      </c>
      <c r="R274" s="3">
        <f>O274+IF(Q274&lt;Q$1,1,0)</f>
        <v>0</v>
      </c>
      <c r="T274" s="87">
        <f>VLOOKUP(A274,Demográfico!A$2:E$400,5,FALSE)*(I274)</f>
        <v>278.76583220940836</v>
      </c>
    </row>
    <row r="275" spans="1:20" ht="19.5" x14ac:dyDescent="0.25">
      <c r="A275" s="2" t="s">
        <v>280</v>
      </c>
      <c r="B275" s="37">
        <v>5798</v>
      </c>
      <c r="C275" s="4" t="str" cm="1">
        <f t="array" ref="C275">_xlfn.IFS(B275&lt;20000, "P1",B275&lt;40000, "P2",B275&lt;70000, "P3",B275&lt;100000, "P4",B275&lt;200000,"M1",B275&lt;500000,"M2",B275&lt;1000000,"G1",B275&gt;1000000,"G2")</f>
        <v>P1</v>
      </c>
      <c r="D275" s="13">
        <f>VLOOKUP(C275,Controle!A$2:H$9,8,FALSE)</f>
        <v>38.874046212109647</v>
      </c>
      <c r="E275" s="13">
        <f>VLOOKUP(C275,Controle!A$16:H$23,8,FALSE)</f>
        <v>13.454529704853227</v>
      </c>
      <c r="F275" s="5">
        <f>VLOOKUP(A275,Educacional!A$2:P$405,16,FALSE)</f>
        <v>54.274886280915879</v>
      </c>
      <c r="G275" s="6">
        <f>VLOOKUP(A275,Demográfico!A$2:L$405,12,FALSE)</f>
        <v>30.947094936757708</v>
      </c>
      <c r="H275" s="7">
        <f>VLOOKUP(A275,Socioeconômico!A$2:M$405,13,FALSE)</f>
        <v>51.197872247847307</v>
      </c>
      <c r="I275" s="16">
        <f>(2*F275+G275+2*H275)/5/100</f>
        <v>0.48378522398856816</v>
      </c>
      <c r="J275" s="15">
        <f>VLOOKUP(A275,Demográfico!A$2:E$400,5,FALSE)/(VLOOKUP(C275,Controle!A$2:G$9,7,FALSE))*D275</f>
        <v>8.4736769165083173E-2</v>
      </c>
      <c r="K275" s="15">
        <f>VLOOKUP(A275,Demográfico!A$2:E$400,5,FALSE)/(VLOOKUP(C275,Controle!A$16:G$24,7,FALSE))*E275</f>
        <v>2.9327880396194835E-2</v>
      </c>
      <c r="L275" s="118">
        <f>((J275*(1+I275))+3*(I275+K275))/4</f>
        <v>0.41626761979249238</v>
      </c>
      <c r="M275" s="3">
        <v>0</v>
      </c>
      <c r="N275" s="88">
        <f>VLOOKUP(A275,Demográfico!A$2:E$400,5,FALSE)*I275</f>
        <v>350.26050216772336</v>
      </c>
      <c r="O275" s="96">
        <f>FLOOR(L275,1)</f>
        <v>0</v>
      </c>
      <c r="P275" s="96">
        <f>L275-O275</f>
        <v>0.41626761979249238</v>
      </c>
      <c r="Q275" s="87">
        <f>RANK(P275,P$2:P$400,0)</f>
        <v>263</v>
      </c>
      <c r="R275" s="3">
        <f>O275+IF(Q275&lt;Q$1,1,0)</f>
        <v>0</v>
      </c>
      <c r="T275" s="87">
        <f>VLOOKUP(A275,Demográfico!A$2:E$400,5,FALSE)*(I275)</f>
        <v>350.26050216772336</v>
      </c>
    </row>
    <row r="276" spans="1:20" ht="19.5" x14ac:dyDescent="0.25">
      <c r="A276" s="2" t="s">
        <v>281</v>
      </c>
      <c r="B276" s="37">
        <v>5784</v>
      </c>
      <c r="C276" s="4" t="str" cm="1">
        <f t="array" ref="C276">_xlfn.IFS(B276&lt;20000, "P1",B276&lt;40000, "P2",B276&lt;70000, "P3",B276&lt;100000, "P4",B276&lt;200000,"M1",B276&lt;500000,"M2",B276&lt;1000000,"G1",B276&gt;1000000,"G2")</f>
        <v>P1</v>
      </c>
      <c r="D276" s="13">
        <f>VLOOKUP(C276,Controle!A$2:H$9,8,FALSE)</f>
        <v>38.874046212109647</v>
      </c>
      <c r="E276" s="13">
        <f>VLOOKUP(C276,Controle!A$16:H$23,8,FALSE)</f>
        <v>13.454529704853227</v>
      </c>
      <c r="F276" s="5">
        <f>VLOOKUP(A276,Educacional!A$2:P$405,16,FALSE)</f>
        <v>40.29820433168873</v>
      </c>
      <c r="G276" s="6">
        <f>VLOOKUP(A276,Demográfico!A$2:L$405,12,FALSE)</f>
        <v>55.752368942994259</v>
      </c>
      <c r="H276" s="7">
        <f>VLOOKUP(A276,Socioeconômico!A$2:M$405,13,FALSE)</f>
        <v>53.346959654948101</v>
      </c>
      <c r="I276" s="16">
        <f>(2*F276+G276+2*H276)/5/100</f>
        <v>0.48608539383253585</v>
      </c>
      <c r="J276" s="15">
        <f>VLOOKUP(A276,Demográfico!A$2:E$400,5,FALSE)/(VLOOKUP(C276,Controle!A$2:G$9,7,FALSE))*D276</f>
        <v>8.403453074658801E-2</v>
      </c>
      <c r="K276" s="15">
        <f>VLOOKUP(A276,Demográfico!A$2:E$400,5,FALSE)/(VLOOKUP(C276,Controle!A$16:G$24,7,FALSE))*E276</f>
        <v>2.9084831663629684E-2</v>
      </c>
      <c r="L276" s="118">
        <f>((J276*(1+I276))+3*(I276+K276))/4</f>
        <v>0.41759829130214304</v>
      </c>
      <c r="M276" s="3">
        <v>0</v>
      </c>
      <c r="N276" s="88">
        <f>VLOOKUP(A276,Demográfico!A$2:E$400,5,FALSE)*I276</f>
        <v>349.00931277176073</v>
      </c>
      <c r="O276" s="96">
        <f>FLOOR(L276,1)</f>
        <v>0</v>
      </c>
      <c r="P276" s="96">
        <f>L276-O276</f>
        <v>0.41759829130214304</v>
      </c>
      <c r="Q276" s="87">
        <f>RANK(P276,P$2:P$400,0)</f>
        <v>260</v>
      </c>
      <c r="R276" s="3">
        <f>O276+IF(Q276&lt;Q$1,1,0)</f>
        <v>0</v>
      </c>
      <c r="T276" s="87">
        <f>VLOOKUP(A276,Demográfico!A$2:E$400,5,FALSE)*(I276)</f>
        <v>349.00931277176073</v>
      </c>
    </row>
    <row r="277" spans="1:20" ht="19.5" x14ac:dyDescent="0.25">
      <c r="A277" s="2" t="s">
        <v>282</v>
      </c>
      <c r="B277" s="37">
        <v>5745</v>
      </c>
      <c r="C277" s="4" t="str" cm="1">
        <f t="array" ref="C277">_xlfn.IFS(B277&lt;20000, "P1",B277&lt;40000, "P2",B277&lt;70000, "P3",B277&lt;100000, "P4",B277&lt;200000,"M1",B277&lt;500000,"M2",B277&lt;1000000,"G1",B277&gt;1000000,"G2")</f>
        <v>P1</v>
      </c>
      <c r="D277" s="13">
        <f>VLOOKUP(C277,Controle!A$2:H$9,8,FALSE)</f>
        <v>38.874046212109647</v>
      </c>
      <c r="E277" s="13">
        <f>VLOOKUP(C277,Controle!A$16:H$23,8,FALSE)</f>
        <v>13.454529704853227</v>
      </c>
      <c r="F277" s="5">
        <f>VLOOKUP(A277,Educacional!A$2:P$405,16,FALSE)</f>
        <v>66.520109500949943</v>
      </c>
      <c r="G277" s="6">
        <f>VLOOKUP(A277,Demográfico!A$2:L$405,12,FALSE)</f>
        <v>27.243751262712134</v>
      </c>
      <c r="H277" s="7">
        <f>VLOOKUP(A277,Socioeconômico!A$2:M$405,13,FALSE)</f>
        <v>43.97851221557363</v>
      </c>
      <c r="I277" s="16">
        <f>(2*F277+G277+2*H277)/5/100</f>
        <v>0.49648198939151855</v>
      </c>
      <c r="J277" s="15">
        <f>VLOOKUP(A277,Demográfico!A$2:E$400,5,FALSE)/(VLOOKUP(C277,Controle!A$2:G$9,7,FALSE))*D277</f>
        <v>8.0757418126943911E-2</v>
      </c>
      <c r="K277" s="15">
        <f>VLOOKUP(A277,Demográfico!A$2:E$400,5,FALSE)/(VLOOKUP(C277,Controle!A$16:G$24,7,FALSE))*E277</f>
        <v>2.7950604244992315E-2</v>
      </c>
      <c r="L277" s="118">
        <f>((J277*(1+I277))+3*(I277+K277))/4</f>
        <v>0.42353745066156606</v>
      </c>
      <c r="M277" s="3">
        <v>1</v>
      </c>
      <c r="N277" s="88">
        <f>VLOOKUP(A277,Demográfico!A$2:E$400,5,FALSE)*I277</f>
        <v>342.5725726801478</v>
      </c>
      <c r="O277" s="96">
        <f>FLOOR(L277,1)</f>
        <v>0</v>
      </c>
      <c r="P277" s="96">
        <f>L277-O277</f>
        <v>0.42353745066156606</v>
      </c>
      <c r="Q277" s="87">
        <f>RANK(P277,P$2:P$400,0)</f>
        <v>250</v>
      </c>
      <c r="R277" s="3">
        <f>O277+IF(Q277&lt;Q$1,1,0)</f>
        <v>0</v>
      </c>
      <c r="T277" s="87">
        <f>VLOOKUP(A277,Demográfico!A$2:E$400,5,FALSE)*(I277)</f>
        <v>342.5725726801478</v>
      </c>
    </row>
    <row r="278" spans="1:20" ht="19.5" x14ac:dyDescent="0.25">
      <c r="A278" s="2" t="s">
        <v>283</v>
      </c>
      <c r="B278" s="37">
        <v>5737</v>
      </c>
      <c r="C278" s="4" t="str" cm="1">
        <f t="array" ref="C278">_xlfn.IFS(B278&lt;20000, "P1",B278&lt;40000, "P2",B278&lt;70000, "P3",B278&lt;100000, "P4",B278&lt;200000,"M1",B278&lt;500000,"M2",B278&lt;1000000,"G1",B278&gt;1000000,"G2")</f>
        <v>P1</v>
      </c>
      <c r="D278" s="13">
        <f>VLOOKUP(C278,Controle!A$2:H$9,8,FALSE)</f>
        <v>38.874046212109647</v>
      </c>
      <c r="E278" s="13">
        <f>VLOOKUP(C278,Controle!A$16:H$23,8,FALSE)</f>
        <v>13.454529704853227</v>
      </c>
      <c r="F278" s="5">
        <f>VLOOKUP(A278,Educacional!A$2:P$405,16,FALSE)</f>
        <v>45.753553197500764</v>
      </c>
      <c r="G278" s="6">
        <f>VLOOKUP(A278,Demográfico!A$2:L$405,12,FALSE)</f>
        <v>47.432284305686082</v>
      </c>
      <c r="H278" s="7">
        <f>VLOOKUP(A278,Socioeconômico!A$2:M$405,13,FALSE)</f>
        <v>32.833871700321495</v>
      </c>
      <c r="I278" s="16">
        <f>(2*F278+G278+2*H278)/5/100</f>
        <v>0.40921426820266121</v>
      </c>
      <c r="J278" s="15">
        <f>VLOOKUP(A278,Demográfico!A$2:E$400,5,FALSE)/(VLOOKUP(C278,Controle!A$2:G$9,7,FALSE))*D278</f>
        <v>8.2044855227518365E-2</v>
      </c>
      <c r="K278" s="15">
        <f>VLOOKUP(A278,Demográfico!A$2:E$400,5,FALSE)/(VLOOKUP(C278,Controle!A$16:G$24,7,FALSE))*E278</f>
        <v>2.8396193588028421E-2</v>
      </c>
      <c r="L278" s="118">
        <f>((J278*(1+I278))+3*(I278+K278))/4</f>
        <v>0.3571125414978274</v>
      </c>
      <c r="M278" s="3">
        <v>0</v>
      </c>
      <c r="N278" s="88">
        <f>VLOOKUP(A278,Demográfico!A$2:E$400,5,FALSE)*I278</f>
        <v>286.85920201006553</v>
      </c>
      <c r="O278" s="96">
        <f>FLOOR(L278,1)</f>
        <v>0</v>
      </c>
      <c r="P278" s="96">
        <f>L278-O278</f>
        <v>0.3571125414978274</v>
      </c>
      <c r="Q278" s="87">
        <f>RANK(P278,P$2:P$400,0)</f>
        <v>323</v>
      </c>
      <c r="R278" s="3">
        <f>O278+IF(Q278&lt;Q$1,1,0)</f>
        <v>0</v>
      </c>
      <c r="T278" s="87">
        <f>VLOOKUP(A278,Demográfico!A$2:E$400,5,FALSE)*(I278)</f>
        <v>286.85920201006553</v>
      </c>
    </row>
    <row r="279" spans="1:20" ht="19.5" x14ac:dyDescent="0.25">
      <c r="A279" s="2" t="s">
        <v>284</v>
      </c>
      <c r="B279" s="37">
        <v>5733</v>
      </c>
      <c r="C279" s="4" t="str" cm="1">
        <f t="array" ref="C279">_xlfn.IFS(B279&lt;20000, "P1",B279&lt;40000, "P2",B279&lt;70000, "P3",B279&lt;100000, "P4",B279&lt;200000,"M1",B279&lt;500000,"M2",B279&lt;1000000,"G1",B279&gt;1000000,"G2")</f>
        <v>P1</v>
      </c>
      <c r="D279" s="13">
        <f>VLOOKUP(C279,Controle!A$2:H$9,8,FALSE)</f>
        <v>38.874046212109647</v>
      </c>
      <c r="E279" s="13">
        <f>VLOOKUP(C279,Controle!A$16:H$23,8,FALSE)</f>
        <v>13.454529704853227</v>
      </c>
      <c r="F279" s="5">
        <f>VLOOKUP(A279,Educacional!A$2:P$405,16,FALSE)</f>
        <v>27.839106387660696</v>
      </c>
      <c r="G279" s="6">
        <f>VLOOKUP(A279,Demográfico!A$2:L$405,12,FALSE)</f>
        <v>27.562626540744201</v>
      </c>
      <c r="H279" s="7">
        <f>VLOOKUP(A279,Socioeconômico!A$2:M$405,13,FALSE)</f>
        <v>27.234656115816918</v>
      </c>
      <c r="I279" s="16">
        <f>(2*F279+G279+2*H279)/5/100</f>
        <v>0.27542030309539883</v>
      </c>
      <c r="J279" s="15">
        <f>VLOOKUP(A279,Demográfico!A$2:E$400,5,FALSE)/(VLOOKUP(C279,Controle!A$2:G$9,7,FALSE))*D279</f>
        <v>8.6375325474905229E-2</v>
      </c>
      <c r="K279" s="15">
        <f>VLOOKUP(A279,Demográfico!A$2:E$400,5,FALSE)/(VLOOKUP(C279,Controle!A$16:G$24,7,FALSE))*E279</f>
        <v>2.9894994105513519E-2</v>
      </c>
      <c r="L279" s="118">
        <f>((J279*(1+I279))+3*(I279+K279))/4</f>
        <v>0.2565276838499761</v>
      </c>
      <c r="M279" s="3">
        <v>0</v>
      </c>
      <c r="N279" s="88">
        <f>VLOOKUP(A279,Demográfico!A$2:E$400,5,FALSE)*I279</f>
        <v>203.26018368440432</v>
      </c>
      <c r="O279" s="96">
        <f>FLOOR(L279,1)</f>
        <v>0</v>
      </c>
      <c r="P279" s="96">
        <f>L279-O279</f>
        <v>0.2565276838499761</v>
      </c>
      <c r="Q279" s="87">
        <f>RANK(P279,P$2:P$400,0)</f>
        <v>380</v>
      </c>
      <c r="R279" s="3">
        <f>O279+IF(Q279&lt;Q$1,1,0)</f>
        <v>0</v>
      </c>
      <c r="T279" s="87">
        <f>VLOOKUP(A279,Demográfico!A$2:E$400,5,FALSE)*(I279)</f>
        <v>203.26018368440432</v>
      </c>
    </row>
    <row r="280" spans="1:20" ht="19.5" x14ac:dyDescent="0.25">
      <c r="A280" s="2" t="s">
        <v>285</v>
      </c>
      <c r="B280" s="37">
        <v>5697</v>
      </c>
      <c r="C280" s="4" t="str" cm="1">
        <f t="array" ref="C280">_xlfn.IFS(B280&lt;20000, "P1",B280&lt;40000, "P2",B280&lt;70000, "P3",B280&lt;100000, "P4",B280&lt;200000,"M1",B280&lt;500000,"M2",B280&lt;1000000,"G1",B280&gt;1000000,"G2")</f>
        <v>P1</v>
      </c>
      <c r="D280" s="13">
        <f>VLOOKUP(C280,Controle!A$2:H$9,8,FALSE)</f>
        <v>38.874046212109647</v>
      </c>
      <c r="E280" s="13">
        <f>VLOOKUP(C280,Controle!A$16:H$23,8,FALSE)</f>
        <v>13.454529704853227</v>
      </c>
      <c r="F280" s="5">
        <f>VLOOKUP(A280,Educacional!A$2:P$405,16,FALSE)</f>
        <v>94.708637141918743</v>
      </c>
      <c r="G280" s="6">
        <f>VLOOKUP(A280,Demográfico!A$2:L$405,12,FALSE)</f>
        <v>36.876650600203533</v>
      </c>
      <c r="H280" s="7">
        <f>VLOOKUP(A280,Socioeconômico!A$2:M$405,13,FALSE)</f>
        <v>73.512540927122075</v>
      </c>
      <c r="I280" s="16">
        <f>(2*F280+G280+2*H280)/5/100</f>
        <v>0.74663801347657033</v>
      </c>
      <c r="J280" s="15">
        <f>VLOOKUP(A280,Demográfico!A$2:E$400,5,FALSE)/(VLOOKUP(C280,Controle!A$2:G$9,7,FALSE))*D280</f>
        <v>9.1759153350034817E-2</v>
      </c>
      <c r="K280" s="15">
        <f>VLOOKUP(A280,Demográfico!A$2:E$400,5,FALSE)/(VLOOKUP(C280,Controle!A$16:G$24,7,FALSE))*E280</f>
        <v>3.1758367721846342E-2</v>
      </c>
      <c r="L280" s="118">
        <f>((J280*(1+I280))+3*(I280+K280))/4</f>
        <v>0.62386479223021174</v>
      </c>
      <c r="M280" s="3">
        <v>1</v>
      </c>
      <c r="N280" s="88">
        <f>VLOOKUP(A280,Demográfico!A$2:E$400,5,FALSE)*I280</f>
        <v>585.3642025656311</v>
      </c>
      <c r="O280" s="96">
        <f>FLOOR(L280,1)</f>
        <v>0</v>
      </c>
      <c r="P280" s="96">
        <f>L280-O280</f>
        <v>0.62386479223021174</v>
      </c>
      <c r="Q280" s="87">
        <f>RANK(P280,P$2:P$400,0)</f>
        <v>62</v>
      </c>
      <c r="R280" s="3">
        <f>O280+IF(Q280&lt;Q$1,1,0)</f>
        <v>1</v>
      </c>
      <c r="T280" s="87">
        <f>VLOOKUP(A280,Demográfico!A$2:E$400,5,FALSE)*(I280)</f>
        <v>585.3642025656311</v>
      </c>
    </row>
    <row r="281" spans="1:20" ht="19.5" x14ac:dyDescent="0.25">
      <c r="A281" s="2" t="s">
        <v>286</v>
      </c>
      <c r="B281" s="37">
        <v>5666</v>
      </c>
      <c r="C281" s="4" t="str" cm="1">
        <f t="array" ref="C281">_xlfn.IFS(B281&lt;20000, "P1",B281&lt;40000, "P2",B281&lt;70000, "P3",B281&lt;100000, "P4",B281&lt;200000,"M1",B281&lt;500000,"M2",B281&lt;1000000,"G1",B281&gt;1000000,"G2")</f>
        <v>P1</v>
      </c>
      <c r="D281" s="13">
        <f>VLOOKUP(C281,Controle!A$2:H$9,8,FALSE)</f>
        <v>38.874046212109647</v>
      </c>
      <c r="E281" s="13">
        <f>VLOOKUP(C281,Controle!A$16:H$23,8,FALSE)</f>
        <v>13.454529704853227</v>
      </c>
      <c r="F281" s="5">
        <f>VLOOKUP(A281,Educacional!A$2:P$405,16,FALSE)</f>
        <v>63.320597978512382</v>
      </c>
      <c r="G281" s="6">
        <f>VLOOKUP(A281,Demográfico!A$2:L$405,12,FALSE)</f>
        <v>70.568903508676058</v>
      </c>
      <c r="H281" s="7">
        <f>VLOOKUP(A281,Socioeconômico!A$2:M$405,13,FALSE)</f>
        <v>38.459012219245494</v>
      </c>
      <c r="I281" s="16">
        <f>(2*F281+G281+2*H281)/5/100</f>
        <v>0.54825624780838356</v>
      </c>
      <c r="J281" s="15">
        <f>VLOOKUP(A281,Demográfico!A$2:E$400,5,FALSE)/(VLOOKUP(C281,Controle!A$2:G$9,7,FALSE))*D281</f>
        <v>8.5321967847162464E-2</v>
      </c>
      <c r="K281" s="15">
        <f>VLOOKUP(A281,Demográfico!A$2:E$400,5,FALSE)/(VLOOKUP(C281,Controle!A$16:G$24,7,FALSE))*E281</f>
        <v>2.9530421006665791E-2</v>
      </c>
      <c r="L281" s="118">
        <f>((J281*(1+I281))+3*(I281+K281))/4</f>
        <v>0.46636506905995589</v>
      </c>
      <c r="M281" s="3">
        <v>1</v>
      </c>
      <c r="N281" s="88">
        <f>VLOOKUP(A281,Demográfico!A$2:E$400,5,FALSE)*I281</f>
        <v>399.67880465231161</v>
      </c>
      <c r="O281" s="96">
        <f>FLOOR(L281,1)</f>
        <v>0</v>
      </c>
      <c r="P281" s="96">
        <f>L281-O281</f>
        <v>0.46636506905995589</v>
      </c>
      <c r="Q281" s="87">
        <f>RANK(P281,P$2:P$400,0)</f>
        <v>191</v>
      </c>
      <c r="R281" s="3">
        <f>O281+IF(Q281&lt;Q$1,1,0)</f>
        <v>1</v>
      </c>
      <c r="T281" s="87">
        <f>VLOOKUP(A281,Demográfico!A$2:E$400,5,FALSE)*(I281)</f>
        <v>399.67880465231161</v>
      </c>
    </row>
    <row r="282" spans="1:20" ht="19.5" x14ac:dyDescent="0.25">
      <c r="A282" s="2" t="s">
        <v>287</v>
      </c>
      <c r="B282" s="37">
        <v>5649</v>
      </c>
      <c r="C282" s="4" t="str" cm="1">
        <f t="array" ref="C282">_xlfn.IFS(B282&lt;20000, "P1",B282&lt;40000, "P2",B282&lt;70000, "P3",B282&lt;100000, "P4",B282&lt;200000,"M1",B282&lt;500000,"M2",B282&lt;1000000,"G1",B282&gt;1000000,"G2")</f>
        <v>P1</v>
      </c>
      <c r="D282" s="13">
        <f>VLOOKUP(C282,Controle!A$2:H$9,8,FALSE)</f>
        <v>38.874046212109647</v>
      </c>
      <c r="E282" s="13">
        <f>VLOOKUP(C282,Controle!A$16:H$23,8,FALSE)</f>
        <v>13.454529704853227</v>
      </c>
      <c r="F282" s="5">
        <f>VLOOKUP(A282,Educacional!A$2:P$405,16,FALSE)</f>
        <v>66.789128993536352</v>
      </c>
      <c r="G282" s="6">
        <f>VLOOKUP(A282,Demográfico!A$2:L$405,12,FALSE)</f>
        <v>89.253860319323138</v>
      </c>
      <c r="H282" s="7">
        <f>VLOOKUP(A282,Socioeconômico!A$2:M$405,13,FALSE)</f>
        <v>61.410281718433211</v>
      </c>
      <c r="I282" s="16">
        <f>(2*F282+G282+2*H282)/5/100</f>
        <v>0.6913053634865246</v>
      </c>
      <c r="J282" s="15">
        <f>VLOOKUP(A282,Demográfico!A$2:E$400,5,FALSE)/(VLOOKUP(C282,Controle!A$2:G$9,7,FALSE))*D282</f>
        <v>0.10240976936387815</v>
      </c>
      <c r="K282" s="15">
        <f>VLOOKUP(A282,Demográfico!A$2:E$400,5,FALSE)/(VLOOKUP(C282,Controle!A$16:G$24,7,FALSE))*E282</f>
        <v>3.5444606832417791E-2</v>
      </c>
      <c r="L282" s="118">
        <f>((J282*(1+I282))+3*(I282+K282))/4</f>
        <v>0.58836402578884306</v>
      </c>
      <c r="M282" s="3">
        <v>1</v>
      </c>
      <c r="N282" s="88">
        <f>VLOOKUP(A282,Demográfico!A$2:E$400,5,FALSE)*I282</f>
        <v>604.89219305070901</v>
      </c>
      <c r="O282" s="96">
        <f>FLOOR(L282,1)</f>
        <v>0</v>
      </c>
      <c r="P282" s="96">
        <f>L282-O282</f>
        <v>0.58836402578884306</v>
      </c>
      <c r="Q282" s="87">
        <f>RANK(P282,P$2:P$400,0)</f>
        <v>85</v>
      </c>
      <c r="R282" s="3">
        <f>O282+IF(Q282&lt;Q$1,1,0)</f>
        <v>1</v>
      </c>
      <c r="T282" s="87">
        <f>VLOOKUP(A282,Demográfico!A$2:E$400,5,FALSE)*(I282)</f>
        <v>604.89219305070901</v>
      </c>
    </row>
    <row r="283" spans="1:20" ht="19.5" x14ac:dyDescent="0.25">
      <c r="A283" s="2" t="s">
        <v>288</v>
      </c>
      <c r="B283" s="37">
        <v>5641</v>
      </c>
      <c r="C283" s="4" t="str" cm="1">
        <f t="array" ref="C283">_xlfn.IFS(B283&lt;20000, "P1",B283&lt;40000, "P2",B283&lt;70000, "P3",B283&lt;100000, "P4",B283&lt;200000,"M1",B283&lt;500000,"M2",B283&lt;1000000,"G1",B283&gt;1000000,"G2")</f>
        <v>P1</v>
      </c>
      <c r="D283" s="13">
        <f>VLOOKUP(C283,Controle!A$2:H$9,8,FALSE)</f>
        <v>38.874046212109647</v>
      </c>
      <c r="E283" s="13">
        <f>VLOOKUP(C283,Controle!A$16:H$23,8,FALSE)</f>
        <v>13.454529704853227</v>
      </c>
      <c r="F283" s="5">
        <f>VLOOKUP(A283,Educacional!A$2:P$405,16,FALSE)</f>
        <v>55.351338177929222</v>
      </c>
      <c r="G283" s="6">
        <f>VLOOKUP(A283,Demográfico!A$2:L$405,12,FALSE)</f>
        <v>62.166514739172527</v>
      </c>
      <c r="H283" s="7">
        <f>VLOOKUP(A283,Socioeconômico!A$2:M$405,13,FALSE)</f>
        <v>68.705844287839284</v>
      </c>
      <c r="I283" s="16">
        <f>(2*F283+G283+2*H283)/5/100</f>
        <v>0.62056175934141899</v>
      </c>
      <c r="J283" s="15">
        <f>VLOOKUP(A283,Demográfico!A$2:E$400,5,FALSE)/(VLOOKUP(C283,Controle!A$2:G$9,7,FALSE))*D283</f>
        <v>8.2044855227518365E-2</v>
      </c>
      <c r="K283" s="15">
        <f>VLOOKUP(A283,Demográfico!A$2:E$400,5,FALSE)/(VLOOKUP(C283,Controle!A$16:G$24,7,FALSE))*E283</f>
        <v>2.8396193588028421E-2</v>
      </c>
      <c r="L283" s="118">
        <f>((J283*(1+I283))+3*(I283+K283))/4</f>
        <v>0.51995815343019036</v>
      </c>
      <c r="M283" s="3">
        <v>1</v>
      </c>
      <c r="N283" s="88">
        <f>VLOOKUP(A283,Demográfico!A$2:E$400,5,FALSE)*I283</f>
        <v>435.01379329833469</v>
      </c>
      <c r="O283" s="96">
        <f>FLOOR(L283,1)</f>
        <v>0</v>
      </c>
      <c r="P283" s="96">
        <f>L283-O283</f>
        <v>0.51995815343019036</v>
      </c>
      <c r="Q283" s="87">
        <f>RANK(P283,P$2:P$400,0)</f>
        <v>135</v>
      </c>
      <c r="R283" s="3">
        <f>O283+IF(Q283&lt;Q$1,1,0)</f>
        <v>1</v>
      </c>
      <c r="T283" s="87">
        <f>VLOOKUP(A283,Demográfico!A$2:E$400,5,FALSE)*(I283)</f>
        <v>435.01379329833469</v>
      </c>
    </row>
    <row r="284" spans="1:20" ht="19.5" x14ac:dyDescent="0.25">
      <c r="A284" s="2" t="s">
        <v>289</v>
      </c>
      <c r="B284" s="37">
        <v>5616</v>
      </c>
      <c r="C284" s="4" t="str" cm="1">
        <f t="array" ref="C284">_xlfn.IFS(B284&lt;20000, "P1",B284&lt;40000, "P2",B284&lt;70000, "P3",B284&lt;100000, "P4",B284&lt;200000,"M1",B284&lt;500000,"M2",B284&lt;1000000,"G1",B284&gt;1000000,"G2")</f>
        <v>P1</v>
      </c>
      <c r="D284" s="13">
        <f>VLOOKUP(C284,Controle!A$2:H$9,8,FALSE)</f>
        <v>38.874046212109647</v>
      </c>
      <c r="E284" s="13">
        <f>VLOOKUP(C284,Controle!A$16:H$23,8,FALSE)</f>
        <v>13.454529704853227</v>
      </c>
      <c r="F284" s="5">
        <f>VLOOKUP(A284,Educacional!A$2:P$405,16,FALSE)</f>
        <v>37.557916753125284</v>
      </c>
      <c r="G284" s="6">
        <f>VLOOKUP(A284,Demográfico!A$2:L$405,12,FALSE)</f>
        <v>19.318708958737421</v>
      </c>
      <c r="H284" s="7">
        <f>VLOOKUP(A284,Socioeconômico!A$2:M$405,13,FALSE)</f>
        <v>33.515559081135713</v>
      </c>
      <c r="I284" s="16">
        <f>(2*F284+G284+2*H284)/5/100</f>
        <v>0.32293132125451884</v>
      </c>
      <c r="J284" s="15">
        <f>VLOOKUP(A284,Demográfico!A$2:E$400,5,FALSE)/(VLOOKUP(C284,Controle!A$2:G$9,7,FALSE))*D284</f>
        <v>7.7012146561636366E-2</v>
      </c>
      <c r="K284" s="15">
        <f>VLOOKUP(A284,Demográfico!A$2:E$400,5,FALSE)/(VLOOKUP(C284,Controle!A$16:G$24,7,FALSE))*E284</f>
        <v>2.6654344337978177E-2</v>
      </c>
      <c r="L284" s="118">
        <f>((J284*(1+I284))+3*(I284+K284))/4</f>
        <v>0.28765969439523087</v>
      </c>
      <c r="M284" s="3">
        <v>0</v>
      </c>
      <c r="N284" s="88">
        <f>VLOOKUP(A284,Demográfico!A$2:E$400,5,FALSE)*I284</f>
        <v>212.48880938547339</v>
      </c>
      <c r="O284" s="96">
        <f>FLOOR(L284,1)</f>
        <v>0</v>
      </c>
      <c r="P284" s="96">
        <f>L284-O284</f>
        <v>0.28765969439523087</v>
      </c>
      <c r="Q284" s="87">
        <f>RANK(P284,P$2:P$400,0)</f>
        <v>366</v>
      </c>
      <c r="R284" s="3">
        <f>O284+IF(Q284&lt;Q$1,1,0)</f>
        <v>0</v>
      </c>
      <c r="T284" s="87">
        <f>VLOOKUP(A284,Demográfico!A$2:E$400,5,FALSE)*(I284)</f>
        <v>212.48880938547339</v>
      </c>
    </row>
    <row r="285" spans="1:20" ht="19.5" x14ac:dyDescent="0.25">
      <c r="A285" s="2" t="s">
        <v>290</v>
      </c>
      <c r="B285" s="37">
        <v>5600</v>
      </c>
      <c r="C285" s="4" t="str" cm="1">
        <f t="array" ref="C285">_xlfn.IFS(B285&lt;20000, "P1",B285&lt;40000, "P2",B285&lt;70000, "P3",B285&lt;100000, "P4",B285&lt;200000,"M1",B285&lt;500000,"M2",B285&lt;1000000,"G1",B285&gt;1000000,"G2")</f>
        <v>P1</v>
      </c>
      <c r="D285" s="13">
        <f>VLOOKUP(C285,Controle!A$2:H$9,8,FALSE)</f>
        <v>38.874046212109647</v>
      </c>
      <c r="E285" s="13">
        <f>VLOOKUP(C285,Controle!A$16:H$23,8,FALSE)</f>
        <v>13.454529704853227</v>
      </c>
      <c r="F285" s="5">
        <f>VLOOKUP(A285,Educacional!A$2:P$405,16,FALSE)</f>
        <v>70.344122756447092</v>
      </c>
      <c r="G285" s="6">
        <f>VLOOKUP(A285,Demográfico!A$2:L$405,12,FALSE)</f>
        <v>65.414918899155793</v>
      </c>
      <c r="H285" s="7">
        <f>VLOOKUP(A285,Socioeconômico!A$2:M$405,13,FALSE)</f>
        <v>75.956688249983415</v>
      </c>
      <c r="I285" s="16">
        <f>(2*F285+G285+2*H285)/5/100</f>
        <v>0.71603308182403369</v>
      </c>
      <c r="J285" s="15">
        <f>VLOOKUP(A285,Demográfico!A$2:E$400,5,FALSE)/(VLOOKUP(C285,Controle!A$2:G$9,7,FALSE))*D285</f>
        <v>9.9015617007818177E-2</v>
      </c>
      <c r="K285" s="15">
        <f>VLOOKUP(A285,Demográfico!A$2:E$400,5,FALSE)/(VLOOKUP(C285,Controle!A$16:G$24,7,FALSE))*E285</f>
        <v>3.4269871291686231E-2</v>
      </c>
      <c r="L285" s="118">
        <f>((J285*(1+I285))+3*(I285+K285))/4</f>
        <v>0.60520573343744855</v>
      </c>
      <c r="M285" s="3">
        <v>1</v>
      </c>
      <c r="N285" s="88">
        <f>VLOOKUP(A285,Demográfico!A$2:E$400,5,FALSE)*I285</f>
        <v>605.76398722313252</v>
      </c>
      <c r="O285" s="96">
        <f>FLOOR(L285,1)</f>
        <v>0</v>
      </c>
      <c r="P285" s="96">
        <f>L285-O285</f>
        <v>0.60520573343744855</v>
      </c>
      <c r="Q285" s="87">
        <f>RANK(P285,P$2:P$400,0)</f>
        <v>70</v>
      </c>
      <c r="R285" s="3">
        <f>O285+IF(Q285&lt;Q$1,1,0)</f>
        <v>1</v>
      </c>
      <c r="T285" s="87">
        <f>VLOOKUP(A285,Demográfico!A$2:E$400,5,FALSE)*(I285)</f>
        <v>605.76398722313252</v>
      </c>
    </row>
    <row r="286" spans="1:20" ht="19.5" x14ac:dyDescent="0.25">
      <c r="A286" s="2" t="s">
        <v>291</v>
      </c>
      <c r="B286" s="37">
        <v>5597</v>
      </c>
      <c r="C286" s="4" t="str" cm="1">
        <f t="array" ref="C286">_xlfn.IFS(B286&lt;20000, "P1",B286&lt;40000, "P2",B286&lt;70000, "P3",B286&lt;100000, "P4",B286&lt;200000,"M1",B286&lt;500000,"M2",B286&lt;1000000,"G1",B286&gt;1000000,"G2")</f>
        <v>P1</v>
      </c>
      <c r="D286" s="13">
        <f>VLOOKUP(C286,Controle!A$2:H$9,8,FALSE)</f>
        <v>38.874046212109647</v>
      </c>
      <c r="E286" s="13">
        <f>VLOOKUP(C286,Controle!A$16:H$23,8,FALSE)</f>
        <v>13.454529704853227</v>
      </c>
      <c r="F286" s="5">
        <f>VLOOKUP(A286,Educacional!A$2:P$405,16,FALSE)</f>
        <v>61.234622164565657</v>
      </c>
      <c r="G286" s="6">
        <f>VLOOKUP(A286,Demográfico!A$2:L$405,12,FALSE)</f>
        <v>72.887256422665303</v>
      </c>
      <c r="H286" s="7">
        <f>VLOOKUP(A286,Socioeconômico!A$2:M$405,13,FALSE)</f>
        <v>38.286567239402871</v>
      </c>
      <c r="I286" s="16">
        <f>(2*F286+G286+2*H286)/5/100</f>
        <v>0.54385927046120475</v>
      </c>
      <c r="J286" s="15">
        <f>VLOOKUP(A286,Demográfico!A$2:E$400,5,FALSE)/(VLOOKUP(C286,Controle!A$2:G$9,7,FALSE))*D286</f>
        <v>8.8247961257559002E-2</v>
      </c>
      <c r="K286" s="15">
        <f>VLOOKUP(A286,Demográfico!A$2:E$400,5,FALSE)/(VLOOKUP(C286,Controle!A$16:G$24,7,FALSE))*E286</f>
        <v>3.0543124059020588E-2</v>
      </c>
      <c r="L286" s="118">
        <f>((J286*(1+I286))+3*(I286+K286))/4</f>
        <v>0.46486240416186492</v>
      </c>
      <c r="M286" s="3">
        <v>1</v>
      </c>
      <c r="N286" s="88">
        <f>VLOOKUP(A286,Demográfico!A$2:E$400,5,FALSE)*I286</f>
        <v>410.06988992774836</v>
      </c>
      <c r="O286" s="96">
        <f>FLOOR(L286,1)</f>
        <v>0</v>
      </c>
      <c r="P286" s="96">
        <f>L286-O286</f>
        <v>0.46486240416186492</v>
      </c>
      <c r="Q286" s="87">
        <f>RANK(P286,P$2:P$400,0)</f>
        <v>192</v>
      </c>
      <c r="R286" s="3">
        <f>O286+IF(Q286&lt;Q$1,1,0)</f>
        <v>0</v>
      </c>
      <c r="T286" s="87">
        <f>VLOOKUP(A286,Demográfico!A$2:E$400,5,FALSE)*(I286)</f>
        <v>410.06988992774836</v>
      </c>
    </row>
    <row r="287" spans="1:20" ht="19.5" x14ac:dyDescent="0.25">
      <c r="A287" s="2" t="s">
        <v>292</v>
      </c>
      <c r="B287" s="37">
        <v>5586</v>
      </c>
      <c r="C287" s="4" t="str" cm="1">
        <f t="array" ref="C287">_xlfn.IFS(B287&lt;20000, "P1",B287&lt;40000, "P2",B287&lt;70000, "P3",B287&lt;100000, "P4",B287&lt;200000,"M1",B287&lt;500000,"M2",B287&lt;1000000,"G1",B287&gt;1000000,"G2")</f>
        <v>P1</v>
      </c>
      <c r="D287" s="13">
        <f>VLOOKUP(C287,Controle!A$2:H$9,8,FALSE)</f>
        <v>38.874046212109647</v>
      </c>
      <c r="E287" s="13">
        <f>VLOOKUP(C287,Controle!A$16:H$23,8,FALSE)</f>
        <v>13.454529704853227</v>
      </c>
      <c r="F287" s="5">
        <f>VLOOKUP(A287,Educacional!A$2:P$405,16,FALSE)</f>
        <v>50.424840293089865</v>
      </c>
      <c r="G287" s="6">
        <f>VLOOKUP(A287,Demográfico!A$2:L$405,12,FALSE)</f>
        <v>41.639120599464071</v>
      </c>
      <c r="H287" s="7">
        <f>VLOOKUP(A287,Socioeconômico!A$2:M$405,13,FALSE)</f>
        <v>60.553345232519739</v>
      </c>
      <c r="I287" s="16">
        <f>(2*F287+G287+2*H287)/5/100</f>
        <v>0.5271909833013666</v>
      </c>
      <c r="J287" s="15">
        <f>VLOOKUP(A287,Demográfico!A$2:E$400,5,FALSE)/(VLOOKUP(C287,Controle!A$2:G$9,7,FALSE))*D287</f>
        <v>8.6609404947736932E-2</v>
      </c>
      <c r="K287" s="15">
        <f>VLOOKUP(A287,Demográfico!A$2:E$400,5,FALSE)/(VLOOKUP(C287,Controle!A$16:G$24,7,FALSE))*E287</f>
        <v>2.99760103497019E-2</v>
      </c>
      <c r="L287" s="118">
        <f>((J287*(1+I287))+3*(I287+K287))/4</f>
        <v>0.45094252081462149</v>
      </c>
      <c r="M287" s="3">
        <v>0</v>
      </c>
      <c r="N287" s="88">
        <f>VLOOKUP(A287,Demográfico!A$2:E$400,5,FALSE)*I287</f>
        <v>390.12132764301128</v>
      </c>
      <c r="O287" s="96">
        <f>FLOOR(L287,1)</f>
        <v>0</v>
      </c>
      <c r="P287" s="96">
        <f>L287-O287</f>
        <v>0.45094252081462149</v>
      </c>
      <c r="Q287" s="87">
        <f>RANK(P287,P$2:P$400,0)</f>
        <v>210</v>
      </c>
      <c r="R287" s="3">
        <f>O287+IF(Q287&lt;Q$1,1,0)</f>
        <v>0</v>
      </c>
      <c r="T287" s="87">
        <f>VLOOKUP(A287,Demográfico!A$2:E$400,5,FALSE)*(I287)</f>
        <v>390.12132764301128</v>
      </c>
    </row>
    <row r="288" spans="1:20" ht="19.5" x14ac:dyDescent="0.25">
      <c r="A288" s="2" t="s">
        <v>293</v>
      </c>
      <c r="B288" s="37">
        <v>5514</v>
      </c>
      <c r="C288" s="4" t="str" cm="1">
        <f t="array" ref="C288">_xlfn.IFS(B288&lt;20000, "P1",B288&lt;40000, "P2",B288&lt;70000, "P3",B288&lt;100000, "P4",B288&lt;200000,"M1",B288&lt;500000,"M2",B288&lt;1000000,"G1",B288&gt;1000000,"G2")</f>
        <v>P1</v>
      </c>
      <c r="D288" s="13">
        <f>VLOOKUP(C288,Controle!A$2:H$9,8,FALSE)</f>
        <v>38.874046212109647</v>
      </c>
      <c r="E288" s="13">
        <f>VLOOKUP(C288,Controle!A$16:H$23,8,FALSE)</f>
        <v>13.454529704853227</v>
      </c>
      <c r="F288" s="5">
        <f>VLOOKUP(A288,Educacional!A$2:P$405,16,FALSE)</f>
        <v>43.08268701541985</v>
      </c>
      <c r="G288" s="6">
        <f>VLOOKUP(A288,Demográfico!A$2:L$405,12,FALSE)</f>
        <v>19.406107893803863</v>
      </c>
      <c r="H288" s="7">
        <f>VLOOKUP(A288,Socioeconômico!A$2:M$405,13,FALSE)</f>
        <v>48.755756426197507</v>
      </c>
      <c r="I288" s="16">
        <f>(2*F288+G288+2*H288)/5/100</f>
        <v>0.40616598955407718</v>
      </c>
      <c r="J288" s="15">
        <f>VLOOKUP(A288,Demográfico!A$2:E$400,5,FALSE)/(VLOOKUP(C288,Controle!A$2:G$9,7,FALSE))*D288</f>
        <v>8.0172219444864593E-2</v>
      </c>
      <c r="K288" s="15">
        <f>VLOOKUP(A288,Demográfico!A$2:E$400,5,FALSE)/(VLOOKUP(C288,Controle!A$16:G$24,7,FALSE))*E288</f>
        <v>2.7748063634521352E-2</v>
      </c>
      <c r="L288" s="118">
        <f>((J288*(1+I288))+3*(I288+K288))/4</f>
        <v>0.35361940196405756</v>
      </c>
      <c r="M288" s="3">
        <v>0</v>
      </c>
      <c r="N288" s="88">
        <f>VLOOKUP(A288,Demográfico!A$2:E$400,5,FALSE)*I288</f>
        <v>278.22370284454286</v>
      </c>
      <c r="O288" s="96">
        <f>FLOOR(L288,1)</f>
        <v>0</v>
      </c>
      <c r="P288" s="96">
        <f>L288-O288</f>
        <v>0.35361940196405756</v>
      </c>
      <c r="Q288" s="87">
        <f>RANK(P288,P$2:P$400,0)</f>
        <v>325</v>
      </c>
      <c r="R288" s="3">
        <f>O288+IF(Q288&lt;Q$1,1,0)</f>
        <v>0</v>
      </c>
      <c r="T288" s="87">
        <f>VLOOKUP(A288,Demográfico!A$2:E$400,5,FALSE)*(I288)</f>
        <v>278.22370284454286</v>
      </c>
    </row>
    <row r="289" spans="1:20" ht="19.5" x14ac:dyDescent="0.25">
      <c r="A289" s="2" t="s">
        <v>294</v>
      </c>
      <c r="B289" s="37">
        <v>5435</v>
      </c>
      <c r="C289" s="4" t="str" cm="1">
        <f t="array" ref="C289">_xlfn.IFS(B289&lt;20000, "P1",B289&lt;40000, "P2",B289&lt;70000, "P3",B289&lt;100000, "P4",B289&lt;200000,"M1",B289&lt;500000,"M2",B289&lt;1000000,"G1",B289&gt;1000000,"G2")</f>
        <v>P1</v>
      </c>
      <c r="D289" s="13">
        <f>VLOOKUP(C289,Controle!A$2:H$9,8,FALSE)</f>
        <v>38.874046212109647</v>
      </c>
      <c r="E289" s="13">
        <f>VLOOKUP(C289,Controle!A$16:H$23,8,FALSE)</f>
        <v>13.454529704853227</v>
      </c>
      <c r="F289" s="5">
        <f>VLOOKUP(A289,Educacional!A$2:P$405,16,FALSE)</f>
        <v>54.957195497610286</v>
      </c>
      <c r="G289" s="6">
        <f>VLOOKUP(A289,Demográfico!A$2:L$405,12,FALSE)</f>
        <v>28.189097592144197</v>
      </c>
      <c r="H289" s="7">
        <f>VLOOKUP(A289,Socioeconômico!A$2:M$405,13,FALSE)</f>
        <v>60.352005104524572</v>
      </c>
      <c r="I289" s="16">
        <f>(2*F289+G289+2*H289)/5/100</f>
        <v>0.51761499759282781</v>
      </c>
      <c r="J289" s="15">
        <f>VLOOKUP(A289,Demográfico!A$2:E$400,5,FALSE)/(VLOOKUP(C289,Controle!A$2:G$9,7,FALSE))*D289</f>
        <v>8.1810775754686663E-2</v>
      </c>
      <c r="K289" s="15">
        <f>VLOOKUP(A289,Demográfico!A$2:E$400,5,FALSE)/(VLOOKUP(C289,Controle!A$16:G$24,7,FALSE))*E289</f>
        <v>2.831517734384004E-2</v>
      </c>
      <c r="L289" s="118">
        <f>((J289*(1+I289))+3*(I289+K289))/4</f>
        <v>0.44048694626500495</v>
      </c>
      <c r="M289" s="3">
        <v>0</v>
      </c>
      <c r="N289" s="88">
        <f>VLOOKUP(A289,Demográfico!A$2:E$400,5,FALSE)*I289</f>
        <v>361.81288331738665</v>
      </c>
      <c r="O289" s="96">
        <f>FLOOR(L289,1)</f>
        <v>0</v>
      </c>
      <c r="P289" s="96">
        <f>L289-O289</f>
        <v>0.44048694626500495</v>
      </c>
      <c r="Q289" s="87">
        <f>RANK(P289,P$2:P$400,0)</f>
        <v>226</v>
      </c>
      <c r="R289" s="3">
        <f>O289+IF(Q289&lt;Q$1,1,0)</f>
        <v>0</v>
      </c>
      <c r="T289" s="87">
        <f>VLOOKUP(A289,Demográfico!A$2:E$400,5,FALSE)*(I289)</f>
        <v>361.81288331738665</v>
      </c>
    </row>
    <row r="290" spans="1:20" ht="19.5" x14ac:dyDescent="0.25">
      <c r="A290" s="2" t="s">
        <v>295</v>
      </c>
      <c r="B290" s="37">
        <v>5427</v>
      </c>
      <c r="C290" s="4" t="str" cm="1">
        <f t="array" ref="C290">_xlfn.IFS(B290&lt;20000, "P1",B290&lt;40000, "P2",B290&lt;70000, "P3",B290&lt;100000, "P4",B290&lt;200000,"M1",B290&lt;500000,"M2",B290&lt;1000000,"G1",B290&gt;1000000,"G2")</f>
        <v>P1</v>
      </c>
      <c r="D290" s="13">
        <f>VLOOKUP(C290,Controle!A$2:H$9,8,FALSE)</f>
        <v>38.874046212109647</v>
      </c>
      <c r="E290" s="13">
        <f>VLOOKUP(C290,Controle!A$16:H$23,8,FALSE)</f>
        <v>13.454529704853227</v>
      </c>
      <c r="F290" s="5">
        <f>VLOOKUP(A290,Educacional!A$2:P$405,16,FALSE)</f>
        <v>51.194372795165741</v>
      </c>
      <c r="G290" s="6">
        <f>VLOOKUP(A290,Demográfico!A$2:L$405,12,FALSE)</f>
        <v>41.003502163891874</v>
      </c>
      <c r="H290" s="7">
        <f>VLOOKUP(A290,Socioeconômico!A$2:M$405,13,FALSE)</f>
        <v>51.901807918901078</v>
      </c>
      <c r="I290" s="16">
        <f>(2*F290+G290+2*H290)/5/100</f>
        <v>0.49439172718405094</v>
      </c>
      <c r="J290" s="15">
        <f>VLOOKUP(A290,Demográfico!A$2:E$400,5,FALSE)/(VLOOKUP(C290,Controle!A$2:G$9,7,FALSE))*D290</f>
        <v>8.4619729428667301E-2</v>
      </c>
      <c r="K290" s="15">
        <f>VLOOKUP(A290,Demográfico!A$2:E$400,5,FALSE)/(VLOOKUP(C290,Controle!A$16:G$24,7,FALSE))*E290</f>
        <v>2.9287372274100641E-2</v>
      </c>
      <c r="L290" s="118">
        <f>((J290*(1+I290))+3*(I290+K290))/4</f>
        <v>0.42437308049730205</v>
      </c>
      <c r="M290" s="3">
        <v>0</v>
      </c>
      <c r="N290" s="88">
        <f>VLOOKUP(A290,Demográfico!A$2:E$400,5,FALSE)*I290</f>
        <v>357.44521875406883</v>
      </c>
      <c r="O290" s="96">
        <f>FLOOR(L290,1)</f>
        <v>0</v>
      </c>
      <c r="P290" s="96">
        <f>L290-O290</f>
        <v>0.42437308049730205</v>
      </c>
      <c r="Q290" s="87">
        <f>RANK(P290,P$2:P$400,0)</f>
        <v>248</v>
      </c>
      <c r="R290" s="3">
        <f>O290+IF(Q290&lt;Q$1,1,0)</f>
        <v>0</v>
      </c>
      <c r="T290" s="87">
        <f>VLOOKUP(A290,Demográfico!A$2:E$400,5,FALSE)*(I290)</f>
        <v>357.44521875406883</v>
      </c>
    </row>
    <row r="291" spans="1:20" ht="19.5" x14ac:dyDescent="0.25">
      <c r="A291" s="2" t="s">
        <v>296</v>
      </c>
      <c r="B291" s="37">
        <v>5338</v>
      </c>
      <c r="C291" s="4" t="str" cm="1">
        <f t="array" ref="C291">_xlfn.IFS(B291&lt;20000, "P1",B291&lt;40000, "P2",B291&lt;70000, "P3",B291&lt;100000, "P4",B291&lt;200000,"M1",B291&lt;500000,"M2",B291&lt;1000000,"G1",B291&gt;1000000,"G2")</f>
        <v>P1</v>
      </c>
      <c r="D291" s="13">
        <f>VLOOKUP(C291,Controle!A$2:H$9,8,FALSE)</f>
        <v>38.874046212109647</v>
      </c>
      <c r="E291" s="13">
        <f>VLOOKUP(C291,Controle!A$16:H$23,8,FALSE)</f>
        <v>13.454529704853227</v>
      </c>
      <c r="F291" s="5">
        <f>VLOOKUP(A291,Educacional!A$2:P$405,16,FALSE)</f>
        <v>40.476722117784107</v>
      </c>
      <c r="G291" s="6">
        <f>VLOOKUP(A291,Demográfico!A$2:L$405,12,FALSE)</f>
        <v>22.208287816309259</v>
      </c>
      <c r="H291" s="7">
        <f>VLOOKUP(A291,Socioeconômico!A$2:M$405,13,FALSE)</f>
        <v>26.600368254945135</v>
      </c>
      <c r="I291" s="16">
        <f>(2*F291+G291+2*H291)/5/100</f>
        <v>0.3127249371235355</v>
      </c>
      <c r="J291" s="15">
        <f>VLOOKUP(A291,Demográfico!A$2:E$400,5,FALSE)/(VLOOKUP(C291,Controle!A$2:G$9,7,FALSE))*D291</f>
        <v>8.5087888374330761E-2</v>
      </c>
      <c r="K291" s="15">
        <f>VLOOKUP(A291,Demográfico!A$2:E$400,5,FALSE)/(VLOOKUP(C291,Controle!A$16:G$24,7,FALSE))*E291</f>
        <v>2.944940476247741E-2</v>
      </c>
      <c r="L291" s="118">
        <f>((J291*(1+I291))+3*(I291+K291))/4</f>
        <v>0.28455500464355166</v>
      </c>
      <c r="M291" s="3">
        <v>0</v>
      </c>
      <c r="N291" s="88">
        <f>VLOOKUP(A291,Demográfico!A$2:E$400,5,FALSE)*I291</f>
        <v>227.35102928881031</v>
      </c>
      <c r="O291" s="96">
        <f>FLOOR(L291,1)</f>
        <v>0</v>
      </c>
      <c r="P291" s="96">
        <f>L291-O291</f>
        <v>0.28455500464355166</v>
      </c>
      <c r="Q291" s="87">
        <f>RANK(P291,P$2:P$400,0)</f>
        <v>372</v>
      </c>
      <c r="R291" s="3">
        <f>O291+IF(Q291&lt;Q$1,1,0)</f>
        <v>0</v>
      </c>
      <c r="T291" s="87">
        <f>VLOOKUP(A291,Demográfico!A$2:E$400,5,FALSE)*(I291)</f>
        <v>227.35102928881031</v>
      </c>
    </row>
    <row r="292" spans="1:20" ht="19.5" x14ac:dyDescent="0.25">
      <c r="A292" s="2" t="s">
        <v>297</v>
      </c>
      <c r="B292" s="37">
        <v>5232</v>
      </c>
      <c r="C292" s="4" t="str" cm="1">
        <f t="array" ref="C292">_xlfn.IFS(B292&lt;20000, "P1",B292&lt;40000, "P2",B292&lt;70000, "P3",B292&lt;100000, "P4",B292&lt;200000,"M1",B292&lt;500000,"M2",B292&lt;1000000,"G1",B292&gt;1000000,"G2")</f>
        <v>P1</v>
      </c>
      <c r="D292" s="13">
        <f>VLOOKUP(C292,Controle!A$2:H$9,8,FALSE)</f>
        <v>38.874046212109647</v>
      </c>
      <c r="E292" s="13">
        <f>VLOOKUP(C292,Controle!A$16:H$23,8,FALSE)</f>
        <v>13.454529704853227</v>
      </c>
      <c r="F292" s="5">
        <f>VLOOKUP(A292,Educacional!A$2:P$405,16,FALSE)</f>
        <v>42.2673347292939</v>
      </c>
      <c r="G292" s="6">
        <f>VLOOKUP(A292,Demográfico!A$2:L$405,12,FALSE)</f>
        <v>29.048327450236776</v>
      </c>
      <c r="H292" s="7">
        <f>VLOOKUP(A292,Socioeconômico!A$2:M$405,13,FALSE)</f>
        <v>42.181442985244551</v>
      </c>
      <c r="I292" s="16">
        <f>(2*F292+G292+2*H292)/5/100</f>
        <v>0.39589176575862739</v>
      </c>
      <c r="J292" s="15">
        <f>VLOOKUP(A292,Demográfico!A$2:E$400,5,FALSE)/(VLOOKUP(C292,Controle!A$2:G$9,7,FALSE))*D292</f>
        <v>8.1108537336191486E-2</v>
      </c>
      <c r="K292" s="15">
        <f>VLOOKUP(A292,Demográfico!A$2:E$400,5,FALSE)/(VLOOKUP(C292,Controle!A$16:G$24,7,FALSE))*E292</f>
        <v>2.8072128611274887E-2</v>
      </c>
      <c r="L292" s="118">
        <f>((J292*(1+I292))+3*(I292+K292))/4</f>
        <v>0.3462776056275057</v>
      </c>
      <c r="M292" s="3">
        <v>0</v>
      </c>
      <c r="N292" s="88">
        <f>VLOOKUP(A292,Demográfico!A$2:E$400,5,FALSE)*I292</f>
        <v>274.35299367072878</v>
      </c>
      <c r="O292" s="96">
        <f>FLOOR(L292,1)</f>
        <v>0</v>
      </c>
      <c r="P292" s="96">
        <f>L292-O292</f>
        <v>0.3462776056275057</v>
      </c>
      <c r="Q292" s="87">
        <f>RANK(P292,P$2:P$400,0)</f>
        <v>333</v>
      </c>
      <c r="R292" s="3">
        <f>O292+IF(Q292&lt;Q$1,1,0)</f>
        <v>0</v>
      </c>
      <c r="T292" s="87">
        <f>VLOOKUP(A292,Demográfico!A$2:E$400,5,FALSE)*(I292)</f>
        <v>274.35299367072878</v>
      </c>
    </row>
    <row r="293" spans="1:20" ht="19.5" x14ac:dyDescent="0.25">
      <c r="A293" s="2" t="s">
        <v>298</v>
      </c>
      <c r="B293" s="37">
        <v>5192</v>
      </c>
      <c r="C293" s="4" t="str" cm="1">
        <f t="array" ref="C293">_xlfn.IFS(B293&lt;20000, "P1",B293&lt;40000, "P2",B293&lt;70000, "P3",B293&lt;100000, "P4",B293&lt;200000,"M1",B293&lt;500000,"M2",B293&lt;1000000,"G1",B293&gt;1000000,"G2")</f>
        <v>P1</v>
      </c>
      <c r="D293" s="13">
        <f>VLOOKUP(C293,Controle!A$2:H$9,8,FALSE)</f>
        <v>38.874046212109647</v>
      </c>
      <c r="E293" s="13">
        <f>VLOOKUP(C293,Controle!A$16:H$23,8,FALSE)</f>
        <v>13.454529704853227</v>
      </c>
      <c r="F293" s="5">
        <f>VLOOKUP(A293,Educacional!A$2:P$405,16,FALSE)</f>
        <v>51.616777158561725</v>
      </c>
      <c r="G293" s="6">
        <f>VLOOKUP(A293,Demográfico!A$2:L$405,12,FALSE)</f>
        <v>21.645583746985714</v>
      </c>
      <c r="H293" s="7">
        <f>VLOOKUP(A293,Socioeconômico!A$2:M$405,13,FALSE)</f>
        <v>54.758445054796233</v>
      </c>
      <c r="I293" s="16">
        <f>(2*F293+G293+2*H293)/5/100</f>
        <v>0.46879205634740323</v>
      </c>
      <c r="J293" s="15">
        <f>VLOOKUP(A293,Demográfico!A$2:E$400,5,FALSE)/(VLOOKUP(C293,Controle!A$2:G$9,7,FALSE))*D293</f>
        <v>7.4086153151239842E-2</v>
      </c>
      <c r="K293" s="15">
        <f>VLOOKUP(A293,Demográfico!A$2:E$400,5,FALSE)/(VLOOKUP(C293,Controle!A$16:G$24,7,FALSE))*E293</f>
        <v>2.5641641285623382E-2</v>
      </c>
      <c r="L293" s="118">
        <f>((J293*(1+I293))+3*(I293+K293))/4</f>
        <v>0.39802956153323954</v>
      </c>
      <c r="M293" s="3">
        <v>0</v>
      </c>
      <c r="N293" s="88">
        <f>VLOOKUP(A293,Demográfico!A$2:E$400,5,FALSE)*I293</f>
        <v>296.74537166790623</v>
      </c>
      <c r="O293" s="96">
        <f>FLOOR(L293,1)</f>
        <v>0</v>
      </c>
      <c r="P293" s="96">
        <f>L293-O293</f>
        <v>0.39802956153323954</v>
      </c>
      <c r="Q293" s="87">
        <f>RANK(P293,P$2:P$400,0)</f>
        <v>286</v>
      </c>
      <c r="R293" s="3">
        <f>O293+IF(Q293&lt;Q$1,1,0)</f>
        <v>0</v>
      </c>
      <c r="T293" s="87">
        <f>VLOOKUP(A293,Demográfico!A$2:E$400,5,FALSE)*(I293)</f>
        <v>296.74537166790623</v>
      </c>
    </row>
    <row r="294" spans="1:20" ht="19.5" x14ac:dyDescent="0.25">
      <c r="A294" s="2" t="s">
        <v>299</v>
      </c>
      <c r="B294" s="37">
        <v>5175</v>
      </c>
      <c r="C294" s="4" t="str" cm="1">
        <f t="array" ref="C294">_xlfn.IFS(B294&lt;20000, "P1",B294&lt;40000, "P2",B294&lt;70000, "P3",B294&lt;100000, "P4",B294&lt;200000,"M1",B294&lt;500000,"M2",B294&lt;1000000,"G1",B294&gt;1000000,"G2")</f>
        <v>P1</v>
      </c>
      <c r="D294" s="13">
        <f>VLOOKUP(C294,Controle!A$2:H$9,8,FALSE)</f>
        <v>38.874046212109647</v>
      </c>
      <c r="E294" s="13">
        <f>VLOOKUP(C294,Controle!A$16:H$23,8,FALSE)</f>
        <v>13.454529704853227</v>
      </c>
      <c r="F294" s="5">
        <f>VLOOKUP(A294,Educacional!A$2:P$405,16,FALSE)</f>
        <v>42.944890863655246</v>
      </c>
      <c r="G294" s="6">
        <f>VLOOKUP(A294,Demográfico!A$2:L$405,12,FALSE)</f>
        <v>85.624172975950188</v>
      </c>
      <c r="H294" s="7">
        <f>VLOOKUP(A294,Socioeconômico!A$2:M$405,13,FALSE)</f>
        <v>53.666655321364111</v>
      </c>
      <c r="I294" s="16">
        <f>(2*F294+G294+2*H294)/5/100</f>
        <v>0.55769453069197783</v>
      </c>
      <c r="J294" s="15">
        <f>VLOOKUP(A294,Demográfico!A$2:E$400,5,FALSE)/(VLOOKUP(C294,Controle!A$2:G$9,7,FALSE))*D294</f>
        <v>8.1927815491102521E-2</v>
      </c>
      <c r="K294" s="15">
        <f>VLOOKUP(A294,Demográfico!A$2:E$400,5,FALSE)/(VLOOKUP(C294,Controle!A$16:G$24,7,FALSE))*E294</f>
        <v>2.8355685465934234E-2</v>
      </c>
      <c r="L294" s="118">
        <f>((J294*(1+I294))+3*(I294+K294))/4</f>
        <v>0.47144228964394203</v>
      </c>
      <c r="M294" s="3">
        <v>1</v>
      </c>
      <c r="N294" s="88">
        <f>VLOOKUP(A294,Demográfico!A$2:E$400,5,FALSE)*I294</f>
        <v>390.38617148438448</v>
      </c>
      <c r="O294" s="96">
        <f>FLOOR(L294,1)</f>
        <v>0</v>
      </c>
      <c r="P294" s="96">
        <f>L294-O294</f>
        <v>0.47144228964394203</v>
      </c>
      <c r="Q294" s="87">
        <f>RANK(P294,P$2:P$400,0)</f>
        <v>185</v>
      </c>
      <c r="R294" s="3">
        <f>O294+IF(Q294&lt;Q$1,1,0)</f>
        <v>1</v>
      </c>
      <c r="T294" s="87">
        <f>VLOOKUP(A294,Demográfico!A$2:E$400,5,FALSE)*(I294)</f>
        <v>390.38617148438448</v>
      </c>
    </row>
    <row r="295" spans="1:20" ht="19.5" x14ac:dyDescent="0.25">
      <c r="A295" s="2" t="s">
        <v>300</v>
      </c>
      <c r="B295" s="37">
        <v>5168</v>
      </c>
      <c r="C295" s="4" t="str" cm="1">
        <f t="array" ref="C295">_xlfn.IFS(B295&lt;20000, "P1",B295&lt;40000, "P2",B295&lt;70000, "P3",B295&lt;100000, "P4",B295&lt;200000,"M1",B295&lt;500000,"M2",B295&lt;1000000,"G1",B295&gt;1000000,"G2")</f>
        <v>P1</v>
      </c>
      <c r="D295" s="13">
        <f>VLOOKUP(C295,Controle!A$2:H$9,8,FALSE)</f>
        <v>38.874046212109647</v>
      </c>
      <c r="E295" s="13">
        <f>VLOOKUP(C295,Controle!A$16:H$23,8,FALSE)</f>
        <v>13.454529704853227</v>
      </c>
      <c r="F295" s="5">
        <f>VLOOKUP(A295,Educacional!A$2:P$405,16,FALSE)</f>
        <v>52.096460438098603</v>
      </c>
      <c r="G295" s="6">
        <f>VLOOKUP(A295,Demográfico!A$2:L$405,12,FALSE)</f>
        <v>13.747061182162144</v>
      </c>
      <c r="H295" s="7">
        <f>VLOOKUP(A295,Socioeconômico!A$2:M$405,13,FALSE)</f>
        <v>36.94998324894496</v>
      </c>
      <c r="I295" s="16">
        <f>(2*F295+G295+2*H295)/5/100</f>
        <v>0.38367989711249856</v>
      </c>
      <c r="J295" s="15">
        <f>VLOOKUP(A295,Demográfico!A$2:E$400,5,FALSE)/(VLOOKUP(C295,Controle!A$2:G$9,7,FALSE))*D295</f>
        <v>6.7883047121199219E-2</v>
      </c>
      <c r="K295" s="15">
        <f>VLOOKUP(A295,Demográfico!A$2:E$400,5,FALSE)/(VLOOKUP(C295,Controle!A$16:G$24,7,FALSE))*E295</f>
        <v>2.3494710814631219E-2</v>
      </c>
      <c r="L295" s="118">
        <f>((J295*(1+I295))+3*(I295+K295))/4</f>
        <v>0.32886305785943326</v>
      </c>
      <c r="M295" s="3">
        <v>0</v>
      </c>
      <c r="N295" s="88">
        <f>VLOOKUP(A295,Demográfico!A$2:E$400,5,FALSE)*I295</f>
        <v>222.53434032524916</v>
      </c>
      <c r="O295" s="96">
        <f>FLOOR(L295,1)</f>
        <v>0</v>
      </c>
      <c r="P295" s="96">
        <f>L295-O295</f>
        <v>0.32886305785943326</v>
      </c>
      <c r="Q295" s="87">
        <f>RANK(P295,P$2:P$400,0)</f>
        <v>344</v>
      </c>
      <c r="R295" s="3">
        <f>O295+IF(Q295&lt;Q$1,1,0)</f>
        <v>0</v>
      </c>
      <c r="T295" s="87">
        <f>VLOOKUP(A295,Demográfico!A$2:E$400,5,FALSE)*(I295)</f>
        <v>222.53434032524916</v>
      </c>
    </row>
    <row r="296" spans="1:20" ht="19.5" x14ac:dyDescent="0.25">
      <c r="A296" s="2" t="s">
        <v>301</v>
      </c>
      <c r="B296" s="37">
        <v>5142</v>
      </c>
      <c r="C296" s="4" t="str" cm="1">
        <f t="array" ref="C296">_xlfn.IFS(B296&lt;20000, "P1",B296&lt;40000, "P2",B296&lt;70000, "P3",B296&lt;100000, "P4",B296&lt;200000,"M1",B296&lt;500000,"M2",B296&lt;1000000,"G1",B296&gt;1000000,"G2")</f>
        <v>P1</v>
      </c>
      <c r="D296" s="13">
        <f>VLOOKUP(C296,Controle!A$2:H$9,8,FALSE)</f>
        <v>38.874046212109647</v>
      </c>
      <c r="E296" s="13">
        <f>VLOOKUP(C296,Controle!A$16:H$23,8,FALSE)</f>
        <v>13.454529704853227</v>
      </c>
      <c r="F296" s="5">
        <f>VLOOKUP(A296,Educacional!A$2:P$405,16,FALSE)</f>
        <v>29.88875744386263</v>
      </c>
      <c r="G296" s="6">
        <f>VLOOKUP(A296,Demográfico!A$2:L$405,12,FALSE)</f>
        <v>14.863020255470765</v>
      </c>
      <c r="H296" s="7">
        <f>VLOOKUP(A296,Socioeconômico!A$2:M$405,13,FALSE)</f>
        <v>47.859242974550256</v>
      </c>
      <c r="I296" s="16">
        <f>(2*F296+G296+2*H296)/5/100</f>
        <v>0.34071804218459306</v>
      </c>
      <c r="J296" s="15">
        <f>VLOOKUP(A296,Demográfico!A$2:E$400,5,FALSE)/(VLOOKUP(C296,Controle!A$2:G$9,7,FALSE))*D296</f>
        <v>6.9170484221773701E-2</v>
      </c>
      <c r="K296" s="15">
        <f>VLOOKUP(A296,Demográfico!A$2:E$400,5,FALSE)/(VLOOKUP(C296,Controle!A$16:G$24,7,FALSE))*E296</f>
        <v>2.3940300157667328E-2</v>
      </c>
      <c r="L296" s="118">
        <f>((J296*(1+I296))+3*(I296+K296))/4</f>
        <v>0.29667828580238947</v>
      </c>
      <c r="M296" s="3">
        <v>0</v>
      </c>
      <c r="N296" s="88">
        <f>VLOOKUP(A296,Demográfico!A$2:E$400,5,FALSE)*I296</f>
        <v>201.36436293109449</v>
      </c>
      <c r="O296" s="96">
        <f>FLOOR(L296,1)</f>
        <v>0</v>
      </c>
      <c r="P296" s="96">
        <f>L296-O296</f>
        <v>0.29667828580238947</v>
      </c>
      <c r="Q296" s="87">
        <f>RANK(P296,P$2:P$400,0)</f>
        <v>360</v>
      </c>
      <c r="R296" s="3">
        <f>O296+IF(Q296&lt;Q$1,1,0)</f>
        <v>0</v>
      </c>
      <c r="T296" s="87">
        <f>VLOOKUP(A296,Demográfico!A$2:E$400,5,FALSE)*(I296)</f>
        <v>201.36436293109449</v>
      </c>
    </row>
    <row r="297" spans="1:20" ht="19.5" x14ac:dyDescent="0.25">
      <c r="A297" s="2" t="s">
        <v>302</v>
      </c>
      <c r="B297" s="37">
        <v>5007</v>
      </c>
      <c r="C297" s="4" t="str" cm="1">
        <f t="array" ref="C297">_xlfn.IFS(B297&lt;20000, "P1",B297&lt;40000, "P2",B297&lt;70000, "P3",B297&lt;100000, "P4",B297&lt;200000,"M1",B297&lt;500000,"M2",B297&lt;1000000,"G1",B297&gt;1000000,"G2")</f>
        <v>P1</v>
      </c>
      <c r="D297" s="13">
        <f>VLOOKUP(C297,Controle!A$2:H$9,8,FALSE)</f>
        <v>38.874046212109647</v>
      </c>
      <c r="E297" s="13">
        <f>VLOOKUP(C297,Controle!A$16:H$23,8,FALSE)</f>
        <v>13.454529704853227</v>
      </c>
      <c r="F297" s="5">
        <f>VLOOKUP(A297,Educacional!A$2:P$405,16,FALSE)</f>
        <v>60.714378924852753</v>
      </c>
      <c r="G297" s="6">
        <f>VLOOKUP(A297,Demográfico!A$2:L$405,12,FALSE)</f>
        <v>59.005717107345376</v>
      </c>
      <c r="H297" s="7">
        <f>VLOOKUP(A297,Socioeconômico!A$2:M$405,13,FALSE)</f>
        <v>30.391227501708201</v>
      </c>
      <c r="I297" s="16">
        <f>(2*F297+G297+2*H297)/5/100</f>
        <v>0.48243385992093457</v>
      </c>
      <c r="J297" s="15">
        <f>VLOOKUP(A297,Demográfico!A$2:E$400,5,FALSE)/(VLOOKUP(C297,Controle!A$2:G$9,7,FALSE))*D297</f>
        <v>7.104312000442746E-2</v>
      </c>
      <c r="K297" s="15">
        <f>VLOOKUP(A297,Demográfico!A$2:E$400,5,FALSE)/(VLOOKUP(C297,Controle!A$16:G$24,7,FALSE))*E297</f>
        <v>2.4588430111174397E-2</v>
      </c>
      <c r="L297" s="118">
        <f>((J297*(1+I297))+3*(I297+K297))/4</f>
        <v>0.4065958991763291</v>
      </c>
      <c r="M297" s="3">
        <v>1</v>
      </c>
      <c r="N297" s="88">
        <f>VLOOKUP(A297,Demográfico!A$2:E$400,5,FALSE)*I297</f>
        <v>292.8373529720073</v>
      </c>
      <c r="O297" s="96">
        <f>FLOOR(L297,1)</f>
        <v>0</v>
      </c>
      <c r="P297" s="96">
        <f>L297-O297</f>
        <v>0.4065958991763291</v>
      </c>
      <c r="Q297" s="87">
        <f>RANK(P297,P$2:P$400,0)</f>
        <v>275</v>
      </c>
      <c r="R297" s="3">
        <f>O297+IF(Q297&lt;Q$1,1,0)</f>
        <v>0</v>
      </c>
      <c r="T297" s="87">
        <f>VLOOKUP(A297,Demográfico!A$2:E$400,5,FALSE)*(I297)</f>
        <v>292.8373529720073</v>
      </c>
    </row>
    <row r="298" spans="1:20" ht="19.5" x14ac:dyDescent="0.25">
      <c r="A298" s="2" t="s">
        <v>303</v>
      </c>
      <c r="B298" s="37">
        <v>5001</v>
      </c>
      <c r="C298" s="4" t="str" cm="1">
        <f t="array" ref="C298">_xlfn.IFS(B298&lt;20000, "P1",B298&lt;40000, "P2",B298&lt;70000, "P3",B298&lt;100000, "P4",B298&lt;200000,"M1",B298&lt;500000,"M2",B298&lt;1000000,"G1",B298&gt;1000000,"G2")</f>
        <v>P1</v>
      </c>
      <c r="D298" s="13">
        <f>VLOOKUP(C298,Controle!A$2:H$9,8,FALSE)</f>
        <v>38.874046212109647</v>
      </c>
      <c r="E298" s="13">
        <f>VLOOKUP(C298,Controle!A$16:H$23,8,FALSE)</f>
        <v>13.454529704853227</v>
      </c>
      <c r="F298" s="5">
        <f>VLOOKUP(A298,Educacional!A$2:P$405,16,FALSE)</f>
        <v>62.480805379783369</v>
      </c>
      <c r="G298" s="6">
        <f>VLOOKUP(A298,Demográfico!A$2:L$405,12,FALSE)</f>
        <v>48.77091076448113</v>
      </c>
      <c r="H298" s="7">
        <f>VLOOKUP(A298,Socioeconômico!A$2:M$405,13,FALSE)</f>
        <v>44.119367988660422</v>
      </c>
      <c r="I298" s="16">
        <f>(2*F298+G298+2*H298)/5/100</f>
        <v>0.52394251500273736</v>
      </c>
      <c r="J298" s="15">
        <f>VLOOKUP(A298,Demográfico!A$2:E$400,5,FALSE)/(VLOOKUP(C298,Controle!A$2:G$9,7,FALSE))*D298</f>
        <v>7.4905431306150863E-2</v>
      </c>
      <c r="K298" s="15">
        <f>VLOOKUP(A298,Demográfico!A$2:E$400,5,FALSE)/(VLOOKUP(C298,Controle!A$16:G$24,7,FALSE))*E298</f>
        <v>2.5925198140282726E-2</v>
      </c>
      <c r="L298" s="118">
        <f>((J298*(1+I298))+3*(I298+K298))/4</f>
        <v>0.44093867770028011</v>
      </c>
      <c r="M298" s="3">
        <v>1</v>
      </c>
      <c r="N298" s="88">
        <f>VLOOKUP(A298,Demográfico!A$2:E$400,5,FALSE)*I298</f>
        <v>335.3232096017519</v>
      </c>
      <c r="O298" s="96">
        <f>FLOOR(L298,1)</f>
        <v>0</v>
      </c>
      <c r="P298" s="96">
        <f>L298-O298</f>
        <v>0.44093867770028011</v>
      </c>
      <c r="Q298" s="87">
        <f>RANK(P298,P$2:P$400,0)</f>
        <v>225</v>
      </c>
      <c r="R298" s="3">
        <f>O298+IF(Q298&lt;Q$1,1,0)</f>
        <v>0</v>
      </c>
      <c r="T298" s="87">
        <f>VLOOKUP(A298,Demográfico!A$2:E$400,5,FALSE)*(I298)</f>
        <v>335.3232096017519</v>
      </c>
    </row>
    <row r="299" spans="1:20" ht="19.5" x14ac:dyDescent="0.25">
      <c r="A299" s="2" t="s">
        <v>304</v>
      </c>
      <c r="B299" s="37">
        <v>4972</v>
      </c>
      <c r="C299" s="4" t="str" cm="1">
        <f t="array" ref="C299">_xlfn.IFS(B299&lt;20000, "P1",B299&lt;40000, "P2",B299&lt;70000, "P3",B299&lt;100000, "P4",B299&lt;200000,"M1",B299&lt;500000,"M2",B299&lt;1000000,"G1",B299&gt;1000000,"G2")</f>
        <v>P1</v>
      </c>
      <c r="D299" s="13">
        <f>VLOOKUP(C299,Controle!A$2:H$9,8,FALSE)</f>
        <v>38.874046212109647</v>
      </c>
      <c r="E299" s="13">
        <f>VLOOKUP(C299,Controle!A$16:H$23,8,FALSE)</f>
        <v>13.454529704853227</v>
      </c>
      <c r="F299" s="5">
        <f>VLOOKUP(A299,Educacional!A$2:P$405,16,FALSE)</f>
        <v>76.827705354019017</v>
      </c>
      <c r="G299" s="6">
        <f>VLOOKUP(A299,Demográfico!A$2:L$405,12,FALSE)</f>
        <v>66.620818772546428</v>
      </c>
      <c r="H299" s="7">
        <f>VLOOKUP(A299,Socioeconômico!A$2:M$405,13,FALSE)</f>
        <v>53.626861295814365</v>
      </c>
      <c r="I299" s="16">
        <f>(2*F299+G299+2*H299)/5/100</f>
        <v>0.65505990414442639</v>
      </c>
      <c r="J299" s="15">
        <f>VLOOKUP(A299,Demográfico!A$2:E$400,5,FALSE)/(VLOOKUP(C299,Controle!A$2:G$9,7,FALSE))*D299</f>
        <v>7.6426947879557061E-2</v>
      </c>
      <c r="K299" s="15">
        <f>VLOOKUP(A299,Demográfico!A$2:E$400,5,FALSE)/(VLOOKUP(C299,Controle!A$16:G$24,7,FALSE))*E299</f>
        <v>2.6451803727507221E-2</v>
      </c>
      <c r="L299" s="118">
        <f>((J299*(1+I299))+3*(I299+K299))/4</f>
        <v>0.54275657516184794</v>
      </c>
      <c r="M299" s="3">
        <v>1</v>
      </c>
      <c r="N299" s="88">
        <f>VLOOKUP(A299,Demográfico!A$2:E$400,5,FALSE)*I299</f>
        <v>427.75411740631046</v>
      </c>
      <c r="O299" s="96">
        <f>FLOOR(L299,1)</f>
        <v>0</v>
      </c>
      <c r="P299" s="96">
        <f>L299-O299</f>
        <v>0.54275657516184794</v>
      </c>
      <c r="Q299" s="87">
        <f>RANK(P299,P$2:P$400,0)</f>
        <v>121</v>
      </c>
      <c r="R299" s="3">
        <f>O299+IF(Q299&lt;Q$1,1,0)</f>
        <v>1</v>
      </c>
      <c r="T299" s="87">
        <f>VLOOKUP(A299,Demográfico!A$2:E$400,5,FALSE)*(I299)</f>
        <v>427.75411740631046</v>
      </c>
    </row>
    <row r="300" spans="1:20" ht="19.5" x14ac:dyDescent="0.25">
      <c r="A300" s="2" t="s">
        <v>305</v>
      </c>
      <c r="B300" s="37">
        <v>4941</v>
      </c>
      <c r="C300" s="4" t="str" cm="1">
        <f t="array" ref="C300">_xlfn.IFS(B300&lt;20000, "P1",B300&lt;40000, "P2",B300&lt;70000, "P3",B300&lt;100000, "P4",B300&lt;200000,"M1",B300&lt;500000,"M2",B300&lt;1000000,"G1",B300&gt;1000000,"G2")</f>
        <v>P1</v>
      </c>
      <c r="D300" s="13">
        <f>VLOOKUP(C300,Controle!A$2:H$9,8,FALSE)</f>
        <v>38.874046212109647</v>
      </c>
      <c r="E300" s="13">
        <f>VLOOKUP(C300,Controle!A$16:H$23,8,FALSE)</f>
        <v>13.454529704853227</v>
      </c>
      <c r="F300" s="5">
        <f>VLOOKUP(A300,Educacional!A$2:P$405,16,FALSE)</f>
        <v>80.237186746122859</v>
      </c>
      <c r="G300" s="6">
        <f>VLOOKUP(A300,Demográfico!A$2:L$405,12,FALSE)</f>
        <v>54.69356845646486</v>
      </c>
      <c r="H300" s="7">
        <f>VLOOKUP(A300,Socioeconômico!A$2:M$405,13,FALSE)</f>
        <v>47.428300378246711</v>
      </c>
      <c r="I300" s="16">
        <f>(2*F300+G300+2*H300)/5/100</f>
        <v>0.62004908541040793</v>
      </c>
      <c r="J300" s="15">
        <f>VLOOKUP(A300,Demográfico!A$2:E$400,5,FALSE)/(VLOOKUP(C300,Controle!A$2:G$9,7,FALSE))*D300</f>
        <v>8.0991497599775614E-2</v>
      </c>
      <c r="K300" s="15">
        <f>VLOOKUP(A300,Demográfico!A$2:E$400,5,FALSE)/(VLOOKUP(C300,Controle!A$16:G$24,7,FALSE))*E300</f>
        <v>2.8031620489180693E-2</v>
      </c>
      <c r="L300" s="118">
        <f>((J300*(1+I300))+3*(I300+K300))/4</f>
        <v>0.51886307982782542</v>
      </c>
      <c r="M300" s="3">
        <v>1</v>
      </c>
      <c r="N300" s="88">
        <f>VLOOKUP(A300,Demográfico!A$2:E$400,5,FALSE)*I300</f>
        <v>429.07396710400229</v>
      </c>
      <c r="O300" s="96">
        <f>FLOOR(L300,1)</f>
        <v>0</v>
      </c>
      <c r="P300" s="96">
        <f>L300-O300</f>
        <v>0.51886307982782542</v>
      </c>
      <c r="Q300" s="87">
        <f>RANK(P300,P$2:P$400,0)</f>
        <v>137</v>
      </c>
      <c r="R300" s="3">
        <f>O300+IF(Q300&lt;Q$1,1,0)</f>
        <v>1</v>
      </c>
      <c r="T300" s="87">
        <f>VLOOKUP(A300,Demográfico!A$2:E$400,5,FALSE)*(I300)</f>
        <v>429.07396710400229</v>
      </c>
    </row>
    <row r="301" spans="1:20" ht="19.5" x14ac:dyDescent="0.25">
      <c r="A301" s="2" t="s">
        <v>306</v>
      </c>
      <c r="B301" s="37">
        <v>4926</v>
      </c>
      <c r="C301" s="4" t="str" cm="1">
        <f t="array" ref="C301">_xlfn.IFS(B301&lt;20000, "P1",B301&lt;40000, "P2",B301&lt;70000, "P3",B301&lt;100000, "P4",B301&lt;200000,"M1",B301&lt;500000,"M2",B301&lt;1000000,"G1",B301&gt;1000000,"G2")</f>
        <v>P1</v>
      </c>
      <c r="D301" s="13">
        <f>VLOOKUP(C301,Controle!A$2:H$9,8,FALSE)</f>
        <v>38.874046212109647</v>
      </c>
      <c r="E301" s="13">
        <f>VLOOKUP(C301,Controle!A$16:H$23,8,FALSE)</f>
        <v>13.454529704853227</v>
      </c>
      <c r="F301" s="5">
        <f>VLOOKUP(A301,Educacional!A$2:P$405,16,FALSE)</f>
        <v>61.967747227292669</v>
      </c>
      <c r="G301" s="6">
        <f>VLOOKUP(A301,Demográfico!A$2:L$405,12,FALSE)</f>
        <v>50.25603538912209</v>
      </c>
      <c r="H301" s="7">
        <f>VLOOKUP(A301,Socioeconômico!A$2:M$405,13,FALSE)</f>
        <v>53.639662793968377</v>
      </c>
      <c r="I301" s="16">
        <f>(2*F301+G301+2*H301)/5/100</f>
        <v>0.56294171086328826</v>
      </c>
      <c r="J301" s="15">
        <f>VLOOKUP(A301,Demográfico!A$2:E$400,5,FALSE)/(VLOOKUP(C301,Controle!A$2:G$9,7,FALSE))*D301</f>
        <v>8.4970848637914889E-2</v>
      </c>
      <c r="K301" s="15">
        <f>VLOOKUP(A301,Demográfico!A$2:E$400,5,FALSE)/(VLOOKUP(C301,Controle!A$16:G$24,7,FALSE))*E301</f>
        <v>2.9408896640383219E-2</v>
      </c>
      <c r="L301" s="118">
        <f>((J301*(1+I301))+3*(I301+K301))/4</f>
        <v>0.47746407651366568</v>
      </c>
      <c r="M301" s="3">
        <v>1</v>
      </c>
      <c r="N301" s="88">
        <f>VLOOKUP(A301,Demográfico!A$2:E$400,5,FALSE)*I301</f>
        <v>408.6956820867473</v>
      </c>
      <c r="O301" s="96">
        <f>FLOOR(L301,1)</f>
        <v>0</v>
      </c>
      <c r="P301" s="96">
        <f>L301-O301</f>
        <v>0.47746407651366568</v>
      </c>
      <c r="Q301" s="87">
        <f>RANK(P301,P$2:P$400,0)</f>
        <v>179</v>
      </c>
      <c r="R301" s="3">
        <f>O301+IF(Q301&lt;Q$1,1,0)</f>
        <v>1</v>
      </c>
      <c r="T301" s="87">
        <f>VLOOKUP(A301,Demográfico!A$2:E$400,5,FALSE)*(I301)</f>
        <v>408.6956820867473</v>
      </c>
    </row>
    <row r="302" spans="1:20" ht="19.5" x14ac:dyDescent="0.25">
      <c r="A302" s="2" t="s">
        <v>307</v>
      </c>
      <c r="B302" s="37">
        <v>4880</v>
      </c>
      <c r="C302" s="4" t="str" cm="1">
        <f t="array" ref="C302">_xlfn.IFS(B302&lt;20000, "P1",B302&lt;40000, "P2",B302&lt;70000, "P3",B302&lt;100000, "P4",B302&lt;200000,"M1",B302&lt;500000,"M2",B302&lt;1000000,"G1",B302&gt;1000000,"G2")</f>
        <v>P1</v>
      </c>
      <c r="D302" s="13">
        <f>VLOOKUP(C302,Controle!A$2:H$9,8,FALSE)</f>
        <v>38.874046212109647</v>
      </c>
      <c r="E302" s="13">
        <f>VLOOKUP(C302,Controle!A$16:H$23,8,FALSE)</f>
        <v>13.454529704853227</v>
      </c>
      <c r="F302" s="5">
        <f>VLOOKUP(A302,Educacional!A$2:P$405,16,FALSE)</f>
        <v>51.382656289787143</v>
      </c>
      <c r="G302" s="6">
        <f>VLOOKUP(A302,Demográfico!A$2:L$405,12,FALSE)</f>
        <v>28.588925690937344</v>
      </c>
      <c r="H302" s="7">
        <f>VLOOKUP(A302,Socioeconômico!A$2:M$405,13,FALSE)</f>
        <v>40.53827965586553</v>
      </c>
      <c r="I302" s="16">
        <f>(2*F302+G302+2*H302)/5/100</f>
        <v>0.42486159516448541</v>
      </c>
      <c r="J302" s="15">
        <f>VLOOKUP(A302,Demográfico!A$2:E$400,5,FALSE)/(VLOOKUP(C302,Controle!A$2:G$9,7,FALSE))*D302</f>
        <v>7.1979437895754353E-2</v>
      </c>
      <c r="K302" s="15">
        <f>VLOOKUP(A302,Demográfico!A$2:E$400,5,FALSE)/(VLOOKUP(C302,Controle!A$16:G$24,7,FALSE))*E302</f>
        <v>2.4912495087927932E-2</v>
      </c>
      <c r="L302" s="118">
        <f>((J302*(1+I302))+3*(I302+K302))/4</f>
        <v>0.36297075186410693</v>
      </c>
      <c r="M302" s="3">
        <v>0</v>
      </c>
      <c r="N302" s="88">
        <f>VLOOKUP(A302,Demográfico!A$2:E$400,5,FALSE)*I302</f>
        <v>261.28988102615853</v>
      </c>
      <c r="O302" s="96">
        <f>FLOOR(L302,1)</f>
        <v>0</v>
      </c>
      <c r="P302" s="96">
        <f>L302-O302</f>
        <v>0.36297075186410693</v>
      </c>
      <c r="Q302" s="87">
        <f>RANK(P302,P$2:P$400,0)</f>
        <v>317</v>
      </c>
      <c r="R302" s="3">
        <f>O302+IF(Q302&lt;Q$1,1,0)</f>
        <v>0</v>
      </c>
      <c r="T302" s="87">
        <f>VLOOKUP(A302,Demográfico!A$2:E$400,5,FALSE)*(I302)</f>
        <v>261.28988102615853</v>
      </c>
    </row>
    <row r="303" spans="1:20" ht="19.5" x14ac:dyDescent="0.25">
      <c r="A303" s="2" t="s">
        <v>308</v>
      </c>
      <c r="B303" s="37">
        <v>4872</v>
      </c>
      <c r="C303" s="4" t="str" cm="1">
        <f t="array" ref="C303">_xlfn.IFS(B303&lt;20000, "P1",B303&lt;40000, "P2",B303&lt;70000, "P3",B303&lt;100000, "P4",B303&lt;200000,"M1",B303&lt;500000,"M2",B303&lt;1000000,"G1",B303&gt;1000000,"G2")</f>
        <v>P1</v>
      </c>
      <c r="D303" s="13">
        <f>VLOOKUP(C303,Controle!A$2:H$9,8,FALSE)</f>
        <v>38.874046212109647</v>
      </c>
      <c r="E303" s="13">
        <f>VLOOKUP(C303,Controle!A$16:H$23,8,FALSE)</f>
        <v>13.454529704853227</v>
      </c>
      <c r="F303" s="5">
        <f>VLOOKUP(A303,Educacional!A$2:P$405,16,FALSE)</f>
        <v>58.65364006723253</v>
      </c>
      <c r="G303" s="6">
        <f>VLOOKUP(A303,Demográfico!A$2:L$405,12,FALSE)</f>
        <v>18.710896830788791</v>
      </c>
      <c r="H303" s="7">
        <f>VLOOKUP(A303,Socioeconômico!A$2:M$405,13,FALSE)</f>
        <v>56.982565677547889</v>
      </c>
      <c r="I303" s="16">
        <f>(2*F303+G303+2*H303)/5/100</f>
        <v>0.49996661664069925</v>
      </c>
      <c r="J303" s="15">
        <f>VLOOKUP(A303,Demográfico!A$2:E$400,5,FALSE)/(VLOOKUP(C303,Controle!A$2:G$9,7,FALSE))*D303</f>
        <v>6.7063768966288198E-2</v>
      </c>
      <c r="K303" s="15">
        <f>VLOOKUP(A303,Demográfico!A$2:E$400,5,FALSE)/(VLOOKUP(C303,Controle!A$16:G$24,7,FALSE))*E303</f>
        <v>2.3211153959971878E-2</v>
      </c>
      <c r="L303" s="118">
        <f>((J303*(1+I303))+3*(I303+K303))/4</f>
        <v>0.41753168160938758</v>
      </c>
      <c r="M303" s="3">
        <v>0</v>
      </c>
      <c r="N303" s="88">
        <f>VLOOKUP(A303,Demográfico!A$2:E$400,5,FALSE)*I303</f>
        <v>286.4808713351207</v>
      </c>
      <c r="O303" s="96">
        <f>FLOOR(L303,1)</f>
        <v>0</v>
      </c>
      <c r="P303" s="96">
        <f>L303-O303</f>
        <v>0.41753168160938758</v>
      </c>
      <c r="Q303" s="87">
        <f>RANK(P303,P$2:P$400,0)</f>
        <v>261</v>
      </c>
      <c r="R303" s="3">
        <f>O303+IF(Q303&lt;Q$1,1,0)</f>
        <v>0</v>
      </c>
      <c r="T303" s="87">
        <f>VLOOKUP(A303,Demográfico!A$2:E$400,5,FALSE)*(I303)</f>
        <v>286.4808713351207</v>
      </c>
    </row>
    <row r="304" spans="1:20" ht="19.5" x14ac:dyDescent="0.25">
      <c r="A304" s="2" t="s">
        <v>309</v>
      </c>
      <c r="B304" s="37">
        <v>4854</v>
      </c>
      <c r="C304" s="4" t="str" cm="1">
        <f t="array" ref="C304">_xlfn.IFS(B304&lt;20000, "P1",B304&lt;40000, "P2",B304&lt;70000, "P3",B304&lt;100000, "P4",B304&lt;200000,"M1",B304&lt;500000,"M2",B304&lt;1000000,"G1",B304&gt;1000000,"G2")</f>
        <v>P1</v>
      </c>
      <c r="D304" s="13">
        <f>VLOOKUP(C304,Controle!A$2:H$9,8,FALSE)</f>
        <v>38.874046212109647</v>
      </c>
      <c r="E304" s="13">
        <f>VLOOKUP(C304,Controle!A$16:H$23,8,FALSE)</f>
        <v>13.454529704853227</v>
      </c>
      <c r="F304" s="5">
        <f>VLOOKUP(A304,Educacional!A$2:P$405,16,FALSE)</f>
        <v>41.120123920801646</v>
      </c>
      <c r="G304" s="6">
        <f>VLOOKUP(A304,Demográfico!A$2:L$405,12,FALSE)</f>
        <v>28.459092464889473</v>
      </c>
      <c r="H304" s="7">
        <f>VLOOKUP(A304,Socioeconômico!A$2:M$405,13,FALSE)</f>
        <v>47.53679863422807</v>
      </c>
      <c r="I304" s="16">
        <f>(2*F304+G304+2*H304)/5/100</f>
        <v>0.41154587514989788</v>
      </c>
      <c r="J304" s="15">
        <f>VLOOKUP(A304,Demográfico!A$2:E$400,5,FALSE)/(VLOOKUP(C304,Controle!A$2:G$9,7,FALSE))*D304</f>
        <v>6.7883047121199219E-2</v>
      </c>
      <c r="K304" s="15">
        <f>VLOOKUP(A304,Demográfico!A$2:E$400,5,FALSE)/(VLOOKUP(C304,Controle!A$16:G$24,7,FALSE))*E304</f>
        <v>2.3494710814631219E-2</v>
      </c>
      <c r="L304" s="118">
        <f>((J304*(1+I304))+3*(I304+K304))/4</f>
        <v>0.3502354482625305</v>
      </c>
      <c r="M304" s="3">
        <v>0</v>
      </c>
      <c r="N304" s="88">
        <f>VLOOKUP(A304,Demográfico!A$2:E$400,5,FALSE)*I304</f>
        <v>238.69660758694076</v>
      </c>
      <c r="O304" s="96">
        <f>FLOOR(L304,1)</f>
        <v>0</v>
      </c>
      <c r="P304" s="96">
        <f>L304-O304</f>
        <v>0.3502354482625305</v>
      </c>
      <c r="Q304" s="87">
        <f>RANK(P304,P$2:P$400,0)</f>
        <v>331</v>
      </c>
      <c r="R304" s="3">
        <f>O304+IF(Q304&lt;Q$1,1,0)</f>
        <v>0</v>
      </c>
      <c r="T304" s="87">
        <f>VLOOKUP(A304,Demográfico!A$2:E$400,5,FALSE)*(I304)</f>
        <v>238.69660758694076</v>
      </c>
    </row>
    <row r="305" spans="1:20" ht="19.5" x14ac:dyDescent="0.25">
      <c r="A305" s="2" t="s">
        <v>310</v>
      </c>
      <c r="B305" s="37">
        <v>4813</v>
      </c>
      <c r="C305" s="4" t="str" cm="1">
        <f t="array" ref="C305">_xlfn.IFS(B305&lt;20000, "P1",B305&lt;40000, "P2",B305&lt;70000, "P3",B305&lt;100000, "P4",B305&lt;200000,"M1",B305&lt;500000,"M2",B305&lt;1000000,"G1",B305&gt;1000000,"G2")</f>
        <v>P1</v>
      </c>
      <c r="D305" s="13">
        <f>VLOOKUP(C305,Controle!A$2:H$9,8,FALSE)</f>
        <v>38.874046212109647</v>
      </c>
      <c r="E305" s="13">
        <f>VLOOKUP(C305,Controle!A$16:H$23,8,FALSE)</f>
        <v>13.454529704853227</v>
      </c>
      <c r="F305" s="5">
        <f>VLOOKUP(A305,Educacional!A$2:P$405,16,FALSE)</f>
        <v>30.6900002022766</v>
      </c>
      <c r="G305" s="6">
        <f>VLOOKUP(A305,Demográfico!A$2:L$405,12,FALSE)</f>
        <v>75.428648555537208</v>
      </c>
      <c r="H305" s="7">
        <f>VLOOKUP(A305,Socioeconômico!A$2:M$405,13,FALSE)</f>
        <v>51.273573736919801</v>
      </c>
      <c r="I305" s="16">
        <f>(2*F305+G305+2*H305)/5/100</f>
        <v>0.47871159286786003</v>
      </c>
      <c r="J305" s="15">
        <f>VLOOKUP(A305,Demográfico!A$2:E$400,5,FALSE)/(VLOOKUP(C305,Controle!A$2:G$9,7,FALSE))*D305</f>
        <v>7.0809040531595743E-2</v>
      </c>
      <c r="K305" s="15">
        <f>VLOOKUP(A305,Demográfico!A$2:E$400,5,FALSE)/(VLOOKUP(C305,Controle!A$16:G$24,7,FALSE))*E305</f>
        <v>2.4507413866986013E-2</v>
      </c>
      <c r="L305" s="118">
        <f>((J305*(1+I305))+3*(I305+K305))/4</f>
        <v>0.40359079232961464</v>
      </c>
      <c r="M305" s="3">
        <v>0</v>
      </c>
      <c r="N305" s="88">
        <f>VLOOKUP(A305,Demográfico!A$2:E$400,5,FALSE)*I305</f>
        <v>289.6205136850553</v>
      </c>
      <c r="O305" s="96">
        <f>FLOOR(L305,1)</f>
        <v>0</v>
      </c>
      <c r="P305" s="96">
        <f>L305-O305</f>
        <v>0.40359079232961464</v>
      </c>
      <c r="Q305" s="87">
        <f>RANK(P305,P$2:P$400,0)</f>
        <v>280</v>
      </c>
      <c r="R305" s="3">
        <f>O305+IF(Q305&lt;Q$1,1,0)</f>
        <v>0</v>
      </c>
      <c r="T305" s="87">
        <f>VLOOKUP(A305,Demográfico!A$2:E$400,5,FALSE)*(I305)</f>
        <v>289.6205136850553</v>
      </c>
    </row>
    <row r="306" spans="1:20" ht="19.5" x14ac:dyDescent="0.25">
      <c r="A306" s="2" t="s">
        <v>311</v>
      </c>
      <c r="B306" s="37">
        <v>4797</v>
      </c>
      <c r="C306" s="4" t="str" cm="1">
        <f t="array" ref="C306">_xlfn.IFS(B306&lt;20000, "P1",B306&lt;40000, "P2",B306&lt;70000, "P3",B306&lt;100000, "P4",B306&lt;200000,"M1",B306&lt;500000,"M2",B306&lt;1000000,"G1",B306&gt;1000000,"G2")</f>
        <v>P1</v>
      </c>
      <c r="D306" s="13">
        <f>VLOOKUP(C306,Controle!A$2:H$9,8,FALSE)</f>
        <v>38.874046212109647</v>
      </c>
      <c r="E306" s="13">
        <f>VLOOKUP(C306,Controle!A$16:H$23,8,FALSE)</f>
        <v>13.454529704853227</v>
      </c>
      <c r="F306" s="5">
        <f>VLOOKUP(A306,Educacional!A$2:P$405,16,FALSE)</f>
        <v>89.480500208265696</v>
      </c>
      <c r="G306" s="6">
        <f>VLOOKUP(A306,Demográfico!A$2:L$405,12,FALSE)</f>
        <v>41.091382428203296</v>
      </c>
      <c r="H306" s="7">
        <f>VLOOKUP(A306,Socioeconômico!A$2:M$405,13,FALSE)</f>
        <v>68.840285088524396</v>
      </c>
      <c r="I306" s="16">
        <f>(2*F306+G306+2*H306)/5/100</f>
        <v>0.71546590604356697</v>
      </c>
      <c r="J306" s="15">
        <f>VLOOKUP(A306,Demográfico!A$2:E$400,5,FALSE)/(VLOOKUP(C306,Controle!A$2:G$9,7,FALSE))*D306</f>
        <v>8.5907166529241782E-2</v>
      </c>
      <c r="K306" s="15">
        <f>VLOOKUP(A306,Demográfico!A$2:E$400,5,FALSE)/(VLOOKUP(C306,Controle!A$16:G$24,7,FALSE))*E306</f>
        <v>2.973296161713675E-2</v>
      </c>
      <c r="L306" s="118">
        <f>((J306*(1+I306))+3*(I306+K306))/4</f>
        <v>0.59574185456195816</v>
      </c>
      <c r="M306" s="3">
        <v>1</v>
      </c>
      <c r="N306" s="88">
        <f>VLOOKUP(A306,Demográfico!A$2:E$400,5,FALSE)*I306</f>
        <v>525.15197503597813</v>
      </c>
      <c r="O306" s="96">
        <f>FLOOR(L306,1)</f>
        <v>0</v>
      </c>
      <c r="P306" s="96">
        <f>L306-O306</f>
        <v>0.59574185456195816</v>
      </c>
      <c r="Q306" s="87">
        <f>RANK(P306,P$2:P$400,0)</f>
        <v>78</v>
      </c>
      <c r="R306" s="3">
        <f>O306+IF(Q306&lt;Q$1,1,0)</f>
        <v>1</v>
      </c>
      <c r="T306" s="87">
        <f>VLOOKUP(A306,Demográfico!A$2:E$400,5,FALSE)*(I306)</f>
        <v>525.15197503597813</v>
      </c>
    </row>
    <row r="307" spans="1:20" ht="19.5" x14ac:dyDescent="0.25">
      <c r="A307" s="2" t="s">
        <v>312</v>
      </c>
      <c r="B307" s="37">
        <v>4792</v>
      </c>
      <c r="C307" s="4" t="str" cm="1">
        <f t="array" ref="C307">_xlfn.IFS(B307&lt;20000, "P1",B307&lt;40000, "P2",B307&lt;70000, "P3",B307&lt;100000, "P4",B307&lt;200000,"M1",B307&lt;500000,"M2",B307&lt;1000000,"G1",B307&gt;1000000,"G2")</f>
        <v>P1</v>
      </c>
      <c r="D307" s="13">
        <f>VLOOKUP(C307,Controle!A$2:H$9,8,FALSE)</f>
        <v>38.874046212109647</v>
      </c>
      <c r="E307" s="13">
        <f>VLOOKUP(C307,Controle!A$16:H$23,8,FALSE)</f>
        <v>13.454529704853227</v>
      </c>
      <c r="F307" s="5">
        <f>VLOOKUP(A307,Educacional!A$2:P$405,16,FALSE)</f>
        <v>26.47448080195764</v>
      </c>
      <c r="G307" s="6">
        <f>VLOOKUP(A307,Demográfico!A$2:L$405,12,FALSE)</f>
        <v>17.371806812704328</v>
      </c>
      <c r="H307" s="7">
        <f>VLOOKUP(A307,Socioeconômico!A$2:M$405,13,FALSE)</f>
        <v>38.298819682185858</v>
      </c>
      <c r="I307" s="16">
        <f>(2*F307+G307+2*H307)/5/100</f>
        <v>0.29383681556198271</v>
      </c>
      <c r="J307" s="15">
        <f>VLOOKUP(A307,Demográfico!A$2:E$400,5,FALSE)/(VLOOKUP(C307,Controle!A$2:G$9,7,FALSE))*D307</f>
        <v>6.2031060300406192E-2</v>
      </c>
      <c r="K307" s="15">
        <f>VLOOKUP(A307,Demográfico!A$2:E$400,5,FALSE)/(VLOOKUP(C307,Controle!A$16:G$24,7,FALSE))*E307</f>
        <v>2.1469304709921633E-2</v>
      </c>
      <c r="L307" s="118">
        <f>((J307*(1+I307))+3*(I307+K307))/4</f>
        <v>0.25654410758518098</v>
      </c>
      <c r="M307" s="3">
        <v>0</v>
      </c>
      <c r="N307" s="88">
        <f>VLOOKUP(A307,Demográfico!A$2:E$400,5,FALSE)*I307</f>
        <v>155.73351224785083</v>
      </c>
      <c r="O307" s="96">
        <f>FLOOR(L307,1)</f>
        <v>0</v>
      </c>
      <c r="P307" s="96">
        <f>L307-O307</f>
        <v>0.25654410758518098</v>
      </c>
      <c r="Q307" s="87">
        <f>RANK(P307,P$2:P$400,0)</f>
        <v>379</v>
      </c>
      <c r="R307" s="3">
        <f>O307+IF(Q307&lt;Q$1,1,0)</f>
        <v>0</v>
      </c>
      <c r="T307" s="87">
        <f>VLOOKUP(A307,Demográfico!A$2:E$400,5,FALSE)*(I307)</f>
        <v>155.73351224785083</v>
      </c>
    </row>
    <row r="308" spans="1:20" ht="19.5" x14ac:dyDescent="0.25">
      <c r="A308" s="2" t="s">
        <v>313</v>
      </c>
      <c r="B308" s="37">
        <v>4762</v>
      </c>
      <c r="C308" s="4" t="str" cm="1">
        <f t="array" ref="C308">_xlfn.IFS(B308&lt;20000, "P1",B308&lt;40000, "P2",B308&lt;70000, "P3",B308&lt;100000, "P4",B308&lt;200000,"M1",B308&lt;500000,"M2",B308&lt;1000000,"G1",B308&gt;1000000,"G2")</f>
        <v>P1</v>
      </c>
      <c r="D308" s="13">
        <f>VLOOKUP(C308,Controle!A$2:H$9,8,FALSE)</f>
        <v>38.874046212109647</v>
      </c>
      <c r="E308" s="13">
        <f>VLOOKUP(C308,Controle!A$16:H$23,8,FALSE)</f>
        <v>13.454529704853227</v>
      </c>
      <c r="F308" s="5">
        <f>VLOOKUP(A308,Educacional!A$2:P$405,16,FALSE)</f>
        <v>61.66856636474126</v>
      </c>
      <c r="G308" s="6">
        <f>VLOOKUP(A308,Demográfico!A$2:L$405,12,FALSE)</f>
        <v>33.90183565764621</v>
      </c>
      <c r="H308" s="7">
        <f>VLOOKUP(A308,Socioeconômico!A$2:M$405,13,FALSE)</f>
        <v>64.338898280094654</v>
      </c>
      <c r="I308" s="16">
        <f>(2*F308+G308+2*H308)/5/100</f>
        <v>0.57183352989463609</v>
      </c>
      <c r="J308" s="15">
        <f>VLOOKUP(A308,Demográfico!A$2:E$400,5,FALSE)/(VLOOKUP(C308,Controle!A$2:G$9,7,FALSE))*D308</f>
        <v>7.7012146561636366E-2</v>
      </c>
      <c r="K308" s="15">
        <f>VLOOKUP(A308,Demográfico!A$2:E$400,5,FALSE)/(VLOOKUP(C308,Controle!A$16:G$24,7,FALSE))*E308</f>
        <v>2.6654344337978177E-2</v>
      </c>
      <c r="L308" s="118">
        <f>((J308*(1+I308))+3*(I308+K308))/4</f>
        <v>0.47912847421814569</v>
      </c>
      <c r="M308" s="3">
        <v>1</v>
      </c>
      <c r="N308" s="88">
        <f>VLOOKUP(A308,Demográfico!A$2:E$400,5,FALSE)*I308</f>
        <v>376.26646267067053</v>
      </c>
      <c r="O308" s="96">
        <f>FLOOR(L308,1)</f>
        <v>0</v>
      </c>
      <c r="P308" s="96">
        <f>L308-O308</f>
        <v>0.47912847421814569</v>
      </c>
      <c r="Q308" s="87">
        <f>RANK(P308,P$2:P$400,0)</f>
        <v>176</v>
      </c>
      <c r="R308" s="3">
        <f>O308+IF(Q308&lt;Q$1,1,0)</f>
        <v>1</v>
      </c>
      <c r="T308" s="87">
        <f>VLOOKUP(A308,Demográfico!A$2:E$400,5,FALSE)*(I308)</f>
        <v>376.26646267067053</v>
      </c>
    </row>
    <row r="309" spans="1:20" ht="19.5" x14ac:dyDescent="0.25">
      <c r="A309" s="2" t="s">
        <v>314</v>
      </c>
      <c r="B309" s="37">
        <v>4748</v>
      </c>
      <c r="C309" s="4" t="str" cm="1">
        <f t="array" ref="C309">_xlfn.IFS(B309&lt;20000, "P1",B309&lt;40000, "P2",B309&lt;70000, "P3",B309&lt;100000, "P4",B309&lt;200000,"M1",B309&lt;500000,"M2",B309&lt;1000000,"G1",B309&gt;1000000,"G2")</f>
        <v>P1</v>
      </c>
      <c r="D309" s="13">
        <f>VLOOKUP(C309,Controle!A$2:H$9,8,FALSE)</f>
        <v>38.874046212109647</v>
      </c>
      <c r="E309" s="13">
        <f>VLOOKUP(C309,Controle!A$16:H$23,8,FALSE)</f>
        <v>13.454529704853227</v>
      </c>
      <c r="F309" s="5">
        <f>VLOOKUP(A309,Educacional!A$2:P$405,16,FALSE)</f>
        <v>61.275802161339222</v>
      </c>
      <c r="G309" s="6">
        <f>VLOOKUP(A309,Demográfico!A$2:L$405,12,FALSE)</f>
        <v>27.974675425800825</v>
      </c>
      <c r="H309" s="7">
        <f>VLOOKUP(A309,Socioeconômico!A$2:M$405,13,FALSE)</f>
        <v>51.440111267469611</v>
      </c>
      <c r="I309" s="16">
        <f>(2*F309+G309+2*H309)/5/100</f>
        <v>0.50681300456683698</v>
      </c>
      <c r="J309" s="15">
        <f>VLOOKUP(A309,Demográfico!A$2:E$400,5,FALSE)/(VLOOKUP(C309,Controle!A$2:G$9,7,FALSE))*D309</f>
        <v>6.6478570284208893E-2</v>
      </c>
      <c r="K309" s="15">
        <f>VLOOKUP(A309,Demográfico!A$2:E$400,5,FALSE)/(VLOOKUP(C309,Controle!A$16:G$24,7,FALSE))*E309</f>
        <v>2.3008613349500918E-2</v>
      </c>
      <c r="L309" s="118">
        <f>((J309*(1+I309))+3*(I309+K309))/4</f>
        <v>0.42240890699456751</v>
      </c>
      <c r="M309" s="3">
        <v>1</v>
      </c>
      <c r="N309" s="88">
        <f>VLOOKUP(A309,Demográfico!A$2:E$400,5,FALSE)*I309</f>
        <v>287.8697865939634</v>
      </c>
      <c r="O309" s="96">
        <f>FLOOR(L309,1)</f>
        <v>0</v>
      </c>
      <c r="P309" s="96">
        <f>L309-O309</f>
        <v>0.42240890699456751</v>
      </c>
      <c r="Q309" s="87">
        <f>RANK(P309,P$2:P$400,0)</f>
        <v>251</v>
      </c>
      <c r="R309" s="3">
        <f>O309+IF(Q309&lt;Q$1,1,0)</f>
        <v>0</v>
      </c>
      <c r="T309" s="87">
        <f>VLOOKUP(A309,Demográfico!A$2:E$400,5,FALSE)*(I309)</f>
        <v>287.8697865939634</v>
      </c>
    </row>
    <row r="310" spans="1:20" ht="19.5" x14ac:dyDescent="0.25">
      <c r="A310" s="2" t="s">
        <v>315</v>
      </c>
      <c r="B310" s="37">
        <v>4699</v>
      </c>
      <c r="C310" s="4" t="str" cm="1">
        <f t="array" ref="C310">_xlfn.IFS(B310&lt;20000, "P1",B310&lt;40000, "P2",B310&lt;70000, "P3",B310&lt;100000, "P4",B310&lt;200000,"M1",B310&lt;500000,"M2",B310&lt;1000000,"G1",B310&gt;1000000,"G2")</f>
        <v>P1</v>
      </c>
      <c r="D310" s="13">
        <f>VLOOKUP(C310,Controle!A$2:H$9,8,FALSE)</f>
        <v>38.874046212109647</v>
      </c>
      <c r="E310" s="13">
        <f>VLOOKUP(C310,Controle!A$16:H$23,8,FALSE)</f>
        <v>13.454529704853227</v>
      </c>
      <c r="F310" s="5">
        <f>VLOOKUP(A310,Educacional!A$2:P$405,16,FALSE)</f>
        <v>49.178700019466618</v>
      </c>
      <c r="G310" s="6">
        <f>VLOOKUP(A310,Demográfico!A$2:L$405,12,FALSE)</f>
        <v>60.70028323687626</v>
      </c>
      <c r="H310" s="7">
        <f>VLOOKUP(A310,Socioeconômico!A$2:M$405,13,FALSE)</f>
        <v>42.126060036281373</v>
      </c>
      <c r="I310" s="16">
        <f>(2*F310+G310+2*H310)/5/100</f>
        <v>0.48661960669674448</v>
      </c>
      <c r="J310" s="15">
        <f>VLOOKUP(A310,Demográfico!A$2:E$400,5,FALSE)/(VLOOKUP(C310,Controle!A$2:G$9,7,FALSE))*D310</f>
        <v>6.987272264026885E-2</v>
      </c>
      <c r="K310" s="15">
        <f>VLOOKUP(A310,Demográfico!A$2:E$400,5,FALSE)/(VLOOKUP(C310,Controle!A$16:G$24,7,FALSE))*E310</f>
        <v>2.4183348890232478E-2</v>
      </c>
      <c r="L310" s="118">
        <f>((J310*(1+I310))+3*(I310+K310))/4</f>
        <v>0.4090707565528095</v>
      </c>
      <c r="M310" s="3">
        <v>0</v>
      </c>
      <c r="N310" s="88">
        <f>VLOOKUP(A310,Demográfico!A$2:E$400,5,FALSE)*I310</f>
        <v>290.51190519795648</v>
      </c>
      <c r="O310" s="96">
        <f>FLOOR(L310,1)</f>
        <v>0</v>
      </c>
      <c r="P310" s="96">
        <f>L310-O310</f>
        <v>0.4090707565528095</v>
      </c>
      <c r="Q310" s="87">
        <f>RANK(P310,P$2:P$400,0)</f>
        <v>272</v>
      </c>
      <c r="R310" s="3">
        <f>O310+IF(Q310&lt;Q$1,1,0)</f>
        <v>0</v>
      </c>
      <c r="T310" s="87">
        <f>VLOOKUP(A310,Demográfico!A$2:E$400,5,FALSE)*(I310)</f>
        <v>290.51190519795648</v>
      </c>
    </row>
    <row r="311" spans="1:20" ht="19.5" x14ac:dyDescent="0.25">
      <c r="A311" s="2" t="s">
        <v>316</v>
      </c>
      <c r="B311" s="37">
        <v>4626</v>
      </c>
      <c r="C311" s="4" t="str" cm="1">
        <f t="array" ref="C311">_xlfn.IFS(B311&lt;20000, "P1",B311&lt;40000, "P2",B311&lt;70000, "P3",B311&lt;100000, "P4",B311&lt;200000,"M1",B311&lt;500000,"M2",B311&lt;1000000,"G1",B311&gt;1000000,"G2")</f>
        <v>P1</v>
      </c>
      <c r="D311" s="13">
        <f>VLOOKUP(C311,Controle!A$2:H$9,8,FALSE)</f>
        <v>38.874046212109647</v>
      </c>
      <c r="E311" s="13">
        <f>VLOOKUP(C311,Controle!A$16:H$23,8,FALSE)</f>
        <v>13.454529704853227</v>
      </c>
      <c r="F311" s="5">
        <f>VLOOKUP(A311,Educacional!A$2:P$405,16,FALSE)</f>
        <v>57.353301338927665</v>
      </c>
      <c r="G311" s="6">
        <f>VLOOKUP(A311,Demográfico!A$2:L$405,12,FALSE)</f>
        <v>50.595889438036934</v>
      </c>
      <c r="H311" s="7">
        <f>VLOOKUP(A311,Socioeconômico!A$2:M$405,13,FALSE)</f>
        <v>39.524493278226863</v>
      </c>
      <c r="I311" s="16">
        <f>(2*F311+G311+2*H311)/5/100</f>
        <v>0.48870295734469194</v>
      </c>
      <c r="J311" s="15">
        <f>VLOOKUP(A311,Demográfico!A$2:E$400,5,FALSE)/(VLOOKUP(C311,Controle!A$2:G$9,7,FALSE))*D311</f>
        <v>7.970406049920116E-2</v>
      </c>
      <c r="K311" s="15">
        <f>VLOOKUP(A311,Demográfico!A$2:E$400,5,FALSE)/(VLOOKUP(C311,Controle!A$16:G$24,7,FALSE))*E311</f>
        <v>2.758603114614459E-2</v>
      </c>
      <c r="L311" s="118">
        <f>((J311*(1+I311))+3*(I311+K311))/4</f>
        <v>0.41688065901251259</v>
      </c>
      <c r="M311" s="3">
        <v>1</v>
      </c>
      <c r="N311" s="88">
        <f>VLOOKUP(A311,Demográfico!A$2:E$400,5,FALSE)*I311</f>
        <v>332.80671395173522</v>
      </c>
      <c r="O311" s="96">
        <f>FLOOR(L311,1)</f>
        <v>0</v>
      </c>
      <c r="P311" s="96">
        <f>L311-O311</f>
        <v>0.41688065901251259</v>
      </c>
      <c r="Q311" s="87">
        <f>RANK(P311,P$2:P$400,0)</f>
        <v>262</v>
      </c>
      <c r="R311" s="3">
        <f>O311+IF(Q311&lt;Q$1,1,0)</f>
        <v>0</v>
      </c>
      <c r="T311" s="87">
        <f>VLOOKUP(A311,Demográfico!A$2:E$400,5,FALSE)*(I311)</f>
        <v>332.80671395173522</v>
      </c>
    </row>
    <row r="312" spans="1:20" ht="19.5" x14ac:dyDescent="0.25">
      <c r="A312" s="2" t="s">
        <v>317</v>
      </c>
      <c r="B312" s="37">
        <v>4601</v>
      </c>
      <c r="C312" s="4" t="str" cm="1">
        <f t="array" ref="C312">_xlfn.IFS(B312&lt;20000, "P1",B312&lt;40000, "P2",B312&lt;70000, "P3",B312&lt;100000, "P4",B312&lt;200000,"M1",B312&lt;500000,"M2",B312&lt;1000000,"G1",B312&gt;1000000,"G2")</f>
        <v>P1</v>
      </c>
      <c r="D312" s="13">
        <f>VLOOKUP(C312,Controle!A$2:H$9,8,FALSE)</f>
        <v>38.874046212109647</v>
      </c>
      <c r="E312" s="13">
        <f>VLOOKUP(C312,Controle!A$16:H$23,8,FALSE)</f>
        <v>13.454529704853227</v>
      </c>
      <c r="F312" s="5">
        <f>VLOOKUP(A312,Educacional!A$2:P$405,16,FALSE)</f>
        <v>41.690698762725994</v>
      </c>
      <c r="G312" s="6">
        <f>VLOOKUP(A312,Demográfico!A$2:L$405,12,FALSE)</f>
        <v>42.001210153766436</v>
      </c>
      <c r="H312" s="7">
        <f>VLOOKUP(A312,Socioeconômico!A$2:M$405,13,FALSE)</f>
        <v>40.764641094051612</v>
      </c>
      <c r="I312" s="16">
        <f>(2*F312+G312+2*H312)/5/100</f>
        <v>0.41382377973464329</v>
      </c>
      <c r="J312" s="15">
        <f>VLOOKUP(A312,Demográfico!A$2:E$400,5,FALSE)/(VLOOKUP(C312,Controle!A$2:G$9,7,FALSE))*D312</f>
        <v>6.5893371602129588E-2</v>
      </c>
      <c r="K312" s="15">
        <f>VLOOKUP(A312,Demográfico!A$2:E$400,5,FALSE)/(VLOOKUP(C312,Controle!A$16:G$24,7,FALSE))*E312</f>
        <v>2.2806072739029959E-2</v>
      </c>
      <c r="L312" s="118">
        <f>((J312*(1+I312))+3*(I312+K312))/4</f>
        <v>0.35076279327975046</v>
      </c>
      <c r="M312" s="3">
        <v>0</v>
      </c>
      <c r="N312" s="88">
        <f>VLOOKUP(A312,Demográfico!A$2:E$400,5,FALSE)*I312</f>
        <v>232.98278799060418</v>
      </c>
      <c r="O312" s="96">
        <f>FLOOR(L312,1)</f>
        <v>0</v>
      </c>
      <c r="P312" s="96">
        <f>L312-O312</f>
        <v>0.35076279327975046</v>
      </c>
      <c r="Q312" s="87">
        <f>RANK(P312,P$2:P$400,0)</f>
        <v>330</v>
      </c>
      <c r="R312" s="3">
        <f>O312+IF(Q312&lt;Q$1,1,0)</f>
        <v>0</v>
      </c>
      <c r="T312" s="87">
        <f>VLOOKUP(A312,Demográfico!A$2:E$400,5,FALSE)*(I312)</f>
        <v>232.98278799060418</v>
      </c>
    </row>
    <row r="313" spans="1:20" ht="19.5" x14ac:dyDescent="0.25">
      <c r="A313" s="2" t="s">
        <v>318</v>
      </c>
      <c r="B313" s="37">
        <v>4582</v>
      </c>
      <c r="C313" s="4" t="str" cm="1">
        <f t="array" ref="C313">_xlfn.IFS(B313&lt;20000, "P1",B313&lt;40000, "P2",B313&lt;70000, "P3",B313&lt;100000, "P4",B313&lt;200000,"M1",B313&lt;500000,"M2",B313&lt;1000000,"G1",B313&gt;1000000,"G2")</f>
        <v>P1</v>
      </c>
      <c r="D313" s="13">
        <f>VLOOKUP(C313,Controle!A$2:H$9,8,FALSE)</f>
        <v>38.874046212109647</v>
      </c>
      <c r="E313" s="13">
        <f>VLOOKUP(C313,Controle!A$16:H$23,8,FALSE)</f>
        <v>13.454529704853227</v>
      </c>
      <c r="F313" s="5">
        <f>VLOOKUP(A313,Educacional!A$2:P$405,16,FALSE)</f>
        <v>26.592915921080646</v>
      </c>
      <c r="G313" s="6">
        <f>VLOOKUP(A313,Demográfico!A$2:L$405,12,FALSE)</f>
        <v>41.198676398489994</v>
      </c>
      <c r="H313" s="7">
        <f>VLOOKUP(A313,Socioeconômico!A$2:M$405,13,FALSE)</f>
        <v>53.567514934200574</v>
      </c>
      <c r="I313" s="16">
        <f>(2*F313+G313+2*H313)/5/100</f>
        <v>0.40303907621810486</v>
      </c>
      <c r="J313" s="15">
        <f>VLOOKUP(A313,Demográfico!A$2:E$400,5,FALSE)/(VLOOKUP(C313,Controle!A$2:G$9,7,FALSE))*D313</f>
        <v>6.0275464254168278E-2</v>
      </c>
      <c r="K313" s="15">
        <f>VLOOKUP(A313,Demográfico!A$2:E$400,5,FALSE)/(VLOOKUP(C313,Controle!A$16:G$24,7,FALSE))*E313</f>
        <v>2.0861682878508755E-2</v>
      </c>
      <c r="L313" s="118">
        <f>((J313*(1+I313))+3*(I313+K313))/4</f>
        <v>0.33906777724390658</v>
      </c>
      <c r="M313" s="3">
        <v>0</v>
      </c>
      <c r="N313" s="88">
        <f>VLOOKUP(A313,Demográfico!A$2:E$400,5,FALSE)*I313</f>
        <v>207.56512425232401</v>
      </c>
      <c r="O313" s="96">
        <f>FLOOR(L313,1)</f>
        <v>0</v>
      </c>
      <c r="P313" s="96">
        <f>L313-O313</f>
        <v>0.33906777724390658</v>
      </c>
      <c r="Q313" s="87">
        <f>RANK(P313,P$2:P$400,0)</f>
        <v>337</v>
      </c>
      <c r="R313" s="3">
        <f>O313+IF(Q313&lt;Q$1,1,0)</f>
        <v>0</v>
      </c>
      <c r="T313" s="87">
        <f>VLOOKUP(A313,Demográfico!A$2:E$400,5,FALSE)*(I313)</f>
        <v>207.56512425232401</v>
      </c>
    </row>
    <row r="314" spans="1:20" ht="19.5" x14ac:dyDescent="0.25">
      <c r="A314" s="2" t="s">
        <v>319</v>
      </c>
      <c r="B314" s="37">
        <v>4575</v>
      </c>
      <c r="C314" s="4" t="str" cm="1">
        <f t="array" ref="C314">_xlfn.IFS(B314&lt;20000, "P1",B314&lt;40000, "P2",B314&lt;70000, "P3",B314&lt;100000, "P4",B314&lt;200000,"M1",B314&lt;500000,"M2",B314&lt;1000000,"G1",B314&gt;1000000,"G2")</f>
        <v>P1</v>
      </c>
      <c r="D314" s="13">
        <f>VLOOKUP(C314,Controle!A$2:H$9,8,FALSE)</f>
        <v>38.874046212109647</v>
      </c>
      <c r="E314" s="13">
        <f>VLOOKUP(C314,Controle!A$16:H$23,8,FALSE)</f>
        <v>13.454529704853227</v>
      </c>
      <c r="F314" s="5">
        <f>VLOOKUP(A314,Educacional!A$2:P$405,16,FALSE)</f>
        <v>38.543497923030998</v>
      </c>
      <c r="G314" s="6">
        <f>VLOOKUP(A314,Demográfico!A$2:L$405,12,FALSE)</f>
        <v>45.607058975984579</v>
      </c>
      <c r="H314" s="7">
        <f>VLOOKUP(A314,Socioeconômico!A$2:M$405,13,FALSE)</f>
        <v>21.955168720797065</v>
      </c>
      <c r="I314" s="16">
        <f>(2*F314+G314+2*H314)/5/100</f>
        <v>0.33320878452728137</v>
      </c>
      <c r="J314" s="15">
        <f>VLOOKUP(A314,Demográfico!A$2:E$400,5,FALSE)/(VLOOKUP(C314,Controle!A$2:G$9,7,FALSE))*D314</f>
        <v>6.7414888175535786E-2</v>
      </c>
      <c r="K314" s="15">
        <f>VLOOKUP(A314,Demográfico!A$2:E$400,5,FALSE)/(VLOOKUP(C314,Controle!A$16:G$24,7,FALSE))*E314</f>
        <v>2.3332678326254453E-2</v>
      </c>
      <c r="L314" s="118">
        <f>((J314*(1+I314))+3*(I314+K314))/4</f>
        <v>0.28987562742103901</v>
      </c>
      <c r="M314" s="3">
        <v>0</v>
      </c>
      <c r="N314" s="88">
        <f>VLOOKUP(A314,Demográfico!A$2:E$400,5,FALSE)*I314</f>
        <v>191.92825988771406</v>
      </c>
      <c r="O314" s="96">
        <f>FLOOR(L314,1)</f>
        <v>0</v>
      </c>
      <c r="P314" s="96">
        <f>L314-O314</f>
        <v>0.28987562742103901</v>
      </c>
      <c r="Q314" s="87">
        <f>RANK(P314,P$2:P$400,0)</f>
        <v>365</v>
      </c>
      <c r="R314" s="3">
        <f>O314+IF(Q314&lt;Q$1,1,0)</f>
        <v>0</v>
      </c>
      <c r="T314" s="87">
        <f>VLOOKUP(A314,Demográfico!A$2:E$400,5,FALSE)*(I314)</f>
        <v>191.92825988771406</v>
      </c>
    </row>
    <row r="315" spans="1:20" ht="19.5" x14ac:dyDescent="0.25">
      <c r="A315" s="2" t="s">
        <v>320</v>
      </c>
      <c r="B315" s="37">
        <v>4558</v>
      </c>
      <c r="C315" s="4" t="str" cm="1">
        <f t="array" ref="C315">_xlfn.IFS(B315&lt;20000, "P1",B315&lt;40000, "P2",B315&lt;70000, "P3",B315&lt;100000, "P4",B315&lt;200000,"M1",B315&lt;500000,"M2",B315&lt;1000000,"G1",B315&gt;1000000,"G2")</f>
        <v>P1</v>
      </c>
      <c r="D315" s="13">
        <f>VLOOKUP(C315,Controle!A$2:H$9,8,FALSE)</f>
        <v>38.874046212109647</v>
      </c>
      <c r="E315" s="13">
        <f>VLOOKUP(C315,Controle!A$16:H$23,8,FALSE)</f>
        <v>13.454529704853227</v>
      </c>
      <c r="F315" s="5">
        <f>VLOOKUP(A315,Educacional!A$2:P$405,16,FALSE)</f>
        <v>38.075480564512922</v>
      </c>
      <c r="G315" s="6">
        <f>VLOOKUP(A315,Demográfico!A$2:L$405,12,FALSE)</f>
        <v>18.829879450596739</v>
      </c>
      <c r="H315" s="7">
        <f>VLOOKUP(A315,Socioeconômico!A$2:M$405,13,FALSE)</f>
        <v>35.212243021020981</v>
      </c>
      <c r="I315" s="16">
        <f>(2*F315+G315+2*H315)/5/100</f>
        <v>0.33081065324332903</v>
      </c>
      <c r="J315" s="15">
        <f>VLOOKUP(A315,Demográfico!A$2:E$400,5,FALSE)/(VLOOKUP(C315,Controle!A$2:G$9,7,FALSE))*D315</f>
        <v>6.2031060300406192E-2</v>
      </c>
      <c r="K315" s="15">
        <f>VLOOKUP(A315,Demográfico!A$2:E$400,5,FALSE)/(VLOOKUP(C315,Controle!A$16:G$24,7,FALSE))*E315</f>
        <v>2.1469304709921633E-2</v>
      </c>
      <c r="L315" s="118">
        <f>((J315*(1+I315))+3*(I315+K315))/4</f>
        <v>0.28484786743487794</v>
      </c>
      <c r="M315" s="3">
        <v>0</v>
      </c>
      <c r="N315" s="88">
        <f>VLOOKUP(A315,Demográfico!A$2:E$400,5,FALSE)*I315</f>
        <v>175.3296462189644</v>
      </c>
      <c r="O315" s="96">
        <f>FLOOR(L315,1)</f>
        <v>0</v>
      </c>
      <c r="P315" s="96">
        <f>L315-O315</f>
        <v>0.28484786743487794</v>
      </c>
      <c r="Q315" s="87">
        <f>RANK(P315,P$2:P$400,0)</f>
        <v>370</v>
      </c>
      <c r="R315" s="3">
        <f>O315+IF(Q315&lt;Q$1,1,0)</f>
        <v>0</v>
      </c>
      <c r="T315" s="87">
        <f>VLOOKUP(A315,Demográfico!A$2:E$400,5,FALSE)*(I315)</f>
        <v>175.3296462189644</v>
      </c>
    </row>
    <row r="316" spans="1:20" ht="19.5" x14ac:dyDescent="0.25">
      <c r="A316" s="2" t="s">
        <v>321</v>
      </c>
      <c r="B316" s="37">
        <v>4557</v>
      </c>
      <c r="C316" s="4" t="str" cm="1">
        <f t="array" ref="C316">_xlfn.IFS(B316&lt;20000, "P1",B316&lt;40000, "P2",B316&lt;70000, "P3",B316&lt;100000, "P4",B316&lt;200000,"M1",B316&lt;500000,"M2",B316&lt;1000000,"G1",B316&gt;1000000,"G2")</f>
        <v>P1</v>
      </c>
      <c r="D316" s="13">
        <f>VLOOKUP(C316,Controle!A$2:H$9,8,FALSE)</f>
        <v>38.874046212109647</v>
      </c>
      <c r="E316" s="13">
        <f>VLOOKUP(C316,Controle!A$16:H$23,8,FALSE)</f>
        <v>13.454529704853227</v>
      </c>
      <c r="F316" s="5">
        <f>VLOOKUP(A316,Educacional!A$2:P$405,16,FALSE)</f>
        <v>76.679852372522802</v>
      </c>
      <c r="G316" s="6">
        <f>VLOOKUP(A316,Demográfico!A$2:L$405,12,FALSE)</f>
        <v>86.696207374668006</v>
      </c>
      <c r="H316" s="7">
        <f>VLOOKUP(A316,Socioeconômico!A$2:M$405,13,FALSE)</f>
        <v>51.9869622606113</v>
      </c>
      <c r="I316" s="16">
        <f>(2*F316+G316+2*H316)/5/100</f>
        <v>0.68805967328187234</v>
      </c>
      <c r="J316" s="15">
        <f>VLOOKUP(A316,Demográfico!A$2:E$400,5,FALSE)/(VLOOKUP(C316,Controle!A$2:G$9,7,FALSE))*D316</f>
        <v>8.0289259181280465E-2</v>
      </c>
      <c r="K316" s="15">
        <f>VLOOKUP(A316,Demográfico!A$2:E$400,5,FALSE)/(VLOOKUP(C316,Controle!A$16:G$24,7,FALSE))*E316</f>
        <v>2.7788571756615546E-2</v>
      </c>
      <c r="L316" s="118">
        <f>((J316*(1+I316))+3*(I316+K316))/4</f>
        <v>0.57076944893426484</v>
      </c>
      <c r="M316" s="3">
        <v>1</v>
      </c>
      <c r="N316" s="88">
        <f>VLOOKUP(A316,Demográfico!A$2:E$400,5,FALSE)*I316</f>
        <v>472.00893587136443</v>
      </c>
      <c r="O316" s="96">
        <f>FLOOR(L316,1)</f>
        <v>0</v>
      </c>
      <c r="P316" s="96">
        <f>L316-O316</f>
        <v>0.57076944893426484</v>
      </c>
      <c r="Q316" s="87">
        <f>RANK(P316,P$2:P$400,0)</f>
        <v>104</v>
      </c>
      <c r="R316" s="3">
        <f>O316+IF(Q316&lt;Q$1,1,0)</f>
        <v>1</v>
      </c>
      <c r="T316" s="87">
        <f>VLOOKUP(A316,Demográfico!A$2:E$400,5,FALSE)*(I316)</f>
        <v>472.00893587136443</v>
      </c>
    </row>
    <row r="317" spans="1:20" ht="19.5" x14ac:dyDescent="0.25">
      <c r="A317" s="2" t="s">
        <v>322</v>
      </c>
      <c r="B317" s="37">
        <v>4504</v>
      </c>
      <c r="C317" s="4" t="str" cm="1">
        <f t="array" ref="C317">_xlfn.IFS(B317&lt;20000, "P1",B317&lt;40000, "P2",B317&lt;70000, "P3",B317&lt;100000, "P4",B317&lt;200000,"M1",B317&lt;500000,"M2",B317&lt;1000000,"G1",B317&gt;1000000,"G2")</f>
        <v>P1</v>
      </c>
      <c r="D317" s="13">
        <f>VLOOKUP(C317,Controle!A$2:H$9,8,FALSE)</f>
        <v>38.874046212109647</v>
      </c>
      <c r="E317" s="13">
        <f>VLOOKUP(C317,Controle!A$16:H$23,8,FALSE)</f>
        <v>13.454529704853227</v>
      </c>
      <c r="F317" s="5">
        <f>VLOOKUP(A317,Educacional!A$2:P$405,16,FALSE)</f>
        <v>59.706735813981517</v>
      </c>
      <c r="G317" s="6">
        <f>VLOOKUP(A317,Demográfico!A$2:L$405,12,FALSE)</f>
        <v>36.75136744010323</v>
      </c>
      <c r="H317" s="7">
        <f>VLOOKUP(A317,Socioeconômico!A$2:M$405,13,FALSE)</f>
        <v>52.446173668613426</v>
      </c>
      <c r="I317" s="16">
        <f>(2*F317+G317+2*H317)/5/100</f>
        <v>0.52211437281058626</v>
      </c>
      <c r="J317" s="15">
        <f>VLOOKUP(A317,Demográfico!A$2:E$400,5,FALSE)/(VLOOKUP(C317,Controle!A$2:G$9,7,FALSE))*D317</f>
        <v>7.5958788933893615E-2</v>
      </c>
      <c r="K317" s="15">
        <f>VLOOKUP(A317,Demográfico!A$2:E$400,5,FALSE)/(VLOOKUP(C317,Controle!A$16:G$24,7,FALSE))*E317</f>
        <v>2.6289771239130452E-2</v>
      </c>
      <c r="L317" s="118">
        <f>((J317*(1+I317))+3*(I317+K317))/4</f>
        <v>0.44020759913167884</v>
      </c>
      <c r="M317" s="3">
        <v>1</v>
      </c>
      <c r="N317" s="88">
        <f>VLOOKUP(A317,Demográfico!A$2:E$400,5,FALSE)*I317</f>
        <v>338.85222795407049</v>
      </c>
      <c r="O317" s="96">
        <f>FLOOR(L317,1)</f>
        <v>0</v>
      </c>
      <c r="P317" s="96">
        <f>L317-O317</f>
        <v>0.44020759913167884</v>
      </c>
      <c r="Q317" s="87">
        <f>RANK(P317,P$2:P$400,0)</f>
        <v>228</v>
      </c>
      <c r="R317" s="3">
        <f>O317+IF(Q317&lt;Q$1,1,0)</f>
        <v>0</v>
      </c>
      <c r="T317" s="87">
        <f>VLOOKUP(A317,Demográfico!A$2:E$400,5,FALSE)*(I317)</f>
        <v>338.85222795407049</v>
      </c>
    </row>
    <row r="318" spans="1:20" ht="19.5" x14ac:dyDescent="0.25">
      <c r="A318" s="2" t="s">
        <v>323</v>
      </c>
      <c r="B318" s="37">
        <v>4494</v>
      </c>
      <c r="C318" s="4" t="str" cm="1">
        <f t="array" ref="C318">_xlfn.IFS(B318&lt;20000, "P1",B318&lt;40000, "P2",B318&lt;70000, "P3",B318&lt;100000, "P4",B318&lt;200000,"M1",B318&lt;500000,"M2",B318&lt;1000000,"G1",B318&gt;1000000,"G2")</f>
        <v>P1</v>
      </c>
      <c r="D318" s="13">
        <f>VLOOKUP(C318,Controle!A$2:H$9,8,FALSE)</f>
        <v>38.874046212109647</v>
      </c>
      <c r="E318" s="13">
        <f>VLOOKUP(C318,Controle!A$16:H$23,8,FALSE)</f>
        <v>13.454529704853227</v>
      </c>
      <c r="F318" s="5">
        <f>VLOOKUP(A318,Educacional!A$2:P$405,16,FALSE)</f>
        <v>55.639977133228747</v>
      </c>
      <c r="G318" s="6">
        <f>VLOOKUP(A318,Demográfico!A$2:L$405,12,FALSE)</f>
        <v>76.287788094458747</v>
      </c>
      <c r="H318" s="7">
        <f>VLOOKUP(A318,Socioeconômico!A$2:M$405,13,FALSE)</f>
        <v>49.503435516947597</v>
      </c>
      <c r="I318" s="16">
        <f>(2*F318+G318+2*H318)/5/100</f>
        <v>0.57314922678962288</v>
      </c>
      <c r="J318" s="15">
        <f>VLOOKUP(A318,Demográfico!A$2:E$400,5,FALSE)/(VLOOKUP(C318,Controle!A$2:G$9,7,FALSE))*D318</f>
        <v>6.5425212656466156E-2</v>
      </c>
      <c r="K318" s="15">
        <f>VLOOKUP(A318,Demográfico!A$2:E$400,5,FALSE)/(VLOOKUP(C318,Controle!A$16:G$24,7,FALSE))*E318</f>
        <v>2.2644040250653193E-2</v>
      </c>
      <c r="L318" s="118">
        <f>((J318*(1+I318))+3*(I318+K318))/4</f>
        <v>0.47257585595597357</v>
      </c>
      <c r="M318" s="3">
        <v>1</v>
      </c>
      <c r="N318" s="88">
        <f>VLOOKUP(A318,Demográfico!A$2:E$400,5,FALSE)*I318</f>
        <v>320.39041777539921</v>
      </c>
      <c r="O318" s="96">
        <f>FLOOR(L318,1)</f>
        <v>0</v>
      </c>
      <c r="P318" s="96">
        <f>L318-O318</f>
        <v>0.47257585595597357</v>
      </c>
      <c r="Q318" s="87">
        <f>RANK(P318,P$2:P$400,0)</f>
        <v>182</v>
      </c>
      <c r="R318" s="3">
        <f>O318+IF(Q318&lt;Q$1,1,0)</f>
        <v>1</v>
      </c>
      <c r="T318" s="87">
        <f>VLOOKUP(A318,Demográfico!A$2:E$400,5,FALSE)*(I318)</f>
        <v>320.39041777539921</v>
      </c>
    </row>
    <row r="319" spans="1:20" ht="19.5" x14ac:dyDescent="0.25">
      <c r="A319" s="2" t="s">
        <v>324</v>
      </c>
      <c r="B319" s="37">
        <v>4492</v>
      </c>
      <c r="C319" s="4" t="str" cm="1">
        <f t="array" ref="C319">_xlfn.IFS(B319&lt;20000, "P1",B319&lt;40000, "P2",B319&lt;70000, "P3",B319&lt;100000, "P4",B319&lt;200000,"M1",B319&lt;500000,"M2",B319&lt;1000000,"G1",B319&gt;1000000,"G2")</f>
        <v>P1</v>
      </c>
      <c r="D319" s="13">
        <f>VLOOKUP(C319,Controle!A$2:H$9,8,FALSE)</f>
        <v>38.874046212109647</v>
      </c>
      <c r="E319" s="13">
        <f>VLOOKUP(C319,Controle!A$16:H$23,8,FALSE)</f>
        <v>13.454529704853227</v>
      </c>
      <c r="F319" s="5">
        <f>VLOOKUP(A319,Educacional!A$2:P$405,16,FALSE)</f>
        <v>29.925763425423241</v>
      </c>
      <c r="G319" s="6">
        <f>VLOOKUP(A319,Demográfico!A$2:L$405,12,FALSE)</f>
        <v>55.919055540002816</v>
      </c>
      <c r="H319" s="7">
        <f>VLOOKUP(A319,Socioeconômico!A$2:M$405,13,FALSE)</f>
        <v>58.117723852725035</v>
      </c>
      <c r="I319" s="16">
        <f>(2*F319+G319+2*H319)/5/100</f>
        <v>0.46401206019259872</v>
      </c>
      <c r="J319" s="15">
        <f>VLOOKUP(A319,Demográfico!A$2:E$400,5,FALSE)/(VLOOKUP(C319,Controle!A$2:G$9,7,FALSE))*D319</f>
        <v>5.9222106626425533E-2</v>
      </c>
      <c r="K319" s="15">
        <f>VLOOKUP(A319,Demográfico!A$2:E$400,5,FALSE)/(VLOOKUP(C319,Controle!A$16:G$24,7,FALSE))*E319</f>
        <v>2.049710977966103E-2</v>
      </c>
      <c r="L319" s="118">
        <f>((J319*(1+I319))+3*(I319+K319))/4</f>
        <v>0.38505734706196959</v>
      </c>
      <c r="M319" s="3">
        <v>0</v>
      </c>
      <c r="N319" s="88">
        <f>VLOOKUP(A319,Demográfico!A$2:E$400,5,FALSE)*I319</f>
        <v>234.79010245745496</v>
      </c>
      <c r="O319" s="96">
        <f>FLOOR(L319,1)</f>
        <v>0</v>
      </c>
      <c r="P319" s="96">
        <f>L319-O319</f>
        <v>0.38505734706196959</v>
      </c>
      <c r="Q319" s="87">
        <f>RANK(P319,P$2:P$400,0)</f>
        <v>300</v>
      </c>
      <c r="R319" s="3">
        <f>O319+IF(Q319&lt;Q$1,1,0)</f>
        <v>0</v>
      </c>
      <c r="T319" s="87">
        <f>VLOOKUP(A319,Demográfico!A$2:E$400,5,FALSE)*(I319)</f>
        <v>234.79010245745496</v>
      </c>
    </row>
    <row r="320" spans="1:20" ht="19.5" x14ac:dyDescent="0.25">
      <c r="A320" s="2" t="s">
        <v>325</v>
      </c>
      <c r="B320" s="37">
        <v>4481</v>
      </c>
      <c r="C320" s="4" t="str" cm="1">
        <f t="array" ref="C320">_xlfn.IFS(B320&lt;20000, "P1",B320&lt;40000, "P2",B320&lt;70000, "P3",B320&lt;100000, "P4",B320&lt;200000,"M1",B320&lt;500000,"M2",B320&lt;1000000,"G1",B320&gt;1000000,"G2")</f>
        <v>P1</v>
      </c>
      <c r="D320" s="13">
        <f>VLOOKUP(C320,Controle!A$2:H$9,8,FALSE)</f>
        <v>38.874046212109647</v>
      </c>
      <c r="E320" s="13">
        <f>VLOOKUP(C320,Controle!A$16:H$23,8,FALSE)</f>
        <v>13.454529704853227</v>
      </c>
      <c r="F320" s="5">
        <f>VLOOKUP(A320,Educacional!A$2:P$405,16,FALSE)</f>
        <v>39.657962235967545</v>
      </c>
      <c r="G320" s="6">
        <f>VLOOKUP(A320,Demográfico!A$2:L$405,12,FALSE)</f>
        <v>39.557548400946189</v>
      </c>
      <c r="H320" s="7">
        <f>VLOOKUP(A320,Socioeconômico!A$2:M$405,13,FALSE)</f>
        <v>42.543263400128403</v>
      </c>
      <c r="I320" s="16">
        <f>(2*F320+G320+2*H320)/5/100</f>
        <v>0.40791999934627621</v>
      </c>
      <c r="J320" s="15">
        <f>VLOOKUP(A320,Demográfico!A$2:E$400,5,FALSE)/(VLOOKUP(C320,Controle!A$2:G$9,7,FALSE))*D320</f>
        <v>7.3969113414823984E-2</v>
      </c>
      <c r="K320" s="15">
        <f>VLOOKUP(A320,Demográfico!A$2:E$400,5,FALSE)/(VLOOKUP(C320,Controle!A$16:G$24,7,FALSE))*E320</f>
        <v>2.5601133163529192E-2</v>
      </c>
      <c r="L320" s="118">
        <f>((J320*(1+I320))+3*(I320+K320))/4</f>
        <v>0.35117649791001493</v>
      </c>
      <c r="M320" s="3">
        <v>0</v>
      </c>
      <c r="N320" s="88">
        <f>VLOOKUP(A320,Demográfico!A$2:E$400,5,FALSE)*I320</f>
        <v>257.80543958684655</v>
      </c>
      <c r="O320" s="96">
        <f>FLOOR(L320,1)</f>
        <v>0</v>
      </c>
      <c r="P320" s="96">
        <f>L320-O320</f>
        <v>0.35117649791001493</v>
      </c>
      <c r="Q320" s="87">
        <f>RANK(P320,P$2:P$400,0)</f>
        <v>329</v>
      </c>
      <c r="R320" s="3">
        <f>O320+IF(Q320&lt;Q$1,1,0)</f>
        <v>0</v>
      </c>
      <c r="T320" s="87">
        <f>VLOOKUP(A320,Demográfico!A$2:E$400,5,FALSE)*(I320)</f>
        <v>257.80543958684655</v>
      </c>
    </row>
    <row r="321" spans="1:20" ht="19.5" x14ac:dyDescent="0.25">
      <c r="A321" s="2" t="s">
        <v>326</v>
      </c>
      <c r="B321" s="37">
        <v>4480</v>
      </c>
      <c r="C321" s="4" t="str" cm="1">
        <f t="array" ref="C321">_xlfn.IFS(B321&lt;20000, "P1",B321&lt;40000, "P2",B321&lt;70000, "P3",B321&lt;100000, "P4",B321&lt;200000,"M1",B321&lt;500000,"M2",B321&lt;1000000,"G1",B321&gt;1000000,"G2")</f>
        <v>P1</v>
      </c>
      <c r="D321" s="13">
        <f>VLOOKUP(C321,Controle!A$2:H$9,8,FALSE)</f>
        <v>38.874046212109647</v>
      </c>
      <c r="E321" s="13">
        <f>VLOOKUP(C321,Controle!A$16:H$23,8,FALSE)</f>
        <v>13.454529704853227</v>
      </c>
      <c r="F321" s="5">
        <f>VLOOKUP(A321,Educacional!A$2:P$405,16,FALSE)</f>
        <v>28.643297435285682</v>
      </c>
      <c r="G321" s="6">
        <f>VLOOKUP(A321,Demográfico!A$2:L$405,12,FALSE)</f>
        <v>48.362965806743254</v>
      </c>
      <c r="H321" s="7">
        <f>VLOOKUP(A321,Socioeconômico!A$2:M$405,13,FALSE)</f>
        <v>9.7885678059378911</v>
      </c>
      <c r="I321" s="16">
        <f>(2*F321+G321+2*H321)/5/100</f>
        <v>0.25045339257838078</v>
      </c>
      <c r="J321" s="15">
        <f>VLOOKUP(A321,Demográfico!A$2:E$400,5,FALSE)/(VLOOKUP(C321,Controle!A$2:G$9,7,FALSE))*D321</f>
        <v>6.1094742409079306E-2</v>
      </c>
      <c r="K321" s="15">
        <f>VLOOKUP(A321,Demográfico!A$2:E$400,5,FALSE)/(VLOOKUP(C321,Controle!A$16:G$24,7,FALSE))*E321</f>
        <v>2.1145239733168099E-2</v>
      </c>
      <c r="L321" s="118">
        <f>((J321*(1+I321))+3*(I321+K321))/4</f>
        <v>0.22279800621219556</v>
      </c>
      <c r="M321" s="3">
        <v>0</v>
      </c>
      <c r="N321" s="88">
        <f>VLOOKUP(A321,Demográfico!A$2:E$400,5,FALSE)*I321</f>
        <v>130.73667092591478</v>
      </c>
      <c r="O321" s="96">
        <f>FLOOR(L321,1)</f>
        <v>0</v>
      </c>
      <c r="P321" s="96">
        <f>L321-O321</f>
        <v>0.22279800621219556</v>
      </c>
      <c r="Q321" s="87">
        <f>RANK(P321,P$2:P$400,0)</f>
        <v>389</v>
      </c>
      <c r="R321" s="3">
        <f>O321+IF(Q321&lt;Q$1,1,0)</f>
        <v>0</v>
      </c>
      <c r="T321" s="87">
        <f>VLOOKUP(A321,Demográfico!A$2:E$400,5,FALSE)*(I321)</f>
        <v>130.73667092591478</v>
      </c>
    </row>
    <row r="322" spans="1:20" ht="19.5" x14ac:dyDescent="0.25">
      <c r="A322" s="2" t="s">
        <v>327</v>
      </c>
      <c r="B322" s="37">
        <v>4473</v>
      </c>
      <c r="C322" s="4" t="str" cm="1">
        <f t="array" ref="C322">_xlfn.IFS(B322&lt;20000, "P1",B322&lt;40000, "P2",B322&lt;70000, "P3",B322&lt;100000, "P4",B322&lt;200000,"M1",B322&lt;500000,"M2",B322&lt;1000000,"G1",B322&gt;1000000,"G2")</f>
        <v>P1</v>
      </c>
      <c r="D322" s="13">
        <f>VLOOKUP(C322,Controle!A$2:H$9,8,FALSE)</f>
        <v>38.874046212109647</v>
      </c>
      <c r="E322" s="13">
        <f>VLOOKUP(C322,Controle!A$16:H$23,8,FALSE)</f>
        <v>13.454529704853227</v>
      </c>
      <c r="F322" s="5">
        <f>VLOOKUP(A322,Educacional!A$2:P$405,16,FALSE)</f>
        <v>64.181324287576786</v>
      </c>
      <c r="G322" s="6">
        <f>VLOOKUP(A322,Demográfico!A$2:L$405,12,FALSE)</f>
        <v>42.936332347912817</v>
      </c>
      <c r="H322" s="7">
        <f>VLOOKUP(A322,Socioeconômico!A$2:M$405,13,FALSE)</f>
        <v>46.5180900112953</v>
      </c>
      <c r="I322" s="16">
        <f>(2*F322+G322+2*H322)/5/100</f>
        <v>0.52867032189131391</v>
      </c>
      <c r="J322" s="15">
        <f>VLOOKUP(A322,Demográfico!A$2:E$400,5,FALSE)/(VLOOKUP(C322,Controle!A$2:G$9,7,FALSE))*D322</f>
        <v>6.1211782145495157E-2</v>
      </c>
      <c r="K322" s="15">
        <f>VLOOKUP(A322,Demográfico!A$2:E$400,5,FALSE)/(VLOOKUP(C322,Controle!A$16:G$24,7,FALSE))*E322</f>
        <v>2.1185747855262289E-2</v>
      </c>
      <c r="L322" s="118">
        <f>((J322*(1+I322))+3*(I322+K322))/4</f>
        <v>0.43578521098890594</v>
      </c>
      <c r="M322" s="3">
        <v>1</v>
      </c>
      <c r="N322" s="88">
        <f>VLOOKUP(A322,Demográfico!A$2:E$400,5,FALSE)*I322</f>
        <v>276.49457834915717</v>
      </c>
      <c r="O322" s="96">
        <f>FLOOR(L322,1)</f>
        <v>0</v>
      </c>
      <c r="P322" s="96">
        <f>L322-O322</f>
        <v>0.43578521098890594</v>
      </c>
      <c r="Q322" s="87">
        <f>RANK(P322,P$2:P$400,0)</f>
        <v>235</v>
      </c>
      <c r="R322" s="3">
        <f>O322+IF(Q322&lt;Q$1,1,0)</f>
        <v>0</v>
      </c>
      <c r="T322" s="87">
        <f>VLOOKUP(A322,Demográfico!A$2:E$400,5,FALSE)*(I322)</f>
        <v>276.49457834915717</v>
      </c>
    </row>
    <row r="323" spans="1:20" ht="19.5" x14ac:dyDescent="0.25">
      <c r="A323" s="2" t="s">
        <v>328</v>
      </c>
      <c r="B323" s="37">
        <v>4448</v>
      </c>
      <c r="C323" s="4" t="str" cm="1">
        <f t="array" ref="C323">_xlfn.IFS(B323&lt;20000, "P1",B323&lt;40000, "P2",B323&lt;70000, "P3",B323&lt;100000, "P4",B323&lt;200000,"M1",B323&lt;500000,"M2",B323&lt;1000000,"G1",B323&gt;1000000,"G2")</f>
        <v>P1</v>
      </c>
      <c r="D323" s="13">
        <f>VLOOKUP(C323,Controle!A$2:H$9,8,FALSE)</f>
        <v>38.874046212109647</v>
      </c>
      <c r="E323" s="13">
        <f>VLOOKUP(C323,Controle!A$16:H$23,8,FALSE)</f>
        <v>13.454529704853227</v>
      </c>
      <c r="F323" s="5">
        <f>VLOOKUP(A323,Educacional!A$2:P$405,16,FALSE)</f>
        <v>28.066694470198648</v>
      </c>
      <c r="G323" s="6">
        <f>VLOOKUP(A323,Demográfico!A$2:L$405,12,FALSE)</f>
        <v>25.937990486133305</v>
      </c>
      <c r="H323" s="7">
        <f>VLOOKUP(A323,Socioeconômico!A$2:M$405,13,FALSE)</f>
        <v>30.566692494086894</v>
      </c>
      <c r="I323" s="16">
        <f>(2*F323+G323+2*H323)/5/100</f>
        <v>0.28640952882940879</v>
      </c>
      <c r="J323" s="15">
        <f>VLOOKUP(A323,Demográfico!A$2:E$400,5,FALSE)/(VLOOKUP(C323,Controle!A$2:G$9,7,FALSE))*D323</f>
        <v>6.5308172920050284E-2</v>
      </c>
      <c r="K323" s="15">
        <f>VLOOKUP(A323,Demográfico!A$2:E$400,5,FALSE)/(VLOOKUP(C323,Controle!A$16:G$24,7,FALSE))*E323</f>
        <v>2.2603532128559003E-2</v>
      </c>
      <c r="L323" s="118">
        <f>((J323*(1+I323))+3*(I323+K323))/4</f>
        <v>0.25276305970717367</v>
      </c>
      <c r="M323" s="3">
        <v>0</v>
      </c>
      <c r="N323" s="88">
        <f>VLOOKUP(A323,Demográfico!A$2:E$400,5,FALSE)*I323</f>
        <v>159.81651708681011</v>
      </c>
      <c r="O323" s="96">
        <f>FLOOR(L323,1)</f>
        <v>0</v>
      </c>
      <c r="P323" s="96">
        <f>L323-O323</f>
        <v>0.25276305970717367</v>
      </c>
      <c r="Q323" s="87">
        <f>RANK(P323,P$2:P$400,0)</f>
        <v>382</v>
      </c>
      <c r="R323" s="3">
        <f>O323+IF(Q323&lt;Q$1,1,0)</f>
        <v>0</v>
      </c>
      <c r="T323" s="87">
        <f>VLOOKUP(A323,Demográfico!A$2:E$400,5,FALSE)*(I323)</f>
        <v>159.81651708681011</v>
      </c>
    </row>
    <row r="324" spans="1:20" ht="19.5" x14ac:dyDescent="0.25">
      <c r="A324" s="2" t="s">
        <v>329</v>
      </c>
      <c r="B324" s="37">
        <v>4364</v>
      </c>
      <c r="C324" s="4" t="str" cm="1">
        <f t="array" ref="C324">_xlfn.IFS(B324&lt;20000, "P1",B324&lt;40000, "P2",B324&lt;70000, "P3",B324&lt;100000, "P4",B324&lt;200000,"M1",B324&lt;500000,"M2",B324&lt;1000000,"G1",B324&gt;1000000,"G2")</f>
        <v>P1</v>
      </c>
      <c r="D324" s="13">
        <f>VLOOKUP(C324,Controle!A$2:H$9,8,FALSE)</f>
        <v>38.874046212109647</v>
      </c>
      <c r="E324" s="13">
        <f>VLOOKUP(C324,Controle!A$16:H$23,8,FALSE)</f>
        <v>13.454529704853227</v>
      </c>
      <c r="F324" s="5">
        <f>VLOOKUP(A324,Educacional!A$2:P$405,16,FALSE)</f>
        <v>47.260216883001924</v>
      </c>
      <c r="G324" s="6">
        <f>VLOOKUP(A324,Demográfico!A$2:L$405,12,FALSE)</f>
        <v>59.551713538671876</v>
      </c>
      <c r="H324" s="7">
        <f>VLOOKUP(A324,Socioeconômico!A$2:M$405,13,FALSE)</f>
        <v>51.102784935539923</v>
      </c>
      <c r="I324" s="16">
        <f>(2*F324+G324+2*H324)/5/100</f>
        <v>0.51255543435151119</v>
      </c>
      <c r="J324" s="15">
        <f>VLOOKUP(A324,Demográfico!A$2:E$400,5,FALSE)/(VLOOKUP(C324,Controle!A$2:G$9,7,FALSE))*D324</f>
        <v>6.671264975704061E-2</v>
      </c>
      <c r="K324" s="15">
        <f>VLOOKUP(A324,Demográfico!A$2:E$400,5,FALSE)/(VLOOKUP(C324,Controle!A$16:G$24,7,FALSE))*E324</f>
        <v>2.3089629593689303E-2</v>
      </c>
      <c r="L324" s="118">
        <f>((J324*(1+I324))+3*(I324+K324))/4</f>
        <v>0.42696044319140058</v>
      </c>
      <c r="M324" s="3">
        <v>0</v>
      </c>
      <c r="N324" s="88">
        <f>VLOOKUP(A324,Demográfico!A$2:E$400,5,FALSE)*I324</f>
        <v>292.15659758036139</v>
      </c>
      <c r="O324" s="96">
        <f>FLOOR(L324,1)</f>
        <v>0</v>
      </c>
      <c r="P324" s="96">
        <f>L324-O324</f>
        <v>0.42696044319140058</v>
      </c>
      <c r="Q324" s="87">
        <f>RANK(P324,P$2:P$400,0)</f>
        <v>245</v>
      </c>
      <c r="R324" s="3">
        <f>O324+IF(Q324&lt;Q$1,1,0)</f>
        <v>0</v>
      </c>
      <c r="T324" s="87">
        <f>VLOOKUP(A324,Demográfico!A$2:E$400,5,FALSE)*(I324)</f>
        <v>292.15659758036139</v>
      </c>
    </row>
    <row r="325" spans="1:20" ht="19.5" x14ac:dyDescent="0.25">
      <c r="A325" s="2" t="s">
        <v>330</v>
      </c>
      <c r="B325" s="37">
        <v>4336</v>
      </c>
      <c r="C325" s="4" t="str" cm="1">
        <f t="array" ref="C325">_xlfn.IFS(B325&lt;20000, "P1",B325&lt;40000, "P2",B325&lt;70000, "P3",B325&lt;100000, "P4",B325&lt;200000,"M1",B325&lt;500000,"M2",B325&lt;1000000,"G1",B325&gt;1000000,"G2")</f>
        <v>P1</v>
      </c>
      <c r="D325" s="13">
        <f>VLOOKUP(C325,Controle!A$2:H$9,8,FALSE)</f>
        <v>38.874046212109647</v>
      </c>
      <c r="E325" s="13">
        <f>VLOOKUP(C325,Controle!A$16:H$23,8,FALSE)</f>
        <v>13.454529704853227</v>
      </c>
      <c r="F325" s="5">
        <f>VLOOKUP(A325,Educacional!A$2:P$405,16,FALSE)</f>
        <v>57.064146720001261</v>
      </c>
      <c r="G325" s="6">
        <f>VLOOKUP(A325,Demográfico!A$2:L$405,12,FALSE)</f>
        <v>62.198515389452268</v>
      </c>
      <c r="H325" s="7">
        <f>VLOOKUP(A325,Socioeconômico!A$2:M$405,13,FALSE)</f>
        <v>40.140610862793366</v>
      </c>
      <c r="I325" s="16">
        <f>(2*F325+G325+2*H325)/5/100</f>
        <v>0.51321606111008311</v>
      </c>
      <c r="J325" s="15">
        <f>VLOOKUP(A325,Demográfico!A$2:E$400,5,FALSE)/(VLOOKUP(C325,Controle!A$2:G$9,7,FALSE))*D325</f>
        <v>6.1211782145495157E-2</v>
      </c>
      <c r="K325" s="15">
        <f>VLOOKUP(A325,Demográfico!A$2:E$400,5,FALSE)/(VLOOKUP(C325,Controle!A$16:G$24,7,FALSE))*E325</f>
        <v>2.1185747855262289E-2</v>
      </c>
      <c r="L325" s="118">
        <f>((J325*(1+I325))+3*(I325+K325))/4</f>
        <v>0.42395801969194274</v>
      </c>
      <c r="M325" s="3">
        <v>1</v>
      </c>
      <c r="N325" s="88">
        <f>VLOOKUP(A325,Demográfico!A$2:E$400,5,FALSE)*I325</f>
        <v>268.41199996057344</v>
      </c>
      <c r="O325" s="96">
        <f>FLOOR(L325,1)</f>
        <v>0</v>
      </c>
      <c r="P325" s="96">
        <f>L325-O325</f>
        <v>0.42395801969194274</v>
      </c>
      <c r="Q325" s="87">
        <f>RANK(P325,P$2:P$400,0)</f>
        <v>249</v>
      </c>
      <c r="R325" s="3">
        <f>O325+IF(Q325&lt;Q$1,1,0)</f>
        <v>0</v>
      </c>
      <c r="T325" s="87">
        <f>VLOOKUP(A325,Demográfico!A$2:E$400,5,FALSE)*(I325)</f>
        <v>268.41199996057344</v>
      </c>
    </row>
    <row r="326" spans="1:20" ht="19.5" x14ac:dyDescent="0.25">
      <c r="A326" s="2" t="s">
        <v>331</v>
      </c>
      <c r="B326" s="37">
        <v>4221</v>
      </c>
      <c r="C326" s="4" t="str" cm="1">
        <f t="array" ref="C326">_xlfn.IFS(B326&lt;20000, "P1",B326&lt;40000, "P2",B326&lt;70000, "P3",B326&lt;100000, "P4",B326&lt;200000,"M1",B326&lt;500000,"M2",B326&lt;1000000,"G1",B326&gt;1000000,"G2")</f>
        <v>P1</v>
      </c>
      <c r="D326" s="13">
        <f>VLOOKUP(C326,Controle!A$2:H$9,8,FALSE)</f>
        <v>38.874046212109647</v>
      </c>
      <c r="E326" s="13">
        <f>VLOOKUP(C326,Controle!A$16:H$23,8,FALSE)</f>
        <v>13.454529704853227</v>
      </c>
      <c r="F326" s="5">
        <f>VLOOKUP(A326,Educacional!A$2:P$405,16,FALSE)</f>
        <v>56.84480493171796</v>
      </c>
      <c r="G326" s="6">
        <f>VLOOKUP(A326,Demográfico!A$2:L$405,12,FALSE)</f>
        <v>58.379333222485322</v>
      </c>
      <c r="H326" s="7">
        <f>VLOOKUP(A326,Socioeconômico!A$2:M$405,13,FALSE)</f>
        <v>38.773857817814999</v>
      </c>
      <c r="I326" s="16">
        <f>(2*F326+G326+2*H326)/5/100</f>
        <v>0.49923331744310245</v>
      </c>
      <c r="J326" s="15">
        <f>VLOOKUP(A326,Demográfico!A$2:E$400,5,FALSE)/(VLOOKUP(C326,Controle!A$2:G$9,7,FALSE))*D326</f>
        <v>6.9053444485357829E-2</v>
      </c>
      <c r="K326" s="15">
        <f>VLOOKUP(A326,Demográfico!A$2:E$400,5,FALSE)/(VLOOKUP(C326,Controle!A$16:G$24,7,FALSE))*E326</f>
        <v>2.3899792035573138E-2</v>
      </c>
      <c r="L326" s="118">
        <f>((J326*(1+I326))+3*(I326+K326))/4</f>
        <v>0.41823163827317078</v>
      </c>
      <c r="M326" s="3">
        <v>1</v>
      </c>
      <c r="N326" s="88">
        <f>VLOOKUP(A326,Demográfico!A$2:E$400,5,FALSE)*I326</f>
        <v>294.54765729143043</v>
      </c>
      <c r="O326" s="96">
        <f>FLOOR(L326,1)</f>
        <v>0</v>
      </c>
      <c r="P326" s="96">
        <f>L326-O326</f>
        <v>0.41823163827317078</v>
      </c>
      <c r="Q326" s="87">
        <f>RANK(P326,P$2:P$400,0)</f>
        <v>258</v>
      </c>
      <c r="R326" s="3">
        <f>O326+IF(Q326&lt;Q$1,1,0)</f>
        <v>0</v>
      </c>
      <c r="T326" s="87">
        <f>VLOOKUP(A326,Demográfico!A$2:E$400,5,FALSE)*(I326)</f>
        <v>294.54765729143043</v>
      </c>
    </row>
    <row r="327" spans="1:20" ht="19.5" x14ac:dyDescent="0.25">
      <c r="A327" s="2" t="s">
        <v>332</v>
      </c>
      <c r="B327" s="37">
        <v>4201</v>
      </c>
      <c r="C327" s="4" t="str" cm="1">
        <f t="array" ref="C327">_xlfn.IFS(B327&lt;20000, "P1",B327&lt;40000, "P2",B327&lt;70000, "P3",B327&lt;100000, "P4",B327&lt;200000,"M1",B327&lt;500000,"M2",B327&lt;1000000,"G1",B327&gt;1000000,"G2")</f>
        <v>P1</v>
      </c>
      <c r="D327" s="13">
        <f>VLOOKUP(C327,Controle!A$2:H$9,8,FALSE)</f>
        <v>38.874046212109647</v>
      </c>
      <c r="E327" s="13">
        <f>VLOOKUP(C327,Controle!A$16:H$23,8,FALSE)</f>
        <v>13.454529704853227</v>
      </c>
      <c r="F327" s="5">
        <f>VLOOKUP(A327,Educacional!A$2:P$405,16,FALSE)</f>
        <v>47.437692312760902</v>
      </c>
      <c r="G327" s="6">
        <f>VLOOKUP(A327,Demográfico!A$2:L$405,12,FALSE)</f>
        <v>25.853485494291164</v>
      </c>
      <c r="H327" s="7">
        <f>VLOOKUP(A327,Socioeconômico!A$2:M$405,13,FALSE)</f>
        <v>35.352974282688123</v>
      </c>
      <c r="I327" s="16">
        <f>(2*F327+G327+2*H327)/5/100</f>
        <v>0.38286963737037844</v>
      </c>
      <c r="J327" s="15">
        <f>VLOOKUP(A327,Demográfico!A$2:E$400,5,FALSE)/(VLOOKUP(C327,Controle!A$2:G$9,7,FALSE))*D327</f>
        <v>6.0977702672663441E-2</v>
      </c>
      <c r="K327" s="15">
        <f>VLOOKUP(A327,Demográfico!A$2:E$400,5,FALSE)/(VLOOKUP(C327,Controle!A$16:G$24,7,FALSE))*E327</f>
        <v>2.1104731611073908E-2</v>
      </c>
      <c r="L327" s="118">
        <f>((J327*(1+I327))+3*(I327+K327))/4</f>
        <v>0.32406183013174544</v>
      </c>
      <c r="M327" s="3">
        <v>0</v>
      </c>
      <c r="N327" s="88">
        <f>VLOOKUP(A327,Demográfico!A$2:E$400,5,FALSE)*I327</f>
        <v>199.47508106996716</v>
      </c>
      <c r="O327" s="96">
        <f>FLOOR(L327,1)</f>
        <v>0</v>
      </c>
      <c r="P327" s="96">
        <f>L327-O327</f>
        <v>0.32406183013174544</v>
      </c>
      <c r="Q327" s="87">
        <f>RANK(P327,P$2:P$400,0)</f>
        <v>346</v>
      </c>
      <c r="R327" s="3">
        <f>O327+IF(Q327&lt;Q$1,1,0)</f>
        <v>0</v>
      </c>
      <c r="T327" s="87">
        <f>VLOOKUP(A327,Demográfico!A$2:E$400,5,FALSE)*(I327)</f>
        <v>199.47508106996716</v>
      </c>
    </row>
    <row r="328" spans="1:20" ht="19.5" x14ac:dyDescent="0.25">
      <c r="A328" s="2" t="s">
        <v>333</v>
      </c>
      <c r="B328" s="37">
        <v>4184</v>
      </c>
      <c r="C328" s="4" t="str" cm="1">
        <f t="array" ref="C328">_xlfn.IFS(B328&lt;20000, "P1",B328&lt;40000, "P2",B328&lt;70000, "P3",B328&lt;100000, "P4",B328&lt;200000,"M1",B328&lt;500000,"M2",B328&lt;1000000,"G1",B328&gt;1000000,"G2")</f>
        <v>P1</v>
      </c>
      <c r="D328" s="13">
        <f>VLOOKUP(C328,Controle!A$2:H$9,8,FALSE)</f>
        <v>38.874046212109647</v>
      </c>
      <c r="E328" s="13">
        <f>VLOOKUP(C328,Controle!A$16:H$23,8,FALSE)</f>
        <v>13.454529704853227</v>
      </c>
      <c r="F328" s="5">
        <f>VLOOKUP(A328,Educacional!A$2:P$405,16,FALSE)</f>
        <v>33.836151158434866</v>
      </c>
      <c r="G328" s="6">
        <f>VLOOKUP(A328,Demográfico!A$2:L$405,12,FALSE)</f>
        <v>80.824829574705234</v>
      </c>
      <c r="H328" s="7">
        <f>VLOOKUP(A328,Socioeconômico!A$2:M$405,13,FALSE)</f>
        <v>61.107448310056547</v>
      </c>
      <c r="I328" s="16">
        <f>(2*F328+G328+2*H328)/5/100</f>
        <v>0.54142405702337615</v>
      </c>
      <c r="J328" s="15">
        <f>VLOOKUP(A328,Demográfico!A$2:E$400,5,FALSE)/(VLOOKUP(C328,Controle!A$2:G$9,7,FALSE))*D328</f>
        <v>6.3084417928148936E-2</v>
      </c>
      <c r="K328" s="15">
        <f>VLOOKUP(A328,Demográfico!A$2:E$400,5,FALSE)/(VLOOKUP(C328,Controle!A$16:G$24,7,FALSE))*E328</f>
        <v>2.1833877808769359E-2</v>
      </c>
      <c r="L328" s="118">
        <f>((J328*(1+I328))+3*(I328+K328))/4</f>
        <v>0.44675341097855048</v>
      </c>
      <c r="M328" s="3">
        <v>0</v>
      </c>
      <c r="N328" s="88">
        <f>VLOOKUP(A328,Demográfico!A$2:E$400,5,FALSE)*I328</f>
        <v>291.82756673559976</v>
      </c>
      <c r="O328" s="96">
        <f>FLOOR(L328,1)</f>
        <v>0</v>
      </c>
      <c r="P328" s="96">
        <f>L328-O328</f>
        <v>0.44675341097855048</v>
      </c>
      <c r="Q328" s="87">
        <f>RANK(P328,P$2:P$400,0)</f>
        <v>215</v>
      </c>
      <c r="R328" s="3">
        <f>O328+IF(Q328&lt;Q$1,1,0)</f>
        <v>0</v>
      </c>
      <c r="T328" s="87">
        <f>VLOOKUP(A328,Demográfico!A$2:E$400,5,FALSE)*(I328)</f>
        <v>291.82756673559976</v>
      </c>
    </row>
    <row r="329" spans="1:20" ht="19.5" x14ac:dyDescent="0.25">
      <c r="A329" s="2" t="s">
        <v>334</v>
      </c>
      <c r="B329" s="37">
        <v>4133</v>
      </c>
      <c r="C329" s="4" t="str" cm="1">
        <f t="array" ref="C329">_xlfn.IFS(B329&lt;20000, "P1",B329&lt;40000, "P2",B329&lt;70000, "P3",B329&lt;100000, "P4",B329&lt;200000,"M1",B329&lt;500000,"M2",B329&lt;1000000,"G1",B329&gt;1000000,"G2")</f>
        <v>P1</v>
      </c>
      <c r="D329" s="13">
        <f>VLOOKUP(C329,Controle!A$2:H$9,8,FALSE)</f>
        <v>38.874046212109647</v>
      </c>
      <c r="E329" s="13">
        <f>VLOOKUP(C329,Controle!A$16:H$23,8,FALSE)</f>
        <v>13.454529704853227</v>
      </c>
      <c r="F329" s="5">
        <f>VLOOKUP(A329,Educacional!A$2:P$405,16,FALSE)</f>
        <v>42.337230322032461</v>
      </c>
      <c r="G329" s="6">
        <f>VLOOKUP(A329,Demográfico!A$2:L$405,12,FALSE)</f>
        <v>49.55025369591138</v>
      </c>
      <c r="H329" s="7">
        <f>VLOOKUP(A329,Socioeconômico!A$2:M$405,13,FALSE)</f>
        <v>35.609450496002196</v>
      </c>
      <c r="I329" s="16">
        <f>(2*F329+G329+2*H329)/5/100</f>
        <v>0.41088723066396132</v>
      </c>
      <c r="J329" s="15">
        <f>VLOOKUP(A329,Demográfico!A$2:E$400,5,FALSE)/(VLOOKUP(C329,Controle!A$2:G$9,7,FALSE))*D329</f>
        <v>6.5659292129297872E-2</v>
      </c>
      <c r="K329" s="15">
        <f>VLOOKUP(A329,Demográfico!A$2:E$400,5,FALSE)/(VLOOKUP(C329,Controle!A$16:G$24,7,FALSE))*E329</f>
        <v>2.2725056494841574E-2</v>
      </c>
      <c r="L329" s="118">
        <f>((J329*(1+I329))+3*(I329+K329))/4</f>
        <v>0.34836867957901746</v>
      </c>
      <c r="M329" s="3">
        <v>0</v>
      </c>
      <c r="N329" s="88">
        <f>VLOOKUP(A329,Demográfico!A$2:E$400,5,FALSE)*I329</f>
        <v>230.50773640248229</v>
      </c>
      <c r="O329" s="96">
        <f>FLOOR(L329,1)</f>
        <v>0</v>
      </c>
      <c r="P329" s="96">
        <f>L329-O329</f>
        <v>0.34836867957901746</v>
      </c>
      <c r="Q329" s="87">
        <f>RANK(P329,P$2:P$400,0)</f>
        <v>332</v>
      </c>
      <c r="R329" s="3">
        <f>O329+IF(Q329&lt;Q$1,1,0)</f>
        <v>0</v>
      </c>
      <c r="T329" s="87">
        <f>VLOOKUP(A329,Demográfico!A$2:E$400,5,FALSE)*(I329)</f>
        <v>230.50773640248229</v>
      </c>
    </row>
    <row r="330" spans="1:20" ht="19.5" x14ac:dyDescent="0.25">
      <c r="A330" s="2" t="s">
        <v>335</v>
      </c>
      <c r="B330" s="37">
        <v>4098</v>
      </c>
      <c r="C330" s="4" t="str" cm="1">
        <f t="array" ref="C330">_xlfn.IFS(B330&lt;20000, "P1",B330&lt;40000, "P2",B330&lt;70000, "P3",B330&lt;100000, "P4",B330&lt;200000,"M1",B330&lt;500000,"M2",B330&lt;1000000,"G1",B330&gt;1000000,"G2")</f>
        <v>P1</v>
      </c>
      <c r="D330" s="13">
        <f>VLOOKUP(C330,Controle!A$2:H$9,8,FALSE)</f>
        <v>38.874046212109647</v>
      </c>
      <c r="E330" s="13">
        <f>VLOOKUP(C330,Controle!A$16:H$23,8,FALSE)</f>
        <v>13.454529704853227</v>
      </c>
      <c r="F330" s="5">
        <f>VLOOKUP(A330,Educacional!A$2:P$405,16,FALSE)</f>
        <v>55.943030622359139</v>
      </c>
      <c r="G330" s="6">
        <f>VLOOKUP(A330,Demográfico!A$2:L$405,12,FALSE)</f>
        <v>40.83859582350749</v>
      </c>
      <c r="H330" s="7">
        <f>VLOOKUP(A330,Socioeconômico!A$2:M$405,13,FALSE)</f>
        <v>33.715399030908081</v>
      </c>
      <c r="I330" s="16">
        <f>(2*F330+G330+2*H330)/5/100</f>
        <v>0.4403109102600839</v>
      </c>
      <c r="J330" s="15">
        <f>VLOOKUP(A330,Demográfico!A$2:E$400,5,FALSE)/(VLOOKUP(C330,Controle!A$2:G$9,7,FALSE))*D330</f>
        <v>6.6244490811377177E-2</v>
      </c>
      <c r="K330" s="15">
        <f>VLOOKUP(A330,Demográfico!A$2:E$400,5,FALSE)/(VLOOKUP(C330,Controle!A$16:G$24,7,FALSE))*E330</f>
        <v>2.2927597105312534E-2</v>
      </c>
      <c r="L330" s="118">
        <f>((J330*(1+I330))+3*(I330+K330))/4</f>
        <v>0.37128204623910999</v>
      </c>
      <c r="M330" s="3">
        <v>0</v>
      </c>
      <c r="N330" s="88">
        <f>VLOOKUP(A330,Demográfico!A$2:E$400,5,FALSE)*I330</f>
        <v>249.21597520720749</v>
      </c>
      <c r="O330" s="96">
        <f>FLOOR(L330,1)</f>
        <v>0</v>
      </c>
      <c r="P330" s="96">
        <f>L330-O330</f>
        <v>0.37128204623910999</v>
      </c>
      <c r="Q330" s="87">
        <f>RANK(P330,P$2:P$400,0)</f>
        <v>311</v>
      </c>
      <c r="R330" s="3">
        <f>O330+IF(Q330&lt;Q$1,1,0)</f>
        <v>0</v>
      </c>
      <c r="T330" s="87">
        <f>VLOOKUP(A330,Demográfico!A$2:E$400,5,FALSE)*(I330)</f>
        <v>249.21597520720749</v>
      </c>
    </row>
    <row r="331" spans="1:20" ht="19.5" x14ac:dyDescent="0.25">
      <c r="A331" s="2" t="s">
        <v>336</v>
      </c>
      <c r="B331" s="37">
        <v>4075</v>
      </c>
      <c r="C331" s="4" t="str" cm="1">
        <f t="array" ref="C331">_xlfn.IFS(B331&lt;20000, "P1",B331&lt;40000, "P2",B331&lt;70000, "P3",B331&lt;100000, "P4",B331&lt;200000,"M1",B331&lt;500000,"M2",B331&lt;1000000,"G1",B331&gt;1000000,"G2")</f>
        <v>P1</v>
      </c>
      <c r="D331" s="13">
        <f>VLOOKUP(C331,Controle!A$2:H$9,8,FALSE)</f>
        <v>38.874046212109647</v>
      </c>
      <c r="E331" s="13">
        <f>VLOOKUP(C331,Controle!A$16:H$23,8,FALSE)</f>
        <v>13.454529704853227</v>
      </c>
      <c r="F331" s="5">
        <f>VLOOKUP(A331,Educacional!A$2:P$405,16,FALSE)</f>
        <v>25.615682598501664</v>
      </c>
      <c r="G331" s="6">
        <f>VLOOKUP(A331,Demográfico!A$2:L$405,12,FALSE)</f>
        <v>34.318124945900216</v>
      </c>
      <c r="H331" s="7">
        <f>VLOOKUP(A331,Socioeconômico!A$2:M$405,13,FALSE)</f>
        <v>36.530354429566771</v>
      </c>
      <c r="I331" s="16">
        <f>(2*F331+G331+2*H331)/5/100</f>
        <v>0.3172203980040742</v>
      </c>
      <c r="J331" s="15">
        <f>VLOOKUP(A331,Demográfico!A$2:E$400,5,FALSE)/(VLOOKUP(C331,Controle!A$2:G$9,7,FALSE))*D331</f>
        <v>5.9105066890009668E-2</v>
      </c>
      <c r="K331" s="15">
        <f>VLOOKUP(A331,Demográfico!A$2:E$400,5,FALSE)/(VLOOKUP(C331,Controle!A$16:G$24,7,FALSE))*E331</f>
        <v>2.0456601657566836E-2</v>
      </c>
      <c r="L331" s="118">
        <f>((J331*(1+I331))+3*(I331+K331))/4</f>
        <v>0.27272134967945977</v>
      </c>
      <c r="M331" s="3">
        <v>0</v>
      </c>
      <c r="N331" s="88">
        <f>VLOOKUP(A331,Demográfico!A$2:E$400,5,FALSE)*I331</f>
        <v>160.19630099205747</v>
      </c>
      <c r="O331" s="96">
        <f>FLOOR(L331,1)</f>
        <v>0</v>
      </c>
      <c r="P331" s="96">
        <f>L331-O331</f>
        <v>0.27272134967945977</v>
      </c>
      <c r="Q331" s="87">
        <f>RANK(P331,P$2:P$400,0)</f>
        <v>375</v>
      </c>
      <c r="R331" s="3">
        <f>O331+IF(Q331&lt;Q$1,1,0)</f>
        <v>0</v>
      </c>
      <c r="T331" s="87">
        <f>VLOOKUP(A331,Demográfico!A$2:E$400,5,FALSE)*(I331)</f>
        <v>160.19630099205747</v>
      </c>
    </row>
    <row r="332" spans="1:20" ht="19.5" x14ac:dyDescent="0.25">
      <c r="A332" s="2" t="s">
        <v>337</v>
      </c>
      <c r="B332" s="37">
        <v>4070</v>
      </c>
      <c r="C332" s="4" t="str" cm="1">
        <f t="array" ref="C332">_xlfn.IFS(B332&lt;20000, "P1",B332&lt;40000, "P2",B332&lt;70000, "P3",B332&lt;100000, "P4",B332&lt;200000,"M1",B332&lt;500000,"M2",B332&lt;1000000,"G1",B332&gt;1000000,"G2")</f>
        <v>P1</v>
      </c>
      <c r="D332" s="13">
        <f>VLOOKUP(C332,Controle!A$2:H$9,8,FALSE)</f>
        <v>38.874046212109647</v>
      </c>
      <c r="E332" s="13">
        <f>VLOOKUP(C332,Controle!A$16:H$23,8,FALSE)</f>
        <v>13.454529704853227</v>
      </c>
      <c r="F332" s="5">
        <f>VLOOKUP(A332,Educacional!A$2:P$405,16,FALSE)</f>
        <v>43.473673926104624</v>
      </c>
      <c r="G332" s="6">
        <f>VLOOKUP(A332,Demográfico!A$2:L$405,12,FALSE)</f>
        <v>87.980710123254099</v>
      </c>
      <c r="H332" s="7">
        <f>VLOOKUP(A332,Socioeconômico!A$2:M$405,13,FALSE)</f>
        <v>57.346645848621399</v>
      </c>
      <c r="I332" s="16">
        <f>(2*F332+G332+2*H332)/5/100</f>
        <v>0.57924269934541217</v>
      </c>
      <c r="J332" s="15">
        <f>VLOOKUP(A332,Demográfico!A$2:E$400,5,FALSE)/(VLOOKUP(C332,Controle!A$2:G$9,7,FALSE))*D332</f>
        <v>6.0743623199831717E-2</v>
      </c>
      <c r="K332" s="15">
        <f>VLOOKUP(A332,Demográfico!A$2:E$400,5,FALSE)/(VLOOKUP(C332,Controle!A$16:G$24,7,FALSE))*E332</f>
        <v>2.102371536688552E-2</v>
      </c>
      <c r="L332" s="118">
        <f>((J332*(1+I332))+3*(I332+K332))/4</f>
        <v>0.47418204190175395</v>
      </c>
      <c r="M332" s="3">
        <v>1</v>
      </c>
      <c r="N332" s="88">
        <f>VLOOKUP(A332,Demográfico!A$2:E$400,5,FALSE)*I332</f>
        <v>300.62696096026889</v>
      </c>
      <c r="O332" s="96">
        <f>FLOOR(L332,1)</f>
        <v>0</v>
      </c>
      <c r="P332" s="96">
        <f>L332-O332</f>
        <v>0.47418204190175395</v>
      </c>
      <c r="Q332" s="87">
        <f>RANK(P332,P$2:P$400,0)</f>
        <v>181</v>
      </c>
      <c r="R332" s="3">
        <f>O332+IF(Q332&lt;Q$1,1,0)</f>
        <v>1</v>
      </c>
      <c r="T332" s="87">
        <f>VLOOKUP(A332,Demográfico!A$2:E$400,5,FALSE)*(I332)</f>
        <v>300.62696096026889</v>
      </c>
    </row>
    <row r="333" spans="1:20" ht="19.5" x14ac:dyDescent="0.25">
      <c r="A333" s="2" t="s">
        <v>338</v>
      </c>
      <c r="B333" s="37">
        <v>4031</v>
      </c>
      <c r="C333" s="4" t="str" cm="1">
        <f t="array" ref="C333">_xlfn.IFS(B333&lt;20000, "P1",B333&lt;40000, "P2",B333&lt;70000, "P3",B333&lt;100000, "P4",B333&lt;200000,"M1",B333&lt;500000,"M2",B333&lt;1000000,"G1",B333&gt;1000000,"G2")</f>
        <v>P1</v>
      </c>
      <c r="D333" s="13">
        <f>VLOOKUP(C333,Controle!A$2:H$9,8,FALSE)</f>
        <v>38.874046212109647</v>
      </c>
      <c r="E333" s="13">
        <f>VLOOKUP(C333,Controle!A$16:H$23,8,FALSE)</f>
        <v>13.454529704853227</v>
      </c>
      <c r="F333" s="5">
        <f>VLOOKUP(A333,Educacional!A$2:P$405,16,FALSE)</f>
        <v>64.177098045455637</v>
      </c>
      <c r="G333" s="6">
        <f>VLOOKUP(A333,Demográfico!A$2:L$405,12,FALSE)</f>
        <v>59.463586252654629</v>
      </c>
      <c r="H333" s="7">
        <f>VLOOKUP(A333,Socioeconômico!A$2:M$405,13,FALSE)</f>
        <v>47.528236187486826</v>
      </c>
      <c r="I333" s="16">
        <f>(2*F333+G333+2*H333)/5/100</f>
        <v>0.56574850943707911</v>
      </c>
      <c r="J333" s="15">
        <f>VLOOKUP(A333,Demográfico!A$2:E$400,5,FALSE)/(VLOOKUP(C333,Controle!A$2:G$9,7,FALSE))*D333</f>
        <v>6.0509543727000001E-2</v>
      </c>
      <c r="K333" s="15">
        <f>VLOOKUP(A333,Demográfico!A$2:E$400,5,FALSE)/(VLOOKUP(C333,Controle!A$16:G$24,7,FALSE))*E333</f>
        <v>2.0942699122697139E-2</v>
      </c>
      <c r="L333" s="118">
        <f>((J333*(1+I333))+3*(I333+K333))/4</f>
        <v>0.46370408839414912</v>
      </c>
      <c r="M333" s="3">
        <v>1</v>
      </c>
      <c r="N333" s="88">
        <f>VLOOKUP(A333,Demográfico!A$2:E$400,5,FALSE)*I333</f>
        <v>292.49197937896992</v>
      </c>
      <c r="O333" s="96">
        <f>FLOOR(L333,1)</f>
        <v>0</v>
      </c>
      <c r="P333" s="96">
        <f>L333-O333</f>
        <v>0.46370408839414912</v>
      </c>
      <c r="Q333" s="87">
        <f>RANK(P333,P$2:P$400,0)</f>
        <v>194</v>
      </c>
      <c r="R333" s="3">
        <f>O333+IF(Q333&lt;Q$1,1,0)</f>
        <v>0</v>
      </c>
      <c r="T333" s="87">
        <f>VLOOKUP(A333,Demográfico!A$2:E$400,5,FALSE)*(I333)</f>
        <v>292.49197937896992</v>
      </c>
    </row>
    <row r="334" spans="1:20" ht="19.5" x14ac:dyDescent="0.25">
      <c r="A334" s="2" t="s">
        <v>339</v>
      </c>
      <c r="B334" s="37">
        <v>4027</v>
      </c>
      <c r="C334" s="4" t="str" cm="1">
        <f t="array" ref="C334">_xlfn.IFS(B334&lt;20000, "P1",B334&lt;40000, "P2",B334&lt;70000, "P3",B334&lt;100000, "P4",B334&lt;200000,"M1",B334&lt;500000,"M2",B334&lt;1000000,"G1",B334&gt;1000000,"G2")</f>
        <v>P1</v>
      </c>
      <c r="D334" s="13">
        <f>VLOOKUP(C334,Controle!A$2:H$9,8,FALSE)</f>
        <v>38.874046212109647</v>
      </c>
      <c r="E334" s="13">
        <f>VLOOKUP(C334,Controle!A$16:H$23,8,FALSE)</f>
        <v>13.454529704853227</v>
      </c>
      <c r="F334" s="5">
        <f>VLOOKUP(A334,Educacional!A$2:P$405,16,FALSE)</f>
        <v>34.952930447300936</v>
      </c>
      <c r="G334" s="6">
        <f>VLOOKUP(A334,Demográfico!A$2:L$405,12,FALSE)</f>
        <v>40.740531937934271</v>
      </c>
      <c r="H334" s="7">
        <f>VLOOKUP(A334,Socioeconômico!A$2:M$405,13,FALSE)</f>
        <v>53.768827133474772</v>
      </c>
      <c r="I334" s="16">
        <f>(2*F334+G334+2*H334)/5/100</f>
        <v>0.43636809419897138</v>
      </c>
      <c r="J334" s="15">
        <f>VLOOKUP(A334,Demográfico!A$2:E$400,5,FALSE)/(VLOOKUP(C334,Controle!A$2:G$9,7,FALSE))*D334</f>
        <v>6.1796980827574462E-2</v>
      </c>
      <c r="K334" s="15">
        <f>VLOOKUP(A334,Demográfico!A$2:E$400,5,FALSE)/(VLOOKUP(C334,Controle!A$16:G$24,7,FALSE))*E334</f>
        <v>2.1388288465733249E-2</v>
      </c>
      <c r="L334" s="118">
        <f>((J334*(1+I334))+3*(I334+K334))/4</f>
        <v>0.36550808989316685</v>
      </c>
      <c r="M334" s="3">
        <v>0</v>
      </c>
      <c r="N334" s="88">
        <f>VLOOKUP(A334,Demográfico!A$2:E$400,5,FALSE)*I334</f>
        <v>230.4023537370569</v>
      </c>
      <c r="O334" s="96">
        <f>FLOOR(L334,1)</f>
        <v>0</v>
      </c>
      <c r="P334" s="96">
        <f>L334-O334</f>
        <v>0.36550808989316685</v>
      </c>
      <c r="Q334" s="87">
        <f>RANK(P334,P$2:P$400,0)</f>
        <v>316</v>
      </c>
      <c r="R334" s="3">
        <f>O334+IF(Q334&lt;Q$1,1,0)</f>
        <v>0</v>
      </c>
      <c r="T334" s="87">
        <f>VLOOKUP(A334,Demográfico!A$2:E$400,5,FALSE)*(I334)</f>
        <v>230.4023537370569</v>
      </c>
    </row>
    <row r="335" spans="1:20" ht="19.5" x14ac:dyDescent="0.25">
      <c r="A335" s="2" t="s">
        <v>341</v>
      </c>
      <c r="B335" s="37">
        <v>3980</v>
      </c>
      <c r="C335" s="4" t="str" cm="1">
        <f t="array" ref="C335">_xlfn.IFS(B335&lt;20000, "P1",B335&lt;40000, "P2",B335&lt;70000, "P3",B335&lt;100000, "P4",B335&lt;200000,"M1",B335&lt;500000,"M2",B335&lt;1000000,"G1",B335&gt;1000000,"G2")</f>
        <v>P1</v>
      </c>
      <c r="D335" s="13">
        <f>VLOOKUP(C335,Controle!A$2:H$9,8,FALSE)</f>
        <v>38.874046212109647</v>
      </c>
      <c r="E335" s="13">
        <f>VLOOKUP(C335,Controle!A$16:H$23,8,FALSE)</f>
        <v>13.454529704853227</v>
      </c>
      <c r="F335" s="5">
        <f>VLOOKUP(A335,Educacional!A$2:P$405,16,FALSE)</f>
        <v>16.863450065016831</v>
      </c>
      <c r="G335" s="6">
        <f>VLOOKUP(A335,Demográfico!A$2:L$405,12,FALSE)</f>
        <v>30.062678020796607</v>
      </c>
      <c r="H335" s="7">
        <f>VLOOKUP(A335,Socioeconômico!A$2:M$405,13,FALSE)</f>
        <v>51.07639586571181</v>
      </c>
      <c r="I335" s="16">
        <f>(2*F335+G335+2*H335)/5/100</f>
        <v>0.33188473976450777</v>
      </c>
      <c r="J335" s="15">
        <f>VLOOKUP(A335,Demográfico!A$2:E$400,5,FALSE)/(VLOOKUP(C335,Controle!A$2:G$9,7,FALSE))*D335</f>
        <v>6.3903696083059958E-2</v>
      </c>
      <c r="K335" s="15">
        <f>VLOOKUP(A335,Demográfico!A$2:E$400,5,FALSE)/(VLOOKUP(C335,Controle!A$16:G$24,7,FALSE))*E335</f>
        <v>2.2117434663428699E-2</v>
      </c>
      <c r="L335" s="118">
        <f>((J335*(1+I335))+3*(I335+K335))/4</f>
        <v>0.28677972022784648</v>
      </c>
      <c r="M335" s="3">
        <v>0</v>
      </c>
      <c r="N335" s="88">
        <f>VLOOKUP(A335,Demográfico!A$2:E$400,5,FALSE)*I335</f>
        <v>181.20906791142124</v>
      </c>
      <c r="O335" s="96">
        <f>FLOOR(L335,1)</f>
        <v>0</v>
      </c>
      <c r="P335" s="96">
        <f>L335-O335</f>
        <v>0.28677972022784648</v>
      </c>
      <c r="Q335" s="87">
        <f>RANK(P335,P$2:P$400,0)</f>
        <v>367</v>
      </c>
      <c r="R335" s="3">
        <f>O335+IF(Q335&lt;Q$1,1,0)</f>
        <v>0</v>
      </c>
      <c r="T335" s="87">
        <f>VLOOKUP(A335,Demográfico!A$2:E$400,5,FALSE)*(I335)</f>
        <v>181.20906791142124</v>
      </c>
    </row>
    <row r="336" spans="1:20" ht="19.5" x14ac:dyDescent="0.25">
      <c r="A336" s="2" t="s">
        <v>340</v>
      </c>
      <c r="B336" s="37">
        <v>3980</v>
      </c>
      <c r="C336" s="4" t="str" cm="1">
        <f t="array" ref="C336">_xlfn.IFS(B336&lt;20000, "P1",B336&lt;40000, "P2",B336&lt;70000, "P3",B336&lt;100000, "P4",B336&lt;200000,"M1",B336&lt;500000,"M2",B336&lt;1000000,"G1",B336&gt;1000000,"G2")</f>
        <v>P1</v>
      </c>
      <c r="D336" s="13">
        <f>VLOOKUP(C336,Controle!A$2:H$9,8,FALSE)</f>
        <v>38.874046212109647</v>
      </c>
      <c r="E336" s="13">
        <f>VLOOKUP(C336,Controle!A$16:H$23,8,FALSE)</f>
        <v>13.454529704853227</v>
      </c>
      <c r="F336" s="5">
        <f>VLOOKUP(A336,Educacional!A$2:P$405,16,FALSE)</f>
        <v>29.46929830112958</v>
      </c>
      <c r="G336" s="6">
        <f>VLOOKUP(A336,Demográfico!A$2:L$405,12,FALSE)</f>
        <v>12.778314053281809</v>
      </c>
      <c r="H336" s="7">
        <f>VLOOKUP(A336,Socioeconômico!A$2:M$405,13,FALSE)</f>
        <v>34.270584160318784</v>
      </c>
      <c r="I336" s="16">
        <f>(2*F336+G336+2*H336)/5/100</f>
        <v>0.28051615795235707</v>
      </c>
      <c r="J336" s="15">
        <f>VLOOKUP(A336,Demográfico!A$2:E$400,5,FALSE)/(VLOOKUP(C336,Controle!A$2:G$9,7,FALSE))*D336</f>
        <v>4.9273729031077365E-2</v>
      </c>
      <c r="K336" s="15">
        <f>VLOOKUP(A336,Demográfico!A$2:E$400,5,FALSE)/(VLOOKUP(C336,Controle!A$16:G$24,7,FALSE))*E336</f>
        <v>1.7053919401654728E-2</v>
      </c>
      <c r="L336" s="118">
        <f>((J336*(1+I336))+3*(I336+K336))/4</f>
        <v>0.23895150956222405</v>
      </c>
      <c r="M336" s="3">
        <v>0</v>
      </c>
      <c r="N336" s="88">
        <f>VLOOKUP(A336,Demográfico!A$2:E$400,5,FALSE)*I336</f>
        <v>118.09730249794232</v>
      </c>
      <c r="O336" s="96">
        <f>FLOOR(L336,1)</f>
        <v>0</v>
      </c>
      <c r="P336" s="96">
        <f>L336-O336</f>
        <v>0.23895150956222405</v>
      </c>
      <c r="Q336" s="87">
        <f>RANK(P336,P$2:P$400,0)</f>
        <v>387</v>
      </c>
      <c r="R336" s="3">
        <f>O336+IF(Q336&lt;Q$1,1,0)</f>
        <v>0</v>
      </c>
      <c r="T336" s="87">
        <f>VLOOKUP(A336,Demográfico!A$2:E$400,5,FALSE)*(I336)</f>
        <v>118.09730249794232</v>
      </c>
    </row>
    <row r="337" spans="1:20" ht="19.5" x14ac:dyDescent="0.25">
      <c r="A337" s="2" t="s">
        <v>342</v>
      </c>
      <c r="B337" s="37">
        <v>3957</v>
      </c>
      <c r="C337" s="4" t="str" cm="1">
        <f t="array" ref="C337">_xlfn.IFS(B337&lt;20000, "P1",B337&lt;40000, "P2",B337&lt;70000, "P3",B337&lt;100000, "P4",B337&lt;200000,"M1",B337&lt;500000,"M2",B337&lt;1000000,"G1",B337&gt;1000000,"G2")</f>
        <v>P1</v>
      </c>
      <c r="D337" s="13">
        <f>VLOOKUP(C337,Controle!A$2:H$9,8,FALSE)</f>
        <v>38.874046212109647</v>
      </c>
      <c r="E337" s="13">
        <f>VLOOKUP(C337,Controle!A$16:H$23,8,FALSE)</f>
        <v>13.454529704853227</v>
      </c>
      <c r="F337" s="5">
        <f>VLOOKUP(A337,Educacional!A$2:P$405,16,FALSE)</f>
        <v>65.847700405225766</v>
      </c>
      <c r="G337" s="6">
        <f>VLOOKUP(A337,Demográfico!A$2:L$405,12,FALSE)</f>
        <v>63.187018864325751</v>
      </c>
      <c r="H337" s="7">
        <f>VLOOKUP(A337,Socioeconômico!A$2:M$405,13,FALSE)</f>
        <v>48.615437928433899</v>
      </c>
      <c r="I337" s="16">
        <f>(2*F337+G337+2*H337)/5/100</f>
        <v>0.58422659106329011</v>
      </c>
      <c r="J337" s="15">
        <f>VLOOKUP(A337,Demográfico!A$2:E$400,5,FALSE)/(VLOOKUP(C337,Controle!A$2:G$9,7,FALSE))*D337</f>
        <v>6.5893371602129588E-2</v>
      </c>
      <c r="K337" s="15">
        <f>VLOOKUP(A337,Demográfico!A$2:E$400,5,FALSE)/(VLOOKUP(C337,Controle!A$16:G$24,7,FALSE))*E337</f>
        <v>2.2806072739029959E-2</v>
      </c>
      <c r="L337" s="118">
        <f>((J337*(1+I337))+3*(I337+K337))/4</f>
        <v>0.48137200571846711</v>
      </c>
      <c r="M337" s="3">
        <v>1</v>
      </c>
      <c r="N337" s="88">
        <f>VLOOKUP(A337,Demográfico!A$2:E$400,5,FALSE)*I337</f>
        <v>328.91957076863235</v>
      </c>
      <c r="O337" s="96">
        <f>FLOOR(L337,1)</f>
        <v>0</v>
      </c>
      <c r="P337" s="96">
        <f>L337-O337</f>
        <v>0.48137200571846711</v>
      </c>
      <c r="Q337" s="87">
        <f>RANK(P337,P$2:P$400,0)</f>
        <v>173</v>
      </c>
      <c r="R337" s="3">
        <f>O337+IF(Q337&lt;Q$1,1,0)</f>
        <v>1</v>
      </c>
      <c r="T337" s="87">
        <f>VLOOKUP(A337,Demográfico!A$2:E$400,5,FALSE)*(I337)</f>
        <v>328.91957076863235</v>
      </c>
    </row>
    <row r="338" spans="1:20" ht="19.5" x14ac:dyDescent="0.25">
      <c r="A338" s="2" t="s">
        <v>343</v>
      </c>
      <c r="B338" s="37">
        <v>3951</v>
      </c>
      <c r="C338" s="4" t="str" cm="1">
        <f t="array" ref="C338">_xlfn.IFS(B338&lt;20000, "P1",B338&lt;40000, "P2",B338&lt;70000, "P3",B338&lt;100000, "P4",B338&lt;200000,"M1",B338&lt;500000,"M2",B338&lt;1000000,"G1",B338&gt;1000000,"G2")</f>
        <v>P1</v>
      </c>
      <c r="D338" s="13">
        <f>VLOOKUP(C338,Controle!A$2:H$9,8,FALSE)</f>
        <v>38.874046212109647</v>
      </c>
      <c r="E338" s="13">
        <f>VLOOKUP(C338,Controle!A$16:H$23,8,FALSE)</f>
        <v>13.454529704853227</v>
      </c>
      <c r="F338" s="5">
        <f>VLOOKUP(A338,Educacional!A$2:P$405,16,FALSE)</f>
        <v>48.122869334329508</v>
      </c>
      <c r="G338" s="6">
        <f>VLOOKUP(A338,Demográfico!A$2:L$405,12,FALSE)</f>
        <v>28.758082821026765</v>
      </c>
      <c r="H338" s="7">
        <f>VLOOKUP(A338,Socioeconômico!A$2:M$405,13,FALSE)</f>
        <v>46.05431029583476</v>
      </c>
      <c r="I338" s="16">
        <f>(2*F338+G338+2*H338)/5/100</f>
        <v>0.43422488416271066</v>
      </c>
      <c r="J338" s="15">
        <f>VLOOKUP(A338,Demográfico!A$2:E$400,5,FALSE)/(VLOOKUP(C338,Controle!A$2:G$9,7,FALSE))*D338</f>
        <v>5.6062033743197293E-2</v>
      </c>
      <c r="K338" s="15">
        <f>VLOOKUP(A338,Demográfico!A$2:E$400,5,FALSE)/(VLOOKUP(C338,Controle!A$16:G$24,7,FALSE))*E338</f>
        <v>1.9403390483117854E-2</v>
      </c>
      <c r="L338" s="118">
        <f>((J338*(1+I338))+3*(I338+K338))/4</f>
        <v>0.36032259694718716</v>
      </c>
      <c r="M338" s="3">
        <v>0</v>
      </c>
      <c r="N338" s="88">
        <f>VLOOKUP(A338,Demográfico!A$2:E$400,5,FALSE)*I338</f>
        <v>207.9937195139384</v>
      </c>
      <c r="O338" s="96">
        <f>FLOOR(L338,1)</f>
        <v>0</v>
      </c>
      <c r="P338" s="96">
        <f>L338-O338</f>
        <v>0.36032259694718716</v>
      </c>
      <c r="Q338" s="87">
        <f>RANK(P338,P$2:P$400,0)</f>
        <v>319</v>
      </c>
      <c r="R338" s="3">
        <f>O338+IF(Q338&lt;Q$1,1,0)</f>
        <v>0</v>
      </c>
      <c r="T338" s="87">
        <f>VLOOKUP(A338,Demográfico!A$2:E$400,5,FALSE)*(I338)</f>
        <v>207.9937195139384</v>
      </c>
    </row>
    <row r="339" spans="1:20" ht="19.5" x14ac:dyDescent="0.25">
      <c r="A339" s="2" t="s">
        <v>344</v>
      </c>
      <c r="B339" s="37">
        <v>3938</v>
      </c>
      <c r="C339" s="4" t="str" cm="1">
        <f t="array" ref="C339">_xlfn.IFS(B339&lt;20000, "P1",B339&lt;40000, "P2",B339&lt;70000, "P3",B339&lt;100000, "P4",B339&lt;200000,"M1",B339&lt;500000,"M2",B339&lt;1000000,"G1",B339&gt;1000000,"G2")</f>
        <v>P1</v>
      </c>
      <c r="D339" s="13">
        <f>VLOOKUP(C339,Controle!A$2:H$9,8,FALSE)</f>
        <v>38.874046212109647</v>
      </c>
      <c r="E339" s="13">
        <f>VLOOKUP(C339,Controle!A$16:H$23,8,FALSE)</f>
        <v>13.454529704853227</v>
      </c>
      <c r="F339" s="5">
        <f>VLOOKUP(A339,Educacional!A$2:P$405,16,FALSE)</f>
        <v>66.697839330484982</v>
      </c>
      <c r="G339" s="6">
        <f>VLOOKUP(A339,Demográfico!A$2:L$405,12,FALSE)</f>
        <v>14.392553388753749</v>
      </c>
      <c r="H339" s="7">
        <f>VLOOKUP(A339,Socioeconômico!A$2:M$405,13,FALSE)</f>
        <v>53.988113929675272</v>
      </c>
      <c r="I339" s="16">
        <f>(2*F339+G339+2*H339)/5/100</f>
        <v>0.51152891981814852</v>
      </c>
      <c r="J339" s="15">
        <f>VLOOKUP(A339,Demográfico!A$2:E$400,5,FALSE)/(VLOOKUP(C339,Controle!A$2:G$9,7,FALSE))*D339</f>
        <v>5.6881311898108314E-2</v>
      </c>
      <c r="K339" s="15">
        <f>VLOOKUP(A339,Demográfico!A$2:E$400,5,FALSE)/(VLOOKUP(C339,Controle!A$16:G$24,7,FALSE))*E339</f>
        <v>1.9686947337777195E-2</v>
      </c>
      <c r="L339" s="118">
        <f>((J339*(1+I339))+3*(I339+K339))/4</f>
        <v>0.41990633734974103</v>
      </c>
      <c r="M339" s="3">
        <v>1</v>
      </c>
      <c r="N339" s="88">
        <f>VLOOKUP(A339,Demográfico!A$2:E$400,5,FALSE)*I339</f>
        <v>248.60305503162019</v>
      </c>
      <c r="O339" s="96">
        <f>FLOOR(L339,1)</f>
        <v>0</v>
      </c>
      <c r="P339" s="96">
        <f>L339-O339</f>
        <v>0.41990633734974103</v>
      </c>
      <c r="Q339" s="87">
        <f>RANK(P339,P$2:P$400,0)</f>
        <v>257</v>
      </c>
      <c r="R339" s="3">
        <f>O339+IF(Q339&lt;Q$1,1,0)</f>
        <v>0</v>
      </c>
      <c r="T339" s="87">
        <f>VLOOKUP(A339,Demográfico!A$2:E$400,5,FALSE)*(I339)</f>
        <v>248.60305503162019</v>
      </c>
    </row>
    <row r="340" spans="1:20" ht="19.5" x14ac:dyDescent="0.25">
      <c r="A340" s="2" t="s">
        <v>345</v>
      </c>
      <c r="B340" s="37">
        <v>3936</v>
      </c>
      <c r="C340" s="4" t="str" cm="1">
        <f t="array" ref="C340">_xlfn.IFS(B340&lt;20000, "P1",B340&lt;40000, "P2",B340&lt;70000, "P3",B340&lt;100000, "P4",B340&lt;200000,"M1",B340&lt;500000,"M2",B340&lt;1000000,"G1",B340&gt;1000000,"G2")</f>
        <v>P1</v>
      </c>
      <c r="D340" s="13">
        <f>VLOOKUP(C340,Controle!A$2:H$9,8,FALSE)</f>
        <v>38.874046212109647</v>
      </c>
      <c r="E340" s="13">
        <f>VLOOKUP(C340,Controle!A$16:H$23,8,FALSE)</f>
        <v>13.454529704853227</v>
      </c>
      <c r="F340" s="5">
        <f>VLOOKUP(A340,Educacional!A$2:P$405,16,FALSE)</f>
        <v>79.255704991439444</v>
      </c>
      <c r="G340" s="6">
        <f>VLOOKUP(A340,Demográfico!A$2:L$405,12,FALSE)</f>
        <v>56.658561886492556</v>
      </c>
      <c r="H340" s="7">
        <f>VLOOKUP(A340,Socioeconômico!A$2:M$405,13,FALSE)</f>
        <v>57.735944591264776</v>
      </c>
      <c r="I340" s="16">
        <f>(2*F340+G340+2*H340)/5/100</f>
        <v>0.66128372210380204</v>
      </c>
      <c r="J340" s="15">
        <f>VLOOKUP(A340,Demográfico!A$2:E$400,5,FALSE)/(VLOOKUP(C340,Controle!A$2:G$9,7,FALSE))*D340</f>
        <v>6.5191133183634425E-2</v>
      </c>
      <c r="K340" s="15">
        <f>VLOOKUP(A340,Demográfico!A$2:E$400,5,FALSE)/(VLOOKUP(C340,Controle!A$16:G$24,7,FALSE))*E340</f>
        <v>2.2563024006464809E-2</v>
      </c>
      <c r="L340" s="118">
        <f>((J340*(1+I340))+3*(I340+K340))/4</f>
        <v>0.53996030167856834</v>
      </c>
      <c r="M340" s="3">
        <v>1</v>
      </c>
      <c r="N340" s="88">
        <f>VLOOKUP(A340,Demográfico!A$2:E$400,5,FALSE)*I340</f>
        <v>368.33503321181774</v>
      </c>
      <c r="O340" s="96">
        <f>FLOOR(L340,1)</f>
        <v>0</v>
      </c>
      <c r="P340" s="96">
        <f>L340-O340</f>
        <v>0.53996030167856834</v>
      </c>
      <c r="Q340" s="87">
        <f>RANK(P340,P$2:P$400,0)</f>
        <v>123</v>
      </c>
      <c r="R340" s="3">
        <f>O340+IF(Q340&lt;Q$1,1,0)</f>
        <v>1</v>
      </c>
      <c r="T340" s="87">
        <f>VLOOKUP(A340,Demográfico!A$2:E$400,5,FALSE)*(I340)</f>
        <v>368.33503321181774</v>
      </c>
    </row>
    <row r="341" spans="1:20" ht="19.5" x14ac:dyDescent="0.25">
      <c r="A341" s="2" t="s">
        <v>346</v>
      </c>
      <c r="B341" s="37">
        <v>3811</v>
      </c>
      <c r="C341" s="4" t="str" cm="1">
        <f t="array" ref="C341">_xlfn.IFS(B341&lt;20000, "P1",B341&lt;40000, "P2",B341&lt;70000, "P3",B341&lt;100000, "P4",B341&lt;200000,"M1",B341&lt;500000,"M2",B341&lt;1000000,"G1",B341&gt;1000000,"G2")</f>
        <v>P1</v>
      </c>
      <c r="D341" s="13">
        <f>VLOOKUP(C341,Controle!A$2:H$9,8,FALSE)</f>
        <v>38.874046212109647</v>
      </c>
      <c r="E341" s="13">
        <f>VLOOKUP(C341,Controle!A$16:H$23,8,FALSE)</f>
        <v>13.454529704853227</v>
      </c>
      <c r="F341" s="5">
        <f>VLOOKUP(A341,Educacional!A$2:P$405,16,FALSE)</f>
        <v>64.507493280603796</v>
      </c>
      <c r="G341" s="6">
        <f>VLOOKUP(A341,Demográfico!A$2:L$405,12,FALSE)</f>
        <v>64.445072741089831</v>
      </c>
      <c r="H341" s="7">
        <f>VLOOKUP(A341,Socioeconômico!A$2:M$405,13,FALSE)</f>
        <v>40.163189370921543</v>
      </c>
      <c r="I341" s="16">
        <f>(2*F341+G341+2*H341)/5/100</f>
        <v>0.54757287608828098</v>
      </c>
      <c r="J341" s="15">
        <f>VLOOKUP(A341,Demográfico!A$2:E$400,5,FALSE)/(VLOOKUP(C341,Controle!A$2:G$9,7,FALSE))*D341</f>
        <v>6.0977702672663441E-2</v>
      </c>
      <c r="K341" s="15">
        <f>VLOOKUP(A341,Demográfico!A$2:E$400,5,FALSE)/(VLOOKUP(C341,Controle!A$16:G$24,7,FALSE))*E341</f>
        <v>2.1104731611073908E-2</v>
      </c>
      <c r="L341" s="118">
        <f>((J341*(1+I341))+3*(I341+K341))/4</f>
        <v>0.45010006545011366</v>
      </c>
      <c r="M341" s="3">
        <v>1</v>
      </c>
      <c r="N341" s="88">
        <f>VLOOKUP(A341,Demográfico!A$2:E$400,5,FALSE)*I341</f>
        <v>285.2854684419944</v>
      </c>
      <c r="O341" s="96">
        <f>FLOOR(L341,1)</f>
        <v>0</v>
      </c>
      <c r="P341" s="96">
        <f>L341-O341</f>
        <v>0.45010006545011366</v>
      </c>
      <c r="Q341" s="87">
        <f>RANK(P341,P$2:P$400,0)</f>
        <v>211</v>
      </c>
      <c r="R341" s="3">
        <f>O341+IF(Q341&lt;Q$1,1,0)</f>
        <v>0</v>
      </c>
      <c r="T341" s="87">
        <f>VLOOKUP(A341,Demográfico!A$2:E$400,5,FALSE)*(I341)</f>
        <v>285.2854684419944</v>
      </c>
    </row>
    <row r="342" spans="1:20" ht="19.5" x14ac:dyDescent="0.25">
      <c r="A342" s="2" t="s">
        <v>347</v>
      </c>
      <c r="B342" s="37">
        <v>3808</v>
      </c>
      <c r="C342" s="4" t="str" cm="1">
        <f t="array" ref="C342">_xlfn.IFS(B342&lt;20000, "P1",B342&lt;40000, "P2",B342&lt;70000, "P3",B342&lt;100000, "P4",B342&lt;200000,"M1",B342&lt;500000,"M2",B342&lt;1000000,"G1",B342&gt;1000000,"G2")</f>
        <v>P1</v>
      </c>
      <c r="D342" s="13">
        <f>VLOOKUP(C342,Controle!A$2:H$9,8,FALSE)</f>
        <v>38.874046212109647</v>
      </c>
      <c r="E342" s="13">
        <f>VLOOKUP(C342,Controle!A$16:H$23,8,FALSE)</f>
        <v>13.454529704853227</v>
      </c>
      <c r="F342" s="5">
        <f>VLOOKUP(A342,Educacional!A$2:P$405,16,FALSE)</f>
        <v>63.548118646107113</v>
      </c>
      <c r="G342" s="6">
        <f>VLOOKUP(A342,Demográfico!A$2:L$405,12,FALSE)</f>
        <v>42.173019524261548</v>
      </c>
      <c r="H342" s="7">
        <f>VLOOKUP(A342,Socioeconômico!A$2:M$405,13,FALSE)</f>
        <v>88.490833389407229</v>
      </c>
      <c r="I342" s="16">
        <f>(2*F342+G342+2*H342)/5/100</f>
        <v>0.6925018471905805</v>
      </c>
      <c r="J342" s="15">
        <f>VLOOKUP(A342,Demográfico!A$2:E$400,5,FALSE)/(VLOOKUP(C342,Controle!A$2:G$9,7,FALSE))*D342</f>
        <v>6.8702325276110254E-2</v>
      </c>
      <c r="K342" s="15">
        <f>VLOOKUP(A342,Demográfico!A$2:E$400,5,FALSE)/(VLOOKUP(C342,Controle!A$16:G$24,7,FALSE))*E342</f>
        <v>2.3778267669290563E-2</v>
      </c>
      <c r="L342" s="118">
        <f>((J342*(1+I342))+3*(I342+K342))/4</f>
        <v>0.56627978925392941</v>
      </c>
      <c r="M342" s="3">
        <v>1</v>
      </c>
      <c r="N342" s="88">
        <f>VLOOKUP(A342,Demográfico!A$2:E$400,5,FALSE)*I342</f>
        <v>406.49858430087073</v>
      </c>
      <c r="O342" s="96">
        <f>FLOOR(L342,1)</f>
        <v>0</v>
      </c>
      <c r="P342" s="96">
        <f>L342-O342</f>
        <v>0.56627978925392941</v>
      </c>
      <c r="Q342" s="87">
        <f>RANK(P342,P$2:P$400,0)</f>
        <v>109</v>
      </c>
      <c r="R342" s="3">
        <f>O342+IF(Q342&lt;Q$1,1,0)</f>
        <v>1</v>
      </c>
      <c r="T342" s="87">
        <f>VLOOKUP(A342,Demográfico!A$2:E$400,5,FALSE)*(I342)</f>
        <v>406.49858430087073</v>
      </c>
    </row>
    <row r="343" spans="1:20" ht="19.5" x14ac:dyDescent="0.25">
      <c r="A343" s="2" t="s">
        <v>348</v>
      </c>
      <c r="B343" s="37">
        <v>3760</v>
      </c>
      <c r="C343" s="4" t="str" cm="1">
        <f t="array" ref="C343">_xlfn.IFS(B343&lt;20000, "P1",B343&lt;40000, "P2",B343&lt;70000, "P3",B343&lt;100000, "P4",B343&lt;200000,"M1",B343&lt;500000,"M2",B343&lt;1000000,"G1",B343&gt;1000000,"G2")</f>
        <v>P1</v>
      </c>
      <c r="D343" s="13">
        <f>VLOOKUP(C343,Controle!A$2:H$9,8,FALSE)</f>
        <v>38.874046212109647</v>
      </c>
      <c r="E343" s="13">
        <f>VLOOKUP(C343,Controle!A$16:H$23,8,FALSE)</f>
        <v>13.454529704853227</v>
      </c>
      <c r="F343" s="5">
        <f>VLOOKUP(A343,Educacional!A$2:P$405,16,FALSE)</f>
        <v>63.113987071203582</v>
      </c>
      <c r="G343" s="6">
        <f>VLOOKUP(A343,Demográfico!A$2:L$405,12,FALSE)</f>
        <v>24.910180900351861</v>
      </c>
      <c r="H343" s="7">
        <f>VLOOKUP(A343,Socioeconômico!A$2:M$405,13,FALSE)</f>
        <v>50.032140397181877</v>
      </c>
      <c r="I343" s="16">
        <f>(2*F343+G343+2*H343)/5/100</f>
        <v>0.50240487167424552</v>
      </c>
      <c r="J343" s="15">
        <f>VLOOKUP(A343,Demográfico!A$2:E$400,5,FALSE)/(VLOOKUP(C343,Controle!A$2:G$9,7,FALSE))*D343</f>
        <v>5.3838278751295938E-2</v>
      </c>
      <c r="K343" s="15">
        <f>VLOOKUP(A343,Demográfico!A$2:E$400,5,FALSE)/(VLOOKUP(C343,Controle!A$16:G$24,7,FALSE))*E343</f>
        <v>1.863373616332821E-2</v>
      </c>
      <c r="L343" s="118">
        <f>((J343*(1+I343))+3*(I343+K343))/4</f>
        <v>0.41100067894780606</v>
      </c>
      <c r="M343" s="3">
        <v>0</v>
      </c>
      <c r="N343" s="88">
        <f>VLOOKUP(A343,Demográfico!A$2:E$400,5,FALSE)*I343</f>
        <v>231.10624097015295</v>
      </c>
      <c r="O343" s="96">
        <f>FLOOR(L343,1)</f>
        <v>0</v>
      </c>
      <c r="P343" s="96">
        <f>L343-O343</f>
        <v>0.41100067894780606</v>
      </c>
      <c r="Q343" s="87">
        <f>RANK(P343,P$2:P$400,0)</f>
        <v>269</v>
      </c>
      <c r="R343" s="3">
        <f>O343+IF(Q343&lt;Q$1,1,0)</f>
        <v>0</v>
      </c>
      <c r="T343" s="87">
        <f>VLOOKUP(A343,Demográfico!A$2:E$400,5,FALSE)*(I343)</f>
        <v>231.10624097015295</v>
      </c>
    </row>
    <row r="344" spans="1:20" ht="19.5" x14ac:dyDescent="0.25">
      <c r="A344" s="2" t="s">
        <v>349</v>
      </c>
      <c r="B344" s="37">
        <v>3752</v>
      </c>
      <c r="C344" s="4" t="str" cm="1">
        <f t="array" ref="C344">_xlfn.IFS(B344&lt;20000, "P1",B344&lt;40000, "P2",B344&lt;70000, "P3",B344&lt;100000, "P4",B344&lt;200000,"M1",B344&lt;500000,"M2",B344&lt;1000000,"G1",B344&gt;1000000,"G2")</f>
        <v>P1</v>
      </c>
      <c r="D344" s="13">
        <f>VLOOKUP(C344,Controle!A$2:H$9,8,FALSE)</f>
        <v>38.874046212109647</v>
      </c>
      <c r="E344" s="13">
        <f>VLOOKUP(C344,Controle!A$16:H$23,8,FALSE)</f>
        <v>13.454529704853227</v>
      </c>
      <c r="F344" s="5">
        <f>VLOOKUP(A344,Educacional!A$2:P$405,16,FALSE)</f>
        <v>34.253989165818041</v>
      </c>
      <c r="G344" s="6">
        <f>VLOOKUP(A344,Demográfico!A$2:L$405,12,FALSE)</f>
        <v>76.752616268279183</v>
      </c>
      <c r="H344" s="7">
        <f>VLOOKUP(A344,Socioeconômico!A$2:M$405,13,FALSE)</f>
        <v>38.823213930630295</v>
      </c>
      <c r="I344" s="16">
        <f>(2*F344+G344+2*H344)/5/100</f>
        <v>0.44581404492235172</v>
      </c>
      <c r="J344" s="15">
        <f>VLOOKUP(A344,Demográfico!A$2:E$400,5,FALSE)/(VLOOKUP(C344,Controle!A$2:G$9,7,FALSE))*D344</f>
        <v>5.418939796054352E-2</v>
      </c>
      <c r="K344" s="15">
        <f>VLOOKUP(A344,Demográfico!A$2:E$400,5,FALSE)/(VLOOKUP(C344,Controle!A$16:G$24,7,FALSE))*E344</f>
        <v>1.8755260529610782E-2</v>
      </c>
      <c r="L344" s="118">
        <f>((J344*(1+I344))+3*(I344+K344))/4</f>
        <v>0.36801392725328202</v>
      </c>
      <c r="M344" s="3">
        <v>0</v>
      </c>
      <c r="N344" s="88">
        <f>VLOOKUP(A344,Demográfico!A$2:E$400,5,FALSE)*I344</f>
        <v>206.41190279904885</v>
      </c>
      <c r="O344" s="96">
        <f>FLOOR(L344,1)</f>
        <v>0</v>
      </c>
      <c r="P344" s="96">
        <f>L344-O344</f>
        <v>0.36801392725328202</v>
      </c>
      <c r="Q344" s="87">
        <f>RANK(P344,P$2:P$400,0)</f>
        <v>315</v>
      </c>
      <c r="R344" s="3">
        <f>O344+IF(Q344&lt;Q$1,1,0)</f>
        <v>0</v>
      </c>
      <c r="T344" s="87">
        <f>VLOOKUP(A344,Demográfico!A$2:E$400,5,FALSE)*(I344)</f>
        <v>206.41190279904885</v>
      </c>
    </row>
    <row r="345" spans="1:20" ht="19.5" x14ac:dyDescent="0.25">
      <c r="A345" s="2" t="s">
        <v>350</v>
      </c>
      <c r="B345" s="37">
        <v>3709</v>
      </c>
      <c r="C345" s="4" t="str" cm="1">
        <f t="array" ref="C345">_xlfn.IFS(B345&lt;20000, "P1",B345&lt;40000, "P2",B345&lt;70000, "P3",B345&lt;100000, "P4",B345&lt;200000,"M1",B345&lt;500000,"M2",B345&lt;1000000,"G1",B345&gt;1000000,"G2")</f>
        <v>P1</v>
      </c>
      <c r="D345" s="13">
        <f>VLOOKUP(C345,Controle!A$2:H$9,8,FALSE)</f>
        <v>38.874046212109647</v>
      </c>
      <c r="E345" s="13">
        <f>VLOOKUP(C345,Controle!A$16:H$23,8,FALSE)</f>
        <v>13.454529704853227</v>
      </c>
      <c r="F345" s="5">
        <f>VLOOKUP(A345,Educacional!A$2:P$405,16,FALSE)</f>
        <v>35.997836501505887</v>
      </c>
      <c r="G345" s="6">
        <f>VLOOKUP(A345,Demográfico!A$2:L$405,12,FALSE)</f>
        <v>100</v>
      </c>
      <c r="H345" s="7">
        <f>VLOOKUP(A345,Socioeconômico!A$2:M$405,13,FALSE)</f>
        <v>35.816930700666212</v>
      </c>
      <c r="I345" s="16">
        <f>(2*F345+G345+2*H345)/5/100</f>
        <v>0.48725906880868841</v>
      </c>
      <c r="J345" s="15">
        <f>VLOOKUP(A345,Demográfico!A$2:E$400,5,FALSE)/(VLOOKUP(C345,Controle!A$2:G$9,7,FALSE))*D345</f>
        <v>5.7583550316603477E-2</v>
      </c>
      <c r="K345" s="15">
        <f>VLOOKUP(A345,Demográfico!A$2:E$400,5,FALSE)/(VLOOKUP(C345,Controle!A$16:G$24,7,FALSE))*E345</f>
        <v>1.9929996070342345E-2</v>
      </c>
      <c r="L345" s="118">
        <f>((J345*(1+I345))+3*(I345+K345))/4</f>
        <v>0.40180221301491553</v>
      </c>
      <c r="M345" s="3">
        <v>0</v>
      </c>
      <c r="N345" s="88">
        <f>VLOOKUP(A345,Demográfico!A$2:E$400,5,FALSE)*I345</f>
        <v>239.73146185387469</v>
      </c>
      <c r="O345" s="96">
        <f>FLOOR(L345,1)</f>
        <v>0</v>
      </c>
      <c r="P345" s="96">
        <f>L345-O345</f>
        <v>0.40180221301491553</v>
      </c>
      <c r="Q345" s="87">
        <f>RANK(P345,P$2:P$400,0)</f>
        <v>282</v>
      </c>
      <c r="R345" s="3">
        <f>O345+IF(Q345&lt;Q$1,1,0)</f>
        <v>0</v>
      </c>
      <c r="T345" s="87">
        <f>VLOOKUP(A345,Demográfico!A$2:E$400,5,FALSE)*(I345)</f>
        <v>239.73146185387469</v>
      </c>
    </row>
    <row r="346" spans="1:20" ht="19.5" x14ac:dyDescent="0.25">
      <c r="A346" s="2" t="s">
        <v>351</v>
      </c>
      <c r="B346" s="37">
        <v>3708</v>
      </c>
      <c r="C346" s="4" t="str" cm="1">
        <f t="array" ref="C346">_xlfn.IFS(B346&lt;20000, "P1",B346&lt;40000, "P2",B346&lt;70000, "P3",B346&lt;100000, "P4",B346&lt;200000,"M1",B346&lt;500000,"M2",B346&lt;1000000,"G1",B346&gt;1000000,"G2")</f>
        <v>P1</v>
      </c>
      <c r="D346" s="13">
        <f>VLOOKUP(C346,Controle!A$2:H$9,8,FALSE)</f>
        <v>38.874046212109647</v>
      </c>
      <c r="E346" s="13">
        <f>VLOOKUP(C346,Controle!A$16:H$23,8,FALSE)</f>
        <v>13.454529704853227</v>
      </c>
      <c r="F346" s="5">
        <f>VLOOKUP(A346,Educacional!A$2:P$405,16,FALSE)</f>
        <v>59.042461627338596</v>
      </c>
      <c r="G346" s="6">
        <f>VLOOKUP(A346,Demográfico!A$2:L$405,12,FALSE)</f>
        <v>57.380332010006164</v>
      </c>
      <c r="H346" s="7">
        <f>VLOOKUP(A346,Socioeconômico!A$2:M$405,13,FALSE)</f>
        <v>37.163023730394137</v>
      </c>
      <c r="I346" s="16">
        <f>(2*F346+G346+2*H346)/5/100</f>
        <v>0.49958260545094318</v>
      </c>
      <c r="J346" s="15">
        <f>VLOOKUP(A346,Demográfico!A$2:E$400,5,FALSE)/(VLOOKUP(C346,Controle!A$2:G$9,7,FALSE))*D346</f>
        <v>5.5008676115454548E-2</v>
      </c>
      <c r="K346" s="15">
        <f>VLOOKUP(A346,Demográfico!A$2:E$400,5,FALSE)/(VLOOKUP(C346,Controle!A$16:G$24,7,FALSE))*E346</f>
        <v>1.9038817384270126E-2</v>
      </c>
      <c r="L346" s="118">
        <f>((J346*(1+I346))+3*(I346+K346))/4</f>
        <v>0.40958858058931508</v>
      </c>
      <c r="M346" s="3">
        <v>0</v>
      </c>
      <c r="N346" s="88">
        <f>VLOOKUP(A346,Demográfico!A$2:E$400,5,FALSE)*I346</f>
        <v>234.80382456194329</v>
      </c>
      <c r="O346" s="96">
        <f>FLOOR(L346,1)</f>
        <v>0</v>
      </c>
      <c r="P346" s="96">
        <f>L346-O346</f>
        <v>0.40958858058931508</v>
      </c>
      <c r="Q346" s="87">
        <f>RANK(P346,P$2:P$400,0)</f>
        <v>271</v>
      </c>
      <c r="R346" s="3">
        <f>O346+IF(Q346&lt;Q$1,1,0)</f>
        <v>0</v>
      </c>
      <c r="T346" s="87">
        <f>VLOOKUP(A346,Demográfico!A$2:E$400,5,FALSE)*(I346)</f>
        <v>234.80382456194329</v>
      </c>
    </row>
    <row r="347" spans="1:20" ht="19.5" x14ac:dyDescent="0.25">
      <c r="A347" s="2" t="s">
        <v>352</v>
      </c>
      <c r="B347" s="37">
        <v>3669</v>
      </c>
      <c r="C347" s="4" t="str" cm="1">
        <f t="array" ref="C347">_xlfn.IFS(B347&lt;20000, "P1",B347&lt;40000, "P2",B347&lt;70000, "P3",B347&lt;100000, "P4",B347&lt;200000,"M1",B347&lt;500000,"M2",B347&lt;1000000,"G1",B347&gt;1000000,"G2")</f>
        <v>P1</v>
      </c>
      <c r="D347" s="13">
        <f>VLOOKUP(C347,Controle!A$2:H$9,8,FALSE)</f>
        <v>38.874046212109647</v>
      </c>
      <c r="E347" s="13">
        <f>VLOOKUP(C347,Controle!A$16:H$23,8,FALSE)</f>
        <v>13.454529704853227</v>
      </c>
      <c r="F347" s="5">
        <f>VLOOKUP(A347,Educacional!A$2:P$405,16,FALSE)</f>
        <v>62.154697044645481</v>
      </c>
      <c r="G347" s="6">
        <f>VLOOKUP(A347,Demográfico!A$2:L$405,12,FALSE)</f>
        <v>43.558106145761855</v>
      </c>
      <c r="H347" s="7">
        <f>VLOOKUP(A347,Socioeconômico!A$2:M$405,13,FALSE)</f>
        <v>42.104384831029186</v>
      </c>
      <c r="I347" s="16">
        <f>(2*F347+G347+2*H347)/5/100</f>
        <v>0.50415253979422248</v>
      </c>
      <c r="J347" s="15">
        <f>VLOOKUP(A347,Demográfico!A$2:E$400,5,FALSE)/(VLOOKUP(C347,Controle!A$2:G$9,7,FALSE))*D347</f>
        <v>5.5242755588286264E-2</v>
      </c>
      <c r="K347" s="15">
        <f>VLOOKUP(A347,Demográfico!A$2:E$400,5,FALSE)/(VLOOKUP(C347,Controle!A$16:G$24,7,FALSE))*E347</f>
        <v>1.911983362845851E-2</v>
      </c>
      <c r="L347" s="118">
        <f>((J347*(1+I347))+3*(I347+K347))/4</f>
        <v>0.41322766284784879</v>
      </c>
      <c r="M347" s="3">
        <v>1</v>
      </c>
      <c r="N347" s="88">
        <f>VLOOKUP(A347,Demográfico!A$2:E$400,5,FALSE)*I347</f>
        <v>237.95999878287301</v>
      </c>
      <c r="O347" s="96">
        <f>FLOOR(L347,1)</f>
        <v>0</v>
      </c>
      <c r="P347" s="96">
        <f>L347-O347</f>
        <v>0.41322766284784879</v>
      </c>
      <c r="Q347" s="87">
        <f>RANK(P347,P$2:P$400,0)</f>
        <v>267</v>
      </c>
      <c r="R347" s="3">
        <f>O347+IF(Q347&lt;Q$1,1,0)</f>
        <v>0</v>
      </c>
      <c r="T347" s="87">
        <f>VLOOKUP(A347,Demográfico!A$2:E$400,5,FALSE)*(I347)</f>
        <v>237.95999878287301</v>
      </c>
    </row>
    <row r="348" spans="1:20" ht="19.5" x14ac:dyDescent="0.25">
      <c r="A348" s="2" t="s">
        <v>353</v>
      </c>
      <c r="B348" s="37">
        <v>3644</v>
      </c>
      <c r="C348" s="4" t="str" cm="1">
        <f t="array" ref="C348">_xlfn.IFS(B348&lt;20000, "P1",B348&lt;40000, "P2",B348&lt;70000, "P3",B348&lt;100000, "P4",B348&lt;200000,"M1",B348&lt;500000,"M2",B348&lt;1000000,"G1",B348&gt;1000000,"G2")</f>
        <v>P1</v>
      </c>
      <c r="D348" s="13">
        <f>VLOOKUP(C348,Controle!A$2:H$9,8,FALSE)</f>
        <v>38.874046212109647</v>
      </c>
      <c r="E348" s="13">
        <f>VLOOKUP(C348,Controle!A$16:H$23,8,FALSE)</f>
        <v>13.454529704853227</v>
      </c>
      <c r="F348" s="5">
        <f>VLOOKUP(A348,Educacional!A$2:P$405,16,FALSE)</f>
        <v>79.720896163479708</v>
      </c>
      <c r="G348" s="6">
        <f>VLOOKUP(A348,Demográfico!A$2:L$405,12,FALSE)</f>
        <v>45.448417505746654</v>
      </c>
      <c r="H348" s="7">
        <f>VLOOKUP(A348,Socioeconômico!A$2:M$405,13,FALSE)</f>
        <v>42.142492515493217</v>
      </c>
      <c r="I348" s="16">
        <f>(2*F348+G348+2*H348)/5/100</f>
        <v>0.57835038972738495</v>
      </c>
      <c r="J348" s="15">
        <f>VLOOKUP(A348,Demográfico!A$2:E$400,5,FALSE)/(VLOOKUP(C348,Controle!A$2:G$9,7,FALSE))*D348</f>
        <v>5.5593874797533853E-2</v>
      </c>
      <c r="K348" s="15">
        <f>VLOOKUP(A348,Demográfico!A$2:E$400,5,FALSE)/(VLOOKUP(C348,Controle!A$16:G$24,7,FALSE))*E348</f>
        <v>1.9241357994741085E-2</v>
      </c>
      <c r="L348" s="118">
        <f>((J348*(1+I348))+3*(I348+K348))/4</f>
        <v>0.47013046427988037</v>
      </c>
      <c r="M348" s="3">
        <v>1</v>
      </c>
      <c r="N348" s="88">
        <f>VLOOKUP(A348,Demográfico!A$2:E$400,5,FALSE)*I348</f>
        <v>274.71643512050787</v>
      </c>
      <c r="O348" s="96">
        <f>FLOOR(L348,1)</f>
        <v>0</v>
      </c>
      <c r="P348" s="96">
        <f>L348-O348</f>
        <v>0.47013046427988037</v>
      </c>
      <c r="Q348" s="87">
        <f>RANK(P348,P$2:P$400,0)</f>
        <v>187</v>
      </c>
      <c r="R348" s="3">
        <f>O348+IF(Q348&lt;Q$1,1,0)</f>
        <v>1</v>
      </c>
      <c r="T348" s="87">
        <f>VLOOKUP(A348,Demográfico!A$2:E$400,5,FALSE)*(I348)</f>
        <v>274.71643512050787</v>
      </c>
    </row>
    <row r="349" spans="1:20" ht="19.5" x14ac:dyDescent="0.25">
      <c r="A349" s="2" t="s">
        <v>354</v>
      </c>
      <c r="B349" s="37">
        <v>3590</v>
      </c>
      <c r="C349" s="4" t="str" cm="1">
        <f t="array" ref="C349">_xlfn.IFS(B349&lt;20000, "P1",B349&lt;40000, "P2",B349&lt;70000, "P3",B349&lt;100000, "P4",B349&lt;200000,"M1",B349&lt;500000,"M2",B349&lt;1000000,"G1",B349&gt;1000000,"G2")</f>
        <v>P1</v>
      </c>
      <c r="D349" s="13">
        <f>VLOOKUP(C349,Controle!A$2:H$9,8,FALSE)</f>
        <v>38.874046212109647</v>
      </c>
      <c r="E349" s="13">
        <f>VLOOKUP(C349,Controle!A$16:H$23,8,FALSE)</f>
        <v>13.454529704853227</v>
      </c>
      <c r="F349" s="5">
        <f>VLOOKUP(A349,Educacional!A$2:P$405,16,FALSE)</f>
        <v>57.584658991157497</v>
      </c>
      <c r="G349" s="6">
        <f>VLOOKUP(A349,Demográfico!A$2:L$405,12,FALSE)</f>
        <v>54.713899207102635</v>
      </c>
      <c r="H349" s="7">
        <f>VLOOKUP(A349,Socioeconômico!A$2:M$405,13,FALSE)</f>
        <v>54.135025940834126</v>
      </c>
      <c r="I349" s="16">
        <f>(2*F349+G349+2*H349)/5/100</f>
        <v>0.55630653814217179</v>
      </c>
      <c r="J349" s="15">
        <f>VLOOKUP(A349,Demográfico!A$2:E$400,5,FALSE)/(VLOOKUP(C349,Controle!A$2:G$9,7,FALSE))*D349</f>
        <v>5.465755690620696E-2</v>
      </c>
      <c r="K349" s="15">
        <f>VLOOKUP(A349,Demográfico!A$2:E$400,5,FALSE)/(VLOOKUP(C349,Controle!A$16:G$24,7,FALSE))*E349</f>
        <v>1.8917293017987551E-2</v>
      </c>
      <c r="L349" s="118">
        <f>((J349*(1+I349))+3*(I349+K349))/4</f>
        <v>0.45268385166312142</v>
      </c>
      <c r="M349" s="3">
        <v>1</v>
      </c>
      <c r="N349" s="88">
        <f>VLOOKUP(A349,Demográfico!A$2:E$400,5,FALSE)*I349</f>
        <v>259.79515331239423</v>
      </c>
      <c r="O349" s="96">
        <f>FLOOR(L349,1)</f>
        <v>0</v>
      </c>
      <c r="P349" s="96">
        <f>L349-O349</f>
        <v>0.45268385166312142</v>
      </c>
      <c r="Q349" s="87">
        <f>RANK(P349,P$2:P$400,0)</f>
        <v>208</v>
      </c>
      <c r="R349" s="3">
        <f>O349+IF(Q349&lt;Q$1,1,0)</f>
        <v>0</v>
      </c>
      <c r="T349" s="87">
        <f>VLOOKUP(A349,Demográfico!A$2:E$400,5,FALSE)*(I349)</f>
        <v>259.79515331239423</v>
      </c>
    </row>
    <row r="350" spans="1:20" ht="19.5" x14ac:dyDescent="0.25">
      <c r="A350" s="2" t="s">
        <v>355</v>
      </c>
      <c r="B350" s="37">
        <v>3572</v>
      </c>
      <c r="C350" s="4" t="str" cm="1">
        <f t="array" ref="C350">_xlfn.IFS(B350&lt;20000, "P1",B350&lt;40000, "P2",B350&lt;70000, "P3",B350&lt;100000, "P4",B350&lt;200000,"M1",B350&lt;500000,"M2",B350&lt;1000000,"G1",B350&gt;1000000,"G2")</f>
        <v>P1</v>
      </c>
      <c r="D350" s="13">
        <f>VLOOKUP(C350,Controle!A$2:H$9,8,FALSE)</f>
        <v>38.874046212109647</v>
      </c>
      <c r="E350" s="13">
        <f>VLOOKUP(C350,Controle!A$16:H$23,8,FALSE)</f>
        <v>13.454529704853227</v>
      </c>
      <c r="F350" s="5">
        <f>VLOOKUP(A350,Educacional!A$2:P$405,16,FALSE)</f>
        <v>60.598577023007429</v>
      </c>
      <c r="G350" s="6">
        <f>VLOOKUP(A350,Demográfico!A$2:L$405,12,FALSE)</f>
        <v>56.920828978341916</v>
      </c>
      <c r="H350" s="7">
        <f>VLOOKUP(A350,Socioeconômico!A$2:M$405,13,FALSE)</f>
        <v>55.882443814273365</v>
      </c>
      <c r="I350" s="16">
        <f>(2*F350+G350+2*H350)/5/100</f>
        <v>0.57976574130580694</v>
      </c>
      <c r="J350" s="15">
        <f>VLOOKUP(A350,Demográfico!A$2:E$400,5,FALSE)/(VLOOKUP(C350,Controle!A$2:G$9,7,FALSE))*D350</f>
        <v>5.6062033743197293E-2</v>
      </c>
      <c r="K350" s="15">
        <f>VLOOKUP(A350,Demográfico!A$2:E$400,5,FALSE)/(VLOOKUP(C350,Controle!A$16:G$24,7,FALSE))*E350</f>
        <v>1.9403390483117854E-2</v>
      </c>
      <c r="L350" s="118">
        <f>((J350*(1+I350))+3*(I350+K350))/4</f>
        <v>0.47151806891555192</v>
      </c>
      <c r="M350" s="3">
        <v>1</v>
      </c>
      <c r="N350" s="88">
        <f>VLOOKUP(A350,Demográfico!A$2:E$400,5,FALSE)*I350</f>
        <v>277.70779008548152</v>
      </c>
      <c r="O350" s="96">
        <f>FLOOR(L350,1)</f>
        <v>0</v>
      </c>
      <c r="P350" s="96">
        <f>L350-O350</f>
        <v>0.47151806891555192</v>
      </c>
      <c r="Q350" s="87">
        <f>RANK(P350,P$2:P$400,0)</f>
        <v>184</v>
      </c>
      <c r="R350" s="3">
        <f>O350+IF(Q350&lt;Q$1,1,0)</f>
        <v>1</v>
      </c>
      <c r="T350" s="87">
        <f>VLOOKUP(A350,Demográfico!A$2:E$400,5,FALSE)*(I350)</f>
        <v>277.70779008548152</v>
      </c>
    </row>
    <row r="351" spans="1:20" ht="19.5" x14ac:dyDescent="0.25">
      <c r="A351" s="2" t="s">
        <v>356</v>
      </c>
      <c r="B351" s="37">
        <v>3562</v>
      </c>
      <c r="C351" s="4" t="str" cm="1">
        <f t="array" ref="C351">_xlfn.IFS(B351&lt;20000, "P1",B351&lt;40000, "P2",B351&lt;70000, "P3",B351&lt;100000, "P4",B351&lt;200000,"M1",B351&lt;500000,"M2",B351&lt;1000000,"G1",B351&gt;1000000,"G2")</f>
        <v>P1</v>
      </c>
      <c r="D351" s="13">
        <f>VLOOKUP(C351,Controle!A$2:H$9,8,FALSE)</f>
        <v>38.874046212109647</v>
      </c>
      <c r="E351" s="13">
        <f>VLOOKUP(C351,Controle!A$16:H$23,8,FALSE)</f>
        <v>13.454529704853227</v>
      </c>
      <c r="F351" s="5">
        <f>VLOOKUP(A351,Educacional!A$2:P$405,16,FALSE)</f>
        <v>66.878887825677253</v>
      </c>
      <c r="G351" s="6">
        <f>VLOOKUP(A351,Demográfico!A$2:L$405,12,FALSE)</f>
        <v>44.362085694514327</v>
      </c>
      <c r="H351" s="7">
        <f>VLOOKUP(A351,Socioeconômico!A$2:M$405,13,FALSE)</f>
        <v>43.607835429715792</v>
      </c>
      <c r="I351" s="16">
        <f>(2*F351+G351+2*H351)/5/100</f>
        <v>0.53067106441060086</v>
      </c>
      <c r="J351" s="15">
        <f>VLOOKUP(A351,Demográfico!A$2:E$400,5,FALSE)/(VLOOKUP(C351,Controle!A$2:G$9,7,FALSE))*D351</f>
        <v>5.8168748998682782E-2</v>
      </c>
      <c r="K351" s="15">
        <f>VLOOKUP(A351,Demográfico!A$2:E$400,5,FALSE)/(VLOOKUP(C351,Controle!A$16:G$24,7,FALSE))*E351</f>
        <v>2.0132536680813305E-2</v>
      </c>
      <c r="L351" s="118">
        <f>((J351*(1+I351))+3*(I351+K351))/4</f>
        <v>0.4353620060548723</v>
      </c>
      <c r="M351" s="3">
        <v>1</v>
      </c>
      <c r="N351" s="88">
        <f>VLOOKUP(A351,Demográfico!A$2:E$400,5,FALSE)*I351</f>
        <v>263.74351901206865</v>
      </c>
      <c r="O351" s="96">
        <f>FLOOR(L351,1)</f>
        <v>0</v>
      </c>
      <c r="P351" s="96">
        <f>L351-O351</f>
        <v>0.4353620060548723</v>
      </c>
      <c r="Q351" s="87">
        <f>RANK(P351,P$2:P$400,0)</f>
        <v>236</v>
      </c>
      <c r="R351" s="3">
        <f>O351+IF(Q351&lt;Q$1,1,0)</f>
        <v>0</v>
      </c>
      <c r="T351" s="87">
        <f>VLOOKUP(A351,Demográfico!A$2:E$400,5,FALSE)*(I351)</f>
        <v>263.74351901206865</v>
      </c>
    </row>
    <row r="352" spans="1:20" ht="19.5" x14ac:dyDescent="0.25">
      <c r="A352" s="2" t="s">
        <v>357</v>
      </c>
      <c r="B352" s="37">
        <v>3527</v>
      </c>
      <c r="C352" s="4" t="str" cm="1">
        <f t="array" ref="C352">_xlfn.IFS(B352&lt;20000, "P1",B352&lt;40000, "P2",B352&lt;70000, "P3",B352&lt;100000, "P4",B352&lt;200000,"M1",B352&lt;500000,"M2",B352&lt;1000000,"G1",B352&gt;1000000,"G2")</f>
        <v>P1</v>
      </c>
      <c r="D352" s="13">
        <f>VLOOKUP(C352,Controle!A$2:H$9,8,FALSE)</f>
        <v>38.874046212109647</v>
      </c>
      <c r="E352" s="13">
        <f>VLOOKUP(C352,Controle!A$16:H$23,8,FALSE)</f>
        <v>13.454529704853227</v>
      </c>
      <c r="F352" s="5">
        <f>VLOOKUP(A352,Educacional!A$2:P$405,16,FALSE)</f>
        <v>59.044685143002681</v>
      </c>
      <c r="G352" s="6">
        <f>VLOOKUP(A352,Demográfico!A$2:L$405,12,FALSE)</f>
        <v>34.968128786488997</v>
      </c>
      <c r="H352" s="7">
        <f>VLOOKUP(A352,Socioeconômico!A$2:M$405,13,FALSE)</f>
        <v>66.006332885575503</v>
      </c>
      <c r="I352" s="16">
        <f>(2*F352+G352+2*H352)/5/100</f>
        <v>0.57014032968729067</v>
      </c>
      <c r="J352" s="15">
        <f>VLOOKUP(A352,Demográfico!A$2:E$400,5,FALSE)/(VLOOKUP(C352,Controle!A$2:G$9,7,FALSE))*D352</f>
        <v>5.0678205868067698E-2</v>
      </c>
      <c r="K352" s="15">
        <f>VLOOKUP(A352,Demográfico!A$2:E$400,5,FALSE)/(VLOOKUP(C352,Controle!A$16:G$24,7,FALSE))*E352</f>
        <v>1.7540016866785031E-2</v>
      </c>
      <c r="L352" s="118">
        <f>((J352*(1+I352))+3*(I352+K352))/4</f>
        <v>0.46065323363296884</v>
      </c>
      <c r="M352" s="3">
        <v>1</v>
      </c>
      <c r="N352" s="88">
        <f>VLOOKUP(A352,Demográfico!A$2:E$400,5,FALSE)*I352</f>
        <v>246.87076275459685</v>
      </c>
      <c r="O352" s="96">
        <f>FLOOR(L352,1)</f>
        <v>0</v>
      </c>
      <c r="P352" s="96">
        <f>L352-O352</f>
        <v>0.46065323363296884</v>
      </c>
      <c r="Q352" s="87">
        <f>RANK(P352,P$2:P$400,0)</f>
        <v>200</v>
      </c>
      <c r="R352" s="3">
        <f>O352+IF(Q352&lt;Q$1,1,0)</f>
        <v>0</v>
      </c>
      <c r="T352" s="87">
        <f>VLOOKUP(A352,Demográfico!A$2:E$400,5,FALSE)*(I352)</f>
        <v>246.87076275459685</v>
      </c>
    </row>
    <row r="353" spans="1:20" ht="19.5" x14ac:dyDescent="0.25">
      <c r="A353" s="2" t="s">
        <v>358</v>
      </c>
      <c r="B353" s="37">
        <v>3512</v>
      </c>
      <c r="C353" s="4" t="str" cm="1">
        <f t="array" ref="C353">_xlfn.IFS(B353&lt;20000, "P1",B353&lt;40000, "P2",B353&lt;70000, "P3",B353&lt;100000, "P4",B353&lt;200000,"M1",B353&lt;500000,"M2",B353&lt;1000000,"G1",B353&gt;1000000,"G2")</f>
        <v>P1</v>
      </c>
      <c r="D353" s="13">
        <f>VLOOKUP(C353,Controle!A$2:H$9,8,FALSE)</f>
        <v>38.874046212109647</v>
      </c>
      <c r="E353" s="13">
        <f>VLOOKUP(C353,Controle!A$16:H$23,8,FALSE)</f>
        <v>13.454529704853227</v>
      </c>
      <c r="F353" s="5">
        <f>VLOOKUP(A353,Educacional!A$2:P$405,16,FALSE)</f>
        <v>45.465343570045889</v>
      </c>
      <c r="G353" s="6">
        <f>VLOOKUP(A353,Demográfico!A$2:L$405,12,FALSE)</f>
        <v>21.745600611722686</v>
      </c>
      <c r="H353" s="7">
        <f>VLOOKUP(A353,Socioeconômico!A$2:M$405,13,FALSE)</f>
        <v>52.636900348928272</v>
      </c>
      <c r="I353" s="16">
        <f>(2*F353+G353+2*H353)/5/100</f>
        <v>0.43590017689934202</v>
      </c>
      <c r="J353" s="15">
        <f>VLOOKUP(A353,Demográfico!A$2:E$400,5,FALSE)/(VLOOKUP(C353,Controle!A$2:G$9,7,FALSE))*D353</f>
        <v>4.2836543528205026E-2</v>
      </c>
      <c r="K353" s="15">
        <f>VLOOKUP(A353,Demográfico!A$2:E$400,5,FALSE)/(VLOOKUP(C353,Controle!A$16:G$24,7,FALSE))*E353</f>
        <v>1.4825972686474183E-2</v>
      </c>
      <c r="L353" s="118">
        <f>((J353*(1+I353))+3*(I353+K353))/4</f>
        <v>0.35342186229683864</v>
      </c>
      <c r="M353" s="3">
        <v>0</v>
      </c>
      <c r="N353" s="88">
        <f>VLOOKUP(A353,Demográfico!A$2:E$400,5,FALSE)*I353</f>
        <v>159.53946474515917</v>
      </c>
      <c r="O353" s="96">
        <f>FLOOR(L353,1)</f>
        <v>0</v>
      </c>
      <c r="P353" s="96">
        <f>L353-O353</f>
        <v>0.35342186229683864</v>
      </c>
      <c r="Q353" s="87">
        <f>RANK(P353,P$2:P$400,0)</f>
        <v>326</v>
      </c>
      <c r="R353" s="3">
        <f>O353+IF(Q353&lt;Q$1,1,0)</f>
        <v>0</v>
      </c>
      <c r="T353" s="87">
        <f>VLOOKUP(A353,Demográfico!A$2:E$400,5,FALSE)*(I353)</f>
        <v>159.53946474515917</v>
      </c>
    </row>
    <row r="354" spans="1:20" ht="19.5" x14ac:dyDescent="0.25">
      <c r="A354" s="2" t="s">
        <v>359</v>
      </c>
      <c r="B354" s="37">
        <v>3461</v>
      </c>
      <c r="C354" s="4" t="str" cm="1">
        <f t="array" ref="C354">_xlfn.IFS(B354&lt;20000, "P1",B354&lt;40000, "P2",B354&lt;70000, "P3",B354&lt;100000, "P4",B354&lt;200000,"M1",B354&lt;500000,"M2",B354&lt;1000000,"G1",B354&gt;1000000,"G2")</f>
        <v>P1</v>
      </c>
      <c r="D354" s="13">
        <f>VLOOKUP(C354,Controle!A$2:H$9,8,FALSE)</f>
        <v>38.874046212109647</v>
      </c>
      <c r="E354" s="13">
        <f>VLOOKUP(C354,Controle!A$16:H$23,8,FALSE)</f>
        <v>13.454529704853227</v>
      </c>
      <c r="F354" s="5">
        <f>VLOOKUP(A354,Educacional!A$2:P$405,16,FALSE)</f>
        <v>33.317242262748827</v>
      </c>
      <c r="G354" s="6">
        <f>VLOOKUP(A354,Demográfico!A$2:L$405,12,FALSE)</f>
        <v>36.495820446731919</v>
      </c>
      <c r="H354" s="7">
        <f>VLOOKUP(A354,Socioeconômico!A$2:M$405,13,FALSE)</f>
        <v>55.17293888295923</v>
      </c>
      <c r="I354" s="16">
        <f>(2*F354+G354+2*H354)/5/100</f>
        <v>0.42695236547629606</v>
      </c>
      <c r="J354" s="15">
        <f>VLOOKUP(A354,Demográfico!A$2:E$400,5,FALSE)/(VLOOKUP(C354,Controle!A$2:G$9,7,FALSE))*D354</f>
        <v>5.2667881387137329E-2</v>
      </c>
      <c r="K354" s="15">
        <f>VLOOKUP(A354,Demográfico!A$2:E$400,5,FALSE)/(VLOOKUP(C354,Controle!A$16:G$24,7,FALSE))*E354</f>
        <v>1.8228654942386291E-2</v>
      </c>
      <c r="L354" s="118">
        <f>((J354*(1+I354))+3*(I354+K354))/4</f>
        <v>0.35267440479651191</v>
      </c>
      <c r="M354" s="3">
        <v>0</v>
      </c>
      <c r="N354" s="88">
        <f>VLOOKUP(A354,Demográfico!A$2:E$400,5,FALSE)*I354</f>
        <v>192.12856446433324</v>
      </c>
      <c r="O354" s="96">
        <f>FLOOR(L354,1)</f>
        <v>0</v>
      </c>
      <c r="P354" s="96">
        <f>L354-O354</f>
        <v>0.35267440479651191</v>
      </c>
      <c r="Q354" s="87">
        <f>RANK(P354,P$2:P$400,0)</f>
        <v>327</v>
      </c>
      <c r="R354" s="3">
        <f>O354+IF(Q354&lt;Q$1,1,0)</f>
        <v>0</v>
      </c>
      <c r="T354" s="87">
        <f>VLOOKUP(A354,Demográfico!A$2:E$400,5,FALSE)*(I354)</f>
        <v>192.12856446433324</v>
      </c>
    </row>
    <row r="355" spans="1:20" ht="19.5" x14ac:dyDescent="0.25">
      <c r="A355" s="2" t="s">
        <v>360</v>
      </c>
      <c r="B355" s="37">
        <v>3440</v>
      </c>
      <c r="C355" s="4" t="str" cm="1">
        <f t="array" ref="C355">_xlfn.IFS(B355&lt;20000, "P1",B355&lt;40000, "P2",B355&lt;70000, "P3",B355&lt;100000, "P4",B355&lt;200000,"M1",B355&lt;500000,"M2",B355&lt;1000000,"G1",B355&gt;1000000,"G2")</f>
        <v>P1</v>
      </c>
      <c r="D355" s="13">
        <f>VLOOKUP(C355,Controle!A$2:H$9,8,FALSE)</f>
        <v>38.874046212109647</v>
      </c>
      <c r="E355" s="13">
        <f>VLOOKUP(C355,Controle!A$16:H$23,8,FALSE)</f>
        <v>13.454529704853227</v>
      </c>
      <c r="F355" s="5">
        <f>VLOOKUP(A355,Educacional!A$2:P$405,16,FALSE)</f>
        <v>70.383371979062233</v>
      </c>
      <c r="G355" s="6">
        <f>VLOOKUP(A355,Demográfico!A$2:L$405,12,FALSE)</f>
        <v>32.389452926875556</v>
      </c>
      <c r="H355" s="7">
        <f>VLOOKUP(A355,Socioeconômico!A$2:M$405,13,FALSE)</f>
        <v>35.419002640448092</v>
      </c>
      <c r="I355" s="16">
        <f>(2*F355+G355+2*H355)/5/100</f>
        <v>0.48798840433179236</v>
      </c>
      <c r="J355" s="15">
        <f>VLOOKUP(A355,Demográfico!A$2:E$400,5,FALSE)/(VLOOKUP(C355,Controle!A$2:G$9,7,FALSE))*D355</f>
        <v>4.8571490612582209E-2</v>
      </c>
      <c r="K355" s="15">
        <f>VLOOKUP(A355,Demográfico!A$2:E$400,5,FALSE)/(VLOOKUP(C355,Controle!A$16:G$24,7,FALSE))*E355</f>
        <v>1.6810870669089581E-2</v>
      </c>
      <c r="L355" s="118">
        <f>((J355*(1+I355))+3*(I355+K355))/4</f>
        <v>0.39666790995381968</v>
      </c>
      <c r="M355" s="3">
        <v>1</v>
      </c>
      <c r="N355" s="88">
        <f>VLOOKUP(A355,Demográfico!A$2:E$400,5,FALSE)*I355</f>
        <v>202.51518779769384</v>
      </c>
      <c r="O355" s="96">
        <f>FLOOR(L355,1)</f>
        <v>0</v>
      </c>
      <c r="P355" s="96">
        <f>L355-O355</f>
        <v>0.39666790995381968</v>
      </c>
      <c r="Q355" s="87">
        <f>RANK(P355,P$2:P$400,0)</f>
        <v>289</v>
      </c>
      <c r="R355" s="3">
        <f>O355+IF(Q355&lt;Q$1,1,0)</f>
        <v>0</v>
      </c>
      <c r="T355" s="87">
        <f>VLOOKUP(A355,Demográfico!A$2:E$400,5,FALSE)*(I355)</f>
        <v>202.51518779769384</v>
      </c>
    </row>
    <row r="356" spans="1:20" ht="19.5" x14ac:dyDescent="0.25">
      <c r="A356" s="2" t="s">
        <v>361</v>
      </c>
      <c r="B356" s="37">
        <v>3394</v>
      </c>
      <c r="C356" s="4" t="str" cm="1">
        <f t="array" ref="C356">_xlfn.IFS(B356&lt;20000, "P1",B356&lt;40000, "P2",B356&lt;70000, "P3",B356&lt;100000, "P4",B356&lt;200000,"M1",B356&lt;500000,"M2",B356&lt;1000000,"G1",B356&gt;1000000,"G2")</f>
        <v>P1</v>
      </c>
      <c r="D356" s="13">
        <f>VLOOKUP(C356,Controle!A$2:H$9,8,FALSE)</f>
        <v>38.874046212109647</v>
      </c>
      <c r="E356" s="13">
        <f>VLOOKUP(C356,Controle!A$16:H$23,8,FALSE)</f>
        <v>13.454529704853227</v>
      </c>
      <c r="F356" s="5">
        <f>VLOOKUP(A356,Educacional!A$2:P$405,16,FALSE)</f>
        <v>42.735704663018581</v>
      </c>
      <c r="G356" s="6">
        <f>VLOOKUP(A356,Demográfico!A$2:L$405,12,FALSE)</f>
        <v>62.270231934735534</v>
      </c>
      <c r="H356" s="7">
        <f>VLOOKUP(A356,Socioeconômico!A$2:M$405,13,FALSE)</f>
        <v>64.394994213053181</v>
      </c>
      <c r="I356" s="16">
        <f>(2*F356+G356+2*H356)/5/100</f>
        <v>0.55306325937375811</v>
      </c>
      <c r="J356" s="15">
        <f>VLOOKUP(A356,Demográfico!A$2:E$400,5,FALSE)/(VLOOKUP(C356,Controle!A$2:G$9,7,FALSE))*D356</f>
        <v>5.301900059638491E-2</v>
      </c>
      <c r="K356" s="15">
        <f>VLOOKUP(A356,Demográfico!A$2:E$400,5,FALSE)/(VLOOKUP(C356,Controle!A$16:G$24,7,FALSE))*E356</f>
        <v>1.8350179308668866E-2</v>
      </c>
      <c r="L356" s="118">
        <f>((J356*(1+I356))+3*(I356+K356))/4</f>
        <v>0.44914554448056043</v>
      </c>
      <c r="M356" s="3">
        <v>0</v>
      </c>
      <c r="N356" s="88">
        <f>VLOOKUP(A356,Demográfico!A$2:E$400,5,FALSE)*I356</f>
        <v>250.53765649631242</v>
      </c>
      <c r="O356" s="96">
        <f>FLOOR(L356,1)</f>
        <v>0</v>
      </c>
      <c r="P356" s="96">
        <f>L356-O356</f>
        <v>0.44914554448056043</v>
      </c>
      <c r="Q356" s="87">
        <f>RANK(P356,P$2:P$400,0)</f>
        <v>213</v>
      </c>
      <c r="R356" s="3">
        <f>O356+IF(Q356&lt;Q$1,1,0)</f>
        <v>0</v>
      </c>
      <c r="T356" s="87">
        <f>VLOOKUP(A356,Demográfico!A$2:E$400,5,FALSE)*(I356)</f>
        <v>250.53765649631242</v>
      </c>
    </row>
    <row r="357" spans="1:20" ht="19.5" x14ac:dyDescent="0.25">
      <c r="A357" s="2" t="s">
        <v>362</v>
      </c>
      <c r="B357" s="37">
        <v>3365</v>
      </c>
      <c r="C357" s="4" t="str" cm="1">
        <f t="array" ref="C357">_xlfn.IFS(B357&lt;20000, "P1",B357&lt;40000, "P2",B357&lt;70000, "P3",B357&lt;100000, "P4",B357&lt;200000,"M1",B357&lt;500000,"M2",B357&lt;1000000,"G1",B357&gt;1000000,"G2")</f>
        <v>P1</v>
      </c>
      <c r="D357" s="13">
        <f>VLOOKUP(C357,Controle!A$2:H$9,8,FALSE)</f>
        <v>38.874046212109647</v>
      </c>
      <c r="E357" s="13">
        <f>VLOOKUP(C357,Controle!A$16:H$23,8,FALSE)</f>
        <v>13.454529704853227</v>
      </c>
      <c r="F357" s="5">
        <f>VLOOKUP(A357,Educacional!A$2:P$405,16,FALSE)</f>
        <v>34.636092866183063</v>
      </c>
      <c r="G357" s="6">
        <f>VLOOKUP(A357,Demográfico!A$2:L$405,12,FALSE)</f>
        <v>77.28498564427791</v>
      </c>
      <c r="H357" s="7">
        <f>VLOOKUP(A357,Socioeconômico!A$2:M$405,13,FALSE)</f>
        <v>47.87651450807401</v>
      </c>
      <c r="I357" s="16">
        <f>(2*F357+G357+2*H357)/5/100</f>
        <v>0.4846204007855841</v>
      </c>
      <c r="J357" s="15">
        <f>VLOOKUP(A357,Demográfico!A$2:E$400,5,FALSE)/(VLOOKUP(C357,Controle!A$2:G$9,7,FALSE))*D357</f>
        <v>4.9624848240324954E-2</v>
      </c>
      <c r="K357" s="15">
        <f>VLOOKUP(A357,Demográfico!A$2:E$400,5,FALSE)/(VLOOKUP(C357,Controle!A$16:G$24,7,FALSE))*E357</f>
        <v>1.7175443767937306E-2</v>
      </c>
      <c r="L357" s="118">
        <f>((J357*(1+I357))+3*(I357+K357))/4</f>
        <v>0.39476539893600987</v>
      </c>
      <c r="M357" s="3">
        <v>0</v>
      </c>
      <c r="N357" s="88">
        <f>VLOOKUP(A357,Demográfico!A$2:E$400,5,FALSE)*I357</f>
        <v>205.47904993308765</v>
      </c>
      <c r="O357" s="96">
        <f>FLOOR(L357,1)</f>
        <v>0</v>
      </c>
      <c r="P357" s="96">
        <f>L357-O357</f>
        <v>0.39476539893600987</v>
      </c>
      <c r="Q357" s="87">
        <f>RANK(P357,P$2:P$400,0)</f>
        <v>292</v>
      </c>
      <c r="R357" s="3">
        <f>O357+IF(Q357&lt;Q$1,1,0)</f>
        <v>0</v>
      </c>
      <c r="T357" s="87">
        <f>VLOOKUP(A357,Demográfico!A$2:E$400,5,FALSE)*(I357)</f>
        <v>205.47904993308765</v>
      </c>
    </row>
    <row r="358" spans="1:20" ht="19.5" x14ac:dyDescent="0.25">
      <c r="A358" s="2" t="s">
        <v>363</v>
      </c>
      <c r="B358" s="37">
        <v>3356</v>
      </c>
      <c r="C358" s="4" t="str" cm="1">
        <f t="array" ref="C358">_xlfn.IFS(B358&lt;20000, "P1",B358&lt;40000, "P2",B358&lt;70000, "P3",B358&lt;100000, "P4",B358&lt;200000,"M1",B358&lt;500000,"M2",B358&lt;1000000,"G1",B358&gt;1000000,"G2")</f>
        <v>P1</v>
      </c>
      <c r="D358" s="13">
        <f>VLOOKUP(C358,Controle!A$2:H$9,8,FALSE)</f>
        <v>38.874046212109647</v>
      </c>
      <c r="E358" s="13">
        <f>VLOOKUP(C358,Controle!A$16:H$23,8,FALSE)</f>
        <v>13.454529704853227</v>
      </c>
      <c r="F358" s="5">
        <f>VLOOKUP(A358,Educacional!A$2:P$405,16,FALSE)</f>
        <v>42.977199436541689</v>
      </c>
      <c r="G358" s="6">
        <f>VLOOKUP(A358,Demográfico!A$2:L$405,12,FALSE)</f>
        <v>62.832944090398868</v>
      </c>
      <c r="H358" s="7">
        <f>VLOOKUP(A358,Socioeconômico!A$2:M$405,13,FALSE)</f>
        <v>57.012321991449951</v>
      </c>
      <c r="I358" s="16">
        <f>(2*F358+G358+2*H358)/5/100</f>
        <v>0.52562397389276427</v>
      </c>
      <c r="J358" s="15">
        <f>VLOOKUP(A358,Demográfico!A$2:E$400,5,FALSE)/(VLOOKUP(C358,Controle!A$2:G$9,7,FALSE))*D358</f>
        <v>5.7700590053019342E-2</v>
      </c>
      <c r="K358" s="15">
        <f>VLOOKUP(A358,Demográfico!A$2:E$400,5,FALSE)/(VLOOKUP(C358,Controle!A$16:G$24,7,FALSE))*E358</f>
        <v>1.9970504192436539E-2</v>
      </c>
      <c r="L358" s="118">
        <f>((J358*(1+I358))+3*(I358+K358))/4</f>
        <v>0.43120320943706181</v>
      </c>
      <c r="M358" s="3">
        <v>0</v>
      </c>
      <c r="N358" s="88">
        <f>VLOOKUP(A358,Demográfico!A$2:E$400,5,FALSE)*I358</f>
        <v>259.13261912913276</v>
      </c>
      <c r="O358" s="96">
        <f>FLOOR(L358,1)</f>
        <v>0</v>
      </c>
      <c r="P358" s="96">
        <f>L358-O358</f>
        <v>0.43120320943706181</v>
      </c>
      <c r="Q358" s="87">
        <f>RANK(P358,P$2:P$400,0)</f>
        <v>241</v>
      </c>
      <c r="R358" s="3">
        <f>O358+IF(Q358&lt;Q$1,1,0)</f>
        <v>0</v>
      </c>
      <c r="T358" s="87">
        <f>VLOOKUP(A358,Demográfico!A$2:E$400,5,FALSE)*(I358)</f>
        <v>259.13261912913276</v>
      </c>
    </row>
    <row r="359" spans="1:20" ht="19.5" x14ac:dyDescent="0.25">
      <c r="A359" s="2" t="s">
        <v>364</v>
      </c>
      <c r="B359" s="37">
        <v>3333</v>
      </c>
      <c r="C359" s="4" t="str" cm="1">
        <f t="array" ref="C359">_xlfn.IFS(B359&lt;20000, "P1",B359&lt;40000, "P2",B359&lt;70000, "P3",B359&lt;100000, "P4",B359&lt;200000,"M1",B359&lt;500000,"M2",B359&lt;1000000,"G1",B359&gt;1000000,"G2")</f>
        <v>P1</v>
      </c>
      <c r="D359" s="13">
        <f>VLOOKUP(C359,Controle!A$2:H$9,8,FALSE)</f>
        <v>38.874046212109647</v>
      </c>
      <c r="E359" s="13">
        <f>VLOOKUP(C359,Controle!A$16:H$23,8,FALSE)</f>
        <v>13.454529704853227</v>
      </c>
      <c r="F359" s="5">
        <f>VLOOKUP(A359,Educacional!A$2:P$405,16,FALSE)</f>
        <v>52.458438012254341</v>
      </c>
      <c r="G359" s="6">
        <f>VLOOKUP(A359,Demográfico!A$2:L$405,12,FALSE)</f>
        <v>51.04773473420228</v>
      </c>
      <c r="H359" s="7">
        <f>VLOOKUP(A359,Socioeconômico!A$2:M$405,13,FALSE)</f>
        <v>63.445499584792998</v>
      </c>
      <c r="I359" s="16">
        <f>(2*F359+G359+2*H359)/5/100</f>
        <v>0.56571121985659401</v>
      </c>
      <c r="J359" s="15">
        <f>VLOOKUP(A359,Demográfico!A$2:E$400,5,FALSE)/(VLOOKUP(C359,Controle!A$2:G$9,7,FALSE))*D359</f>
        <v>4.8337411139750479E-2</v>
      </c>
      <c r="K359" s="15">
        <f>VLOOKUP(A359,Demográfico!A$2:E$400,5,FALSE)/(VLOOKUP(C359,Controle!A$16:G$24,7,FALSE))*E359</f>
        <v>1.6729854424901196E-2</v>
      </c>
      <c r="L359" s="118">
        <f>((J359*(1+I359))+3*(I359+K359))/4</f>
        <v>0.45575141245120349</v>
      </c>
      <c r="M359" s="3">
        <v>0</v>
      </c>
      <c r="N359" s="88">
        <f>VLOOKUP(A359,Demográfico!A$2:E$400,5,FALSE)*I359</f>
        <v>233.63873380077334</v>
      </c>
      <c r="O359" s="96">
        <f>FLOOR(L359,1)</f>
        <v>0</v>
      </c>
      <c r="P359" s="96">
        <f>L359-O359</f>
        <v>0.45575141245120349</v>
      </c>
      <c r="Q359" s="87">
        <f>RANK(P359,P$2:P$400,0)</f>
        <v>205</v>
      </c>
      <c r="R359" s="3">
        <f>O359+IF(Q359&lt;Q$1,1,0)</f>
        <v>0</v>
      </c>
      <c r="T359" s="87">
        <f>VLOOKUP(A359,Demográfico!A$2:E$400,5,FALSE)*(I359)</f>
        <v>233.63873380077334</v>
      </c>
    </row>
    <row r="360" spans="1:20" ht="19.5" x14ac:dyDescent="0.25">
      <c r="A360" s="2" t="s">
        <v>365</v>
      </c>
      <c r="B360" s="37">
        <v>3280</v>
      </c>
      <c r="C360" s="4" t="str" cm="1">
        <f t="array" ref="C360">_xlfn.IFS(B360&lt;20000, "P1",B360&lt;40000, "P2",B360&lt;70000, "P3",B360&lt;100000, "P4",B360&lt;200000,"M1",B360&lt;500000,"M2",B360&lt;1000000,"G1",B360&gt;1000000,"G2")</f>
        <v>P1</v>
      </c>
      <c r="D360" s="13">
        <f>VLOOKUP(C360,Controle!A$2:H$9,8,FALSE)</f>
        <v>38.874046212109647</v>
      </c>
      <c r="E360" s="13">
        <f>VLOOKUP(C360,Controle!A$16:H$23,8,FALSE)</f>
        <v>13.454529704853227</v>
      </c>
      <c r="F360" s="5">
        <f>VLOOKUP(A360,Educacional!A$2:P$405,16,FALSE)</f>
        <v>24.603782014765255</v>
      </c>
      <c r="G360" s="6">
        <f>VLOOKUP(A360,Demográfico!A$2:L$405,12,FALSE)</f>
        <v>35.160942370692787</v>
      </c>
      <c r="H360" s="7">
        <f>VLOOKUP(A360,Socioeconômico!A$2:M$405,13,FALSE)</f>
        <v>46.980375813548186</v>
      </c>
      <c r="I360" s="16">
        <f>(2*F360+G360+2*H360)/5/100</f>
        <v>0.35665851605463933</v>
      </c>
      <c r="J360" s="15">
        <f>VLOOKUP(A360,Demográfico!A$2:E$400,5,FALSE)/(VLOOKUP(C360,Controle!A$2:G$9,7,FALSE))*D360</f>
        <v>4.7049974039176011E-2</v>
      </c>
      <c r="K360" s="15">
        <f>VLOOKUP(A360,Demográfico!A$2:E$400,5,FALSE)/(VLOOKUP(C360,Controle!A$16:G$24,7,FALSE))*E360</f>
        <v>1.6284265081865087E-2</v>
      </c>
      <c r="L360" s="118">
        <f>((J360*(1+I360))+3*(I360+K360))/4</f>
        <v>0.29566477284247777</v>
      </c>
      <c r="M360" s="3">
        <v>0</v>
      </c>
      <c r="N360" s="88">
        <f>VLOOKUP(A360,Demográfico!A$2:E$400,5,FALSE)*I360</f>
        <v>143.37672345396501</v>
      </c>
      <c r="O360" s="96">
        <f>FLOOR(L360,1)</f>
        <v>0</v>
      </c>
      <c r="P360" s="96">
        <f>L360-O360</f>
        <v>0.29566477284247777</v>
      </c>
      <c r="Q360" s="87">
        <f>RANK(P360,P$2:P$400,0)</f>
        <v>362</v>
      </c>
      <c r="R360" s="3">
        <f>O360+IF(Q360&lt;Q$1,1,0)</f>
        <v>0</v>
      </c>
      <c r="T360" s="87">
        <f>VLOOKUP(A360,Demográfico!A$2:E$400,5,FALSE)*(I360)</f>
        <v>143.37672345396501</v>
      </c>
    </row>
    <row r="361" spans="1:20" ht="19.5" x14ac:dyDescent="0.25">
      <c r="A361" s="2" t="s">
        <v>366</v>
      </c>
      <c r="B361" s="37">
        <v>3267</v>
      </c>
      <c r="C361" s="4" t="str" cm="1">
        <f t="array" ref="C361">_xlfn.IFS(B361&lt;20000, "P1",B361&lt;40000, "P2",B361&lt;70000, "P3",B361&lt;100000, "P4",B361&lt;200000,"M1",B361&lt;500000,"M2",B361&lt;1000000,"G1",B361&gt;1000000,"G2")</f>
        <v>P1</v>
      </c>
      <c r="D361" s="13">
        <f>VLOOKUP(C361,Controle!A$2:H$9,8,FALSE)</f>
        <v>38.874046212109647</v>
      </c>
      <c r="E361" s="13">
        <f>VLOOKUP(C361,Controle!A$16:H$23,8,FALSE)</f>
        <v>13.454529704853227</v>
      </c>
      <c r="F361" s="5">
        <f>VLOOKUP(A361,Educacional!A$2:P$405,16,FALSE)</f>
        <v>61.750066935922334</v>
      </c>
      <c r="G361" s="6">
        <f>VLOOKUP(A361,Demográfico!A$2:L$405,12,FALSE)</f>
        <v>80.026523250380492</v>
      </c>
      <c r="H361" s="7">
        <f>VLOOKUP(A361,Socioeconômico!A$2:M$405,13,FALSE)</f>
        <v>62.609233709912857</v>
      </c>
      <c r="I361" s="16">
        <f>(2*F361+G361+2*H361)/5/100</f>
        <v>0.65749024908410181</v>
      </c>
      <c r="J361" s="15">
        <f>VLOOKUP(A361,Demográfico!A$2:E$400,5,FALSE)/(VLOOKUP(C361,Controle!A$2:G$9,7,FALSE))*D361</f>
        <v>4.6113656147849125E-2</v>
      </c>
      <c r="K361" s="15">
        <f>VLOOKUP(A361,Demográfico!A$2:E$400,5,FALSE)/(VLOOKUP(C361,Controle!A$16:G$24,7,FALSE))*E361</f>
        <v>1.5960200105111552E-2</v>
      </c>
      <c r="L361" s="118">
        <f>((J361*(1+I361))+3*(I361+K361))/4</f>
        <v>0.52419607074557928</v>
      </c>
      <c r="M361" s="3">
        <v>1</v>
      </c>
      <c r="N361" s="88">
        <f>VLOOKUP(A361,Demográfico!A$2:E$400,5,FALSE)*I361</f>
        <v>259.05115813913613</v>
      </c>
      <c r="O361" s="96">
        <f>FLOOR(L361,1)</f>
        <v>0</v>
      </c>
      <c r="P361" s="96">
        <f>L361-O361</f>
        <v>0.52419607074557928</v>
      </c>
      <c r="Q361" s="87">
        <f>RANK(P361,P$2:P$400,0)</f>
        <v>133</v>
      </c>
      <c r="R361" s="3">
        <f>O361+IF(Q361&lt;Q$1,1,0)</f>
        <v>1</v>
      </c>
      <c r="T361" s="87">
        <f>VLOOKUP(A361,Demográfico!A$2:E$400,5,FALSE)*(I361)</f>
        <v>259.05115813913613</v>
      </c>
    </row>
    <row r="362" spans="1:20" ht="19.5" x14ac:dyDescent="0.25">
      <c r="A362" s="2" t="s">
        <v>367</v>
      </c>
      <c r="B362" s="37">
        <v>3235</v>
      </c>
      <c r="C362" s="4" t="str" cm="1">
        <f t="array" ref="C362">_xlfn.IFS(B362&lt;20000, "P1",B362&lt;40000, "P2",B362&lt;70000, "P3",B362&lt;100000, "P4",B362&lt;200000,"M1",B362&lt;500000,"M2",B362&lt;1000000,"G1",B362&gt;1000000,"G2")</f>
        <v>P1</v>
      </c>
      <c r="D362" s="13">
        <f>VLOOKUP(C362,Controle!A$2:H$9,8,FALSE)</f>
        <v>38.874046212109647</v>
      </c>
      <c r="E362" s="13">
        <f>VLOOKUP(C362,Controle!A$16:H$23,8,FALSE)</f>
        <v>13.454529704853227</v>
      </c>
      <c r="F362" s="5">
        <f>VLOOKUP(A362,Educacional!A$2:P$405,16,FALSE)</f>
        <v>31.489737123036964</v>
      </c>
      <c r="G362" s="6">
        <f>VLOOKUP(A362,Demográfico!A$2:L$405,12,FALSE)</f>
        <v>40.789614154095581</v>
      </c>
      <c r="H362" s="7">
        <f>VLOOKUP(A362,Socioeconômico!A$2:M$405,13,FALSE)</f>
        <v>43.877928477528613</v>
      </c>
      <c r="I362" s="16">
        <f>(2*F362+G362+2*H362)/5/100</f>
        <v>0.38304989071045348</v>
      </c>
      <c r="J362" s="15">
        <f>VLOOKUP(A362,Demográfico!A$2:E$400,5,FALSE)/(VLOOKUP(C362,Controle!A$2:G$9,7,FALSE))*D362</f>
        <v>5.1614523759394584E-2</v>
      </c>
      <c r="K362" s="15">
        <f>VLOOKUP(A362,Demográfico!A$2:E$400,5,FALSE)/(VLOOKUP(C362,Controle!A$16:G$24,7,FALSE))*E362</f>
        <v>1.7864081843538566E-2</v>
      </c>
      <c r="L362" s="118">
        <f>((J362*(1+I362))+3*(I362+K362))/4</f>
        <v>0.31853184477661972</v>
      </c>
      <c r="M362" s="3">
        <v>0</v>
      </c>
      <c r="N362" s="88">
        <f>VLOOKUP(A362,Demográfico!A$2:E$400,5,FALSE)*I362</f>
        <v>168.92500180330998</v>
      </c>
      <c r="O362" s="96">
        <f>FLOOR(L362,1)</f>
        <v>0</v>
      </c>
      <c r="P362" s="96">
        <f>L362-O362</f>
        <v>0.31853184477661972</v>
      </c>
      <c r="Q362" s="87">
        <f>RANK(P362,P$2:P$400,0)</f>
        <v>351</v>
      </c>
      <c r="R362" s="3">
        <f>O362+IF(Q362&lt;Q$1,1,0)</f>
        <v>0</v>
      </c>
      <c r="T362" s="87">
        <f>VLOOKUP(A362,Demográfico!A$2:E$400,5,FALSE)*(I362)</f>
        <v>168.92500180330998</v>
      </c>
    </row>
    <row r="363" spans="1:20" ht="19.5" x14ac:dyDescent="0.25">
      <c r="A363" s="2" t="s">
        <v>368</v>
      </c>
      <c r="B363" s="37">
        <v>3202</v>
      </c>
      <c r="C363" s="4" t="str" cm="1">
        <f t="array" ref="C363">_xlfn.IFS(B363&lt;20000, "P1",B363&lt;40000, "P2",B363&lt;70000, "P3",B363&lt;100000, "P4",B363&lt;200000,"M1",B363&lt;500000,"M2",B363&lt;1000000,"G1",B363&gt;1000000,"G2")</f>
        <v>P1</v>
      </c>
      <c r="D363" s="13">
        <f>VLOOKUP(C363,Controle!A$2:H$9,8,FALSE)</f>
        <v>38.874046212109647</v>
      </c>
      <c r="E363" s="13">
        <f>VLOOKUP(C363,Controle!A$16:H$23,8,FALSE)</f>
        <v>13.454529704853227</v>
      </c>
      <c r="F363" s="5">
        <f>VLOOKUP(A363,Educacional!A$2:P$405,16,FALSE)</f>
        <v>29.854680907991721</v>
      </c>
      <c r="G363" s="6">
        <f>VLOOKUP(A363,Demográfico!A$2:L$405,12,FALSE)</f>
        <v>34.299464677947405</v>
      </c>
      <c r="H363" s="7">
        <f>VLOOKUP(A363,Socioeconômico!A$2:M$405,13,FALSE)</f>
        <v>31.611581218969093</v>
      </c>
      <c r="I363" s="16">
        <f>(2*F363+G363+2*H363)/5/100</f>
        <v>0.31446397786373809</v>
      </c>
      <c r="J363" s="15">
        <f>VLOOKUP(A363,Demográfico!A$2:E$400,5,FALSE)/(VLOOKUP(C363,Controle!A$2:G$9,7,FALSE))*D363</f>
        <v>4.8220371403334621E-2</v>
      </c>
      <c r="K363" s="15">
        <f>VLOOKUP(A363,Demográfico!A$2:E$400,5,FALSE)/(VLOOKUP(C363,Controle!A$16:G$24,7,FALSE))*E363</f>
        <v>1.6689346302807002E-2</v>
      </c>
      <c r="L363" s="118">
        <f>((J363*(1+I363))+3*(I363+K363))/4</f>
        <v>0.26421097842713231</v>
      </c>
      <c r="M363" s="3">
        <v>0</v>
      </c>
      <c r="N363" s="88">
        <f>VLOOKUP(A363,Demográfico!A$2:E$400,5,FALSE)*I363</f>
        <v>129.55915887986009</v>
      </c>
      <c r="O363" s="96">
        <f>FLOOR(L363,1)</f>
        <v>0</v>
      </c>
      <c r="P363" s="96">
        <f>L363-O363</f>
        <v>0.26421097842713231</v>
      </c>
      <c r="Q363" s="87">
        <f>RANK(P363,P$2:P$400,0)</f>
        <v>376</v>
      </c>
      <c r="R363" s="3">
        <f>O363+IF(Q363&lt;Q$1,1,0)</f>
        <v>0</v>
      </c>
      <c r="T363" s="87">
        <f>VLOOKUP(A363,Demográfico!A$2:E$400,5,FALSE)*(I363)</f>
        <v>129.55915887986009</v>
      </c>
    </row>
    <row r="364" spans="1:20" ht="19.5" x14ac:dyDescent="0.25">
      <c r="A364" s="2" t="s">
        <v>369</v>
      </c>
      <c r="B364" s="37">
        <v>3197</v>
      </c>
      <c r="C364" s="4" t="str" cm="1">
        <f t="array" ref="C364">_xlfn.IFS(B364&lt;20000, "P1",B364&lt;40000, "P2",B364&lt;70000, "P3",B364&lt;100000, "P4",B364&lt;200000,"M1",B364&lt;500000,"M2",B364&lt;1000000,"G1",B364&gt;1000000,"G2")</f>
        <v>P1</v>
      </c>
      <c r="D364" s="13">
        <f>VLOOKUP(C364,Controle!A$2:H$9,8,FALSE)</f>
        <v>38.874046212109647</v>
      </c>
      <c r="E364" s="13">
        <f>VLOOKUP(C364,Controle!A$16:H$23,8,FALSE)</f>
        <v>13.454529704853227</v>
      </c>
      <c r="F364" s="5">
        <f>VLOOKUP(A364,Educacional!A$2:P$405,16,FALSE)</f>
        <v>53.51269631850807</v>
      </c>
      <c r="G364" s="6">
        <f>VLOOKUP(A364,Demográfico!A$2:L$405,12,FALSE)</f>
        <v>29.89951392603038</v>
      </c>
      <c r="H364" s="7">
        <f>VLOOKUP(A364,Socioeconômico!A$2:M$405,13,FALSE)</f>
        <v>51.28697109935937</v>
      </c>
      <c r="I364" s="16">
        <f>(2*F364+G364+2*H364)/5/100</f>
        <v>0.4789976975235305</v>
      </c>
      <c r="J364" s="15">
        <f>VLOOKUP(A364,Demográfico!A$2:E$400,5,FALSE)/(VLOOKUP(C364,Controle!A$2:G$9,7,FALSE))*D364</f>
        <v>4.3538781946700196E-2</v>
      </c>
      <c r="K364" s="15">
        <f>VLOOKUP(A364,Demográfico!A$2:E$400,5,FALSE)/(VLOOKUP(C364,Controle!A$16:G$24,7,FALSE))*E364</f>
        <v>1.5069021419039335E-2</v>
      </c>
      <c r="L364" s="118">
        <f>((J364*(1+I364))+3*(I364+K364))/4</f>
        <v>0.38664847876996455</v>
      </c>
      <c r="M364" s="3">
        <v>0</v>
      </c>
      <c r="N364" s="88">
        <f>VLOOKUP(A364,Demográfico!A$2:E$400,5,FALSE)*I364</f>
        <v>178.18714347875334</v>
      </c>
      <c r="O364" s="96">
        <f>FLOOR(L364,1)</f>
        <v>0</v>
      </c>
      <c r="P364" s="96">
        <f>L364-O364</f>
        <v>0.38664847876996455</v>
      </c>
      <c r="Q364" s="87">
        <f>RANK(P364,P$2:P$400,0)</f>
        <v>299</v>
      </c>
      <c r="R364" s="3">
        <f>O364+IF(Q364&lt;Q$1,1,0)</f>
        <v>0</v>
      </c>
      <c r="T364" s="87">
        <f>VLOOKUP(A364,Demográfico!A$2:E$400,5,FALSE)*(I364)</f>
        <v>178.18714347875334</v>
      </c>
    </row>
    <row r="365" spans="1:20" ht="19.5" x14ac:dyDescent="0.25">
      <c r="A365" s="2" t="s">
        <v>370</v>
      </c>
      <c r="B365" s="37">
        <v>3187</v>
      </c>
      <c r="C365" s="4" t="str" cm="1">
        <f t="array" ref="C365">_xlfn.IFS(B365&lt;20000, "P1",B365&lt;40000, "P2",B365&lt;70000, "P3",B365&lt;100000, "P4",B365&lt;200000,"M1",B365&lt;500000,"M2",B365&lt;1000000,"G1",B365&gt;1000000,"G2")</f>
        <v>P1</v>
      </c>
      <c r="D365" s="13">
        <f>VLOOKUP(C365,Controle!A$2:H$9,8,FALSE)</f>
        <v>38.874046212109647</v>
      </c>
      <c r="E365" s="13">
        <f>VLOOKUP(C365,Controle!A$16:H$23,8,FALSE)</f>
        <v>13.454529704853227</v>
      </c>
      <c r="F365" s="5">
        <f>VLOOKUP(A365,Educacional!A$2:P$405,16,FALSE)</f>
        <v>47.035532068057243</v>
      </c>
      <c r="G365" s="6">
        <f>VLOOKUP(A365,Demográfico!A$2:L$405,12,FALSE)</f>
        <v>29.879717536575669</v>
      </c>
      <c r="H365" s="7">
        <f>VLOOKUP(A365,Socioeconômico!A$2:M$405,13,FALSE)</f>
        <v>35.417926559454642</v>
      </c>
      <c r="I365" s="16">
        <f>(2*F365+G365+2*H365)/5/100</f>
        <v>0.38957326958319888</v>
      </c>
      <c r="J365" s="15">
        <f>VLOOKUP(A365,Demográfico!A$2:E$400,5,FALSE)/(VLOOKUP(C365,Controle!A$2:G$9,7,FALSE))*D365</f>
        <v>4.5411417729353962E-2</v>
      </c>
      <c r="K365" s="15">
        <f>VLOOKUP(A365,Demográfico!A$2:E$400,5,FALSE)/(VLOOKUP(C365,Controle!A$16:G$24,7,FALSE))*E365</f>
        <v>1.5717151372546402E-2</v>
      </c>
      <c r="L365" s="118">
        <f>((J365*(1+I365))+3*(I365+K365))/4</f>
        <v>0.31974343876945566</v>
      </c>
      <c r="M365" s="3">
        <v>0</v>
      </c>
      <c r="N365" s="88">
        <f>VLOOKUP(A365,Demográfico!A$2:E$400,5,FALSE)*I365</f>
        <v>151.15442859828116</v>
      </c>
      <c r="O365" s="96">
        <f>FLOOR(L365,1)</f>
        <v>0</v>
      </c>
      <c r="P365" s="96">
        <f>L365-O365</f>
        <v>0.31974343876945566</v>
      </c>
      <c r="Q365" s="87">
        <f>RANK(P365,P$2:P$400,0)</f>
        <v>349</v>
      </c>
      <c r="R365" s="3">
        <f>O365+IF(Q365&lt;Q$1,1,0)</f>
        <v>0</v>
      </c>
      <c r="T365" s="87">
        <f>VLOOKUP(A365,Demográfico!A$2:E$400,5,FALSE)*(I365)</f>
        <v>151.15442859828116</v>
      </c>
    </row>
    <row r="366" spans="1:20" ht="19.5" x14ac:dyDescent="0.25">
      <c r="A366" s="2" t="s">
        <v>371</v>
      </c>
      <c r="B366" s="37">
        <v>3182</v>
      </c>
      <c r="C366" s="4" t="str" cm="1">
        <f t="array" ref="C366">_xlfn.IFS(B366&lt;20000, "P1",B366&lt;40000, "P2",B366&lt;70000, "P3",B366&lt;100000, "P4",B366&lt;200000,"M1",B366&lt;500000,"M2",B366&lt;1000000,"G1",B366&gt;1000000,"G2")</f>
        <v>P1</v>
      </c>
      <c r="D366" s="13">
        <f>VLOOKUP(C366,Controle!A$2:H$9,8,FALSE)</f>
        <v>38.874046212109647</v>
      </c>
      <c r="E366" s="13">
        <f>VLOOKUP(C366,Controle!A$16:H$23,8,FALSE)</f>
        <v>13.454529704853227</v>
      </c>
      <c r="F366" s="5">
        <f>VLOOKUP(A366,Educacional!A$2:P$405,16,FALSE)</f>
        <v>34.706559633121358</v>
      </c>
      <c r="G366" s="6">
        <f>VLOOKUP(A366,Demográfico!A$2:L$405,12,FALSE)</f>
        <v>57.004321771836977</v>
      </c>
      <c r="H366" s="7">
        <f>VLOOKUP(A366,Socioeconômico!A$2:M$405,13,FALSE)</f>
        <v>35.624179741214512</v>
      </c>
      <c r="I366" s="16">
        <f>(2*F366+G366+2*H366)/5/100</f>
        <v>0.39533160104101739</v>
      </c>
      <c r="J366" s="15">
        <f>VLOOKUP(A366,Demográfico!A$2:E$400,5,FALSE)/(VLOOKUP(C366,Controle!A$2:G$9,7,FALSE))*D366</f>
        <v>4.9975967449572535E-2</v>
      </c>
      <c r="K366" s="15">
        <f>VLOOKUP(A366,Demográfico!A$2:E$400,5,FALSE)/(VLOOKUP(C366,Controle!A$16:G$24,7,FALSE))*E366</f>
        <v>1.7296968134219881E-2</v>
      </c>
      <c r="L366" s="118">
        <f>((J366*(1+I366))+3*(I366+K366))/4</f>
        <v>0.3269046885501744</v>
      </c>
      <c r="M366" s="3">
        <v>0</v>
      </c>
      <c r="N366" s="88">
        <f>VLOOKUP(A366,Demográfico!A$2:E$400,5,FALSE)*I366</f>
        <v>168.80659364451444</v>
      </c>
      <c r="O366" s="96">
        <f>FLOOR(L366,1)</f>
        <v>0</v>
      </c>
      <c r="P366" s="96">
        <f>L366-O366</f>
        <v>0.3269046885501744</v>
      </c>
      <c r="Q366" s="87">
        <f>RANK(P366,P$2:P$400,0)</f>
        <v>345</v>
      </c>
      <c r="R366" s="3">
        <f>O366+IF(Q366&lt;Q$1,1,0)</f>
        <v>0</v>
      </c>
      <c r="T366" s="87">
        <f>VLOOKUP(A366,Demográfico!A$2:E$400,5,FALSE)*(I366)</f>
        <v>168.80659364451444</v>
      </c>
    </row>
    <row r="367" spans="1:20" ht="19.5" x14ac:dyDescent="0.25">
      <c r="A367" s="2" t="s">
        <v>372</v>
      </c>
      <c r="B367" s="37">
        <v>3171</v>
      </c>
      <c r="C367" s="4" t="str" cm="1">
        <f t="array" ref="C367">_xlfn.IFS(B367&lt;20000, "P1",B367&lt;40000, "P2",B367&lt;70000, "P3",B367&lt;100000, "P4",B367&lt;200000,"M1",B367&lt;500000,"M2",B367&lt;1000000,"G1",B367&gt;1000000,"G2")</f>
        <v>P1</v>
      </c>
      <c r="D367" s="13">
        <f>VLOOKUP(C367,Controle!A$2:H$9,8,FALSE)</f>
        <v>38.874046212109647</v>
      </c>
      <c r="E367" s="13">
        <f>VLOOKUP(C367,Controle!A$16:H$23,8,FALSE)</f>
        <v>13.454529704853227</v>
      </c>
      <c r="F367" s="5">
        <f>VLOOKUP(A367,Educacional!A$2:P$405,16,FALSE)</f>
        <v>80.647564230911755</v>
      </c>
      <c r="G367" s="6">
        <f>VLOOKUP(A367,Demográfico!A$2:L$405,12,FALSE)</f>
        <v>89.060715309951348</v>
      </c>
      <c r="H367" s="7">
        <f>VLOOKUP(A367,Socioeconômico!A$2:M$405,13,FALSE)</f>
        <v>72.035410522019788</v>
      </c>
      <c r="I367" s="16">
        <f>(2*F367+G367+2*H367)/5/100</f>
        <v>0.7888533296316288</v>
      </c>
      <c r="J367" s="15">
        <f>VLOOKUP(A367,Demográfico!A$2:E$400,5,FALSE)/(VLOOKUP(C367,Controle!A$2:G$9,7,FALSE))*D367</f>
        <v>4.7635172721255316E-2</v>
      </c>
      <c r="K367" s="15">
        <f>VLOOKUP(A367,Demográfico!A$2:E$400,5,FALSE)/(VLOOKUP(C367,Controle!A$16:G$24,7,FALSE))*E367</f>
        <v>1.6486805692336043E-2</v>
      </c>
      <c r="L367" s="118">
        <f>((J367*(1+I367))+3*(I367+K367))/4</f>
        <v>0.62530818582547254</v>
      </c>
      <c r="M367" s="3">
        <v>1</v>
      </c>
      <c r="N367" s="132">
        <f>VLOOKUP(A367,Demográfico!A$2:E$400,5,FALSE)*I367</f>
        <v>321.0633051600729</v>
      </c>
      <c r="O367" s="96">
        <f>FLOOR(L367,1)</f>
        <v>0</v>
      </c>
      <c r="P367" s="96">
        <f>L367-O367</f>
        <v>0.62530818582547254</v>
      </c>
      <c r="Q367" s="87">
        <f>RANK(P367,P$2:P$400,0)</f>
        <v>59</v>
      </c>
      <c r="R367" s="3">
        <f>O367+IF(Q367&lt;Q$1,1,0)</f>
        <v>1</v>
      </c>
      <c r="T367" s="87">
        <f>VLOOKUP(A367,Demográfico!A$2:E$400,5,FALSE)*(I367)</f>
        <v>321.0633051600729</v>
      </c>
    </row>
    <row r="368" spans="1:20" ht="19.5" x14ac:dyDescent="0.25">
      <c r="A368" s="2" t="s">
        <v>373</v>
      </c>
      <c r="B368" s="37">
        <v>3125</v>
      </c>
      <c r="C368" s="4" t="str" cm="1">
        <f t="array" ref="C368">_xlfn.IFS(B368&lt;20000, "P1",B368&lt;40000, "P2",B368&lt;70000, "P3",B368&lt;100000, "P4",B368&lt;200000,"M1",B368&lt;500000,"M2",B368&lt;1000000,"G1",B368&gt;1000000,"G2")</f>
        <v>P1</v>
      </c>
      <c r="D368" s="13">
        <f>VLOOKUP(C368,Controle!A$2:H$9,8,FALSE)</f>
        <v>38.874046212109647</v>
      </c>
      <c r="E368" s="13">
        <f>VLOOKUP(C368,Controle!A$16:H$23,8,FALSE)</f>
        <v>13.454529704853227</v>
      </c>
      <c r="F368" s="5">
        <f>VLOOKUP(A368,Educacional!A$2:P$405,16,FALSE)</f>
        <v>47.094878612069479</v>
      </c>
      <c r="G368" s="6">
        <f>VLOOKUP(A368,Demográfico!A$2:L$405,12,FALSE)</f>
        <v>79.351873914134956</v>
      </c>
      <c r="H368" s="7">
        <f>VLOOKUP(A368,Socioeconômico!A$2:M$405,13,FALSE)</f>
        <v>40.126077648823511</v>
      </c>
      <c r="I368" s="16">
        <f>(2*F368+G368+2*H368)/5/100</f>
        <v>0.50758757287184186</v>
      </c>
      <c r="J368" s="15">
        <f>VLOOKUP(A368,Demográfico!A$2:E$400,5,FALSE)/(VLOOKUP(C368,Controle!A$2:G$9,7,FALSE))*D368</f>
        <v>4.0729828272719537E-2</v>
      </c>
      <c r="K368" s="15">
        <f>VLOOKUP(A368,Demográfico!A$2:E$400,5,FALSE)/(VLOOKUP(C368,Controle!A$16:G$24,7,FALSE))*E368</f>
        <v>1.4096826488778733E-2</v>
      </c>
      <c r="L368" s="118">
        <f>((J368*(1+I368))+3*(I368+K368))/4</f>
        <v>0.40661424525775453</v>
      </c>
      <c r="M368" s="3">
        <v>0</v>
      </c>
      <c r="N368" s="88">
        <f>VLOOKUP(A368,Demográfico!A$2:E$400,5,FALSE)*I368</f>
        <v>176.64047535940097</v>
      </c>
      <c r="O368" s="96">
        <f>FLOOR(L368,1)</f>
        <v>0</v>
      </c>
      <c r="P368" s="96">
        <f>L368-O368</f>
        <v>0.40661424525775453</v>
      </c>
      <c r="Q368" s="87">
        <f>RANK(P368,P$2:P$400,0)</f>
        <v>274</v>
      </c>
      <c r="R368" s="3">
        <f>O368+IF(Q368&lt;Q$1,1,0)</f>
        <v>0</v>
      </c>
      <c r="T368" s="87">
        <f>VLOOKUP(A368,Demográfico!A$2:E$400,5,FALSE)*(I368)</f>
        <v>176.64047535940097</v>
      </c>
    </row>
    <row r="369" spans="1:20" ht="19.5" x14ac:dyDescent="0.25">
      <c r="A369" s="2" t="s">
        <v>374</v>
      </c>
      <c r="B369" s="37">
        <v>3110</v>
      </c>
      <c r="C369" s="4" t="str" cm="1">
        <f t="array" ref="C369">_xlfn.IFS(B369&lt;20000, "P1",B369&lt;40000, "P2",B369&lt;70000, "P3",B369&lt;100000, "P4",B369&lt;200000,"M1",B369&lt;500000,"M2",B369&lt;1000000,"G1",B369&gt;1000000,"G2")</f>
        <v>P1</v>
      </c>
      <c r="D369" s="13">
        <f>VLOOKUP(C369,Controle!A$2:H$9,8,FALSE)</f>
        <v>38.874046212109647</v>
      </c>
      <c r="E369" s="13">
        <f>VLOOKUP(C369,Controle!A$16:H$23,8,FALSE)</f>
        <v>13.454529704853227</v>
      </c>
      <c r="F369" s="5">
        <f>VLOOKUP(A369,Educacional!A$2:P$405,16,FALSE)</f>
        <v>77.012900134830844</v>
      </c>
      <c r="G369" s="6">
        <f>VLOOKUP(A369,Demográfico!A$2:L$405,12,FALSE)</f>
        <v>59.344223187874455</v>
      </c>
      <c r="H369" s="7">
        <f>VLOOKUP(A369,Socioeconômico!A$2:M$405,13,FALSE)</f>
        <v>42.849881811054793</v>
      </c>
      <c r="I369" s="16">
        <f>(2*F369+G369+2*H369)/5/100</f>
        <v>0.59813957415929142</v>
      </c>
      <c r="J369" s="15">
        <f>VLOOKUP(A369,Demográfico!A$2:E$400,5,FALSE)/(VLOOKUP(C369,Controle!A$2:G$9,7,FALSE))*D369</f>
        <v>4.6464775357096706E-2</v>
      </c>
      <c r="K369" s="15">
        <f>VLOOKUP(A369,Demográfico!A$2:E$400,5,FALSE)/(VLOOKUP(C369,Controle!A$16:G$24,7,FALSE))*E369</f>
        <v>1.6081724471394127E-2</v>
      </c>
      <c r="L369" s="118">
        <f>((J369*(1+I369))+3*(I369+K369))/4</f>
        <v>0.47923027304866356</v>
      </c>
      <c r="M369" s="3">
        <v>1</v>
      </c>
      <c r="N369" s="88">
        <f>VLOOKUP(A369,Demográfico!A$2:E$400,5,FALSE)*I369</f>
        <v>237.46141094123868</v>
      </c>
      <c r="O369" s="96">
        <f>FLOOR(L369,1)</f>
        <v>0</v>
      </c>
      <c r="P369" s="96">
        <f>L369-O369</f>
        <v>0.47923027304866356</v>
      </c>
      <c r="Q369" s="87">
        <f>RANK(P369,P$2:P$400,0)</f>
        <v>175</v>
      </c>
      <c r="R369" s="3">
        <f>O369+IF(Q369&lt;Q$1,1,0)</f>
        <v>1</v>
      </c>
      <c r="T369" s="87">
        <f>VLOOKUP(A369,Demográfico!A$2:E$400,5,FALSE)*(I369)</f>
        <v>237.46141094123868</v>
      </c>
    </row>
    <row r="370" spans="1:20" ht="19.5" x14ac:dyDescent="0.25">
      <c r="A370" s="2" t="s">
        <v>375</v>
      </c>
      <c r="B370" s="37">
        <v>3055</v>
      </c>
      <c r="C370" s="4" t="str" cm="1">
        <f t="array" ref="C370">_xlfn.IFS(B370&lt;20000, "P1",B370&lt;40000, "P2",B370&lt;70000, "P3",B370&lt;100000, "P4",B370&lt;200000,"M1",B370&lt;500000,"M2",B370&lt;1000000,"G1",B370&gt;1000000,"G2")</f>
        <v>P1</v>
      </c>
      <c r="D370" s="13">
        <f>VLOOKUP(C370,Controle!A$2:H$9,8,FALSE)</f>
        <v>38.874046212109647</v>
      </c>
      <c r="E370" s="13">
        <f>VLOOKUP(C370,Controle!A$16:H$23,8,FALSE)</f>
        <v>13.454529704853227</v>
      </c>
      <c r="F370" s="5">
        <f>VLOOKUP(A370,Educacional!A$2:P$405,16,FALSE)</f>
        <v>29.720045146021963</v>
      </c>
      <c r="G370" s="6">
        <f>VLOOKUP(A370,Demográfico!A$2:L$405,12,FALSE)</f>
        <v>94.085463628934193</v>
      </c>
      <c r="H370" s="7">
        <f>VLOOKUP(A370,Socioeconômico!A$2:M$405,13,FALSE)</f>
        <v>45.628943615713055</v>
      </c>
      <c r="I370" s="16">
        <f>(2*F370+G370+2*H370)/5/100</f>
        <v>0.48956688230480849</v>
      </c>
      <c r="J370" s="15">
        <f>VLOOKUP(A370,Demográfico!A$2:E$400,5,FALSE)/(VLOOKUP(C370,Controle!A$2:G$9,7,FALSE))*D370</f>
        <v>5.102932507731528E-2</v>
      </c>
      <c r="K370" s="15">
        <f>VLOOKUP(A370,Demográfico!A$2:E$400,5,FALSE)/(VLOOKUP(C370,Controle!A$16:G$24,7,FALSE))*E370</f>
        <v>1.7661541233067606E-2</v>
      </c>
      <c r="L370" s="118">
        <f>((J370*(1+I370))+3*(I370+K370))/4</f>
        <v>0.39942421581879084</v>
      </c>
      <c r="M370" s="3">
        <v>0</v>
      </c>
      <c r="N370" s="88">
        <f>VLOOKUP(A370,Demográfico!A$2:E$400,5,FALSE)*I370</f>
        <v>213.45116068489651</v>
      </c>
      <c r="O370" s="96">
        <f>FLOOR(L370,1)</f>
        <v>0</v>
      </c>
      <c r="P370" s="96">
        <f>L370-O370</f>
        <v>0.39942421581879084</v>
      </c>
      <c r="Q370" s="87">
        <f>RANK(P370,P$2:P$400,0)</f>
        <v>284</v>
      </c>
      <c r="R370" s="3">
        <f>O370+IF(Q370&lt;Q$1,1,0)</f>
        <v>0</v>
      </c>
      <c r="T370" s="87">
        <f>VLOOKUP(A370,Demográfico!A$2:E$400,5,FALSE)*(I370)</f>
        <v>213.45116068489651</v>
      </c>
    </row>
    <row r="371" spans="1:20" ht="19.5" x14ac:dyDescent="0.25">
      <c r="A371" s="2" t="s">
        <v>376</v>
      </c>
      <c r="B371" s="37">
        <v>3046</v>
      </c>
      <c r="C371" s="4" t="str" cm="1">
        <f t="array" ref="C371">_xlfn.IFS(B371&lt;20000, "P1",B371&lt;40000, "P2",B371&lt;70000, "P3",B371&lt;100000, "P4",B371&lt;200000,"M1",B371&lt;500000,"M2",B371&lt;1000000,"G1",B371&gt;1000000,"G2")</f>
        <v>P1</v>
      </c>
      <c r="D371" s="13">
        <f>VLOOKUP(C371,Controle!A$2:H$9,8,FALSE)</f>
        <v>38.874046212109647</v>
      </c>
      <c r="E371" s="13">
        <f>VLOOKUP(C371,Controle!A$16:H$23,8,FALSE)</f>
        <v>13.454529704853227</v>
      </c>
      <c r="F371" s="5">
        <f>VLOOKUP(A371,Educacional!A$2:P$405,16,FALSE)</f>
        <v>46.070854194705682</v>
      </c>
      <c r="G371" s="6">
        <f>VLOOKUP(A371,Demográfico!A$2:L$405,12,FALSE)</f>
        <v>25.920160292156382</v>
      </c>
      <c r="H371" s="7">
        <f>VLOOKUP(A371,Socioeconômico!A$2:M$405,13,FALSE)</f>
        <v>42.914008205699815</v>
      </c>
      <c r="I371" s="16">
        <f>(2*F371+G371+2*H371)/5/100</f>
        <v>0.40777977018593475</v>
      </c>
      <c r="J371" s="15">
        <f>VLOOKUP(A371,Demográfico!A$2:E$400,5,FALSE)/(VLOOKUP(C371,Controle!A$2:G$9,7,FALSE))*D371</f>
        <v>4.7401093248423599E-2</v>
      </c>
      <c r="K371" s="15">
        <f>VLOOKUP(A371,Demográfico!A$2:E$400,5,FALSE)/(VLOOKUP(C371,Controle!A$16:G$24,7,FALSE))*E371</f>
        <v>1.6405789448147662E-2</v>
      </c>
      <c r="L371" s="118">
        <f>((J371*(1+I371))+3*(I371+K371))/4</f>
        <v>0.33482174476551879</v>
      </c>
      <c r="M371" s="3">
        <v>0</v>
      </c>
      <c r="N371" s="88">
        <f>VLOOKUP(A371,Demográfico!A$2:E$400,5,FALSE)*I371</f>
        <v>165.15080692530358</v>
      </c>
      <c r="O371" s="96">
        <f>FLOOR(L371,1)</f>
        <v>0</v>
      </c>
      <c r="P371" s="96">
        <f>L371-O371</f>
        <v>0.33482174476551879</v>
      </c>
      <c r="Q371" s="87">
        <f>RANK(P371,P$2:P$400,0)</f>
        <v>339</v>
      </c>
      <c r="R371" s="3">
        <f>O371+IF(Q371&lt;Q$1,1,0)</f>
        <v>0</v>
      </c>
      <c r="T371" s="87">
        <f>VLOOKUP(A371,Demográfico!A$2:E$400,5,FALSE)*(I371)</f>
        <v>165.15080692530358</v>
      </c>
    </row>
    <row r="372" spans="1:20" ht="19.5" x14ac:dyDescent="0.25">
      <c r="A372" s="2" t="s">
        <v>377</v>
      </c>
      <c r="B372" s="37">
        <v>3039</v>
      </c>
      <c r="C372" s="4" t="str" cm="1">
        <f t="array" ref="C372">_xlfn.IFS(B372&lt;20000, "P1",B372&lt;40000, "P2",B372&lt;70000, "P3",B372&lt;100000, "P4",B372&lt;200000,"M1",B372&lt;500000,"M2",B372&lt;1000000,"G1",B372&gt;1000000,"G2")</f>
        <v>P1</v>
      </c>
      <c r="D372" s="13">
        <f>VLOOKUP(C372,Controle!A$2:H$9,8,FALSE)</f>
        <v>38.874046212109647</v>
      </c>
      <c r="E372" s="13">
        <f>VLOOKUP(C372,Controle!A$16:H$23,8,FALSE)</f>
        <v>13.454529704853227</v>
      </c>
      <c r="F372" s="5">
        <f>VLOOKUP(A372,Educacional!A$2:P$405,16,FALSE)</f>
        <v>82.742639828750157</v>
      </c>
      <c r="G372" s="6">
        <f>VLOOKUP(A372,Demográfico!A$2:L$405,12,FALSE)</f>
        <v>24.038957282025432</v>
      </c>
      <c r="H372" s="7">
        <f>VLOOKUP(A372,Socioeconômico!A$2:M$405,13,FALSE)</f>
        <v>43.669606921734683</v>
      </c>
      <c r="I372" s="16">
        <f>(2*F372+G372+2*H372)/5/100</f>
        <v>0.55372690156599014</v>
      </c>
      <c r="J372" s="15">
        <f>VLOOKUP(A372,Demográfico!A$2:E$400,5,FALSE)/(VLOOKUP(C372,Controle!A$2:G$9,7,FALSE))*D372</f>
        <v>4.6464775357096706E-2</v>
      </c>
      <c r="K372" s="15">
        <f>VLOOKUP(A372,Demográfico!A$2:E$400,5,FALSE)/(VLOOKUP(C372,Controle!A$16:G$24,7,FALSE))*E372</f>
        <v>1.6081724471394127E-2</v>
      </c>
      <c r="L372" s="118">
        <f>((J372*(1+I372))+3*(I372+K372))/4</f>
        <v>0.44540486238992361</v>
      </c>
      <c r="M372" s="3">
        <v>1</v>
      </c>
      <c r="N372" s="88">
        <f>VLOOKUP(A372,Demográfico!A$2:E$400,5,FALSE)*I372</f>
        <v>219.8295799216981</v>
      </c>
      <c r="O372" s="96">
        <f>FLOOR(L372,1)</f>
        <v>0</v>
      </c>
      <c r="P372" s="96">
        <f>L372-O372</f>
        <v>0.44540486238992361</v>
      </c>
      <c r="Q372" s="87">
        <f>RANK(P372,P$2:P$400,0)</f>
        <v>217</v>
      </c>
      <c r="R372" s="3">
        <f>O372+IF(Q372&lt;Q$1,1,0)</f>
        <v>0</v>
      </c>
      <c r="T372" s="87">
        <f>VLOOKUP(A372,Demográfico!A$2:E$400,5,FALSE)*(I372)</f>
        <v>219.8295799216981</v>
      </c>
    </row>
    <row r="373" spans="1:20" ht="19.5" x14ac:dyDescent="0.25">
      <c r="A373" s="2" t="s">
        <v>378</v>
      </c>
      <c r="B373" s="37">
        <v>2977</v>
      </c>
      <c r="C373" s="4" t="str" cm="1">
        <f t="array" ref="C373">_xlfn.IFS(B373&lt;20000, "P1",B373&lt;40000, "P2",B373&lt;70000, "P3",B373&lt;100000, "P4",B373&lt;200000,"M1",B373&lt;500000,"M2",B373&lt;1000000,"G1",B373&gt;1000000,"G2")</f>
        <v>P1</v>
      </c>
      <c r="D373" s="13">
        <f>VLOOKUP(C373,Controle!A$2:H$9,8,FALSE)</f>
        <v>38.874046212109647</v>
      </c>
      <c r="E373" s="13">
        <f>VLOOKUP(C373,Controle!A$16:H$23,8,FALSE)</f>
        <v>13.454529704853227</v>
      </c>
      <c r="F373" s="5">
        <f>VLOOKUP(A373,Educacional!A$2:P$405,16,FALSE)</f>
        <v>46.35552921183065</v>
      </c>
      <c r="G373" s="6">
        <f>VLOOKUP(A373,Demográfico!A$2:L$405,12,FALSE)</f>
        <v>26.765660510993893</v>
      </c>
      <c r="H373" s="7">
        <f>VLOOKUP(A373,Socioeconômico!A$2:M$405,13,FALSE)</f>
        <v>56.654524159629773</v>
      </c>
      <c r="I373" s="16">
        <f>(2*F373+G373+2*H373)/5/100</f>
        <v>0.46557153450782951</v>
      </c>
      <c r="J373" s="15">
        <f>VLOOKUP(A373,Demográfico!A$2:E$400,5,FALSE)/(VLOOKUP(C373,Controle!A$2:G$9,7,FALSE))*D373</f>
        <v>4.3187662737452615E-2</v>
      </c>
      <c r="K373" s="15">
        <f>VLOOKUP(A373,Demográfico!A$2:E$400,5,FALSE)/(VLOOKUP(C373,Controle!A$16:G$24,7,FALSE))*E373</f>
        <v>1.494749705275676E-2</v>
      </c>
      <c r="L373" s="118">
        <f>((J373*(1+I373))+3*(I373+K373))/4</f>
        <v>0.37621292595792349</v>
      </c>
      <c r="M373" s="3">
        <v>0</v>
      </c>
      <c r="N373" s="88">
        <f>VLOOKUP(A373,Demográfico!A$2:E$400,5,FALSE)*I373</f>
        <v>171.7958962333891</v>
      </c>
      <c r="O373" s="96">
        <f>FLOOR(L373,1)</f>
        <v>0</v>
      </c>
      <c r="P373" s="96">
        <f>L373-O373</f>
        <v>0.37621292595792349</v>
      </c>
      <c r="Q373" s="87">
        <f>RANK(P373,P$2:P$400,0)</f>
        <v>307</v>
      </c>
      <c r="R373" s="3">
        <f>O373+IF(Q373&lt;Q$1,1,0)</f>
        <v>0</v>
      </c>
      <c r="T373" s="87">
        <f>VLOOKUP(A373,Demográfico!A$2:E$400,5,FALSE)*(I373)</f>
        <v>171.7958962333891</v>
      </c>
    </row>
    <row r="374" spans="1:20" ht="19.5" x14ac:dyDescent="0.25">
      <c r="A374" s="2" t="s">
        <v>379</v>
      </c>
      <c r="B374" s="37">
        <v>2918</v>
      </c>
      <c r="C374" s="4" t="str" cm="1">
        <f t="array" ref="C374">_xlfn.IFS(B374&lt;20000, "P1",B374&lt;40000, "P2",B374&lt;70000, "P3",B374&lt;100000, "P4",B374&lt;200000,"M1",B374&lt;500000,"M2",B374&lt;1000000,"G1",B374&gt;1000000,"G2")</f>
        <v>P1</v>
      </c>
      <c r="D374" s="13">
        <f>VLOOKUP(C374,Controle!A$2:H$9,8,FALSE)</f>
        <v>38.874046212109647</v>
      </c>
      <c r="E374" s="13">
        <f>VLOOKUP(C374,Controle!A$16:H$23,8,FALSE)</f>
        <v>13.454529704853227</v>
      </c>
      <c r="F374" s="5">
        <f>VLOOKUP(A374,Educacional!A$2:P$405,16,FALSE)</f>
        <v>43.074197443344232</v>
      </c>
      <c r="G374" s="6">
        <f>VLOOKUP(A374,Demográfico!A$2:L$405,12,FALSE)</f>
        <v>29.175541968710672</v>
      </c>
      <c r="H374" s="7">
        <f>VLOOKUP(A374,Socioeconômico!A$2:M$405,13,FALSE)</f>
        <v>44.506140213142196</v>
      </c>
      <c r="I374" s="16">
        <f>(2*F374+G374+2*H374)/5/100</f>
        <v>0.4086724345633671</v>
      </c>
      <c r="J374" s="15">
        <f>VLOOKUP(A374,Demográfico!A$2:E$400,5,FALSE)/(VLOOKUP(C374,Controle!A$2:G$9,7,FALSE))*D374</f>
        <v>4.2836543528205026E-2</v>
      </c>
      <c r="K374" s="15">
        <f>VLOOKUP(A374,Demográfico!A$2:E$400,5,FALSE)/(VLOOKUP(C374,Controle!A$16:G$24,7,FALSE))*E374</f>
        <v>1.4825972686474183E-2</v>
      </c>
      <c r="L374" s="118">
        <f>((J374*(1+I374))+3*(I374+K374))/4</f>
        <v>0.33270946995242001</v>
      </c>
      <c r="M374" s="3">
        <v>0</v>
      </c>
      <c r="N374" s="88">
        <f>VLOOKUP(A374,Demográfico!A$2:E$400,5,FALSE)*I374</f>
        <v>149.57411105019236</v>
      </c>
      <c r="O374" s="96">
        <f>FLOOR(L374,1)</f>
        <v>0</v>
      </c>
      <c r="P374" s="96">
        <f>L374-O374</f>
        <v>0.33270946995242001</v>
      </c>
      <c r="Q374" s="87">
        <f>RANK(P374,P$2:P$400,0)</f>
        <v>341</v>
      </c>
      <c r="R374" s="3">
        <f>O374+IF(Q374&lt;Q$1,1,0)</f>
        <v>0</v>
      </c>
      <c r="T374" s="87">
        <f>VLOOKUP(A374,Demográfico!A$2:E$400,5,FALSE)*(I374)</f>
        <v>149.57411105019236</v>
      </c>
    </row>
    <row r="375" spans="1:20" ht="19.5" x14ac:dyDescent="0.25">
      <c r="A375" s="2" t="s">
        <v>380</v>
      </c>
      <c r="B375" s="37">
        <v>2892</v>
      </c>
      <c r="C375" s="4" t="str" cm="1">
        <f t="array" ref="C375">_xlfn.IFS(B375&lt;20000, "P1",B375&lt;40000, "P2",B375&lt;70000, "P3",B375&lt;100000, "P4",B375&lt;200000,"M1",B375&lt;500000,"M2",B375&lt;1000000,"G1",B375&gt;1000000,"G2")</f>
        <v>P1</v>
      </c>
      <c r="D375" s="13">
        <f>VLOOKUP(C375,Controle!A$2:H$9,8,FALSE)</f>
        <v>38.874046212109647</v>
      </c>
      <c r="E375" s="13">
        <f>VLOOKUP(C375,Controle!A$16:H$23,8,FALSE)</f>
        <v>13.454529704853227</v>
      </c>
      <c r="F375" s="5">
        <f>VLOOKUP(A375,Educacional!A$2:P$405,16,FALSE)</f>
        <v>56.838554192851923</v>
      </c>
      <c r="G375" s="6">
        <f>VLOOKUP(A375,Demográfico!A$2:L$405,12,FALSE)</f>
        <v>34.66171533459891</v>
      </c>
      <c r="H375" s="7">
        <f>VLOOKUP(A375,Socioeconômico!A$2:M$405,13,FALSE)</f>
        <v>100</v>
      </c>
      <c r="I375" s="16">
        <f>(2*F375+G375+2*H375)/5/100</f>
        <v>0.69667764744060545</v>
      </c>
      <c r="J375" s="15">
        <f>VLOOKUP(A375,Demográfico!A$2:E$400,5,FALSE)/(VLOOKUP(C375,Controle!A$2:G$9,7,FALSE))*D375</f>
        <v>4.2953583264620891E-2</v>
      </c>
      <c r="K375" s="15">
        <f>VLOOKUP(A375,Demográfico!A$2:E$400,5,FALSE)/(VLOOKUP(C375,Controle!A$16:G$24,7,FALSE))*E375</f>
        <v>1.4866480808568375E-2</v>
      </c>
      <c r="L375" s="118">
        <f>((J375*(1+I375))+3*(I375+K375))/4</f>
        <v>0.5518776923375206</v>
      </c>
      <c r="M375" s="3">
        <v>1</v>
      </c>
      <c r="N375" s="132">
        <f>VLOOKUP(A375,Demográfico!A$2:E$400,5,FALSE)*I375</f>
        <v>255.6806966107022</v>
      </c>
      <c r="O375" s="96">
        <f>FLOOR(L375,1)</f>
        <v>0</v>
      </c>
      <c r="P375" s="96">
        <f>L375-O375</f>
        <v>0.5518776923375206</v>
      </c>
      <c r="Q375" s="87">
        <f>RANK(P375,P$2:P$400,0)</f>
        <v>117</v>
      </c>
      <c r="R375" s="3">
        <f>O375+IF(Q375&lt;Q$1,1,0)</f>
        <v>1</v>
      </c>
      <c r="T375" s="87">
        <f>VLOOKUP(A375,Demográfico!A$2:E$400,5,FALSE)*(I375)</f>
        <v>255.6806966107022</v>
      </c>
    </row>
    <row r="376" spans="1:20" ht="19.5" x14ac:dyDescent="0.25">
      <c r="A376" s="2" t="s">
        <v>381</v>
      </c>
      <c r="B376" s="37">
        <v>2814</v>
      </c>
      <c r="C376" s="4" t="str" cm="1">
        <f t="array" ref="C376">_xlfn.IFS(B376&lt;20000, "P1",B376&lt;40000, "P2",B376&lt;70000, "P3",B376&lt;100000, "P4",B376&lt;200000,"M1",B376&lt;500000,"M2",B376&lt;1000000,"G1",B376&gt;1000000,"G2")</f>
        <v>P1</v>
      </c>
      <c r="D376" s="13">
        <f>VLOOKUP(C376,Controle!A$2:H$9,8,FALSE)</f>
        <v>38.874046212109647</v>
      </c>
      <c r="E376" s="13">
        <f>VLOOKUP(C376,Controle!A$16:H$23,8,FALSE)</f>
        <v>13.454529704853227</v>
      </c>
      <c r="F376" s="5">
        <f>VLOOKUP(A376,Educacional!A$2:P$405,16,FALSE)</f>
        <v>48.86842509637129</v>
      </c>
      <c r="G376" s="6">
        <f>VLOOKUP(A376,Demográfico!A$2:L$405,12,FALSE)</f>
        <v>21.451534567718173</v>
      </c>
      <c r="H376" s="7">
        <f>VLOOKUP(A376,Socioeconômico!A$2:M$405,13,FALSE)</f>
        <v>47.439438586145343</v>
      </c>
      <c r="I376" s="16">
        <f>(2*F376+G376+2*H376)/5/100</f>
        <v>0.42813452386550283</v>
      </c>
      <c r="J376" s="15">
        <f>VLOOKUP(A376,Demográfico!A$2:E$400,5,FALSE)/(VLOOKUP(C376,Controle!A$2:G$9,7,FALSE))*D376</f>
        <v>3.7335675916659573E-2</v>
      </c>
      <c r="K376" s="15">
        <f>VLOOKUP(A376,Demográfico!A$2:E$400,5,FALSE)/(VLOOKUP(C376,Controle!A$16:G$24,7,FALSE))*E376</f>
        <v>1.2922090948047171E-2</v>
      </c>
      <c r="L376" s="118">
        <f>((J376*(1+I376))+3*(I376+K376))/4</f>
        <v>0.34412255304727135</v>
      </c>
      <c r="M376" s="3">
        <v>0</v>
      </c>
      <c r="N376" s="88">
        <f>VLOOKUP(A376,Demográfico!A$2:E$400,5,FALSE)*I376</f>
        <v>136.57491311309539</v>
      </c>
      <c r="O376" s="96">
        <f>FLOOR(L376,1)</f>
        <v>0</v>
      </c>
      <c r="P376" s="96">
        <f>L376-O376</f>
        <v>0.34412255304727135</v>
      </c>
      <c r="Q376" s="87">
        <f>RANK(P376,P$2:P$400,0)</f>
        <v>334</v>
      </c>
      <c r="R376" s="3">
        <f>O376+IF(Q376&lt;Q$1,1,0)</f>
        <v>0</v>
      </c>
      <c r="T376" s="87">
        <f>VLOOKUP(A376,Demográfico!A$2:E$400,5,FALSE)*(I376)</f>
        <v>136.57491311309539</v>
      </c>
    </row>
    <row r="377" spans="1:20" ht="19.5" x14ac:dyDescent="0.25">
      <c r="A377" s="2" t="s">
        <v>382</v>
      </c>
      <c r="B377" s="37">
        <v>2770</v>
      </c>
      <c r="C377" s="4" t="str" cm="1">
        <f t="array" ref="C377">_xlfn.IFS(B377&lt;20000, "P1",B377&lt;40000, "P2",B377&lt;70000, "P3",B377&lt;100000, "P4",B377&lt;200000,"M1",B377&lt;500000,"M2",B377&lt;1000000,"G1",B377&gt;1000000,"G2")</f>
        <v>P1</v>
      </c>
      <c r="D377" s="13">
        <f>VLOOKUP(C377,Controle!A$2:H$9,8,FALSE)</f>
        <v>38.874046212109647</v>
      </c>
      <c r="E377" s="13">
        <f>VLOOKUP(C377,Controle!A$16:H$23,8,FALSE)</f>
        <v>13.454529704853227</v>
      </c>
      <c r="F377" s="5">
        <f>VLOOKUP(A377,Educacional!A$2:P$405,16,FALSE)</f>
        <v>80.563563857732106</v>
      </c>
      <c r="G377" s="6">
        <f>VLOOKUP(A377,Demográfico!A$2:L$405,12,FALSE)</f>
        <v>39.539204610197757</v>
      </c>
      <c r="H377" s="7">
        <f>VLOOKUP(A377,Socioeconômico!A$2:M$405,13,FALSE)</f>
        <v>36.409753366054836</v>
      </c>
      <c r="I377" s="16">
        <f>(2*F377+G377+2*H377)/5/100</f>
        <v>0.54697167811554337</v>
      </c>
      <c r="J377" s="15">
        <f>VLOOKUP(A377,Demográfico!A$2:E$400,5,FALSE)/(VLOOKUP(C377,Controle!A$2:G$9,7,FALSE))*D377</f>
        <v>4.2719503791789161E-2</v>
      </c>
      <c r="K377" s="15">
        <f>VLOOKUP(A377,Demográfico!A$2:E$400,5,FALSE)/(VLOOKUP(C377,Controle!A$16:G$24,7,FALSE))*E377</f>
        <v>1.4785464564379991E-2</v>
      </c>
      <c r="L377" s="118">
        <f>((J377*(1+I377))+3*(I377+K377))/4</f>
        <v>0.43783932262720437</v>
      </c>
      <c r="M377" s="3">
        <v>1</v>
      </c>
      <c r="N377" s="88">
        <f>VLOOKUP(A377,Demográfico!A$2:E$400,5,FALSE)*I377</f>
        <v>199.64466251217334</v>
      </c>
      <c r="O377" s="96">
        <f>FLOOR(L377,1)</f>
        <v>0</v>
      </c>
      <c r="P377" s="96">
        <f>L377-O377</f>
        <v>0.43783932262720437</v>
      </c>
      <c r="Q377" s="87">
        <f>RANK(P377,P$2:P$400,0)</f>
        <v>233</v>
      </c>
      <c r="R377" s="3">
        <f>O377+IF(Q377&lt;Q$1,1,0)</f>
        <v>0</v>
      </c>
      <c r="T377" s="87">
        <f>VLOOKUP(A377,Demográfico!A$2:E$400,5,FALSE)*(I377)</f>
        <v>199.64466251217334</v>
      </c>
    </row>
    <row r="378" spans="1:20" ht="19.5" x14ac:dyDescent="0.25">
      <c r="A378" s="2" t="s">
        <v>383</v>
      </c>
      <c r="B378" s="37">
        <v>2761</v>
      </c>
      <c r="C378" s="4" t="str" cm="1">
        <f t="array" ref="C378">_xlfn.IFS(B378&lt;20000, "P1",B378&lt;40000, "P2",B378&lt;70000, "P3",B378&lt;100000, "P4",B378&lt;200000,"M1",B378&lt;500000,"M2",B378&lt;1000000,"G1",B378&gt;1000000,"G2")</f>
        <v>P1</v>
      </c>
      <c r="D378" s="13">
        <f>VLOOKUP(C378,Controle!A$2:H$9,8,FALSE)</f>
        <v>38.874046212109647</v>
      </c>
      <c r="E378" s="13">
        <f>VLOOKUP(C378,Controle!A$16:H$23,8,FALSE)</f>
        <v>13.454529704853227</v>
      </c>
      <c r="F378" s="5">
        <f>VLOOKUP(A378,Educacional!A$2:P$405,16,FALSE)</f>
        <v>30.904012679695754</v>
      </c>
      <c r="G378" s="6">
        <f>VLOOKUP(A378,Demográfico!A$2:L$405,12,FALSE)</f>
        <v>22.362478487680093</v>
      </c>
      <c r="H378" s="7">
        <f>VLOOKUP(A378,Socioeconômico!A$2:M$405,13,FALSE)</f>
        <v>51.386379332206324</v>
      </c>
      <c r="I378" s="16">
        <f>(2*F378+G378+2*H378)/5/100</f>
        <v>0.37388652502296849</v>
      </c>
      <c r="J378" s="15">
        <f>VLOOKUP(A378,Demográfico!A$2:E$400,5,FALSE)/(VLOOKUP(C378,Controle!A$2:G$9,7,FALSE))*D378</f>
        <v>4.1197987218382977E-2</v>
      </c>
      <c r="K378" s="15">
        <f>VLOOKUP(A378,Demográfico!A$2:E$400,5,FALSE)/(VLOOKUP(C378,Controle!A$16:G$24,7,FALSE))*E378</f>
        <v>1.4258858977155498E-2</v>
      </c>
      <c r="L378" s="118">
        <f>((J378*(1+I378))+3*(I378+K378))/4</f>
        <v>0.30525937787444424</v>
      </c>
      <c r="M378" s="3">
        <v>0</v>
      </c>
      <c r="N378" s="88">
        <f>VLOOKUP(A378,Demográfico!A$2:E$400,5,FALSE)*I378</f>
        <v>131.60805680808491</v>
      </c>
      <c r="O378" s="96">
        <f>FLOOR(L378,1)</f>
        <v>0</v>
      </c>
      <c r="P378" s="96">
        <f>L378-O378</f>
        <v>0.30525937787444424</v>
      </c>
      <c r="Q378" s="87">
        <f>RANK(P378,P$2:P$400,0)</f>
        <v>356</v>
      </c>
      <c r="R378" s="3">
        <f>O378+IF(Q378&lt;Q$1,1,0)</f>
        <v>0</v>
      </c>
      <c r="T378" s="87">
        <f>VLOOKUP(A378,Demográfico!A$2:E$400,5,FALSE)*(I378)</f>
        <v>131.60805680808491</v>
      </c>
    </row>
    <row r="379" spans="1:20" ht="19.5" x14ac:dyDescent="0.25">
      <c r="A379" s="2" t="s">
        <v>384</v>
      </c>
      <c r="B379" s="37">
        <v>2708</v>
      </c>
      <c r="C379" s="4" t="str" cm="1">
        <f t="array" ref="C379">_xlfn.IFS(B379&lt;20000, "P1",B379&lt;40000, "P2",B379&lt;70000, "P3",B379&lt;100000, "P4",B379&lt;200000,"M1",B379&lt;500000,"M2",B379&lt;1000000,"G1",B379&gt;1000000,"G2")</f>
        <v>P1</v>
      </c>
      <c r="D379" s="13">
        <f>VLOOKUP(C379,Controle!A$2:H$9,8,FALSE)</f>
        <v>38.874046212109647</v>
      </c>
      <c r="E379" s="13">
        <f>VLOOKUP(C379,Controle!A$16:H$23,8,FALSE)</f>
        <v>13.454529704853227</v>
      </c>
      <c r="F379" s="5">
        <f>VLOOKUP(A379,Educacional!A$2:P$405,16,FALSE)</f>
        <v>0</v>
      </c>
      <c r="G379" s="6">
        <f>VLOOKUP(A379,Demográfico!A$2:L$405,12,FALSE)</f>
        <v>56.074330290631401</v>
      </c>
      <c r="H379" s="7">
        <f>VLOOKUP(A379,Socioeconômico!A$2:M$405,13,FALSE)</f>
        <v>32.071868219132945</v>
      </c>
      <c r="I379" s="16">
        <f>(2*F379+G379+2*H379)/5/100</f>
        <v>0.24043613345779458</v>
      </c>
      <c r="J379" s="15">
        <f>VLOOKUP(A379,Demográfico!A$2:E$400,5,FALSE)/(VLOOKUP(C379,Controle!A$2:G$9,7,FALSE))*D379</f>
        <v>3.7218636180243715E-2</v>
      </c>
      <c r="K379" s="15">
        <f>VLOOKUP(A379,Demográfico!A$2:E$400,5,FALSE)/(VLOOKUP(C379,Controle!A$16:G$24,7,FALSE))*E379</f>
        <v>1.2881582825952979E-2</v>
      </c>
      <c r="L379" s="118">
        <f>((J379*(1+I379))+3*(I379+K379))/4</f>
        <v>0.20153012250180913</v>
      </c>
      <c r="M379" s="3">
        <v>0</v>
      </c>
      <c r="N379" s="88">
        <f>VLOOKUP(A379,Demográfico!A$2:E$400,5,FALSE)*I379</f>
        <v>76.458690439578675</v>
      </c>
      <c r="O379" s="96">
        <f>FLOOR(L379,1)</f>
        <v>0</v>
      </c>
      <c r="P379" s="96">
        <f>L379-O379</f>
        <v>0.20153012250180913</v>
      </c>
      <c r="Q379" s="87">
        <f>RANK(P379,P$2:P$400,0)</f>
        <v>391</v>
      </c>
      <c r="R379" s="3">
        <f>O379+IF(Q379&lt;Q$1,1,0)</f>
        <v>0</v>
      </c>
      <c r="T379" s="87">
        <f>VLOOKUP(A379,Demográfico!A$2:E$400,5,FALSE)*(I379)</f>
        <v>76.458690439578675</v>
      </c>
    </row>
    <row r="380" spans="1:20" ht="19.5" x14ac:dyDescent="0.25">
      <c r="A380" s="2" t="s">
        <v>385</v>
      </c>
      <c r="B380" s="37">
        <v>2661</v>
      </c>
      <c r="C380" s="4" t="str" cm="1">
        <f t="array" ref="C380">_xlfn.IFS(B380&lt;20000, "P1",B380&lt;40000, "P2",B380&lt;70000, "P3",B380&lt;100000, "P4",B380&lt;200000,"M1",B380&lt;500000,"M2",B380&lt;1000000,"G1",B380&gt;1000000,"G2")</f>
        <v>P1</v>
      </c>
      <c r="D380" s="13">
        <f>VLOOKUP(C380,Controle!A$2:H$9,8,FALSE)</f>
        <v>38.874046212109647</v>
      </c>
      <c r="E380" s="13">
        <f>VLOOKUP(C380,Controle!A$16:H$23,8,FALSE)</f>
        <v>13.454529704853227</v>
      </c>
      <c r="F380" s="5">
        <f>VLOOKUP(A380,Educacional!A$2:P$405,16,FALSE)</f>
        <v>28.131359511326774</v>
      </c>
      <c r="G380" s="6">
        <f>VLOOKUP(A380,Demográfico!A$2:L$405,12,FALSE)</f>
        <v>68.658385580223836</v>
      </c>
      <c r="H380" s="7">
        <f>VLOOKUP(A380,Socioeconômico!A$2:M$405,13,FALSE)</f>
        <v>28.636684010983359</v>
      </c>
      <c r="I380" s="16">
        <f>(2*F380+G380+2*H380)/5/100</f>
        <v>0.36438894524968823</v>
      </c>
      <c r="J380" s="15">
        <f>VLOOKUP(A380,Demográfico!A$2:E$400,5,FALSE)/(VLOOKUP(C380,Controle!A$2:G$9,7,FALSE))*D380</f>
        <v>3.8740152753649906E-2</v>
      </c>
      <c r="K380" s="15">
        <f>VLOOKUP(A380,Demográfico!A$2:E$400,5,FALSE)/(VLOOKUP(C380,Controle!A$16:G$24,7,FALSE))*E380</f>
        <v>1.3408188413177473E-2</v>
      </c>
      <c r="L380" s="118">
        <f>((J380*(1+I380))+3*(I380+K380))/4</f>
        <v>0.29656200928574028</v>
      </c>
      <c r="M380" s="3">
        <v>0</v>
      </c>
      <c r="N380" s="88">
        <f>VLOOKUP(A380,Demográfico!A$2:E$400,5,FALSE)*I380</f>
        <v>120.6127408776468</v>
      </c>
      <c r="O380" s="96">
        <f>FLOOR(L380,1)</f>
        <v>0</v>
      </c>
      <c r="P380" s="96">
        <f>L380-O380</f>
        <v>0.29656200928574028</v>
      </c>
      <c r="Q380" s="87">
        <f>RANK(P380,P$2:P$400,0)</f>
        <v>361</v>
      </c>
      <c r="R380" s="3">
        <f>O380+IF(Q380&lt;Q$1,1,0)</f>
        <v>0</v>
      </c>
      <c r="T380" s="87">
        <f>VLOOKUP(A380,Demográfico!A$2:E$400,5,FALSE)*(I380)</f>
        <v>120.6127408776468</v>
      </c>
    </row>
    <row r="381" spans="1:20" ht="19.5" x14ac:dyDescent="0.25">
      <c r="A381" s="2" t="s">
        <v>386</v>
      </c>
      <c r="B381" s="37">
        <v>2652</v>
      </c>
      <c r="C381" s="4" t="str" cm="1">
        <f t="array" ref="C381">_xlfn.IFS(B381&lt;20000, "P1",B381&lt;40000, "P2",B381&lt;70000, "P3",B381&lt;100000, "P4",B381&lt;200000,"M1",B381&lt;500000,"M2",B381&lt;1000000,"G1",B381&gt;1000000,"G2")</f>
        <v>P1</v>
      </c>
      <c r="D381" s="13">
        <f>VLOOKUP(C381,Controle!A$2:H$9,8,FALSE)</f>
        <v>38.874046212109647</v>
      </c>
      <c r="E381" s="13">
        <f>VLOOKUP(C381,Controle!A$16:H$23,8,FALSE)</f>
        <v>13.454529704853227</v>
      </c>
      <c r="F381" s="5">
        <f>VLOOKUP(A381,Educacional!A$2:P$405,16,FALSE)</f>
        <v>40.359099305467254</v>
      </c>
      <c r="G381" s="6">
        <f>VLOOKUP(A381,Demográfico!A$2:L$405,12,FALSE)</f>
        <v>39.28920958487835</v>
      </c>
      <c r="H381" s="7">
        <f>VLOOKUP(A381,Socioeconômico!A$2:M$405,13,FALSE)</f>
        <v>34.336512263630617</v>
      </c>
      <c r="I381" s="16">
        <f>(2*F381+G381+2*H381)/5/100</f>
        <v>0.37736086544614822</v>
      </c>
      <c r="J381" s="15">
        <f>VLOOKUP(A381,Demográfico!A$2:E$400,5,FALSE)/(VLOOKUP(C381,Controle!A$2:G$9,7,FALSE))*D381</f>
        <v>4.0027589854224367E-2</v>
      </c>
      <c r="K381" s="15">
        <f>VLOOKUP(A381,Demográfico!A$2:E$400,5,FALSE)/(VLOOKUP(C381,Controle!A$16:G$24,7,FALSE))*E381</f>
        <v>1.3853777756213581E-2</v>
      </c>
      <c r="L381" s="118">
        <f>((J381*(1+I381))+3*(I381+K381))/4</f>
        <v>0.30719409135260589</v>
      </c>
      <c r="M381" s="3">
        <v>0</v>
      </c>
      <c r="N381" s="88">
        <f>VLOOKUP(A381,Demográfico!A$2:E$400,5,FALSE)*I381</f>
        <v>129.05741598258268</v>
      </c>
      <c r="O381" s="96">
        <f>FLOOR(L381,1)</f>
        <v>0</v>
      </c>
      <c r="P381" s="96">
        <f>L381-O381</f>
        <v>0.30719409135260589</v>
      </c>
      <c r="Q381" s="87">
        <f>RANK(P381,P$2:P$400,0)</f>
        <v>354</v>
      </c>
      <c r="R381" s="3">
        <f>O381+IF(Q381&lt;Q$1,1,0)</f>
        <v>0</v>
      </c>
      <c r="T381" s="87">
        <f>VLOOKUP(A381,Demográfico!A$2:E$400,5,FALSE)*(I381)</f>
        <v>129.05741598258268</v>
      </c>
    </row>
    <row r="382" spans="1:20" ht="19.5" x14ac:dyDescent="0.25">
      <c r="A382" s="2" t="s">
        <v>387</v>
      </c>
      <c r="B382" s="37">
        <v>2627</v>
      </c>
      <c r="C382" s="4" t="str" cm="1">
        <f t="array" ref="C382">_xlfn.IFS(B382&lt;20000, "P1",B382&lt;40000, "P2",B382&lt;70000, "P3",B382&lt;100000, "P4",B382&lt;200000,"M1",B382&lt;500000,"M2",B382&lt;1000000,"G1",B382&gt;1000000,"G2")</f>
        <v>P1</v>
      </c>
      <c r="D382" s="13">
        <f>VLOOKUP(C382,Controle!A$2:H$9,8,FALSE)</f>
        <v>38.874046212109647</v>
      </c>
      <c r="E382" s="13">
        <f>VLOOKUP(C382,Controle!A$16:H$23,8,FALSE)</f>
        <v>13.454529704853227</v>
      </c>
      <c r="F382" s="5">
        <f>VLOOKUP(A382,Educacional!A$2:P$405,16,FALSE)</f>
        <v>41.831270077649997</v>
      </c>
      <c r="G382" s="6">
        <f>VLOOKUP(A382,Demográfico!A$2:L$405,12,FALSE)</f>
        <v>17.812593012060297</v>
      </c>
      <c r="H382" s="7">
        <f>VLOOKUP(A382,Socioeconômico!A$2:M$405,13,FALSE)</f>
        <v>36.894819844882001</v>
      </c>
      <c r="I382" s="16">
        <f>(2*F382+G382+2*H382)/5/100</f>
        <v>0.35052954571424855</v>
      </c>
      <c r="J382" s="15">
        <f>VLOOKUP(A382,Demográfico!A$2:E$400,5,FALSE)/(VLOOKUP(C382,Controle!A$2:G$9,7,FALSE))*D382</f>
        <v>3.6165278552500964E-2</v>
      </c>
      <c r="K382" s="15">
        <f>VLOOKUP(A382,Demográfico!A$2:E$400,5,FALSE)/(VLOOKUP(C382,Controle!A$16:G$24,7,FALSE))*E382</f>
        <v>1.2517009727105254E-2</v>
      </c>
      <c r="L382" s="118">
        <f>((J382*(1+I382))+3*(I382+K382))/4</f>
        <v>0.28449548588454993</v>
      </c>
      <c r="M382" s="3">
        <v>0</v>
      </c>
      <c r="N382" s="88">
        <f>VLOOKUP(A382,Demográfico!A$2:E$400,5,FALSE)*I382</f>
        <v>108.3136296257028</v>
      </c>
      <c r="O382" s="96">
        <f>FLOOR(L382,1)</f>
        <v>0</v>
      </c>
      <c r="P382" s="96">
        <f>L382-O382</f>
        <v>0.28449548588454993</v>
      </c>
      <c r="Q382" s="87">
        <f>RANK(P382,P$2:P$400,0)</f>
        <v>373</v>
      </c>
      <c r="R382" s="3">
        <f>O382+IF(Q382&lt;Q$1,1,0)</f>
        <v>0</v>
      </c>
      <c r="T382" s="87">
        <f>VLOOKUP(A382,Demográfico!A$2:E$400,5,FALSE)*(I382)</f>
        <v>108.3136296257028</v>
      </c>
    </row>
    <row r="383" spans="1:20" ht="19.5" x14ac:dyDescent="0.25">
      <c r="A383" s="2" t="s">
        <v>388</v>
      </c>
      <c r="B383" s="37">
        <v>2618</v>
      </c>
      <c r="C383" s="4" t="str" cm="1">
        <f t="array" ref="C383">_xlfn.IFS(B383&lt;20000, "P1",B383&lt;40000, "P2",B383&lt;70000, "P3",B383&lt;100000, "P4",B383&lt;200000,"M1",B383&lt;500000,"M2",B383&lt;1000000,"G1",B383&gt;1000000,"G2")</f>
        <v>P1</v>
      </c>
      <c r="D383" s="13">
        <f>VLOOKUP(C383,Controle!A$2:H$9,8,FALSE)</f>
        <v>38.874046212109647</v>
      </c>
      <c r="E383" s="13">
        <f>VLOOKUP(C383,Controle!A$16:H$23,8,FALSE)</f>
        <v>13.454529704853227</v>
      </c>
      <c r="F383" s="5">
        <f>VLOOKUP(A383,Educacional!A$2:P$405,16,FALSE)</f>
        <v>72.54263673537838</v>
      </c>
      <c r="G383" s="6">
        <f>VLOOKUP(A383,Demográfico!A$2:L$405,12,FALSE)</f>
        <v>22.49482693326696</v>
      </c>
      <c r="H383" s="7">
        <f>VLOOKUP(A383,Socioeconômico!A$2:M$405,13,FALSE)</f>
        <v>32.419152382474039</v>
      </c>
      <c r="I383" s="16">
        <f>(2*F383+G383+2*H383)/5/100</f>
        <v>0.46483681033794355</v>
      </c>
      <c r="J383" s="15">
        <f>VLOOKUP(A383,Demográfico!A$2:E$400,5,FALSE)/(VLOOKUP(C383,Controle!A$2:G$9,7,FALSE))*D383</f>
        <v>3.9910550117808516E-2</v>
      </c>
      <c r="K383" s="15">
        <f>VLOOKUP(A383,Demográfico!A$2:E$400,5,FALSE)/(VLOOKUP(C383,Controle!A$16:G$24,7,FALSE))*E383</f>
        <v>1.381326963411939E-2</v>
      </c>
      <c r="L383" s="118">
        <f>((J383*(1+I383))+3*(I383+K383))/4</f>
        <v>0.37360317071239801</v>
      </c>
      <c r="M383" s="3">
        <v>0</v>
      </c>
      <c r="N383" s="88">
        <f>VLOOKUP(A383,Demográfico!A$2:E$400,5,FALSE)*I383</f>
        <v>158.50935232523875</v>
      </c>
      <c r="O383" s="96">
        <f>FLOOR(L383,1)</f>
        <v>0</v>
      </c>
      <c r="P383" s="96">
        <f>L383-O383</f>
        <v>0.37360317071239801</v>
      </c>
      <c r="Q383" s="87">
        <f>RANK(P383,P$2:P$400,0)</f>
        <v>308</v>
      </c>
      <c r="R383" s="3">
        <f>O383+IF(Q383&lt;Q$1,1,0)</f>
        <v>0</v>
      </c>
      <c r="T383" s="87">
        <f>VLOOKUP(A383,Demográfico!A$2:E$400,5,FALSE)*(I383)</f>
        <v>158.50935232523875</v>
      </c>
    </row>
    <row r="384" spans="1:20" ht="19.5" x14ac:dyDescent="0.25">
      <c r="A384" s="2" t="s">
        <v>389</v>
      </c>
      <c r="B384" s="37">
        <v>2536</v>
      </c>
      <c r="C384" s="4" t="str" cm="1">
        <f t="array" ref="C384">_xlfn.IFS(B384&lt;20000, "P1",B384&lt;40000, "P2",B384&lt;70000, "P3",B384&lt;100000, "P4",B384&lt;200000,"M1",B384&lt;500000,"M2",B384&lt;1000000,"G1",B384&gt;1000000,"G2")</f>
        <v>P1</v>
      </c>
      <c r="D384" s="13">
        <f>VLOOKUP(C384,Controle!A$2:H$9,8,FALSE)</f>
        <v>38.874046212109647</v>
      </c>
      <c r="E384" s="13">
        <f>VLOOKUP(C384,Controle!A$16:H$23,8,FALSE)</f>
        <v>13.454529704853227</v>
      </c>
      <c r="F384" s="5">
        <f>VLOOKUP(A384,Educacional!A$2:P$405,16,FALSE)</f>
        <v>31.42797292608061</v>
      </c>
      <c r="G384" s="6">
        <f>VLOOKUP(A384,Demográfico!A$2:L$405,12,FALSE)</f>
        <v>34.496989383818956</v>
      </c>
      <c r="H384" s="7">
        <f>VLOOKUP(A384,Socioeconômico!A$2:M$405,13,FALSE)</f>
        <v>57.042477792163758</v>
      </c>
      <c r="I384" s="16">
        <f>(2*F384+G384+2*H384)/5/100</f>
        <v>0.42287578164061546</v>
      </c>
      <c r="J384" s="15">
        <f>VLOOKUP(A384,Demográfico!A$2:E$400,5,FALSE)/(VLOOKUP(C384,Controle!A$2:G$9,7,FALSE))*D384</f>
        <v>3.9091271962897481E-2</v>
      </c>
      <c r="K384" s="15">
        <f>VLOOKUP(A384,Demográfico!A$2:E$400,5,FALSE)/(VLOOKUP(C384,Controle!A$16:G$24,7,FALSE))*E384</f>
        <v>1.3529712779460048E-2</v>
      </c>
      <c r="L384" s="118">
        <f>((J384*(1+I384))+3*(I384+K384))/4</f>
        <v>0.34120962685244</v>
      </c>
      <c r="M384" s="3">
        <v>0</v>
      </c>
      <c r="N384" s="88">
        <f>VLOOKUP(A384,Demográfico!A$2:E$400,5,FALSE)*I384</f>
        <v>141.24051106796557</v>
      </c>
      <c r="O384" s="96">
        <f>FLOOR(L384,1)</f>
        <v>0</v>
      </c>
      <c r="P384" s="96">
        <f>L384-O384</f>
        <v>0.34120962685244</v>
      </c>
      <c r="Q384" s="87">
        <f>RANK(P384,P$2:P$400,0)</f>
        <v>336</v>
      </c>
      <c r="R384" s="3">
        <f>O384+IF(Q384&lt;Q$1,1,0)</f>
        <v>0</v>
      </c>
      <c r="T384" s="87">
        <f>VLOOKUP(A384,Demográfico!A$2:E$400,5,FALSE)*(I384)</f>
        <v>141.24051106796557</v>
      </c>
    </row>
    <row r="385" spans="1:20" ht="19.5" x14ac:dyDescent="0.25">
      <c r="A385" s="2" t="s">
        <v>390</v>
      </c>
      <c r="B385" s="37">
        <v>2493</v>
      </c>
      <c r="C385" s="4" t="str" cm="1">
        <f t="array" ref="C385">_xlfn.IFS(B385&lt;20000, "P1",B385&lt;40000, "P2",B385&lt;70000, "P3",B385&lt;100000, "P4",B385&lt;200000,"M1",B385&lt;500000,"M2",B385&lt;1000000,"G1",B385&gt;1000000,"G2")</f>
        <v>P1</v>
      </c>
      <c r="D385" s="13">
        <f>VLOOKUP(C385,Controle!A$2:H$9,8,FALSE)</f>
        <v>38.874046212109647</v>
      </c>
      <c r="E385" s="13">
        <f>VLOOKUP(C385,Controle!A$16:H$23,8,FALSE)</f>
        <v>13.454529704853227</v>
      </c>
      <c r="F385" s="5">
        <f>VLOOKUP(A385,Educacional!A$2:P$405,16,FALSE)</f>
        <v>21.579879264282926</v>
      </c>
      <c r="G385" s="6">
        <f>VLOOKUP(A385,Demográfico!A$2:L$405,12,FALSE)</f>
        <v>25.313894158747672</v>
      </c>
      <c r="H385" s="7">
        <f>VLOOKUP(A385,Socioeconômico!A$2:M$405,13,FALSE)</f>
        <v>60.121772349831268</v>
      </c>
      <c r="I385" s="16">
        <f>(2*F385+G385+2*H385)/5/100</f>
        <v>0.37743439477395213</v>
      </c>
      <c r="J385" s="15">
        <f>VLOOKUP(A385,Demográfico!A$2:E$400,5,FALSE)/(VLOOKUP(C385,Controle!A$2:G$9,7,FALSE))*D385</f>
        <v>3.3707444087767893E-2</v>
      </c>
      <c r="K385" s="15">
        <f>VLOOKUP(A385,Demográfico!A$2:E$400,5,FALSE)/(VLOOKUP(C385,Controle!A$16:G$24,7,FALSE))*E385</f>
        <v>1.1666339163127227E-2</v>
      </c>
      <c r="L385" s="118">
        <f>((J385*(1+I385))+3*(I385+K385))/4</f>
        <v>0.30343299866441237</v>
      </c>
      <c r="M385" s="3">
        <v>0</v>
      </c>
      <c r="N385" s="88">
        <f>VLOOKUP(A385,Demográfico!A$2:E$400,5,FALSE)*I385</f>
        <v>108.70110569489822</v>
      </c>
      <c r="O385" s="96">
        <f>FLOOR(L385,1)</f>
        <v>0</v>
      </c>
      <c r="P385" s="96">
        <f>L385-O385</f>
        <v>0.30343299866441237</v>
      </c>
      <c r="Q385" s="87">
        <f>RANK(P385,P$2:P$400,0)</f>
        <v>357</v>
      </c>
      <c r="R385" s="3">
        <f>O385+IF(Q385&lt;Q$1,1,0)</f>
        <v>0</v>
      </c>
      <c r="T385" s="87">
        <f>VLOOKUP(A385,Demográfico!A$2:E$400,5,FALSE)*(I385)</f>
        <v>108.70110569489822</v>
      </c>
    </row>
    <row r="386" spans="1:20" ht="19.5" x14ac:dyDescent="0.25">
      <c r="A386" s="2" t="s">
        <v>391</v>
      </c>
      <c r="B386" s="37">
        <v>2455</v>
      </c>
      <c r="C386" s="4" t="str" cm="1">
        <f t="array" ref="C386">_xlfn.IFS(B386&lt;20000, "P1",B386&lt;40000, "P2",B386&lt;70000, "P3",B386&lt;100000, "P4",B386&lt;200000,"M1",B386&lt;500000,"M2",B386&lt;1000000,"G1",B386&gt;1000000,"G2")</f>
        <v>P1</v>
      </c>
      <c r="D386" s="13">
        <f>VLOOKUP(C386,Controle!A$2:H$9,8,FALSE)</f>
        <v>38.874046212109647</v>
      </c>
      <c r="E386" s="13">
        <f>VLOOKUP(C386,Controle!A$16:H$23,8,FALSE)</f>
        <v>13.454529704853227</v>
      </c>
      <c r="F386" s="5">
        <f>VLOOKUP(A386,Educacional!A$2:P$405,16,FALSE)</f>
        <v>35.726041583773466</v>
      </c>
      <c r="G386" s="6">
        <f>VLOOKUP(A386,Demográfico!A$2:L$405,12,FALSE)</f>
        <v>34.250558466314203</v>
      </c>
      <c r="H386" s="7">
        <f>VLOOKUP(A386,Socioeconômico!A$2:M$405,13,FALSE)</f>
        <v>39.673672870059612</v>
      </c>
      <c r="I386" s="16">
        <f>(2*F386+G386+2*H386)/5/100</f>
        <v>0.37009997474796064</v>
      </c>
      <c r="J386" s="15">
        <f>VLOOKUP(A386,Demográfico!A$2:E$400,5,FALSE)/(VLOOKUP(C386,Controle!A$2:G$9,7,FALSE))*D386</f>
        <v>3.9793510381392651E-2</v>
      </c>
      <c r="K386" s="15">
        <f>VLOOKUP(A386,Demográfico!A$2:E$400,5,FALSE)/(VLOOKUP(C386,Controle!A$16:G$24,7,FALSE))*E386</f>
        <v>1.3772761512025198E-2</v>
      </c>
      <c r="L386" s="118">
        <f>((J386*(1+I386))+3*(I386+K386))/4</f>
        <v>0.30153482408715909</v>
      </c>
      <c r="M386" s="3">
        <v>0</v>
      </c>
      <c r="N386" s="88">
        <f>VLOOKUP(A386,Demográfico!A$2:E$400,5,FALSE)*I386</f>
        <v>125.83399141430661</v>
      </c>
      <c r="O386" s="96">
        <f>FLOOR(L386,1)</f>
        <v>0</v>
      </c>
      <c r="P386" s="96">
        <f>L386-O386</f>
        <v>0.30153482408715909</v>
      </c>
      <c r="Q386" s="87">
        <f>RANK(P386,P$2:P$400,0)</f>
        <v>358</v>
      </c>
      <c r="R386" s="3">
        <f>O386+IF(Q386&lt;Q$1,1,0)</f>
        <v>0</v>
      </c>
      <c r="T386" s="87">
        <f>VLOOKUP(A386,Demográfico!A$2:E$400,5,FALSE)*(I386)</f>
        <v>125.83399141430661</v>
      </c>
    </row>
    <row r="387" spans="1:20" ht="19.5" x14ac:dyDescent="0.25">
      <c r="A387" s="2" t="s">
        <v>392</v>
      </c>
      <c r="B387" s="37">
        <v>2398</v>
      </c>
      <c r="C387" s="4" t="str" cm="1">
        <f t="array" ref="C387">_xlfn.IFS(B387&lt;20000, "P1",B387&lt;40000, "P2",B387&lt;70000, "P3",B387&lt;100000, "P4",B387&lt;200000,"M1",B387&lt;500000,"M2",B387&lt;1000000,"G1",B387&gt;1000000,"G2")</f>
        <v>P1</v>
      </c>
      <c r="D387" s="13">
        <f>VLOOKUP(C387,Controle!A$2:H$9,8,FALSE)</f>
        <v>38.874046212109647</v>
      </c>
      <c r="E387" s="13">
        <f>VLOOKUP(C387,Controle!A$16:H$23,8,FALSE)</f>
        <v>13.454529704853227</v>
      </c>
      <c r="F387" s="5">
        <f>VLOOKUP(A387,Educacional!A$2:P$405,16,FALSE)</f>
        <v>45.393032853594171</v>
      </c>
      <c r="G387" s="6">
        <f>VLOOKUP(A387,Demográfico!A$2:L$405,12,FALSE)</f>
        <v>42.454141781360249</v>
      </c>
      <c r="H387" s="7">
        <f>VLOOKUP(A387,Socioeconômico!A$2:M$405,13,FALSE)</f>
        <v>60.025668263919449</v>
      </c>
      <c r="I387" s="16">
        <f>(2*F387+G387+2*H387)/5/100</f>
        <v>0.50658308803277496</v>
      </c>
      <c r="J387" s="15">
        <f>VLOOKUP(A387,Demográfico!A$2:E$400,5,FALSE)/(VLOOKUP(C387,Controle!A$2:G$9,7,FALSE))*D387</f>
        <v>4.2368384582541586E-2</v>
      </c>
      <c r="K387" s="15">
        <f>VLOOKUP(A387,Demográfico!A$2:E$400,5,FALSE)/(VLOOKUP(C387,Controle!A$16:G$24,7,FALSE))*E387</f>
        <v>1.4663940198097417E-2</v>
      </c>
      <c r="L387" s="118">
        <f>((J387*(1+I387))+3*(I387+K387))/4</f>
        <v>0.40689314409298571</v>
      </c>
      <c r="M387" s="3">
        <v>0</v>
      </c>
      <c r="N387" s="88">
        <f>VLOOKUP(A387,Demográfico!A$2:E$400,5,FALSE)*I387</f>
        <v>183.38307786786453</v>
      </c>
      <c r="O387" s="96">
        <f>FLOOR(L387,1)</f>
        <v>0</v>
      </c>
      <c r="P387" s="96">
        <f>L387-O387</f>
        <v>0.40689314409298571</v>
      </c>
      <c r="Q387" s="87">
        <f>RANK(P387,P$2:P$400,0)</f>
        <v>273</v>
      </c>
      <c r="R387" s="3">
        <f>O387+IF(Q387&lt;Q$1,1,0)</f>
        <v>0</v>
      </c>
      <c r="T387" s="87">
        <f>VLOOKUP(A387,Demográfico!A$2:E$400,5,FALSE)*(I387)</f>
        <v>183.38307786786453</v>
      </c>
    </row>
    <row r="388" spans="1:20" ht="19.5" x14ac:dyDescent="0.25">
      <c r="A388" s="2" t="s">
        <v>393</v>
      </c>
      <c r="B388" s="37">
        <v>2343</v>
      </c>
      <c r="C388" s="4" t="str" cm="1">
        <f t="array" ref="C388">_xlfn.IFS(B388&lt;20000, "P1",B388&lt;40000, "P2",B388&lt;70000, "P3",B388&lt;100000, "P4",B388&lt;200000,"M1",B388&lt;500000,"M2",B388&lt;1000000,"G1",B388&gt;1000000,"G2")</f>
        <v>P1</v>
      </c>
      <c r="D388" s="13">
        <f>VLOOKUP(C388,Controle!A$2:H$9,8,FALSE)</f>
        <v>38.874046212109647</v>
      </c>
      <c r="E388" s="13">
        <f>VLOOKUP(C388,Controle!A$16:H$23,8,FALSE)</f>
        <v>13.454529704853227</v>
      </c>
      <c r="F388" s="5">
        <f>VLOOKUP(A388,Educacional!A$2:P$405,16,FALSE)</f>
        <v>52.154792056879842</v>
      </c>
      <c r="G388" s="6">
        <f>VLOOKUP(A388,Demográfico!A$2:L$405,12,FALSE)</f>
        <v>26.489870721555413</v>
      </c>
      <c r="H388" s="7">
        <f>VLOOKUP(A388,Socioeconômico!A$2:M$405,13,FALSE)</f>
        <v>42.066246190473478</v>
      </c>
      <c r="I388" s="16">
        <f>(2*F388+G388+2*H388)/5/100</f>
        <v>0.42986389443252404</v>
      </c>
      <c r="J388" s="15">
        <f>VLOOKUP(A388,Demográfico!A$2:E$400,5,FALSE)/(VLOOKUP(C388,Controle!A$2:G$9,7,FALSE))*D388</f>
        <v>3.1834808305114121E-2</v>
      </c>
      <c r="K388" s="15">
        <f>VLOOKUP(A388,Demográfico!A$2:E$400,5,FALSE)/(VLOOKUP(C388,Controle!A$16:G$24,7,FALSE))*E388</f>
        <v>1.1018209209620159E-2</v>
      </c>
      <c r="L388" s="118">
        <f>((J388*(1+I388))+3*(I388+K388))/4</f>
        <v>0.34204143847702401</v>
      </c>
      <c r="M388" s="3">
        <v>0</v>
      </c>
      <c r="N388" s="88">
        <f>VLOOKUP(A388,Demográfico!A$2:E$400,5,FALSE)*I388</f>
        <v>116.92297928564653</v>
      </c>
      <c r="O388" s="96">
        <f>FLOOR(L388,1)</f>
        <v>0</v>
      </c>
      <c r="P388" s="96">
        <f>L388-O388</f>
        <v>0.34204143847702401</v>
      </c>
      <c r="Q388" s="87">
        <f>RANK(P388,P$2:P$400,0)</f>
        <v>335</v>
      </c>
      <c r="R388" s="3">
        <f>O388+IF(Q388&lt;Q$1,1,0)</f>
        <v>0</v>
      </c>
      <c r="T388" s="87">
        <f>VLOOKUP(A388,Demográfico!A$2:E$400,5,FALSE)*(I388)</f>
        <v>116.92297928564653</v>
      </c>
    </row>
    <row r="389" spans="1:20" ht="19.5" x14ac:dyDescent="0.25">
      <c r="A389" s="2" t="s">
        <v>394</v>
      </c>
      <c r="B389" s="37">
        <v>2329</v>
      </c>
      <c r="C389" s="4" t="str" cm="1">
        <f t="array" ref="C389">_xlfn.IFS(B389&lt;20000, "P1",B389&lt;40000, "P2",B389&lt;70000, "P3",B389&lt;100000, "P4",B389&lt;200000,"M1",B389&lt;500000,"M2",B389&lt;1000000,"G1",B389&gt;1000000,"G2")</f>
        <v>P1</v>
      </c>
      <c r="D389" s="13">
        <f>VLOOKUP(C389,Controle!A$2:H$9,8,FALSE)</f>
        <v>38.874046212109647</v>
      </c>
      <c r="E389" s="13">
        <f>VLOOKUP(C389,Controle!A$16:H$23,8,FALSE)</f>
        <v>13.454529704853227</v>
      </c>
      <c r="F389" s="5">
        <f>VLOOKUP(A389,Educacional!A$2:P$405,16,FALSE)</f>
        <v>32.434239018648256</v>
      </c>
      <c r="G389" s="6">
        <f>VLOOKUP(A389,Demográfico!A$2:L$405,12,FALSE)</f>
        <v>29.121971810739964</v>
      </c>
      <c r="H389" s="7">
        <f>VLOOKUP(A389,Socioeconômico!A$2:M$405,13,FALSE)</f>
        <v>56.879405105968708</v>
      </c>
      <c r="I389" s="16">
        <f>(2*F389+G389+2*H389)/5/100</f>
        <v>0.41549852011994781</v>
      </c>
      <c r="J389" s="15">
        <f>VLOOKUP(A389,Demográfico!A$2:E$400,5,FALSE)/(VLOOKUP(C389,Controle!A$2:G$9,7,FALSE))*D389</f>
        <v>3.4526722242678914E-2</v>
      </c>
      <c r="K389" s="15">
        <f>VLOOKUP(A389,Demográfico!A$2:E$400,5,FALSE)/(VLOOKUP(C389,Controle!A$16:G$24,7,FALSE))*E389</f>
        <v>1.1949896017786569E-2</v>
      </c>
      <c r="L389" s="118">
        <f>((J389*(1+I389))+3*(I389+K389))/4</f>
        <v>0.33280444316307695</v>
      </c>
      <c r="M389" s="3">
        <v>0</v>
      </c>
      <c r="N389" s="88">
        <f>VLOOKUP(A389,Demográfico!A$2:E$400,5,FALSE)*I389</f>
        <v>122.57206343538461</v>
      </c>
      <c r="O389" s="96">
        <f>FLOOR(L389,1)</f>
        <v>0</v>
      </c>
      <c r="P389" s="96">
        <f>L389-O389</f>
        <v>0.33280444316307695</v>
      </c>
      <c r="Q389" s="87">
        <f>RANK(P389,P$2:P$400,0)</f>
        <v>340</v>
      </c>
      <c r="R389" s="3">
        <f>O389+IF(Q389&lt;Q$1,1,0)</f>
        <v>0</v>
      </c>
      <c r="T389" s="87">
        <f>VLOOKUP(A389,Demográfico!A$2:E$400,5,FALSE)*(I389)</f>
        <v>122.57206343538461</v>
      </c>
    </row>
    <row r="390" spans="1:20" ht="19.5" x14ac:dyDescent="0.25">
      <c r="A390" s="2" t="s">
        <v>395</v>
      </c>
      <c r="B390" s="37">
        <v>2238</v>
      </c>
      <c r="C390" s="4" t="str" cm="1">
        <f t="array" ref="C390">_xlfn.IFS(B390&lt;20000, "P1",B390&lt;40000, "P2",B390&lt;70000, "P3",B390&lt;100000, "P4",B390&lt;200000,"M1",B390&lt;500000,"M2",B390&lt;1000000,"G1",B390&gt;1000000,"G2")</f>
        <v>P1</v>
      </c>
      <c r="D390" s="13">
        <f>VLOOKUP(C390,Controle!A$2:H$9,8,FALSE)</f>
        <v>38.874046212109647</v>
      </c>
      <c r="E390" s="13">
        <f>VLOOKUP(C390,Controle!A$16:H$23,8,FALSE)</f>
        <v>13.454529704853227</v>
      </c>
      <c r="F390" s="5">
        <f>VLOOKUP(A390,Educacional!A$2:P$405,16,FALSE)</f>
        <v>49.764523520226064</v>
      </c>
      <c r="G390" s="6">
        <f>VLOOKUP(A390,Demográfico!A$2:L$405,12,FALSE)</f>
        <v>41.066194187297448</v>
      </c>
      <c r="H390" s="7">
        <f>VLOOKUP(A390,Socioeconômico!A$2:M$405,13,FALSE)</f>
        <v>41.676977981657402</v>
      </c>
      <c r="I390" s="16">
        <f>(2*F390+G390+2*H390)/5/100</f>
        <v>0.44789839438212875</v>
      </c>
      <c r="J390" s="15">
        <f>VLOOKUP(A390,Demográfico!A$2:E$400,5,FALSE)/(VLOOKUP(C390,Controle!A$2:G$9,7,FALSE))*D390</f>
        <v>3.7452715653075432E-2</v>
      </c>
      <c r="K390" s="15">
        <f>VLOOKUP(A390,Demográfico!A$2:E$400,5,FALSE)/(VLOOKUP(C390,Controle!A$16:G$24,7,FALSE))*E390</f>
        <v>1.2962599070141363E-2</v>
      </c>
      <c r="L390" s="118">
        <f>((J390*(1+I390))+3*(I390+K390))/4</f>
        <v>0.35920267680403717</v>
      </c>
      <c r="M390" s="3">
        <v>0</v>
      </c>
      <c r="N390" s="88">
        <f>VLOOKUP(A390,Demográfico!A$2:E$400,5,FALSE)*I390</f>
        <v>143.32748620228119</v>
      </c>
      <c r="O390" s="96">
        <f>FLOOR(L390,1)</f>
        <v>0</v>
      </c>
      <c r="P390" s="96">
        <f>L390-O390</f>
        <v>0.35920267680403717</v>
      </c>
      <c r="Q390" s="87">
        <f>RANK(P390,P$2:P$400,0)</f>
        <v>321</v>
      </c>
      <c r="R390" s="3">
        <f>O390+IF(Q390&lt;Q$1,1,0)</f>
        <v>0</v>
      </c>
      <c r="T390" s="87">
        <f>VLOOKUP(A390,Demográfico!A$2:E$400,5,FALSE)*(I390)</f>
        <v>143.32748620228119</v>
      </c>
    </row>
    <row r="391" spans="1:20" ht="19.5" x14ac:dyDescent="0.25">
      <c r="A391" s="2" t="s">
        <v>396</v>
      </c>
      <c r="B391" s="37">
        <v>2191</v>
      </c>
      <c r="C391" s="4" t="str" cm="1">
        <f t="array" ref="C391">_xlfn.IFS(B391&lt;20000, "P1",B391&lt;40000, "P2",B391&lt;70000, "P3",B391&lt;100000, "P4",B391&lt;200000,"M1",B391&lt;500000,"M2",B391&lt;1000000,"G1",B391&gt;1000000,"G2")</f>
        <v>P1</v>
      </c>
      <c r="D391" s="13">
        <f>VLOOKUP(C391,Controle!A$2:H$9,8,FALSE)</f>
        <v>38.874046212109647</v>
      </c>
      <c r="E391" s="13">
        <f>VLOOKUP(C391,Controle!A$16:H$23,8,FALSE)</f>
        <v>13.454529704853227</v>
      </c>
      <c r="F391" s="5">
        <f>VLOOKUP(A391,Educacional!A$2:P$405,16,FALSE)</f>
        <v>29.557440398527561</v>
      </c>
      <c r="G391" s="6">
        <f>VLOOKUP(A391,Demográfico!A$2:L$405,12,FALSE)</f>
        <v>91.025409407551322</v>
      </c>
      <c r="H391" s="7">
        <f>VLOOKUP(A391,Socioeconômico!A$2:M$405,13,FALSE)</f>
        <v>44.383852140641949</v>
      </c>
      <c r="I391" s="16">
        <f>(2*F391+G391+2*H391)/5/100</f>
        <v>0.47781598897178074</v>
      </c>
      <c r="J391" s="15">
        <f>VLOOKUP(A391,Demográfico!A$2:E$400,5,FALSE)/(VLOOKUP(C391,Controle!A$2:G$9,7,FALSE))*D391</f>
        <v>3.0430331468123791E-2</v>
      </c>
      <c r="K391" s="15">
        <f>VLOOKUP(A391,Demográfico!A$2:E$400,5,FALSE)/(VLOOKUP(C391,Controle!A$16:G$24,7,FALSE))*E391</f>
        <v>1.0532111744489857E-2</v>
      </c>
      <c r="L391" s="118">
        <f>((J391*(1+I391))+3*(I391+K391))/4</f>
        <v>0.37750368313552907</v>
      </c>
      <c r="M391" s="3">
        <v>0</v>
      </c>
      <c r="N391" s="88">
        <f>VLOOKUP(A391,Demográfico!A$2:E$400,5,FALSE)*I391</f>
        <v>124.23215713266299</v>
      </c>
      <c r="O391" s="96">
        <f>FLOOR(L391,1)</f>
        <v>0</v>
      </c>
      <c r="P391" s="96">
        <f>L391-O391</f>
        <v>0.37750368313552907</v>
      </c>
      <c r="Q391" s="87">
        <f>RANK(P391,P$2:P$400,0)</f>
        <v>305</v>
      </c>
      <c r="R391" s="3">
        <f>O391+IF(Q391&lt;Q$1,1,0)</f>
        <v>0</v>
      </c>
      <c r="T391" s="87">
        <f>VLOOKUP(A391,Demográfico!A$2:E$400,5,FALSE)*(I391)</f>
        <v>124.23215713266299</v>
      </c>
    </row>
    <row r="392" spans="1:20" ht="19.5" x14ac:dyDescent="0.25">
      <c r="A392" s="2" t="s">
        <v>397</v>
      </c>
      <c r="B392" s="37">
        <v>2144</v>
      </c>
      <c r="C392" s="4" t="str" cm="1">
        <f t="array" ref="C392">_xlfn.IFS(B392&lt;20000, "P1",B392&lt;40000, "P2",B392&lt;70000, "P3",B392&lt;100000, "P4",B392&lt;200000,"M1",B392&lt;500000,"M2",B392&lt;1000000,"G1",B392&gt;1000000,"G2")</f>
        <v>P1</v>
      </c>
      <c r="D392" s="13">
        <f>VLOOKUP(C392,Controle!A$2:H$9,8,FALSE)</f>
        <v>38.874046212109647</v>
      </c>
      <c r="E392" s="13">
        <f>VLOOKUP(C392,Controle!A$16:H$23,8,FALSE)</f>
        <v>13.454529704853227</v>
      </c>
      <c r="F392" s="5">
        <f>VLOOKUP(A392,Educacional!A$2:P$405,16,FALSE)</f>
        <v>31.494047854488617</v>
      </c>
      <c r="G392" s="6">
        <f>VLOOKUP(A392,Demográfico!A$2:L$405,12,FALSE)</f>
        <v>13.480860734514129</v>
      </c>
      <c r="H392" s="7">
        <f>VLOOKUP(A392,Socioeconômico!A$2:M$405,13,FALSE)</f>
        <v>40.225021950172497</v>
      </c>
      <c r="I392" s="16">
        <f>(2*F392+G392+2*H392)/5/100</f>
        <v>0.3138380006876727</v>
      </c>
      <c r="J392" s="15">
        <f>VLOOKUP(A392,Demográfico!A$2:E$400,5,FALSE)/(VLOOKUP(C392,Controle!A$2:G$9,7,FALSE))*D392</f>
        <v>2.8440655949054157E-2</v>
      </c>
      <c r="K392" s="15">
        <f>VLOOKUP(A392,Demográfico!A$2:E$400,5,FALSE)/(VLOOKUP(C392,Controle!A$16:G$24,7,FALSE))*E392</f>
        <v>9.8434736688885974E-3</v>
      </c>
      <c r="L392" s="118">
        <f>((J392*(1+I392))+3*(I392+K392))/4</f>
        <v>0.25210270940500878</v>
      </c>
      <c r="M392" s="3">
        <v>0</v>
      </c>
      <c r="N392" s="88">
        <f>VLOOKUP(A392,Demográfico!A$2:E$400,5,FALSE)*I392</f>
        <v>76.262634167104466</v>
      </c>
      <c r="O392" s="96">
        <f>FLOOR(L392,1)</f>
        <v>0</v>
      </c>
      <c r="P392" s="96">
        <f>L392-O392</f>
        <v>0.25210270940500878</v>
      </c>
      <c r="Q392" s="87">
        <f>RANK(P392,P$2:P$400,0)</f>
        <v>383</v>
      </c>
      <c r="R392" s="3">
        <f>O392+IF(Q392&lt;Q$1,1,0)</f>
        <v>0</v>
      </c>
      <c r="T392" s="87">
        <f>VLOOKUP(A392,Demográfico!A$2:E$400,5,FALSE)*(I392)</f>
        <v>76.262634167104466</v>
      </c>
    </row>
    <row r="393" spans="1:20" ht="19.5" x14ac:dyDescent="0.25">
      <c r="A393" s="2" t="s">
        <v>398</v>
      </c>
      <c r="B393" s="37">
        <v>2138</v>
      </c>
      <c r="C393" s="4" t="str" cm="1">
        <f t="array" ref="C393">_xlfn.IFS(B393&lt;20000, "P1",B393&lt;40000, "P2",B393&lt;70000, "P3",B393&lt;100000, "P4",B393&lt;200000,"M1",B393&lt;500000,"M2",B393&lt;1000000,"G1",B393&gt;1000000,"G2")</f>
        <v>P1</v>
      </c>
      <c r="D393" s="13">
        <f>VLOOKUP(C393,Controle!A$2:H$9,8,FALSE)</f>
        <v>38.874046212109647</v>
      </c>
      <c r="E393" s="13">
        <f>VLOOKUP(C393,Controle!A$16:H$23,8,FALSE)</f>
        <v>13.454529704853227</v>
      </c>
      <c r="F393" s="5">
        <f>VLOOKUP(A393,Educacional!A$2:P$405,16,FALSE)</f>
        <v>33.01247559273299</v>
      </c>
      <c r="G393" s="6">
        <f>VLOOKUP(A393,Demográfico!A$2:L$405,12,FALSE)</f>
        <v>27.024439702584598</v>
      </c>
      <c r="H393" s="7">
        <f>VLOOKUP(A393,Socioeconômico!A$2:M$405,13,FALSE)</f>
        <v>32.948948883875694</v>
      </c>
      <c r="I393" s="16">
        <f>(2*F393+G393+2*H393)/5/100</f>
        <v>0.31789457731160392</v>
      </c>
      <c r="J393" s="15">
        <f>VLOOKUP(A393,Demográfico!A$2:E$400,5,FALSE)/(VLOOKUP(C393,Controle!A$2:G$9,7,FALSE))*D393</f>
        <v>2.9025854631133462E-2</v>
      </c>
      <c r="K393" s="15">
        <f>VLOOKUP(A393,Demográfico!A$2:E$400,5,FALSE)/(VLOOKUP(C393,Controle!A$16:G$24,7,FALSE))*E393</f>
        <v>1.0046014279359555E-2</v>
      </c>
      <c r="L393" s="118">
        <f>((J393*(1+I393))+3*(I393+K393))/4</f>
        <v>0.25551869779827402</v>
      </c>
      <c r="M393" s="3">
        <v>0</v>
      </c>
      <c r="N393" s="88">
        <f>VLOOKUP(A393,Demográfico!A$2:E$400,5,FALSE)*I393</f>
        <v>78.837855173277774</v>
      </c>
      <c r="O393" s="96">
        <f>FLOOR(L393,1)</f>
        <v>0</v>
      </c>
      <c r="P393" s="96">
        <f>L393-O393</f>
        <v>0.25551869779827402</v>
      </c>
      <c r="Q393" s="87">
        <f>RANK(P393,P$2:P$400,0)</f>
        <v>381</v>
      </c>
      <c r="R393" s="3">
        <f>O393+IF(Q393&lt;Q$1,1,0)</f>
        <v>0</v>
      </c>
      <c r="T393" s="87">
        <f>VLOOKUP(A393,Demográfico!A$2:E$400,5,FALSE)*(I393)</f>
        <v>78.837855173277774</v>
      </c>
    </row>
    <row r="394" spans="1:20" ht="19.5" x14ac:dyDescent="0.25">
      <c r="A394" s="2" t="s">
        <v>399</v>
      </c>
      <c r="B394" s="37">
        <v>2136</v>
      </c>
      <c r="C394" s="4" t="str" cm="1">
        <f t="array" ref="C394">_xlfn.IFS(B394&lt;20000, "P1",B394&lt;40000, "P2",B394&lt;70000, "P3",B394&lt;100000, "P4",B394&lt;200000,"M1",B394&lt;500000,"M2",B394&lt;1000000,"G1",B394&gt;1000000,"G2")</f>
        <v>P1</v>
      </c>
      <c r="D394" s="13">
        <f>VLOOKUP(C394,Controle!A$2:H$9,8,FALSE)</f>
        <v>38.874046212109647</v>
      </c>
      <c r="E394" s="13">
        <f>VLOOKUP(C394,Controle!A$16:H$23,8,FALSE)</f>
        <v>13.454529704853227</v>
      </c>
      <c r="F394" s="5">
        <f>VLOOKUP(A394,Educacional!A$2:P$405,16,FALSE)</f>
        <v>43.035022813229716</v>
      </c>
      <c r="G394" s="6">
        <f>VLOOKUP(A394,Demográfico!A$2:L$405,12,FALSE)</f>
        <v>19.554546447220623</v>
      </c>
      <c r="H394" s="7">
        <f>VLOOKUP(A394,Socioeconômico!A$2:M$405,13,FALSE)</f>
        <v>40.428738038419063</v>
      </c>
      <c r="I394" s="16">
        <f>(2*F394+G394+2*H394)/5/100</f>
        <v>0.37296413630103631</v>
      </c>
      <c r="J394" s="15">
        <f>VLOOKUP(A394,Demográfico!A$2:E$400,5,FALSE)/(VLOOKUP(C394,Controle!A$2:G$9,7,FALSE))*D394</f>
        <v>3.1366649359450681E-2</v>
      </c>
      <c r="K394" s="15">
        <f>VLOOKUP(A394,Demográfico!A$2:E$400,5,FALSE)/(VLOOKUP(C394,Controle!A$16:G$24,7,FALSE))*E394</f>
        <v>1.0856176721243392E-2</v>
      </c>
      <c r="L394" s="118">
        <f>((J394*(1+I394))+3*(I394+K394))/4</f>
        <v>0.29863155592832369</v>
      </c>
      <c r="M394" s="3">
        <v>0</v>
      </c>
      <c r="N394" s="88">
        <f>VLOOKUP(A394,Demográfico!A$2:E$400,5,FALSE)*I394</f>
        <v>99.954388528677725</v>
      </c>
      <c r="O394" s="96">
        <f>FLOOR(L394,1)</f>
        <v>0</v>
      </c>
      <c r="P394" s="96">
        <f>L394-O394</f>
        <v>0.29863155592832369</v>
      </c>
      <c r="Q394" s="87">
        <f>RANK(P394,P$2:P$400,0)</f>
        <v>359</v>
      </c>
      <c r="R394" s="3">
        <f>O394+IF(Q394&lt;Q$1,1,0)</f>
        <v>0</v>
      </c>
      <c r="T394" s="87">
        <f>VLOOKUP(A394,Demográfico!A$2:E$400,5,FALSE)*(I394)</f>
        <v>99.954388528677725</v>
      </c>
    </row>
    <row r="395" spans="1:20" ht="19.5" x14ac:dyDescent="0.25">
      <c r="A395" s="2" t="s">
        <v>400</v>
      </c>
      <c r="B395" s="37">
        <v>2125</v>
      </c>
      <c r="C395" s="4" t="str" cm="1">
        <f t="array" ref="C395">_xlfn.IFS(B395&lt;20000, "P1",B395&lt;40000, "P2",B395&lt;70000, "P3",B395&lt;100000, "P4",B395&lt;200000,"M1",B395&lt;500000,"M2",B395&lt;1000000,"G1",B395&gt;1000000,"G2")</f>
        <v>P1</v>
      </c>
      <c r="D395" s="13">
        <f>VLOOKUP(C395,Controle!A$2:H$9,8,FALSE)</f>
        <v>38.874046212109647</v>
      </c>
      <c r="E395" s="13">
        <f>VLOOKUP(C395,Controle!A$16:H$23,8,FALSE)</f>
        <v>13.454529704853227</v>
      </c>
      <c r="F395" s="5">
        <f>VLOOKUP(A395,Educacional!A$2:P$405,16,FALSE)</f>
        <v>13.908011414605115</v>
      </c>
      <c r="G395" s="6">
        <f>VLOOKUP(A395,Demográfico!A$2:L$405,12,FALSE)</f>
        <v>29.805038742858692</v>
      </c>
      <c r="H395" s="7">
        <f>VLOOKUP(A395,Socioeconômico!A$2:M$405,13,FALSE)</f>
        <v>47.60280717997567</v>
      </c>
      <c r="I395" s="16">
        <f>(2*F395+G395+2*H395)/5/100</f>
        <v>0.30565335186404052</v>
      </c>
      <c r="J395" s="15">
        <f>VLOOKUP(A395,Demográfico!A$2:E$400,5,FALSE)/(VLOOKUP(C395,Controle!A$2:G$9,7,FALSE))*D395</f>
        <v>2.9494013576796901E-2</v>
      </c>
      <c r="K395" s="15">
        <f>VLOOKUP(A395,Demográfico!A$2:E$400,5,FALSE)/(VLOOKUP(C395,Controle!A$16:G$24,7,FALSE))*E395</f>
        <v>1.0208046767736323E-2</v>
      </c>
      <c r="L395" s="118">
        <f>((J395*(1+I395))+3*(I395+K395))/4</f>
        <v>0.24652328839544974</v>
      </c>
      <c r="M395" s="3">
        <v>0</v>
      </c>
      <c r="N395" s="88">
        <f>VLOOKUP(A395,Demográfico!A$2:E$400,5,FALSE)*I395</f>
        <v>77.024644669738208</v>
      </c>
      <c r="O395" s="96">
        <f>FLOOR(L395,1)</f>
        <v>0</v>
      </c>
      <c r="P395" s="96">
        <f>L395-O395</f>
        <v>0.24652328839544974</v>
      </c>
      <c r="Q395" s="87">
        <f>RANK(P395,P$2:P$400,0)</f>
        <v>386</v>
      </c>
      <c r="R395" s="3">
        <f>O395+IF(Q395&lt;Q$1,1,0)</f>
        <v>0</v>
      </c>
      <c r="T395" s="87">
        <f>VLOOKUP(A395,Demográfico!A$2:E$400,5,FALSE)*(I395)</f>
        <v>77.024644669738208</v>
      </c>
    </row>
    <row r="396" spans="1:20" ht="19.5" x14ac:dyDescent="0.25">
      <c r="A396" s="2" t="s">
        <v>401</v>
      </c>
      <c r="B396" s="37">
        <v>1966</v>
      </c>
      <c r="C396" s="4" t="str" cm="1">
        <f t="array" ref="C396">_xlfn.IFS(B396&lt;20000, "P1",B396&lt;40000, "P2",B396&lt;70000, "P3",B396&lt;100000, "P4",B396&lt;200000,"M1",B396&lt;500000,"M2",B396&lt;1000000,"G1",B396&gt;1000000,"G2")</f>
        <v>P1</v>
      </c>
      <c r="D396" s="13">
        <f>VLOOKUP(C396,Controle!A$2:H$9,8,FALSE)</f>
        <v>38.874046212109647</v>
      </c>
      <c r="E396" s="13">
        <f>VLOOKUP(C396,Controle!A$16:H$23,8,FALSE)</f>
        <v>13.454529704853227</v>
      </c>
      <c r="F396" s="5">
        <f>VLOOKUP(A396,Educacional!A$2:P$405,16,FALSE)</f>
        <v>41.554757797856062</v>
      </c>
      <c r="G396" s="6">
        <f>VLOOKUP(A396,Demográfico!A$2:L$405,12,FALSE)</f>
        <v>0</v>
      </c>
      <c r="H396" s="7">
        <f>VLOOKUP(A396,Socioeconômico!A$2:M$405,13,FALSE)</f>
        <v>40.267640713131414</v>
      </c>
      <c r="I396" s="16">
        <f>(2*F396+G396+2*H396)/5/100</f>
        <v>0.32728959404394992</v>
      </c>
      <c r="J396" s="15">
        <f>VLOOKUP(A396,Demográfico!A$2:E$400,5,FALSE)/(VLOOKUP(C396,Controle!A$2:G$9,7,FALSE))*D396</f>
        <v>2.6802099639232108E-2</v>
      </c>
      <c r="K396" s="15">
        <f>VLOOKUP(A396,Demográfico!A$2:E$400,5,FALSE)/(VLOOKUP(C396,Controle!A$16:G$24,7,FALSE))*E396</f>
        <v>9.2763599595699128E-3</v>
      </c>
      <c r="L396" s="118">
        <f>((J396*(1+I396))+3*(I396+K396))/4</f>
        <v>0.26131800249006032</v>
      </c>
      <c r="M396" s="3">
        <v>0</v>
      </c>
      <c r="N396" s="88">
        <f>VLOOKUP(A396,Demográfico!A$2:E$400,5,FALSE)*I396</f>
        <v>74.949317036064528</v>
      </c>
      <c r="O396" s="96">
        <f>FLOOR(L396,1)</f>
        <v>0</v>
      </c>
      <c r="P396" s="96">
        <f>L396-O396</f>
        <v>0.26131800249006032</v>
      </c>
      <c r="Q396" s="87">
        <f>RANK(P396,P$2:P$400,0)</f>
        <v>377</v>
      </c>
      <c r="R396" s="3">
        <f>O396+IF(Q396&lt;Q$1,1,0)</f>
        <v>0</v>
      </c>
      <c r="T396" s="87">
        <f>VLOOKUP(A396,Demográfico!A$2:E$400,5,FALSE)*(I396)</f>
        <v>74.949317036064528</v>
      </c>
    </row>
    <row r="397" spans="1:20" ht="19.5" x14ac:dyDescent="0.25">
      <c r="A397" s="2" t="s">
        <v>402</v>
      </c>
      <c r="B397" s="37">
        <v>1849</v>
      </c>
      <c r="C397" s="4" t="str" cm="1">
        <f t="array" ref="C397">_xlfn.IFS(B397&lt;20000, "P1",B397&lt;40000, "P2",B397&lt;70000, "P3",B397&lt;100000, "P4",B397&lt;200000,"M1",B397&lt;500000,"M2",B397&lt;1000000,"G1",B397&gt;1000000,"G2")</f>
        <v>P1</v>
      </c>
      <c r="D397" s="13">
        <f>VLOOKUP(C397,Controle!A$2:H$9,8,FALSE)</f>
        <v>38.874046212109647</v>
      </c>
      <c r="E397" s="13">
        <f>VLOOKUP(C397,Controle!A$16:H$23,8,FALSE)</f>
        <v>13.454529704853227</v>
      </c>
      <c r="F397" s="5">
        <f>VLOOKUP(A397,Educacional!A$2:P$405,16,FALSE)</f>
        <v>35.536536589983498</v>
      </c>
      <c r="G397" s="6">
        <f>VLOOKUP(A397,Demográfico!A$2:L$405,12,FALSE)</f>
        <v>11.495919322388497</v>
      </c>
      <c r="H397" s="7">
        <f>VLOOKUP(A397,Socioeconômico!A$2:M$405,13,FALSE)</f>
        <v>48.860782629876262</v>
      </c>
      <c r="I397" s="16">
        <f>(2*F397+G397+2*H397)/5/100</f>
        <v>0.36058111552421607</v>
      </c>
      <c r="J397" s="15">
        <f>VLOOKUP(A397,Demográfico!A$2:E$400,5,FALSE)/(VLOOKUP(C397,Controle!A$2:G$9,7,FALSE))*D397</f>
        <v>2.6216900957152803E-2</v>
      </c>
      <c r="K397" s="15">
        <f>VLOOKUP(A397,Demográfico!A$2:E$400,5,FALSE)/(VLOOKUP(C397,Controle!A$16:G$24,7,FALSE))*E397</f>
        <v>9.0738193490989532E-3</v>
      </c>
      <c r="L397" s="118">
        <f>((J397*(1+I397))+3*(I397+K397))/4</f>
        <v>0.28615875624245402</v>
      </c>
      <c r="M397" s="3">
        <v>0</v>
      </c>
      <c r="N397" s="88">
        <f>VLOOKUP(A397,Demográfico!A$2:E$400,5,FALSE)*I397</f>
        <v>80.770169877424394</v>
      </c>
      <c r="O397" s="96">
        <f>FLOOR(L397,1)</f>
        <v>0</v>
      </c>
      <c r="P397" s="96">
        <f>L397-O397</f>
        <v>0.28615875624245402</v>
      </c>
      <c r="Q397" s="87">
        <f>RANK(P397,P$2:P$400,0)</f>
        <v>368</v>
      </c>
      <c r="R397" s="3">
        <f>O397+IF(Q397&lt;Q$1,1,0)</f>
        <v>0</v>
      </c>
      <c r="T397" s="87">
        <f>VLOOKUP(A397,Demográfico!A$2:E$400,5,FALSE)*(I397)</f>
        <v>80.770169877424394</v>
      </c>
    </row>
    <row r="398" spans="1:20" ht="19.5" x14ac:dyDescent="0.25">
      <c r="A398" s="2" t="s">
        <v>403</v>
      </c>
      <c r="B398" s="37">
        <v>1748</v>
      </c>
      <c r="C398" s="4" t="str" cm="1">
        <f t="array" ref="C398">_xlfn.IFS(B398&lt;20000, "P1",B398&lt;40000, "P2",B398&lt;70000, "P3",B398&lt;100000, "P4",B398&lt;200000,"M1",B398&lt;500000,"M2",B398&lt;1000000,"G1",B398&gt;1000000,"G2")</f>
        <v>P1</v>
      </c>
      <c r="D398" s="13">
        <f>VLOOKUP(C398,Controle!A$2:H$9,8,FALSE)</f>
        <v>38.874046212109647</v>
      </c>
      <c r="E398" s="13">
        <f>VLOOKUP(C398,Controle!A$16:H$23,8,FALSE)</f>
        <v>13.454529704853227</v>
      </c>
      <c r="F398" s="5">
        <f>VLOOKUP(A398,Educacional!A$2:P$405,16,FALSE)</f>
        <v>35.832959467610856</v>
      </c>
      <c r="G398" s="6">
        <f>VLOOKUP(A398,Demográfico!A$2:L$405,12,FALSE)</f>
        <v>34.975746747263464</v>
      </c>
      <c r="H398" s="7">
        <f>VLOOKUP(A398,Socioeconômico!A$2:M$405,13,FALSE)</f>
        <v>44.796404042583056</v>
      </c>
      <c r="I398" s="16">
        <f>(2*F398+G398+2*H398)/5/100</f>
        <v>0.39246894753530265</v>
      </c>
      <c r="J398" s="15">
        <f>VLOOKUP(A398,Demográfico!A$2:E$400,5,FALSE)/(VLOOKUP(C398,Controle!A$2:G$9,7,FALSE))*D398</f>
        <v>2.3290907546756286E-2</v>
      </c>
      <c r="K398" s="15">
        <f>VLOOKUP(A398,Demográfico!A$2:E$400,5,FALSE)/(VLOOKUP(C398,Controle!A$16:G$24,7,FALSE))*E398</f>
        <v>8.0611162967441589E-3</v>
      </c>
      <c r="L398" s="118">
        <f>((J398*(1+I398))+3*(I398+K398))/4</f>
        <v>0.30850551425372857</v>
      </c>
      <c r="M398" s="3">
        <v>0</v>
      </c>
      <c r="N398" s="88">
        <f>VLOOKUP(A398,Demográfico!A$2:E$400,5,FALSE)*I398</f>
        <v>78.10132055952522</v>
      </c>
      <c r="O398" s="96">
        <f>FLOOR(L398,1)</f>
        <v>0</v>
      </c>
      <c r="P398" s="96">
        <f>L398-O398</f>
        <v>0.30850551425372857</v>
      </c>
      <c r="Q398" s="87">
        <f>RANK(P398,P$2:P$400,0)</f>
        <v>353</v>
      </c>
      <c r="R398" s="3">
        <f>O398+IF(Q398&lt;Q$1,1,0)</f>
        <v>0</v>
      </c>
      <c r="T398" s="87">
        <f>VLOOKUP(A398,Demográfico!A$2:E$400,5,FALSE)*(I398)</f>
        <v>78.10132055952522</v>
      </c>
    </row>
    <row r="399" spans="1:20" ht="19.5" x14ac:dyDescent="0.25">
      <c r="A399" s="2" t="s">
        <v>404</v>
      </c>
      <c r="B399" s="37">
        <v>1343</v>
      </c>
      <c r="C399" s="4" t="str" cm="1">
        <f t="array" ref="C399">_xlfn.IFS(B399&lt;20000, "P1",B399&lt;40000, "P2",B399&lt;70000, "P3",B399&lt;100000, "P4",B399&lt;200000,"M1",B399&lt;500000,"M2",B399&lt;1000000,"G1",B399&gt;1000000,"G2")</f>
        <v>P1</v>
      </c>
      <c r="D399" s="13">
        <f>VLOOKUP(C399,Controle!A$2:H$9,8,FALSE)</f>
        <v>38.874046212109647</v>
      </c>
      <c r="E399" s="13">
        <f>VLOOKUP(C399,Controle!A$16:H$23,8,FALSE)</f>
        <v>13.454529704853227</v>
      </c>
      <c r="F399" s="5">
        <f>VLOOKUP(A399,Educacional!A$2:P$405,16,FALSE)</f>
        <v>42.540620522359198</v>
      </c>
      <c r="G399" s="6">
        <f>VLOOKUP(A399,Demográfico!A$2:L$405,12,FALSE)</f>
        <v>37.693947128602332</v>
      </c>
      <c r="H399" s="7">
        <f>VLOOKUP(A399,Socioeconômico!A$2:M$405,13,FALSE)</f>
        <v>44.032286915306855</v>
      </c>
      <c r="I399" s="16">
        <f>(2*F399+G399+2*H399)/5/100</f>
        <v>0.4216795240078689</v>
      </c>
      <c r="J399" s="15">
        <f>VLOOKUP(A399,Demográfico!A$2:E$400,5,FALSE)/(VLOOKUP(C399,Controle!A$2:G$9,7,FALSE))*D399</f>
        <v>2.4695384383746615E-2</v>
      </c>
      <c r="K399" s="15">
        <f>VLOOKUP(A399,Demográfico!A$2:E$400,5,FALSE)/(VLOOKUP(C399,Controle!A$16:G$24,7,FALSE))*E399</f>
        <v>8.5472137618744608E-3</v>
      </c>
      <c r="L399" s="118">
        <f>((J399*(1+I399))+3*(I399+K399))/4</f>
        <v>0.33144728390627659</v>
      </c>
      <c r="M399" s="3">
        <v>0</v>
      </c>
      <c r="N399" s="88">
        <f>VLOOKUP(A399,Demográfico!A$2:E$400,5,FALSE)*I399</f>
        <v>88.974379565660342</v>
      </c>
      <c r="O399" s="96">
        <f>FLOOR(L399,1)</f>
        <v>0</v>
      </c>
      <c r="P399" s="96">
        <f>L399-O399</f>
        <v>0.33144728390627659</v>
      </c>
      <c r="Q399" s="87">
        <f>RANK(P399,P$2:P$400,0)</f>
        <v>342</v>
      </c>
      <c r="R399" s="3">
        <f>O399+IF(Q399&lt;Q$1,1,0)</f>
        <v>0</v>
      </c>
      <c r="T399" s="87">
        <f>VLOOKUP(A399,Demográfico!A$2:E$400,5,FALSE)*(I399)</f>
        <v>88.974379565660342</v>
      </c>
    </row>
    <row r="400" spans="1:20" ht="19.5" x14ac:dyDescent="0.25">
      <c r="A400" s="89" t="s">
        <v>405</v>
      </c>
      <c r="B400" s="90">
        <v>1323</v>
      </c>
      <c r="C400" s="4" t="str" cm="1">
        <f t="array" ref="C400">_xlfn.IFS(B400&lt;20000, "P1",B400&lt;40000, "P2",B400&lt;70000, "P3",B400&lt;100000, "P4",B400&lt;200000,"M1",B400&lt;500000,"M2",B400&lt;1000000,"G1",B400&gt;1000000,"G2")</f>
        <v>P1</v>
      </c>
      <c r="D400" s="91">
        <f>VLOOKUP(C400,Controle!A$2:H$9,8,FALSE)</f>
        <v>38.874046212109647</v>
      </c>
      <c r="E400" s="13">
        <f>VLOOKUP(C400,Controle!A$16:H$23,8,FALSE)</f>
        <v>13.454529704853227</v>
      </c>
      <c r="F400" s="5">
        <f>VLOOKUP(A400,Educacional!A$2:P$405,16,FALSE)</f>
        <v>31.407634398751711</v>
      </c>
      <c r="G400" s="6">
        <f>VLOOKUP(A400,Demográfico!A$2:L$405,12,FALSE)</f>
        <v>34.543747371557011</v>
      </c>
      <c r="H400" s="7">
        <f>VLOOKUP(A400,Socioeconômico!A$2:M$405,13,FALSE)</f>
        <v>42.355355879930968</v>
      </c>
      <c r="I400" s="16">
        <f>(2*F400+G400+2*H400)/5/100</f>
        <v>0.36413945585784474</v>
      </c>
      <c r="J400" s="92">
        <f>VLOOKUP(A400,Demográfico!A$2:E$400,5,FALSE)/(VLOOKUP(C400,Controle!A$2:G$9,7,FALSE))*D400</f>
        <v>2.0598993609191488E-2</v>
      </c>
      <c r="K400" s="15">
        <f>VLOOKUP(A400,Demográfico!A$2:E$400,5,FALSE)/(VLOOKUP(C400,Controle!A$16:G$24,7,FALSE))*E400</f>
        <v>7.1294294885777491E-3</v>
      </c>
      <c r="L400" s="118">
        <f>((J400*(1+I400))+3*(I400+K400))/4</f>
        <v>0.2854766389931323</v>
      </c>
      <c r="M400" s="3">
        <v>0</v>
      </c>
      <c r="N400" s="88">
        <f>VLOOKUP(A400,Demográfico!A$2:E$400,5,FALSE)*I400</f>
        <v>64.088544230980673</v>
      </c>
      <c r="O400" s="96">
        <f>FLOOR(L400,1)</f>
        <v>0</v>
      </c>
      <c r="P400" s="96">
        <f>L400-O400</f>
        <v>0.2854766389931323</v>
      </c>
      <c r="Q400" s="87">
        <f>RANK(P400,P$2:P$400,0)</f>
        <v>369</v>
      </c>
      <c r="R400" s="3">
        <f>O400+IF(Q400&lt;Q$1,1,0)</f>
        <v>0</v>
      </c>
      <c r="T400" s="87">
        <f>VLOOKUP(A400,Demográfico!A$2:E$400,5,FALSE)*(I400)</f>
        <v>64.088544230980673</v>
      </c>
    </row>
    <row r="401" spans="3:20" x14ac:dyDescent="0.25">
      <c r="C401" s="51"/>
      <c r="D401" s="51"/>
      <c r="E401" s="51"/>
      <c r="F401" s="51"/>
      <c r="G401" s="51"/>
      <c r="H401" s="51"/>
      <c r="I401" s="51"/>
      <c r="J401" s="51"/>
      <c r="K401" s="51"/>
      <c r="N401" s="88">
        <f>SUM(N2:N400)/Demográfico!E405</f>
        <v>0.43812895370626903</v>
      </c>
    </row>
    <row r="402" spans="3:20" x14ac:dyDescent="0.25">
      <c r="C402" s="51"/>
      <c r="D402" s="51"/>
      <c r="E402" s="51"/>
      <c r="F402" s="51"/>
      <c r="G402" s="51"/>
      <c r="H402" s="51"/>
      <c r="I402" s="51"/>
      <c r="J402" s="51"/>
      <c r="K402" s="51"/>
      <c r="T402" s="87">
        <f>SUM(T2:T400)/Controle!C10</f>
        <v>0.43812895370626903</v>
      </c>
    </row>
    <row r="403" spans="3:20" x14ac:dyDescent="0.25">
      <c r="C403" s="51"/>
      <c r="D403" s="51"/>
      <c r="E403" s="51"/>
      <c r="F403" s="88"/>
      <c r="G403" s="88"/>
      <c r="H403" s="88"/>
      <c r="I403" s="51"/>
      <c r="J403" s="51"/>
      <c r="K403" s="51"/>
    </row>
    <row r="404" spans="3:20" x14ac:dyDescent="0.25">
      <c r="C404" s="51"/>
      <c r="D404" s="51"/>
      <c r="E404" s="51"/>
      <c r="F404" s="51"/>
      <c r="G404" s="51"/>
      <c r="H404" s="51"/>
      <c r="I404" s="51"/>
      <c r="J404" s="51"/>
      <c r="K404" s="51"/>
    </row>
    <row r="405" spans="3:20" x14ac:dyDescent="0.25">
      <c r="C405" s="51"/>
      <c r="D405" s="51"/>
      <c r="E405" s="51"/>
      <c r="F405" s="51"/>
      <c r="G405" s="51"/>
      <c r="H405" s="51"/>
      <c r="I405" s="51"/>
      <c r="J405" s="51"/>
      <c r="K405" s="51"/>
    </row>
    <row r="406" spans="3:20" x14ac:dyDescent="0.25">
      <c r="C406" s="51"/>
      <c r="D406" s="51"/>
      <c r="E406" s="51"/>
      <c r="F406" s="51"/>
      <c r="G406" s="51"/>
      <c r="H406" s="51"/>
      <c r="I406" s="51"/>
      <c r="J406" s="51"/>
      <c r="K406" s="51"/>
    </row>
    <row r="407" spans="3:20" x14ac:dyDescent="0.25">
      <c r="C407" s="51"/>
      <c r="D407" s="51"/>
      <c r="E407" s="51"/>
      <c r="F407" s="51"/>
      <c r="G407" s="51"/>
      <c r="H407" s="51"/>
      <c r="I407" s="51"/>
      <c r="J407" s="51"/>
      <c r="K407" s="51"/>
    </row>
    <row r="408" spans="3:20" x14ac:dyDescent="0.25">
      <c r="C408" s="51"/>
      <c r="D408" s="51"/>
      <c r="E408" s="51"/>
      <c r="F408" s="51"/>
      <c r="G408" s="51"/>
      <c r="H408" s="51"/>
      <c r="I408" s="51"/>
      <c r="J408" s="51"/>
      <c r="K408" s="51"/>
    </row>
    <row r="409" spans="3:20" x14ac:dyDescent="0.25">
      <c r="C409" s="51"/>
      <c r="D409" s="51"/>
      <c r="E409" s="51"/>
      <c r="F409" s="51"/>
      <c r="G409" s="51"/>
      <c r="H409" s="51"/>
      <c r="I409" s="51"/>
      <c r="J409" s="51"/>
      <c r="K409" s="51"/>
    </row>
    <row r="410" spans="3:20" x14ac:dyDescent="0.25">
      <c r="C410" s="51"/>
      <c r="D410" s="51"/>
      <c r="E410" s="51"/>
      <c r="F410" s="51"/>
      <c r="G410" s="51"/>
      <c r="H410" s="51"/>
      <c r="I410" s="51"/>
      <c r="J410" s="51"/>
      <c r="K410" s="51"/>
    </row>
    <row r="411" spans="3:20" x14ac:dyDescent="0.25">
      <c r="C411" s="51"/>
      <c r="D411" s="51"/>
      <c r="E411" s="51"/>
      <c r="F411" s="51"/>
      <c r="G411" s="51"/>
      <c r="H411" s="51"/>
      <c r="I411" s="51"/>
      <c r="J411" s="51"/>
      <c r="K411" s="51"/>
    </row>
    <row r="412" spans="3:20" x14ac:dyDescent="0.25">
      <c r="C412" s="51"/>
      <c r="D412" s="51"/>
      <c r="E412" s="51"/>
      <c r="F412" s="51"/>
      <c r="G412" s="51"/>
      <c r="H412" s="51"/>
      <c r="I412" s="51"/>
      <c r="J412" s="51"/>
      <c r="K412" s="51"/>
    </row>
    <row r="413" spans="3:20" x14ac:dyDescent="0.25">
      <c r="C413" s="51"/>
      <c r="D413" s="51"/>
      <c r="E413" s="51"/>
      <c r="F413" s="51"/>
      <c r="G413" s="51"/>
      <c r="H413" s="51"/>
      <c r="I413" s="51"/>
      <c r="J413" s="51"/>
      <c r="K413" s="51"/>
    </row>
    <row r="414" spans="3:20" x14ac:dyDescent="0.25">
      <c r="C414" s="51"/>
      <c r="D414" s="51"/>
      <c r="E414" s="51"/>
      <c r="F414" s="51"/>
      <c r="G414" s="51"/>
      <c r="H414" s="51"/>
      <c r="I414" s="51"/>
      <c r="J414" s="51"/>
      <c r="K414" s="51"/>
    </row>
    <row r="415" spans="3:20" x14ac:dyDescent="0.25">
      <c r="C415" s="51"/>
      <c r="D415" s="51"/>
      <c r="E415" s="51"/>
      <c r="F415" s="51"/>
      <c r="G415" s="51"/>
      <c r="H415" s="51"/>
      <c r="I415" s="51"/>
      <c r="J415" s="51"/>
      <c r="K415" s="51"/>
    </row>
    <row r="416" spans="3:20" x14ac:dyDescent="0.25">
      <c r="C416" s="51"/>
      <c r="D416" s="51"/>
      <c r="E416" s="51"/>
      <c r="F416" s="51"/>
      <c r="G416" s="51"/>
      <c r="H416" s="51"/>
      <c r="I416" s="51"/>
      <c r="J416" s="51"/>
      <c r="K416" s="51"/>
    </row>
    <row r="417" spans="3:11" x14ac:dyDescent="0.25">
      <c r="C417" s="51"/>
      <c r="D417" s="51"/>
      <c r="E417" s="51"/>
      <c r="F417" s="51"/>
      <c r="G417" s="51"/>
      <c r="H417" s="51"/>
      <c r="I417" s="51"/>
      <c r="J417" s="51"/>
      <c r="K417" s="51"/>
    </row>
    <row r="418" spans="3:11" x14ac:dyDescent="0.25">
      <c r="C418" s="51"/>
      <c r="D418" s="51"/>
      <c r="E418" s="51"/>
      <c r="F418" s="51"/>
      <c r="G418" s="51"/>
      <c r="H418" s="51"/>
      <c r="I418" s="51"/>
      <c r="J418" s="51"/>
      <c r="K418" s="51"/>
    </row>
    <row r="419" spans="3:11" x14ac:dyDescent="0.25">
      <c r="C419" s="51"/>
      <c r="D419" s="51"/>
      <c r="E419" s="51"/>
      <c r="F419" s="51"/>
      <c r="G419" s="51"/>
      <c r="H419" s="51"/>
      <c r="I419" s="51"/>
      <c r="J419" s="51"/>
      <c r="K419" s="51"/>
    </row>
    <row r="420" spans="3:11" x14ac:dyDescent="0.25">
      <c r="C420" s="51"/>
      <c r="D420" s="51"/>
      <c r="E420" s="51"/>
      <c r="F420" s="51"/>
      <c r="G420" s="51"/>
      <c r="H420" s="51"/>
      <c r="I420" s="51"/>
      <c r="J420" s="51"/>
      <c r="K420" s="51"/>
    </row>
    <row r="421" spans="3:11" x14ac:dyDescent="0.25">
      <c r="C421" s="51"/>
      <c r="D421" s="51"/>
      <c r="E421" s="51"/>
      <c r="F421" s="51"/>
      <c r="G421" s="51"/>
      <c r="H421" s="51"/>
      <c r="I421" s="51"/>
      <c r="J421" s="51"/>
      <c r="K421" s="51"/>
    </row>
    <row r="422" spans="3:11" x14ac:dyDescent="0.25">
      <c r="C422" s="51"/>
      <c r="D422" s="51"/>
      <c r="E422" s="51"/>
      <c r="F422" s="51"/>
      <c r="G422" s="51"/>
      <c r="H422" s="51"/>
      <c r="I422" s="51"/>
      <c r="J422" s="51"/>
      <c r="K422" s="51"/>
    </row>
    <row r="423" spans="3:11" x14ac:dyDescent="0.25">
      <c r="C423" s="51"/>
      <c r="D423" s="51"/>
      <c r="E423" s="51"/>
      <c r="F423" s="51"/>
      <c r="G423" s="51"/>
      <c r="H423" s="51"/>
      <c r="I423" s="51"/>
      <c r="J423" s="51"/>
      <c r="K423" s="51"/>
    </row>
    <row r="424" spans="3:11" x14ac:dyDescent="0.25">
      <c r="C424" s="51"/>
      <c r="D424" s="51"/>
      <c r="E424" s="51"/>
      <c r="F424" s="51"/>
      <c r="G424" s="51"/>
      <c r="H424" s="51"/>
      <c r="I424" s="51"/>
      <c r="J424" s="51"/>
      <c r="K424" s="51"/>
    </row>
    <row r="425" spans="3:11" x14ac:dyDescent="0.25">
      <c r="C425" s="51"/>
      <c r="D425" s="51"/>
      <c r="E425" s="51"/>
      <c r="F425" s="51"/>
      <c r="G425" s="51"/>
      <c r="H425" s="51"/>
      <c r="I425" s="51"/>
      <c r="J425" s="51"/>
      <c r="K425" s="51"/>
    </row>
    <row r="426" spans="3:11" x14ac:dyDescent="0.25">
      <c r="C426" s="51"/>
      <c r="D426" s="51"/>
      <c r="E426" s="51"/>
      <c r="F426" s="51"/>
      <c r="G426" s="51"/>
      <c r="H426" s="51"/>
      <c r="I426" s="51"/>
      <c r="J426" s="51"/>
      <c r="K426" s="51"/>
    </row>
    <row r="427" spans="3:11" x14ac:dyDescent="0.25">
      <c r="C427" s="51"/>
      <c r="D427" s="51"/>
      <c r="E427" s="51"/>
      <c r="F427" s="51"/>
      <c r="G427" s="51"/>
      <c r="H427" s="51"/>
      <c r="I427" s="51"/>
      <c r="J427" s="51"/>
      <c r="K427" s="51"/>
    </row>
    <row r="428" spans="3:11" x14ac:dyDescent="0.25">
      <c r="C428" s="51"/>
      <c r="D428" s="51"/>
      <c r="E428" s="51"/>
      <c r="F428" s="51"/>
      <c r="G428" s="51"/>
      <c r="H428" s="51"/>
      <c r="I428" s="51"/>
      <c r="J428" s="51"/>
      <c r="K428" s="51"/>
    </row>
    <row r="429" spans="3:11" x14ac:dyDescent="0.25">
      <c r="C429" s="51"/>
      <c r="D429" s="51"/>
      <c r="E429" s="51"/>
      <c r="F429" s="51"/>
      <c r="G429" s="51"/>
      <c r="H429" s="51"/>
      <c r="I429" s="51"/>
      <c r="J429" s="51"/>
      <c r="K429" s="51"/>
    </row>
    <row r="430" spans="3:11" x14ac:dyDescent="0.25">
      <c r="C430" s="51"/>
      <c r="D430" s="51"/>
      <c r="E430" s="51"/>
      <c r="F430" s="51"/>
      <c r="G430" s="51"/>
      <c r="H430" s="51"/>
      <c r="I430" s="51"/>
      <c r="J430" s="51"/>
      <c r="K430" s="51"/>
    </row>
    <row r="431" spans="3:11" x14ac:dyDescent="0.25">
      <c r="C431" s="51"/>
      <c r="D431" s="51"/>
      <c r="E431" s="51"/>
      <c r="F431" s="51"/>
      <c r="G431" s="51"/>
      <c r="H431" s="51"/>
      <c r="I431" s="51"/>
      <c r="J431" s="51"/>
      <c r="K431" s="51"/>
    </row>
    <row r="432" spans="3:11" x14ac:dyDescent="0.25">
      <c r="C432" s="51"/>
      <c r="D432" s="51"/>
      <c r="E432" s="51"/>
      <c r="F432" s="51"/>
      <c r="G432" s="51"/>
      <c r="H432" s="51"/>
      <c r="I432" s="51"/>
      <c r="J432" s="51"/>
      <c r="K432" s="51"/>
    </row>
    <row r="433" spans="3:11" x14ac:dyDescent="0.25">
      <c r="C433" s="51"/>
      <c r="D433" s="51"/>
      <c r="E433" s="51"/>
      <c r="F433" s="51"/>
      <c r="G433" s="51"/>
      <c r="H433" s="51"/>
      <c r="I433" s="51"/>
      <c r="J433" s="51"/>
      <c r="K433" s="51"/>
    </row>
    <row r="434" spans="3:11" x14ac:dyDescent="0.25">
      <c r="C434" s="51"/>
      <c r="D434" s="51"/>
      <c r="E434" s="51"/>
      <c r="F434" s="51"/>
      <c r="G434" s="51"/>
      <c r="H434" s="51"/>
      <c r="I434" s="51"/>
      <c r="J434" s="51"/>
      <c r="K434" s="51"/>
    </row>
    <row r="435" spans="3:11" x14ac:dyDescent="0.25">
      <c r="C435" s="51"/>
      <c r="D435" s="51"/>
      <c r="E435" s="51"/>
      <c r="F435" s="51"/>
      <c r="G435" s="51"/>
      <c r="H435" s="51"/>
      <c r="I435" s="51"/>
      <c r="J435" s="51"/>
      <c r="K435" s="51"/>
    </row>
    <row r="436" spans="3:11" x14ac:dyDescent="0.25">
      <c r="C436" s="51"/>
      <c r="D436" s="51"/>
      <c r="E436" s="51"/>
      <c r="F436" s="51"/>
      <c r="G436" s="51"/>
      <c r="H436" s="51"/>
      <c r="I436" s="51"/>
      <c r="J436" s="51"/>
      <c r="K436" s="51"/>
    </row>
    <row r="437" spans="3:11" x14ac:dyDescent="0.25">
      <c r="C437" s="51"/>
      <c r="D437" s="51"/>
      <c r="E437" s="51"/>
      <c r="F437" s="51"/>
      <c r="G437" s="51"/>
      <c r="H437" s="51"/>
      <c r="I437" s="51"/>
      <c r="J437" s="51"/>
      <c r="K437" s="51"/>
    </row>
    <row r="438" spans="3:11" x14ac:dyDescent="0.25">
      <c r="C438" s="51"/>
      <c r="D438" s="51"/>
      <c r="E438" s="51"/>
      <c r="F438" s="51"/>
      <c r="G438" s="51"/>
      <c r="H438" s="51"/>
      <c r="I438" s="51"/>
      <c r="J438" s="51"/>
      <c r="K438" s="51"/>
    </row>
    <row r="439" spans="3:11" x14ac:dyDescent="0.25">
      <c r="C439" s="51"/>
      <c r="D439" s="51"/>
      <c r="E439" s="51"/>
      <c r="F439" s="51"/>
      <c r="G439" s="51"/>
      <c r="H439" s="51"/>
      <c r="I439" s="51"/>
      <c r="J439" s="51"/>
      <c r="K439" s="51"/>
    </row>
    <row r="440" spans="3:11" x14ac:dyDescent="0.25">
      <c r="C440" s="51"/>
      <c r="D440" s="51"/>
      <c r="E440" s="51"/>
      <c r="F440" s="51"/>
      <c r="G440" s="51"/>
      <c r="H440" s="51"/>
      <c r="I440" s="51"/>
      <c r="J440" s="51"/>
      <c r="K440" s="51"/>
    </row>
    <row r="441" spans="3:11" x14ac:dyDescent="0.25">
      <c r="C441" s="51"/>
      <c r="D441" s="51"/>
      <c r="E441" s="51"/>
      <c r="F441" s="51"/>
      <c r="G441" s="51"/>
      <c r="H441" s="51"/>
      <c r="I441" s="51"/>
      <c r="J441" s="51"/>
      <c r="K441" s="51"/>
    </row>
    <row r="442" spans="3:11" x14ac:dyDescent="0.25">
      <c r="C442" s="51"/>
      <c r="D442" s="51"/>
      <c r="E442" s="51"/>
      <c r="F442" s="51"/>
      <c r="G442" s="51"/>
      <c r="H442" s="51"/>
      <c r="I442" s="51"/>
      <c r="J442" s="51"/>
      <c r="K442" s="51"/>
    </row>
    <row r="443" spans="3:11" x14ac:dyDescent="0.25">
      <c r="C443" s="51"/>
      <c r="D443" s="51"/>
      <c r="E443" s="51"/>
      <c r="F443" s="51"/>
      <c r="G443" s="51"/>
      <c r="H443" s="51"/>
      <c r="I443" s="51"/>
      <c r="J443" s="51"/>
      <c r="K443" s="51"/>
    </row>
    <row r="444" spans="3:11" x14ac:dyDescent="0.25">
      <c r="C444" s="51"/>
      <c r="D444" s="51"/>
      <c r="E444" s="51"/>
      <c r="F444" s="51"/>
      <c r="G444" s="51"/>
      <c r="H444" s="51"/>
      <c r="I444" s="51"/>
      <c r="J444" s="51"/>
      <c r="K444" s="51"/>
    </row>
    <row r="445" spans="3:11" x14ac:dyDescent="0.25">
      <c r="C445" s="51"/>
      <c r="D445" s="51"/>
      <c r="E445" s="51"/>
      <c r="F445" s="51"/>
      <c r="G445" s="51"/>
      <c r="H445" s="51"/>
      <c r="I445" s="51"/>
      <c r="J445" s="51"/>
      <c r="K445" s="51"/>
    </row>
    <row r="446" spans="3:11" x14ac:dyDescent="0.25">
      <c r="C446" s="51"/>
      <c r="D446" s="51"/>
      <c r="E446" s="51"/>
      <c r="F446" s="51"/>
      <c r="G446" s="51"/>
      <c r="H446" s="51"/>
      <c r="I446" s="51"/>
      <c r="J446" s="51"/>
      <c r="K446" s="51"/>
    </row>
    <row r="447" spans="3:11" x14ac:dyDescent="0.25">
      <c r="C447" s="51"/>
      <c r="D447" s="51"/>
      <c r="E447" s="51"/>
      <c r="F447" s="51"/>
      <c r="G447" s="51"/>
      <c r="H447" s="51"/>
      <c r="I447" s="51"/>
      <c r="J447" s="51"/>
      <c r="K447" s="51"/>
    </row>
    <row r="448" spans="3:11" x14ac:dyDescent="0.25">
      <c r="C448" s="51"/>
      <c r="D448" s="51"/>
      <c r="E448" s="51"/>
      <c r="F448" s="51"/>
      <c r="G448" s="51"/>
      <c r="H448" s="51"/>
      <c r="I448" s="51"/>
      <c r="J448" s="51"/>
      <c r="K448" s="51"/>
    </row>
    <row r="449" spans="3:11" x14ac:dyDescent="0.25">
      <c r="C449" s="51"/>
      <c r="D449" s="51"/>
      <c r="E449" s="51"/>
      <c r="F449" s="51"/>
      <c r="G449" s="51"/>
      <c r="H449" s="51"/>
      <c r="I449" s="51"/>
      <c r="J449" s="51"/>
      <c r="K449" s="51"/>
    </row>
    <row r="450" spans="3:11" x14ac:dyDescent="0.25">
      <c r="C450" s="51"/>
      <c r="D450" s="51"/>
      <c r="E450" s="51"/>
      <c r="F450" s="51"/>
      <c r="G450" s="51"/>
      <c r="H450" s="51"/>
      <c r="I450" s="51"/>
      <c r="J450" s="51"/>
      <c r="K450" s="51"/>
    </row>
    <row r="451" spans="3:11" x14ac:dyDescent="0.25">
      <c r="C451" s="51"/>
      <c r="D451" s="51"/>
      <c r="E451" s="51"/>
      <c r="F451" s="51"/>
      <c r="G451" s="51"/>
      <c r="H451" s="51"/>
      <c r="I451" s="51"/>
      <c r="J451" s="51"/>
      <c r="K451" s="51"/>
    </row>
    <row r="452" spans="3:11" x14ac:dyDescent="0.25">
      <c r="C452" s="51"/>
      <c r="D452" s="51"/>
      <c r="E452" s="51"/>
      <c r="F452" s="51"/>
      <c r="G452" s="51"/>
      <c r="H452" s="51"/>
      <c r="I452" s="51"/>
      <c r="J452" s="51"/>
      <c r="K452" s="51"/>
    </row>
    <row r="453" spans="3:11" x14ac:dyDescent="0.25">
      <c r="C453" s="51"/>
      <c r="D453" s="51"/>
      <c r="E453" s="51"/>
      <c r="F453" s="51"/>
      <c r="G453" s="51"/>
      <c r="H453" s="51"/>
      <c r="I453" s="51"/>
      <c r="J453" s="51"/>
      <c r="K453" s="51"/>
    </row>
    <row r="454" spans="3:11" x14ac:dyDescent="0.25">
      <c r="C454" s="51"/>
      <c r="D454" s="51"/>
      <c r="E454" s="51"/>
      <c r="F454" s="51"/>
      <c r="G454" s="51"/>
      <c r="H454" s="51"/>
      <c r="I454" s="51"/>
      <c r="J454" s="51"/>
      <c r="K454" s="51"/>
    </row>
    <row r="455" spans="3:11" x14ac:dyDescent="0.25">
      <c r="C455" s="51"/>
      <c r="D455" s="51"/>
      <c r="E455" s="51"/>
      <c r="F455" s="51"/>
      <c r="G455" s="51"/>
      <c r="H455" s="51"/>
      <c r="I455" s="51"/>
      <c r="J455" s="51"/>
      <c r="K455" s="51"/>
    </row>
    <row r="456" spans="3:11" x14ac:dyDescent="0.25">
      <c r="C456" s="51"/>
      <c r="D456" s="51"/>
      <c r="E456" s="51"/>
      <c r="F456" s="51"/>
      <c r="G456" s="51"/>
      <c r="H456" s="51"/>
      <c r="I456" s="51"/>
      <c r="J456" s="51"/>
      <c r="K456" s="51"/>
    </row>
    <row r="457" spans="3:11" x14ac:dyDescent="0.25">
      <c r="C457" s="51"/>
      <c r="D457" s="51"/>
      <c r="E457" s="51"/>
      <c r="F457" s="51"/>
      <c r="G457" s="51"/>
      <c r="H457" s="51"/>
      <c r="I457" s="51"/>
      <c r="J457" s="51"/>
      <c r="K457" s="51"/>
    </row>
    <row r="458" spans="3:11" x14ac:dyDescent="0.25">
      <c r="C458" s="51"/>
      <c r="D458" s="51"/>
      <c r="E458" s="51"/>
      <c r="F458" s="51"/>
      <c r="G458" s="51"/>
      <c r="H458" s="51"/>
      <c r="I458" s="51"/>
      <c r="J458" s="51"/>
      <c r="K458" s="51"/>
    </row>
    <row r="459" spans="3:11" x14ac:dyDescent="0.25">
      <c r="C459" s="51"/>
      <c r="D459" s="51"/>
      <c r="E459" s="51"/>
      <c r="F459" s="51"/>
      <c r="G459" s="51"/>
      <c r="H459" s="51"/>
      <c r="I459" s="51"/>
      <c r="J459" s="51"/>
      <c r="K459" s="51"/>
    </row>
    <row r="460" spans="3:11" x14ac:dyDescent="0.25">
      <c r="C460" s="51"/>
      <c r="D460" s="51"/>
      <c r="E460" s="51"/>
      <c r="F460" s="51"/>
      <c r="G460" s="51"/>
      <c r="H460" s="51"/>
      <c r="I460" s="51"/>
      <c r="J460" s="51"/>
      <c r="K460" s="51"/>
    </row>
    <row r="461" spans="3:11" x14ac:dyDescent="0.25">
      <c r="C461" s="51"/>
      <c r="D461" s="51"/>
      <c r="E461" s="51"/>
      <c r="F461" s="51"/>
      <c r="G461" s="51"/>
      <c r="H461" s="51"/>
      <c r="I461" s="51"/>
      <c r="J461" s="51"/>
      <c r="K461" s="51"/>
    </row>
    <row r="462" spans="3:11" x14ac:dyDescent="0.25">
      <c r="C462" s="51"/>
      <c r="D462" s="51"/>
      <c r="E462" s="51"/>
      <c r="F462" s="51"/>
      <c r="G462" s="51"/>
      <c r="H462" s="51"/>
      <c r="I462" s="51"/>
      <c r="J462" s="51"/>
      <c r="K462" s="51"/>
    </row>
    <row r="463" spans="3:11" x14ac:dyDescent="0.25">
      <c r="C463" s="51"/>
      <c r="D463" s="51"/>
      <c r="E463" s="51"/>
      <c r="F463" s="51"/>
      <c r="G463" s="51"/>
      <c r="H463" s="51"/>
      <c r="I463" s="51"/>
      <c r="J463" s="51"/>
      <c r="K463" s="51"/>
    </row>
    <row r="464" spans="3:11" x14ac:dyDescent="0.25">
      <c r="C464" s="51"/>
      <c r="D464" s="51"/>
      <c r="E464" s="51"/>
      <c r="F464" s="51"/>
      <c r="G464" s="51"/>
      <c r="H464" s="51"/>
      <c r="I464" s="51"/>
      <c r="J464" s="51"/>
      <c r="K464" s="51"/>
    </row>
    <row r="465" spans="3:11" x14ac:dyDescent="0.25">
      <c r="C465" s="51"/>
      <c r="D465" s="51"/>
      <c r="E465" s="51"/>
      <c r="F465" s="51"/>
      <c r="G465" s="51"/>
      <c r="H465" s="51"/>
      <c r="I465" s="51"/>
      <c r="J465" s="51"/>
      <c r="K465" s="51"/>
    </row>
    <row r="466" spans="3:11" x14ac:dyDescent="0.25">
      <c r="C466" s="51"/>
      <c r="D466" s="51"/>
      <c r="E466" s="51"/>
      <c r="F466" s="51"/>
      <c r="G466" s="51"/>
      <c r="H466" s="51"/>
      <c r="I466" s="51"/>
      <c r="J466" s="51"/>
      <c r="K466" s="51"/>
    </row>
    <row r="467" spans="3:11" x14ac:dyDescent="0.25">
      <c r="C467" s="51"/>
      <c r="D467" s="51"/>
      <c r="E467" s="51"/>
      <c r="F467" s="51"/>
      <c r="G467" s="51"/>
      <c r="H467" s="51"/>
      <c r="I467" s="51"/>
      <c r="J467" s="51"/>
      <c r="K467" s="51"/>
    </row>
    <row r="468" spans="3:11" x14ac:dyDescent="0.25">
      <c r="C468" s="51"/>
      <c r="D468" s="51"/>
      <c r="E468" s="51"/>
      <c r="F468" s="51"/>
      <c r="G468" s="51"/>
      <c r="H468" s="51"/>
      <c r="I468" s="51"/>
      <c r="J468" s="51"/>
      <c r="K468" s="51"/>
    </row>
    <row r="469" spans="3:11" x14ac:dyDescent="0.25">
      <c r="C469" s="51"/>
      <c r="D469" s="51"/>
      <c r="E469" s="51"/>
      <c r="F469" s="51"/>
      <c r="G469" s="51"/>
      <c r="H469" s="51"/>
      <c r="I469" s="51"/>
      <c r="J469" s="51"/>
      <c r="K469" s="51"/>
    </row>
    <row r="470" spans="3:11" x14ac:dyDescent="0.25">
      <c r="C470" s="51"/>
      <c r="D470" s="51"/>
      <c r="E470" s="51"/>
      <c r="F470" s="51"/>
      <c r="G470" s="51"/>
      <c r="H470" s="51"/>
      <c r="I470" s="51"/>
      <c r="J470" s="51"/>
      <c r="K470" s="51"/>
    </row>
    <row r="471" spans="3:11" x14ac:dyDescent="0.25">
      <c r="C471" s="51"/>
      <c r="D471" s="51"/>
      <c r="E471" s="51"/>
      <c r="F471" s="51"/>
      <c r="G471" s="51"/>
      <c r="H471" s="51"/>
      <c r="I471" s="51"/>
      <c r="J471" s="51"/>
      <c r="K471" s="51"/>
    </row>
    <row r="472" spans="3:11" x14ac:dyDescent="0.25">
      <c r="C472" s="51"/>
      <c r="D472" s="51"/>
      <c r="E472" s="51"/>
      <c r="F472" s="51"/>
      <c r="G472" s="51"/>
      <c r="H472" s="51"/>
      <c r="I472" s="51"/>
      <c r="J472" s="51"/>
      <c r="K472" s="51"/>
    </row>
    <row r="473" spans="3:11" x14ac:dyDescent="0.25">
      <c r="C473" s="51"/>
      <c r="D473" s="51"/>
      <c r="E473" s="51"/>
      <c r="F473" s="51"/>
      <c r="G473" s="51"/>
      <c r="H473" s="51"/>
      <c r="I473" s="51"/>
      <c r="J473" s="51"/>
      <c r="K473" s="51"/>
    </row>
    <row r="474" spans="3:11" x14ac:dyDescent="0.25">
      <c r="C474" s="51"/>
      <c r="D474" s="51"/>
      <c r="E474" s="51"/>
      <c r="F474" s="51"/>
      <c r="G474" s="51"/>
      <c r="H474" s="51"/>
      <c r="I474" s="51"/>
      <c r="J474" s="51"/>
      <c r="K474" s="51"/>
    </row>
    <row r="475" spans="3:11" x14ac:dyDescent="0.25">
      <c r="C475" s="51"/>
      <c r="D475" s="51"/>
      <c r="E475" s="51"/>
      <c r="F475" s="51"/>
      <c r="G475" s="51"/>
      <c r="H475" s="51"/>
      <c r="I475" s="51"/>
      <c r="J475" s="51"/>
      <c r="K475" s="51"/>
    </row>
    <row r="476" spans="3:11" x14ac:dyDescent="0.25">
      <c r="C476" s="51"/>
      <c r="D476" s="51"/>
      <c r="E476" s="51"/>
      <c r="F476" s="51"/>
      <c r="G476" s="51"/>
      <c r="H476" s="51"/>
      <c r="I476" s="51"/>
      <c r="J476" s="51"/>
      <c r="K476" s="51"/>
    </row>
    <row r="477" spans="3:11" x14ac:dyDescent="0.25">
      <c r="C477" s="51"/>
      <c r="D477" s="51"/>
      <c r="E477" s="51"/>
      <c r="F477" s="51"/>
      <c r="G477" s="51"/>
      <c r="H477" s="51"/>
      <c r="I477" s="51"/>
      <c r="J477" s="51"/>
      <c r="K477" s="51"/>
    </row>
    <row r="478" spans="3:11" x14ac:dyDescent="0.25">
      <c r="C478" s="51"/>
      <c r="D478" s="51"/>
      <c r="E478" s="51"/>
      <c r="F478" s="51"/>
      <c r="G478" s="51"/>
      <c r="H478" s="51"/>
      <c r="I478" s="51"/>
      <c r="J478" s="51"/>
      <c r="K478" s="51"/>
    </row>
    <row r="479" spans="3:11" x14ac:dyDescent="0.25">
      <c r="C479" s="51"/>
      <c r="D479" s="51"/>
      <c r="E479" s="51"/>
      <c r="F479" s="51"/>
      <c r="G479" s="51"/>
      <c r="H479" s="51"/>
      <c r="I479" s="51"/>
      <c r="J479" s="51"/>
      <c r="K479" s="51"/>
    </row>
    <row r="480" spans="3:11" x14ac:dyDescent="0.25">
      <c r="C480" s="51"/>
      <c r="D480" s="51"/>
      <c r="E480" s="51"/>
      <c r="F480" s="51"/>
      <c r="G480" s="51"/>
      <c r="H480" s="51"/>
      <c r="I480" s="51"/>
      <c r="J480" s="51"/>
      <c r="K480" s="51"/>
    </row>
    <row r="481" spans="3:11" x14ac:dyDescent="0.25">
      <c r="C481" s="51"/>
      <c r="D481" s="51"/>
      <c r="E481" s="51"/>
      <c r="F481" s="51"/>
      <c r="G481" s="51"/>
      <c r="H481" s="51"/>
      <c r="I481" s="51"/>
      <c r="J481" s="51"/>
      <c r="K481" s="51"/>
    </row>
    <row r="482" spans="3:11" x14ac:dyDescent="0.25">
      <c r="C482" s="51"/>
      <c r="D482" s="51"/>
      <c r="E482" s="51"/>
      <c r="F482" s="51"/>
      <c r="G482" s="51"/>
      <c r="H482" s="51"/>
      <c r="I482" s="51"/>
      <c r="J482" s="51"/>
      <c r="K482" s="51"/>
    </row>
    <row r="483" spans="3:11" x14ac:dyDescent="0.25">
      <c r="C483" s="51"/>
      <c r="D483" s="51"/>
      <c r="E483" s="51"/>
      <c r="F483" s="51"/>
      <c r="G483" s="51"/>
      <c r="H483" s="51"/>
      <c r="I483" s="51"/>
      <c r="J483" s="51"/>
      <c r="K483" s="51"/>
    </row>
    <row r="484" spans="3:11" x14ac:dyDescent="0.25">
      <c r="C484" s="51"/>
      <c r="D484" s="51"/>
      <c r="E484" s="51"/>
      <c r="F484" s="51"/>
      <c r="G484" s="51"/>
      <c r="H484" s="51"/>
      <c r="I484" s="51"/>
      <c r="J484" s="51"/>
      <c r="K484" s="51"/>
    </row>
    <row r="485" spans="3:11" x14ac:dyDescent="0.25">
      <c r="C485" s="51"/>
      <c r="D485" s="51"/>
      <c r="E485" s="51"/>
      <c r="F485" s="51"/>
      <c r="G485" s="51"/>
      <c r="H485" s="51"/>
      <c r="I485" s="51"/>
      <c r="J485" s="51"/>
      <c r="K485" s="51"/>
    </row>
    <row r="486" spans="3:11" x14ac:dyDescent="0.25">
      <c r="C486" s="51"/>
      <c r="D486" s="51"/>
      <c r="E486" s="51"/>
      <c r="F486" s="51"/>
      <c r="G486" s="51"/>
      <c r="H486" s="51"/>
      <c r="I486" s="51"/>
      <c r="J486" s="51"/>
      <c r="K486" s="51"/>
    </row>
    <row r="487" spans="3:11" x14ac:dyDescent="0.25">
      <c r="C487" s="51"/>
      <c r="D487" s="51"/>
      <c r="E487" s="51"/>
      <c r="F487" s="51"/>
      <c r="G487" s="51"/>
      <c r="H487" s="51"/>
      <c r="I487" s="51"/>
      <c r="J487" s="51"/>
      <c r="K487" s="51"/>
    </row>
    <row r="488" spans="3:11" x14ac:dyDescent="0.25">
      <c r="C488" s="51"/>
      <c r="D488" s="51"/>
      <c r="E488" s="51"/>
      <c r="F488" s="51"/>
      <c r="G488" s="51"/>
      <c r="H488" s="51"/>
      <c r="I488" s="51"/>
      <c r="J488" s="51"/>
      <c r="K488" s="51"/>
    </row>
    <row r="489" spans="3:11" x14ac:dyDescent="0.25">
      <c r="C489" s="51"/>
      <c r="D489" s="51"/>
      <c r="E489" s="51"/>
      <c r="F489" s="51"/>
      <c r="G489" s="51"/>
      <c r="H489" s="51"/>
      <c r="I489" s="51"/>
      <c r="J489" s="51"/>
      <c r="K489" s="51"/>
    </row>
    <row r="490" spans="3:11" x14ac:dyDescent="0.25">
      <c r="C490" s="51"/>
      <c r="D490" s="51"/>
      <c r="E490" s="51"/>
      <c r="F490" s="51"/>
      <c r="G490" s="51"/>
      <c r="H490" s="51"/>
      <c r="I490" s="51"/>
      <c r="J490" s="51"/>
      <c r="K490" s="51"/>
    </row>
    <row r="491" spans="3:11" x14ac:dyDescent="0.25">
      <c r="C491" s="51"/>
      <c r="D491" s="51"/>
      <c r="E491" s="51"/>
      <c r="F491" s="51"/>
      <c r="G491" s="51"/>
      <c r="H491" s="51"/>
      <c r="I491" s="51"/>
      <c r="J491" s="51"/>
      <c r="K491" s="51"/>
    </row>
    <row r="492" spans="3:11" x14ac:dyDescent="0.25">
      <c r="C492" s="51"/>
      <c r="D492" s="51"/>
      <c r="E492" s="51"/>
      <c r="F492" s="51"/>
      <c r="G492" s="51"/>
      <c r="H492" s="51"/>
      <c r="I492" s="51"/>
      <c r="J492" s="51"/>
      <c r="K492" s="51"/>
    </row>
    <row r="493" spans="3:11" x14ac:dyDescent="0.25">
      <c r="C493" s="51"/>
      <c r="D493" s="51"/>
      <c r="E493" s="51"/>
      <c r="F493" s="51"/>
      <c r="G493" s="51"/>
      <c r="H493" s="51"/>
      <c r="I493" s="51"/>
      <c r="J493" s="51"/>
      <c r="K493" s="51"/>
    </row>
    <row r="494" spans="3:11" x14ac:dyDescent="0.25">
      <c r="C494" s="51"/>
      <c r="D494" s="51"/>
      <c r="E494" s="51"/>
      <c r="F494" s="51"/>
      <c r="G494" s="51"/>
      <c r="H494" s="51"/>
      <c r="I494" s="51"/>
      <c r="J494" s="51"/>
      <c r="K494" s="51"/>
    </row>
    <row r="495" spans="3:11" x14ac:dyDescent="0.25">
      <c r="C495" s="51"/>
      <c r="D495" s="51"/>
      <c r="E495" s="51"/>
      <c r="F495" s="51"/>
      <c r="G495" s="51"/>
      <c r="H495" s="51"/>
      <c r="I495" s="51"/>
      <c r="J495" s="51"/>
      <c r="K495" s="51"/>
    </row>
    <row r="496" spans="3:11" x14ac:dyDescent="0.25">
      <c r="C496" s="51"/>
      <c r="D496" s="51"/>
      <c r="E496" s="51"/>
      <c r="F496" s="51"/>
      <c r="G496" s="51"/>
      <c r="H496" s="51"/>
      <c r="I496" s="51"/>
      <c r="J496" s="51"/>
      <c r="K496" s="51"/>
    </row>
    <row r="497" spans="3:11" x14ac:dyDescent="0.25">
      <c r="C497" s="51"/>
      <c r="D497" s="51"/>
      <c r="E497" s="51"/>
      <c r="F497" s="51"/>
      <c r="G497" s="51"/>
      <c r="H497" s="51"/>
      <c r="I497" s="51"/>
      <c r="J497" s="51"/>
      <c r="K497" s="51"/>
    </row>
    <row r="498" spans="3:11" x14ac:dyDescent="0.25">
      <c r="C498" s="51"/>
      <c r="D498" s="51"/>
      <c r="E498" s="51"/>
      <c r="F498" s="51"/>
      <c r="G498" s="51"/>
      <c r="H498" s="51"/>
      <c r="I498" s="51"/>
      <c r="J498" s="51"/>
      <c r="K498" s="51"/>
    </row>
    <row r="499" spans="3:11" x14ac:dyDescent="0.25">
      <c r="C499" s="51"/>
      <c r="D499" s="51"/>
      <c r="E499" s="51"/>
      <c r="F499" s="51"/>
      <c r="G499" s="51"/>
      <c r="H499" s="51"/>
      <c r="I499" s="51"/>
      <c r="J499" s="51"/>
      <c r="K499" s="51"/>
    </row>
    <row r="500" spans="3:11" x14ac:dyDescent="0.25">
      <c r="C500" s="51"/>
      <c r="D500" s="51"/>
      <c r="E500" s="51"/>
      <c r="F500" s="51"/>
      <c r="G500" s="51"/>
      <c r="H500" s="51"/>
      <c r="I500" s="51"/>
      <c r="J500" s="51"/>
      <c r="K500" s="51"/>
    </row>
    <row r="501" spans="3:11" x14ac:dyDescent="0.25">
      <c r="C501" s="51"/>
      <c r="D501" s="51"/>
      <c r="E501" s="51"/>
      <c r="F501" s="51"/>
      <c r="G501" s="51"/>
      <c r="H501" s="51"/>
      <c r="I501" s="51"/>
      <c r="J501" s="51"/>
      <c r="K501" s="51"/>
    </row>
    <row r="502" spans="3:11" x14ac:dyDescent="0.25">
      <c r="C502" s="51"/>
      <c r="D502" s="51"/>
      <c r="E502" s="51"/>
      <c r="F502" s="51"/>
      <c r="G502" s="51"/>
      <c r="H502" s="51"/>
      <c r="I502" s="51"/>
      <c r="J502" s="51"/>
      <c r="K502" s="51"/>
    </row>
    <row r="503" spans="3:11" x14ac:dyDescent="0.25">
      <c r="C503" s="51"/>
      <c r="D503" s="51"/>
      <c r="E503" s="51"/>
      <c r="F503" s="51"/>
      <c r="G503" s="51"/>
      <c r="H503" s="51"/>
      <c r="I503" s="51"/>
      <c r="J503" s="51"/>
      <c r="K503" s="51"/>
    </row>
    <row r="504" spans="3:11" x14ac:dyDescent="0.25">
      <c r="C504" s="51"/>
      <c r="D504" s="51"/>
      <c r="E504" s="51"/>
      <c r="F504" s="51"/>
      <c r="G504" s="51"/>
      <c r="H504" s="51"/>
      <c r="I504" s="51"/>
      <c r="J504" s="51"/>
      <c r="K504" s="51"/>
    </row>
    <row r="505" spans="3:11" x14ac:dyDescent="0.25">
      <c r="C505" s="51"/>
      <c r="D505" s="51"/>
      <c r="E505" s="51"/>
      <c r="F505" s="51"/>
      <c r="G505" s="51"/>
      <c r="H505" s="51"/>
      <c r="I505" s="51"/>
      <c r="J505" s="51"/>
      <c r="K505" s="51"/>
    </row>
    <row r="506" spans="3:11" x14ac:dyDescent="0.25">
      <c r="C506" s="51"/>
      <c r="D506" s="51"/>
      <c r="E506" s="51"/>
      <c r="F506" s="51"/>
      <c r="G506" s="51"/>
      <c r="H506" s="51"/>
      <c r="I506" s="51"/>
      <c r="J506" s="51"/>
      <c r="K506" s="51"/>
    </row>
    <row r="507" spans="3:11" x14ac:dyDescent="0.25">
      <c r="C507" s="51"/>
      <c r="D507" s="51"/>
      <c r="E507" s="51"/>
      <c r="F507" s="51"/>
      <c r="G507" s="51"/>
      <c r="H507" s="51"/>
      <c r="I507" s="51"/>
      <c r="J507" s="51"/>
      <c r="K507" s="51"/>
    </row>
    <row r="508" spans="3:11" x14ac:dyDescent="0.25">
      <c r="C508" s="51"/>
      <c r="D508" s="51"/>
      <c r="E508" s="51"/>
      <c r="F508" s="51"/>
      <c r="G508" s="51"/>
      <c r="H508" s="51"/>
      <c r="I508" s="51"/>
      <c r="J508" s="51"/>
      <c r="K508" s="51"/>
    </row>
    <row r="509" spans="3:11" x14ac:dyDescent="0.25">
      <c r="C509" s="51"/>
      <c r="D509" s="51"/>
      <c r="E509" s="51"/>
      <c r="F509" s="51"/>
      <c r="G509" s="51"/>
      <c r="H509" s="51"/>
      <c r="I509" s="51"/>
      <c r="J509" s="51"/>
      <c r="K509" s="51"/>
    </row>
    <row r="510" spans="3:11" x14ac:dyDescent="0.25">
      <c r="C510" s="51"/>
      <c r="D510" s="51"/>
      <c r="E510" s="51"/>
      <c r="F510" s="51"/>
      <c r="G510" s="51"/>
      <c r="H510" s="51"/>
      <c r="I510" s="51"/>
      <c r="J510" s="51"/>
      <c r="K510" s="51"/>
    </row>
    <row r="511" spans="3:11" x14ac:dyDescent="0.25">
      <c r="C511" s="51"/>
      <c r="D511" s="51"/>
      <c r="E511" s="51"/>
      <c r="F511" s="51"/>
      <c r="G511" s="51"/>
      <c r="H511" s="51"/>
      <c r="I511" s="51"/>
      <c r="J511" s="51"/>
      <c r="K511" s="51"/>
    </row>
    <row r="512" spans="3:11" x14ac:dyDescent="0.25">
      <c r="C512" s="51"/>
      <c r="D512" s="51"/>
      <c r="E512" s="51"/>
      <c r="F512" s="51"/>
      <c r="G512" s="51"/>
      <c r="H512" s="51"/>
      <c r="I512" s="51"/>
      <c r="J512" s="51"/>
      <c r="K512" s="51"/>
    </row>
    <row r="513" spans="3:11" x14ac:dyDescent="0.25">
      <c r="C513" s="51"/>
      <c r="D513" s="51"/>
      <c r="E513" s="51"/>
      <c r="F513" s="51"/>
      <c r="G513" s="51"/>
      <c r="H513" s="51"/>
      <c r="I513" s="51"/>
      <c r="J513" s="51"/>
      <c r="K513" s="51"/>
    </row>
    <row r="514" spans="3:11" x14ac:dyDescent="0.25">
      <c r="C514" s="51"/>
      <c r="D514" s="51"/>
      <c r="E514" s="51"/>
      <c r="F514" s="51"/>
      <c r="G514" s="51"/>
      <c r="H514" s="51"/>
      <c r="I514" s="51"/>
      <c r="J514" s="51"/>
      <c r="K514" s="51"/>
    </row>
    <row r="515" spans="3:11" x14ac:dyDescent="0.25">
      <c r="C515" s="51"/>
      <c r="D515" s="51"/>
      <c r="E515" s="51"/>
      <c r="F515" s="51"/>
      <c r="G515" s="51"/>
      <c r="H515" s="51"/>
      <c r="I515" s="51"/>
      <c r="J515" s="51"/>
      <c r="K515" s="51"/>
    </row>
    <row r="516" spans="3:11" x14ac:dyDescent="0.25">
      <c r="C516" s="51"/>
      <c r="D516" s="51"/>
      <c r="E516" s="51"/>
      <c r="F516" s="51"/>
      <c r="G516" s="51"/>
      <c r="H516" s="51"/>
      <c r="I516" s="51"/>
      <c r="J516" s="51"/>
      <c r="K516" s="51"/>
    </row>
    <row r="517" spans="3:11" x14ac:dyDescent="0.25">
      <c r="C517" s="51"/>
      <c r="D517" s="51"/>
      <c r="E517" s="51"/>
      <c r="F517" s="51"/>
      <c r="G517" s="51"/>
      <c r="H517" s="51"/>
      <c r="I517" s="51"/>
      <c r="J517" s="51"/>
      <c r="K517" s="51"/>
    </row>
    <row r="518" spans="3:11" x14ac:dyDescent="0.25">
      <c r="C518" s="51"/>
      <c r="D518" s="51"/>
      <c r="E518" s="51"/>
      <c r="F518" s="51"/>
      <c r="G518" s="51"/>
      <c r="H518" s="51"/>
      <c r="I518" s="51"/>
      <c r="J518" s="51"/>
      <c r="K518" s="51"/>
    </row>
    <row r="519" spans="3:11" x14ac:dyDescent="0.25">
      <c r="C519" s="51"/>
      <c r="D519" s="51"/>
      <c r="E519" s="51"/>
      <c r="F519" s="51"/>
      <c r="G519" s="51"/>
      <c r="H519" s="51"/>
      <c r="I519" s="51"/>
      <c r="J519" s="51"/>
      <c r="K519" s="51"/>
    </row>
    <row r="520" spans="3:11" x14ac:dyDescent="0.25">
      <c r="C520" s="51"/>
      <c r="D520" s="51"/>
      <c r="E520" s="51"/>
      <c r="F520" s="51"/>
      <c r="G520" s="51"/>
      <c r="H520" s="51"/>
      <c r="I520" s="51"/>
      <c r="J520" s="51"/>
      <c r="K520" s="51"/>
    </row>
    <row r="521" spans="3:11" x14ac:dyDescent="0.25">
      <c r="C521" s="51"/>
      <c r="D521" s="51"/>
      <c r="E521" s="51"/>
      <c r="F521" s="51"/>
      <c r="G521" s="51"/>
      <c r="H521" s="51"/>
      <c r="I521" s="51"/>
      <c r="J521" s="51"/>
      <c r="K521" s="51"/>
    </row>
    <row r="522" spans="3:11" x14ac:dyDescent="0.25">
      <c r="C522" s="51"/>
      <c r="D522" s="51"/>
      <c r="E522" s="51"/>
      <c r="F522" s="51"/>
      <c r="G522" s="51"/>
      <c r="H522" s="51"/>
      <c r="I522" s="51"/>
      <c r="J522" s="51"/>
      <c r="K522" s="51"/>
    </row>
    <row r="523" spans="3:11" x14ac:dyDescent="0.25">
      <c r="C523" s="51"/>
      <c r="D523" s="51"/>
      <c r="E523" s="51"/>
      <c r="F523" s="51"/>
      <c r="G523" s="51"/>
      <c r="H523" s="51"/>
      <c r="I523" s="51"/>
      <c r="J523" s="51"/>
      <c r="K523" s="51"/>
    </row>
    <row r="524" spans="3:11" x14ac:dyDescent="0.25">
      <c r="C524" s="51"/>
      <c r="D524" s="51"/>
      <c r="E524" s="51"/>
      <c r="F524" s="51"/>
      <c r="G524" s="51"/>
      <c r="H524" s="51"/>
      <c r="I524" s="51"/>
      <c r="J524" s="51"/>
      <c r="K524" s="51"/>
    </row>
    <row r="525" spans="3:11" x14ac:dyDescent="0.25">
      <c r="C525" s="51"/>
      <c r="D525" s="51"/>
      <c r="E525" s="51"/>
      <c r="F525" s="51"/>
      <c r="G525" s="51"/>
      <c r="H525" s="51"/>
      <c r="I525" s="51"/>
      <c r="J525" s="51"/>
      <c r="K525" s="51"/>
    </row>
    <row r="526" spans="3:11" x14ac:dyDescent="0.25">
      <c r="C526" s="51"/>
      <c r="D526" s="51"/>
      <c r="E526" s="51"/>
      <c r="F526" s="51"/>
      <c r="G526" s="51"/>
      <c r="H526" s="51"/>
      <c r="I526" s="51"/>
      <c r="J526" s="51"/>
      <c r="K526" s="51"/>
    </row>
    <row r="527" spans="3:11" x14ac:dyDescent="0.25">
      <c r="C527" s="51"/>
      <c r="D527" s="51"/>
      <c r="E527" s="51"/>
      <c r="F527" s="51"/>
      <c r="G527" s="51"/>
      <c r="H527" s="51"/>
      <c r="I527" s="51"/>
      <c r="J527" s="51"/>
      <c r="K527" s="51"/>
    </row>
    <row r="528" spans="3:11" x14ac:dyDescent="0.25">
      <c r="C528" s="51"/>
      <c r="D528" s="51"/>
      <c r="E528" s="51"/>
      <c r="F528" s="51"/>
      <c r="G528" s="51"/>
      <c r="H528" s="51"/>
      <c r="I528" s="51"/>
      <c r="J528" s="51"/>
      <c r="K528" s="51"/>
    </row>
    <row r="529" spans="3:11" x14ac:dyDescent="0.25">
      <c r="C529" s="51"/>
      <c r="D529" s="51"/>
      <c r="E529" s="51"/>
      <c r="F529" s="51"/>
      <c r="G529" s="51"/>
      <c r="H529" s="51"/>
      <c r="I529" s="51"/>
      <c r="J529" s="51"/>
      <c r="K529" s="51"/>
    </row>
    <row r="530" spans="3:11" x14ac:dyDescent="0.25">
      <c r="C530" s="51"/>
      <c r="D530" s="51"/>
      <c r="E530" s="51"/>
      <c r="F530" s="51"/>
      <c r="G530" s="51"/>
      <c r="H530" s="51"/>
      <c r="I530" s="51"/>
      <c r="J530" s="51"/>
      <c r="K530" s="51"/>
    </row>
    <row r="531" spans="3:11" x14ac:dyDescent="0.25">
      <c r="C531" s="51"/>
      <c r="D531" s="51"/>
      <c r="E531" s="51"/>
      <c r="F531" s="51"/>
      <c r="G531" s="51"/>
      <c r="H531" s="51"/>
      <c r="I531" s="51"/>
      <c r="J531" s="51"/>
      <c r="K531" s="51"/>
    </row>
    <row r="532" spans="3:11" x14ac:dyDescent="0.25">
      <c r="C532" s="51"/>
      <c r="D532" s="51"/>
      <c r="E532" s="51"/>
      <c r="F532" s="51"/>
      <c r="G532" s="51"/>
      <c r="H532" s="51"/>
      <c r="I532" s="51"/>
      <c r="J532" s="51"/>
      <c r="K532" s="51"/>
    </row>
    <row r="533" spans="3:11" x14ac:dyDescent="0.25">
      <c r="C533" s="51"/>
      <c r="D533" s="51"/>
      <c r="E533" s="51"/>
      <c r="F533" s="51"/>
      <c r="G533" s="51"/>
      <c r="H533" s="51"/>
      <c r="I533" s="51"/>
      <c r="J533" s="51"/>
      <c r="K533" s="51"/>
    </row>
    <row r="534" spans="3:11" x14ac:dyDescent="0.25">
      <c r="C534" s="51"/>
      <c r="D534" s="51"/>
      <c r="E534" s="51"/>
      <c r="F534" s="51"/>
      <c r="G534" s="51"/>
      <c r="H534" s="51"/>
      <c r="I534" s="51"/>
      <c r="J534" s="51"/>
      <c r="K534" s="51"/>
    </row>
    <row r="535" spans="3:11" x14ac:dyDescent="0.25">
      <c r="C535" s="51"/>
      <c r="D535" s="51"/>
      <c r="E535" s="51"/>
      <c r="F535" s="51"/>
      <c r="G535" s="51"/>
      <c r="H535" s="51"/>
      <c r="I535" s="51"/>
      <c r="J535" s="51"/>
      <c r="K535" s="51"/>
    </row>
    <row r="536" spans="3:11" x14ac:dyDescent="0.25">
      <c r="C536" s="51"/>
      <c r="D536" s="51"/>
      <c r="E536" s="51"/>
      <c r="F536" s="51"/>
      <c r="G536" s="51"/>
      <c r="H536" s="51"/>
      <c r="I536" s="51"/>
      <c r="J536" s="51"/>
      <c r="K536" s="51"/>
    </row>
    <row r="537" spans="3:11" x14ac:dyDescent="0.25">
      <c r="C537" s="51"/>
      <c r="D537" s="51"/>
      <c r="E537" s="51"/>
      <c r="F537" s="51"/>
      <c r="G537" s="51"/>
      <c r="H537" s="51"/>
      <c r="I537" s="51"/>
      <c r="J537" s="51"/>
      <c r="K537" s="51"/>
    </row>
    <row r="538" spans="3:11" x14ac:dyDescent="0.25">
      <c r="C538" s="51"/>
      <c r="D538" s="51"/>
      <c r="E538" s="51"/>
      <c r="F538" s="51"/>
      <c r="G538" s="51"/>
      <c r="H538" s="51"/>
      <c r="I538" s="51"/>
      <c r="J538" s="51"/>
      <c r="K538" s="51"/>
    </row>
    <row r="539" spans="3:11" x14ac:dyDescent="0.25">
      <c r="C539" s="51"/>
      <c r="D539" s="51"/>
      <c r="E539" s="51"/>
      <c r="F539" s="51"/>
      <c r="G539" s="51"/>
      <c r="H539" s="51"/>
      <c r="I539" s="51"/>
      <c r="J539" s="51"/>
      <c r="K539" s="51"/>
    </row>
    <row r="540" spans="3:11" x14ac:dyDescent="0.25">
      <c r="C540" s="51"/>
      <c r="D540" s="51"/>
      <c r="E540" s="51"/>
      <c r="F540" s="51"/>
      <c r="G540" s="51"/>
      <c r="H540" s="51"/>
      <c r="I540" s="51"/>
      <c r="J540" s="51"/>
      <c r="K540" s="51"/>
    </row>
    <row r="541" spans="3:11" x14ac:dyDescent="0.25">
      <c r="C541" s="51"/>
      <c r="D541" s="51"/>
      <c r="E541" s="51"/>
      <c r="F541" s="51"/>
      <c r="G541" s="51"/>
      <c r="H541" s="51"/>
      <c r="I541" s="51"/>
      <c r="J541" s="51"/>
      <c r="K541" s="51"/>
    </row>
    <row r="542" spans="3:11" x14ac:dyDescent="0.25">
      <c r="C542" s="51"/>
      <c r="D542" s="51"/>
      <c r="E542" s="51"/>
      <c r="F542" s="51"/>
      <c r="G542" s="51"/>
      <c r="H542" s="51"/>
      <c r="I542" s="51"/>
      <c r="J542" s="51"/>
      <c r="K542" s="51"/>
    </row>
    <row r="543" spans="3:11" x14ac:dyDescent="0.25">
      <c r="C543" s="51"/>
      <c r="D543" s="51"/>
      <c r="E543" s="51"/>
      <c r="F543" s="51"/>
      <c r="G543" s="51"/>
      <c r="H543" s="51"/>
      <c r="I543" s="51"/>
      <c r="J543" s="51"/>
      <c r="K543" s="51"/>
    </row>
    <row r="544" spans="3:11" x14ac:dyDescent="0.25">
      <c r="C544" s="51"/>
      <c r="D544" s="51"/>
      <c r="E544" s="51"/>
      <c r="F544" s="51"/>
      <c r="G544" s="51"/>
      <c r="H544" s="51"/>
      <c r="I544" s="51"/>
      <c r="J544" s="51"/>
      <c r="K544" s="51"/>
    </row>
    <row r="545" spans="3:11" x14ac:dyDescent="0.25">
      <c r="C545" s="51"/>
      <c r="D545" s="51"/>
      <c r="E545" s="51"/>
      <c r="F545" s="51"/>
      <c r="G545" s="51"/>
      <c r="H545" s="51"/>
      <c r="I545" s="51"/>
      <c r="J545" s="51"/>
      <c r="K545" s="51"/>
    </row>
    <row r="546" spans="3:11" x14ac:dyDescent="0.25">
      <c r="C546" s="51"/>
      <c r="D546" s="51"/>
      <c r="E546" s="51"/>
      <c r="F546" s="51"/>
      <c r="G546" s="51"/>
      <c r="H546" s="51"/>
      <c r="I546" s="51"/>
      <c r="J546" s="51"/>
      <c r="K546" s="51"/>
    </row>
    <row r="547" spans="3:11" x14ac:dyDescent="0.25">
      <c r="C547" s="51"/>
      <c r="D547" s="51"/>
      <c r="E547" s="51"/>
      <c r="F547" s="51"/>
      <c r="G547" s="51"/>
      <c r="H547" s="51"/>
      <c r="I547" s="51"/>
      <c r="J547" s="51"/>
      <c r="K547" s="51"/>
    </row>
    <row r="548" spans="3:11" x14ac:dyDescent="0.25">
      <c r="C548" s="51"/>
      <c r="D548" s="51"/>
      <c r="E548" s="51"/>
      <c r="F548" s="51"/>
      <c r="G548" s="51"/>
      <c r="H548" s="51"/>
      <c r="I548" s="51"/>
      <c r="J548" s="51"/>
      <c r="K548" s="51"/>
    </row>
    <row r="549" spans="3:11" x14ac:dyDescent="0.25">
      <c r="C549" s="51"/>
      <c r="D549" s="51"/>
      <c r="E549" s="51"/>
      <c r="F549" s="51"/>
      <c r="G549" s="51"/>
      <c r="H549" s="51"/>
      <c r="I549" s="51"/>
      <c r="J549" s="51"/>
      <c r="K549" s="51"/>
    </row>
    <row r="550" spans="3:11" x14ac:dyDescent="0.25">
      <c r="C550" s="51"/>
      <c r="D550" s="51"/>
      <c r="E550" s="51"/>
      <c r="F550" s="51"/>
      <c r="G550" s="51"/>
      <c r="H550" s="51"/>
      <c r="I550" s="51"/>
      <c r="J550" s="51"/>
      <c r="K550" s="51"/>
    </row>
  </sheetData>
  <sheetProtection formatCells="0" formatColumns="0" formatRows="0" insertColumns="0" insertRows="0" insertHyperlinks="0" deleteColumns="0" deleteRows="0" sort="0" autoFilter="0" pivotTables="0"/>
  <autoFilter ref="A1:R1" xr:uid="{00000000-0001-0000-0000-000000000000}">
    <sortState xmlns:xlrd2="http://schemas.microsoft.com/office/spreadsheetml/2017/richdata2" ref="A2:R401">
      <sortCondition descending="1" ref="B1"/>
    </sortState>
  </autoFilter>
  <conditionalFormatting sqref="F2:F400">
    <cfRule type="top10" dxfId="1" priority="4" rank="10"/>
    <cfRule type="top10" dxfId="0" priority="5" rank="10"/>
  </conditionalFormatting>
  <conditionalFormatting sqref="I2:I4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">
      <colorScale>
        <cfvo type="min"/>
        <cfvo type="max"/>
        <color theme="8" tint="0.79998168889431442"/>
        <color theme="8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E94A-A544-4C7D-9EDD-D13E576BADD4}">
  <sheetPr>
    <tabColor rgb="FF003DB8"/>
  </sheetPr>
  <dimension ref="A1:O25"/>
  <sheetViews>
    <sheetView workbookViewId="0">
      <selection activeCell="K7" sqref="K7"/>
    </sheetView>
  </sheetViews>
  <sheetFormatPr defaultRowHeight="15" x14ac:dyDescent="0.25"/>
  <cols>
    <col min="1" max="1" width="9.140625" style="8"/>
    <col min="2" max="2" width="34.42578125" style="8" bestFit="1" customWidth="1"/>
    <col min="3" max="3" width="13.85546875" style="8" bestFit="1" customWidth="1"/>
    <col min="4" max="6" width="13.85546875" style="8" customWidth="1"/>
    <col min="7" max="7" width="12.28515625" style="8" bestFit="1" customWidth="1"/>
    <col min="8" max="8" width="12.28515625" style="8" customWidth="1"/>
    <col min="9" max="14" width="9.140625" style="8"/>
    <col min="15" max="15" width="9.140625" style="8" customWidth="1"/>
    <col min="16" max="16384" width="9.140625" style="8"/>
  </cols>
  <sheetData>
    <row r="1" spans="1:15" ht="18" x14ac:dyDescent="0.35">
      <c r="A1" s="9" t="s">
        <v>416</v>
      </c>
      <c r="B1" s="9" t="s">
        <v>417</v>
      </c>
      <c r="C1" s="9" t="s">
        <v>423</v>
      </c>
      <c r="D1" s="9" t="s">
        <v>424</v>
      </c>
      <c r="E1" s="9" t="s">
        <v>426</v>
      </c>
      <c r="F1" s="9" t="s">
        <v>453</v>
      </c>
      <c r="G1" s="9" t="s">
        <v>460</v>
      </c>
      <c r="H1" s="9" t="s">
        <v>513</v>
      </c>
      <c r="I1" s="9" t="s">
        <v>419</v>
      </c>
      <c r="J1" s="9" t="s">
        <v>424</v>
      </c>
    </row>
    <row r="2" spans="1:15" x14ac:dyDescent="0.25">
      <c r="A2" s="10" t="s">
        <v>406</v>
      </c>
      <c r="B2" s="52" t="s">
        <v>414</v>
      </c>
      <c r="C2" s="11">
        <f>SUMIF(Demográfico!M$2:M$400,Controle!A2,Demográfico!E$2:E$400)</f>
        <v>202402</v>
      </c>
      <c r="D2" s="94">
        <f>C2/C$10</f>
        <v>0.13519026639700127</v>
      </c>
      <c r="E2" s="12">
        <f>COUNTIF(CI!C$2:C$400,Controle!A2)</f>
        <v>1</v>
      </c>
      <c r="F2" s="54" t="s">
        <v>454</v>
      </c>
      <c r="G2" s="55">
        <f>IF(F2=O$2,SUMIF(Demográfico!M$2:M$400,Controle!A2,Demográfico!E$2:E$400),0)</f>
        <v>202402</v>
      </c>
      <c r="H2" s="55">
        <f>IF(F2=O$2,D2*F$10,0)</f>
        <v>23.689076730043041</v>
      </c>
      <c r="I2" s="14">
        <f>SUMIF(CI!C$2:C$400,Controle!A2,CI!R$2:R$400)</f>
        <v>14</v>
      </c>
      <c r="J2" s="95">
        <f>I2/F$11</f>
        <v>5.5555555555555552E-2</v>
      </c>
      <c r="O2" s="53" t="s">
        <v>454</v>
      </c>
    </row>
    <row r="3" spans="1:15" x14ac:dyDescent="0.25">
      <c r="A3" s="10" t="s">
        <v>407</v>
      </c>
      <c r="B3" s="52" t="s">
        <v>415</v>
      </c>
      <c r="C3" s="11">
        <f>SUMIF(Demográfico!M$2:M$400,Controle!A3,Demográfico!E$2:E$400)</f>
        <v>66820</v>
      </c>
      <c r="D3" s="94">
        <f>C3/C$10</f>
        <v>4.463104910350503E-2</v>
      </c>
      <c r="E3" s="12">
        <f>COUNTIF(CI!C$2:C$400,Controle!A3)</f>
        <v>1</v>
      </c>
      <c r="F3" s="54" t="s">
        <v>454</v>
      </c>
      <c r="G3" s="55">
        <f>IF(F3=O$2,SUMIF(Demográfico!M$2:M$400,Controle!A3,Demográfico!E$2:E$400),0)</f>
        <v>66820</v>
      </c>
      <c r="H3" s="55">
        <f t="shared" ref="H3:H9" si="0">IF(F3=O$2,D3*F$10,0)</f>
        <v>7.8205951873078137</v>
      </c>
      <c r="I3" s="14">
        <f>SUMIF(CI!C$2:C$400,Controle!A3,CI!R$2:R$400)</f>
        <v>5</v>
      </c>
      <c r="J3" s="95">
        <f>I3/F$11</f>
        <v>1.984126984126984E-2</v>
      </c>
      <c r="O3" s="53" t="s">
        <v>455</v>
      </c>
    </row>
    <row r="4" spans="1:15" x14ac:dyDescent="0.25">
      <c r="A4" s="10" t="s">
        <v>408</v>
      </c>
      <c r="B4" s="52" t="s">
        <v>413</v>
      </c>
      <c r="C4" s="11">
        <f>SUMIF(Demográfico!M$2:M$400,Controle!A4,Demográfico!E$2:E$400)</f>
        <v>261249</v>
      </c>
      <c r="D4" s="94">
        <f>C4/C$10</f>
        <v>0.17449591360732691</v>
      </c>
      <c r="E4" s="12">
        <f>COUNTIF(CI!C$2:C$400,Controle!A4)</f>
        <v>6</v>
      </c>
      <c r="F4" s="54" t="s">
        <v>454</v>
      </c>
      <c r="G4" s="55">
        <f>IF(F4=O$2,SUMIF(Demográfico!M$2:M$400,Controle!A4,Demográfico!E$2:E$400),0)</f>
        <v>261249</v>
      </c>
      <c r="H4" s="55">
        <f t="shared" si="0"/>
        <v>30.576514098907197</v>
      </c>
      <c r="I4" s="14">
        <f>SUMIF(CI!C$2:C$400,Controle!A4,CI!R$2:R$400)</f>
        <v>21</v>
      </c>
      <c r="J4" s="95">
        <f>I4/F$11</f>
        <v>8.3333333333333329E-2</v>
      </c>
    </row>
    <row r="5" spans="1:15" x14ac:dyDescent="0.25">
      <c r="A5" s="10" t="s">
        <v>409</v>
      </c>
      <c r="B5" s="52" t="s">
        <v>412</v>
      </c>
      <c r="C5" s="11">
        <f>SUMIF(Demográfico!M$2:M$400,Controle!A5,Demográfico!E$2:E$400)</f>
        <v>263104</v>
      </c>
      <c r="D5" s="94">
        <f>C5/C$10</f>
        <v>0.17573492282742573</v>
      </c>
      <c r="E5" s="12">
        <f>COUNTIF(CI!C$2:C$400,Controle!A5)</f>
        <v>14</v>
      </c>
      <c r="F5" s="54" t="s">
        <v>454</v>
      </c>
      <c r="G5" s="55">
        <f>IF(F5=O$2,SUMIF(Demográfico!M$2:M$400,Controle!A5,Demográfico!E$2:E$400),0)</f>
        <v>263104</v>
      </c>
      <c r="H5" s="55">
        <f t="shared" si="0"/>
        <v>30.79362280995862</v>
      </c>
      <c r="I5" s="14">
        <f>SUMIF(CI!C$2:C$400,Controle!A5,CI!R$2:R$400)</f>
        <v>24</v>
      </c>
      <c r="J5" s="95">
        <f>I5/F$11</f>
        <v>9.5238095238095233E-2</v>
      </c>
    </row>
    <row r="6" spans="1:15" x14ac:dyDescent="0.25">
      <c r="A6" s="10" t="s">
        <v>448</v>
      </c>
      <c r="B6" s="52" t="s">
        <v>462</v>
      </c>
      <c r="C6" s="11">
        <f>SUMIF(Demográfico!M$2:M$400,Controle!A6,Demográfico!E$2:E$400)</f>
        <v>90999</v>
      </c>
      <c r="D6" s="94">
        <f>C6/C$10</f>
        <v>6.0780916452706585E-2</v>
      </c>
      <c r="E6" s="12">
        <f>COUNTIF(CI!C$2:C$400,Controle!A6)</f>
        <v>8</v>
      </c>
      <c r="F6" s="54" t="s">
        <v>454</v>
      </c>
      <c r="G6" s="55">
        <f>IF(F6=O$2,SUMIF(Demográfico!M$2:M$400,Controle!A6,Demográfico!E$2:E$400),0)</f>
        <v>90999</v>
      </c>
      <c r="H6" s="55">
        <f t="shared" si="0"/>
        <v>10.65049897410691</v>
      </c>
      <c r="I6" s="14">
        <f>SUMIF(CI!C$2:C$400,Controle!A6,CI!R$2:R$400)</f>
        <v>8</v>
      </c>
      <c r="J6" s="95">
        <f>I6/F$11</f>
        <v>3.1746031746031744E-2</v>
      </c>
      <c r="O6" s="86">
        <f>SUM(G2:G9)</f>
        <v>1497164</v>
      </c>
    </row>
    <row r="7" spans="1:15" x14ac:dyDescent="0.25">
      <c r="A7" s="10" t="s">
        <v>447</v>
      </c>
      <c r="B7" s="52" t="s">
        <v>463</v>
      </c>
      <c r="C7" s="11">
        <f>SUMIF(Demográfico!M$2:M$400,Controle!A7,Demográfico!E$2:E$400)</f>
        <v>108749</v>
      </c>
      <c r="D7" s="94">
        <f t="shared" ref="D7:D8" si="1">C7/C$10</f>
        <v>7.263666505473014E-2</v>
      </c>
      <c r="E7" s="12">
        <f>COUNTIF(CI!C$2:C$400,Controle!A7)</f>
        <v>17</v>
      </c>
      <c r="F7" s="54" t="s">
        <v>454</v>
      </c>
      <c r="G7" s="55">
        <f>IF(F7=O$2,SUMIF(Demográfico!M$2:M$400,Controle!A7,Demográfico!E$2:E$400),0)</f>
        <v>108749</v>
      </c>
      <c r="H7" s="55">
        <f t="shared" si="0"/>
        <v>12.727954295488436</v>
      </c>
      <c r="I7" s="14">
        <f>SUMIF(CI!C$2:C$400,Controle!A7,CI!R$2:R$400)</f>
        <v>17</v>
      </c>
      <c r="J7" s="95">
        <f t="shared" ref="J7:J9" si="2">I7/F$11</f>
        <v>6.7460317460317457E-2</v>
      </c>
    </row>
    <row r="8" spans="1:15" x14ac:dyDescent="0.25">
      <c r="A8" s="10" t="s">
        <v>410</v>
      </c>
      <c r="B8" s="52" t="s">
        <v>450</v>
      </c>
      <c r="C8" s="11">
        <f>SUMIF(Demográfico!M$2:M$400,Controle!A8,Demográfico!E$2:E$400)</f>
        <v>171697</v>
      </c>
      <c r="D8" s="94">
        <f t="shared" si="1"/>
        <v>0.11468149113924728</v>
      </c>
      <c r="E8" s="12">
        <f>COUNTIF(CI!C$2:C$400,Controle!A8)</f>
        <v>45</v>
      </c>
      <c r="F8" s="54" t="s">
        <v>454</v>
      </c>
      <c r="G8" s="55">
        <f>IF(F8=O$2,SUMIF(Demográfico!M$2:M$400,Controle!A8,Demográfico!E$2:E$400),0)</f>
        <v>171697</v>
      </c>
      <c r="H8" s="55">
        <f t="shared" si="0"/>
        <v>20.095371623394037</v>
      </c>
      <c r="I8" s="14">
        <f>SUMIF(CI!C$2:C$400,Controle!A8,CI!R$2:R$400)</f>
        <v>43</v>
      </c>
      <c r="J8" s="95">
        <f t="shared" si="2"/>
        <v>0.17063492063492064</v>
      </c>
    </row>
    <row r="9" spans="1:15" x14ac:dyDescent="0.25">
      <c r="A9" s="10" t="s">
        <v>411</v>
      </c>
      <c r="B9" s="52" t="s">
        <v>449</v>
      </c>
      <c r="C9" s="11">
        <f>SUMIF(Demográfico!M$2:M$400,Controle!A9,Demográfico!E$2:E$400)</f>
        <v>332144</v>
      </c>
      <c r="D9" s="94">
        <f>C9/C$10</f>
        <v>0.22184877541805709</v>
      </c>
      <c r="E9" s="12">
        <f>COUNTIF(CI!C$2:C$400,Controle!A9)</f>
        <v>307</v>
      </c>
      <c r="F9" s="54" t="s">
        <v>454</v>
      </c>
      <c r="G9" s="55">
        <f>IF(F9=O$2,SUMIF(Demográfico!M$2:M$400,Controle!A9,Demográfico!E$2:E$400),0)</f>
        <v>332144</v>
      </c>
      <c r="H9" s="55">
        <f t="shared" si="0"/>
        <v>38.874046212109647</v>
      </c>
      <c r="I9" s="14">
        <f>SUMIF(CI!C$2:C$400,Controle!A9,CI!R$2:R$400)</f>
        <v>119</v>
      </c>
      <c r="J9" s="95">
        <f t="shared" si="2"/>
        <v>0.47222222222222221</v>
      </c>
    </row>
    <row r="10" spans="1:15" ht="18" x14ac:dyDescent="0.35">
      <c r="A10" s="106" t="s">
        <v>420</v>
      </c>
      <c r="B10" s="106"/>
      <c r="C10" s="107">
        <f>SUM(G2:G9)</f>
        <v>1497164</v>
      </c>
      <c r="D10" s="106"/>
      <c r="E10" s="9" t="s">
        <v>427</v>
      </c>
      <c r="F10" s="83">
        <f>F11/(1+C11)</f>
        <v>175.22767993131569</v>
      </c>
      <c r="G10" s="84"/>
      <c r="H10" s="84"/>
      <c r="I10" s="84"/>
      <c r="J10" s="85"/>
    </row>
    <row r="11" spans="1:15" ht="18" x14ac:dyDescent="0.35">
      <c r="A11" s="108" t="s">
        <v>464</v>
      </c>
      <c r="B11" s="108"/>
      <c r="C11" s="99">
        <f>CI!T402</f>
        <v>0.43812895370626903</v>
      </c>
      <c r="D11" s="108" t="s">
        <v>425</v>
      </c>
      <c r="E11" s="108"/>
      <c r="F11" s="103">
        <v>252</v>
      </c>
      <c r="G11" s="104"/>
      <c r="H11" s="104"/>
      <c r="I11" s="104"/>
      <c r="J11" s="105"/>
    </row>
    <row r="15" spans="1:15" ht="18" x14ac:dyDescent="0.35">
      <c r="A15" s="9" t="s">
        <v>416</v>
      </c>
      <c r="B15" s="9" t="s">
        <v>417</v>
      </c>
      <c r="C15" s="9" t="s">
        <v>423</v>
      </c>
      <c r="D15" s="9" t="s">
        <v>424</v>
      </c>
      <c r="E15" s="9" t="s">
        <v>426</v>
      </c>
      <c r="F15" s="9" t="s">
        <v>453</v>
      </c>
      <c r="G15" s="9" t="s">
        <v>460</v>
      </c>
      <c r="H15" s="9" t="s">
        <v>513</v>
      </c>
      <c r="I15" s="9" t="s">
        <v>419</v>
      </c>
      <c r="J15" s="9" t="s">
        <v>424</v>
      </c>
    </row>
    <row r="16" spans="1:15" x14ac:dyDescent="0.25">
      <c r="A16" s="10" t="s">
        <v>406</v>
      </c>
      <c r="B16" s="52" t="s">
        <v>414</v>
      </c>
      <c r="C16" s="11">
        <f>SUMIF(Demográfico!M$2:M$400,Controle!A16,Demográfico!E$2:E$400)</f>
        <v>202402</v>
      </c>
      <c r="D16" s="94">
        <f>C16/C$10</f>
        <v>0.13519026639700127</v>
      </c>
      <c r="E16" s="12">
        <f>COUNTIF(CI!C$2:C$400,Controle!A16)</f>
        <v>1</v>
      </c>
      <c r="F16" s="54" t="s">
        <v>454</v>
      </c>
      <c r="G16" s="55">
        <f>IF(F16=O$2,SUMIF(Demográfico!M$2:M$400,Controle!A16,Demográfico!E$2:E$400),0)</f>
        <v>202402</v>
      </c>
      <c r="H16" s="55">
        <f>IF(F16=O$2,D16*F$24,0)</f>
        <v>8.1989249281085996</v>
      </c>
      <c r="I16" s="14">
        <f>SUMIF(CI!C$2:C$400,Controle!A16,CI!R$2:R$400)</f>
        <v>14</v>
      </c>
      <c r="J16" s="95">
        <f>I16/F$11</f>
        <v>5.5555555555555552E-2</v>
      </c>
    </row>
    <row r="17" spans="1:10" x14ac:dyDescent="0.25">
      <c r="A17" s="10" t="s">
        <v>407</v>
      </c>
      <c r="B17" s="52" t="s">
        <v>415</v>
      </c>
      <c r="C17" s="11">
        <f>SUMIF(Demográfico!M$2:M$400,Controle!A17,Demográfico!E$2:E$400)</f>
        <v>66820</v>
      </c>
      <c r="D17" s="94">
        <f>C17/C$10</f>
        <v>4.463104910350503E-2</v>
      </c>
      <c r="E17" s="12">
        <f>COUNTIF(CI!C$2:C$400,Controle!A17)</f>
        <v>1</v>
      </c>
      <c r="F17" s="54" t="s">
        <v>454</v>
      </c>
      <c r="G17" s="55">
        <f>IF(F17=O$2,SUMIF(Demográfico!M$2:M$400,Controle!A17,Demográfico!E$2:E$400),0)</f>
        <v>66820</v>
      </c>
      <c r="H17" s="55">
        <f t="shared" ref="H17:H23" si="3">IF(F17=O$2,D17*F$24,0)</f>
        <v>2.7067527183338935</v>
      </c>
      <c r="I17" s="14">
        <f>SUMIF(CI!C$2:C$400,Controle!A17,CI!R$2:R$400)</f>
        <v>5</v>
      </c>
      <c r="J17" s="95">
        <f>I17/F$11</f>
        <v>1.984126984126984E-2</v>
      </c>
    </row>
    <row r="18" spans="1:10" x14ac:dyDescent="0.25">
      <c r="A18" s="10" t="s">
        <v>408</v>
      </c>
      <c r="B18" s="52" t="s">
        <v>413</v>
      </c>
      <c r="C18" s="11">
        <f>SUMIF(Demográfico!M$2:M$400,Controle!A18,Demográfico!E$2:E$400)</f>
        <v>261249</v>
      </c>
      <c r="D18" s="94">
        <f>C18/C$10</f>
        <v>0.17449591360732691</v>
      </c>
      <c r="E18" s="12">
        <f>COUNTIF(CI!C$2:C$400,Controle!A18)</f>
        <v>6</v>
      </c>
      <c r="F18" s="54" t="s">
        <v>454</v>
      </c>
      <c r="G18" s="55">
        <f>IF(F18=O$2,SUMIF(Demográfico!M$2:M$400,Controle!A18,Demográfico!E$2:E$400),0)</f>
        <v>261249</v>
      </c>
      <c r="H18" s="55">
        <f t="shared" si="3"/>
        <v>10.582706388985502</v>
      </c>
      <c r="I18" s="14">
        <f>SUMIF(CI!C$2:C$400,Controle!A18,CI!R$2:R$400)</f>
        <v>21</v>
      </c>
      <c r="J18" s="95">
        <f>I18/F$11</f>
        <v>8.3333333333333329E-2</v>
      </c>
    </row>
    <row r="19" spans="1:10" x14ac:dyDescent="0.25">
      <c r="A19" s="10" t="s">
        <v>409</v>
      </c>
      <c r="B19" s="52" t="s">
        <v>412</v>
      </c>
      <c r="C19" s="11">
        <f>SUMIF(Demográfico!M$2:M$400,Controle!A19,Demográfico!E$2:E$400)</f>
        <v>263104</v>
      </c>
      <c r="D19" s="94">
        <f>C19/C$10</f>
        <v>0.17573492282742573</v>
      </c>
      <c r="E19" s="12">
        <f>COUNTIF(CI!C$2:C$400,Controle!A19)</f>
        <v>14</v>
      </c>
      <c r="F19" s="54" t="s">
        <v>454</v>
      </c>
      <c r="G19" s="55">
        <f>IF(F19=O$2,SUMIF(Demográfico!M$2:M$400,Controle!A19,Demográfico!E$2:E$400),0)</f>
        <v>263104</v>
      </c>
      <c r="H19" s="55">
        <f t="shared" si="3"/>
        <v>10.657848955470229</v>
      </c>
      <c r="I19" s="14">
        <f>SUMIF(CI!C$2:C$400,Controle!A19,CI!R$2:R$400)</f>
        <v>24</v>
      </c>
      <c r="J19" s="95">
        <f>I19/F$11</f>
        <v>9.5238095238095233E-2</v>
      </c>
    </row>
    <row r="20" spans="1:10" x14ac:dyDescent="0.25">
      <c r="A20" s="10" t="s">
        <v>448</v>
      </c>
      <c r="B20" s="52" t="s">
        <v>462</v>
      </c>
      <c r="C20" s="11">
        <f>SUMIF(Demográfico!M$2:M$400,Controle!A20,Demográfico!E$2:E$400)</f>
        <v>90999</v>
      </c>
      <c r="D20" s="94">
        <f>C20/C$10</f>
        <v>6.0780916452706585E-2</v>
      </c>
      <c r="E20" s="12">
        <f>COUNTIF(CI!C$2:C$400,Controle!A20)</f>
        <v>8</v>
      </c>
      <c r="F20" s="54" t="s">
        <v>454</v>
      </c>
      <c r="G20" s="55">
        <f>IF(F20=O$2,SUMIF(Demográfico!M$2:M$400,Controle!A20,Demográfico!E$2:E$400),0)</f>
        <v>90999</v>
      </c>
      <c r="H20" s="55">
        <f t="shared" si="3"/>
        <v>3.6861986024493558</v>
      </c>
      <c r="I20" s="14">
        <f>SUMIF(CI!C$2:C$400,Controle!A20,CI!R$2:R$400)</f>
        <v>8</v>
      </c>
      <c r="J20" s="95">
        <f>I20/F$11</f>
        <v>3.1746031746031744E-2</v>
      </c>
    </row>
    <row r="21" spans="1:10" x14ac:dyDescent="0.25">
      <c r="A21" s="10" t="s">
        <v>447</v>
      </c>
      <c r="B21" s="52" t="s">
        <v>463</v>
      </c>
      <c r="C21" s="11">
        <f>SUMIF(Demográfico!M$2:M$400,Controle!A21,Demográfico!E$2:E$400)</f>
        <v>108749</v>
      </c>
      <c r="D21" s="94">
        <f t="shared" ref="D21:D22" si="4">C21/C$10</f>
        <v>7.263666505473014E-2</v>
      </c>
      <c r="E21" s="12">
        <f>COUNTIF(CI!C$2:C$400,Controle!A21)</f>
        <v>17</v>
      </c>
      <c r="F21" s="54" t="s">
        <v>454</v>
      </c>
      <c r="G21" s="55">
        <f>IF(F21=O$2,SUMIF(Demográfico!M$2:M$400,Controle!A21,Demográfico!E$2:E$400),0)</f>
        <v>108749</v>
      </c>
      <c r="H21" s="55">
        <f t="shared" si="3"/>
        <v>4.4052177696212595</v>
      </c>
      <c r="I21" s="14">
        <f>SUMIF(CI!C$2:C$400,Controle!A21,CI!R$2:R$400)</f>
        <v>17</v>
      </c>
      <c r="J21" s="95">
        <f t="shared" ref="J21:J23" si="5">I21/F$11</f>
        <v>6.7460317460317457E-2</v>
      </c>
    </row>
    <row r="22" spans="1:10" x14ac:dyDescent="0.25">
      <c r="A22" s="10" t="s">
        <v>410</v>
      </c>
      <c r="B22" s="52" t="s">
        <v>450</v>
      </c>
      <c r="C22" s="11">
        <f>SUMIF(Demográfico!M$2:M$400,Controle!A22,Demográfico!E$2:E$400)</f>
        <v>171697</v>
      </c>
      <c r="D22" s="94">
        <f t="shared" si="4"/>
        <v>0.11468149113924728</v>
      </c>
      <c r="E22" s="12">
        <f>COUNTIF(CI!C$2:C$400,Controle!A22)</f>
        <v>45</v>
      </c>
      <c r="F22" s="54" t="s">
        <v>454</v>
      </c>
      <c r="G22" s="55">
        <f>IF(F22=O$2,SUMIF(Demográfico!M$2:M$400,Controle!A22,Demográfico!E$2:E$400),0)</f>
        <v>171697</v>
      </c>
      <c r="H22" s="55">
        <f t="shared" si="3"/>
        <v>6.9551230392064429</v>
      </c>
      <c r="I22" s="14">
        <f>SUMIF(CI!C$2:C$400,Controle!A22,CI!R$2:R$400)</f>
        <v>43</v>
      </c>
      <c r="J22" s="95">
        <f t="shared" si="5"/>
        <v>0.17063492063492064</v>
      </c>
    </row>
    <row r="23" spans="1:10" x14ac:dyDescent="0.25">
      <c r="A23" s="10" t="s">
        <v>411</v>
      </c>
      <c r="B23" s="52" t="s">
        <v>449</v>
      </c>
      <c r="C23" s="11">
        <f>SUMIF(Demográfico!M$2:M$400,Controle!A23,Demográfico!E$2:E$400)</f>
        <v>332144</v>
      </c>
      <c r="D23" s="94">
        <f>C23/C$10</f>
        <v>0.22184877541805709</v>
      </c>
      <c r="E23" s="12">
        <f>COUNTIF(CI!C$2:C$400,Controle!A23)</f>
        <v>307</v>
      </c>
      <c r="F23" s="54" t="s">
        <v>454</v>
      </c>
      <c r="G23" s="55">
        <f>IF(F23=O$2,SUMIF(Demográfico!M$2:M$400,Controle!A23,Demográfico!E$2:E$400),0)</f>
        <v>332144</v>
      </c>
      <c r="H23" s="55">
        <f t="shared" si="3"/>
        <v>13.454529704853227</v>
      </c>
      <c r="I23" s="14">
        <f>SUMIF(CI!C$2:C$400,Controle!A23,CI!R$2:R$400)</f>
        <v>119</v>
      </c>
      <c r="J23" s="95">
        <f t="shared" si="5"/>
        <v>0.47222222222222221</v>
      </c>
    </row>
    <row r="24" spans="1:10" ht="18" x14ac:dyDescent="0.35">
      <c r="A24" s="106" t="s">
        <v>420</v>
      </c>
      <c r="B24" s="106"/>
      <c r="C24" s="106">
        <f t="shared" ref="C24" si="6">SUM(C16:C23)</f>
        <v>1497164</v>
      </c>
      <c r="D24" s="106"/>
      <c r="E24" s="9" t="s">
        <v>427</v>
      </c>
      <c r="F24" s="83">
        <f>F25-C25</f>
        <v>60.647302107028509</v>
      </c>
      <c r="G24" s="84"/>
      <c r="H24" s="84"/>
      <c r="I24" s="84"/>
      <c r="J24" s="85"/>
    </row>
    <row r="25" spans="1:10" ht="18" x14ac:dyDescent="0.35">
      <c r="A25" s="108" t="s">
        <v>466</v>
      </c>
      <c r="B25" s="108"/>
      <c r="C25" s="101">
        <f>SUM(CI!I2:I400)</f>
        <v>191.35269789297149</v>
      </c>
      <c r="D25" s="108" t="s">
        <v>425</v>
      </c>
      <c r="E25" s="108"/>
      <c r="F25" s="103">
        <f>F11</f>
        <v>252</v>
      </c>
      <c r="G25" s="104"/>
      <c r="H25" s="104"/>
      <c r="I25" s="104"/>
      <c r="J25" s="105"/>
    </row>
  </sheetData>
  <mergeCells count="10">
    <mergeCell ref="A24:B24"/>
    <mergeCell ref="C24:D24"/>
    <mergeCell ref="A25:B25"/>
    <mergeCell ref="D25:E25"/>
    <mergeCell ref="F25:J25"/>
    <mergeCell ref="F11:J11"/>
    <mergeCell ref="A10:B10"/>
    <mergeCell ref="C10:D10"/>
    <mergeCell ref="A11:B11"/>
    <mergeCell ref="D11:E11"/>
  </mergeCells>
  <dataValidations count="1">
    <dataValidation type="list" allowBlank="1" showInputMessage="1" showErrorMessage="1" sqref="F2:F9 F16:F23" xr:uid="{F8657117-8C77-4BBA-836D-9960DA78CB36}">
      <formula1>$O$2:$O$3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A95B-9076-4E2F-905C-64288E00A2BF}">
  <sheetPr>
    <tabColor rgb="FFB49200"/>
  </sheetPr>
  <dimension ref="A1:P403"/>
  <sheetViews>
    <sheetView topLeftCell="A375" workbookViewId="0">
      <selection activeCell="P2" sqref="P2:P400"/>
    </sheetView>
  </sheetViews>
  <sheetFormatPr defaultRowHeight="15" x14ac:dyDescent="0.25"/>
  <cols>
    <col min="1" max="1" width="24.5703125" bestFit="1" customWidth="1"/>
    <col min="3" max="3" width="18" bestFit="1" customWidth="1"/>
    <col min="4" max="4" width="14.5703125" bestFit="1" customWidth="1"/>
    <col min="5" max="5" width="10" bestFit="1" customWidth="1"/>
    <col min="6" max="6" width="19.7109375" bestFit="1" customWidth="1"/>
    <col min="7" max="7" width="22.85546875" bestFit="1" customWidth="1"/>
    <col min="8" max="8" width="15.5703125" bestFit="1" customWidth="1"/>
    <col min="9" max="9" width="10" style="1" bestFit="1" customWidth="1"/>
    <col min="10" max="10" width="22.140625" bestFit="1" customWidth="1"/>
    <col min="11" max="11" width="14" bestFit="1" customWidth="1"/>
    <col min="12" max="12" width="14" customWidth="1"/>
    <col min="13" max="13" width="11.5703125" bestFit="1" customWidth="1"/>
    <col min="14" max="14" width="20.28515625" style="1" bestFit="1" customWidth="1"/>
    <col min="15" max="15" width="11.28515625" customWidth="1"/>
    <col min="16" max="16" width="10.5703125" bestFit="1" customWidth="1"/>
  </cols>
  <sheetData>
    <row r="1" spans="1:16" ht="48" x14ac:dyDescent="0.25">
      <c r="A1" s="71"/>
      <c r="B1" s="72" t="s">
        <v>4</v>
      </c>
      <c r="C1" s="75" t="s">
        <v>428</v>
      </c>
      <c r="D1" s="75" t="s">
        <v>429</v>
      </c>
      <c r="E1" s="75" t="s">
        <v>424</v>
      </c>
      <c r="F1" s="76" t="s">
        <v>432</v>
      </c>
      <c r="G1" s="75" t="s">
        <v>438</v>
      </c>
      <c r="H1" s="75" t="s">
        <v>433</v>
      </c>
      <c r="I1" s="75" t="s">
        <v>424</v>
      </c>
      <c r="J1" s="76" t="s">
        <v>434</v>
      </c>
      <c r="K1" s="75" t="s">
        <v>435</v>
      </c>
      <c r="L1" s="75" t="s">
        <v>439</v>
      </c>
      <c r="M1" s="75" t="s">
        <v>436</v>
      </c>
      <c r="N1" s="28" t="s">
        <v>437</v>
      </c>
      <c r="O1" s="77" t="s">
        <v>421</v>
      </c>
    </row>
    <row r="2" spans="1:16" ht="18" x14ac:dyDescent="0.25">
      <c r="A2" s="73" t="s">
        <v>7</v>
      </c>
      <c r="B2" s="74">
        <v>4106902</v>
      </c>
      <c r="C2" s="97">
        <v>17725</v>
      </c>
      <c r="D2" s="97">
        <v>85003</v>
      </c>
      <c r="E2" s="98">
        <v>0.20852205216286485</v>
      </c>
      <c r="F2" s="98">
        <v>67.953453036022879</v>
      </c>
      <c r="G2" s="97">
        <v>233206</v>
      </c>
      <c r="H2" s="97">
        <v>202402</v>
      </c>
      <c r="I2" s="98">
        <v>1.1521921720141106</v>
      </c>
      <c r="J2" s="98">
        <v>72.220046142017736</v>
      </c>
      <c r="K2" s="97">
        <v>379</v>
      </c>
      <c r="L2" s="97">
        <v>604</v>
      </c>
      <c r="M2" s="98">
        <v>0.62748344370860931</v>
      </c>
      <c r="N2" s="98">
        <v>37.251655629139066</v>
      </c>
      <c r="O2" s="41">
        <f>(2*F2+J2+N2)/4</f>
        <v>61.34465196080064</v>
      </c>
      <c r="P2" s="109">
        <f>(O2-O$402)/(O$403-O$402)*100</f>
        <v>56.511036138398964</v>
      </c>
    </row>
    <row r="3" spans="1:16" ht="18" x14ac:dyDescent="0.25">
      <c r="A3" s="73" t="s">
        <v>13</v>
      </c>
      <c r="B3" s="74">
        <v>4108304</v>
      </c>
      <c r="C3" s="97">
        <v>4900</v>
      </c>
      <c r="D3" s="97">
        <v>18300</v>
      </c>
      <c r="E3" s="98">
        <v>0.26775956284153007</v>
      </c>
      <c r="F3" s="98">
        <v>58.849582973828007</v>
      </c>
      <c r="G3" s="97">
        <v>43678</v>
      </c>
      <c r="H3" s="97">
        <v>39481</v>
      </c>
      <c r="I3" s="98">
        <v>1.1063042982700539</v>
      </c>
      <c r="J3" s="98">
        <v>75.341641897308463</v>
      </c>
      <c r="K3" s="97">
        <v>29</v>
      </c>
      <c r="L3" s="97">
        <v>73</v>
      </c>
      <c r="M3" s="98">
        <v>0.39726027397260272</v>
      </c>
      <c r="N3" s="98">
        <v>60.273972602739725</v>
      </c>
      <c r="O3" s="41">
        <f t="shared" ref="O3:O66" si="0">(2*F3+J3+N3)/4</f>
        <v>63.328695111926052</v>
      </c>
      <c r="P3" s="109">
        <f t="shared" ref="P3:P66" si="1">(O3-O$402)/(O$403-O$402)*100</f>
        <v>59.854018377483989</v>
      </c>
    </row>
    <row r="4" spans="1:16" ht="18" x14ac:dyDescent="0.25">
      <c r="A4" s="73" t="s">
        <v>9</v>
      </c>
      <c r="B4" s="74">
        <v>4115200</v>
      </c>
      <c r="C4" s="97">
        <v>6614</v>
      </c>
      <c r="D4" s="97">
        <v>21680</v>
      </c>
      <c r="E4" s="98">
        <v>0.30507380073800738</v>
      </c>
      <c r="F4" s="98">
        <v>53.114973781316763</v>
      </c>
      <c r="G4" s="97">
        <v>53527</v>
      </c>
      <c r="H4" s="97">
        <v>45546</v>
      </c>
      <c r="I4" s="98">
        <v>1.1752294383699995</v>
      </c>
      <c r="J4" s="98">
        <v>70.652899377468444</v>
      </c>
      <c r="K4" s="97">
        <v>63</v>
      </c>
      <c r="L4" s="97">
        <v>125</v>
      </c>
      <c r="M4" s="98">
        <v>0.504</v>
      </c>
      <c r="N4" s="98">
        <v>49.6</v>
      </c>
      <c r="O4" s="41">
        <f t="shared" si="0"/>
        <v>56.620711735025488</v>
      </c>
      <c r="P4" s="109">
        <f t="shared" si="1"/>
        <v>48.551507504000128</v>
      </c>
    </row>
    <row r="5" spans="1:16" ht="18" x14ac:dyDescent="0.25">
      <c r="A5" s="73" t="s">
        <v>11</v>
      </c>
      <c r="B5" s="74">
        <v>4104808</v>
      </c>
      <c r="C5" s="97">
        <v>5285</v>
      </c>
      <c r="D5" s="97">
        <v>23119</v>
      </c>
      <c r="E5" s="98">
        <v>0.22859985293481552</v>
      </c>
      <c r="F5" s="98">
        <v>64.86781207528098</v>
      </c>
      <c r="G5" s="97">
        <v>50655</v>
      </c>
      <c r="H5" s="97">
        <v>45120</v>
      </c>
      <c r="I5" s="98">
        <v>1.1226728723404256</v>
      </c>
      <c r="J5" s="98">
        <v>74.228143555170703</v>
      </c>
      <c r="K5" s="97">
        <v>46</v>
      </c>
      <c r="L5" s="97">
        <v>102</v>
      </c>
      <c r="M5" s="98">
        <v>0.45098039215686275</v>
      </c>
      <c r="N5" s="98">
        <v>54.901960784313729</v>
      </c>
      <c r="O5" s="41">
        <f t="shared" si="0"/>
        <v>64.716432122511605</v>
      </c>
      <c r="P5" s="109">
        <f t="shared" si="1"/>
        <v>62.192263982816186</v>
      </c>
    </row>
    <row r="6" spans="1:16" ht="18" x14ac:dyDescent="0.25">
      <c r="A6" s="73" t="s">
        <v>8</v>
      </c>
      <c r="B6" s="74">
        <v>4113700</v>
      </c>
      <c r="C6" s="97">
        <v>2282</v>
      </c>
      <c r="D6" s="97">
        <v>30194</v>
      </c>
      <c r="E6" s="98">
        <v>7.5577929389945023E-2</v>
      </c>
      <c r="F6" s="98">
        <v>88.384865588492673</v>
      </c>
      <c r="G6" s="97">
        <v>77042</v>
      </c>
      <c r="H6" s="97">
        <v>66820</v>
      </c>
      <c r="I6" s="98">
        <v>1.1529781502544147</v>
      </c>
      <c r="J6" s="98">
        <v>72.166578719396043</v>
      </c>
      <c r="K6" s="97">
        <v>152</v>
      </c>
      <c r="L6" s="97">
        <v>187</v>
      </c>
      <c r="M6" s="98">
        <v>0.81283422459893051</v>
      </c>
      <c r="N6" s="98">
        <v>18.71657754010695</v>
      </c>
      <c r="O6" s="41">
        <f t="shared" si="0"/>
        <v>66.913221859122075</v>
      </c>
      <c r="P6" s="109">
        <f t="shared" si="1"/>
        <v>65.893710228240536</v>
      </c>
    </row>
    <row r="7" spans="1:16" ht="18" x14ac:dyDescent="0.25">
      <c r="A7" s="73" t="s">
        <v>10</v>
      </c>
      <c r="B7" s="74">
        <v>4119905</v>
      </c>
      <c r="C7" s="97">
        <v>4698</v>
      </c>
      <c r="D7" s="97">
        <v>22756</v>
      </c>
      <c r="E7" s="98">
        <v>0.20645104587801019</v>
      </c>
      <c r="F7" s="98">
        <v>68.271734001905799</v>
      </c>
      <c r="G7" s="97">
        <v>54861</v>
      </c>
      <c r="H7" s="97">
        <v>50454</v>
      </c>
      <c r="I7" s="98">
        <v>1.0873468902366512</v>
      </c>
      <c r="J7" s="98">
        <v>76.631249796302669</v>
      </c>
      <c r="K7" s="97">
        <v>37</v>
      </c>
      <c r="L7" s="97">
        <v>105</v>
      </c>
      <c r="M7" s="98">
        <v>0.35238095238095241</v>
      </c>
      <c r="N7" s="98">
        <v>64.761904761904759</v>
      </c>
      <c r="O7" s="41">
        <f t="shared" si="0"/>
        <v>69.484155640504753</v>
      </c>
      <c r="P7" s="109">
        <f t="shared" si="1"/>
        <v>70.225564585415626</v>
      </c>
    </row>
    <row r="8" spans="1:16" ht="18" x14ac:dyDescent="0.25">
      <c r="A8" s="73" t="s">
        <v>12</v>
      </c>
      <c r="B8" s="74">
        <v>4125506</v>
      </c>
      <c r="C8" s="97">
        <v>3447</v>
      </c>
      <c r="D8" s="97">
        <v>21137</v>
      </c>
      <c r="E8" s="98">
        <v>0.16307896106353786</v>
      </c>
      <c r="F8" s="98">
        <v>74.93733861549839</v>
      </c>
      <c r="G8" s="97">
        <v>52037</v>
      </c>
      <c r="H8" s="97">
        <v>47016</v>
      </c>
      <c r="I8" s="98">
        <v>1.106793432023141</v>
      </c>
      <c r="J8" s="98">
        <v>75.308367794090643</v>
      </c>
      <c r="K8" s="97">
        <v>37</v>
      </c>
      <c r="L8" s="97">
        <v>82</v>
      </c>
      <c r="M8" s="98">
        <v>0.45121951219512196</v>
      </c>
      <c r="N8" s="98">
        <v>54.878048780487809</v>
      </c>
      <c r="O8" s="41">
        <f t="shared" si="0"/>
        <v>70.01527345139381</v>
      </c>
      <c r="P8" s="109">
        <f t="shared" si="1"/>
        <v>71.120463170487568</v>
      </c>
    </row>
    <row r="9" spans="1:16" ht="18" x14ac:dyDescent="0.25">
      <c r="A9" s="73" t="s">
        <v>14</v>
      </c>
      <c r="B9" s="74">
        <v>4105805</v>
      </c>
      <c r="C9" s="97">
        <v>3929</v>
      </c>
      <c r="D9" s="97">
        <v>14801</v>
      </c>
      <c r="E9" s="98">
        <v>0.26545503682183635</v>
      </c>
      <c r="F9" s="98">
        <v>59.203752235802</v>
      </c>
      <c r="G9" s="97">
        <v>37968</v>
      </c>
      <c r="H9" s="97">
        <v>33632</v>
      </c>
      <c r="I9" s="98">
        <v>1.1289248334919124</v>
      </c>
      <c r="J9" s="98">
        <v>73.802843932408138</v>
      </c>
      <c r="K9" s="97">
        <v>14</v>
      </c>
      <c r="L9" s="97">
        <v>60</v>
      </c>
      <c r="M9" s="98">
        <v>0.23333333333333334</v>
      </c>
      <c r="N9" s="98">
        <v>76.666666666666657</v>
      </c>
      <c r="O9" s="41">
        <f t="shared" si="0"/>
        <v>67.219253767669699</v>
      </c>
      <c r="P9" s="109">
        <f t="shared" si="1"/>
        <v>66.409353869502922</v>
      </c>
    </row>
    <row r="10" spans="1:16" ht="18" x14ac:dyDescent="0.25">
      <c r="A10" s="73" t="s">
        <v>16</v>
      </c>
      <c r="B10" s="74">
        <v>4101804</v>
      </c>
      <c r="C10" s="97">
        <v>3972</v>
      </c>
      <c r="D10" s="97">
        <v>10075</v>
      </c>
      <c r="E10" s="98">
        <v>0.39424317617866006</v>
      </c>
      <c r="F10" s="98">
        <v>39.411048713595406</v>
      </c>
      <c r="G10" s="97">
        <v>25488</v>
      </c>
      <c r="H10" s="97">
        <v>22332</v>
      </c>
      <c r="I10" s="98">
        <v>1.1413218699623857</v>
      </c>
      <c r="J10" s="98">
        <v>72.959515766011535</v>
      </c>
      <c r="K10" s="97">
        <v>12</v>
      </c>
      <c r="L10" s="97">
        <v>49</v>
      </c>
      <c r="M10" s="98">
        <v>0.24489795918367346</v>
      </c>
      <c r="N10" s="98">
        <v>75.510204081632651</v>
      </c>
      <c r="O10" s="41">
        <f t="shared" si="0"/>
        <v>56.822954318708753</v>
      </c>
      <c r="P10" s="109">
        <f t="shared" si="1"/>
        <v>48.892272958045986</v>
      </c>
    </row>
    <row r="11" spans="1:16" ht="18" x14ac:dyDescent="0.25">
      <c r="A11" s="73" t="s">
        <v>15</v>
      </c>
      <c r="B11" s="74">
        <v>4109401</v>
      </c>
      <c r="C11" s="97">
        <v>2947</v>
      </c>
      <c r="D11" s="97">
        <v>12791</v>
      </c>
      <c r="E11" s="98">
        <v>0.23039637244937847</v>
      </c>
      <c r="F11" s="98">
        <v>64.591715391990263</v>
      </c>
      <c r="G11" s="97">
        <v>29194</v>
      </c>
      <c r="H11" s="97">
        <v>25554</v>
      </c>
      <c r="I11" s="98">
        <v>1.1424434530797527</v>
      </c>
      <c r="J11" s="98">
        <v>72.883218286683842</v>
      </c>
      <c r="K11" s="97">
        <v>22</v>
      </c>
      <c r="L11" s="97">
        <v>48</v>
      </c>
      <c r="M11" s="98">
        <v>0.45833333333333331</v>
      </c>
      <c r="N11" s="98">
        <v>54.166666666666671</v>
      </c>
      <c r="O11" s="41">
        <f t="shared" si="0"/>
        <v>64.058328934332764</v>
      </c>
      <c r="P11" s="109">
        <f t="shared" si="1"/>
        <v>61.083403387561908</v>
      </c>
    </row>
    <row r="12" spans="1:16" ht="18" x14ac:dyDescent="0.25">
      <c r="A12" s="73" t="s">
        <v>18</v>
      </c>
      <c r="B12" s="74">
        <v>4107652</v>
      </c>
      <c r="C12" s="97">
        <v>1781</v>
      </c>
      <c r="D12" s="97">
        <v>11090</v>
      </c>
      <c r="E12" s="98">
        <v>0.16059513074842199</v>
      </c>
      <c r="F12" s="98">
        <v>75.319064116558295</v>
      </c>
      <c r="G12" s="97">
        <v>26388</v>
      </c>
      <c r="H12" s="97">
        <v>24618</v>
      </c>
      <c r="I12" s="98">
        <v>1.0718986107726054</v>
      </c>
      <c r="J12" s="98">
        <v>77.682143630923989</v>
      </c>
      <c r="K12" s="97">
        <v>7</v>
      </c>
      <c r="L12" s="97">
        <v>20</v>
      </c>
      <c r="M12" s="98">
        <v>0.35</v>
      </c>
      <c r="N12" s="98">
        <v>65</v>
      </c>
      <c r="O12" s="41">
        <f t="shared" si="0"/>
        <v>73.330067966010148</v>
      </c>
      <c r="P12" s="109">
        <f t="shared" si="1"/>
        <v>76.705673946923156</v>
      </c>
    </row>
    <row r="13" spans="1:16" ht="18" x14ac:dyDescent="0.25">
      <c r="A13" s="73" t="s">
        <v>17</v>
      </c>
      <c r="B13" s="74">
        <v>4127700</v>
      </c>
      <c r="C13" s="97">
        <v>3483</v>
      </c>
      <c r="D13" s="97">
        <v>9412</v>
      </c>
      <c r="E13" s="98">
        <v>0.37005949851253717</v>
      </c>
      <c r="F13" s="98">
        <v>43.127698123336401</v>
      </c>
      <c r="G13" s="97">
        <v>21824</v>
      </c>
      <c r="H13" s="97">
        <v>19560</v>
      </c>
      <c r="I13" s="98">
        <v>1.1157464212678936</v>
      </c>
      <c r="J13" s="98">
        <v>74.699326429928448</v>
      </c>
      <c r="K13" s="97">
        <v>11</v>
      </c>
      <c r="L13" s="97">
        <v>41</v>
      </c>
      <c r="M13" s="98">
        <v>0.26829268292682928</v>
      </c>
      <c r="N13" s="98">
        <v>73.170731707317074</v>
      </c>
      <c r="O13" s="41">
        <f t="shared" si="0"/>
        <v>58.531363595979585</v>
      </c>
      <c r="P13" s="109">
        <f t="shared" si="1"/>
        <v>51.770830245353416</v>
      </c>
    </row>
    <row r="14" spans="1:16" ht="18" x14ac:dyDescent="0.25">
      <c r="A14" s="73" t="s">
        <v>19</v>
      </c>
      <c r="B14" s="74">
        <v>4118204</v>
      </c>
      <c r="C14" s="97">
        <v>1969</v>
      </c>
      <c r="D14" s="97">
        <v>10180</v>
      </c>
      <c r="E14" s="98">
        <v>0.19341846758349707</v>
      </c>
      <c r="F14" s="98">
        <v>70.274635508220456</v>
      </c>
      <c r="G14" s="97">
        <v>24308</v>
      </c>
      <c r="H14" s="97">
        <v>21072</v>
      </c>
      <c r="I14" s="98">
        <v>1.1535687167805619</v>
      </c>
      <c r="J14" s="98">
        <v>72.126404490110104</v>
      </c>
      <c r="K14" s="97">
        <v>23</v>
      </c>
      <c r="L14" s="97">
        <v>49</v>
      </c>
      <c r="M14" s="98">
        <v>0.46938775510204084</v>
      </c>
      <c r="N14" s="98">
        <v>53.061224489795912</v>
      </c>
      <c r="O14" s="41">
        <f t="shared" si="0"/>
        <v>66.434224999086737</v>
      </c>
      <c r="P14" s="109">
        <f t="shared" si="1"/>
        <v>65.08663201788643</v>
      </c>
    </row>
    <row r="15" spans="1:16" ht="18" x14ac:dyDescent="0.25">
      <c r="A15" s="73" t="s">
        <v>21</v>
      </c>
      <c r="B15" s="74">
        <v>4101408</v>
      </c>
      <c r="C15" s="97">
        <v>2717</v>
      </c>
      <c r="D15" s="97">
        <v>7678</v>
      </c>
      <c r="E15" s="98">
        <v>0.35386819484240689</v>
      </c>
      <c r="F15" s="98">
        <v>45.616045845272204</v>
      </c>
      <c r="G15" s="97">
        <v>18761</v>
      </c>
      <c r="H15" s="97">
        <v>16944</v>
      </c>
      <c r="I15" s="98">
        <v>1.1072355996222851</v>
      </c>
      <c r="J15" s="98">
        <v>75.278288638357395</v>
      </c>
      <c r="K15" s="97">
        <v>17</v>
      </c>
      <c r="L15" s="97">
        <v>41</v>
      </c>
      <c r="M15" s="98">
        <v>0.41463414634146339</v>
      </c>
      <c r="N15" s="98">
        <v>58.536585365853668</v>
      </c>
      <c r="O15" s="41">
        <f t="shared" si="0"/>
        <v>56.261741423688875</v>
      </c>
      <c r="P15" s="109">
        <f t="shared" si="1"/>
        <v>47.946666135264557</v>
      </c>
    </row>
    <row r="16" spans="1:16" ht="18" x14ac:dyDescent="0.25">
      <c r="A16" s="73" t="s">
        <v>20</v>
      </c>
      <c r="B16" s="74">
        <v>4104204</v>
      </c>
      <c r="C16" s="97">
        <v>2467</v>
      </c>
      <c r="D16" s="97">
        <v>8119</v>
      </c>
      <c r="E16" s="98">
        <v>0.30385515457568668</v>
      </c>
      <c r="F16" s="98">
        <v>53.302260454683946</v>
      </c>
      <c r="G16" s="97">
        <v>19296</v>
      </c>
      <c r="H16" s="97">
        <v>18537</v>
      </c>
      <c r="I16" s="98">
        <v>1.0409451367535201</v>
      </c>
      <c r="J16" s="98">
        <v>79.787803039952337</v>
      </c>
      <c r="K16" s="97">
        <v>8</v>
      </c>
      <c r="L16" s="97">
        <v>30</v>
      </c>
      <c r="M16" s="98">
        <v>0.26666666666666666</v>
      </c>
      <c r="N16" s="98">
        <v>73.333333333333343</v>
      </c>
      <c r="O16" s="41">
        <f t="shared" si="0"/>
        <v>64.931414320663393</v>
      </c>
      <c r="P16" s="109">
        <f t="shared" si="1"/>
        <v>62.554494849485195</v>
      </c>
    </row>
    <row r="17" spans="1:16" ht="18" x14ac:dyDescent="0.25">
      <c r="A17" s="73" t="s">
        <v>22</v>
      </c>
      <c r="B17" s="74">
        <v>4119152</v>
      </c>
      <c r="C17" s="97">
        <v>2373</v>
      </c>
      <c r="D17" s="97">
        <v>6847</v>
      </c>
      <c r="E17" s="98">
        <v>0.34657514239813059</v>
      </c>
      <c r="F17" s="98">
        <v>46.736872852497832</v>
      </c>
      <c r="G17" s="97">
        <v>20400</v>
      </c>
      <c r="H17" s="97">
        <v>16795</v>
      </c>
      <c r="I17" s="98">
        <v>1.2146472164334623</v>
      </c>
      <c r="J17" s="98">
        <v>67.971442193982483</v>
      </c>
      <c r="K17" s="97">
        <v>17</v>
      </c>
      <c r="L17" s="97">
        <v>38</v>
      </c>
      <c r="M17" s="98">
        <v>0.44736842105263158</v>
      </c>
      <c r="N17" s="98">
        <v>55.263157894736835</v>
      </c>
      <c r="O17" s="41">
        <f t="shared" si="0"/>
        <v>54.177086448428739</v>
      </c>
      <c r="P17" s="109">
        <f t="shared" si="1"/>
        <v>44.434159588740187</v>
      </c>
    </row>
    <row r="18" spans="1:16" ht="18" x14ac:dyDescent="0.25">
      <c r="A18" s="73" t="s">
        <v>25</v>
      </c>
      <c r="B18" s="74">
        <v>4119509</v>
      </c>
      <c r="C18" s="97">
        <v>1529</v>
      </c>
      <c r="D18" s="97">
        <v>7896</v>
      </c>
      <c r="E18" s="98">
        <v>0.19364235055724419</v>
      </c>
      <c r="F18" s="98">
        <v>70.240228230149839</v>
      </c>
      <c r="G18" s="97">
        <v>18075</v>
      </c>
      <c r="H18" s="97">
        <v>18220</v>
      </c>
      <c r="I18" s="98">
        <v>0.99204171240395167</v>
      </c>
      <c r="J18" s="98">
        <v>83.114536431877383</v>
      </c>
      <c r="K18" s="97">
        <v>4</v>
      </c>
      <c r="L18" s="97">
        <v>22</v>
      </c>
      <c r="M18" s="98">
        <v>0.18181818181818182</v>
      </c>
      <c r="N18" s="98">
        <v>81.818181818181813</v>
      </c>
      <c r="O18" s="41">
        <f t="shared" si="0"/>
        <v>76.353293677589718</v>
      </c>
      <c r="P18" s="109">
        <f t="shared" si="1"/>
        <v>81.799610463789179</v>
      </c>
    </row>
    <row r="19" spans="1:16" ht="18" x14ac:dyDescent="0.25">
      <c r="A19" s="73" t="s">
        <v>26</v>
      </c>
      <c r="B19" s="74">
        <v>4126256</v>
      </c>
      <c r="C19" s="97">
        <v>1184</v>
      </c>
      <c r="D19" s="97">
        <v>8567</v>
      </c>
      <c r="E19" s="98">
        <v>0.13820473911520953</v>
      </c>
      <c r="F19" s="98">
        <v>78.760113778083578</v>
      </c>
      <c r="G19" s="97">
        <v>15652</v>
      </c>
      <c r="H19" s="97">
        <v>16897</v>
      </c>
      <c r="I19" s="98">
        <v>0.92631828135171923</v>
      </c>
      <c r="J19" s="98">
        <v>87.585477590321531</v>
      </c>
      <c r="K19" s="97">
        <v>14</v>
      </c>
      <c r="L19" s="97">
        <v>27</v>
      </c>
      <c r="M19" s="98">
        <v>0.51851851851851849</v>
      </c>
      <c r="N19" s="98">
        <v>48.148148148148152</v>
      </c>
      <c r="O19" s="41">
        <f t="shared" si="0"/>
        <v>73.313463323659207</v>
      </c>
      <c r="P19" s="109">
        <f t="shared" si="1"/>
        <v>76.677696216482133</v>
      </c>
    </row>
    <row r="20" spans="1:16" ht="18" x14ac:dyDescent="0.25">
      <c r="A20" s="73" t="s">
        <v>23</v>
      </c>
      <c r="B20" s="74">
        <v>4100400</v>
      </c>
      <c r="C20" s="97">
        <v>918</v>
      </c>
      <c r="D20" s="97">
        <v>8185</v>
      </c>
      <c r="E20" s="98">
        <v>0.11215638362858889</v>
      </c>
      <c r="F20" s="98">
        <v>82.763334726553708</v>
      </c>
      <c r="G20" s="97">
        <v>14136</v>
      </c>
      <c r="H20" s="97">
        <v>18915</v>
      </c>
      <c r="I20" s="98">
        <v>0.74734337827121333</v>
      </c>
      <c r="J20" s="98">
        <v>99.760530652832131</v>
      </c>
      <c r="K20" s="97">
        <v>4</v>
      </c>
      <c r="L20" s="97">
        <v>24</v>
      </c>
      <c r="M20" s="98">
        <v>0.16666666666666666</v>
      </c>
      <c r="N20" s="98">
        <v>83.333333333333343</v>
      </c>
      <c r="O20" s="41">
        <f t="shared" si="0"/>
        <v>87.155133359818223</v>
      </c>
      <c r="P20" s="109">
        <f t="shared" si="1"/>
        <v>100</v>
      </c>
    </row>
    <row r="21" spans="1:16" ht="18" x14ac:dyDescent="0.25">
      <c r="A21" s="73" t="s">
        <v>24</v>
      </c>
      <c r="B21" s="74">
        <v>4101507</v>
      </c>
      <c r="C21" s="97">
        <v>1980</v>
      </c>
      <c r="D21" s="97">
        <v>7199</v>
      </c>
      <c r="E21" s="98">
        <v>0.2750381997499653</v>
      </c>
      <c r="F21" s="98">
        <v>57.730971406847445</v>
      </c>
      <c r="G21" s="97">
        <v>16820</v>
      </c>
      <c r="H21" s="97">
        <v>15470</v>
      </c>
      <c r="I21" s="98">
        <v>1.0872656755009695</v>
      </c>
      <c r="J21" s="98">
        <v>76.636774558151188</v>
      </c>
      <c r="K21" s="97">
        <v>28</v>
      </c>
      <c r="L21" s="97">
        <v>51</v>
      </c>
      <c r="M21" s="98">
        <v>0.5490196078431373</v>
      </c>
      <c r="N21" s="98">
        <v>45.098039215686271</v>
      </c>
      <c r="O21" s="41">
        <f t="shared" si="0"/>
        <v>59.299189146883087</v>
      </c>
      <c r="P21" s="109">
        <f t="shared" si="1"/>
        <v>53.064565806462618</v>
      </c>
    </row>
    <row r="22" spans="1:16" ht="18" x14ac:dyDescent="0.25">
      <c r="A22" s="73" t="s">
        <v>27</v>
      </c>
      <c r="B22" s="74">
        <v>4128104</v>
      </c>
      <c r="C22" s="97">
        <v>1884</v>
      </c>
      <c r="D22" s="97">
        <v>7514</v>
      </c>
      <c r="E22" s="98">
        <v>0.25073196699494277</v>
      </c>
      <c r="F22" s="98">
        <v>61.466455598671956</v>
      </c>
      <c r="G22" s="97">
        <v>16649</v>
      </c>
      <c r="H22" s="97">
        <v>14786</v>
      </c>
      <c r="I22" s="98">
        <v>1.1259975652644394</v>
      </c>
      <c r="J22" s="98">
        <v>74.001976019556992</v>
      </c>
      <c r="K22" s="97">
        <v>14</v>
      </c>
      <c r="L22" s="97">
        <v>37</v>
      </c>
      <c r="M22" s="98">
        <v>0.3783783783783784</v>
      </c>
      <c r="N22" s="98">
        <v>62.162162162162161</v>
      </c>
      <c r="O22" s="41">
        <f t="shared" si="0"/>
        <v>64.774262344765759</v>
      </c>
      <c r="P22" s="109">
        <f t="shared" si="1"/>
        <v>62.289704104402411</v>
      </c>
    </row>
    <row r="23" spans="1:16" ht="18" x14ac:dyDescent="0.25">
      <c r="A23" s="73" t="s">
        <v>30</v>
      </c>
      <c r="B23" s="74">
        <v>4108403</v>
      </c>
      <c r="C23" s="97">
        <v>2554</v>
      </c>
      <c r="D23" s="97">
        <v>6254</v>
      </c>
      <c r="E23" s="98">
        <v>0.40837863767188998</v>
      </c>
      <c r="F23" s="98">
        <v>37.238651473583232</v>
      </c>
      <c r="G23" s="97">
        <v>13449</v>
      </c>
      <c r="H23" s="97">
        <v>12385</v>
      </c>
      <c r="I23" s="98">
        <v>1.0859103754541783</v>
      </c>
      <c r="J23" s="98">
        <v>76.728971004140504</v>
      </c>
      <c r="K23" s="97">
        <v>10</v>
      </c>
      <c r="L23" s="97">
        <v>30</v>
      </c>
      <c r="M23" s="98">
        <v>0.33333333333333331</v>
      </c>
      <c r="N23" s="98">
        <v>66.666666666666671</v>
      </c>
      <c r="O23" s="41">
        <f t="shared" si="0"/>
        <v>54.468235154493414</v>
      </c>
      <c r="P23" s="109">
        <f t="shared" si="1"/>
        <v>44.924726012537327</v>
      </c>
    </row>
    <row r="24" spans="1:16" ht="18" x14ac:dyDescent="0.25">
      <c r="A24" s="73" t="s">
        <v>29</v>
      </c>
      <c r="B24" s="74">
        <v>4104303</v>
      </c>
      <c r="C24" s="97">
        <v>2022</v>
      </c>
      <c r="D24" s="97">
        <v>6305</v>
      </c>
      <c r="E24" s="98">
        <v>0.32069785884218877</v>
      </c>
      <c r="F24" s="98">
        <v>50.713802746358361</v>
      </c>
      <c r="G24" s="97">
        <v>14521</v>
      </c>
      <c r="H24" s="97">
        <v>12740</v>
      </c>
      <c r="I24" s="98">
        <v>1.1397959183673469</v>
      </c>
      <c r="J24" s="98">
        <v>73.063321055583685</v>
      </c>
      <c r="K24" s="97">
        <v>11</v>
      </c>
      <c r="L24" s="97">
        <v>31</v>
      </c>
      <c r="M24" s="98">
        <v>0.35483870967741937</v>
      </c>
      <c r="N24" s="98">
        <v>64.516129032258064</v>
      </c>
      <c r="O24" s="41">
        <f t="shared" si="0"/>
        <v>59.751763895139618</v>
      </c>
      <c r="P24" s="109">
        <f t="shared" si="1"/>
        <v>53.827124495985956</v>
      </c>
    </row>
    <row r="25" spans="1:16" ht="18" x14ac:dyDescent="0.25">
      <c r="A25" s="73" t="s">
        <v>28</v>
      </c>
      <c r="B25" s="74">
        <v>4103701</v>
      </c>
      <c r="C25" s="97">
        <v>1796</v>
      </c>
      <c r="D25" s="97">
        <v>6176</v>
      </c>
      <c r="E25" s="98">
        <v>0.29080310880829013</v>
      </c>
      <c r="F25" s="98">
        <v>55.30815380419962</v>
      </c>
      <c r="G25" s="97">
        <v>14407</v>
      </c>
      <c r="H25" s="97">
        <v>13404</v>
      </c>
      <c r="I25" s="98">
        <v>1.0748284094300209</v>
      </c>
      <c r="J25" s="98">
        <v>77.482839407244867</v>
      </c>
      <c r="K25" s="97">
        <v>12</v>
      </c>
      <c r="L25" s="97">
        <v>37</v>
      </c>
      <c r="M25" s="98">
        <v>0.32432432432432434</v>
      </c>
      <c r="N25" s="98">
        <v>67.567567567567565</v>
      </c>
      <c r="O25" s="41">
        <f t="shared" si="0"/>
        <v>63.916678645802918</v>
      </c>
      <c r="P25" s="109">
        <f t="shared" si="1"/>
        <v>60.84473196630379</v>
      </c>
    </row>
    <row r="26" spans="1:16" ht="18" x14ac:dyDescent="0.25">
      <c r="A26" s="73" t="s">
        <v>32</v>
      </c>
      <c r="B26" s="74">
        <v>4118501</v>
      </c>
      <c r="C26" s="97">
        <v>1960</v>
      </c>
      <c r="D26" s="97">
        <v>5897</v>
      </c>
      <c r="E26" s="98">
        <v>0.33237239274207225</v>
      </c>
      <c r="F26" s="98">
        <v>48.919611220692055</v>
      </c>
      <c r="G26" s="97">
        <v>13803</v>
      </c>
      <c r="H26" s="97">
        <v>11949</v>
      </c>
      <c r="I26" s="98">
        <v>1.1551594275671604</v>
      </c>
      <c r="J26" s="98">
        <v>72.018193853307963</v>
      </c>
      <c r="K26" s="97">
        <v>15</v>
      </c>
      <c r="L26" s="97">
        <v>39</v>
      </c>
      <c r="M26" s="98">
        <v>0.38461538461538464</v>
      </c>
      <c r="N26" s="98">
        <v>61.53846153846154</v>
      </c>
      <c r="O26" s="41">
        <f t="shared" si="0"/>
        <v>57.848969458288408</v>
      </c>
      <c r="P26" s="109">
        <f t="shared" si="1"/>
        <v>50.621040997542281</v>
      </c>
    </row>
    <row r="27" spans="1:16" ht="18" x14ac:dyDescent="0.25">
      <c r="A27" s="73" t="s">
        <v>33</v>
      </c>
      <c r="B27" s="74">
        <v>4105508</v>
      </c>
      <c r="C27" s="97">
        <v>1793</v>
      </c>
      <c r="D27" s="97">
        <v>5041</v>
      </c>
      <c r="E27" s="98">
        <v>0.35568339615155725</v>
      </c>
      <c r="F27" s="98">
        <v>45.337078065129099</v>
      </c>
      <c r="G27" s="97">
        <v>11276</v>
      </c>
      <c r="H27" s="97">
        <v>10122</v>
      </c>
      <c r="I27" s="98">
        <v>1.1140090891128236</v>
      </c>
      <c r="J27" s="98">
        <v>74.817511219030791</v>
      </c>
      <c r="K27" s="97">
        <v>8</v>
      </c>
      <c r="L27" s="97">
        <v>21</v>
      </c>
      <c r="M27" s="98">
        <v>0.38095238095238093</v>
      </c>
      <c r="N27" s="98">
        <v>61.904761904761905</v>
      </c>
      <c r="O27" s="41">
        <f t="shared" si="0"/>
        <v>56.849107313512725</v>
      </c>
      <c r="P27" s="109">
        <f t="shared" si="1"/>
        <v>48.936339034471274</v>
      </c>
    </row>
    <row r="28" spans="1:16" ht="18" x14ac:dyDescent="0.25">
      <c r="A28" s="73" t="s">
        <v>43</v>
      </c>
      <c r="B28" s="74">
        <v>4117602</v>
      </c>
      <c r="C28" s="97">
        <v>881</v>
      </c>
      <c r="D28" s="97">
        <v>3747</v>
      </c>
      <c r="E28" s="98">
        <v>0.2351214304777155</v>
      </c>
      <c r="F28" s="98">
        <v>63.865548579214249</v>
      </c>
      <c r="G28" s="97">
        <v>8081</v>
      </c>
      <c r="H28" s="97">
        <v>7729</v>
      </c>
      <c r="I28" s="98">
        <v>1.0455427610298875</v>
      </c>
      <c r="J28" s="98">
        <v>79.475042320081585</v>
      </c>
      <c r="K28" s="97">
        <v>5</v>
      </c>
      <c r="L28" s="97">
        <v>19</v>
      </c>
      <c r="M28" s="98">
        <v>0.26315789473684209</v>
      </c>
      <c r="N28" s="98">
        <v>73.684210526315795</v>
      </c>
      <c r="O28" s="41">
        <f t="shared" si="0"/>
        <v>70.222587501206462</v>
      </c>
      <c r="P28" s="109">
        <f t="shared" si="1"/>
        <v>71.469773711462125</v>
      </c>
    </row>
    <row r="29" spans="1:16" ht="18" x14ac:dyDescent="0.25">
      <c r="A29" s="73" t="s">
        <v>31</v>
      </c>
      <c r="B29" s="74">
        <v>4118402</v>
      </c>
      <c r="C29" s="97">
        <v>1332</v>
      </c>
      <c r="D29" s="97">
        <v>5686</v>
      </c>
      <c r="E29" s="98">
        <v>0.23425958494548013</v>
      </c>
      <c r="F29" s="98">
        <v>63.998000629431473</v>
      </c>
      <c r="G29" s="97">
        <v>13518</v>
      </c>
      <c r="H29" s="97">
        <v>11985</v>
      </c>
      <c r="I29" s="98">
        <v>1.1279098873591991</v>
      </c>
      <c r="J29" s="98">
        <v>73.871887260878694</v>
      </c>
      <c r="K29" s="97">
        <v>15</v>
      </c>
      <c r="L29" s="97">
        <v>29</v>
      </c>
      <c r="M29" s="98">
        <v>0.51724137931034486</v>
      </c>
      <c r="N29" s="98">
        <v>48.275862068965516</v>
      </c>
      <c r="O29" s="41">
        <f t="shared" si="0"/>
        <v>62.535937647176794</v>
      </c>
      <c r="P29" s="109">
        <f t="shared" si="1"/>
        <v>58.518274181065891</v>
      </c>
    </row>
    <row r="30" spans="1:16" ht="18" x14ac:dyDescent="0.25">
      <c r="A30" s="73" t="s">
        <v>35</v>
      </c>
      <c r="B30" s="74">
        <v>4104907</v>
      </c>
      <c r="C30" s="97">
        <v>850</v>
      </c>
      <c r="D30" s="97">
        <v>5223</v>
      </c>
      <c r="E30" s="98">
        <v>0.1627417193183994</v>
      </c>
      <c r="F30" s="98">
        <v>74.989167346856505</v>
      </c>
      <c r="G30" s="97">
        <v>12595</v>
      </c>
      <c r="H30" s="97">
        <v>11291</v>
      </c>
      <c r="I30" s="98">
        <v>1.1154902134443363</v>
      </c>
      <c r="J30" s="98">
        <v>74.716755375513273</v>
      </c>
      <c r="K30" s="97">
        <v>8</v>
      </c>
      <c r="L30" s="97">
        <v>20</v>
      </c>
      <c r="M30" s="98">
        <v>0.4</v>
      </c>
      <c r="N30" s="98">
        <v>60</v>
      </c>
      <c r="O30" s="41">
        <f t="shared" si="0"/>
        <v>71.173772517306574</v>
      </c>
      <c r="P30" s="109">
        <f t="shared" si="1"/>
        <v>73.07245791371993</v>
      </c>
    </row>
    <row r="31" spans="1:16" ht="18" x14ac:dyDescent="0.25">
      <c r="A31" s="73" t="s">
        <v>34</v>
      </c>
      <c r="B31" s="74">
        <v>4127106</v>
      </c>
      <c r="C31" s="97">
        <v>1176</v>
      </c>
      <c r="D31" s="97">
        <v>5110</v>
      </c>
      <c r="E31" s="98">
        <v>0.23013698630136986</v>
      </c>
      <c r="F31" s="98">
        <v>64.631578947368425</v>
      </c>
      <c r="G31" s="97">
        <v>12367</v>
      </c>
      <c r="H31" s="97">
        <v>11019</v>
      </c>
      <c r="I31" s="98">
        <v>1.1223341501043651</v>
      </c>
      <c r="J31" s="98">
        <v>74.251185675191493</v>
      </c>
      <c r="K31" s="97">
        <v>9</v>
      </c>
      <c r="L31" s="97">
        <v>25</v>
      </c>
      <c r="M31" s="98">
        <v>0.36</v>
      </c>
      <c r="N31" s="98">
        <v>64</v>
      </c>
      <c r="O31" s="41">
        <f t="shared" si="0"/>
        <v>66.878585892482079</v>
      </c>
      <c r="P31" s="109">
        <f t="shared" si="1"/>
        <v>65.835350902111273</v>
      </c>
    </row>
    <row r="32" spans="1:16" ht="18" x14ac:dyDescent="0.25">
      <c r="A32" s="73" t="s">
        <v>36</v>
      </c>
      <c r="B32" s="74">
        <v>4122404</v>
      </c>
      <c r="C32" s="97">
        <v>896</v>
      </c>
      <c r="D32" s="97">
        <v>4918</v>
      </c>
      <c r="E32" s="98">
        <v>0.18218788125254168</v>
      </c>
      <c r="F32" s="98">
        <v>72.000599302240971</v>
      </c>
      <c r="G32" s="97">
        <v>10810</v>
      </c>
      <c r="H32" s="97">
        <v>9508</v>
      </c>
      <c r="I32" s="98">
        <v>1.1369373159444678</v>
      </c>
      <c r="J32" s="98">
        <v>73.257782041923875</v>
      </c>
      <c r="K32" s="97">
        <v>13</v>
      </c>
      <c r="L32" s="97">
        <v>22</v>
      </c>
      <c r="M32" s="98">
        <v>0.59090909090909094</v>
      </c>
      <c r="N32" s="98">
        <v>40.909090909090907</v>
      </c>
      <c r="O32" s="41">
        <f t="shared" si="0"/>
        <v>64.54201788887417</v>
      </c>
      <c r="P32" s="109">
        <f t="shared" si="1"/>
        <v>61.898387468606884</v>
      </c>
    </row>
    <row r="33" spans="1:16" ht="18" x14ac:dyDescent="0.25">
      <c r="A33" s="73" t="s">
        <v>41</v>
      </c>
      <c r="B33" s="74">
        <v>4109807</v>
      </c>
      <c r="C33" s="97">
        <v>1203</v>
      </c>
      <c r="D33" s="97">
        <v>2954</v>
      </c>
      <c r="E33" s="98">
        <v>0.40724441435341907</v>
      </c>
      <c r="F33" s="98">
        <v>37.412963688842972</v>
      </c>
      <c r="G33" s="97">
        <v>8085</v>
      </c>
      <c r="H33" s="97">
        <v>6836</v>
      </c>
      <c r="I33" s="98">
        <v>1.1827091866588648</v>
      </c>
      <c r="J33" s="98">
        <v>70.144077577630995</v>
      </c>
      <c r="K33" s="97">
        <v>7</v>
      </c>
      <c r="L33" s="97">
        <v>25</v>
      </c>
      <c r="M33" s="98">
        <v>0.28000000000000003</v>
      </c>
      <c r="N33" s="98">
        <v>72</v>
      </c>
      <c r="O33" s="41">
        <f t="shared" si="0"/>
        <v>54.242501238829234</v>
      </c>
      <c r="P33" s="109">
        <f t="shared" si="1"/>
        <v>44.544379208892245</v>
      </c>
    </row>
    <row r="34" spans="1:16" ht="18" x14ac:dyDescent="0.25">
      <c r="A34" s="73" t="s">
        <v>45</v>
      </c>
      <c r="B34" s="74">
        <v>4117503</v>
      </c>
      <c r="C34" s="97">
        <v>1159</v>
      </c>
      <c r="D34" s="97">
        <v>3271</v>
      </c>
      <c r="E34" s="98">
        <v>0.35432589422195049</v>
      </c>
      <c r="F34" s="98">
        <v>45.54570467746867</v>
      </c>
      <c r="G34" s="97">
        <v>7007</v>
      </c>
      <c r="H34" s="97">
        <v>6371</v>
      </c>
      <c r="I34" s="98">
        <v>1.0998273426463663</v>
      </c>
      <c r="J34" s="98">
        <v>75.782247127676726</v>
      </c>
      <c r="K34" s="97">
        <v>3</v>
      </c>
      <c r="L34" s="97">
        <v>10</v>
      </c>
      <c r="M34" s="98">
        <v>0.3</v>
      </c>
      <c r="N34" s="98">
        <v>70</v>
      </c>
      <c r="O34" s="41">
        <f t="shared" si="0"/>
        <v>59.21841412065352</v>
      </c>
      <c r="P34" s="109">
        <f t="shared" si="1"/>
        <v>52.928465199026775</v>
      </c>
    </row>
    <row r="35" spans="1:16" ht="18" x14ac:dyDescent="0.25">
      <c r="A35" s="73" t="s">
        <v>40</v>
      </c>
      <c r="B35" s="74">
        <v>4115804</v>
      </c>
      <c r="C35" s="97">
        <v>1317</v>
      </c>
      <c r="D35" s="97">
        <v>3596</v>
      </c>
      <c r="E35" s="98">
        <v>0.36624026696329254</v>
      </c>
      <c r="F35" s="98">
        <v>43.714653708799254</v>
      </c>
      <c r="G35" s="97">
        <v>8447</v>
      </c>
      <c r="H35" s="97">
        <v>6921</v>
      </c>
      <c r="I35" s="98">
        <v>1.2204883687328421</v>
      </c>
      <c r="J35" s="98">
        <v>67.574088498201107</v>
      </c>
      <c r="K35" s="97">
        <v>5</v>
      </c>
      <c r="L35" s="97">
        <v>13</v>
      </c>
      <c r="M35" s="98">
        <v>0.38461538461538464</v>
      </c>
      <c r="N35" s="98">
        <v>61.53846153846154</v>
      </c>
      <c r="O35" s="41">
        <f t="shared" si="0"/>
        <v>54.135464363565291</v>
      </c>
      <c r="P35" s="109">
        <f t="shared" si="1"/>
        <v>44.364029112811139</v>
      </c>
    </row>
    <row r="36" spans="1:16" ht="18" x14ac:dyDescent="0.25">
      <c r="A36" s="73" t="s">
        <v>38</v>
      </c>
      <c r="B36" s="74">
        <v>4114609</v>
      </c>
      <c r="C36" s="97">
        <v>1198</v>
      </c>
      <c r="D36" s="97">
        <v>3634</v>
      </c>
      <c r="E36" s="98">
        <v>0.32966428178315904</v>
      </c>
      <c r="F36" s="98">
        <v>49.335805115430297</v>
      </c>
      <c r="G36" s="97">
        <v>8011</v>
      </c>
      <c r="H36" s="97">
        <v>6945</v>
      </c>
      <c r="I36" s="98">
        <v>1.153491720662347</v>
      </c>
      <c r="J36" s="98">
        <v>72.131642273781111</v>
      </c>
      <c r="K36" s="97">
        <v>9</v>
      </c>
      <c r="L36" s="97">
        <v>20</v>
      </c>
      <c r="M36" s="98">
        <v>0.45</v>
      </c>
      <c r="N36" s="98">
        <v>55.000000000000007</v>
      </c>
      <c r="O36" s="41">
        <f t="shared" si="0"/>
        <v>56.450813126160426</v>
      </c>
      <c r="P36" s="109">
        <f t="shared" si="1"/>
        <v>48.265239520585055</v>
      </c>
    </row>
    <row r="37" spans="1:16" ht="18" x14ac:dyDescent="0.25">
      <c r="A37" s="73" t="s">
        <v>39</v>
      </c>
      <c r="B37" s="74">
        <v>4128203</v>
      </c>
      <c r="C37" s="97">
        <v>1085</v>
      </c>
      <c r="D37" s="97">
        <v>3552</v>
      </c>
      <c r="E37" s="98">
        <v>0.30546171171171171</v>
      </c>
      <c r="F37" s="98">
        <v>53.05535798956852</v>
      </c>
      <c r="G37" s="97">
        <v>8072</v>
      </c>
      <c r="H37" s="97">
        <v>7207</v>
      </c>
      <c r="I37" s="98">
        <v>1.1200222006382683</v>
      </c>
      <c r="J37" s="98">
        <v>74.408459722798654</v>
      </c>
      <c r="K37" s="97">
        <v>8</v>
      </c>
      <c r="L37" s="97">
        <v>22</v>
      </c>
      <c r="M37" s="98">
        <v>0.36363636363636365</v>
      </c>
      <c r="N37" s="98">
        <v>63.636363636363633</v>
      </c>
      <c r="O37" s="41">
        <f t="shared" si="0"/>
        <v>61.03888483457483</v>
      </c>
      <c r="P37" s="109">
        <f t="shared" si="1"/>
        <v>55.995838637936771</v>
      </c>
    </row>
    <row r="38" spans="1:16" ht="18" x14ac:dyDescent="0.25">
      <c r="A38" s="73" t="s">
        <v>51</v>
      </c>
      <c r="B38" s="74">
        <v>4109609</v>
      </c>
      <c r="C38" s="97">
        <v>1246</v>
      </c>
      <c r="D38" s="97">
        <v>2591</v>
      </c>
      <c r="E38" s="98">
        <v>0.4808954071786955</v>
      </c>
      <c r="F38" s="98">
        <v>26.093969002011015</v>
      </c>
      <c r="G38" s="97">
        <v>7344</v>
      </c>
      <c r="H38" s="97">
        <v>6175</v>
      </c>
      <c r="I38" s="98">
        <v>1.1893117408906884</v>
      </c>
      <c r="J38" s="98">
        <v>69.694928301743985</v>
      </c>
      <c r="K38" s="97">
        <v>6</v>
      </c>
      <c r="L38" s="97">
        <v>13</v>
      </c>
      <c r="M38" s="98">
        <v>0.46153846153846156</v>
      </c>
      <c r="N38" s="98">
        <v>53.846153846153847</v>
      </c>
      <c r="O38" s="41">
        <f t="shared" si="0"/>
        <v>43.932255037979964</v>
      </c>
      <c r="P38" s="109">
        <f t="shared" si="1"/>
        <v>27.172292361646921</v>
      </c>
    </row>
    <row r="39" spans="1:16" ht="18" x14ac:dyDescent="0.25">
      <c r="A39" s="73" t="s">
        <v>48</v>
      </c>
      <c r="B39" s="74">
        <v>4107207</v>
      </c>
      <c r="C39" s="97">
        <v>1164</v>
      </c>
      <c r="D39" s="97">
        <v>3063</v>
      </c>
      <c r="E39" s="98">
        <v>0.38001958863858964</v>
      </c>
      <c r="F39" s="98">
        <v>41.596989535543074</v>
      </c>
      <c r="G39" s="97">
        <v>6429</v>
      </c>
      <c r="H39" s="97">
        <v>5782</v>
      </c>
      <c r="I39" s="98">
        <v>1.1118989968868904</v>
      </c>
      <c r="J39" s="98">
        <v>74.961053606121624</v>
      </c>
      <c r="K39" s="97">
        <v>5</v>
      </c>
      <c r="L39" s="97">
        <v>13</v>
      </c>
      <c r="M39" s="98">
        <v>0.38461538461538464</v>
      </c>
      <c r="N39" s="98">
        <v>61.53846153846154</v>
      </c>
      <c r="O39" s="41">
        <f t="shared" si="0"/>
        <v>54.92337355391733</v>
      </c>
      <c r="P39" s="109">
        <f t="shared" si="1"/>
        <v>45.691604285692158</v>
      </c>
    </row>
    <row r="40" spans="1:16" ht="18" x14ac:dyDescent="0.25">
      <c r="A40" s="73" t="s">
        <v>53</v>
      </c>
      <c r="B40" s="74">
        <v>4111803</v>
      </c>
      <c r="C40" s="97">
        <v>1095</v>
      </c>
      <c r="D40" s="97">
        <v>2747</v>
      </c>
      <c r="E40" s="98">
        <v>0.39861667273389151</v>
      </c>
      <c r="F40" s="98">
        <v>38.738911348265098</v>
      </c>
      <c r="G40" s="97">
        <v>5833</v>
      </c>
      <c r="H40" s="97">
        <v>5336</v>
      </c>
      <c r="I40" s="98">
        <v>1.0931409295352323</v>
      </c>
      <c r="J40" s="98">
        <v>76.237101037497283</v>
      </c>
      <c r="K40" s="97">
        <v>6</v>
      </c>
      <c r="L40" s="97">
        <v>18</v>
      </c>
      <c r="M40" s="98">
        <v>0.33333333333333331</v>
      </c>
      <c r="N40" s="98">
        <v>66.666666666666671</v>
      </c>
      <c r="O40" s="41">
        <f t="shared" si="0"/>
        <v>55.095397600173541</v>
      </c>
      <c r="P40" s="109">
        <f t="shared" si="1"/>
        <v>45.981453491342677</v>
      </c>
    </row>
    <row r="41" spans="1:16" ht="18" x14ac:dyDescent="0.25">
      <c r="A41" s="73" t="s">
        <v>44</v>
      </c>
      <c r="B41" s="74">
        <v>4104006</v>
      </c>
      <c r="C41" s="97">
        <v>908</v>
      </c>
      <c r="D41" s="97">
        <v>3223</v>
      </c>
      <c r="E41" s="98">
        <v>0.28172510083772884</v>
      </c>
      <c r="F41" s="98">
        <v>56.703300292306935</v>
      </c>
      <c r="G41" s="97">
        <v>8305</v>
      </c>
      <c r="H41" s="97">
        <v>7203</v>
      </c>
      <c r="I41" s="98">
        <v>1.1529918089684854</v>
      </c>
      <c r="J41" s="98">
        <v>72.165649563599814</v>
      </c>
      <c r="K41" s="97">
        <v>5</v>
      </c>
      <c r="L41" s="97">
        <v>19</v>
      </c>
      <c r="M41" s="98">
        <v>0.26315789473684209</v>
      </c>
      <c r="N41" s="98">
        <v>73.684210526315795</v>
      </c>
      <c r="O41" s="41">
        <f t="shared" si="0"/>
        <v>64.81411516863237</v>
      </c>
      <c r="P41" s="109">
        <f t="shared" si="1"/>
        <v>62.356853491898292</v>
      </c>
    </row>
    <row r="42" spans="1:16" ht="18" x14ac:dyDescent="0.25">
      <c r="A42" s="73" t="s">
        <v>37</v>
      </c>
      <c r="B42" s="74">
        <v>4110706</v>
      </c>
      <c r="C42" s="97">
        <v>969</v>
      </c>
      <c r="D42" s="97">
        <v>3514</v>
      </c>
      <c r="E42" s="98">
        <v>0.27575412635173591</v>
      </c>
      <c r="F42" s="98">
        <v>57.620944792259529</v>
      </c>
      <c r="G42" s="97">
        <v>8407</v>
      </c>
      <c r="H42" s="97">
        <v>7672</v>
      </c>
      <c r="I42" s="98">
        <v>1.0958029197080292</v>
      </c>
      <c r="J42" s="98">
        <v>76.056014912862778</v>
      </c>
      <c r="K42" s="97">
        <v>5</v>
      </c>
      <c r="L42" s="97">
        <v>20</v>
      </c>
      <c r="M42" s="98">
        <v>0.25</v>
      </c>
      <c r="N42" s="98">
        <v>75</v>
      </c>
      <c r="O42" s="41">
        <f t="shared" si="0"/>
        <v>66.574476124345466</v>
      </c>
      <c r="P42" s="109">
        <f t="shared" si="1"/>
        <v>65.32294594104161</v>
      </c>
    </row>
    <row r="43" spans="1:16" ht="18" x14ac:dyDescent="0.25">
      <c r="A43" s="73" t="s">
        <v>42</v>
      </c>
      <c r="B43" s="74">
        <v>4120606</v>
      </c>
      <c r="C43" s="97">
        <v>733</v>
      </c>
      <c r="D43" s="97">
        <v>3046</v>
      </c>
      <c r="E43" s="98">
        <v>0.24064346684175969</v>
      </c>
      <c r="F43" s="98">
        <v>63.016898780108512</v>
      </c>
      <c r="G43" s="97">
        <v>7083</v>
      </c>
      <c r="H43" s="97">
        <v>6590</v>
      </c>
      <c r="I43" s="98">
        <v>1.0748103186646434</v>
      </c>
      <c r="J43" s="98">
        <v>77.484070060395794</v>
      </c>
      <c r="K43" s="97">
        <v>4</v>
      </c>
      <c r="L43" s="97">
        <v>13</v>
      </c>
      <c r="M43" s="98">
        <v>0.30769230769230771</v>
      </c>
      <c r="N43" s="98">
        <v>69.230769230769226</v>
      </c>
      <c r="O43" s="41">
        <f t="shared" si="0"/>
        <v>68.187159212845515</v>
      </c>
      <c r="P43" s="109">
        <f t="shared" si="1"/>
        <v>68.040210895218848</v>
      </c>
    </row>
    <row r="44" spans="1:16" ht="18" x14ac:dyDescent="0.25">
      <c r="A44" s="73" t="s">
        <v>63</v>
      </c>
      <c r="B44" s="74">
        <v>4113304</v>
      </c>
      <c r="C44" s="97">
        <v>842</v>
      </c>
      <c r="D44" s="97">
        <v>2278</v>
      </c>
      <c r="E44" s="98">
        <v>0.36962247585601404</v>
      </c>
      <c r="F44" s="98">
        <v>43.194861605286263</v>
      </c>
      <c r="G44" s="97">
        <v>5242</v>
      </c>
      <c r="H44" s="97">
        <v>4424</v>
      </c>
      <c r="I44" s="98">
        <v>1.1849005424954793</v>
      </c>
      <c r="J44" s="98">
        <v>69.995007103891865</v>
      </c>
      <c r="K44" s="97">
        <v>3</v>
      </c>
      <c r="L44" s="97">
        <v>12</v>
      </c>
      <c r="M44" s="98">
        <v>0.25</v>
      </c>
      <c r="N44" s="98">
        <v>75</v>
      </c>
      <c r="O44" s="41">
        <f t="shared" si="0"/>
        <v>57.846182578616094</v>
      </c>
      <c r="P44" s="109">
        <f t="shared" si="1"/>
        <v>50.616345288559472</v>
      </c>
    </row>
    <row r="45" spans="1:16" ht="18" x14ac:dyDescent="0.25">
      <c r="A45" s="73" t="s">
        <v>50</v>
      </c>
      <c r="B45" s="74">
        <v>4125605</v>
      </c>
      <c r="C45" s="97">
        <v>847</v>
      </c>
      <c r="D45" s="97">
        <v>2728</v>
      </c>
      <c r="E45" s="98">
        <v>0.31048387096774194</v>
      </c>
      <c r="F45" s="98">
        <v>52.283531409168084</v>
      </c>
      <c r="G45" s="97">
        <v>6342</v>
      </c>
      <c r="H45" s="97">
        <v>5750</v>
      </c>
      <c r="I45" s="98">
        <v>1.1029565217391304</v>
      </c>
      <c r="J45" s="98">
        <v>75.569379732076769</v>
      </c>
      <c r="K45" s="97">
        <v>4</v>
      </c>
      <c r="L45" s="97">
        <v>16</v>
      </c>
      <c r="M45" s="98">
        <v>0.25</v>
      </c>
      <c r="N45" s="98">
        <v>75</v>
      </c>
      <c r="O45" s="41">
        <f t="shared" si="0"/>
        <v>63.784110637603234</v>
      </c>
      <c r="P45" s="109">
        <f t="shared" si="1"/>
        <v>60.621363590151766</v>
      </c>
    </row>
    <row r="46" spans="1:16" ht="18" x14ac:dyDescent="0.25">
      <c r="A46" s="73" t="s">
        <v>65</v>
      </c>
      <c r="B46" s="74">
        <v>4114104</v>
      </c>
      <c r="C46" s="97">
        <v>845</v>
      </c>
      <c r="D46" s="97">
        <v>2321</v>
      </c>
      <c r="E46" s="98">
        <v>0.36406721240844464</v>
      </c>
      <c r="F46" s="98">
        <v>44.048617882491669</v>
      </c>
      <c r="G46" s="97">
        <v>4660</v>
      </c>
      <c r="H46" s="97">
        <v>4294</v>
      </c>
      <c r="I46" s="98">
        <v>1.0852352119236144</v>
      </c>
      <c r="J46" s="98">
        <v>76.774900079496916</v>
      </c>
      <c r="K46" s="97">
        <v>3</v>
      </c>
      <c r="L46" s="97">
        <v>7</v>
      </c>
      <c r="M46" s="98">
        <v>0.42857142857142855</v>
      </c>
      <c r="N46" s="98">
        <v>57.142857142857139</v>
      </c>
      <c r="O46" s="41">
        <f t="shared" si="0"/>
        <v>55.503748246834348</v>
      </c>
      <c r="P46" s="109">
        <f t="shared" si="1"/>
        <v>46.669497477851557</v>
      </c>
    </row>
    <row r="47" spans="1:16" ht="18" x14ac:dyDescent="0.25">
      <c r="A47" s="73" t="s">
        <v>64</v>
      </c>
      <c r="B47" s="74">
        <v>4108809</v>
      </c>
      <c r="C47" s="97">
        <v>720</v>
      </c>
      <c r="D47" s="97">
        <v>2246</v>
      </c>
      <c r="E47" s="98">
        <v>0.3205699020480855</v>
      </c>
      <c r="F47" s="98">
        <v>50.733467685241592</v>
      </c>
      <c r="G47" s="97">
        <v>5043</v>
      </c>
      <c r="H47" s="97">
        <v>4591</v>
      </c>
      <c r="I47" s="98">
        <v>1.0984534959703769</v>
      </c>
      <c r="J47" s="98">
        <v>75.875705237680009</v>
      </c>
      <c r="K47" s="97">
        <v>3</v>
      </c>
      <c r="L47" s="97">
        <v>14</v>
      </c>
      <c r="M47" s="98">
        <v>0.21428571428571427</v>
      </c>
      <c r="N47" s="98">
        <v>78.571428571428569</v>
      </c>
      <c r="O47" s="41">
        <f t="shared" si="0"/>
        <v>63.978517294897941</v>
      </c>
      <c r="P47" s="109">
        <f t="shared" si="1"/>
        <v>60.948926023522965</v>
      </c>
    </row>
    <row r="48" spans="1:16" ht="18" x14ac:dyDescent="0.25">
      <c r="A48" s="73" t="s">
        <v>55</v>
      </c>
      <c r="B48" s="74">
        <v>4122206</v>
      </c>
      <c r="C48" s="97">
        <v>312</v>
      </c>
      <c r="D48" s="97">
        <v>2560</v>
      </c>
      <c r="E48" s="98">
        <v>0.121875</v>
      </c>
      <c r="F48" s="98">
        <v>81.26973684210526</v>
      </c>
      <c r="G48" s="97">
        <v>6535</v>
      </c>
      <c r="H48" s="97">
        <v>5566</v>
      </c>
      <c r="I48" s="98">
        <v>1.1740927057132591</v>
      </c>
      <c r="J48" s="98">
        <v>70.73022742835991</v>
      </c>
      <c r="K48" s="97">
        <v>4</v>
      </c>
      <c r="L48" s="97">
        <v>8</v>
      </c>
      <c r="M48" s="98">
        <v>0.5</v>
      </c>
      <c r="N48" s="98">
        <v>50</v>
      </c>
      <c r="O48" s="41">
        <f t="shared" si="0"/>
        <v>70.817425278142608</v>
      </c>
      <c r="P48" s="109">
        <f t="shared" si="1"/>
        <v>72.472036249102203</v>
      </c>
    </row>
    <row r="49" spans="1:16" ht="18" x14ac:dyDescent="0.25">
      <c r="A49" s="73" t="s">
        <v>49</v>
      </c>
      <c r="B49" s="74">
        <v>4124103</v>
      </c>
      <c r="C49" s="97">
        <v>541</v>
      </c>
      <c r="D49" s="97">
        <v>2832</v>
      </c>
      <c r="E49" s="98">
        <v>0.19103107344632769</v>
      </c>
      <c r="F49" s="98">
        <v>70.641540291406486</v>
      </c>
      <c r="G49" s="97">
        <v>6815</v>
      </c>
      <c r="H49" s="97">
        <v>5851</v>
      </c>
      <c r="I49" s="98">
        <v>1.1647581609981199</v>
      </c>
      <c r="J49" s="98">
        <v>71.365224711582769</v>
      </c>
      <c r="K49" s="97">
        <v>7</v>
      </c>
      <c r="L49" s="97">
        <v>19</v>
      </c>
      <c r="M49" s="98">
        <v>0.36842105263157893</v>
      </c>
      <c r="N49" s="98">
        <v>63.157894736842103</v>
      </c>
      <c r="O49" s="41">
        <f t="shared" si="0"/>
        <v>68.951550007809459</v>
      </c>
      <c r="P49" s="109">
        <f t="shared" si="1"/>
        <v>69.328159118439231</v>
      </c>
    </row>
    <row r="50" spans="1:16" ht="18" x14ac:dyDescent="0.25">
      <c r="A50" s="73" t="s">
        <v>59</v>
      </c>
      <c r="B50" s="74">
        <v>4117909</v>
      </c>
      <c r="C50" s="97">
        <v>1025</v>
      </c>
      <c r="D50" s="97">
        <v>2435</v>
      </c>
      <c r="E50" s="98">
        <v>0.4209445585215606</v>
      </c>
      <c r="F50" s="98">
        <v>35.307467848265425</v>
      </c>
      <c r="G50" s="97">
        <v>5534</v>
      </c>
      <c r="H50" s="97">
        <v>4726</v>
      </c>
      <c r="I50" s="98">
        <v>1.1709691070672874</v>
      </c>
      <c r="J50" s="98">
        <v>70.942715205171751</v>
      </c>
      <c r="K50" s="97">
        <v>5</v>
      </c>
      <c r="L50" s="97">
        <v>12</v>
      </c>
      <c r="M50" s="98">
        <v>0.41666666666666669</v>
      </c>
      <c r="N50" s="98">
        <v>58.333333333333329</v>
      </c>
      <c r="O50" s="41">
        <f t="shared" si="0"/>
        <v>49.972746058758986</v>
      </c>
      <c r="P50" s="109">
        <f t="shared" si="1"/>
        <v>37.350122509324194</v>
      </c>
    </row>
    <row r="51" spans="1:16" ht="18" x14ac:dyDescent="0.25">
      <c r="A51" s="73" t="s">
        <v>73</v>
      </c>
      <c r="B51" s="74">
        <v>4119301</v>
      </c>
      <c r="C51" s="97">
        <v>427</v>
      </c>
      <c r="D51" s="97">
        <v>2386</v>
      </c>
      <c r="E51" s="98">
        <v>0.17896060352053647</v>
      </c>
      <c r="F51" s="98">
        <v>72.49658093263335</v>
      </c>
      <c r="G51" s="97">
        <v>5045</v>
      </c>
      <c r="H51" s="97">
        <v>4655</v>
      </c>
      <c r="I51" s="98">
        <v>1.083780880773362</v>
      </c>
      <c r="J51" s="98">
        <v>76.873833274151693</v>
      </c>
      <c r="K51" s="97">
        <v>3</v>
      </c>
      <c r="L51" s="97">
        <v>9</v>
      </c>
      <c r="M51" s="98">
        <v>0.33333333333333331</v>
      </c>
      <c r="N51" s="98">
        <v>66.666666666666671</v>
      </c>
      <c r="O51" s="41">
        <f t="shared" si="0"/>
        <v>72.133415451521273</v>
      </c>
      <c r="P51" s="109">
        <f t="shared" si="1"/>
        <v>74.689393151808602</v>
      </c>
    </row>
    <row r="52" spans="1:16" ht="18" x14ac:dyDescent="0.25">
      <c r="A52" s="73" t="s">
        <v>52</v>
      </c>
      <c r="B52" s="74">
        <v>4114807</v>
      </c>
      <c r="C52" s="97">
        <v>867</v>
      </c>
      <c r="D52" s="97">
        <v>2628</v>
      </c>
      <c r="E52" s="98">
        <v>0.32990867579908678</v>
      </c>
      <c r="F52" s="98">
        <v>49.298245614035082</v>
      </c>
      <c r="G52" s="97">
        <v>6117</v>
      </c>
      <c r="H52" s="97">
        <v>5446</v>
      </c>
      <c r="I52" s="98">
        <v>1.1232096951891297</v>
      </c>
      <c r="J52" s="98">
        <v>74.191625325208591</v>
      </c>
      <c r="K52" s="97">
        <v>4</v>
      </c>
      <c r="L52" s="97">
        <v>9</v>
      </c>
      <c r="M52" s="98">
        <v>0.44444444444444442</v>
      </c>
      <c r="N52" s="98">
        <v>55.555555555555557</v>
      </c>
      <c r="O52" s="41">
        <f t="shared" si="0"/>
        <v>57.085918027208578</v>
      </c>
      <c r="P52" s="109">
        <f t="shared" si="1"/>
        <v>49.335349514390138</v>
      </c>
    </row>
    <row r="53" spans="1:16" ht="18" x14ac:dyDescent="0.25">
      <c r="A53" s="73" t="s">
        <v>69</v>
      </c>
      <c r="B53" s="74">
        <v>4120903</v>
      </c>
      <c r="C53" s="97">
        <v>627</v>
      </c>
      <c r="D53" s="97">
        <v>2227</v>
      </c>
      <c r="E53" s="98">
        <v>0.2815446789402784</v>
      </c>
      <c r="F53" s="98">
        <v>56.731028289178262</v>
      </c>
      <c r="G53" s="97">
        <v>4682</v>
      </c>
      <c r="H53" s="97">
        <v>4406</v>
      </c>
      <c r="I53" s="98">
        <v>1.0626418520199727</v>
      </c>
      <c r="J53" s="98">
        <v>78.311849400058932</v>
      </c>
      <c r="K53" s="97">
        <v>3</v>
      </c>
      <c r="L53" s="97">
        <v>12</v>
      </c>
      <c r="M53" s="98">
        <v>0.25</v>
      </c>
      <c r="N53" s="98">
        <v>75</v>
      </c>
      <c r="O53" s="41">
        <f t="shared" si="0"/>
        <v>66.693476494603857</v>
      </c>
      <c r="P53" s="109">
        <f t="shared" si="1"/>
        <v>65.52345373946963</v>
      </c>
    </row>
    <row r="54" spans="1:16" ht="18" x14ac:dyDescent="0.25">
      <c r="A54" s="73" t="s">
        <v>57</v>
      </c>
      <c r="B54" s="74">
        <v>4114203</v>
      </c>
      <c r="C54" s="97">
        <v>936</v>
      </c>
      <c r="D54" s="97">
        <v>2261</v>
      </c>
      <c r="E54" s="98">
        <v>0.41397611676249446</v>
      </c>
      <c r="F54" s="98">
        <v>36.378407318606122</v>
      </c>
      <c r="G54" s="97">
        <v>4867</v>
      </c>
      <c r="H54" s="97">
        <v>4477</v>
      </c>
      <c r="I54" s="98">
        <v>1.0871119052937235</v>
      </c>
      <c r="J54" s="98">
        <v>76.647235021604061</v>
      </c>
      <c r="K54" s="97">
        <v>3</v>
      </c>
      <c r="L54" s="97">
        <v>12</v>
      </c>
      <c r="M54" s="98">
        <v>0.25</v>
      </c>
      <c r="N54" s="98">
        <v>75</v>
      </c>
      <c r="O54" s="41">
        <f t="shared" si="0"/>
        <v>56.101012414704073</v>
      </c>
      <c r="P54" s="109">
        <f t="shared" si="1"/>
        <v>47.675848324655377</v>
      </c>
    </row>
    <row r="55" spans="1:16" ht="18" x14ac:dyDescent="0.25">
      <c r="A55" s="73" t="s">
        <v>60</v>
      </c>
      <c r="B55" s="74">
        <v>4117701</v>
      </c>
      <c r="C55" s="97">
        <v>553</v>
      </c>
      <c r="D55" s="97">
        <v>2171</v>
      </c>
      <c r="E55" s="98">
        <v>0.25472132657761398</v>
      </c>
      <c r="F55" s="98">
        <v>60.853354020703541</v>
      </c>
      <c r="G55" s="97">
        <v>5174</v>
      </c>
      <c r="H55" s="97">
        <v>4569</v>
      </c>
      <c r="I55" s="98">
        <v>1.1324140949879624</v>
      </c>
      <c r="J55" s="98">
        <v>73.565481357364433</v>
      </c>
      <c r="K55" s="97">
        <v>5</v>
      </c>
      <c r="L55" s="97">
        <v>10</v>
      </c>
      <c r="M55" s="98">
        <v>0.5</v>
      </c>
      <c r="N55" s="98">
        <v>50</v>
      </c>
      <c r="O55" s="41">
        <f t="shared" si="0"/>
        <v>61.318047349692876</v>
      </c>
      <c r="P55" s="109">
        <f t="shared" si="1"/>
        <v>56.466209118200048</v>
      </c>
    </row>
    <row r="56" spans="1:16" ht="18" x14ac:dyDescent="0.25">
      <c r="A56" s="73" t="s">
        <v>72</v>
      </c>
      <c r="B56" s="74">
        <v>4110102</v>
      </c>
      <c r="C56" s="97">
        <v>528</v>
      </c>
      <c r="D56" s="97">
        <v>2192</v>
      </c>
      <c r="E56" s="98">
        <v>0.24087591240875914</v>
      </c>
      <c r="F56" s="98">
        <v>62.98117556665386</v>
      </c>
      <c r="G56" s="97">
        <v>4969</v>
      </c>
      <c r="H56" s="97">
        <v>4270</v>
      </c>
      <c r="I56" s="98">
        <v>1.1637002341920375</v>
      </c>
      <c r="J56" s="98">
        <v>71.437191868869135</v>
      </c>
      <c r="K56" s="97">
        <v>2</v>
      </c>
      <c r="L56" s="97">
        <v>8</v>
      </c>
      <c r="M56" s="98">
        <v>0.25</v>
      </c>
      <c r="N56" s="98">
        <v>75</v>
      </c>
      <c r="O56" s="41">
        <f t="shared" si="0"/>
        <v>68.099885750544217</v>
      </c>
      <c r="P56" s="109">
        <f t="shared" si="1"/>
        <v>67.893160850338916</v>
      </c>
    </row>
    <row r="57" spans="1:16" ht="18" x14ac:dyDescent="0.25">
      <c r="A57" s="73" t="s">
        <v>68</v>
      </c>
      <c r="B57" s="74">
        <v>4111258</v>
      </c>
      <c r="C57" s="97">
        <v>309</v>
      </c>
      <c r="D57" s="97">
        <v>2370</v>
      </c>
      <c r="E57" s="98">
        <v>0.13037974683544304</v>
      </c>
      <c r="F57" s="98">
        <v>79.962691538974013</v>
      </c>
      <c r="G57" s="97">
        <v>4818</v>
      </c>
      <c r="H57" s="97">
        <v>4940</v>
      </c>
      <c r="I57" s="98">
        <v>0.97530364372469636</v>
      </c>
      <c r="J57" s="98">
        <v>84.253170233747426</v>
      </c>
      <c r="K57" s="97">
        <v>2</v>
      </c>
      <c r="L57" s="97">
        <v>3</v>
      </c>
      <c r="M57" s="98">
        <v>0.66666666666666663</v>
      </c>
      <c r="N57" s="98">
        <v>33.333333333333336</v>
      </c>
      <c r="O57" s="41">
        <f t="shared" si="0"/>
        <v>69.377971661257192</v>
      </c>
      <c r="P57" s="109">
        <f t="shared" si="1"/>
        <v>70.046651563035724</v>
      </c>
    </row>
    <row r="58" spans="1:16" ht="18" x14ac:dyDescent="0.25">
      <c r="A58" s="73" t="s">
        <v>54</v>
      </c>
      <c r="B58" s="74">
        <v>4115705</v>
      </c>
      <c r="C58" s="97">
        <v>855</v>
      </c>
      <c r="D58" s="97">
        <v>2293</v>
      </c>
      <c r="E58" s="98">
        <v>0.37287396423898822</v>
      </c>
      <c r="F58" s="98">
        <v>42.695159180113393</v>
      </c>
      <c r="G58" s="97">
        <v>6828</v>
      </c>
      <c r="H58" s="97">
        <v>5331</v>
      </c>
      <c r="I58" s="98">
        <v>1.2808103545301068</v>
      </c>
      <c r="J58" s="98">
        <v>63.470589262962783</v>
      </c>
      <c r="K58" s="97">
        <v>3</v>
      </c>
      <c r="L58" s="97">
        <v>16</v>
      </c>
      <c r="M58" s="98">
        <v>0.1875</v>
      </c>
      <c r="N58" s="98">
        <v>81.25</v>
      </c>
      <c r="O58" s="41">
        <f t="shared" si="0"/>
        <v>57.527726905797394</v>
      </c>
      <c r="P58" s="109">
        <f t="shared" si="1"/>
        <v>50.079768421486335</v>
      </c>
    </row>
    <row r="59" spans="1:16" ht="18" x14ac:dyDescent="0.25">
      <c r="A59" s="73" t="s">
        <v>56</v>
      </c>
      <c r="B59" s="74">
        <v>4102000</v>
      </c>
      <c r="C59" s="97">
        <v>808</v>
      </c>
      <c r="D59" s="97">
        <v>2189</v>
      </c>
      <c r="E59" s="98">
        <v>0.36911831886706259</v>
      </c>
      <c r="F59" s="98">
        <v>43.272342574114596</v>
      </c>
      <c r="G59" s="97">
        <v>4985</v>
      </c>
      <c r="H59" s="97">
        <v>4462</v>
      </c>
      <c r="I59" s="98">
        <v>1.1172120125504259</v>
      </c>
      <c r="J59" s="98">
        <v>74.599627246827012</v>
      </c>
      <c r="K59" s="97">
        <v>4</v>
      </c>
      <c r="L59" s="97">
        <v>9</v>
      </c>
      <c r="M59" s="98">
        <v>0.44444444444444442</v>
      </c>
      <c r="N59" s="98">
        <v>55.555555555555557</v>
      </c>
      <c r="O59" s="41">
        <f t="shared" si="0"/>
        <v>54.174966987652937</v>
      </c>
      <c r="P59" s="109">
        <f t="shared" si="1"/>
        <v>44.430588436708582</v>
      </c>
    </row>
    <row r="60" spans="1:16" ht="18" x14ac:dyDescent="0.25">
      <c r="A60" s="73" t="s">
        <v>75</v>
      </c>
      <c r="B60" s="74">
        <v>4109708</v>
      </c>
      <c r="C60" s="97">
        <v>645</v>
      </c>
      <c r="D60" s="97">
        <v>1870</v>
      </c>
      <c r="E60" s="98">
        <v>0.34491978609625668</v>
      </c>
      <c r="F60" s="98">
        <v>46.991274978891084</v>
      </c>
      <c r="G60" s="97">
        <v>4269</v>
      </c>
      <c r="H60" s="97">
        <v>3740</v>
      </c>
      <c r="I60" s="98">
        <v>1.1414438502673796</v>
      </c>
      <c r="J60" s="98">
        <v>72.9512178613315</v>
      </c>
      <c r="K60" s="97">
        <v>3</v>
      </c>
      <c r="L60" s="97">
        <v>11</v>
      </c>
      <c r="M60" s="98">
        <v>0.27272727272727271</v>
      </c>
      <c r="N60" s="98">
        <v>72.727272727272734</v>
      </c>
      <c r="O60" s="41">
        <f t="shared" si="0"/>
        <v>59.915260136596601</v>
      </c>
      <c r="P60" s="109">
        <f t="shared" si="1"/>
        <v>54.102604911337714</v>
      </c>
    </row>
    <row r="61" spans="1:16" ht="18" x14ac:dyDescent="0.25">
      <c r="A61" s="73" t="s">
        <v>77</v>
      </c>
      <c r="B61" s="74">
        <v>4114302</v>
      </c>
      <c r="C61" s="97">
        <v>502</v>
      </c>
      <c r="D61" s="97">
        <v>1769</v>
      </c>
      <c r="E61" s="98">
        <v>0.283776144714528</v>
      </c>
      <c r="F61" s="98">
        <v>56.388087233346226</v>
      </c>
      <c r="G61" s="97">
        <v>4228</v>
      </c>
      <c r="H61" s="97">
        <v>3935</v>
      </c>
      <c r="I61" s="98">
        <v>1.0744599745870393</v>
      </c>
      <c r="J61" s="98">
        <v>77.50790277471242</v>
      </c>
      <c r="K61" s="97">
        <v>1</v>
      </c>
      <c r="L61" s="97">
        <v>6</v>
      </c>
      <c r="M61" s="98">
        <v>0.16666666666666666</v>
      </c>
      <c r="N61" s="98">
        <v>83.333333333333343</v>
      </c>
      <c r="O61" s="41">
        <f t="shared" si="0"/>
        <v>68.404352643684547</v>
      </c>
      <c r="P61" s="109">
        <f t="shared" si="1"/>
        <v>68.406167543555341</v>
      </c>
    </row>
    <row r="62" spans="1:16" ht="18" x14ac:dyDescent="0.25">
      <c r="A62" s="73" t="s">
        <v>74</v>
      </c>
      <c r="B62" s="74">
        <v>4125704</v>
      </c>
      <c r="C62" s="97">
        <v>747</v>
      </c>
      <c r="D62" s="97">
        <v>2022</v>
      </c>
      <c r="E62" s="98">
        <v>0.36943620178041542</v>
      </c>
      <c r="F62" s="98">
        <v>43.223488989536165</v>
      </c>
      <c r="G62" s="97">
        <v>4636</v>
      </c>
      <c r="H62" s="97">
        <v>3976</v>
      </c>
      <c r="I62" s="98">
        <v>1.1659959758551308</v>
      </c>
      <c r="J62" s="98">
        <v>71.281020382896017</v>
      </c>
      <c r="K62" s="97">
        <v>3</v>
      </c>
      <c r="L62" s="97">
        <v>9</v>
      </c>
      <c r="M62" s="98">
        <v>0.33333333333333331</v>
      </c>
      <c r="N62" s="98">
        <v>66.666666666666671</v>
      </c>
      <c r="O62" s="41">
        <f t="shared" si="0"/>
        <v>56.098666257158754</v>
      </c>
      <c r="P62" s="109">
        <f t="shared" si="1"/>
        <v>47.671895203474705</v>
      </c>
    </row>
    <row r="63" spans="1:16" ht="18" x14ac:dyDescent="0.25">
      <c r="A63" s="73" t="s">
        <v>80</v>
      </c>
      <c r="B63" s="74">
        <v>4123501</v>
      </c>
      <c r="C63" s="97">
        <v>865</v>
      </c>
      <c r="D63" s="97">
        <v>1692</v>
      </c>
      <c r="E63" s="98">
        <v>0.51122931442080377</v>
      </c>
      <c r="F63" s="98">
        <v>21.432126415329112</v>
      </c>
      <c r="G63" s="97">
        <v>4002</v>
      </c>
      <c r="H63" s="97">
        <v>3303</v>
      </c>
      <c r="I63" s="98">
        <v>1.2116257947320617</v>
      </c>
      <c r="J63" s="98">
        <v>68.176979221273001</v>
      </c>
      <c r="K63" s="97">
        <v>1</v>
      </c>
      <c r="L63" s="97">
        <v>9</v>
      </c>
      <c r="M63" s="98">
        <v>0.1111111111111111</v>
      </c>
      <c r="N63" s="98">
        <v>88.888888888888886</v>
      </c>
      <c r="O63" s="41">
        <f t="shared" si="0"/>
        <v>49.982530235205026</v>
      </c>
      <c r="P63" s="109">
        <f t="shared" si="1"/>
        <v>37.366608203228893</v>
      </c>
    </row>
    <row r="64" spans="1:16" ht="18" x14ac:dyDescent="0.25">
      <c r="A64" s="73" t="s">
        <v>47</v>
      </c>
      <c r="B64" s="74">
        <v>4113205</v>
      </c>
      <c r="C64" s="97">
        <v>589</v>
      </c>
      <c r="D64" s="97">
        <v>2543</v>
      </c>
      <c r="E64" s="98">
        <v>0.23161620133700353</v>
      </c>
      <c r="F64" s="98">
        <v>64.404246952418404</v>
      </c>
      <c r="G64" s="97">
        <v>6336</v>
      </c>
      <c r="H64" s="97">
        <v>5940</v>
      </c>
      <c r="I64" s="98">
        <v>1.0666666666666667</v>
      </c>
      <c r="J64" s="98">
        <v>78.038054968287526</v>
      </c>
      <c r="K64" s="97">
        <v>5</v>
      </c>
      <c r="L64" s="97">
        <v>13</v>
      </c>
      <c r="M64" s="98">
        <v>0.38461538461538464</v>
      </c>
      <c r="N64" s="98">
        <v>61.53846153846154</v>
      </c>
      <c r="O64" s="41">
        <f t="shared" si="0"/>
        <v>67.09625260289647</v>
      </c>
      <c r="P64" s="109">
        <f t="shared" si="1"/>
        <v>66.202104995409414</v>
      </c>
    </row>
    <row r="65" spans="1:16" ht="18" x14ac:dyDescent="0.25">
      <c r="A65" s="73" t="s">
        <v>85</v>
      </c>
      <c r="B65" s="74">
        <v>4117305</v>
      </c>
      <c r="C65" s="97">
        <v>321</v>
      </c>
      <c r="D65" s="97">
        <v>1733</v>
      </c>
      <c r="E65" s="98">
        <v>0.18522792844777841</v>
      </c>
      <c r="F65" s="98">
        <v>71.533392049078273</v>
      </c>
      <c r="G65" s="97">
        <v>3953</v>
      </c>
      <c r="H65" s="97">
        <v>3588</v>
      </c>
      <c r="I65" s="98">
        <v>1.1017279821627648</v>
      </c>
      <c r="J65" s="98">
        <v>75.652953095013117</v>
      </c>
      <c r="K65" s="97">
        <v>2</v>
      </c>
      <c r="L65" s="97">
        <v>6</v>
      </c>
      <c r="M65" s="98">
        <v>0.33333333333333331</v>
      </c>
      <c r="N65" s="98">
        <v>66.666666666666671</v>
      </c>
      <c r="O65" s="41">
        <f t="shared" si="0"/>
        <v>71.34660096495908</v>
      </c>
      <c r="P65" s="109">
        <f t="shared" si="1"/>
        <v>73.363662482825802</v>
      </c>
    </row>
    <row r="66" spans="1:16" ht="18" x14ac:dyDescent="0.25">
      <c r="A66" s="73" t="s">
        <v>76</v>
      </c>
      <c r="B66" s="74">
        <v>4108601</v>
      </c>
      <c r="C66" s="97">
        <v>632</v>
      </c>
      <c r="D66" s="97">
        <v>1670</v>
      </c>
      <c r="E66" s="98">
        <v>0.3784431137724551</v>
      </c>
      <c r="F66" s="98">
        <v>41.839268830759536</v>
      </c>
      <c r="G66" s="97">
        <v>3961</v>
      </c>
      <c r="H66" s="97">
        <v>3542</v>
      </c>
      <c r="I66" s="98">
        <v>1.1182947487295314</v>
      </c>
      <c r="J66" s="98">
        <v>74.525972392395389</v>
      </c>
      <c r="K66" s="97">
        <v>6</v>
      </c>
      <c r="L66" s="97">
        <v>13</v>
      </c>
      <c r="M66" s="98">
        <v>0.46153846153846156</v>
      </c>
      <c r="N66" s="98">
        <v>53.846153846153847</v>
      </c>
      <c r="O66" s="41">
        <f t="shared" si="0"/>
        <v>53.012665975017079</v>
      </c>
      <c r="P66" s="109">
        <f t="shared" si="1"/>
        <v>42.472187663263604</v>
      </c>
    </row>
    <row r="67" spans="1:16" ht="18" x14ac:dyDescent="0.25">
      <c r="A67" s="73" t="s">
        <v>46</v>
      </c>
      <c r="B67" s="74">
        <v>4106407</v>
      </c>
      <c r="C67" s="97">
        <v>669</v>
      </c>
      <c r="D67" s="97">
        <v>2269</v>
      </c>
      <c r="E67" s="98">
        <v>0.29484354341119434</v>
      </c>
      <c r="F67" s="98">
        <v>54.687202802069081</v>
      </c>
      <c r="G67" s="97">
        <v>5581</v>
      </c>
      <c r="H67" s="97">
        <v>4995</v>
      </c>
      <c r="I67" s="98">
        <v>1.1173173173173174</v>
      </c>
      <c r="J67" s="98">
        <v>74.592463722206688</v>
      </c>
      <c r="K67" s="97">
        <v>6</v>
      </c>
      <c r="L67" s="97">
        <v>17</v>
      </c>
      <c r="M67" s="98">
        <v>0.35294117647058826</v>
      </c>
      <c r="N67" s="98">
        <v>64.705882352941174</v>
      </c>
      <c r="O67" s="41">
        <f t="shared" ref="O67:O130" si="2">(2*F67+J67+N67)/4</f>
        <v>62.168187919821506</v>
      </c>
      <c r="P67" s="109">
        <f t="shared" ref="P67:P130" si="3">(O67-O$402)/(O$403-O$402)*100</f>
        <v>57.898640073672738</v>
      </c>
    </row>
    <row r="68" spans="1:16" ht="18" x14ac:dyDescent="0.25">
      <c r="A68" s="73" t="s">
        <v>71</v>
      </c>
      <c r="B68" s="74">
        <v>4104253</v>
      </c>
      <c r="C68" s="97">
        <v>448</v>
      </c>
      <c r="D68" s="97">
        <v>1911</v>
      </c>
      <c r="E68" s="98">
        <v>0.23443223443223443</v>
      </c>
      <c r="F68" s="98">
        <v>63.971467129361869</v>
      </c>
      <c r="G68" s="97">
        <v>4096</v>
      </c>
      <c r="H68" s="97">
        <v>4234</v>
      </c>
      <c r="I68" s="98">
        <v>0.96740670760510161</v>
      </c>
      <c r="J68" s="98">
        <v>84.790371900754764</v>
      </c>
      <c r="K68" s="97">
        <v>0</v>
      </c>
      <c r="L68" s="97">
        <v>4</v>
      </c>
      <c r="M68" s="98">
        <v>0</v>
      </c>
      <c r="N68" s="98">
        <v>100</v>
      </c>
      <c r="O68" s="41">
        <f t="shared" si="2"/>
        <v>78.183326539869626</v>
      </c>
      <c r="P68" s="109">
        <f t="shared" si="3"/>
        <v>84.883095493877107</v>
      </c>
    </row>
    <row r="69" spans="1:16" ht="18" x14ac:dyDescent="0.25">
      <c r="A69" s="73" t="s">
        <v>58</v>
      </c>
      <c r="B69" s="74">
        <v>4112009</v>
      </c>
      <c r="C69" s="97">
        <v>400</v>
      </c>
      <c r="D69" s="97">
        <v>2498</v>
      </c>
      <c r="E69" s="98">
        <v>0.16012810248198558</v>
      </c>
      <c r="F69" s="98">
        <v>75.390838986979062</v>
      </c>
      <c r="G69" s="97">
        <v>5447</v>
      </c>
      <c r="H69" s="97">
        <v>5259</v>
      </c>
      <c r="I69" s="98">
        <v>1.0357482411104773</v>
      </c>
      <c r="J69" s="98">
        <v>80.141330149761231</v>
      </c>
      <c r="K69" s="97">
        <v>4</v>
      </c>
      <c r="L69" s="97">
        <v>10</v>
      </c>
      <c r="M69" s="98">
        <v>0.4</v>
      </c>
      <c r="N69" s="98">
        <v>60</v>
      </c>
      <c r="O69" s="41">
        <f t="shared" si="2"/>
        <v>72.730752030929835</v>
      </c>
      <c r="P69" s="109">
        <f t="shared" si="3"/>
        <v>75.695866007293588</v>
      </c>
    </row>
    <row r="70" spans="1:16" ht="18" x14ac:dyDescent="0.25">
      <c r="A70" s="73" t="s">
        <v>61</v>
      </c>
      <c r="B70" s="74">
        <v>4119608</v>
      </c>
      <c r="C70" s="97">
        <v>573</v>
      </c>
      <c r="D70" s="97">
        <v>2220</v>
      </c>
      <c r="E70" s="98">
        <v>0.25810810810810808</v>
      </c>
      <c r="F70" s="98">
        <v>60.332859174964447</v>
      </c>
      <c r="G70" s="97">
        <v>5028</v>
      </c>
      <c r="H70" s="97">
        <v>4506</v>
      </c>
      <c r="I70" s="98">
        <v>1.1158455392809588</v>
      </c>
      <c r="J70" s="98">
        <v>74.692583769098647</v>
      </c>
      <c r="K70" s="97">
        <v>2</v>
      </c>
      <c r="L70" s="97">
        <v>8</v>
      </c>
      <c r="M70" s="98">
        <v>0.25</v>
      </c>
      <c r="N70" s="98">
        <v>75</v>
      </c>
      <c r="O70" s="41">
        <f t="shared" si="2"/>
        <v>67.589575529756885</v>
      </c>
      <c r="P70" s="109">
        <f t="shared" si="3"/>
        <v>67.033321686282463</v>
      </c>
    </row>
    <row r="71" spans="1:16" ht="18" x14ac:dyDescent="0.25">
      <c r="A71" s="73" t="s">
        <v>66</v>
      </c>
      <c r="B71" s="74">
        <v>4122305</v>
      </c>
      <c r="C71" s="97">
        <v>644</v>
      </c>
      <c r="D71" s="97">
        <v>1930</v>
      </c>
      <c r="E71" s="98">
        <v>0.33367875647668394</v>
      </c>
      <c r="F71" s="98">
        <v>48.718843741478054</v>
      </c>
      <c r="G71" s="97">
        <v>4839</v>
      </c>
      <c r="H71" s="97">
        <v>4112</v>
      </c>
      <c r="I71" s="98">
        <v>1.1767996108949417</v>
      </c>
      <c r="J71" s="98">
        <v>70.546085888652826</v>
      </c>
      <c r="K71" s="97">
        <v>3</v>
      </c>
      <c r="L71" s="97">
        <v>10</v>
      </c>
      <c r="M71" s="98">
        <v>0.3</v>
      </c>
      <c r="N71" s="98">
        <v>70</v>
      </c>
      <c r="O71" s="41">
        <f t="shared" si="2"/>
        <v>59.495943342902237</v>
      </c>
      <c r="P71" s="109">
        <f t="shared" si="3"/>
        <v>53.396083688210481</v>
      </c>
    </row>
    <row r="72" spans="1:16" ht="18" x14ac:dyDescent="0.25">
      <c r="A72" s="73" t="s">
        <v>67</v>
      </c>
      <c r="B72" s="74">
        <v>4102406</v>
      </c>
      <c r="C72" s="97">
        <v>629</v>
      </c>
      <c r="D72" s="97">
        <v>1828</v>
      </c>
      <c r="E72" s="98">
        <v>0.3440919037199125</v>
      </c>
      <c r="F72" s="98">
        <v>47.118507428308185</v>
      </c>
      <c r="G72" s="97">
        <v>4431</v>
      </c>
      <c r="H72" s="97">
        <v>3861</v>
      </c>
      <c r="I72" s="98">
        <v>1.1476301476301476</v>
      </c>
      <c r="J72" s="98">
        <v>72.530385122462576</v>
      </c>
      <c r="K72" s="97">
        <v>5</v>
      </c>
      <c r="L72" s="97">
        <v>13</v>
      </c>
      <c r="M72" s="98">
        <v>0.38461538461538464</v>
      </c>
      <c r="N72" s="98">
        <v>61.53846153846154</v>
      </c>
      <c r="O72" s="41">
        <f t="shared" si="2"/>
        <v>57.076465379385127</v>
      </c>
      <c r="P72" s="109">
        <f t="shared" si="3"/>
        <v>49.319422424413183</v>
      </c>
    </row>
    <row r="73" spans="1:16" ht="18" x14ac:dyDescent="0.25">
      <c r="A73" s="73" t="s">
        <v>62</v>
      </c>
      <c r="B73" s="74">
        <v>4111506</v>
      </c>
      <c r="C73" s="97">
        <v>664</v>
      </c>
      <c r="D73" s="97">
        <v>1748</v>
      </c>
      <c r="E73" s="98">
        <v>0.37986270022883295</v>
      </c>
      <c r="F73" s="98">
        <v>41.621100806937257</v>
      </c>
      <c r="G73" s="97">
        <v>4585</v>
      </c>
      <c r="H73" s="97">
        <v>3943</v>
      </c>
      <c r="I73" s="98">
        <v>1.1628201876743596</v>
      </c>
      <c r="J73" s="98">
        <v>71.497058436001097</v>
      </c>
      <c r="K73" s="97">
        <v>5</v>
      </c>
      <c r="L73" s="97">
        <v>16</v>
      </c>
      <c r="M73" s="98">
        <v>0.3125</v>
      </c>
      <c r="N73" s="98">
        <v>68.75</v>
      </c>
      <c r="O73" s="41">
        <f t="shared" si="2"/>
        <v>55.872315012468903</v>
      </c>
      <c r="P73" s="109">
        <f t="shared" si="3"/>
        <v>47.29050824101688</v>
      </c>
    </row>
    <row r="74" spans="1:16" ht="18" x14ac:dyDescent="0.25">
      <c r="A74" s="73" t="s">
        <v>70</v>
      </c>
      <c r="B74" s="74">
        <v>4119954</v>
      </c>
      <c r="C74" s="97">
        <v>602</v>
      </c>
      <c r="D74" s="97">
        <v>1760</v>
      </c>
      <c r="E74" s="98">
        <v>0.34204545454545454</v>
      </c>
      <c r="F74" s="98">
        <v>47.433014354066991</v>
      </c>
      <c r="G74" s="97">
        <v>5041</v>
      </c>
      <c r="H74" s="97">
        <v>3873</v>
      </c>
      <c r="I74" s="98">
        <v>1.3015750064549445</v>
      </c>
      <c r="J74" s="98">
        <v>62.058040717562854</v>
      </c>
      <c r="K74" s="97">
        <v>2</v>
      </c>
      <c r="L74" s="97">
        <v>14</v>
      </c>
      <c r="M74" s="98">
        <v>0.14285714285714285</v>
      </c>
      <c r="N74" s="98">
        <v>85.714285714285722</v>
      </c>
      <c r="O74" s="41">
        <f t="shared" si="2"/>
        <v>60.659588784995641</v>
      </c>
      <c r="P74" s="109">
        <f t="shared" si="3"/>
        <v>55.356749736881817</v>
      </c>
    </row>
    <row r="75" spans="1:16" ht="18" x14ac:dyDescent="0.25">
      <c r="A75" s="73" t="s">
        <v>83</v>
      </c>
      <c r="B75" s="74">
        <v>4121703</v>
      </c>
      <c r="C75" s="97">
        <v>386</v>
      </c>
      <c r="D75" s="97">
        <v>1719</v>
      </c>
      <c r="E75" s="98">
        <v>0.22454915648632925</v>
      </c>
      <c r="F75" s="98">
        <v>65.490340161048351</v>
      </c>
      <c r="G75" s="97">
        <v>4025</v>
      </c>
      <c r="H75" s="97">
        <v>3505</v>
      </c>
      <c r="I75" s="98">
        <v>1.1483594864479316</v>
      </c>
      <c r="J75" s="98">
        <v>72.480770686839307</v>
      </c>
      <c r="K75" s="97">
        <v>2</v>
      </c>
      <c r="L75" s="97">
        <v>7</v>
      </c>
      <c r="M75" s="98">
        <v>0.2857142857142857</v>
      </c>
      <c r="N75" s="98">
        <v>71.428571428571431</v>
      </c>
      <c r="O75" s="41">
        <f t="shared" si="2"/>
        <v>68.722505609376867</v>
      </c>
      <c r="P75" s="109">
        <f t="shared" si="3"/>
        <v>68.942234369026522</v>
      </c>
    </row>
    <row r="76" spans="1:16" ht="18" x14ac:dyDescent="0.25">
      <c r="A76" s="73" t="s">
        <v>92</v>
      </c>
      <c r="B76" s="74">
        <v>4113502</v>
      </c>
      <c r="C76" s="97">
        <v>681</v>
      </c>
      <c r="D76" s="97">
        <v>1489</v>
      </c>
      <c r="E76" s="98">
        <v>0.45735392881128273</v>
      </c>
      <c r="F76" s="98">
        <v>29.711922519529189</v>
      </c>
      <c r="G76" s="97">
        <v>3566</v>
      </c>
      <c r="H76" s="97">
        <v>3152</v>
      </c>
      <c r="I76" s="98">
        <v>1.1313451776649746</v>
      </c>
      <c r="J76" s="98">
        <v>73.63819616208184</v>
      </c>
      <c r="K76" s="97">
        <v>4</v>
      </c>
      <c r="L76" s="97">
        <v>10</v>
      </c>
      <c r="M76" s="98">
        <v>0.4</v>
      </c>
      <c r="N76" s="98">
        <v>60</v>
      </c>
      <c r="O76" s="41">
        <f t="shared" si="2"/>
        <v>48.265510300285058</v>
      </c>
      <c r="P76" s="109">
        <f t="shared" si="3"/>
        <v>34.47354252401901</v>
      </c>
    </row>
    <row r="77" spans="1:16" ht="18" x14ac:dyDescent="0.25">
      <c r="A77" s="73" t="s">
        <v>82</v>
      </c>
      <c r="B77" s="74">
        <v>4128005</v>
      </c>
      <c r="C77" s="97">
        <v>611</v>
      </c>
      <c r="D77" s="97">
        <v>1545</v>
      </c>
      <c r="E77" s="98">
        <v>0.39546925566343044</v>
      </c>
      <c r="F77" s="98">
        <v>39.222619655935958</v>
      </c>
      <c r="G77" s="97">
        <v>3488</v>
      </c>
      <c r="H77" s="97">
        <v>3176</v>
      </c>
      <c r="I77" s="98">
        <v>1.0982367758186398</v>
      </c>
      <c r="J77" s="98">
        <v>75.890447971447145</v>
      </c>
      <c r="K77" s="97">
        <v>3</v>
      </c>
      <c r="L77" s="97">
        <v>10</v>
      </c>
      <c r="M77" s="98">
        <v>0.3</v>
      </c>
      <c r="N77" s="98">
        <v>70</v>
      </c>
      <c r="O77" s="41">
        <f t="shared" si="2"/>
        <v>56.083921820829765</v>
      </c>
      <c r="P77" s="109">
        <f t="shared" si="3"/>
        <v>47.647051797853621</v>
      </c>
    </row>
    <row r="78" spans="1:16" ht="18" x14ac:dyDescent="0.25">
      <c r="A78" s="73" t="s">
        <v>81</v>
      </c>
      <c r="B78" s="74">
        <v>4102109</v>
      </c>
      <c r="C78" s="97">
        <v>573</v>
      </c>
      <c r="D78" s="97">
        <v>1524</v>
      </c>
      <c r="E78" s="98">
        <v>0.37598425196850394</v>
      </c>
      <c r="F78" s="98">
        <v>42.217157065893083</v>
      </c>
      <c r="G78" s="97">
        <v>3462</v>
      </c>
      <c r="H78" s="97">
        <v>3177</v>
      </c>
      <c r="I78" s="98">
        <v>1.0897072710103872</v>
      </c>
      <c r="J78" s="98">
        <v>76.470681131795331</v>
      </c>
      <c r="K78" s="97">
        <v>3</v>
      </c>
      <c r="L78" s="97">
        <v>10</v>
      </c>
      <c r="M78" s="98">
        <v>0.3</v>
      </c>
      <c r="N78" s="98">
        <v>70</v>
      </c>
      <c r="O78" s="41">
        <f t="shared" si="2"/>
        <v>57.726248815895374</v>
      </c>
      <c r="P78" s="109">
        <f t="shared" si="3"/>
        <v>50.414264785212261</v>
      </c>
    </row>
    <row r="79" spans="1:16" ht="18" x14ac:dyDescent="0.25">
      <c r="A79" s="73" t="s">
        <v>88</v>
      </c>
      <c r="B79" s="74">
        <v>4124400</v>
      </c>
      <c r="C79" s="97">
        <v>499</v>
      </c>
      <c r="D79" s="97">
        <v>1609</v>
      </c>
      <c r="E79" s="98">
        <v>0.31013051584835299</v>
      </c>
      <c r="F79" s="98">
        <v>52.337836511726806</v>
      </c>
      <c r="G79" s="97">
        <v>2809</v>
      </c>
      <c r="H79" s="97">
        <v>3219</v>
      </c>
      <c r="I79" s="98">
        <v>0.87263125194159674</v>
      </c>
      <c r="J79" s="98">
        <v>91.237623341409275</v>
      </c>
      <c r="K79" s="97">
        <v>2</v>
      </c>
      <c r="L79" s="97">
        <v>8</v>
      </c>
      <c r="M79" s="98">
        <v>0.25</v>
      </c>
      <c r="N79" s="98">
        <v>75</v>
      </c>
      <c r="O79" s="41">
        <f t="shared" si="2"/>
        <v>67.728324091215725</v>
      </c>
      <c r="P79" s="109">
        <f t="shared" si="3"/>
        <v>67.267103888243355</v>
      </c>
    </row>
    <row r="80" spans="1:16" ht="18" x14ac:dyDescent="0.25">
      <c r="A80" s="73" t="s">
        <v>105</v>
      </c>
      <c r="B80" s="74">
        <v>4103453</v>
      </c>
      <c r="C80" s="97">
        <v>587</v>
      </c>
      <c r="D80" s="97">
        <v>1409</v>
      </c>
      <c r="E80" s="98">
        <v>0.41660752306600424</v>
      </c>
      <c r="F80" s="98">
        <v>35.97400171827725</v>
      </c>
      <c r="G80" s="97">
        <v>2990</v>
      </c>
      <c r="H80" s="97">
        <v>2569</v>
      </c>
      <c r="I80" s="98">
        <v>1.1638769949396652</v>
      </c>
      <c r="J80" s="98">
        <v>71.425167437260598</v>
      </c>
      <c r="K80" s="97">
        <v>1</v>
      </c>
      <c r="L80" s="97">
        <v>3</v>
      </c>
      <c r="M80" s="98">
        <v>0.33333333333333331</v>
      </c>
      <c r="N80" s="98">
        <v>66.666666666666671</v>
      </c>
      <c r="O80" s="41">
        <f t="shared" si="2"/>
        <v>52.509959385120439</v>
      </c>
      <c r="P80" s="109">
        <f t="shared" si="3"/>
        <v>41.625160117243645</v>
      </c>
    </row>
    <row r="81" spans="1:16" ht="18" x14ac:dyDescent="0.25">
      <c r="A81" s="73" t="s">
        <v>95</v>
      </c>
      <c r="B81" s="74">
        <v>4126603</v>
      </c>
      <c r="C81" s="97">
        <v>557</v>
      </c>
      <c r="D81" s="97">
        <v>1450</v>
      </c>
      <c r="E81" s="98">
        <v>0.38413793103448274</v>
      </c>
      <c r="F81" s="98">
        <v>40.964065335753183</v>
      </c>
      <c r="G81" s="97">
        <v>3302</v>
      </c>
      <c r="H81" s="97">
        <v>2922</v>
      </c>
      <c r="I81" s="98">
        <v>1.1300479123887748</v>
      </c>
      <c r="J81" s="98">
        <v>73.726444700296042</v>
      </c>
      <c r="K81" s="97">
        <v>1</v>
      </c>
      <c r="L81" s="97">
        <v>7</v>
      </c>
      <c r="M81" s="98">
        <v>0.14285714285714285</v>
      </c>
      <c r="N81" s="98">
        <v>85.714285714285722</v>
      </c>
      <c r="O81" s="41">
        <f t="shared" si="2"/>
        <v>60.342215271522036</v>
      </c>
      <c r="P81" s="109">
        <f t="shared" si="3"/>
        <v>54.821996237142436</v>
      </c>
    </row>
    <row r="82" spans="1:16" ht="18" x14ac:dyDescent="0.25">
      <c r="A82" s="73" t="s">
        <v>86</v>
      </c>
      <c r="B82" s="74">
        <v>4120804</v>
      </c>
      <c r="C82" s="97">
        <v>482</v>
      </c>
      <c r="D82" s="97">
        <v>1474</v>
      </c>
      <c r="E82" s="98">
        <v>0.32700135685210313</v>
      </c>
      <c r="F82" s="98">
        <v>49.745054631150474</v>
      </c>
      <c r="G82" s="97">
        <v>3877</v>
      </c>
      <c r="H82" s="97">
        <v>3525</v>
      </c>
      <c r="I82" s="98">
        <v>1.0998581560283689</v>
      </c>
      <c r="J82" s="98">
        <v>75.78015099825042</v>
      </c>
      <c r="K82" s="97">
        <v>2</v>
      </c>
      <c r="L82" s="97">
        <v>11</v>
      </c>
      <c r="M82" s="98">
        <v>0.18181818181818182</v>
      </c>
      <c r="N82" s="98">
        <v>81.818181818181813</v>
      </c>
      <c r="O82" s="41">
        <f t="shared" si="2"/>
        <v>64.272110519683295</v>
      </c>
      <c r="P82" s="109">
        <f t="shared" si="3"/>
        <v>61.443611300613036</v>
      </c>
    </row>
    <row r="83" spans="1:16" ht="18" x14ac:dyDescent="0.25">
      <c r="A83" s="73" t="s">
        <v>154</v>
      </c>
      <c r="B83" s="74">
        <v>4102307</v>
      </c>
      <c r="C83" s="97">
        <v>243</v>
      </c>
      <c r="D83" s="97">
        <v>832</v>
      </c>
      <c r="E83" s="98">
        <v>0.29206730769230771</v>
      </c>
      <c r="F83" s="98">
        <v>55.113866396761132</v>
      </c>
      <c r="G83" s="97">
        <v>2314</v>
      </c>
      <c r="H83" s="97">
        <v>1914</v>
      </c>
      <c r="I83" s="98">
        <v>1.2089864158829675</v>
      </c>
      <c r="J83" s="98">
        <v>68.356527174570871</v>
      </c>
      <c r="K83" s="97">
        <v>1</v>
      </c>
      <c r="L83" s="97">
        <v>6</v>
      </c>
      <c r="M83" s="98">
        <v>0.16666666666666666</v>
      </c>
      <c r="N83" s="98">
        <v>83.333333333333343</v>
      </c>
      <c r="O83" s="41">
        <f t="shared" si="2"/>
        <v>65.479398325356613</v>
      </c>
      <c r="P83" s="109">
        <f t="shared" si="3"/>
        <v>63.47781186199726</v>
      </c>
    </row>
    <row r="84" spans="1:16" ht="18" x14ac:dyDescent="0.25">
      <c r="A84" s="73" t="s">
        <v>98</v>
      </c>
      <c r="B84" s="74">
        <v>4104501</v>
      </c>
      <c r="C84" s="97">
        <v>590</v>
      </c>
      <c r="D84" s="97">
        <v>1293</v>
      </c>
      <c r="E84" s="98">
        <v>0.45630317092034028</v>
      </c>
      <c r="F84" s="98">
        <v>29.873407416452974</v>
      </c>
      <c r="G84" s="97">
        <v>2567</v>
      </c>
      <c r="H84" s="97">
        <v>2464</v>
      </c>
      <c r="I84" s="98">
        <v>1.041801948051948</v>
      </c>
      <c r="J84" s="98">
        <v>79.72951708564608</v>
      </c>
      <c r="K84" s="97">
        <v>2</v>
      </c>
      <c r="L84" s="97">
        <v>7</v>
      </c>
      <c r="M84" s="98">
        <v>0.2857142857142857</v>
      </c>
      <c r="N84" s="98">
        <v>71.428571428571431</v>
      </c>
      <c r="O84" s="41">
        <f t="shared" si="2"/>
        <v>52.72622583678087</v>
      </c>
      <c r="P84" s="109">
        <f t="shared" si="3"/>
        <v>41.989554866622292</v>
      </c>
    </row>
    <row r="85" spans="1:16" ht="18" x14ac:dyDescent="0.25">
      <c r="A85" s="73" t="s">
        <v>107</v>
      </c>
      <c r="B85" s="74">
        <v>4115606</v>
      </c>
      <c r="C85" s="97">
        <v>602</v>
      </c>
      <c r="D85" s="97">
        <v>1364</v>
      </c>
      <c r="E85" s="98">
        <v>0.44134897360703812</v>
      </c>
      <c r="F85" s="98">
        <v>32.171631424602573</v>
      </c>
      <c r="G85" s="97">
        <v>2995</v>
      </c>
      <c r="H85" s="97">
        <v>2526</v>
      </c>
      <c r="I85" s="98">
        <v>1.1856690419635787</v>
      </c>
      <c r="J85" s="98">
        <v>69.94272870261004</v>
      </c>
      <c r="K85" s="97">
        <v>2</v>
      </c>
      <c r="L85" s="97">
        <v>8</v>
      </c>
      <c r="M85" s="98">
        <v>0.25</v>
      </c>
      <c r="N85" s="98">
        <v>75</v>
      </c>
      <c r="O85" s="41">
        <f t="shared" si="2"/>
        <v>52.321497887953797</v>
      </c>
      <c r="P85" s="109">
        <f t="shared" si="3"/>
        <v>41.307614887734857</v>
      </c>
    </row>
    <row r="86" spans="1:16" ht="18" x14ac:dyDescent="0.25">
      <c r="A86" s="73" t="s">
        <v>97</v>
      </c>
      <c r="B86" s="74">
        <v>4105409</v>
      </c>
      <c r="C86" s="97">
        <v>503</v>
      </c>
      <c r="D86" s="97">
        <v>1435</v>
      </c>
      <c r="E86" s="98">
        <v>0.35052264808362371</v>
      </c>
      <c r="F86" s="98">
        <v>46.130203557674676</v>
      </c>
      <c r="G86" s="97">
        <v>3071</v>
      </c>
      <c r="H86" s="97">
        <v>2775</v>
      </c>
      <c r="I86" s="98">
        <v>1.1066666666666667</v>
      </c>
      <c r="J86" s="98">
        <v>75.316991209524858</v>
      </c>
      <c r="K86" s="97">
        <v>3</v>
      </c>
      <c r="L86" s="97">
        <v>8</v>
      </c>
      <c r="M86" s="98">
        <v>0.375</v>
      </c>
      <c r="N86" s="98">
        <v>62.5</v>
      </c>
      <c r="O86" s="41">
        <f t="shared" si="2"/>
        <v>57.519349581218549</v>
      </c>
      <c r="P86" s="109">
        <f t="shared" si="3"/>
        <v>50.065653180463357</v>
      </c>
    </row>
    <row r="87" spans="1:16" ht="18" x14ac:dyDescent="0.25">
      <c r="A87" s="73" t="s">
        <v>79</v>
      </c>
      <c r="B87" s="74">
        <v>4101606</v>
      </c>
      <c r="C87" s="97">
        <v>320</v>
      </c>
      <c r="D87" s="97">
        <v>1801</v>
      </c>
      <c r="E87" s="98">
        <v>0.17767906718489729</v>
      </c>
      <c r="F87" s="98">
        <v>72.693532832636848</v>
      </c>
      <c r="G87" s="97">
        <v>4212</v>
      </c>
      <c r="H87" s="97">
        <v>3737</v>
      </c>
      <c r="I87" s="98">
        <v>1.127107305325127</v>
      </c>
      <c r="J87" s="98">
        <v>73.926484183037374</v>
      </c>
      <c r="K87" s="97">
        <v>6</v>
      </c>
      <c r="L87" s="97">
        <v>10</v>
      </c>
      <c r="M87" s="98">
        <v>0.6</v>
      </c>
      <c r="N87" s="98">
        <v>40</v>
      </c>
      <c r="O87" s="41">
        <f t="shared" si="2"/>
        <v>64.828387462077771</v>
      </c>
      <c r="P87" s="109">
        <f t="shared" si="3"/>
        <v>62.380901367808605</v>
      </c>
    </row>
    <row r="88" spans="1:16" ht="18" x14ac:dyDescent="0.25">
      <c r="A88" s="73" t="s">
        <v>87</v>
      </c>
      <c r="B88" s="74">
        <v>4106605</v>
      </c>
      <c r="C88" s="97">
        <v>515</v>
      </c>
      <c r="D88" s="97">
        <v>1361</v>
      </c>
      <c r="E88" s="98">
        <v>0.37839823659074212</v>
      </c>
      <c r="F88" s="98">
        <v>41.846165745001741</v>
      </c>
      <c r="G88" s="97">
        <v>3076</v>
      </c>
      <c r="H88" s="97">
        <v>2879</v>
      </c>
      <c r="I88" s="98">
        <v>1.0684265369920112</v>
      </c>
      <c r="J88" s="98">
        <v>77.918336984227111</v>
      </c>
      <c r="K88" s="97">
        <v>4</v>
      </c>
      <c r="L88" s="97">
        <v>8</v>
      </c>
      <c r="M88" s="98">
        <v>0.5</v>
      </c>
      <c r="N88" s="98">
        <v>50</v>
      </c>
      <c r="O88" s="41">
        <f t="shared" si="2"/>
        <v>52.902667118557645</v>
      </c>
      <c r="P88" s="109">
        <f t="shared" si="3"/>
        <v>42.286846823647814</v>
      </c>
    </row>
    <row r="89" spans="1:16" ht="18" x14ac:dyDescent="0.25">
      <c r="A89" s="73" t="s">
        <v>99</v>
      </c>
      <c r="B89" s="74">
        <v>4127502</v>
      </c>
      <c r="C89" s="97">
        <v>316</v>
      </c>
      <c r="D89" s="97">
        <v>1432</v>
      </c>
      <c r="E89" s="98">
        <v>0.2206703910614525</v>
      </c>
      <c r="F89" s="98">
        <v>66.086445163187307</v>
      </c>
      <c r="G89" s="97">
        <v>3360</v>
      </c>
      <c r="H89" s="97">
        <v>3019</v>
      </c>
      <c r="I89" s="98">
        <v>1.1129513083802585</v>
      </c>
      <c r="J89" s="98">
        <v>74.889468439433301</v>
      </c>
      <c r="K89" s="97">
        <v>2</v>
      </c>
      <c r="L89" s="97">
        <v>6</v>
      </c>
      <c r="M89" s="98">
        <v>0.33333333333333331</v>
      </c>
      <c r="N89" s="98">
        <v>66.666666666666671</v>
      </c>
      <c r="O89" s="41">
        <f t="shared" si="2"/>
        <v>68.43225635811865</v>
      </c>
      <c r="P89" s="109">
        <f t="shared" si="3"/>
        <v>68.453183467430179</v>
      </c>
    </row>
    <row r="90" spans="1:16" ht="18" x14ac:dyDescent="0.25">
      <c r="A90" s="73" t="s">
        <v>114</v>
      </c>
      <c r="B90" s="74">
        <v>4106308</v>
      </c>
      <c r="C90" s="97">
        <v>538</v>
      </c>
      <c r="D90" s="97">
        <v>1114</v>
      </c>
      <c r="E90" s="98">
        <v>0.48294434470377018</v>
      </c>
      <c r="F90" s="98">
        <v>25.779079656052168</v>
      </c>
      <c r="G90" s="97">
        <v>2474</v>
      </c>
      <c r="H90" s="97">
        <v>2303</v>
      </c>
      <c r="I90" s="98">
        <v>1.0742509769865394</v>
      </c>
      <c r="J90" s="98">
        <v>77.522120169622141</v>
      </c>
      <c r="K90" s="97">
        <v>1</v>
      </c>
      <c r="L90" s="97">
        <v>6</v>
      </c>
      <c r="M90" s="98">
        <v>0.16666666666666666</v>
      </c>
      <c r="N90" s="98">
        <v>83.333333333333343</v>
      </c>
      <c r="O90" s="41">
        <f t="shared" si="2"/>
        <v>53.103403203764955</v>
      </c>
      <c r="P90" s="109">
        <f t="shared" si="3"/>
        <v>42.625073926828932</v>
      </c>
    </row>
    <row r="91" spans="1:16" ht="18" x14ac:dyDescent="0.25">
      <c r="A91" s="73" t="s">
        <v>78</v>
      </c>
      <c r="B91" s="74">
        <v>4116901</v>
      </c>
      <c r="C91" s="97">
        <v>489</v>
      </c>
      <c r="D91" s="97">
        <v>1528</v>
      </c>
      <c r="E91" s="98">
        <v>0.32002617801047123</v>
      </c>
      <c r="F91" s="98">
        <v>50.817029484706531</v>
      </c>
      <c r="G91" s="97">
        <v>3619</v>
      </c>
      <c r="H91" s="97">
        <v>3193</v>
      </c>
      <c r="I91" s="98">
        <v>1.1334168493579706</v>
      </c>
      <c r="J91" s="98">
        <v>73.497267392985194</v>
      </c>
      <c r="K91" s="97">
        <v>4</v>
      </c>
      <c r="L91" s="97">
        <v>11</v>
      </c>
      <c r="M91" s="98">
        <v>0.36363636363636365</v>
      </c>
      <c r="N91" s="98">
        <v>63.636363636363633</v>
      </c>
      <c r="O91" s="41">
        <f t="shared" si="2"/>
        <v>59.69192249969047</v>
      </c>
      <c r="P91" s="109">
        <f t="shared" si="3"/>
        <v>53.726295679820801</v>
      </c>
    </row>
    <row r="92" spans="1:16" ht="18" x14ac:dyDescent="0.25">
      <c r="A92" s="73" t="s">
        <v>84</v>
      </c>
      <c r="B92" s="74">
        <v>4124053</v>
      </c>
      <c r="C92" s="97">
        <v>506</v>
      </c>
      <c r="D92" s="97">
        <v>1549</v>
      </c>
      <c r="E92" s="98">
        <v>0.32666236281471916</v>
      </c>
      <c r="F92" s="98">
        <v>49.797152662158958</v>
      </c>
      <c r="G92" s="97">
        <v>3443</v>
      </c>
      <c r="H92" s="97">
        <v>3229</v>
      </c>
      <c r="I92" s="98">
        <v>1.0662743883555281</v>
      </c>
      <c r="J92" s="98">
        <v>78.064740325682223</v>
      </c>
      <c r="K92" s="97">
        <v>2</v>
      </c>
      <c r="L92" s="97">
        <v>6</v>
      </c>
      <c r="M92" s="98">
        <v>0.33333333333333331</v>
      </c>
      <c r="N92" s="98">
        <v>66.666666666666671</v>
      </c>
      <c r="O92" s="41">
        <f t="shared" si="2"/>
        <v>61.081428079166699</v>
      </c>
      <c r="P92" s="109">
        <f t="shared" si="3"/>
        <v>56.067521207432804</v>
      </c>
    </row>
    <row r="93" spans="1:16" ht="18" x14ac:dyDescent="0.25">
      <c r="A93" s="73" t="s">
        <v>131</v>
      </c>
      <c r="B93" s="74">
        <v>4104428</v>
      </c>
      <c r="C93" s="97">
        <v>255</v>
      </c>
      <c r="D93" s="97">
        <v>1097</v>
      </c>
      <c r="E93" s="98">
        <v>0.2324521422060164</v>
      </c>
      <c r="F93" s="98">
        <v>64.275776039917488</v>
      </c>
      <c r="G93" s="97">
        <v>2478</v>
      </c>
      <c r="H93" s="97">
        <v>2241</v>
      </c>
      <c r="I93" s="98">
        <v>1.1057563587684069</v>
      </c>
      <c r="J93" s="98">
        <v>75.378916355306615</v>
      </c>
      <c r="K93" s="97">
        <v>2</v>
      </c>
      <c r="L93" s="97">
        <v>6</v>
      </c>
      <c r="M93" s="98">
        <v>0.33333333333333331</v>
      </c>
      <c r="N93" s="98">
        <v>66.666666666666671</v>
      </c>
      <c r="O93" s="41">
        <f t="shared" si="2"/>
        <v>67.649283775452062</v>
      </c>
      <c r="P93" s="109">
        <f t="shared" si="3"/>
        <v>67.133926153868103</v>
      </c>
    </row>
    <row r="94" spans="1:16" ht="18" x14ac:dyDescent="0.25">
      <c r="A94" s="73" t="s">
        <v>117</v>
      </c>
      <c r="B94" s="74">
        <v>4114401</v>
      </c>
      <c r="C94" s="97">
        <v>387</v>
      </c>
      <c r="D94" s="97">
        <v>1168</v>
      </c>
      <c r="E94" s="98">
        <v>0.33133561643835618</v>
      </c>
      <c r="F94" s="98">
        <v>49.078947368421055</v>
      </c>
      <c r="G94" s="97">
        <v>2661</v>
      </c>
      <c r="H94" s="97">
        <v>2440</v>
      </c>
      <c r="I94" s="98">
        <v>1.0905737704918033</v>
      </c>
      <c r="J94" s="98">
        <v>76.41173612339864</v>
      </c>
      <c r="K94" s="97">
        <v>1</v>
      </c>
      <c r="L94" s="97">
        <v>4</v>
      </c>
      <c r="M94" s="98">
        <v>0.25</v>
      </c>
      <c r="N94" s="98">
        <v>75</v>
      </c>
      <c r="O94" s="41">
        <f t="shared" si="2"/>
        <v>62.392407715060187</v>
      </c>
      <c r="P94" s="109">
        <f t="shared" si="3"/>
        <v>58.276435683969332</v>
      </c>
    </row>
    <row r="95" spans="1:16" ht="18" x14ac:dyDescent="0.25">
      <c r="A95" s="73" t="s">
        <v>90</v>
      </c>
      <c r="B95" s="74">
        <v>4106506</v>
      </c>
      <c r="C95" s="97">
        <v>361</v>
      </c>
      <c r="D95" s="97">
        <v>1465</v>
      </c>
      <c r="E95" s="98">
        <v>0.24641638225255974</v>
      </c>
      <c r="F95" s="98">
        <v>62.129692832764505</v>
      </c>
      <c r="G95" s="97">
        <v>3415</v>
      </c>
      <c r="H95" s="97">
        <v>3085</v>
      </c>
      <c r="I95" s="98">
        <v>1.1069692058346841</v>
      </c>
      <c r="J95" s="98">
        <v>75.296410500382422</v>
      </c>
      <c r="K95" s="97">
        <v>4</v>
      </c>
      <c r="L95" s="97">
        <v>9</v>
      </c>
      <c r="M95" s="98">
        <v>0.44444444444444442</v>
      </c>
      <c r="N95" s="98">
        <v>55.555555555555557</v>
      </c>
      <c r="O95" s="41">
        <f t="shared" si="2"/>
        <v>63.777837930366744</v>
      </c>
      <c r="P95" s="109">
        <f t="shared" si="3"/>
        <v>60.61079449095115</v>
      </c>
    </row>
    <row r="96" spans="1:16" ht="18" x14ac:dyDescent="0.25">
      <c r="A96" s="73" t="s">
        <v>110</v>
      </c>
      <c r="B96" s="74">
        <v>4127403</v>
      </c>
      <c r="C96" s="97">
        <v>445</v>
      </c>
      <c r="D96" s="97">
        <v>1254</v>
      </c>
      <c r="E96" s="98">
        <v>0.35486443381180222</v>
      </c>
      <c r="F96" s="98">
        <v>45.46293964576514</v>
      </c>
      <c r="G96" s="97">
        <v>2579</v>
      </c>
      <c r="H96" s="97">
        <v>2405</v>
      </c>
      <c r="I96" s="98">
        <v>1.0723492723492722</v>
      </c>
      <c r="J96" s="98">
        <v>77.651486658830606</v>
      </c>
      <c r="K96" s="97">
        <v>1</v>
      </c>
      <c r="L96" s="97">
        <v>4</v>
      </c>
      <c r="M96" s="98">
        <v>0.25</v>
      </c>
      <c r="N96" s="98">
        <v>75</v>
      </c>
      <c r="O96" s="41">
        <f t="shared" si="2"/>
        <v>60.894341487590225</v>
      </c>
      <c r="P96" s="109">
        <f t="shared" si="3"/>
        <v>55.75229260342973</v>
      </c>
    </row>
    <row r="97" spans="1:16" ht="18" x14ac:dyDescent="0.25">
      <c r="A97" s="73" t="s">
        <v>119</v>
      </c>
      <c r="B97" s="74">
        <v>4105201</v>
      </c>
      <c r="C97" s="97">
        <v>195</v>
      </c>
      <c r="D97" s="97">
        <v>1096</v>
      </c>
      <c r="E97" s="98">
        <v>0.17791970802919707</v>
      </c>
      <c r="F97" s="98">
        <v>72.656550134460247</v>
      </c>
      <c r="G97" s="97">
        <v>2247</v>
      </c>
      <c r="H97" s="97">
        <v>2262</v>
      </c>
      <c r="I97" s="98">
        <v>0.99336870026525204</v>
      </c>
      <c r="J97" s="98">
        <v>83.024265967434829</v>
      </c>
      <c r="K97" s="97">
        <v>0</v>
      </c>
      <c r="L97" s="97">
        <v>4</v>
      </c>
      <c r="M97" s="98">
        <v>0</v>
      </c>
      <c r="N97" s="98">
        <v>100</v>
      </c>
      <c r="O97" s="41">
        <f t="shared" si="2"/>
        <v>82.084341559088827</v>
      </c>
      <c r="P97" s="109">
        <f t="shared" si="3"/>
        <v>91.456049270742497</v>
      </c>
    </row>
    <row r="98" spans="1:16" ht="18" x14ac:dyDescent="0.25">
      <c r="A98" s="73" t="s">
        <v>91</v>
      </c>
      <c r="B98" s="74">
        <v>4104659</v>
      </c>
      <c r="C98" s="97">
        <v>273</v>
      </c>
      <c r="D98" s="97">
        <v>1772</v>
      </c>
      <c r="E98" s="98">
        <v>0.15406320541760724</v>
      </c>
      <c r="F98" s="98">
        <v>76.322917904241422</v>
      </c>
      <c r="G98" s="97">
        <v>4109</v>
      </c>
      <c r="H98" s="97">
        <v>3786</v>
      </c>
      <c r="I98" s="98">
        <v>1.0853143159006868</v>
      </c>
      <c r="J98" s="98">
        <v>76.769518905367264</v>
      </c>
      <c r="K98" s="97">
        <v>4</v>
      </c>
      <c r="L98" s="97">
        <v>8</v>
      </c>
      <c r="M98" s="98">
        <v>0.5</v>
      </c>
      <c r="N98" s="98">
        <v>50</v>
      </c>
      <c r="O98" s="41">
        <f t="shared" si="2"/>
        <v>69.853838678462523</v>
      </c>
      <c r="P98" s="109">
        <f t="shared" si="3"/>
        <v>70.848456194039557</v>
      </c>
    </row>
    <row r="99" spans="1:16" ht="18" x14ac:dyDescent="0.25">
      <c r="A99" s="73" t="s">
        <v>102</v>
      </c>
      <c r="B99" s="74">
        <v>4121406</v>
      </c>
      <c r="C99" s="97">
        <v>457</v>
      </c>
      <c r="D99" s="97">
        <v>1161</v>
      </c>
      <c r="E99" s="98">
        <v>0.39362618432385876</v>
      </c>
      <c r="F99" s="98">
        <v>39.50587061970171</v>
      </c>
      <c r="G99" s="97">
        <v>2622</v>
      </c>
      <c r="H99" s="97">
        <v>2421</v>
      </c>
      <c r="I99" s="98">
        <v>1.0830235439900868</v>
      </c>
      <c r="J99" s="98">
        <v>76.925352316005387</v>
      </c>
      <c r="K99" s="97">
        <v>3</v>
      </c>
      <c r="L99" s="97">
        <v>7</v>
      </c>
      <c r="M99" s="98">
        <v>0.42857142857142855</v>
      </c>
      <c r="N99" s="98">
        <v>57.142857142857139</v>
      </c>
      <c r="O99" s="41">
        <f t="shared" si="2"/>
        <v>53.269987674566487</v>
      </c>
      <c r="P99" s="109">
        <f t="shared" si="3"/>
        <v>42.905757805544482</v>
      </c>
    </row>
    <row r="100" spans="1:16" ht="18" x14ac:dyDescent="0.25">
      <c r="A100" s="73" t="s">
        <v>89</v>
      </c>
      <c r="B100" s="74">
        <v>4119400</v>
      </c>
      <c r="C100" s="97">
        <v>273</v>
      </c>
      <c r="D100" s="97">
        <v>1586</v>
      </c>
      <c r="E100" s="98">
        <v>0.1721311475409836</v>
      </c>
      <c r="F100" s="98">
        <v>73.546160483175157</v>
      </c>
      <c r="G100" s="97">
        <v>3664</v>
      </c>
      <c r="H100" s="97">
        <v>3482</v>
      </c>
      <c r="I100" s="98">
        <v>1.0522688110281448</v>
      </c>
      <c r="J100" s="98">
        <v>79.01749204783448</v>
      </c>
      <c r="K100" s="97">
        <v>2</v>
      </c>
      <c r="L100" s="97">
        <v>5</v>
      </c>
      <c r="M100" s="98">
        <v>0.4</v>
      </c>
      <c r="N100" s="98">
        <v>60</v>
      </c>
      <c r="O100" s="41">
        <f t="shared" si="2"/>
        <v>71.527453253546199</v>
      </c>
      <c r="P100" s="109">
        <f t="shared" si="3"/>
        <v>73.668386696259219</v>
      </c>
    </row>
    <row r="101" spans="1:16" ht="18" x14ac:dyDescent="0.25">
      <c r="A101" s="73" t="s">
        <v>115</v>
      </c>
      <c r="B101" s="74">
        <v>4126306</v>
      </c>
      <c r="C101" s="97">
        <v>365</v>
      </c>
      <c r="D101" s="97">
        <v>1215</v>
      </c>
      <c r="E101" s="98">
        <v>0.30041152263374488</v>
      </c>
      <c r="F101" s="98">
        <v>53.831492311024476</v>
      </c>
      <c r="G101" s="97">
        <v>2811</v>
      </c>
      <c r="H101" s="97">
        <v>2526</v>
      </c>
      <c r="I101" s="98">
        <v>1.1128266033254157</v>
      </c>
      <c r="J101" s="98">
        <v>74.897951699564985</v>
      </c>
      <c r="K101" s="97">
        <v>2</v>
      </c>
      <c r="L101" s="97">
        <v>7</v>
      </c>
      <c r="M101" s="98">
        <v>0.2857142857142857</v>
      </c>
      <c r="N101" s="98">
        <v>71.428571428571431</v>
      </c>
      <c r="O101" s="41">
        <f t="shared" si="2"/>
        <v>63.497376937546349</v>
      </c>
      <c r="P101" s="109">
        <f t="shared" si="3"/>
        <v>60.138236161147219</v>
      </c>
    </row>
    <row r="102" spans="1:16" ht="18" x14ac:dyDescent="0.25">
      <c r="A102" s="73" t="s">
        <v>118</v>
      </c>
      <c r="B102" s="74">
        <v>4107603</v>
      </c>
      <c r="C102" s="97">
        <v>323</v>
      </c>
      <c r="D102" s="97">
        <v>1105</v>
      </c>
      <c r="E102" s="98">
        <v>0.29230769230769232</v>
      </c>
      <c r="F102" s="98">
        <v>55.07692307692308</v>
      </c>
      <c r="G102" s="97">
        <v>2659</v>
      </c>
      <c r="H102" s="97">
        <v>2349</v>
      </c>
      <c r="I102" s="98">
        <v>1.1319710515112813</v>
      </c>
      <c r="J102" s="98">
        <v>73.595620096063271</v>
      </c>
      <c r="K102" s="97">
        <v>7</v>
      </c>
      <c r="L102" s="97">
        <v>12</v>
      </c>
      <c r="M102" s="98">
        <v>0.58333333333333337</v>
      </c>
      <c r="N102" s="98">
        <v>41.666666666666664</v>
      </c>
      <c r="O102" s="41">
        <f t="shared" si="2"/>
        <v>56.354033229144022</v>
      </c>
      <c r="P102" s="109">
        <f t="shared" si="3"/>
        <v>48.102171758352767</v>
      </c>
    </row>
    <row r="103" spans="1:16" ht="18" x14ac:dyDescent="0.25">
      <c r="A103" s="73" t="s">
        <v>112</v>
      </c>
      <c r="B103" s="74">
        <v>4127601</v>
      </c>
      <c r="C103" s="97">
        <v>286</v>
      </c>
      <c r="D103" s="97">
        <v>1200</v>
      </c>
      <c r="E103" s="98">
        <v>0.23833333333333334</v>
      </c>
      <c r="F103" s="98">
        <v>63.371929824561398</v>
      </c>
      <c r="G103" s="97">
        <v>2808</v>
      </c>
      <c r="H103" s="97">
        <v>2516</v>
      </c>
      <c r="I103" s="98">
        <v>1.1160572337042924</v>
      </c>
      <c r="J103" s="98">
        <v>74.678182918516995</v>
      </c>
      <c r="K103" s="97">
        <v>0</v>
      </c>
      <c r="L103" s="97">
        <v>3</v>
      </c>
      <c r="M103" s="98">
        <v>0</v>
      </c>
      <c r="N103" s="98">
        <v>100</v>
      </c>
      <c r="O103" s="41">
        <f t="shared" si="2"/>
        <v>75.355510641909945</v>
      </c>
      <c r="P103" s="109">
        <f t="shared" si="3"/>
        <v>80.118411662822695</v>
      </c>
    </row>
    <row r="104" spans="1:16" ht="18" x14ac:dyDescent="0.25">
      <c r="A104" s="73" t="s">
        <v>113</v>
      </c>
      <c r="B104" s="74">
        <v>4127205</v>
      </c>
      <c r="C104" s="97">
        <v>480</v>
      </c>
      <c r="D104" s="97">
        <v>1098</v>
      </c>
      <c r="E104" s="98">
        <v>0.43715846994535518</v>
      </c>
      <c r="F104" s="98">
        <v>32.815645671555949</v>
      </c>
      <c r="G104" s="97">
        <v>2403</v>
      </c>
      <c r="H104" s="97">
        <v>2246</v>
      </c>
      <c r="I104" s="98">
        <v>1.0699020480854853</v>
      </c>
      <c r="J104" s="98">
        <v>77.817962990174493</v>
      </c>
      <c r="K104" s="97">
        <v>1</v>
      </c>
      <c r="L104" s="97">
        <v>4</v>
      </c>
      <c r="M104" s="98">
        <v>0.25</v>
      </c>
      <c r="N104" s="98">
        <v>75</v>
      </c>
      <c r="O104" s="41">
        <f t="shared" si="2"/>
        <v>54.612313583321594</v>
      </c>
      <c r="P104" s="109">
        <f t="shared" si="3"/>
        <v>45.167488690523768</v>
      </c>
    </row>
    <row r="105" spans="1:16" ht="18" x14ac:dyDescent="0.25">
      <c r="A105" s="73" t="s">
        <v>130</v>
      </c>
      <c r="B105" s="74">
        <v>4105706</v>
      </c>
      <c r="C105" s="97">
        <v>257</v>
      </c>
      <c r="D105" s="97">
        <v>1091</v>
      </c>
      <c r="E105" s="98">
        <v>0.23556370302474794</v>
      </c>
      <c r="F105" s="98">
        <v>63.797578271986112</v>
      </c>
      <c r="G105" s="97">
        <v>2755</v>
      </c>
      <c r="H105" s="97">
        <v>2149</v>
      </c>
      <c r="I105" s="98">
        <v>1.281991624011168</v>
      </c>
      <c r="J105" s="98">
        <v>63.390231523606587</v>
      </c>
      <c r="K105" s="97">
        <v>3</v>
      </c>
      <c r="L105" s="97">
        <v>7</v>
      </c>
      <c r="M105" s="98">
        <v>0.42857142857142855</v>
      </c>
      <c r="N105" s="98">
        <v>57.142857142857139</v>
      </c>
      <c r="O105" s="41">
        <f t="shared" si="2"/>
        <v>62.032061302608987</v>
      </c>
      <c r="P105" s="109">
        <f t="shared" si="3"/>
        <v>57.669275675348011</v>
      </c>
    </row>
    <row r="106" spans="1:16" ht="18" x14ac:dyDescent="0.25">
      <c r="A106" s="73" t="s">
        <v>103</v>
      </c>
      <c r="B106" s="74">
        <v>4128500</v>
      </c>
      <c r="C106" s="97">
        <v>333</v>
      </c>
      <c r="D106" s="97">
        <v>1312</v>
      </c>
      <c r="E106" s="98">
        <v>0.25381097560975607</v>
      </c>
      <c r="F106" s="98">
        <v>60.993260590500654</v>
      </c>
      <c r="G106" s="97">
        <v>2977</v>
      </c>
      <c r="H106" s="97">
        <v>2583</v>
      </c>
      <c r="I106" s="98">
        <v>1.1525358110723964</v>
      </c>
      <c r="J106" s="98">
        <v>72.196669547327815</v>
      </c>
      <c r="K106" s="97">
        <v>3</v>
      </c>
      <c r="L106" s="97">
        <v>5</v>
      </c>
      <c r="M106" s="98">
        <v>0.6</v>
      </c>
      <c r="N106" s="98">
        <v>40</v>
      </c>
      <c r="O106" s="41">
        <f t="shared" si="2"/>
        <v>58.545797682082281</v>
      </c>
      <c r="P106" s="109">
        <f t="shared" si="3"/>
        <v>51.795150731251802</v>
      </c>
    </row>
    <row r="107" spans="1:16" ht="18" x14ac:dyDescent="0.25">
      <c r="A107" s="73" t="s">
        <v>159</v>
      </c>
      <c r="B107" s="74">
        <v>4124020</v>
      </c>
      <c r="C107" s="97">
        <v>352</v>
      </c>
      <c r="D107" s="97">
        <v>1055</v>
      </c>
      <c r="E107" s="98">
        <v>0.33364928909952607</v>
      </c>
      <c r="F107" s="98">
        <v>48.723372412072841</v>
      </c>
      <c r="G107" s="97">
        <v>2201</v>
      </c>
      <c r="H107" s="97">
        <v>1945</v>
      </c>
      <c r="I107" s="98">
        <v>1.1316195372750644</v>
      </c>
      <c r="J107" s="98">
        <v>73.619532412284755</v>
      </c>
      <c r="K107" s="97">
        <v>1</v>
      </c>
      <c r="L107" s="97">
        <v>5</v>
      </c>
      <c r="M107" s="98">
        <v>0.2</v>
      </c>
      <c r="N107" s="98">
        <v>80</v>
      </c>
      <c r="O107" s="41">
        <f t="shared" si="2"/>
        <v>62.766569309107609</v>
      </c>
      <c r="P107" s="109">
        <f t="shared" si="3"/>
        <v>58.906873365094746</v>
      </c>
    </row>
    <row r="108" spans="1:16" ht="18" x14ac:dyDescent="0.25">
      <c r="A108" s="73" t="s">
        <v>174</v>
      </c>
      <c r="B108" s="74">
        <v>4110953</v>
      </c>
      <c r="C108" s="97">
        <v>476</v>
      </c>
      <c r="D108" s="97">
        <v>820</v>
      </c>
      <c r="E108" s="98">
        <v>0.58048780487804874</v>
      </c>
      <c r="F108" s="98">
        <v>10.788189987163042</v>
      </c>
      <c r="G108" s="97">
        <v>1883</v>
      </c>
      <c r="H108" s="97">
        <v>1652</v>
      </c>
      <c r="I108" s="98">
        <v>1.1398305084745763</v>
      </c>
      <c r="J108" s="98">
        <v>73.060968008403847</v>
      </c>
      <c r="K108" s="97">
        <v>0</v>
      </c>
      <c r="L108" s="97">
        <v>5</v>
      </c>
      <c r="M108" s="98">
        <v>0</v>
      </c>
      <c r="N108" s="98">
        <v>100</v>
      </c>
      <c r="O108" s="41">
        <f t="shared" si="2"/>
        <v>48.65933699568248</v>
      </c>
      <c r="P108" s="109">
        <f t="shared" si="3"/>
        <v>35.137114607743264</v>
      </c>
    </row>
    <row r="109" spans="1:16" ht="18" x14ac:dyDescent="0.25">
      <c r="A109" s="73" t="s">
        <v>100</v>
      </c>
      <c r="B109" s="74">
        <v>4101101</v>
      </c>
      <c r="C109" s="97">
        <v>434</v>
      </c>
      <c r="D109" s="97">
        <v>1071</v>
      </c>
      <c r="E109" s="98">
        <v>0.40522875816993464</v>
      </c>
      <c r="F109" s="98">
        <v>37.722738218094257</v>
      </c>
      <c r="G109" s="97">
        <v>2623</v>
      </c>
      <c r="H109" s="97">
        <v>2375</v>
      </c>
      <c r="I109" s="98">
        <v>1.104421052631579</v>
      </c>
      <c r="J109" s="98">
        <v>75.469752683701017</v>
      </c>
      <c r="K109" s="97">
        <v>2</v>
      </c>
      <c r="L109" s="97">
        <v>8</v>
      </c>
      <c r="M109" s="98">
        <v>0.25</v>
      </c>
      <c r="N109" s="98">
        <v>75</v>
      </c>
      <c r="O109" s="41">
        <f t="shared" si="2"/>
        <v>56.478807279972386</v>
      </c>
      <c r="P109" s="109">
        <f t="shared" si="3"/>
        <v>48.312407828864295</v>
      </c>
    </row>
    <row r="110" spans="1:16" ht="18" x14ac:dyDescent="0.25">
      <c r="A110" s="73" t="s">
        <v>167</v>
      </c>
      <c r="B110" s="74">
        <v>4117057</v>
      </c>
      <c r="C110" s="97">
        <v>165</v>
      </c>
      <c r="D110" s="97">
        <v>1016</v>
      </c>
      <c r="E110" s="98">
        <v>0.1624015748031496</v>
      </c>
      <c r="F110" s="98">
        <v>75.041442188147528</v>
      </c>
      <c r="G110" s="97">
        <v>1853</v>
      </c>
      <c r="H110" s="97">
        <v>1939</v>
      </c>
      <c r="I110" s="98">
        <v>0.95564724084579677</v>
      </c>
      <c r="J110" s="98">
        <v>85.590328371282737</v>
      </c>
      <c r="K110" s="97">
        <v>1</v>
      </c>
      <c r="L110" s="97">
        <v>3</v>
      </c>
      <c r="M110" s="98">
        <v>0.33333333333333331</v>
      </c>
      <c r="N110" s="98">
        <v>66.666666666666671</v>
      </c>
      <c r="O110" s="41">
        <f t="shared" si="2"/>
        <v>75.58496985356112</v>
      </c>
      <c r="P110" s="109">
        <f t="shared" si="3"/>
        <v>80.505035345230624</v>
      </c>
    </row>
    <row r="111" spans="1:16" ht="18" x14ac:dyDescent="0.25">
      <c r="A111" s="73" t="s">
        <v>150</v>
      </c>
      <c r="B111" s="74">
        <v>4119103</v>
      </c>
      <c r="C111" s="97">
        <v>347</v>
      </c>
      <c r="D111" s="97">
        <v>1010</v>
      </c>
      <c r="E111" s="98">
        <v>0.34356435643564359</v>
      </c>
      <c r="F111" s="98">
        <v>47.199583116206355</v>
      </c>
      <c r="G111" s="97">
        <v>2182</v>
      </c>
      <c r="H111" s="97">
        <v>1978</v>
      </c>
      <c r="I111" s="98">
        <v>1.1031344792719919</v>
      </c>
      <c r="J111" s="98">
        <v>75.55727388724506</v>
      </c>
      <c r="K111" s="97">
        <v>1</v>
      </c>
      <c r="L111" s="97">
        <v>5</v>
      </c>
      <c r="M111" s="98">
        <v>0.2</v>
      </c>
      <c r="N111" s="98">
        <v>80</v>
      </c>
      <c r="O111" s="41">
        <f t="shared" si="2"/>
        <v>62.489110029914443</v>
      </c>
      <c r="P111" s="109">
        <f t="shared" si="3"/>
        <v>58.439372725360194</v>
      </c>
    </row>
    <row r="112" spans="1:16" ht="18" x14ac:dyDescent="0.25">
      <c r="A112" s="73" t="s">
        <v>93</v>
      </c>
      <c r="B112" s="74">
        <v>4103602</v>
      </c>
      <c r="C112" s="97">
        <v>200</v>
      </c>
      <c r="D112" s="97">
        <v>1444</v>
      </c>
      <c r="E112" s="98">
        <v>0.13850415512465375</v>
      </c>
      <c r="F112" s="98">
        <v>78.71409826505321</v>
      </c>
      <c r="G112" s="97">
        <v>3289</v>
      </c>
      <c r="H112" s="97">
        <v>2843</v>
      </c>
      <c r="I112" s="98">
        <v>1.1568765388673936</v>
      </c>
      <c r="J112" s="98">
        <v>71.901384620087299</v>
      </c>
      <c r="K112" s="97">
        <v>6</v>
      </c>
      <c r="L112" s="97">
        <v>8</v>
      </c>
      <c r="M112" s="98">
        <v>0.75</v>
      </c>
      <c r="N112" s="98">
        <v>25</v>
      </c>
      <c r="O112" s="41">
        <f t="shared" si="2"/>
        <v>63.58239528754843</v>
      </c>
      <c r="P112" s="109">
        <f t="shared" si="3"/>
        <v>60.281486490099013</v>
      </c>
    </row>
    <row r="113" spans="1:16" ht="18" x14ac:dyDescent="0.25">
      <c r="A113" s="73" t="s">
        <v>126</v>
      </c>
      <c r="B113" s="74">
        <v>4102901</v>
      </c>
      <c r="C113" s="97">
        <v>264</v>
      </c>
      <c r="D113" s="97">
        <v>1202</v>
      </c>
      <c r="E113" s="98">
        <v>0.21963394342762063</v>
      </c>
      <c r="F113" s="98">
        <v>66.245730799544617</v>
      </c>
      <c r="G113" s="97">
        <v>2665</v>
      </c>
      <c r="H113" s="97">
        <v>2240</v>
      </c>
      <c r="I113" s="98">
        <v>1.1897321428571428</v>
      </c>
      <c r="J113" s="98">
        <v>69.666329787868193</v>
      </c>
      <c r="K113" s="97">
        <v>2</v>
      </c>
      <c r="L113" s="97">
        <v>6</v>
      </c>
      <c r="M113" s="98">
        <v>0.33333333333333331</v>
      </c>
      <c r="N113" s="98">
        <v>66.666666666666671</v>
      </c>
      <c r="O113" s="41">
        <f t="shared" si="2"/>
        <v>67.206114513406021</v>
      </c>
      <c r="P113" s="109">
        <f t="shared" si="3"/>
        <v>66.387215090105215</v>
      </c>
    </row>
    <row r="114" spans="1:16" ht="18" x14ac:dyDescent="0.25">
      <c r="A114" s="73" t="s">
        <v>157</v>
      </c>
      <c r="B114" s="74">
        <v>4118006</v>
      </c>
      <c r="C114" s="97">
        <v>355</v>
      </c>
      <c r="D114" s="97">
        <v>904</v>
      </c>
      <c r="E114" s="98">
        <v>0.39269911504424782</v>
      </c>
      <c r="F114" s="98">
        <v>39.64834653004192</v>
      </c>
      <c r="G114" s="97">
        <v>2052</v>
      </c>
      <c r="H114" s="97">
        <v>1766</v>
      </c>
      <c r="I114" s="98">
        <v>1.1619479048697621</v>
      </c>
      <c r="J114" s="98">
        <v>71.556396864175653</v>
      </c>
      <c r="K114" s="97">
        <v>3</v>
      </c>
      <c r="L114" s="97">
        <v>6</v>
      </c>
      <c r="M114" s="98">
        <v>0.5</v>
      </c>
      <c r="N114" s="98">
        <v>50</v>
      </c>
      <c r="O114" s="41">
        <f t="shared" si="2"/>
        <v>50.213272481064877</v>
      </c>
      <c r="P114" s="109">
        <f t="shared" si="3"/>
        <v>37.75539371390618</v>
      </c>
    </row>
    <row r="115" spans="1:16" ht="18" x14ac:dyDescent="0.25">
      <c r="A115" s="73" t="s">
        <v>139</v>
      </c>
      <c r="B115" s="74">
        <v>4114500</v>
      </c>
      <c r="C115" s="97">
        <v>229</v>
      </c>
      <c r="D115" s="97">
        <v>1003</v>
      </c>
      <c r="E115" s="98">
        <v>0.22831505483549352</v>
      </c>
      <c r="F115" s="98">
        <v>64.911581046334675</v>
      </c>
      <c r="G115" s="97">
        <v>2248</v>
      </c>
      <c r="H115" s="97">
        <v>2133</v>
      </c>
      <c r="I115" s="98">
        <v>1.0539146741678387</v>
      </c>
      <c r="J115" s="98">
        <v>78.905529584301888</v>
      </c>
      <c r="K115" s="97">
        <v>2</v>
      </c>
      <c r="L115" s="97">
        <v>4</v>
      </c>
      <c r="M115" s="98">
        <v>0.5</v>
      </c>
      <c r="N115" s="98">
        <v>50</v>
      </c>
      <c r="O115" s="41">
        <f t="shared" si="2"/>
        <v>64.682172919242817</v>
      </c>
      <c r="P115" s="109">
        <f t="shared" si="3"/>
        <v>62.134539478191478</v>
      </c>
    </row>
    <row r="116" spans="1:16" ht="18" x14ac:dyDescent="0.25">
      <c r="A116" s="73" t="s">
        <v>101</v>
      </c>
      <c r="B116" s="74">
        <v>4101002</v>
      </c>
      <c r="C116" s="97">
        <v>361</v>
      </c>
      <c r="D116" s="97">
        <v>1396</v>
      </c>
      <c r="E116" s="98">
        <v>0.25859598853868193</v>
      </c>
      <c r="F116" s="98">
        <v>60.257879656160462</v>
      </c>
      <c r="G116" s="97">
        <v>2930</v>
      </c>
      <c r="H116" s="97">
        <v>2550</v>
      </c>
      <c r="I116" s="98">
        <v>1.1490196078431372</v>
      </c>
      <c r="J116" s="98">
        <v>72.435864876717361</v>
      </c>
      <c r="K116" s="97">
        <v>2</v>
      </c>
      <c r="L116" s="97">
        <v>6</v>
      </c>
      <c r="M116" s="98">
        <v>0.33333333333333331</v>
      </c>
      <c r="N116" s="98">
        <v>66.666666666666671</v>
      </c>
      <c r="O116" s="41">
        <f t="shared" si="2"/>
        <v>64.904572713926242</v>
      </c>
      <c r="P116" s="109">
        <f t="shared" si="3"/>
        <v>62.509268507235596</v>
      </c>
    </row>
    <row r="117" spans="1:16" ht="18" x14ac:dyDescent="0.25">
      <c r="A117" s="73" t="s">
        <v>96</v>
      </c>
      <c r="B117" s="74">
        <v>4112108</v>
      </c>
      <c r="C117" s="97">
        <v>396</v>
      </c>
      <c r="D117" s="97">
        <v>1216</v>
      </c>
      <c r="E117" s="98">
        <v>0.32565789473684209</v>
      </c>
      <c r="F117" s="98">
        <v>49.95152354570638</v>
      </c>
      <c r="G117" s="97">
        <v>3124</v>
      </c>
      <c r="H117" s="97">
        <v>2414</v>
      </c>
      <c r="I117" s="98">
        <v>1.2941176470588236</v>
      </c>
      <c r="J117" s="98">
        <v>62.565339477284176</v>
      </c>
      <c r="K117" s="97">
        <v>5</v>
      </c>
      <c r="L117" s="97">
        <v>10</v>
      </c>
      <c r="M117" s="98">
        <v>0.5</v>
      </c>
      <c r="N117" s="98">
        <v>50</v>
      </c>
      <c r="O117" s="41">
        <f t="shared" si="2"/>
        <v>53.117096642174232</v>
      </c>
      <c r="P117" s="109">
        <f t="shared" si="3"/>
        <v>42.648146470068859</v>
      </c>
    </row>
    <row r="118" spans="1:16" ht="18" x14ac:dyDescent="0.25">
      <c r="A118" s="73" t="s">
        <v>145</v>
      </c>
      <c r="B118" s="74">
        <v>4100608</v>
      </c>
      <c r="C118" s="97">
        <v>269</v>
      </c>
      <c r="D118" s="97">
        <v>939</v>
      </c>
      <c r="E118" s="98">
        <v>0.28647497337593186</v>
      </c>
      <c r="F118" s="98">
        <v>55.973319881172579</v>
      </c>
      <c r="G118" s="97">
        <v>2060</v>
      </c>
      <c r="H118" s="97">
        <v>1923</v>
      </c>
      <c r="I118" s="98">
        <v>1.0712428497139885</v>
      </c>
      <c r="J118" s="98">
        <v>77.726752822199245</v>
      </c>
      <c r="K118" s="97">
        <v>1</v>
      </c>
      <c r="L118" s="97">
        <v>6</v>
      </c>
      <c r="M118" s="98">
        <v>0.16666666666666666</v>
      </c>
      <c r="N118" s="98">
        <v>83.333333333333343</v>
      </c>
      <c r="O118" s="41">
        <f t="shared" si="2"/>
        <v>68.251681479469426</v>
      </c>
      <c r="P118" s="109">
        <f t="shared" si="3"/>
        <v>68.148926671499666</v>
      </c>
    </row>
    <row r="119" spans="1:16" ht="18" x14ac:dyDescent="0.25">
      <c r="A119" s="73" t="s">
        <v>123</v>
      </c>
      <c r="B119" s="74">
        <v>4126801</v>
      </c>
      <c r="C119" s="97">
        <v>381</v>
      </c>
      <c r="D119" s="97">
        <v>986</v>
      </c>
      <c r="E119" s="98">
        <v>0.38640973630831643</v>
      </c>
      <c r="F119" s="98">
        <v>40.61492473577453</v>
      </c>
      <c r="G119" s="97">
        <v>2251</v>
      </c>
      <c r="H119" s="97">
        <v>2189</v>
      </c>
      <c r="I119" s="98">
        <v>1.0283234353586113</v>
      </c>
      <c r="J119" s="98">
        <v>80.646414395942614</v>
      </c>
      <c r="K119" s="97">
        <v>2</v>
      </c>
      <c r="L119" s="97">
        <v>5</v>
      </c>
      <c r="M119" s="98">
        <v>0.4</v>
      </c>
      <c r="N119" s="98">
        <v>60</v>
      </c>
      <c r="O119" s="41">
        <f t="shared" si="2"/>
        <v>55.469065966872918</v>
      </c>
      <c r="P119" s="109">
        <f t="shared" si="3"/>
        <v>46.611060116821243</v>
      </c>
    </row>
    <row r="120" spans="1:16" ht="18" x14ac:dyDescent="0.25">
      <c r="A120" s="73" t="s">
        <v>147</v>
      </c>
      <c r="B120" s="74">
        <v>4116703</v>
      </c>
      <c r="C120" s="97">
        <v>293</v>
      </c>
      <c r="D120" s="97">
        <v>857</v>
      </c>
      <c r="E120" s="98">
        <v>0.34189031505250878</v>
      </c>
      <c r="F120" s="98">
        <v>47.456856844561813</v>
      </c>
      <c r="G120" s="97">
        <v>1612</v>
      </c>
      <c r="H120" s="97">
        <v>1850</v>
      </c>
      <c r="I120" s="98">
        <v>0.87135135135135133</v>
      </c>
      <c r="J120" s="98">
        <v>91.324690619182675</v>
      </c>
      <c r="K120" s="97">
        <v>1</v>
      </c>
      <c r="L120" s="97">
        <v>4</v>
      </c>
      <c r="M120" s="98">
        <v>0.25</v>
      </c>
      <c r="N120" s="98">
        <v>75</v>
      </c>
      <c r="O120" s="41">
        <f t="shared" si="2"/>
        <v>65.309601077076579</v>
      </c>
      <c r="P120" s="109">
        <f t="shared" si="3"/>
        <v>63.191714664502499</v>
      </c>
    </row>
    <row r="121" spans="1:16" ht="18" x14ac:dyDescent="0.25">
      <c r="A121" s="73" t="s">
        <v>134</v>
      </c>
      <c r="B121" s="74">
        <v>4104600</v>
      </c>
      <c r="C121" s="97">
        <v>340</v>
      </c>
      <c r="D121" s="97">
        <v>963</v>
      </c>
      <c r="E121" s="98">
        <v>0.35306334371754933</v>
      </c>
      <c r="F121" s="98">
        <v>45.739738754987158</v>
      </c>
      <c r="G121" s="97">
        <v>2215</v>
      </c>
      <c r="H121" s="97">
        <v>1935</v>
      </c>
      <c r="I121" s="98">
        <v>1.1447028423772609</v>
      </c>
      <c r="J121" s="98">
        <v>72.729519728324206</v>
      </c>
      <c r="K121" s="97">
        <v>1</v>
      </c>
      <c r="L121" s="97">
        <v>4</v>
      </c>
      <c r="M121" s="98">
        <v>0.25</v>
      </c>
      <c r="N121" s="98">
        <v>75</v>
      </c>
      <c r="O121" s="41">
        <f t="shared" si="2"/>
        <v>59.802249309574634</v>
      </c>
      <c r="P121" s="109">
        <f t="shared" si="3"/>
        <v>53.912189099391064</v>
      </c>
    </row>
    <row r="122" spans="1:16" ht="18" x14ac:dyDescent="0.25">
      <c r="A122" s="73" t="s">
        <v>94</v>
      </c>
      <c r="B122" s="74">
        <v>4105904</v>
      </c>
      <c r="C122" s="97">
        <v>298</v>
      </c>
      <c r="D122" s="97">
        <v>1302</v>
      </c>
      <c r="E122" s="98">
        <v>0.22887864823348694</v>
      </c>
      <c r="F122" s="98">
        <v>64.824965639906225</v>
      </c>
      <c r="G122" s="97">
        <v>2866</v>
      </c>
      <c r="H122" s="97">
        <v>2551</v>
      </c>
      <c r="I122" s="98">
        <v>1.1234809878479028</v>
      </c>
      <c r="J122" s="98">
        <v>74.173170209663439</v>
      </c>
      <c r="K122" s="97">
        <v>4</v>
      </c>
      <c r="L122" s="97">
        <v>9</v>
      </c>
      <c r="M122" s="98">
        <v>0.44444444444444442</v>
      </c>
      <c r="N122" s="98">
        <v>55.555555555555557</v>
      </c>
      <c r="O122" s="41">
        <f t="shared" si="2"/>
        <v>64.844664261257861</v>
      </c>
      <c r="P122" s="109">
        <f t="shared" si="3"/>
        <v>62.408326704065701</v>
      </c>
    </row>
    <row r="123" spans="1:16" ht="18" x14ac:dyDescent="0.25">
      <c r="A123" s="73" t="s">
        <v>125</v>
      </c>
      <c r="B123" s="74">
        <v>4103909</v>
      </c>
      <c r="C123" s="97">
        <v>296</v>
      </c>
      <c r="D123" s="97">
        <v>975</v>
      </c>
      <c r="E123" s="98">
        <v>0.30358974358974361</v>
      </c>
      <c r="F123" s="98">
        <v>53.343049932523613</v>
      </c>
      <c r="G123" s="97">
        <v>2404</v>
      </c>
      <c r="H123" s="97">
        <v>2103</v>
      </c>
      <c r="I123" s="98">
        <v>1.143128863528293</v>
      </c>
      <c r="J123" s="98">
        <v>72.83659214839885</v>
      </c>
      <c r="K123" s="97">
        <v>3</v>
      </c>
      <c r="L123" s="97">
        <v>9</v>
      </c>
      <c r="M123" s="98">
        <v>0.33333333333333331</v>
      </c>
      <c r="N123" s="98">
        <v>66.666666666666671</v>
      </c>
      <c r="O123" s="41">
        <f t="shared" si="2"/>
        <v>61.547339670028194</v>
      </c>
      <c r="P123" s="109">
        <f t="shared" si="3"/>
        <v>56.852551599715518</v>
      </c>
    </row>
    <row r="124" spans="1:16" ht="18" x14ac:dyDescent="0.25">
      <c r="A124" s="73" t="s">
        <v>169</v>
      </c>
      <c r="B124" s="74">
        <v>4112801</v>
      </c>
      <c r="C124" s="97">
        <v>348</v>
      </c>
      <c r="D124" s="97">
        <v>816</v>
      </c>
      <c r="E124" s="98">
        <v>0.4264705882352941</v>
      </c>
      <c r="F124" s="98">
        <v>34.458204334365334</v>
      </c>
      <c r="G124" s="97">
        <v>1854</v>
      </c>
      <c r="H124" s="97">
        <v>1599</v>
      </c>
      <c r="I124" s="98">
        <v>1.1594746716697937</v>
      </c>
      <c r="J124" s="98">
        <v>71.724642494860717</v>
      </c>
      <c r="K124" s="97">
        <v>2</v>
      </c>
      <c r="L124" s="97">
        <v>6</v>
      </c>
      <c r="M124" s="98">
        <v>0.33333333333333331</v>
      </c>
      <c r="N124" s="98">
        <v>66.666666666666671</v>
      </c>
      <c r="O124" s="41">
        <f t="shared" si="2"/>
        <v>51.826929457564518</v>
      </c>
      <c r="P124" s="109">
        <f t="shared" si="3"/>
        <v>40.474299605319906</v>
      </c>
    </row>
    <row r="125" spans="1:16" ht="18" x14ac:dyDescent="0.25">
      <c r="A125" s="73" t="s">
        <v>128</v>
      </c>
      <c r="B125" s="74">
        <v>4123006</v>
      </c>
      <c r="C125" s="97">
        <v>267</v>
      </c>
      <c r="D125" s="97">
        <v>1022</v>
      </c>
      <c r="E125" s="98">
        <v>0.26125244618395305</v>
      </c>
      <c r="F125" s="98">
        <v>59.849624060150376</v>
      </c>
      <c r="G125" s="97">
        <v>1898</v>
      </c>
      <c r="H125" s="97">
        <v>1975</v>
      </c>
      <c r="I125" s="98">
        <v>0.96101265822784809</v>
      </c>
      <c r="J125" s="98">
        <v>85.225337301559364</v>
      </c>
      <c r="K125" s="97">
        <v>1</v>
      </c>
      <c r="L125" s="97">
        <v>4</v>
      </c>
      <c r="M125" s="98">
        <v>0.25</v>
      </c>
      <c r="N125" s="98">
        <v>75</v>
      </c>
      <c r="O125" s="41">
        <f t="shared" si="2"/>
        <v>69.981146355465029</v>
      </c>
      <c r="P125" s="109">
        <f t="shared" si="3"/>
        <v>71.062961258043401</v>
      </c>
    </row>
    <row r="126" spans="1:16" ht="18" x14ac:dyDescent="0.25">
      <c r="A126" s="73" t="s">
        <v>156</v>
      </c>
      <c r="B126" s="74">
        <v>4103107</v>
      </c>
      <c r="C126" s="97">
        <v>164</v>
      </c>
      <c r="D126" s="97">
        <v>953</v>
      </c>
      <c r="E126" s="98">
        <v>0.17208814270724029</v>
      </c>
      <c r="F126" s="98">
        <v>73.552769647097819</v>
      </c>
      <c r="G126" s="97">
        <v>2353</v>
      </c>
      <c r="H126" s="97">
        <v>2010</v>
      </c>
      <c r="I126" s="98">
        <v>1.1706467661691542</v>
      </c>
      <c r="J126" s="98">
        <v>70.964642958568675</v>
      </c>
      <c r="K126" s="97">
        <v>1</v>
      </c>
      <c r="L126" s="97">
        <v>3</v>
      </c>
      <c r="M126" s="98">
        <v>0.33333333333333331</v>
      </c>
      <c r="N126" s="98">
        <v>66.666666666666671</v>
      </c>
      <c r="O126" s="41">
        <f t="shared" si="2"/>
        <v>71.184212229857749</v>
      </c>
      <c r="P126" s="109">
        <f t="shared" si="3"/>
        <v>73.090048142853774</v>
      </c>
    </row>
    <row r="127" spans="1:16" ht="18" x14ac:dyDescent="0.25">
      <c r="A127" s="73" t="s">
        <v>140</v>
      </c>
      <c r="B127" s="74">
        <v>4127965</v>
      </c>
      <c r="C127" s="97">
        <v>286</v>
      </c>
      <c r="D127" s="97">
        <v>999</v>
      </c>
      <c r="E127" s="98">
        <v>0.28628628628628627</v>
      </c>
      <c r="F127" s="98">
        <v>56.002318107581274</v>
      </c>
      <c r="G127" s="97">
        <v>2438</v>
      </c>
      <c r="H127" s="97">
        <v>2071</v>
      </c>
      <c r="I127" s="98">
        <v>1.1772090777402222</v>
      </c>
      <c r="J127" s="98">
        <v>70.518231253825121</v>
      </c>
      <c r="K127" s="97">
        <v>1</v>
      </c>
      <c r="L127" s="97">
        <v>3</v>
      </c>
      <c r="M127" s="98">
        <v>0.33333333333333331</v>
      </c>
      <c r="N127" s="98">
        <v>66.666666666666671</v>
      </c>
      <c r="O127" s="41">
        <f t="shared" si="2"/>
        <v>62.297383533913589</v>
      </c>
      <c r="P127" s="109">
        <f t="shared" si="3"/>
        <v>58.116326187521892</v>
      </c>
    </row>
    <row r="128" spans="1:16" ht="18" x14ac:dyDescent="0.25">
      <c r="A128" s="73" t="s">
        <v>124</v>
      </c>
      <c r="B128" s="74">
        <v>4110607</v>
      </c>
      <c r="C128" s="97">
        <v>359</v>
      </c>
      <c r="D128" s="97">
        <v>1061</v>
      </c>
      <c r="E128" s="98">
        <v>0.33836003770028278</v>
      </c>
      <c r="F128" s="98">
        <v>47.999404732377599</v>
      </c>
      <c r="G128" s="97">
        <v>2176</v>
      </c>
      <c r="H128" s="97">
        <v>1958</v>
      </c>
      <c r="I128" s="98">
        <v>1.111338100102145</v>
      </c>
      <c r="J128" s="98">
        <v>74.999209503956067</v>
      </c>
      <c r="K128" s="97">
        <v>3</v>
      </c>
      <c r="L128" s="97">
        <v>9</v>
      </c>
      <c r="M128" s="98">
        <v>0.33333333333333331</v>
      </c>
      <c r="N128" s="98">
        <v>66.666666666666671</v>
      </c>
      <c r="O128" s="41">
        <f t="shared" si="2"/>
        <v>59.416171408844491</v>
      </c>
      <c r="P128" s="109">
        <f t="shared" si="3"/>
        <v>53.261673225120887</v>
      </c>
    </row>
    <row r="129" spans="1:16" ht="18" x14ac:dyDescent="0.25">
      <c r="A129" s="73" t="s">
        <v>116</v>
      </c>
      <c r="B129" s="74">
        <v>4104709</v>
      </c>
      <c r="C129" s="97">
        <v>281</v>
      </c>
      <c r="D129" s="97">
        <v>1121</v>
      </c>
      <c r="E129" s="98">
        <v>0.25066904549509367</v>
      </c>
      <c r="F129" s="98">
        <v>61.476125639701394</v>
      </c>
      <c r="G129" s="97">
        <v>2381</v>
      </c>
      <c r="H129" s="97">
        <v>2215</v>
      </c>
      <c r="I129" s="98">
        <v>1.0749435665914222</v>
      </c>
      <c r="J129" s="98">
        <v>77.475005657783584</v>
      </c>
      <c r="K129" s="97">
        <v>2</v>
      </c>
      <c r="L129" s="97">
        <v>5</v>
      </c>
      <c r="M129" s="98">
        <v>0.4</v>
      </c>
      <c r="N129" s="98">
        <v>60</v>
      </c>
      <c r="O129" s="41">
        <f t="shared" si="2"/>
        <v>65.106814234296593</v>
      </c>
      <c r="P129" s="109">
        <f t="shared" si="3"/>
        <v>62.850032169669113</v>
      </c>
    </row>
    <row r="130" spans="1:16" ht="18" x14ac:dyDescent="0.25">
      <c r="A130" s="73" t="s">
        <v>109</v>
      </c>
      <c r="B130" s="74">
        <v>4116208</v>
      </c>
      <c r="C130" s="97">
        <v>169</v>
      </c>
      <c r="D130" s="97">
        <v>1170</v>
      </c>
      <c r="E130" s="98">
        <v>0.14444444444444443</v>
      </c>
      <c r="F130" s="98">
        <v>77.801169590643269</v>
      </c>
      <c r="G130" s="97">
        <v>2816</v>
      </c>
      <c r="H130" s="97">
        <v>2493</v>
      </c>
      <c r="I130" s="98">
        <v>1.129562775772162</v>
      </c>
      <c r="J130" s="98">
        <v>73.759446891933891</v>
      </c>
      <c r="K130" s="97">
        <v>2</v>
      </c>
      <c r="L130" s="97">
        <v>3</v>
      </c>
      <c r="M130" s="98">
        <v>0.66666666666666663</v>
      </c>
      <c r="N130" s="98">
        <v>33.333333333333336</v>
      </c>
      <c r="O130" s="41">
        <f t="shared" si="2"/>
        <v>65.673779851638443</v>
      </c>
      <c r="P130" s="109">
        <f t="shared" si="3"/>
        <v>63.805331951264364</v>
      </c>
    </row>
    <row r="131" spans="1:16" ht="18" x14ac:dyDescent="0.25">
      <c r="A131" s="73" t="s">
        <v>155</v>
      </c>
      <c r="B131" s="74">
        <v>4118808</v>
      </c>
      <c r="C131" s="97">
        <v>335</v>
      </c>
      <c r="D131" s="97">
        <v>851</v>
      </c>
      <c r="E131" s="98">
        <v>0.39365452408930668</v>
      </c>
      <c r="F131" s="98">
        <v>39.501515245222343</v>
      </c>
      <c r="G131" s="97">
        <v>1895</v>
      </c>
      <c r="H131" s="97">
        <v>1805</v>
      </c>
      <c r="I131" s="98">
        <v>1.0498614958448753</v>
      </c>
      <c r="J131" s="98">
        <v>79.181253500362331</v>
      </c>
      <c r="K131" s="97">
        <v>2</v>
      </c>
      <c r="L131" s="97">
        <v>5</v>
      </c>
      <c r="M131" s="98">
        <v>0.4</v>
      </c>
      <c r="N131" s="98">
        <v>60</v>
      </c>
      <c r="O131" s="41">
        <f t="shared" ref="O131:O194" si="4">(2*F131+J131+N131)/4</f>
        <v>54.546070997701754</v>
      </c>
      <c r="P131" s="109">
        <f t="shared" ref="P131:P194" si="5">(O131-O$402)/(O$403-O$402)*100</f>
        <v>45.055874289862892</v>
      </c>
    </row>
    <row r="132" spans="1:16" ht="18" x14ac:dyDescent="0.25">
      <c r="A132" s="73" t="s">
        <v>122</v>
      </c>
      <c r="B132" s="74">
        <v>4115408</v>
      </c>
      <c r="C132" s="97">
        <v>259</v>
      </c>
      <c r="D132" s="97">
        <v>1080</v>
      </c>
      <c r="E132" s="98">
        <v>0.23981481481481481</v>
      </c>
      <c r="F132" s="98">
        <v>63.144249512670569</v>
      </c>
      <c r="G132" s="97">
        <v>2183</v>
      </c>
      <c r="H132" s="97">
        <v>2073</v>
      </c>
      <c r="I132" s="98">
        <v>1.0530631934394596</v>
      </c>
      <c r="J132" s="98">
        <v>78.963452918083803</v>
      </c>
      <c r="K132" s="97">
        <v>2</v>
      </c>
      <c r="L132" s="97">
        <v>4</v>
      </c>
      <c r="M132" s="98">
        <v>0.5</v>
      </c>
      <c r="N132" s="98">
        <v>50</v>
      </c>
      <c r="O132" s="41">
        <f t="shared" si="4"/>
        <v>63.812987985856239</v>
      </c>
      <c r="P132" s="109">
        <f t="shared" si="5"/>
        <v>60.670020022985348</v>
      </c>
    </row>
    <row r="133" spans="1:16" ht="18" x14ac:dyDescent="0.25">
      <c r="A133" s="73" t="s">
        <v>162</v>
      </c>
      <c r="B133" s="74">
        <v>4117107</v>
      </c>
      <c r="C133" s="97">
        <v>374</v>
      </c>
      <c r="D133" s="97">
        <v>810</v>
      </c>
      <c r="E133" s="98">
        <v>0.46172839506172841</v>
      </c>
      <c r="F133" s="98">
        <v>29.039636127355429</v>
      </c>
      <c r="G133" s="97">
        <v>1886</v>
      </c>
      <c r="H133" s="97">
        <v>1696</v>
      </c>
      <c r="I133" s="98">
        <v>1.1120283018867925</v>
      </c>
      <c r="J133" s="98">
        <v>74.952257427395125</v>
      </c>
      <c r="K133" s="97">
        <v>2</v>
      </c>
      <c r="L133" s="97">
        <v>6</v>
      </c>
      <c r="M133" s="98">
        <v>0.33333333333333331</v>
      </c>
      <c r="N133" s="98">
        <v>66.666666666666671</v>
      </c>
      <c r="O133" s="41">
        <f t="shared" si="4"/>
        <v>49.924549087193171</v>
      </c>
      <c r="P133" s="109">
        <f t="shared" si="5"/>
        <v>37.268913781665816</v>
      </c>
    </row>
    <row r="134" spans="1:16" ht="18" x14ac:dyDescent="0.25">
      <c r="A134" s="73" t="s">
        <v>148</v>
      </c>
      <c r="B134" s="74">
        <v>4109302</v>
      </c>
      <c r="C134" s="97">
        <v>268</v>
      </c>
      <c r="D134" s="97">
        <v>903</v>
      </c>
      <c r="E134" s="98">
        <v>0.29678848283499448</v>
      </c>
      <c r="F134" s="98">
        <v>54.388296322200844</v>
      </c>
      <c r="G134" s="97">
        <v>1858</v>
      </c>
      <c r="H134" s="97">
        <v>1714</v>
      </c>
      <c r="I134" s="98">
        <v>1.0840140023337224</v>
      </c>
      <c r="J134" s="98">
        <v>76.857974808419627</v>
      </c>
      <c r="K134" s="97">
        <v>1</v>
      </c>
      <c r="L134" s="97">
        <v>7</v>
      </c>
      <c r="M134" s="98">
        <v>0.14285714285714285</v>
      </c>
      <c r="N134" s="98">
        <v>85.714285714285722</v>
      </c>
      <c r="O134" s="41">
        <f t="shared" si="4"/>
        <v>67.837213291776763</v>
      </c>
      <c r="P134" s="109">
        <f t="shared" si="5"/>
        <v>67.450575030641247</v>
      </c>
    </row>
    <row r="135" spans="1:16" ht="18" x14ac:dyDescent="0.25">
      <c r="A135" s="73" t="s">
        <v>138</v>
      </c>
      <c r="B135" s="74">
        <v>4110078</v>
      </c>
      <c r="C135" s="97">
        <v>160</v>
      </c>
      <c r="D135" s="97">
        <v>1144</v>
      </c>
      <c r="E135" s="98">
        <v>0.13986013986013987</v>
      </c>
      <c r="F135" s="98">
        <v>78.505704821494291</v>
      </c>
      <c r="G135" s="97">
        <v>1940</v>
      </c>
      <c r="H135" s="97">
        <v>2127</v>
      </c>
      <c r="I135" s="98">
        <v>0.91208274565115188</v>
      </c>
      <c r="J135" s="98">
        <v>88.553872597356204</v>
      </c>
      <c r="K135" s="97">
        <v>1</v>
      </c>
      <c r="L135" s="97">
        <v>4</v>
      </c>
      <c r="M135" s="98">
        <v>0.25</v>
      </c>
      <c r="N135" s="98">
        <v>75</v>
      </c>
      <c r="O135" s="41">
        <f t="shared" si="4"/>
        <v>80.1413205600862</v>
      </c>
      <c r="P135" s="109">
        <f t="shared" si="5"/>
        <v>88.18218666037005</v>
      </c>
    </row>
    <row r="136" spans="1:16" ht="18" x14ac:dyDescent="0.25">
      <c r="A136" s="73" t="s">
        <v>163</v>
      </c>
      <c r="B136" s="74">
        <v>4117255</v>
      </c>
      <c r="C136" s="97">
        <v>289</v>
      </c>
      <c r="D136" s="97">
        <v>916</v>
      </c>
      <c r="E136" s="98">
        <v>0.31550218340611352</v>
      </c>
      <c r="F136" s="98">
        <v>51.512296023902557</v>
      </c>
      <c r="G136" s="97">
        <v>1509</v>
      </c>
      <c r="H136" s="97">
        <v>1689</v>
      </c>
      <c r="I136" s="98">
        <v>0.89342806394316165</v>
      </c>
      <c r="J136" s="98">
        <v>89.822887055527815</v>
      </c>
      <c r="K136" s="97">
        <v>0</v>
      </c>
      <c r="L136" s="97">
        <v>3</v>
      </c>
      <c r="M136" s="98">
        <v>0</v>
      </c>
      <c r="N136" s="98">
        <v>100</v>
      </c>
      <c r="O136" s="41">
        <f t="shared" si="4"/>
        <v>73.211869775833236</v>
      </c>
      <c r="P136" s="109">
        <f t="shared" si="5"/>
        <v>76.506517769181116</v>
      </c>
    </row>
    <row r="137" spans="1:16" ht="18" x14ac:dyDescent="0.25">
      <c r="A137" s="73" t="s">
        <v>104</v>
      </c>
      <c r="B137" s="74">
        <v>4106209</v>
      </c>
      <c r="C137" s="97">
        <v>296</v>
      </c>
      <c r="D137" s="97">
        <v>1243</v>
      </c>
      <c r="E137" s="98">
        <v>0.23813354786806115</v>
      </c>
      <c r="F137" s="98">
        <v>63.402633696066388</v>
      </c>
      <c r="G137" s="97">
        <v>2935</v>
      </c>
      <c r="H137" s="97">
        <v>2740</v>
      </c>
      <c r="I137" s="98">
        <v>1.0711678832116789</v>
      </c>
      <c r="J137" s="98">
        <v>77.731852538013129</v>
      </c>
      <c r="K137" s="97">
        <v>0</v>
      </c>
      <c r="L137" s="97">
        <v>5</v>
      </c>
      <c r="M137" s="98">
        <v>0</v>
      </c>
      <c r="N137" s="98">
        <v>100</v>
      </c>
      <c r="O137" s="41">
        <f t="shared" si="4"/>
        <v>76.134279982536469</v>
      </c>
      <c r="P137" s="109">
        <f t="shared" si="5"/>
        <v>81.430586789952201</v>
      </c>
    </row>
    <row r="138" spans="1:16" ht="18" x14ac:dyDescent="0.25">
      <c r="A138" s="73" t="s">
        <v>144</v>
      </c>
      <c r="B138" s="74">
        <v>4122156</v>
      </c>
      <c r="C138" s="97">
        <v>186</v>
      </c>
      <c r="D138" s="97">
        <v>998</v>
      </c>
      <c r="E138" s="98">
        <v>0.18637274549098196</v>
      </c>
      <c r="F138" s="98">
        <v>71.357451745596464</v>
      </c>
      <c r="G138" s="97">
        <v>2479</v>
      </c>
      <c r="H138" s="97">
        <v>2149</v>
      </c>
      <c r="I138" s="98">
        <v>1.1535597952536063</v>
      </c>
      <c r="J138" s="98">
        <v>72.127011391201904</v>
      </c>
      <c r="K138" s="97">
        <v>1</v>
      </c>
      <c r="L138" s="97">
        <v>3</v>
      </c>
      <c r="M138" s="98">
        <v>0.33333333333333331</v>
      </c>
      <c r="N138" s="98">
        <v>66.666666666666671</v>
      </c>
      <c r="O138" s="41">
        <f t="shared" si="4"/>
        <v>70.377145387265372</v>
      </c>
      <c r="P138" s="109">
        <f t="shared" si="5"/>
        <v>71.730193585753867</v>
      </c>
    </row>
    <row r="139" spans="1:16" ht="18" x14ac:dyDescent="0.25">
      <c r="A139" s="73" t="s">
        <v>194</v>
      </c>
      <c r="B139" s="74">
        <v>4107900</v>
      </c>
      <c r="C139" s="97">
        <v>374</v>
      </c>
      <c r="D139" s="97">
        <v>745</v>
      </c>
      <c r="E139" s="98">
        <v>0.50201342281879191</v>
      </c>
      <c r="F139" s="98">
        <v>22.848463440480408</v>
      </c>
      <c r="G139" s="97">
        <v>1601</v>
      </c>
      <c r="H139" s="97">
        <v>1472</v>
      </c>
      <c r="I139" s="98">
        <v>1.0876358695652173</v>
      </c>
      <c r="J139" s="98">
        <v>76.611591516852855</v>
      </c>
      <c r="K139" s="97">
        <v>1</v>
      </c>
      <c r="L139" s="97">
        <v>4</v>
      </c>
      <c r="M139" s="98">
        <v>0.25</v>
      </c>
      <c r="N139" s="98">
        <v>75</v>
      </c>
      <c r="O139" s="41">
        <f t="shared" si="4"/>
        <v>49.327129599453414</v>
      </c>
      <c r="P139" s="109">
        <f t="shared" si="5"/>
        <v>36.26230123109481</v>
      </c>
    </row>
    <row r="140" spans="1:16" ht="18" x14ac:dyDescent="0.25">
      <c r="A140" s="73" t="s">
        <v>132</v>
      </c>
      <c r="B140" s="74">
        <v>4127304</v>
      </c>
      <c r="C140" s="97">
        <v>342</v>
      </c>
      <c r="D140" s="97">
        <v>875</v>
      </c>
      <c r="E140" s="98">
        <v>0.39085714285714285</v>
      </c>
      <c r="F140" s="98">
        <v>39.931428571428576</v>
      </c>
      <c r="G140" s="97">
        <v>2335</v>
      </c>
      <c r="H140" s="97">
        <v>2020</v>
      </c>
      <c r="I140" s="98">
        <v>1.1559405940594059</v>
      </c>
      <c r="J140" s="98">
        <v>71.965053757517737</v>
      </c>
      <c r="K140" s="97">
        <v>2</v>
      </c>
      <c r="L140" s="97">
        <v>6</v>
      </c>
      <c r="M140" s="98">
        <v>0.33333333333333331</v>
      </c>
      <c r="N140" s="98">
        <v>66.666666666666671</v>
      </c>
      <c r="O140" s="41">
        <f t="shared" si="4"/>
        <v>54.623644391760394</v>
      </c>
      <c r="P140" s="109">
        <f t="shared" si="5"/>
        <v>45.18658035762985</v>
      </c>
    </row>
    <row r="141" spans="1:16" ht="18" x14ac:dyDescent="0.25">
      <c r="A141" s="73" t="s">
        <v>129</v>
      </c>
      <c r="B141" s="74">
        <v>4111902</v>
      </c>
      <c r="C141" s="97">
        <v>270</v>
      </c>
      <c r="D141" s="97">
        <v>1031</v>
      </c>
      <c r="E141" s="98">
        <v>0.26188166828322018</v>
      </c>
      <c r="F141" s="98">
        <v>59.752922558578788</v>
      </c>
      <c r="G141" s="97">
        <v>2362</v>
      </c>
      <c r="H141" s="97">
        <v>2057</v>
      </c>
      <c r="I141" s="98">
        <v>1.1482741857073409</v>
      </c>
      <c r="J141" s="98">
        <v>72.486573405684723</v>
      </c>
      <c r="K141" s="97">
        <v>3</v>
      </c>
      <c r="L141" s="97">
        <v>6</v>
      </c>
      <c r="M141" s="98">
        <v>0.5</v>
      </c>
      <c r="N141" s="98">
        <v>50</v>
      </c>
      <c r="O141" s="41">
        <f t="shared" si="4"/>
        <v>60.498104630710571</v>
      </c>
      <c r="P141" s="109">
        <f t="shared" si="5"/>
        <v>55.084659556099993</v>
      </c>
    </row>
    <row r="142" spans="1:16" ht="18" x14ac:dyDescent="0.25">
      <c r="A142" s="73" t="s">
        <v>164</v>
      </c>
      <c r="B142" s="74">
        <v>4107504</v>
      </c>
      <c r="C142" s="97">
        <v>350</v>
      </c>
      <c r="D142" s="97">
        <v>661</v>
      </c>
      <c r="E142" s="98">
        <v>0.529500756429652</v>
      </c>
      <c r="F142" s="98">
        <v>18.624094275021911</v>
      </c>
      <c r="G142" s="97">
        <v>1592</v>
      </c>
      <c r="H142" s="97">
        <v>1446</v>
      </c>
      <c r="I142" s="98">
        <v>1.1009681881051177</v>
      </c>
      <c r="J142" s="98">
        <v>75.704639296872784</v>
      </c>
      <c r="K142" s="97">
        <v>2</v>
      </c>
      <c r="L142" s="97">
        <v>8</v>
      </c>
      <c r="M142" s="98">
        <v>0.25</v>
      </c>
      <c r="N142" s="98">
        <v>75</v>
      </c>
      <c r="O142" s="41">
        <f t="shared" si="4"/>
        <v>46.988206961729148</v>
      </c>
      <c r="P142" s="109">
        <f t="shared" si="5"/>
        <v>32.321370393944953</v>
      </c>
    </row>
    <row r="143" spans="1:16" ht="18" x14ac:dyDescent="0.25">
      <c r="A143" s="73" t="s">
        <v>108</v>
      </c>
      <c r="B143" s="74">
        <v>4121208</v>
      </c>
      <c r="C143" s="97">
        <v>229</v>
      </c>
      <c r="D143" s="97">
        <v>1179</v>
      </c>
      <c r="E143" s="98">
        <v>0.19423240033927056</v>
      </c>
      <c r="F143" s="98">
        <v>70.149546895227886</v>
      </c>
      <c r="G143" s="97">
        <v>2777</v>
      </c>
      <c r="H143" s="97">
        <v>2387</v>
      </c>
      <c r="I143" s="98">
        <v>1.1633850020946794</v>
      </c>
      <c r="J143" s="98">
        <v>71.458636034762122</v>
      </c>
      <c r="K143" s="97">
        <v>1</v>
      </c>
      <c r="L143" s="97">
        <v>3</v>
      </c>
      <c r="M143" s="98">
        <v>0.33333333333333331</v>
      </c>
      <c r="N143" s="98">
        <v>66.666666666666671</v>
      </c>
      <c r="O143" s="41">
        <f t="shared" si="4"/>
        <v>69.606099122971145</v>
      </c>
      <c r="P143" s="109">
        <f t="shared" si="5"/>
        <v>70.431031334375234</v>
      </c>
    </row>
    <row r="144" spans="1:16" ht="18" x14ac:dyDescent="0.25">
      <c r="A144" s="73" t="s">
        <v>185</v>
      </c>
      <c r="B144" s="74">
        <v>4104451</v>
      </c>
      <c r="C144" s="97">
        <v>229</v>
      </c>
      <c r="D144" s="97">
        <v>725</v>
      </c>
      <c r="E144" s="98">
        <v>0.31586206896551722</v>
      </c>
      <c r="F144" s="98">
        <v>51.456987295825776</v>
      </c>
      <c r="G144" s="97">
        <v>1911</v>
      </c>
      <c r="H144" s="97">
        <v>1611</v>
      </c>
      <c r="I144" s="98">
        <v>1.186219739292365</v>
      </c>
      <c r="J144" s="98">
        <v>69.905266639024831</v>
      </c>
      <c r="K144" s="97">
        <v>1</v>
      </c>
      <c r="L144" s="97">
        <v>3</v>
      </c>
      <c r="M144" s="98">
        <v>0.33333333333333331</v>
      </c>
      <c r="N144" s="98">
        <v>66.666666666666671</v>
      </c>
      <c r="O144" s="41">
        <f t="shared" si="4"/>
        <v>59.871476974335764</v>
      </c>
      <c r="P144" s="109">
        <f t="shared" si="5"/>
        <v>54.028833162106395</v>
      </c>
    </row>
    <row r="145" spans="1:16" ht="18" x14ac:dyDescent="0.25">
      <c r="A145" s="73" t="s">
        <v>170</v>
      </c>
      <c r="B145" s="74">
        <v>4124806</v>
      </c>
      <c r="C145" s="97">
        <v>277</v>
      </c>
      <c r="D145" s="97">
        <v>790</v>
      </c>
      <c r="E145" s="98">
        <v>0.35063291139240504</v>
      </c>
      <c r="F145" s="98">
        <v>46.113257828114598</v>
      </c>
      <c r="G145" s="97">
        <v>1586</v>
      </c>
      <c r="H145" s="97">
        <v>1449</v>
      </c>
      <c r="I145" s="98">
        <v>1.0945479641131814</v>
      </c>
      <c r="J145" s="98">
        <v>76.141385267562697</v>
      </c>
      <c r="K145" s="97">
        <v>1</v>
      </c>
      <c r="L145" s="97">
        <v>3</v>
      </c>
      <c r="M145" s="98">
        <v>0.33333333333333331</v>
      </c>
      <c r="N145" s="98">
        <v>66.666666666666671</v>
      </c>
      <c r="O145" s="41">
        <f t="shared" si="4"/>
        <v>58.758641897614638</v>
      </c>
      <c r="P145" s="109">
        <f t="shared" si="5"/>
        <v>52.153779237800691</v>
      </c>
    </row>
    <row r="146" spans="1:16" ht="18" x14ac:dyDescent="0.25">
      <c r="A146" s="73" t="s">
        <v>143</v>
      </c>
      <c r="B146" s="74">
        <v>4122008</v>
      </c>
      <c r="C146" s="97">
        <v>149</v>
      </c>
      <c r="D146" s="97">
        <v>899</v>
      </c>
      <c r="E146" s="98">
        <v>0.1657397107897664</v>
      </c>
      <c r="F146" s="98">
        <v>74.528423394414844</v>
      </c>
      <c r="G146" s="97">
        <v>2058</v>
      </c>
      <c r="H146" s="97">
        <v>1857</v>
      </c>
      <c r="I146" s="98">
        <v>1.1082390953150243</v>
      </c>
      <c r="J146" s="98">
        <v>75.210024244317722</v>
      </c>
      <c r="K146" s="97">
        <v>0</v>
      </c>
      <c r="L146" s="97">
        <v>2</v>
      </c>
      <c r="M146" s="98">
        <v>0</v>
      </c>
      <c r="N146" s="98">
        <v>100</v>
      </c>
      <c r="O146" s="41">
        <f t="shared" si="4"/>
        <v>81.066717758286856</v>
      </c>
      <c r="P146" s="109">
        <f t="shared" si="5"/>
        <v>89.741420085272651</v>
      </c>
    </row>
    <row r="147" spans="1:16" ht="18" x14ac:dyDescent="0.25">
      <c r="A147" s="73" t="s">
        <v>142</v>
      </c>
      <c r="B147" s="74">
        <v>4123808</v>
      </c>
      <c r="C147" s="97">
        <v>248</v>
      </c>
      <c r="D147" s="97">
        <v>877</v>
      </c>
      <c r="E147" s="98">
        <v>0.28278221208665905</v>
      </c>
      <c r="F147" s="98">
        <v>56.540838984576617</v>
      </c>
      <c r="G147" s="97">
        <v>1605</v>
      </c>
      <c r="H147" s="97">
        <v>1797</v>
      </c>
      <c r="I147" s="98">
        <v>0.89315525876460766</v>
      </c>
      <c r="J147" s="98">
        <v>89.841445062641952</v>
      </c>
      <c r="K147" s="97">
        <v>2</v>
      </c>
      <c r="L147" s="97">
        <v>5</v>
      </c>
      <c r="M147" s="98">
        <v>0.4</v>
      </c>
      <c r="N147" s="98">
        <v>60</v>
      </c>
      <c r="O147" s="41">
        <f t="shared" si="4"/>
        <v>65.730780757948793</v>
      </c>
      <c r="P147" s="109">
        <f t="shared" si="5"/>
        <v>63.901374730021054</v>
      </c>
    </row>
    <row r="148" spans="1:16" ht="18" x14ac:dyDescent="0.25">
      <c r="A148" s="73" t="s">
        <v>176</v>
      </c>
      <c r="B148" s="74">
        <v>4108007</v>
      </c>
      <c r="C148" s="97">
        <v>261</v>
      </c>
      <c r="D148" s="97">
        <v>720</v>
      </c>
      <c r="E148" s="98">
        <v>0.36249999999999999</v>
      </c>
      <c r="F148" s="98">
        <v>44.289473684210535</v>
      </c>
      <c r="G148" s="97">
        <v>1498</v>
      </c>
      <c r="H148" s="97">
        <v>1471</v>
      </c>
      <c r="I148" s="98">
        <v>1.0183548606390211</v>
      </c>
      <c r="J148" s="98">
        <v>81.324542580842461</v>
      </c>
      <c r="K148" s="97">
        <v>2</v>
      </c>
      <c r="L148" s="97">
        <v>7</v>
      </c>
      <c r="M148" s="98">
        <v>0.2857142857142857</v>
      </c>
      <c r="N148" s="98">
        <v>71.428571428571431</v>
      </c>
      <c r="O148" s="41">
        <f t="shared" si="4"/>
        <v>60.333015344458744</v>
      </c>
      <c r="P148" s="109">
        <f t="shared" si="5"/>
        <v>54.806494965027454</v>
      </c>
    </row>
    <row r="149" spans="1:16" ht="18" x14ac:dyDescent="0.25">
      <c r="A149" s="73" t="s">
        <v>206</v>
      </c>
      <c r="B149" s="74">
        <v>4110201</v>
      </c>
      <c r="C149" s="97">
        <v>173</v>
      </c>
      <c r="D149" s="97">
        <v>681</v>
      </c>
      <c r="E149" s="98">
        <v>0.25403817914831128</v>
      </c>
      <c r="F149" s="98">
        <v>60.958342994049005</v>
      </c>
      <c r="G149" s="97">
        <v>1663</v>
      </c>
      <c r="H149" s="97">
        <v>1472</v>
      </c>
      <c r="I149" s="98">
        <v>1.1297554347826086</v>
      </c>
      <c r="J149" s="98">
        <v>73.746340955655754</v>
      </c>
      <c r="K149" s="97">
        <v>0</v>
      </c>
      <c r="L149" s="97">
        <v>2</v>
      </c>
      <c r="M149" s="98">
        <v>0</v>
      </c>
      <c r="N149" s="98">
        <v>100</v>
      </c>
      <c r="O149" s="41">
        <f t="shared" si="4"/>
        <v>73.915756735938444</v>
      </c>
      <c r="P149" s="109">
        <f t="shared" si="5"/>
        <v>77.692521009393161</v>
      </c>
    </row>
    <row r="150" spans="1:16" ht="18" x14ac:dyDescent="0.25">
      <c r="A150" s="73" t="s">
        <v>120</v>
      </c>
      <c r="B150" s="74">
        <v>4106803</v>
      </c>
      <c r="C150" s="97">
        <v>184</v>
      </c>
      <c r="D150" s="97">
        <v>890</v>
      </c>
      <c r="E150" s="98">
        <v>0.20674157303370785</v>
      </c>
      <c r="F150" s="98">
        <v>68.227084565345947</v>
      </c>
      <c r="G150" s="97">
        <v>2209</v>
      </c>
      <c r="H150" s="97">
        <v>2008</v>
      </c>
      <c r="I150" s="98">
        <v>1.1000996015936255</v>
      </c>
      <c r="J150" s="98">
        <v>75.763726278817074</v>
      </c>
      <c r="K150" s="97">
        <v>1</v>
      </c>
      <c r="L150" s="97">
        <v>4</v>
      </c>
      <c r="M150" s="98">
        <v>0.25</v>
      </c>
      <c r="N150" s="98">
        <v>75</v>
      </c>
      <c r="O150" s="41">
        <f t="shared" si="4"/>
        <v>71.804473852377242</v>
      </c>
      <c r="P150" s="109">
        <f t="shared" si="5"/>
        <v>74.135148188431188</v>
      </c>
    </row>
    <row r="151" spans="1:16" ht="18" x14ac:dyDescent="0.25">
      <c r="A151" s="73" t="s">
        <v>161</v>
      </c>
      <c r="B151" s="74">
        <v>4117800</v>
      </c>
      <c r="C151" s="97">
        <v>162</v>
      </c>
      <c r="D151" s="97">
        <v>902</v>
      </c>
      <c r="E151" s="98">
        <v>0.17960088691796008</v>
      </c>
      <c r="F151" s="98">
        <v>72.398179484187196</v>
      </c>
      <c r="G151" s="97">
        <v>2138</v>
      </c>
      <c r="H151" s="97">
        <v>1841</v>
      </c>
      <c r="I151" s="98">
        <v>1.1613253666485606</v>
      </c>
      <c r="J151" s="98">
        <v>71.598746018979554</v>
      </c>
      <c r="K151" s="97">
        <v>2</v>
      </c>
      <c r="L151" s="97">
        <v>4</v>
      </c>
      <c r="M151" s="98">
        <v>0.5</v>
      </c>
      <c r="N151" s="98">
        <v>50</v>
      </c>
      <c r="O151" s="41">
        <f t="shared" si="4"/>
        <v>66.598776246838483</v>
      </c>
      <c r="P151" s="109">
        <f t="shared" si="5"/>
        <v>65.363890049467727</v>
      </c>
    </row>
    <row r="152" spans="1:16" ht="18" x14ac:dyDescent="0.25">
      <c r="A152" s="73" t="s">
        <v>177</v>
      </c>
      <c r="B152" s="74">
        <v>4123402</v>
      </c>
      <c r="C152" s="97">
        <v>324</v>
      </c>
      <c r="D152" s="97">
        <v>624</v>
      </c>
      <c r="E152" s="98">
        <v>0.51923076923076927</v>
      </c>
      <c r="F152" s="98">
        <v>20.20242914979757</v>
      </c>
      <c r="G152" s="97">
        <v>1411</v>
      </c>
      <c r="H152" s="97">
        <v>1374</v>
      </c>
      <c r="I152" s="98">
        <v>1.0269286754002911</v>
      </c>
      <c r="J152" s="98">
        <v>80.74129516531157</v>
      </c>
      <c r="K152" s="97">
        <v>2</v>
      </c>
      <c r="L152" s="97">
        <v>4</v>
      </c>
      <c r="M152" s="98">
        <v>0.5</v>
      </c>
      <c r="N152" s="98">
        <v>50</v>
      </c>
      <c r="O152" s="41">
        <f t="shared" si="4"/>
        <v>42.786538366226679</v>
      </c>
      <c r="P152" s="109">
        <f t="shared" si="5"/>
        <v>25.241835112003802</v>
      </c>
    </row>
    <row r="153" spans="1:16" ht="18" x14ac:dyDescent="0.25">
      <c r="A153" s="73" t="s">
        <v>175</v>
      </c>
      <c r="B153" s="74">
        <v>4105607</v>
      </c>
      <c r="C153" s="97">
        <v>280</v>
      </c>
      <c r="D153" s="97">
        <v>788</v>
      </c>
      <c r="E153" s="98">
        <v>0.35532994923857869</v>
      </c>
      <c r="F153" s="98">
        <v>45.391397274913174</v>
      </c>
      <c r="G153" s="97">
        <v>1810</v>
      </c>
      <c r="H153" s="97">
        <v>1544</v>
      </c>
      <c r="I153" s="98">
        <v>1.1722797927461139</v>
      </c>
      <c r="J153" s="98">
        <v>70.853553722677148</v>
      </c>
      <c r="K153" s="97">
        <v>2</v>
      </c>
      <c r="L153" s="97">
        <v>4</v>
      </c>
      <c r="M153" s="98">
        <v>0.5</v>
      </c>
      <c r="N153" s="98">
        <v>50</v>
      </c>
      <c r="O153" s="41">
        <f t="shared" si="4"/>
        <v>52.909087068125871</v>
      </c>
      <c r="P153" s="109">
        <f t="shared" si="5"/>
        <v>42.297664016494764</v>
      </c>
    </row>
    <row r="154" spans="1:16" ht="18" x14ac:dyDescent="0.25">
      <c r="A154" s="73" t="s">
        <v>158</v>
      </c>
      <c r="B154" s="74">
        <v>4111407</v>
      </c>
      <c r="C154" s="97">
        <v>147</v>
      </c>
      <c r="D154" s="97">
        <v>942</v>
      </c>
      <c r="E154" s="98">
        <v>0.15605095541401273</v>
      </c>
      <c r="F154" s="98">
        <v>76.017432115320148</v>
      </c>
      <c r="G154" s="97">
        <v>2043</v>
      </c>
      <c r="H154" s="97">
        <v>1890</v>
      </c>
      <c r="I154" s="98">
        <v>1.0809523809523809</v>
      </c>
      <c r="J154" s="98">
        <v>77.066246483015149</v>
      </c>
      <c r="K154" s="97">
        <v>1</v>
      </c>
      <c r="L154" s="97">
        <v>2</v>
      </c>
      <c r="M154" s="98">
        <v>0.5</v>
      </c>
      <c r="N154" s="98">
        <v>50</v>
      </c>
      <c r="O154" s="41">
        <f t="shared" si="4"/>
        <v>69.775277678413858</v>
      </c>
      <c r="P154" s="109">
        <f t="shared" si="5"/>
        <v>70.716086075124323</v>
      </c>
    </row>
    <row r="155" spans="1:16" ht="18" x14ac:dyDescent="0.25">
      <c r="A155" s="73" t="s">
        <v>189</v>
      </c>
      <c r="B155" s="74">
        <v>4126678</v>
      </c>
      <c r="C155" s="97">
        <v>128</v>
      </c>
      <c r="D155" s="97">
        <v>761</v>
      </c>
      <c r="E155" s="98">
        <v>0.16819973718791065</v>
      </c>
      <c r="F155" s="98">
        <v>74.150356179542158</v>
      </c>
      <c r="G155" s="97">
        <v>1925</v>
      </c>
      <c r="H155" s="97">
        <v>1628</v>
      </c>
      <c r="I155" s="98">
        <v>1.1824324324324325</v>
      </c>
      <c r="J155" s="98">
        <v>70.162904225021734</v>
      </c>
      <c r="K155" s="97">
        <v>1</v>
      </c>
      <c r="L155" s="97">
        <v>3</v>
      </c>
      <c r="M155" s="98">
        <v>0.33333333333333331</v>
      </c>
      <c r="N155" s="98">
        <v>66.666666666666671</v>
      </c>
      <c r="O155" s="41">
        <f t="shared" si="4"/>
        <v>71.28257081269318</v>
      </c>
      <c r="P155" s="109">
        <f t="shared" si="5"/>
        <v>73.255775886876833</v>
      </c>
    </row>
    <row r="156" spans="1:16" ht="18" x14ac:dyDescent="0.25">
      <c r="A156" s="73" t="s">
        <v>137</v>
      </c>
      <c r="B156" s="74">
        <v>4119806</v>
      </c>
      <c r="C156" s="97">
        <v>303</v>
      </c>
      <c r="D156" s="97">
        <v>899</v>
      </c>
      <c r="E156" s="98">
        <v>0.33704115684093439</v>
      </c>
      <c r="F156" s="98">
        <v>48.202095896024829</v>
      </c>
      <c r="G156" s="97">
        <v>1572</v>
      </c>
      <c r="H156" s="97">
        <v>1570</v>
      </c>
      <c r="I156" s="98">
        <v>1.0012738853503185</v>
      </c>
      <c r="J156" s="98">
        <v>82.486503151402701</v>
      </c>
      <c r="K156" s="97">
        <v>1</v>
      </c>
      <c r="L156" s="97">
        <v>3</v>
      </c>
      <c r="M156" s="98">
        <v>0.33333333333333331</v>
      </c>
      <c r="N156" s="98">
        <v>66.666666666666671</v>
      </c>
      <c r="O156" s="41">
        <f t="shared" si="4"/>
        <v>61.389340402529754</v>
      </c>
      <c r="P156" s="109">
        <f t="shared" si="5"/>
        <v>56.586333224003212</v>
      </c>
    </row>
    <row r="157" spans="1:16" ht="18" x14ac:dyDescent="0.25">
      <c r="A157" s="73" t="s">
        <v>166</v>
      </c>
      <c r="B157" s="74">
        <v>4111209</v>
      </c>
      <c r="C157" s="97">
        <v>298</v>
      </c>
      <c r="D157" s="97">
        <v>845</v>
      </c>
      <c r="E157" s="98">
        <v>0.35266272189349113</v>
      </c>
      <c r="F157" s="98">
        <v>45.801308003737155</v>
      </c>
      <c r="G157" s="97">
        <v>1817</v>
      </c>
      <c r="H157" s="97">
        <v>1591</v>
      </c>
      <c r="I157" s="98">
        <v>1.142049025769956</v>
      </c>
      <c r="J157" s="98">
        <v>72.910049833137705</v>
      </c>
      <c r="K157" s="97">
        <v>1</v>
      </c>
      <c r="L157" s="97">
        <v>4</v>
      </c>
      <c r="M157" s="98">
        <v>0.25</v>
      </c>
      <c r="N157" s="98">
        <v>75</v>
      </c>
      <c r="O157" s="41">
        <f t="shared" si="4"/>
        <v>59.878166460153004</v>
      </c>
      <c r="P157" s="109">
        <f t="shared" si="5"/>
        <v>54.040104505808237</v>
      </c>
    </row>
    <row r="158" spans="1:16" ht="18" x14ac:dyDescent="0.25">
      <c r="A158" s="73" t="s">
        <v>205</v>
      </c>
      <c r="B158" s="74">
        <v>4128534</v>
      </c>
      <c r="C158" s="97">
        <v>174</v>
      </c>
      <c r="D158" s="97">
        <v>674</v>
      </c>
      <c r="E158" s="98">
        <v>0.25816023738872401</v>
      </c>
      <c r="F158" s="98">
        <v>60.324847727627684</v>
      </c>
      <c r="G158" s="97">
        <v>1424</v>
      </c>
      <c r="H158" s="97">
        <v>1362</v>
      </c>
      <c r="I158" s="98">
        <v>1.0455212922173274</v>
      </c>
      <c r="J158" s="98">
        <v>79.476502770276596</v>
      </c>
      <c r="K158" s="97">
        <v>1</v>
      </c>
      <c r="L158" s="97">
        <v>3</v>
      </c>
      <c r="M158" s="98">
        <v>0.33333333333333331</v>
      </c>
      <c r="N158" s="98">
        <v>66.666666666666671</v>
      </c>
      <c r="O158" s="41">
        <f t="shared" si="4"/>
        <v>66.698216223049656</v>
      </c>
      <c r="P158" s="109">
        <f t="shared" si="5"/>
        <v>65.531439870216531</v>
      </c>
    </row>
    <row r="159" spans="1:16" ht="18" x14ac:dyDescent="0.25">
      <c r="A159" s="73" t="s">
        <v>127</v>
      </c>
      <c r="B159" s="74">
        <v>4104402</v>
      </c>
      <c r="C159" s="97">
        <v>195</v>
      </c>
      <c r="D159" s="97">
        <v>944</v>
      </c>
      <c r="E159" s="98">
        <v>0.2065677966101695</v>
      </c>
      <c r="F159" s="98">
        <v>68.253791257805531</v>
      </c>
      <c r="G159" s="97">
        <v>2133</v>
      </c>
      <c r="H159" s="97">
        <v>2069</v>
      </c>
      <c r="I159" s="98">
        <v>1.0309328177863701</v>
      </c>
      <c r="J159" s="98">
        <v>80.468906997019445</v>
      </c>
      <c r="K159" s="97">
        <v>1</v>
      </c>
      <c r="L159" s="97">
        <v>3</v>
      </c>
      <c r="M159" s="98">
        <v>0.33333333333333331</v>
      </c>
      <c r="N159" s="98">
        <v>66.666666666666671</v>
      </c>
      <c r="O159" s="41">
        <f t="shared" si="4"/>
        <v>70.910789044824298</v>
      </c>
      <c r="P159" s="109">
        <f t="shared" si="5"/>
        <v>72.629348056365032</v>
      </c>
    </row>
    <row r="160" spans="1:16" ht="18" x14ac:dyDescent="0.25">
      <c r="A160" s="73" t="s">
        <v>202</v>
      </c>
      <c r="B160" s="74">
        <v>4102604</v>
      </c>
      <c r="C160" s="97">
        <v>195</v>
      </c>
      <c r="D160" s="97">
        <v>645</v>
      </c>
      <c r="E160" s="98">
        <v>0.30232558139534882</v>
      </c>
      <c r="F160" s="98">
        <v>53.537331701346389</v>
      </c>
      <c r="G160" s="97">
        <v>1729</v>
      </c>
      <c r="H160" s="97">
        <v>1356</v>
      </c>
      <c r="I160" s="98">
        <v>1.2750737463126844</v>
      </c>
      <c r="J160" s="98">
        <v>63.86083118092899</v>
      </c>
      <c r="K160" s="97">
        <v>2</v>
      </c>
      <c r="L160" s="97">
        <v>6</v>
      </c>
      <c r="M160" s="98">
        <v>0.33333333333333331</v>
      </c>
      <c r="N160" s="98">
        <v>66.666666666666671</v>
      </c>
      <c r="O160" s="41">
        <f t="shared" si="4"/>
        <v>59.400540312572105</v>
      </c>
      <c r="P160" s="109">
        <f t="shared" si="5"/>
        <v>53.235335855801893</v>
      </c>
    </row>
    <row r="161" spans="1:16" ht="18" x14ac:dyDescent="0.25">
      <c r="A161" s="73" t="s">
        <v>135</v>
      </c>
      <c r="B161" s="74">
        <v>4121505</v>
      </c>
      <c r="C161" s="97">
        <v>209</v>
      </c>
      <c r="D161" s="97">
        <v>910</v>
      </c>
      <c r="E161" s="98">
        <v>0.22967032967032966</v>
      </c>
      <c r="F161" s="98">
        <v>64.703296703296715</v>
      </c>
      <c r="G161" s="97">
        <v>2238</v>
      </c>
      <c r="H161" s="97">
        <v>1952</v>
      </c>
      <c r="I161" s="98">
        <v>1.146516393442623</v>
      </c>
      <c r="J161" s="98">
        <v>72.606150026358648</v>
      </c>
      <c r="K161" s="97">
        <v>1</v>
      </c>
      <c r="L161" s="97">
        <v>4</v>
      </c>
      <c r="M161" s="98">
        <v>0.25</v>
      </c>
      <c r="N161" s="98">
        <v>75</v>
      </c>
      <c r="O161" s="41">
        <f t="shared" si="4"/>
        <v>69.253185858238027</v>
      </c>
      <c r="P161" s="109">
        <f t="shared" si="5"/>
        <v>69.836395690855525</v>
      </c>
    </row>
    <row r="162" spans="1:16" ht="18" x14ac:dyDescent="0.25">
      <c r="A162" s="73" t="s">
        <v>181</v>
      </c>
      <c r="B162" s="74">
        <v>4105300</v>
      </c>
      <c r="C162" s="97">
        <v>296</v>
      </c>
      <c r="D162" s="97">
        <v>663</v>
      </c>
      <c r="E162" s="98">
        <v>0.44645550527903471</v>
      </c>
      <c r="F162" s="98">
        <v>31.386838136064142</v>
      </c>
      <c r="G162" s="97">
        <v>1525</v>
      </c>
      <c r="H162" s="97">
        <v>1332</v>
      </c>
      <c r="I162" s="98">
        <v>1.1448948948948949</v>
      </c>
      <c r="J162" s="98">
        <v>72.716455049686374</v>
      </c>
      <c r="K162" s="97">
        <v>0</v>
      </c>
      <c r="L162" s="97">
        <v>3</v>
      </c>
      <c r="M162" s="98">
        <v>0</v>
      </c>
      <c r="N162" s="98">
        <v>100</v>
      </c>
      <c r="O162" s="41">
        <f t="shared" si="4"/>
        <v>58.872532830453665</v>
      </c>
      <c r="P162" s="109">
        <f t="shared" si="5"/>
        <v>52.345677970173391</v>
      </c>
    </row>
    <row r="163" spans="1:16" ht="18" x14ac:dyDescent="0.25">
      <c r="A163" s="73" t="s">
        <v>141</v>
      </c>
      <c r="B163" s="74">
        <v>4110508</v>
      </c>
      <c r="C163" s="97">
        <v>122</v>
      </c>
      <c r="D163" s="97">
        <v>1009</v>
      </c>
      <c r="E163" s="98">
        <v>0.12091179385530228</v>
      </c>
      <c r="F163" s="98">
        <v>81.417766418027242</v>
      </c>
      <c r="G163" s="97">
        <v>2288</v>
      </c>
      <c r="H163" s="97">
        <v>1999</v>
      </c>
      <c r="I163" s="98">
        <v>1.1445722861430716</v>
      </c>
      <c r="J163" s="98">
        <v>72.738401024257541</v>
      </c>
      <c r="K163" s="97">
        <v>2</v>
      </c>
      <c r="L163" s="97">
        <v>4</v>
      </c>
      <c r="M163" s="98">
        <v>0.5</v>
      </c>
      <c r="N163" s="98">
        <v>50</v>
      </c>
      <c r="O163" s="41">
        <f t="shared" si="4"/>
        <v>71.393483465078006</v>
      </c>
      <c r="P163" s="109">
        <f t="shared" si="5"/>
        <v>73.44265641253574</v>
      </c>
    </row>
    <row r="164" spans="1:16" ht="18" x14ac:dyDescent="0.25">
      <c r="A164" s="73" t="s">
        <v>180</v>
      </c>
      <c r="B164" s="74">
        <v>4127858</v>
      </c>
      <c r="C164" s="97">
        <v>238</v>
      </c>
      <c r="D164" s="97">
        <v>735</v>
      </c>
      <c r="E164" s="98">
        <v>0.32380952380952382</v>
      </c>
      <c r="F164" s="98">
        <v>50.235588972431074</v>
      </c>
      <c r="G164" s="97">
        <v>1702</v>
      </c>
      <c r="H164" s="97">
        <v>1523</v>
      </c>
      <c r="I164" s="98">
        <v>1.1175311884438608</v>
      </c>
      <c r="J164" s="98">
        <v>74.577914797919604</v>
      </c>
      <c r="K164" s="97">
        <v>1</v>
      </c>
      <c r="L164" s="97">
        <v>3</v>
      </c>
      <c r="M164" s="98">
        <v>0.33333333333333331</v>
      </c>
      <c r="N164" s="98">
        <v>66.666666666666671</v>
      </c>
      <c r="O164" s="41">
        <f t="shared" si="4"/>
        <v>60.428939852362106</v>
      </c>
      <c r="P164" s="109">
        <f t="shared" si="5"/>
        <v>54.968121452854604</v>
      </c>
    </row>
    <row r="165" spans="1:16" ht="18" x14ac:dyDescent="0.25">
      <c r="A165" s="73" t="s">
        <v>218</v>
      </c>
      <c r="B165" s="74">
        <v>4103503</v>
      </c>
      <c r="C165" s="97">
        <v>248</v>
      </c>
      <c r="D165" s="97">
        <v>563</v>
      </c>
      <c r="E165" s="98">
        <v>0.4404973357015986</v>
      </c>
      <c r="F165" s="98">
        <v>32.302514723754328</v>
      </c>
      <c r="G165" s="97">
        <v>1341</v>
      </c>
      <c r="H165" s="97">
        <v>1168</v>
      </c>
      <c r="I165" s="98">
        <v>1.1481164383561644</v>
      </c>
      <c r="J165" s="98">
        <v>72.497304420692899</v>
      </c>
      <c r="K165" s="97">
        <v>2</v>
      </c>
      <c r="L165" s="97">
        <v>6</v>
      </c>
      <c r="M165" s="98">
        <v>0.33333333333333331</v>
      </c>
      <c r="N165" s="98">
        <v>66.666666666666671</v>
      </c>
      <c r="O165" s="41">
        <f t="shared" si="4"/>
        <v>50.942250133717053</v>
      </c>
      <c r="P165" s="109">
        <f t="shared" si="5"/>
        <v>38.983673121097404</v>
      </c>
    </row>
    <row r="166" spans="1:16" ht="18" x14ac:dyDescent="0.25">
      <c r="A166" s="73" t="s">
        <v>146</v>
      </c>
      <c r="B166" s="74">
        <v>4101903</v>
      </c>
      <c r="C166" s="97">
        <v>277</v>
      </c>
      <c r="D166" s="97">
        <v>685</v>
      </c>
      <c r="E166" s="98">
        <v>0.4043795620437956</v>
      </c>
      <c r="F166" s="98">
        <v>37.853246254321945</v>
      </c>
      <c r="G166" s="97">
        <v>2082</v>
      </c>
      <c r="H166" s="97">
        <v>1755</v>
      </c>
      <c r="I166" s="98">
        <v>1.1863247863247863</v>
      </c>
      <c r="J166" s="98">
        <v>69.89812064720266</v>
      </c>
      <c r="K166" s="97">
        <v>3</v>
      </c>
      <c r="L166" s="97">
        <v>9</v>
      </c>
      <c r="M166" s="98">
        <v>0.33333333333333331</v>
      </c>
      <c r="N166" s="98">
        <v>66.666666666666671</v>
      </c>
      <c r="O166" s="41">
        <f t="shared" si="4"/>
        <v>53.067819955628309</v>
      </c>
      <c r="P166" s="109">
        <f t="shared" si="5"/>
        <v>42.565118493670994</v>
      </c>
    </row>
    <row r="167" spans="1:16" ht="18" x14ac:dyDescent="0.25">
      <c r="A167" s="73" t="s">
        <v>200</v>
      </c>
      <c r="B167" s="74">
        <v>4123857</v>
      </c>
      <c r="C167" s="97">
        <v>170</v>
      </c>
      <c r="D167" s="97">
        <v>633</v>
      </c>
      <c r="E167" s="98">
        <v>0.26856240126382308</v>
      </c>
      <c r="F167" s="98">
        <v>58.726199384717717</v>
      </c>
      <c r="G167" s="97">
        <v>1418</v>
      </c>
      <c r="H167" s="97">
        <v>1409</v>
      </c>
      <c r="I167" s="98">
        <v>1.0063875088715402</v>
      </c>
      <c r="J167" s="98">
        <v>82.138640760413878</v>
      </c>
      <c r="K167" s="97">
        <v>1</v>
      </c>
      <c r="L167" s="97">
        <v>3</v>
      </c>
      <c r="M167" s="98">
        <v>0.33333333333333331</v>
      </c>
      <c r="N167" s="98">
        <v>66.666666666666671</v>
      </c>
      <c r="O167" s="41">
        <f t="shared" si="4"/>
        <v>66.564426549128996</v>
      </c>
      <c r="P167" s="109">
        <f t="shared" si="5"/>
        <v>65.30601306766134</v>
      </c>
    </row>
    <row r="168" spans="1:16" ht="18" x14ac:dyDescent="0.25">
      <c r="A168" s="73" t="s">
        <v>190</v>
      </c>
      <c r="B168" s="74">
        <v>4121000</v>
      </c>
      <c r="C168" s="97">
        <v>274</v>
      </c>
      <c r="D168" s="97">
        <v>731</v>
      </c>
      <c r="E168" s="98">
        <v>0.37482900136798908</v>
      </c>
      <c r="F168" s="98">
        <v>42.394700842393263</v>
      </c>
      <c r="G168" s="97">
        <v>1724</v>
      </c>
      <c r="H168" s="97">
        <v>1542</v>
      </c>
      <c r="I168" s="98">
        <v>1.1180285343709468</v>
      </c>
      <c r="J168" s="98">
        <v>74.544082048475559</v>
      </c>
      <c r="K168" s="97">
        <v>1</v>
      </c>
      <c r="L168" s="97">
        <v>4</v>
      </c>
      <c r="M168" s="98">
        <v>0.25</v>
      </c>
      <c r="N168" s="98">
        <v>75</v>
      </c>
      <c r="O168" s="41">
        <f t="shared" si="4"/>
        <v>58.583370933315521</v>
      </c>
      <c r="P168" s="109">
        <f t="shared" si="5"/>
        <v>51.858459188765018</v>
      </c>
    </row>
    <row r="169" spans="1:16" ht="18" x14ac:dyDescent="0.25">
      <c r="A169" s="73" t="s">
        <v>172</v>
      </c>
      <c r="B169" s="74">
        <v>4112702</v>
      </c>
      <c r="C169" s="97">
        <v>206</v>
      </c>
      <c r="D169" s="97">
        <v>762</v>
      </c>
      <c r="E169" s="98">
        <v>0.27034120734908135</v>
      </c>
      <c r="F169" s="98">
        <v>58.452824975825401</v>
      </c>
      <c r="G169" s="97">
        <v>1675</v>
      </c>
      <c r="H169" s="97">
        <v>1566</v>
      </c>
      <c r="I169" s="98">
        <v>1.0696040868454662</v>
      </c>
      <c r="J169" s="98">
        <v>77.838232278467785</v>
      </c>
      <c r="K169" s="97">
        <v>2</v>
      </c>
      <c r="L169" s="97">
        <v>4</v>
      </c>
      <c r="M169" s="98">
        <v>0.5</v>
      </c>
      <c r="N169" s="98">
        <v>50</v>
      </c>
      <c r="O169" s="41">
        <f t="shared" si="4"/>
        <v>61.185970557529643</v>
      </c>
      <c r="P169" s="109">
        <f t="shared" si="5"/>
        <v>56.243668408767114</v>
      </c>
    </row>
    <row r="170" spans="1:16" ht="18" x14ac:dyDescent="0.25">
      <c r="A170" s="73" t="s">
        <v>184</v>
      </c>
      <c r="B170" s="74">
        <v>4108502</v>
      </c>
      <c r="C170" s="97">
        <v>88</v>
      </c>
      <c r="D170" s="97">
        <v>880</v>
      </c>
      <c r="E170" s="98">
        <v>0.1</v>
      </c>
      <c r="F170" s="98">
        <v>84.631578947368425</v>
      </c>
      <c r="G170" s="97">
        <v>1824</v>
      </c>
      <c r="H170" s="97">
        <v>1630</v>
      </c>
      <c r="I170" s="98">
        <v>1.1190184049079754</v>
      </c>
      <c r="J170" s="98">
        <v>74.476744527371167</v>
      </c>
      <c r="K170" s="97">
        <v>1</v>
      </c>
      <c r="L170" s="97">
        <v>4</v>
      </c>
      <c r="M170" s="98">
        <v>0.25</v>
      </c>
      <c r="N170" s="98">
        <v>75</v>
      </c>
      <c r="O170" s="41">
        <f t="shared" si="4"/>
        <v>79.684975605527001</v>
      </c>
      <c r="P170" s="109">
        <f t="shared" si="5"/>
        <v>87.413275421155262</v>
      </c>
    </row>
    <row r="171" spans="1:16" ht="18" x14ac:dyDescent="0.25">
      <c r="A171" s="73" t="s">
        <v>192</v>
      </c>
      <c r="B171" s="74">
        <v>4125001</v>
      </c>
      <c r="C171" s="97">
        <v>298</v>
      </c>
      <c r="D171" s="97">
        <v>573</v>
      </c>
      <c r="E171" s="98">
        <v>0.52006980802792324</v>
      </c>
      <c r="F171" s="98">
        <v>20.073482134656011</v>
      </c>
      <c r="G171" s="97">
        <v>1310</v>
      </c>
      <c r="H171" s="97">
        <v>1213</v>
      </c>
      <c r="I171" s="98">
        <v>1.0799670239076669</v>
      </c>
      <c r="J171" s="98">
        <v>77.133276966610481</v>
      </c>
      <c r="K171" s="97">
        <v>1</v>
      </c>
      <c r="L171" s="97">
        <v>5</v>
      </c>
      <c r="M171" s="98">
        <v>0.2</v>
      </c>
      <c r="N171" s="98">
        <v>80</v>
      </c>
      <c r="O171" s="41">
        <f t="shared" si="4"/>
        <v>49.320060308980629</v>
      </c>
      <c r="P171" s="109">
        <f t="shared" si="5"/>
        <v>36.250389941524297</v>
      </c>
    </row>
    <row r="172" spans="1:16" ht="18" x14ac:dyDescent="0.25">
      <c r="A172" s="73" t="s">
        <v>203</v>
      </c>
      <c r="B172" s="74">
        <v>4100707</v>
      </c>
      <c r="C172" s="97">
        <v>235</v>
      </c>
      <c r="D172" s="97">
        <v>642</v>
      </c>
      <c r="E172" s="98">
        <v>0.36604361370716509</v>
      </c>
      <c r="F172" s="98">
        <v>43.744876209214631</v>
      </c>
      <c r="G172" s="97">
        <v>1410</v>
      </c>
      <c r="H172" s="97">
        <v>1273</v>
      </c>
      <c r="I172" s="98">
        <v>1.1076197957580518</v>
      </c>
      <c r="J172" s="98">
        <v>75.252153083825107</v>
      </c>
      <c r="K172" s="97">
        <v>1</v>
      </c>
      <c r="L172" s="97">
        <v>6</v>
      </c>
      <c r="M172" s="98">
        <v>0.16666666666666666</v>
      </c>
      <c r="N172" s="98">
        <v>83.333333333333343</v>
      </c>
      <c r="O172" s="41">
        <f t="shared" si="4"/>
        <v>61.518809708896931</v>
      </c>
      <c r="P172" s="109">
        <f t="shared" si="5"/>
        <v>56.80448049133792</v>
      </c>
    </row>
    <row r="173" spans="1:16" ht="18" x14ac:dyDescent="0.25">
      <c r="A173" s="73" t="s">
        <v>136</v>
      </c>
      <c r="B173" s="74">
        <v>4101705</v>
      </c>
      <c r="C173" s="97">
        <v>241</v>
      </c>
      <c r="D173" s="97">
        <v>893</v>
      </c>
      <c r="E173" s="98">
        <v>0.26987681970884658</v>
      </c>
      <c r="F173" s="98">
        <v>58.524194023693056</v>
      </c>
      <c r="G173" s="97">
        <v>1948</v>
      </c>
      <c r="H173" s="97">
        <v>1845</v>
      </c>
      <c r="I173" s="98">
        <v>1.0558265582655826</v>
      </c>
      <c r="J173" s="98">
        <v>78.775470621068749</v>
      </c>
      <c r="K173" s="97">
        <v>1</v>
      </c>
      <c r="L173" s="97">
        <v>5</v>
      </c>
      <c r="M173" s="98">
        <v>0.2</v>
      </c>
      <c r="N173" s="98">
        <v>80</v>
      </c>
      <c r="O173" s="41">
        <f t="shared" si="4"/>
        <v>68.955964667113719</v>
      </c>
      <c r="P173" s="109">
        <f t="shared" si="5"/>
        <v>69.335597529059172</v>
      </c>
    </row>
    <row r="174" spans="1:16" ht="18" x14ac:dyDescent="0.25">
      <c r="A174" s="73" t="s">
        <v>191</v>
      </c>
      <c r="B174" s="74">
        <v>4110805</v>
      </c>
      <c r="C174" s="97">
        <v>243</v>
      </c>
      <c r="D174" s="97">
        <v>653</v>
      </c>
      <c r="E174" s="98">
        <v>0.37212863705972438</v>
      </c>
      <c r="F174" s="98">
        <v>42.809704199242368</v>
      </c>
      <c r="G174" s="97">
        <v>1556</v>
      </c>
      <c r="H174" s="97">
        <v>1387</v>
      </c>
      <c r="I174" s="98">
        <v>1.1218457101658255</v>
      </c>
      <c r="J174" s="98">
        <v>74.284412580568798</v>
      </c>
      <c r="K174" s="97">
        <v>1</v>
      </c>
      <c r="L174" s="97">
        <v>5</v>
      </c>
      <c r="M174" s="98">
        <v>0.2</v>
      </c>
      <c r="N174" s="98">
        <v>80</v>
      </c>
      <c r="O174" s="41">
        <f t="shared" si="4"/>
        <v>59.975955244763384</v>
      </c>
      <c r="P174" s="109">
        <f t="shared" si="5"/>
        <v>54.204872177291996</v>
      </c>
    </row>
    <row r="175" spans="1:16" ht="18" x14ac:dyDescent="0.25">
      <c r="A175" s="73" t="s">
        <v>149</v>
      </c>
      <c r="B175" s="74">
        <v>4125100</v>
      </c>
      <c r="C175" s="97">
        <v>123</v>
      </c>
      <c r="D175" s="97">
        <v>908</v>
      </c>
      <c r="E175" s="98">
        <v>0.13546255506607929</v>
      </c>
      <c r="F175" s="98">
        <v>79.18154416879203</v>
      </c>
      <c r="G175" s="97">
        <v>2034</v>
      </c>
      <c r="H175" s="97">
        <v>1885</v>
      </c>
      <c r="I175" s="98">
        <v>1.0790450928381963</v>
      </c>
      <c r="J175" s="98">
        <v>77.195992797140818</v>
      </c>
      <c r="K175" s="97">
        <v>1</v>
      </c>
      <c r="L175" s="97">
        <v>3</v>
      </c>
      <c r="M175" s="98">
        <v>0.33333333333333331</v>
      </c>
      <c r="N175" s="98">
        <v>66.666666666666671</v>
      </c>
      <c r="O175" s="41">
        <f t="shared" si="4"/>
        <v>75.556436950347887</v>
      </c>
      <c r="P175" s="109">
        <f t="shared" si="5"/>
        <v>80.456959279638369</v>
      </c>
    </row>
    <row r="176" spans="1:16" ht="18" x14ac:dyDescent="0.25">
      <c r="A176" s="73" t="s">
        <v>179</v>
      </c>
      <c r="B176" s="74">
        <v>4116109</v>
      </c>
      <c r="C176" s="97">
        <v>248</v>
      </c>
      <c r="D176" s="97">
        <v>617</v>
      </c>
      <c r="E176" s="98">
        <v>0.40194489465153971</v>
      </c>
      <c r="F176" s="98">
        <v>38.227416190394955</v>
      </c>
      <c r="G176" s="97">
        <v>1450</v>
      </c>
      <c r="H176" s="97">
        <v>1324</v>
      </c>
      <c r="I176" s="98">
        <v>1.095166163141994</v>
      </c>
      <c r="J176" s="98">
        <v>76.099331293237597</v>
      </c>
      <c r="K176" s="97">
        <v>0</v>
      </c>
      <c r="L176" s="97">
        <v>5</v>
      </c>
      <c r="M176" s="98">
        <v>0</v>
      </c>
      <c r="N176" s="98">
        <v>100</v>
      </c>
      <c r="O176" s="41">
        <f t="shared" si="4"/>
        <v>63.138540918506877</v>
      </c>
      <c r="P176" s="109">
        <f t="shared" si="5"/>
        <v>59.533621066101283</v>
      </c>
    </row>
    <row r="177" spans="1:16" ht="18" x14ac:dyDescent="0.25">
      <c r="A177" s="73" t="s">
        <v>183</v>
      </c>
      <c r="B177" s="74">
        <v>4116059</v>
      </c>
      <c r="C177" s="97">
        <v>233</v>
      </c>
      <c r="D177" s="97">
        <v>633</v>
      </c>
      <c r="E177" s="98">
        <v>0.36808846761453395</v>
      </c>
      <c r="F177" s="98">
        <v>43.430614450818993</v>
      </c>
      <c r="G177" s="97">
        <v>1585</v>
      </c>
      <c r="H177" s="97">
        <v>1355</v>
      </c>
      <c r="I177" s="98">
        <v>1.1697416974169741</v>
      </c>
      <c r="J177" s="98">
        <v>71.026211703087327</v>
      </c>
      <c r="K177" s="97">
        <v>1</v>
      </c>
      <c r="L177" s="97">
        <v>4</v>
      </c>
      <c r="M177" s="98">
        <v>0.25</v>
      </c>
      <c r="N177" s="98">
        <v>75</v>
      </c>
      <c r="O177" s="41">
        <f t="shared" si="4"/>
        <v>58.221860151181332</v>
      </c>
      <c r="P177" s="109">
        <f t="shared" si="5"/>
        <v>51.249337293796749</v>
      </c>
    </row>
    <row r="178" spans="1:16" ht="18" x14ac:dyDescent="0.25">
      <c r="A178" s="73" t="s">
        <v>204</v>
      </c>
      <c r="B178" s="74">
        <v>4128708</v>
      </c>
      <c r="C178" s="97">
        <v>173</v>
      </c>
      <c r="D178" s="97">
        <v>740</v>
      </c>
      <c r="E178" s="98">
        <v>0.23378378378378378</v>
      </c>
      <c r="F178" s="98">
        <v>64.071123755334284</v>
      </c>
      <c r="G178" s="97">
        <v>1144</v>
      </c>
      <c r="H178" s="97">
        <v>1538</v>
      </c>
      <c r="I178" s="98">
        <v>0.74382314694408325</v>
      </c>
      <c r="J178" s="98">
        <v>100</v>
      </c>
      <c r="K178" s="97">
        <v>1</v>
      </c>
      <c r="L178" s="97">
        <v>3</v>
      </c>
      <c r="M178" s="98">
        <v>0.33333333333333331</v>
      </c>
      <c r="N178" s="98">
        <v>66.666666666666671</v>
      </c>
      <c r="O178" s="41">
        <f t="shared" si="4"/>
        <v>73.702228544333806</v>
      </c>
      <c r="P178" s="109">
        <f t="shared" si="5"/>
        <v>77.332740048140707</v>
      </c>
    </row>
    <row r="179" spans="1:16" ht="18" x14ac:dyDescent="0.25">
      <c r="A179" s="73" t="s">
        <v>219</v>
      </c>
      <c r="B179" s="74">
        <v>4125803</v>
      </c>
      <c r="C179" s="97">
        <v>233</v>
      </c>
      <c r="D179" s="97">
        <v>484</v>
      </c>
      <c r="E179" s="98">
        <v>0.48140495867768596</v>
      </c>
      <c r="F179" s="98">
        <v>26.015658982166162</v>
      </c>
      <c r="G179" s="97">
        <v>1154</v>
      </c>
      <c r="H179" s="97">
        <v>1084</v>
      </c>
      <c r="I179" s="98">
        <v>1.0645756457564575</v>
      </c>
      <c r="J179" s="98">
        <v>78.180299998727151</v>
      </c>
      <c r="K179" s="97">
        <v>1</v>
      </c>
      <c r="L179" s="97">
        <v>4</v>
      </c>
      <c r="M179" s="98">
        <v>0.25</v>
      </c>
      <c r="N179" s="98">
        <v>75</v>
      </c>
      <c r="O179" s="41">
        <f t="shared" si="4"/>
        <v>51.302904490764867</v>
      </c>
      <c r="P179" s="109">
        <f t="shared" si="5"/>
        <v>39.591351996113595</v>
      </c>
    </row>
    <row r="180" spans="1:16" ht="18" x14ac:dyDescent="0.25">
      <c r="A180" s="73" t="s">
        <v>209</v>
      </c>
      <c r="B180" s="74">
        <v>4103800</v>
      </c>
      <c r="C180" s="97">
        <v>236</v>
      </c>
      <c r="D180" s="97">
        <v>597</v>
      </c>
      <c r="E180" s="98">
        <v>0.39530988274706869</v>
      </c>
      <c r="F180" s="98">
        <v>39.247112756766292</v>
      </c>
      <c r="G180" s="97">
        <v>1191</v>
      </c>
      <c r="H180" s="97">
        <v>1227</v>
      </c>
      <c r="I180" s="98">
        <v>0.97066014669926648</v>
      </c>
      <c r="J180" s="98">
        <v>84.56905152049292</v>
      </c>
      <c r="K180" s="97">
        <v>1</v>
      </c>
      <c r="L180" s="97">
        <v>4</v>
      </c>
      <c r="M180" s="98">
        <v>0.25</v>
      </c>
      <c r="N180" s="98">
        <v>75</v>
      </c>
      <c r="O180" s="41">
        <f t="shared" si="4"/>
        <v>59.515819258506376</v>
      </c>
      <c r="P180" s="109">
        <f t="shared" si="5"/>
        <v>53.429573298964414</v>
      </c>
    </row>
    <row r="181" spans="1:16" ht="18" x14ac:dyDescent="0.25">
      <c r="A181" s="73" t="s">
        <v>210</v>
      </c>
      <c r="B181" s="74">
        <v>4115754</v>
      </c>
      <c r="C181" s="97">
        <v>198</v>
      </c>
      <c r="D181" s="97">
        <v>741</v>
      </c>
      <c r="E181" s="98">
        <v>0.26720647773279355</v>
      </c>
      <c r="F181" s="98">
        <v>58.934583422118045</v>
      </c>
      <c r="G181" s="97">
        <v>1737</v>
      </c>
      <c r="H181" s="97">
        <v>1494</v>
      </c>
      <c r="I181" s="98">
        <v>1.1626506024096386</v>
      </c>
      <c r="J181" s="98">
        <v>71.508594743947413</v>
      </c>
      <c r="K181" s="97">
        <v>2</v>
      </c>
      <c r="L181" s="97">
        <v>4</v>
      </c>
      <c r="M181" s="98">
        <v>0.5</v>
      </c>
      <c r="N181" s="98">
        <v>50</v>
      </c>
      <c r="O181" s="41">
        <f t="shared" si="4"/>
        <v>59.844440397045872</v>
      </c>
      <c r="P181" s="109">
        <f t="shared" si="5"/>
        <v>53.983278307296658</v>
      </c>
    </row>
    <row r="182" spans="1:16" ht="18" x14ac:dyDescent="0.25">
      <c r="A182" s="73" t="s">
        <v>160</v>
      </c>
      <c r="B182" s="74">
        <v>4121901</v>
      </c>
      <c r="C182" s="97">
        <v>175</v>
      </c>
      <c r="D182" s="97">
        <v>790</v>
      </c>
      <c r="E182" s="98">
        <v>0.22151898734177214</v>
      </c>
      <c r="F182" s="98">
        <v>65.956029313790808</v>
      </c>
      <c r="G182" s="97">
        <v>1968</v>
      </c>
      <c r="H182" s="97">
        <v>1734</v>
      </c>
      <c r="I182" s="98">
        <v>1.1349480968858132</v>
      </c>
      <c r="J182" s="98">
        <v>73.393101839142503</v>
      </c>
      <c r="K182" s="97">
        <v>3</v>
      </c>
      <c r="L182" s="97">
        <v>7</v>
      </c>
      <c r="M182" s="98">
        <v>0.42857142857142855</v>
      </c>
      <c r="N182" s="98">
        <v>57.142857142857139</v>
      </c>
      <c r="O182" s="41">
        <f t="shared" si="4"/>
        <v>65.612004402395314</v>
      </c>
      <c r="P182" s="109">
        <f t="shared" si="5"/>
        <v>63.701244381639619</v>
      </c>
    </row>
    <row r="183" spans="1:16" ht="18" x14ac:dyDescent="0.25">
      <c r="A183" s="73" t="s">
        <v>168</v>
      </c>
      <c r="B183" s="74">
        <v>4112504</v>
      </c>
      <c r="C183" s="97">
        <v>230</v>
      </c>
      <c r="D183" s="97">
        <v>663</v>
      </c>
      <c r="E183" s="98">
        <v>0.34690799396681749</v>
      </c>
      <c r="F183" s="98">
        <v>46.685718821941734</v>
      </c>
      <c r="G183" s="97">
        <v>1490</v>
      </c>
      <c r="H183" s="97">
        <v>1473</v>
      </c>
      <c r="I183" s="98">
        <v>1.0115410726408689</v>
      </c>
      <c r="J183" s="98">
        <v>81.788061370384071</v>
      </c>
      <c r="K183" s="97">
        <v>1</v>
      </c>
      <c r="L183" s="97">
        <v>4</v>
      </c>
      <c r="M183" s="98">
        <v>0.25</v>
      </c>
      <c r="N183" s="98">
        <v>75</v>
      </c>
      <c r="O183" s="41">
        <f t="shared" si="4"/>
        <v>62.539874753566885</v>
      </c>
      <c r="P183" s="109">
        <f t="shared" si="5"/>
        <v>58.524907946429309</v>
      </c>
    </row>
    <row r="184" spans="1:16" ht="18" x14ac:dyDescent="0.25">
      <c r="A184" s="73" t="s">
        <v>212</v>
      </c>
      <c r="B184" s="74">
        <v>4107256</v>
      </c>
      <c r="C184" s="97">
        <v>219</v>
      </c>
      <c r="D184" s="97">
        <v>590</v>
      </c>
      <c r="E184" s="98">
        <v>0.37118644067796608</v>
      </c>
      <c r="F184" s="98">
        <v>42.954504906333639</v>
      </c>
      <c r="G184" s="97">
        <v>1364</v>
      </c>
      <c r="H184" s="97">
        <v>1208</v>
      </c>
      <c r="I184" s="98">
        <v>1.1291390728476822</v>
      </c>
      <c r="J184" s="98">
        <v>73.788269958740983</v>
      </c>
      <c r="K184" s="97">
        <v>2</v>
      </c>
      <c r="L184" s="97">
        <v>4</v>
      </c>
      <c r="M184" s="98">
        <v>0.5</v>
      </c>
      <c r="N184" s="98">
        <v>50</v>
      </c>
      <c r="O184" s="41">
        <f t="shared" si="4"/>
        <v>52.424319942852065</v>
      </c>
      <c r="P184" s="109">
        <f t="shared" si="5"/>
        <v>41.480863288666136</v>
      </c>
    </row>
    <row r="185" spans="1:16" ht="18" x14ac:dyDescent="0.25">
      <c r="A185" s="73" t="s">
        <v>182</v>
      </c>
      <c r="B185" s="74">
        <v>4123907</v>
      </c>
      <c r="C185" s="97">
        <v>208</v>
      </c>
      <c r="D185" s="97">
        <v>635</v>
      </c>
      <c r="E185" s="98">
        <v>0.32755905511811023</v>
      </c>
      <c r="F185" s="98">
        <v>49.659345213427272</v>
      </c>
      <c r="G185" s="97">
        <v>1371</v>
      </c>
      <c r="H185" s="97">
        <v>1283</v>
      </c>
      <c r="I185" s="98">
        <v>1.06858924395947</v>
      </c>
      <c r="J185" s="98">
        <v>77.907268583415842</v>
      </c>
      <c r="K185" s="97">
        <v>3</v>
      </c>
      <c r="L185" s="97">
        <v>6</v>
      </c>
      <c r="M185" s="98">
        <v>0.5</v>
      </c>
      <c r="N185" s="98">
        <v>50</v>
      </c>
      <c r="O185" s="41">
        <f t="shared" si="4"/>
        <v>56.8064897525676</v>
      </c>
      <c r="P185" s="109">
        <f t="shared" si="5"/>
        <v>48.864531246807047</v>
      </c>
    </row>
    <row r="186" spans="1:16" ht="18" x14ac:dyDescent="0.25">
      <c r="A186" s="73" t="s">
        <v>152</v>
      </c>
      <c r="B186" s="74">
        <v>4114005</v>
      </c>
      <c r="C186" s="97">
        <v>221</v>
      </c>
      <c r="D186" s="97">
        <v>772</v>
      </c>
      <c r="E186" s="98">
        <v>0.28626943005181349</v>
      </c>
      <c r="F186" s="98">
        <v>56.004908644668674</v>
      </c>
      <c r="G186" s="97">
        <v>1865</v>
      </c>
      <c r="H186" s="97">
        <v>1688</v>
      </c>
      <c r="I186" s="98">
        <v>1.1048578199052133</v>
      </c>
      <c r="J186" s="98">
        <v>75.440040893718518</v>
      </c>
      <c r="K186" s="97">
        <v>1</v>
      </c>
      <c r="L186" s="97">
        <v>4</v>
      </c>
      <c r="M186" s="98">
        <v>0.25</v>
      </c>
      <c r="N186" s="98">
        <v>75</v>
      </c>
      <c r="O186" s="41">
        <f t="shared" si="4"/>
        <v>65.61246454576397</v>
      </c>
      <c r="P186" s="109">
        <f t="shared" si="5"/>
        <v>63.702019692956803</v>
      </c>
    </row>
    <row r="187" spans="1:16" ht="18" x14ac:dyDescent="0.25">
      <c r="A187" s="73" t="s">
        <v>111</v>
      </c>
      <c r="B187" s="74">
        <v>4101200</v>
      </c>
      <c r="C187" s="97">
        <v>72</v>
      </c>
      <c r="D187" s="97">
        <v>1081</v>
      </c>
      <c r="E187" s="98">
        <v>6.66049953746531E-2</v>
      </c>
      <c r="F187" s="98">
        <v>89.763863868737516</v>
      </c>
      <c r="G187" s="97">
        <v>2786</v>
      </c>
      <c r="H187" s="97">
        <v>2524</v>
      </c>
      <c r="I187" s="98">
        <v>1.1038034865293185</v>
      </c>
      <c r="J187" s="98">
        <v>75.511763602188552</v>
      </c>
      <c r="K187" s="97">
        <v>3</v>
      </c>
      <c r="L187" s="97">
        <v>4</v>
      </c>
      <c r="M187" s="98">
        <v>0.75</v>
      </c>
      <c r="N187" s="98">
        <v>25</v>
      </c>
      <c r="O187" s="41">
        <f t="shared" si="4"/>
        <v>70.009872834915896</v>
      </c>
      <c r="P187" s="109">
        <f t="shared" si="5"/>
        <v>71.111363486866509</v>
      </c>
    </row>
    <row r="188" spans="1:16" ht="18" x14ac:dyDescent="0.25">
      <c r="A188" s="73" t="s">
        <v>171</v>
      </c>
      <c r="B188" s="74">
        <v>4118907</v>
      </c>
      <c r="C188" s="97">
        <v>252</v>
      </c>
      <c r="D188" s="97">
        <v>741</v>
      </c>
      <c r="E188" s="98">
        <v>0.34008097165991902</v>
      </c>
      <c r="F188" s="98">
        <v>47.734924355422976</v>
      </c>
      <c r="G188" s="97">
        <v>1720</v>
      </c>
      <c r="H188" s="97">
        <v>1463</v>
      </c>
      <c r="I188" s="98">
        <v>1.1756664388243336</v>
      </c>
      <c r="J188" s="98">
        <v>70.623171724997164</v>
      </c>
      <c r="K188" s="97">
        <v>2</v>
      </c>
      <c r="L188" s="97">
        <v>5</v>
      </c>
      <c r="M188" s="98">
        <v>0.4</v>
      </c>
      <c r="N188" s="98">
        <v>60</v>
      </c>
      <c r="O188" s="41">
        <f t="shared" si="4"/>
        <v>56.523255108960782</v>
      </c>
      <c r="P188" s="109">
        <f t="shared" si="5"/>
        <v>48.387299497823115</v>
      </c>
    </row>
    <row r="189" spans="1:16" ht="18" x14ac:dyDescent="0.25">
      <c r="A189" s="73" t="s">
        <v>221</v>
      </c>
      <c r="B189" s="74">
        <v>4123303</v>
      </c>
      <c r="C189" s="97">
        <v>259</v>
      </c>
      <c r="D189" s="97">
        <v>516</v>
      </c>
      <c r="E189" s="98">
        <v>0.50193798449612403</v>
      </c>
      <c r="F189" s="98">
        <v>22.860057119543047</v>
      </c>
      <c r="G189" s="97">
        <v>1218</v>
      </c>
      <c r="H189" s="97">
        <v>1110</v>
      </c>
      <c r="I189" s="98">
        <v>1.0972972972972972</v>
      </c>
      <c r="J189" s="98">
        <v>75.95435749536118</v>
      </c>
      <c r="K189" s="97">
        <v>2</v>
      </c>
      <c r="L189" s="97">
        <v>6</v>
      </c>
      <c r="M189" s="98">
        <v>0.33333333333333331</v>
      </c>
      <c r="N189" s="98">
        <v>66.666666666666671</v>
      </c>
      <c r="O189" s="41">
        <f t="shared" si="4"/>
        <v>47.085284600278484</v>
      </c>
      <c r="P189" s="109">
        <f t="shared" si="5"/>
        <v>32.484939831080766</v>
      </c>
    </row>
    <row r="190" spans="1:16" ht="18" x14ac:dyDescent="0.25">
      <c r="A190" s="73" t="s">
        <v>178</v>
      </c>
      <c r="B190" s="74">
        <v>4122503</v>
      </c>
      <c r="C190" s="97">
        <v>193</v>
      </c>
      <c r="D190" s="97">
        <v>737</v>
      </c>
      <c r="E190" s="98">
        <v>0.26187245590230662</v>
      </c>
      <c r="F190" s="98">
        <v>59.754338356066562</v>
      </c>
      <c r="G190" s="97">
        <v>1585</v>
      </c>
      <c r="H190" s="97">
        <v>1425</v>
      </c>
      <c r="I190" s="98">
        <v>1.1122807017543859</v>
      </c>
      <c r="J190" s="98">
        <v>74.935087524084494</v>
      </c>
      <c r="K190" s="97">
        <v>1</v>
      </c>
      <c r="L190" s="97">
        <v>3</v>
      </c>
      <c r="M190" s="98">
        <v>0.33333333333333331</v>
      </c>
      <c r="N190" s="98">
        <v>66.666666666666671</v>
      </c>
      <c r="O190" s="41">
        <f t="shared" si="4"/>
        <v>65.277607725721069</v>
      </c>
      <c r="P190" s="109">
        <f t="shared" si="5"/>
        <v>63.137807971349368</v>
      </c>
    </row>
    <row r="191" spans="1:16" ht="18" x14ac:dyDescent="0.25">
      <c r="A191" s="73" t="s">
        <v>197</v>
      </c>
      <c r="B191" s="74">
        <v>4100806</v>
      </c>
      <c r="C191" s="97">
        <v>222</v>
      </c>
      <c r="D191" s="97">
        <v>578</v>
      </c>
      <c r="E191" s="98">
        <v>0.38408304498269896</v>
      </c>
      <c r="F191" s="98">
        <v>40.972500455290479</v>
      </c>
      <c r="G191" s="97">
        <v>1268</v>
      </c>
      <c r="H191" s="97">
        <v>1164</v>
      </c>
      <c r="I191" s="98">
        <v>1.0893470790378006</v>
      </c>
      <c r="J191" s="98">
        <v>76.495183764865402</v>
      </c>
      <c r="K191" s="97">
        <v>1</v>
      </c>
      <c r="L191" s="97">
        <v>4</v>
      </c>
      <c r="M191" s="98">
        <v>0.25</v>
      </c>
      <c r="N191" s="98">
        <v>75</v>
      </c>
      <c r="O191" s="41">
        <f t="shared" si="4"/>
        <v>58.360046168861587</v>
      </c>
      <c r="P191" s="109">
        <f t="shared" si="5"/>
        <v>51.482171646483557</v>
      </c>
    </row>
    <row r="192" spans="1:16" ht="18" x14ac:dyDescent="0.25">
      <c r="A192" s="73" t="s">
        <v>217</v>
      </c>
      <c r="B192" s="74">
        <v>4122701</v>
      </c>
      <c r="C192" s="97">
        <v>243</v>
      </c>
      <c r="D192" s="97">
        <v>562</v>
      </c>
      <c r="E192" s="98">
        <v>0.43238434163701067</v>
      </c>
      <c r="F192" s="98">
        <v>33.549353811575209</v>
      </c>
      <c r="G192" s="97">
        <v>1395</v>
      </c>
      <c r="H192" s="97">
        <v>1205</v>
      </c>
      <c r="I192" s="98">
        <v>1.1576763485477179</v>
      </c>
      <c r="J192" s="98">
        <v>71.846976291711357</v>
      </c>
      <c r="K192" s="97">
        <v>2</v>
      </c>
      <c r="L192" s="97">
        <v>5</v>
      </c>
      <c r="M192" s="98">
        <v>0.4</v>
      </c>
      <c r="N192" s="98">
        <v>60</v>
      </c>
      <c r="O192" s="41">
        <f t="shared" si="4"/>
        <v>49.736420978715444</v>
      </c>
      <c r="P192" s="109">
        <f t="shared" si="5"/>
        <v>36.951930290174232</v>
      </c>
    </row>
    <row r="193" spans="1:16" ht="18" x14ac:dyDescent="0.25">
      <c r="A193" s="73" t="s">
        <v>106</v>
      </c>
      <c r="B193" s="74">
        <v>4100509</v>
      </c>
      <c r="C193" s="97">
        <v>196</v>
      </c>
      <c r="D193" s="97">
        <v>1054</v>
      </c>
      <c r="E193" s="98">
        <v>0.1859582542694497</v>
      </c>
      <c r="F193" s="98">
        <v>71.421152501747727</v>
      </c>
      <c r="G193" s="97">
        <v>2586</v>
      </c>
      <c r="H193" s="97">
        <v>2251</v>
      </c>
      <c r="I193" s="98">
        <v>1.1488227454464683</v>
      </c>
      <c r="J193" s="98">
        <v>72.449256755043322</v>
      </c>
      <c r="K193" s="97">
        <v>9</v>
      </c>
      <c r="L193" s="97">
        <v>10</v>
      </c>
      <c r="M193" s="98">
        <v>0.9</v>
      </c>
      <c r="N193" s="98">
        <v>9.9999999999999982</v>
      </c>
      <c r="O193" s="41">
        <f t="shared" si="4"/>
        <v>56.322890439634691</v>
      </c>
      <c r="P193" s="109">
        <f t="shared" si="5"/>
        <v>48.049698205977556</v>
      </c>
    </row>
    <row r="194" spans="1:16" ht="18" x14ac:dyDescent="0.25">
      <c r="A194" s="73" t="s">
        <v>198</v>
      </c>
      <c r="B194" s="74">
        <v>4100301</v>
      </c>
      <c r="C194" s="97">
        <v>105</v>
      </c>
      <c r="D194" s="97">
        <v>706</v>
      </c>
      <c r="E194" s="98">
        <v>0.14872521246458922</v>
      </c>
      <c r="F194" s="98">
        <v>77.143283137021029</v>
      </c>
      <c r="G194" s="97">
        <v>1639</v>
      </c>
      <c r="H194" s="97">
        <v>1482</v>
      </c>
      <c r="I194" s="98">
        <v>1.1059379217273955</v>
      </c>
      <c r="J194" s="98">
        <v>75.366565245615675</v>
      </c>
      <c r="K194" s="97">
        <v>1</v>
      </c>
      <c r="L194" s="97">
        <v>2</v>
      </c>
      <c r="M194" s="98">
        <v>0.5</v>
      </c>
      <c r="N194" s="98">
        <v>50</v>
      </c>
      <c r="O194" s="41">
        <f t="shared" si="4"/>
        <v>69.913282879914433</v>
      </c>
      <c r="P194" s="109">
        <f t="shared" si="5"/>
        <v>70.948615764438827</v>
      </c>
    </row>
    <row r="195" spans="1:16" ht="18" x14ac:dyDescent="0.25">
      <c r="A195" s="73" t="s">
        <v>208</v>
      </c>
      <c r="B195" s="74">
        <v>4127007</v>
      </c>
      <c r="C195" s="97">
        <v>126</v>
      </c>
      <c r="D195" s="97">
        <v>639</v>
      </c>
      <c r="E195" s="98">
        <v>0.19718309859154928</v>
      </c>
      <c r="F195" s="98">
        <v>69.696071163825067</v>
      </c>
      <c r="G195" s="97">
        <v>1479</v>
      </c>
      <c r="H195" s="97">
        <v>1299</v>
      </c>
      <c r="I195" s="98">
        <v>1.1385681293302541</v>
      </c>
      <c r="J195" s="98">
        <v>73.14684336188968</v>
      </c>
      <c r="K195" s="97">
        <v>1</v>
      </c>
      <c r="L195" s="97">
        <v>4</v>
      </c>
      <c r="M195" s="98">
        <v>0.25</v>
      </c>
      <c r="N195" s="98">
        <v>75</v>
      </c>
      <c r="O195" s="41">
        <f t="shared" ref="O195:O258" si="6">(2*F195+J195+N195)/4</f>
        <v>71.88474642238495</v>
      </c>
      <c r="P195" s="109">
        <f t="shared" ref="P195:P258" si="7">(O195-O$402)/(O$403-O$402)*100</f>
        <v>74.270402190174678</v>
      </c>
    </row>
    <row r="196" spans="1:16" ht="18" x14ac:dyDescent="0.25">
      <c r="A196" s="73" t="s">
        <v>215</v>
      </c>
      <c r="B196" s="74">
        <v>4109906</v>
      </c>
      <c r="C196" s="97">
        <v>165</v>
      </c>
      <c r="D196" s="97">
        <v>585</v>
      </c>
      <c r="E196" s="98">
        <v>0.28205128205128205</v>
      </c>
      <c r="F196" s="98">
        <v>56.653171390013505</v>
      </c>
      <c r="G196" s="97">
        <v>1290</v>
      </c>
      <c r="H196" s="97">
        <v>1051</v>
      </c>
      <c r="I196" s="98">
        <v>1.2274024738344433</v>
      </c>
      <c r="J196" s="98">
        <v>67.10374547779503</v>
      </c>
      <c r="K196" s="97">
        <v>1</v>
      </c>
      <c r="L196" s="97">
        <v>3</v>
      </c>
      <c r="M196" s="98">
        <v>0.33333333333333331</v>
      </c>
      <c r="N196" s="98">
        <v>66.666666666666671</v>
      </c>
      <c r="O196" s="41">
        <f t="shared" si="6"/>
        <v>61.769188731122185</v>
      </c>
      <c r="P196" s="109">
        <f t="shared" si="7"/>
        <v>57.226352678877646</v>
      </c>
    </row>
    <row r="197" spans="1:16" ht="18" x14ac:dyDescent="0.25">
      <c r="A197" s="73" t="s">
        <v>237</v>
      </c>
      <c r="B197" s="74">
        <v>4108205</v>
      </c>
      <c r="C197" s="97">
        <v>204</v>
      </c>
      <c r="D197" s="97">
        <v>470</v>
      </c>
      <c r="E197" s="98">
        <v>0.43404255319148938</v>
      </c>
      <c r="F197" s="98">
        <v>33.294512877939532</v>
      </c>
      <c r="G197" s="97">
        <v>870</v>
      </c>
      <c r="H197" s="97">
        <v>825</v>
      </c>
      <c r="I197" s="98">
        <v>1.0545454545454545</v>
      </c>
      <c r="J197" s="98">
        <v>78.862619743670166</v>
      </c>
      <c r="K197" s="97">
        <v>2</v>
      </c>
      <c r="L197" s="97">
        <v>4</v>
      </c>
      <c r="M197" s="98">
        <v>0.5</v>
      </c>
      <c r="N197" s="98">
        <v>50</v>
      </c>
      <c r="O197" s="41">
        <f t="shared" si="6"/>
        <v>48.862911374887304</v>
      </c>
      <c r="P197" s="109">
        <f t="shared" si="7"/>
        <v>35.480124049664148</v>
      </c>
    </row>
    <row r="198" spans="1:16" ht="18" x14ac:dyDescent="0.25">
      <c r="A198" s="73" t="s">
        <v>165</v>
      </c>
      <c r="B198" s="74">
        <v>4121802</v>
      </c>
      <c r="C198" s="97">
        <v>159</v>
      </c>
      <c r="D198" s="97">
        <v>746</v>
      </c>
      <c r="E198" s="98">
        <v>0.21313672922252011</v>
      </c>
      <c r="F198" s="98">
        <v>67.244250035275854</v>
      </c>
      <c r="G198" s="97">
        <v>1700</v>
      </c>
      <c r="H198" s="97">
        <v>1509</v>
      </c>
      <c r="I198" s="98">
        <v>1.126573889993373</v>
      </c>
      <c r="J198" s="98">
        <v>73.962770611227484</v>
      </c>
      <c r="K198" s="97">
        <v>2</v>
      </c>
      <c r="L198" s="97">
        <v>3</v>
      </c>
      <c r="M198" s="98">
        <v>0.66666666666666663</v>
      </c>
      <c r="N198" s="98">
        <v>33.333333333333336</v>
      </c>
      <c r="O198" s="41">
        <f t="shared" si="6"/>
        <v>60.446151003778134</v>
      </c>
      <c r="P198" s="109">
        <f t="shared" si="7"/>
        <v>54.997121111186296</v>
      </c>
    </row>
    <row r="199" spans="1:16" ht="18" x14ac:dyDescent="0.25">
      <c r="A199" s="73" t="s">
        <v>214</v>
      </c>
      <c r="B199" s="74">
        <v>4122602</v>
      </c>
      <c r="C199" s="97">
        <v>181</v>
      </c>
      <c r="D199" s="97">
        <v>540</v>
      </c>
      <c r="E199" s="98">
        <v>0.3351851851851852</v>
      </c>
      <c r="F199" s="98">
        <v>48.487329434697855</v>
      </c>
      <c r="G199" s="97">
        <v>1257</v>
      </c>
      <c r="H199" s="97">
        <v>1184</v>
      </c>
      <c r="I199" s="98">
        <v>1.0616554054054055</v>
      </c>
      <c r="J199" s="98">
        <v>78.378954003380258</v>
      </c>
      <c r="K199" s="97">
        <v>2</v>
      </c>
      <c r="L199" s="97">
        <v>3</v>
      </c>
      <c r="M199" s="98">
        <v>0.66666666666666663</v>
      </c>
      <c r="N199" s="98">
        <v>33.333333333333336</v>
      </c>
      <c r="O199" s="41">
        <f t="shared" si="6"/>
        <v>52.171736551527324</v>
      </c>
      <c r="P199" s="109">
        <f t="shared" si="7"/>
        <v>41.05527688415296</v>
      </c>
    </row>
    <row r="200" spans="1:16" ht="18" x14ac:dyDescent="0.25">
      <c r="A200" s="73" t="s">
        <v>287</v>
      </c>
      <c r="B200" s="74">
        <v>4106456</v>
      </c>
      <c r="C200" s="97">
        <v>131</v>
      </c>
      <c r="D200" s="97">
        <v>452</v>
      </c>
      <c r="E200" s="98">
        <v>0.28982300884955753</v>
      </c>
      <c r="F200" s="98">
        <v>55.458779692594319</v>
      </c>
      <c r="G200" s="97">
        <v>1180</v>
      </c>
      <c r="H200" s="97">
        <v>875</v>
      </c>
      <c r="I200" s="98">
        <v>1.3485714285714285</v>
      </c>
      <c r="J200" s="98">
        <v>58.861034192245945</v>
      </c>
      <c r="K200" s="97">
        <v>0</v>
      </c>
      <c r="L200" s="97">
        <v>2</v>
      </c>
      <c r="M200" s="98">
        <v>0</v>
      </c>
      <c r="N200" s="98">
        <v>100</v>
      </c>
      <c r="O200" s="41">
        <f t="shared" si="6"/>
        <v>67.444648394358637</v>
      </c>
      <c r="P200" s="109">
        <f t="shared" si="7"/>
        <v>66.789128993536352</v>
      </c>
    </row>
    <row r="201" spans="1:16" ht="18" x14ac:dyDescent="0.25">
      <c r="A201" s="73" t="s">
        <v>207</v>
      </c>
      <c r="B201" s="74">
        <v>4118105</v>
      </c>
      <c r="C201" s="97">
        <v>215</v>
      </c>
      <c r="D201" s="97">
        <v>578</v>
      </c>
      <c r="E201" s="98">
        <v>0.37197231833910033</v>
      </c>
      <c r="F201" s="98">
        <v>42.833727918411952</v>
      </c>
      <c r="G201" s="97">
        <v>1485</v>
      </c>
      <c r="H201" s="97">
        <v>1315</v>
      </c>
      <c r="I201" s="98">
        <v>1.1292775665399239</v>
      </c>
      <c r="J201" s="98">
        <v>73.778848704571573</v>
      </c>
      <c r="K201" s="97">
        <v>2</v>
      </c>
      <c r="L201" s="97">
        <v>5</v>
      </c>
      <c r="M201" s="98">
        <v>0.4</v>
      </c>
      <c r="N201" s="98">
        <v>60</v>
      </c>
      <c r="O201" s="41">
        <f t="shared" si="6"/>
        <v>54.861576135348869</v>
      </c>
      <c r="P201" s="109">
        <f t="shared" si="7"/>
        <v>45.587479699198923</v>
      </c>
    </row>
    <row r="202" spans="1:16" ht="18" x14ac:dyDescent="0.25">
      <c r="A202" s="73" t="s">
        <v>173</v>
      </c>
      <c r="B202" s="74">
        <v>4120002</v>
      </c>
      <c r="C202" s="97">
        <v>171</v>
      </c>
      <c r="D202" s="97">
        <v>577</v>
      </c>
      <c r="E202" s="98">
        <v>0.29636048526863085</v>
      </c>
      <c r="F202" s="98">
        <v>54.454072790294624</v>
      </c>
      <c r="G202" s="97">
        <v>1634</v>
      </c>
      <c r="H202" s="97">
        <v>1312</v>
      </c>
      <c r="I202" s="98">
        <v>1.2454268292682926</v>
      </c>
      <c r="J202" s="98">
        <v>65.877609969142426</v>
      </c>
      <c r="K202" s="97">
        <v>3</v>
      </c>
      <c r="L202" s="97">
        <v>6</v>
      </c>
      <c r="M202" s="98">
        <v>0.5</v>
      </c>
      <c r="N202" s="98">
        <v>50</v>
      </c>
      <c r="O202" s="41">
        <f t="shared" si="6"/>
        <v>56.196438887432919</v>
      </c>
      <c r="P202" s="109">
        <f t="shared" si="7"/>
        <v>47.83663565596423</v>
      </c>
    </row>
    <row r="203" spans="1:16" ht="18" x14ac:dyDescent="0.25">
      <c r="A203" s="73" t="s">
        <v>211</v>
      </c>
      <c r="B203" s="74">
        <v>4125209</v>
      </c>
      <c r="C203" s="97">
        <v>234</v>
      </c>
      <c r="D203" s="97">
        <v>559</v>
      </c>
      <c r="E203" s="98">
        <v>0.41860465116279072</v>
      </c>
      <c r="F203" s="98">
        <v>35.667074663402694</v>
      </c>
      <c r="G203" s="97">
        <v>1291</v>
      </c>
      <c r="H203" s="97">
        <v>1181</v>
      </c>
      <c r="I203" s="98">
        <v>1.0931414055884843</v>
      </c>
      <c r="J203" s="98">
        <v>76.237068653215999</v>
      </c>
      <c r="K203" s="97">
        <v>1</v>
      </c>
      <c r="L203" s="97">
        <v>3</v>
      </c>
      <c r="M203" s="98">
        <v>0.33333333333333331</v>
      </c>
      <c r="N203" s="98">
        <v>66.666666666666671</v>
      </c>
      <c r="O203" s="41">
        <f t="shared" si="6"/>
        <v>53.559471161672022</v>
      </c>
      <c r="P203" s="109">
        <f t="shared" si="7"/>
        <v>43.393518444900167</v>
      </c>
    </row>
    <row r="204" spans="1:16" ht="18" x14ac:dyDescent="0.25">
      <c r="A204" s="73" t="s">
        <v>153</v>
      </c>
      <c r="B204" s="74">
        <v>4113908</v>
      </c>
      <c r="C204" s="97">
        <v>153</v>
      </c>
      <c r="D204" s="97">
        <v>810</v>
      </c>
      <c r="E204" s="98">
        <v>0.18888888888888888</v>
      </c>
      <c r="F204" s="98">
        <v>70.970760233918128</v>
      </c>
      <c r="G204" s="97">
        <v>1788</v>
      </c>
      <c r="H204" s="97">
        <v>1633</v>
      </c>
      <c r="I204" s="98">
        <v>1.0949173300673607</v>
      </c>
      <c r="J204" s="98">
        <v>76.116258559771737</v>
      </c>
      <c r="K204" s="97">
        <v>1</v>
      </c>
      <c r="L204" s="97">
        <v>3</v>
      </c>
      <c r="M204" s="98">
        <v>0.33333333333333331</v>
      </c>
      <c r="N204" s="98">
        <v>66.666666666666671</v>
      </c>
      <c r="O204" s="41">
        <f t="shared" si="6"/>
        <v>71.181111423568666</v>
      </c>
      <c r="P204" s="109">
        <f t="shared" si="7"/>
        <v>73.084823488165512</v>
      </c>
    </row>
    <row r="205" spans="1:16" ht="18" x14ac:dyDescent="0.25">
      <c r="A205" s="73" t="s">
        <v>292</v>
      </c>
      <c r="B205" s="74">
        <v>4124905</v>
      </c>
      <c r="C205" s="97">
        <v>173</v>
      </c>
      <c r="D205" s="97">
        <v>369</v>
      </c>
      <c r="E205" s="98">
        <v>0.46883468834688347</v>
      </c>
      <c r="F205" s="98">
        <v>27.947511054057916</v>
      </c>
      <c r="G205" s="97">
        <v>822</v>
      </c>
      <c r="H205" s="97">
        <v>740</v>
      </c>
      <c r="I205" s="98">
        <v>1.1108108108108108</v>
      </c>
      <c r="J205" s="98">
        <v>75.035079198481895</v>
      </c>
      <c r="K205" s="97">
        <v>0</v>
      </c>
      <c r="L205" s="97">
        <v>2</v>
      </c>
      <c r="M205" s="98">
        <v>0</v>
      </c>
      <c r="N205" s="98">
        <v>100</v>
      </c>
      <c r="O205" s="41">
        <f t="shared" si="6"/>
        <v>57.73252532664943</v>
      </c>
      <c r="P205" s="109">
        <f t="shared" si="7"/>
        <v>50.424840293089865</v>
      </c>
    </row>
    <row r="206" spans="1:16" ht="18" x14ac:dyDescent="0.25">
      <c r="A206" s="73" t="s">
        <v>187</v>
      </c>
      <c r="B206" s="74">
        <v>4124707</v>
      </c>
      <c r="C206" s="97">
        <v>73</v>
      </c>
      <c r="D206" s="97">
        <v>735</v>
      </c>
      <c r="E206" s="98">
        <v>9.9319727891156465E-2</v>
      </c>
      <c r="F206" s="98">
        <v>84.736126029359099</v>
      </c>
      <c r="G206" s="97">
        <v>1595</v>
      </c>
      <c r="H206" s="97">
        <v>1521</v>
      </c>
      <c r="I206" s="98">
        <v>1.0486522024983564</v>
      </c>
      <c r="J206" s="98">
        <v>79.263517607835468</v>
      </c>
      <c r="K206" s="97">
        <v>2</v>
      </c>
      <c r="L206" s="97">
        <v>4</v>
      </c>
      <c r="M206" s="98">
        <v>0.5</v>
      </c>
      <c r="N206" s="98">
        <v>50</v>
      </c>
      <c r="O206" s="41">
        <f t="shared" si="6"/>
        <v>74.683942416638416</v>
      </c>
      <c r="P206" s="109">
        <f t="shared" si="7"/>
        <v>78.986863365527299</v>
      </c>
    </row>
    <row r="207" spans="1:16" ht="18" x14ac:dyDescent="0.25">
      <c r="A207" s="73" t="s">
        <v>239</v>
      </c>
      <c r="B207" s="74">
        <v>4109500</v>
      </c>
      <c r="C207" s="97">
        <v>89</v>
      </c>
      <c r="D207" s="97">
        <v>538</v>
      </c>
      <c r="E207" s="98">
        <v>0.1654275092936803</v>
      </c>
      <c r="F207" s="98">
        <v>74.576403834865971</v>
      </c>
      <c r="G207" s="97">
        <v>1256</v>
      </c>
      <c r="H207" s="97">
        <v>1075</v>
      </c>
      <c r="I207" s="98">
        <v>1.1683720930232557</v>
      </c>
      <c r="J207" s="98">
        <v>71.119381225077049</v>
      </c>
      <c r="K207" s="97">
        <v>0</v>
      </c>
      <c r="L207" s="97">
        <v>1</v>
      </c>
      <c r="M207" s="98">
        <v>0</v>
      </c>
      <c r="N207" s="98">
        <v>100</v>
      </c>
      <c r="O207" s="41">
        <f t="shared" si="6"/>
        <v>80.068047223702251</v>
      </c>
      <c r="P207" s="109">
        <f t="shared" si="7"/>
        <v>88.058725907013397</v>
      </c>
    </row>
    <row r="208" spans="1:16" ht="18" x14ac:dyDescent="0.25">
      <c r="A208" s="73" t="s">
        <v>195</v>
      </c>
      <c r="B208" s="74">
        <v>4105003</v>
      </c>
      <c r="C208" s="97">
        <v>145</v>
      </c>
      <c r="D208" s="97">
        <v>707</v>
      </c>
      <c r="E208" s="98">
        <v>0.2050919377652051</v>
      </c>
      <c r="F208" s="98">
        <v>68.480607459242165</v>
      </c>
      <c r="G208" s="97">
        <v>1404</v>
      </c>
      <c r="H208" s="97">
        <v>1377</v>
      </c>
      <c r="I208" s="98">
        <v>1.0196078431372548</v>
      </c>
      <c r="J208" s="98">
        <v>81.239306449184781</v>
      </c>
      <c r="K208" s="97">
        <v>1</v>
      </c>
      <c r="L208" s="97">
        <v>2</v>
      </c>
      <c r="M208" s="98">
        <v>0.5</v>
      </c>
      <c r="N208" s="98">
        <v>50</v>
      </c>
      <c r="O208" s="41">
        <f t="shared" si="6"/>
        <v>67.050130341917281</v>
      </c>
      <c r="P208" s="109">
        <f t="shared" si="7"/>
        <v>66.124392018656664</v>
      </c>
    </row>
    <row r="209" spans="1:16" ht="18" x14ac:dyDescent="0.25">
      <c r="A209" s="73" t="s">
        <v>255</v>
      </c>
      <c r="B209" s="74">
        <v>4103206</v>
      </c>
      <c r="C209" s="97">
        <v>166</v>
      </c>
      <c r="D209" s="97">
        <v>444</v>
      </c>
      <c r="E209" s="98">
        <v>0.37387387387387389</v>
      </c>
      <c r="F209" s="98">
        <v>42.541488857278331</v>
      </c>
      <c r="G209" s="97">
        <v>962</v>
      </c>
      <c r="H209" s="97">
        <v>939</v>
      </c>
      <c r="I209" s="98">
        <v>1.0244941427050054</v>
      </c>
      <c r="J209" s="98">
        <v>80.906908132478179</v>
      </c>
      <c r="K209" s="97">
        <v>1</v>
      </c>
      <c r="L209" s="97">
        <v>2</v>
      </c>
      <c r="M209" s="98">
        <v>0.5</v>
      </c>
      <c r="N209" s="98">
        <v>50</v>
      </c>
      <c r="O209" s="41">
        <f t="shared" si="6"/>
        <v>53.997471461758707</v>
      </c>
      <c r="P209" s="109">
        <f t="shared" si="7"/>
        <v>44.131520147672177</v>
      </c>
    </row>
    <row r="210" spans="1:16" ht="18" x14ac:dyDescent="0.25">
      <c r="A210" s="73" t="s">
        <v>133</v>
      </c>
      <c r="B210" s="74">
        <v>4102802</v>
      </c>
      <c r="C210" s="97">
        <v>65</v>
      </c>
      <c r="D210" s="97">
        <v>857</v>
      </c>
      <c r="E210" s="98">
        <v>7.5845974329054849E-2</v>
      </c>
      <c r="F210" s="98">
        <v>88.343671313639987</v>
      </c>
      <c r="G210" s="97">
        <v>2234</v>
      </c>
      <c r="H210" s="97">
        <v>1807</v>
      </c>
      <c r="I210" s="98">
        <v>1.2363032650802435</v>
      </c>
      <c r="J210" s="98">
        <v>66.498254965713556</v>
      </c>
      <c r="K210" s="97">
        <v>5</v>
      </c>
      <c r="L210" s="97">
        <v>6</v>
      </c>
      <c r="M210" s="98">
        <v>0.83333333333333337</v>
      </c>
      <c r="N210" s="98">
        <v>16.666666666666664</v>
      </c>
      <c r="O210" s="41">
        <f t="shared" si="6"/>
        <v>64.963066064915054</v>
      </c>
      <c r="P210" s="109">
        <f t="shared" si="7"/>
        <v>62.607825957132398</v>
      </c>
    </row>
    <row r="211" spans="1:16" ht="18" x14ac:dyDescent="0.25">
      <c r="A211" s="73" t="s">
        <v>151</v>
      </c>
      <c r="B211" s="74">
        <v>4107009</v>
      </c>
      <c r="C211" s="97">
        <v>101</v>
      </c>
      <c r="D211" s="97">
        <v>900</v>
      </c>
      <c r="E211" s="98">
        <v>0.11222222222222222</v>
      </c>
      <c r="F211" s="98">
        <v>82.753216374269016</v>
      </c>
      <c r="G211" s="97">
        <v>1874</v>
      </c>
      <c r="H211" s="97">
        <v>1786</v>
      </c>
      <c r="I211" s="98">
        <v>1.0492721164613661</v>
      </c>
      <c r="J211" s="98">
        <v>79.221346972378043</v>
      </c>
      <c r="K211" s="97">
        <v>2</v>
      </c>
      <c r="L211" s="97">
        <v>3</v>
      </c>
      <c r="M211" s="98">
        <v>0.66666666666666663</v>
      </c>
      <c r="N211" s="98">
        <v>33.333333333333336</v>
      </c>
      <c r="O211" s="41">
        <f t="shared" si="6"/>
        <v>69.515278263562351</v>
      </c>
      <c r="P211" s="109">
        <f t="shared" si="7"/>
        <v>70.2780041586458</v>
      </c>
    </row>
    <row r="212" spans="1:16" ht="18" x14ac:dyDescent="0.25">
      <c r="A212" s="73" t="s">
        <v>254</v>
      </c>
      <c r="B212" s="74">
        <v>4124608</v>
      </c>
      <c r="C212" s="97">
        <v>217</v>
      </c>
      <c r="D212" s="97">
        <v>419</v>
      </c>
      <c r="E212" s="98">
        <v>0.5178997613365155</v>
      </c>
      <c r="F212" s="98">
        <v>20.406984047230257</v>
      </c>
      <c r="G212" s="97">
        <v>900</v>
      </c>
      <c r="H212" s="97">
        <v>863</v>
      </c>
      <c r="I212" s="98">
        <v>1.0428736964078795</v>
      </c>
      <c r="J212" s="98">
        <v>79.656609695400121</v>
      </c>
      <c r="K212" s="97">
        <v>0</v>
      </c>
      <c r="L212" s="97">
        <v>2</v>
      </c>
      <c r="M212" s="98">
        <v>0</v>
      </c>
      <c r="N212" s="98">
        <v>100</v>
      </c>
      <c r="O212" s="41">
        <f t="shared" si="6"/>
        <v>55.11764444746516</v>
      </c>
      <c r="P212" s="109">
        <f t="shared" si="7"/>
        <v>46.018937966077686</v>
      </c>
    </row>
    <row r="213" spans="1:16" ht="18" x14ac:dyDescent="0.25">
      <c r="A213" s="73" t="s">
        <v>223</v>
      </c>
      <c r="B213" s="74">
        <v>4117222</v>
      </c>
      <c r="C213" s="97">
        <v>235</v>
      </c>
      <c r="D213" s="97">
        <v>524</v>
      </c>
      <c r="E213" s="98">
        <v>0.44847328244274809</v>
      </c>
      <c r="F213" s="98">
        <v>31.076737645640822</v>
      </c>
      <c r="G213" s="97">
        <v>1384</v>
      </c>
      <c r="H213" s="97">
        <v>1060</v>
      </c>
      <c r="I213" s="98">
        <v>1.3056603773584905</v>
      </c>
      <c r="J213" s="98">
        <v>61.780126849894302</v>
      </c>
      <c r="K213" s="97">
        <v>1</v>
      </c>
      <c r="L213" s="97">
        <v>3</v>
      </c>
      <c r="M213" s="98">
        <v>0.33333333333333331</v>
      </c>
      <c r="N213" s="98">
        <v>66.666666666666671</v>
      </c>
      <c r="O213" s="41">
        <f t="shared" si="6"/>
        <v>47.650067201960653</v>
      </c>
      <c r="P213" s="109">
        <f t="shared" si="7"/>
        <v>33.436561374844445</v>
      </c>
    </row>
    <row r="214" spans="1:16" ht="18" x14ac:dyDescent="0.25">
      <c r="A214" s="73" t="s">
        <v>249</v>
      </c>
      <c r="B214" s="74">
        <v>4117453</v>
      </c>
      <c r="C214" s="97">
        <v>206</v>
      </c>
      <c r="D214" s="97">
        <v>454</v>
      </c>
      <c r="E214" s="98">
        <v>0.45374449339207046</v>
      </c>
      <c r="F214" s="98">
        <v>30.266635752376548</v>
      </c>
      <c r="G214" s="97">
        <v>957</v>
      </c>
      <c r="H214" s="97">
        <v>920</v>
      </c>
      <c r="I214" s="98">
        <v>1.0402173913043478</v>
      </c>
      <c r="J214" s="98">
        <v>79.837309084136038</v>
      </c>
      <c r="K214" s="97">
        <v>0</v>
      </c>
      <c r="L214" s="97">
        <v>1</v>
      </c>
      <c r="M214" s="98">
        <v>0</v>
      </c>
      <c r="N214" s="98">
        <v>100</v>
      </c>
      <c r="O214" s="41">
        <f t="shared" si="6"/>
        <v>60.092645147222285</v>
      </c>
      <c r="P214" s="109">
        <f t="shared" si="7"/>
        <v>54.401486989414096</v>
      </c>
    </row>
    <row r="215" spans="1:16" ht="18" x14ac:dyDescent="0.25">
      <c r="A215" s="73" t="s">
        <v>262</v>
      </c>
      <c r="B215" s="74">
        <v>4115309</v>
      </c>
      <c r="C215" s="97">
        <v>184</v>
      </c>
      <c r="D215" s="97">
        <v>437</v>
      </c>
      <c r="E215" s="98">
        <v>0.42105263157894735</v>
      </c>
      <c r="F215" s="98">
        <v>35.29085872576178</v>
      </c>
      <c r="G215" s="97">
        <v>948</v>
      </c>
      <c r="H215" s="97">
        <v>829</v>
      </c>
      <c r="I215" s="98">
        <v>1.1435464414957781</v>
      </c>
      <c r="J215" s="98">
        <v>72.808185741554311</v>
      </c>
      <c r="K215" s="97">
        <v>1</v>
      </c>
      <c r="L215" s="97">
        <v>2</v>
      </c>
      <c r="M215" s="98">
        <v>0.5</v>
      </c>
      <c r="N215" s="98">
        <v>50</v>
      </c>
      <c r="O215" s="41">
        <f t="shared" si="6"/>
        <v>48.347475798269471</v>
      </c>
      <c r="P215" s="109">
        <f t="shared" si="7"/>
        <v>34.611648998076397</v>
      </c>
    </row>
    <row r="216" spans="1:16" ht="18" x14ac:dyDescent="0.25">
      <c r="A216" s="73" t="s">
        <v>229</v>
      </c>
      <c r="B216" s="74">
        <v>4127908</v>
      </c>
      <c r="C216" s="97">
        <v>180</v>
      </c>
      <c r="D216" s="97">
        <v>499</v>
      </c>
      <c r="E216" s="98">
        <v>0.36072144288577157</v>
      </c>
      <c r="F216" s="98">
        <v>44.562809830186687</v>
      </c>
      <c r="G216" s="97">
        <v>1207</v>
      </c>
      <c r="H216" s="97">
        <v>1049</v>
      </c>
      <c r="I216" s="98">
        <v>1.1506196377502382</v>
      </c>
      <c r="J216" s="98">
        <v>72.32702029188863</v>
      </c>
      <c r="K216" s="97">
        <v>1</v>
      </c>
      <c r="L216" s="97">
        <v>5</v>
      </c>
      <c r="M216" s="98">
        <v>0.2</v>
      </c>
      <c r="N216" s="98">
        <v>80</v>
      </c>
      <c r="O216" s="41">
        <f t="shared" si="6"/>
        <v>60.363159988065505</v>
      </c>
      <c r="P216" s="109">
        <f t="shared" si="7"/>
        <v>54.857286707194838</v>
      </c>
    </row>
    <row r="217" spans="1:16" ht="18" x14ac:dyDescent="0.25">
      <c r="A217" s="73" t="s">
        <v>284</v>
      </c>
      <c r="B217" s="74">
        <v>4118451</v>
      </c>
      <c r="C217" s="97">
        <v>257</v>
      </c>
      <c r="D217" s="97">
        <v>399</v>
      </c>
      <c r="E217" s="98">
        <v>0.64411027568922308</v>
      </c>
      <c r="F217" s="98">
        <v>1.0104207888141448</v>
      </c>
      <c r="G217" s="97">
        <v>817</v>
      </c>
      <c r="H217" s="97">
        <v>738</v>
      </c>
      <c r="I217" s="98">
        <v>1.1070460704607046</v>
      </c>
      <c r="J217" s="98">
        <v>75.291181661677527</v>
      </c>
      <c r="K217" s="97">
        <v>0</v>
      </c>
      <c r="L217" s="97">
        <v>2</v>
      </c>
      <c r="M217" s="98">
        <v>0</v>
      </c>
      <c r="N217" s="98">
        <v>100</v>
      </c>
      <c r="O217" s="41">
        <f t="shared" si="6"/>
        <v>44.32800580982645</v>
      </c>
      <c r="P217" s="109">
        <f t="shared" si="7"/>
        <v>27.839106387660696</v>
      </c>
    </row>
    <row r="218" spans="1:16" ht="18" x14ac:dyDescent="0.25">
      <c r="A218" s="73" t="s">
        <v>213</v>
      </c>
      <c r="B218" s="74">
        <v>4112405</v>
      </c>
      <c r="C218" s="97">
        <v>204</v>
      </c>
      <c r="D218" s="97">
        <v>462</v>
      </c>
      <c r="E218" s="98">
        <v>0.44155844155844154</v>
      </c>
      <c r="F218" s="98">
        <v>32.139439507860565</v>
      </c>
      <c r="G218" s="97">
        <v>1073</v>
      </c>
      <c r="H218" s="97">
        <v>1015</v>
      </c>
      <c r="I218" s="98">
        <v>1.0571428571428572</v>
      </c>
      <c r="J218" s="98">
        <v>78.685927291802443</v>
      </c>
      <c r="K218" s="97">
        <v>0</v>
      </c>
      <c r="L218" s="97">
        <v>2</v>
      </c>
      <c r="M218" s="98">
        <v>0</v>
      </c>
      <c r="N218" s="98">
        <v>100</v>
      </c>
      <c r="O218" s="41">
        <f t="shared" si="6"/>
        <v>60.741201576880897</v>
      </c>
      <c r="P218" s="109">
        <f t="shared" si="7"/>
        <v>55.494261924356067</v>
      </c>
    </row>
    <row r="219" spans="1:16" ht="18" x14ac:dyDescent="0.25">
      <c r="A219" s="73" t="s">
        <v>201</v>
      </c>
      <c r="B219" s="74">
        <v>4115101</v>
      </c>
      <c r="C219" s="97">
        <v>159</v>
      </c>
      <c r="D219" s="97">
        <v>652</v>
      </c>
      <c r="E219" s="98">
        <v>0.24386503067484663</v>
      </c>
      <c r="F219" s="98">
        <v>62.521795285760405</v>
      </c>
      <c r="G219" s="97">
        <v>1415</v>
      </c>
      <c r="H219" s="97">
        <v>1386</v>
      </c>
      <c r="I219" s="98">
        <v>1.020923520923521</v>
      </c>
      <c r="J219" s="98">
        <v>81.149805370624335</v>
      </c>
      <c r="K219" s="97">
        <v>0</v>
      </c>
      <c r="L219" s="97">
        <v>2</v>
      </c>
      <c r="M219" s="98">
        <v>0</v>
      </c>
      <c r="N219" s="98">
        <v>100</v>
      </c>
      <c r="O219" s="41">
        <f t="shared" si="6"/>
        <v>76.548348985536279</v>
      </c>
      <c r="P219" s="109">
        <f t="shared" si="7"/>
        <v>82.128265830853536</v>
      </c>
    </row>
    <row r="220" spans="1:16" ht="18" x14ac:dyDescent="0.25">
      <c r="A220" s="73" t="s">
        <v>240</v>
      </c>
      <c r="B220" s="74">
        <v>4115002</v>
      </c>
      <c r="C220" s="97">
        <v>203</v>
      </c>
      <c r="D220" s="97">
        <v>454</v>
      </c>
      <c r="E220" s="98">
        <v>0.44713656387665196</v>
      </c>
      <c r="F220" s="98">
        <v>31.282170183167178</v>
      </c>
      <c r="G220" s="97">
        <v>1079</v>
      </c>
      <c r="H220" s="97">
        <v>957</v>
      </c>
      <c r="I220" s="98">
        <v>1.1274817136886102</v>
      </c>
      <c r="J220" s="98">
        <v>73.901014457316094</v>
      </c>
      <c r="K220" s="97">
        <v>0</v>
      </c>
      <c r="L220" s="97">
        <v>2</v>
      </c>
      <c r="M220" s="98">
        <v>0</v>
      </c>
      <c r="N220" s="98">
        <v>100</v>
      </c>
      <c r="O220" s="41">
        <f t="shared" si="6"/>
        <v>59.116338705912611</v>
      </c>
      <c r="P220" s="109">
        <f t="shared" si="7"/>
        <v>52.756474837661635</v>
      </c>
    </row>
    <row r="221" spans="1:16" ht="18" x14ac:dyDescent="0.25">
      <c r="A221" s="73" t="s">
        <v>259</v>
      </c>
      <c r="B221" s="74">
        <v>4121752</v>
      </c>
      <c r="C221" s="97">
        <v>146</v>
      </c>
      <c r="D221" s="97">
        <v>544</v>
      </c>
      <c r="E221" s="98">
        <v>0.26838235294117646</v>
      </c>
      <c r="F221" s="98">
        <v>58.753869969040252</v>
      </c>
      <c r="G221" s="97">
        <v>1207</v>
      </c>
      <c r="H221" s="97">
        <v>1082</v>
      </c>
      <c r="I221" s="98">
        <v>1.1155268022181146</v>
      </c>
      <c r="J221" s="98">
        <v>74.714266365855636</v>
      </c>
      <c r="K221" s="97">
        <v>1</v>
      </c>
      <c r="L221" s="97">
        <v>4</v>
      </c>
      <c r="M221" s="98">
        <v>0.25</v>
      </c>
      <c r="N221" s="98">
        <v>75</v>
      </c>
      <c r="O221" s="41">
        <f t="shared" si="6"/>
        <v>66.805501575984039</v>
      </c>
      <c r="P221" s="109">
        <f t="shared" si="7"/>
        <v>65.712208634832464</v>
      </c>
    </row>
    <row r="222" spans="1:16" ht="18" x14ac:dyDescent="0.25">
      <c r="A222" s="73" t="s">
        <v>253</v>
      </c>
      <c r="B222" s="74">
        <v>4108908</v>
      </c>
      <c r="C222" s="97">
        <v>125</v>
      </c>
      <c r="D222" s="97">
        <v>468</v>
      </c>
      <c r="E222" s="98">
        <v>0.26709401709401709</v>
      </c>
      <c r="F222" s="98">
        <v>58.951866846603693</v>
      </c>
      <c r="G222" s="97">
        <v>1023</v>
      </c>
      <c r="H222" s="97">
        <v>888</v>
      </c>
      <c r="I222" s="98">
        <v>1.152027027027027</v>
      </c>
      <c r="J222" s="98">
        <v>72.231280393000105</v>
      </c>
      <c r="K222" s="97">
        <v>1</v>
      </c>
      <c r="L222" s="97">
        <v>2</v>
      </c>
      <c r="M222" s="98">
        <v>0.5</v>
      </c>
      <c r="N222" s="98">
        <v>50</v>
      </c>
      <c r="O222" s="41">
        <f t="shared" si="6"/>
        <v>60.033753521551873</v>
      </c>
      <c r="P222" s="109">
        <f t="shared" si="7"/>
        <v>54.302258472869305</v>
      </c>
    </row>
    <row r="223" spans="1:16" ht="18" x14ac:dyDescent="0.25">
      <c r="A223" s="73" t="s">
        <v>238</v>
      </c>
      <c r="B223" s="74">
        <v>4104105</v>
      </c>
      <c r="C223" s="97">
        <v>128</v>
      </c>
      <c r="D223" s="97">
        <v>580</v>
      </c>
      <c r="E223" s="98">
        <v>0.22068965517241379</v>
      </c>
      <c r="F223" s="98">
        <v>66.08348457350273</v>
      </c>
      <c r="G223" s="97">
        <v>1409</v>
      </c>
      <c r="H223" s="97">
        <v>1215</v>
      </c>
      <c r="I223" s="98">
        <v>1.1596707818930041</v>
      </c>
      <c r="J223" s="98">
        <v>71.711301784333202</v>
      </c>
      <c r="K223" s="97">
        <v>1</v>
      </c>
      <c r="L223" s="97">
        <v>4</v>
      </c>
      <c r="M223" s="98">
        <v>0.25</v>
      </c>
      <c r="N223" s="98">
        <v>75</v>
      </c>
      <c r="O223" s="41">
        <f t="shared" si="6"/>
        <v>69.719567732834662</v>
      </c>
      <c r="P223" s="109">
        <f t="shared" si="7"/>
        <v>70.622218480306117</v>
      </c>
    </row>
    <row r="224" spans="1:16" ht="18" x14ac:dyDescent="0.25">
      <c r="A224" s="73" t="s">
        <v>241</v>
      </c>
      <c r="B224" s="74">
        <v>4100103</v>
      </c>
      <c r="C224" s="97">
        <v>151</v>
      </c>
      <c r="D224" s="97">
        <v>470</v>
      </c>
      <c r="E224" s="98">
        <v>0.32127659574468087</v>
      </c>
      <c r="F224" s="98">
        <v>50.624860022396412</v>
      </c>
      <c r="G224" s="97">
        <v>990</v>
      </c>
      <c r="H224" s="97">
        <v>914</v>
      </c>
      <c r="I224" s="98">
        <v>1.0831509846827134</v>
      </c>
      <c r="J224" s="98">
        <v>76.916682959752947</v>
      </c>
      <c r="K224" s="97">
        <v>1</v>
      </c>
      <c r="L224" s="97">
        <v>2</v>
      </c>
      <c r="M224" s="98">
        <v>0.5</v>
      </c>
      <c r="N224" s="98">
        <v>50</v>
      </c>
      <c r="O224" s="41">
        <f t="shared" si="6"/>
        <v>57.041600751136443</v>
      </c>
      <c r="P224" s="109">
        <f t="shared" si="7"/>
        <v>49.260677818510061</v>
      </c>
    </row>
    <row r="225" spans="1:16" ht="18" x14ac:dyDescent="0.25">
      <c r="A225" s="73" t="s">
        <v>268</v>
      </c>
      <c r="B225" s="74">
        <v>4127882</v>
      </c>
      <c r="C225" s="97">
        <v>110</v>
      </c>
      <c r="D225" s="97">
        <v>533</v>
      </c>
      <c r="E225" s="98">
        <v>0.20637898686679174</v>
      </c>
      <c r="F225" s="98">
        <v>68.282808334156215</v>
      </c>
      <c r="G225" s="97">
        <v>1261</v>
      </c>
      <c r="H225" s="97">
        <v>1070</v>
      </c>
      <c r="I225" s="98">
        <v>1.1785046728971962</v>
      </c>
      <c r="J225" s="98">
        <v>70.430096328133374</v>
      </c>
      <c r="K225" s="97">
        <v>1</v>
      </c>
      <c r="L225" s="97">
        <v>4</v>
      </c>
      <c r="M225" s="98">
        <v>0.25</v>
      </c>
      <c r="N225" s="98">
        <v>75</v>
      </c>
      <c r="O225" s="41">
        <f t="shared" si="6"/>
        <v>70.498928249111458</v>
      </c>
      <c r="P225" s="109">
        <f t="shared" si="7"/>
        <v>71.935389699530674</v>
      </c>
    </row>
    <row r="226" spans="1:16" ht="18" x14ac:dyDescent="0.25">
      <c r="A226" s="73" t="s">
        <v>243</v>
      </c>
      <c r="B226" s="74">
        <v>4118857</v>
      </c>
      <c r="C226" s="97">
        <v>176</v>
      </c>
      <c r="D226" s="97">
        <v>497</v>
      </c>
      <c r="E226" s="98">
        <v>0.35412474849094566</v>
      </c>
      <c r="F226" s="98">
        <v>45.576617600338878</v>
      </c>
      <c r="G226" s="97">
        <v>1022</v>
      </c>
      <c r="H226" s="97">
        <v>903</v>
      </c>
      <c r="I226" s="98">
        <v>1.1317829457364341</v>
      </c>
      <c r="J226" s="98">
        <v>73.608416291232032</v>
      </c>
      <c r="K226" s="97">
        <v>0</v>
      </c>
      <c r="L226" s="97">
        <v>3</v>
      </c>
      <c r="M226" s="98">
        <v>0</v>
      </c>
      <c r="N226" s="98">
        <v>100</v>
      </c>
      <c r="O226" s="41">
        <f t="shared" si="6"/>
        <v>66.190412872977447</v>
      </c>
      <c r="P226" s="109">
        <f t="shared" si="7"/>
        <v>64.675824618463395</v>
      </c>
    </row>
    <row r="227" spans="1:16" ht="18" x14ac:dyDescent="0.25">
      <c r="A227" s="73" t="s">
        <v>226</v>
      </c>
      <c r="B227" s="74">
        <v>4108320</v>
      </c>
      <c r="C227" s="97">
        <v>130</v>
      </c>
      <c r="D227" s="97">
        <v>591</v>
      </c>
      <c r="E227" s="98">
        <v>0.21996615905245348</v>
      </c>
      <c r="F227" s="98">
        <v>66.194674503517675</v>
      </c>
      <c r="G227" s="97">
        <v>1192</v>
      </c>
      <c r="H227" s="97">
        <v>1120</v>
      </c>
      <c r="I227" s="98">
        <v>1.0642857142857143</v>
      </c>
      <c r="J227" s="98">
        <v>78.200023049166262</v>
      </c>
      <c r="K227" s="97">
        <v>0</v>
      </c>
      <c r="L227" s="97">
        <v>2</v>
      </c>
      <c r="M227" s="98">
        <v>0</v>
      </c>
      <c r="N227" s="98">
        <v>100</v>
      </c>
      <c r="O227" s="41">
        <f t="shared" si="6"/>
        <v>77.647343014050406</v>
      </c>
      <c r="P227" s="109">
        <f t="shared" si="7"/>
        <v>83.979998499116945</v>
      </c>
    </row>
    <row r="228" spans="1:16" ht="18" x14ac:dyDescent="0.25">
      <c r="A228" s="73" t="s">
        <v>288</v>
      </c>
      <c r="B228" s="74">
        <v>4108700</v>
      </c>
      <c r="C228" s="97">
        <v>151</v>
      </c>
      <c r="D228" s="97">
        <v>369</v>
      </c>
      <c r="E228" s="98">
        <v>0.40921409214092141</v>
      </c>
      <c r="F228" s="98">
        <v>37.110255313079449</v>
      </c>
      <c r="G228" s="97">
        <v>847</v>
      </c>
      <c r="H228" s="97">
        <v>701</v>
      </c>
      <c r="I228" s="98">
        <v>1.2082738944365192</v>
      </c>
      <c r="J228" s="98">
        <v>68.404997581702659</v>
      </c>
      <c r="K228" s="97">
        <v>0</v>
      </c>
      <c r="L228" s="97">
        <v>2</v>
      </c>
      <c r="M228" s="98">
        <v>0</v>
      </c>
      <c r="N228" s="98">
        <v>100</v>
      </c>
      <c r="O228" s="41">
        <f t="shared" si="6"/>
        <v>60.656377051965393</v>
      </c>
      <c r="P228" s="109">
        <f t="shared" si="7"/>
        <v>55.351338177929222</v>
      </c>
    </row>
    <row r="229" spans="1:16" ht="18" x14ac:dyDescent="0.25">
      <c r="A229" s="73" t="s">
        <v>121</v>
      </c>
      <c r="B229" s="74">
        <v>4126504</v>
      </c>
      <c r="C229" s="97">
        <v>29</v>
      </c>
      <c r="D229" s="97">
        <v>899</v>
      </c>
      <c r="E229" s="98">
        <v>3.2258064516129031E-2</v>
      </c>
      <c r="F229" s="98">
        <v>95.042444821731749</v>
      </c>
      <c r="G229" s="97">
        <v>2286</v>
      </c>
      <c r="H229" s="97">
        <v>1912</v>
      </c>
      <c r="I229" s="98">
        <v>1.1956066945606694</v>
      </c>
      <c r="J229" s="98">
        <v>69.266704044382109</v>
      </c>
      <c r="K229" s="97">
        <v>5</v>
      </c>
      <c r="L229" s="97">
        <v>6</v>
      </c>
      <c r="M229" s="98">
        <v>0.83333333333333337</v>
      </c>
      <c r="N229" s="98">
        <v>16.666666666666664</v>
      </c>
      <c r="O229" s="41">
        <f t="shared" si="6"/>
        <v>69.00456508862807</v>
      </c>
      <c r="P229" s="109">
        <f t="shared" si="7"/>
        <v>69.417486043349982</v>
      </c>
    </row>
    <row r="230" spans="1:16" ht="18" x14ac:dyDescent="0.25">
      <c r="A230" s="73" t="s">
        <v>248</v>
      </c>
      <c r="B230" s="74">
        <v>4116802</v>
      </c>
      <c r="C230" s="97">
        <v>150</v>
      </c>
      <c r="D230" s="97">
        <v>418</v>
      </c>
      <c r="E230" s="98">
        <v>0.35885167464114831</v>
      </c>
      <c r="F230" s="98">
        <v>44.850163686728791</v>
      </c>
      <c r="G230" s="97">
        <v>1022</v>
      </c>
      <c r="H230" s="97">
        <v>879</v>
      </c>
      <c r="I230" s="98">
        <v>1.1626848691695109</v>
      </c>
      <c r="J230" s="98">
        <v>71.506263692986948</v>
      </c>
      <c r="K230" s="97">
        <v>1</v>
      </c>
      <c r="L230" s="97">
        <v>3</v>
      </c>
      <c r="M230" s="98">
        <v>0.33333333333333331</v>
      </c>
      <c r="N230" s="98">
        <v>66.666666666666671</v>
      </c>
      <c r="O230" s="41">
        <f t="shared" si="6"/>
        <v>56.968314433277797</v>
      </c>
      <c r="P230" s="109">
        <f t="shared" si="7"/>
        <v>49.137195192222208</v>
      </c>
    </row>
    <row r="231" spans="1:16" ht="18" x14ac:dyDescent="0.25">
      <c r="A231" s="73" t="s">
        <v>281</v>
      </c>
      <c r="B231" s="74">
        <v>4125753</v>
      </c>
      <c r="C231" s="97">
        <v>172</v>
      </c>
      <c r="D231" s="97">
        <v>380</v>
      </c>
      <c r="E231" s="98">
        <v>0.45263157894736844</v>
      </c>
      <c r="F231" s="98">
        <v>30.437673130193911</v>
      </c>
      <c r="G231" s="97">
        <v>840</v>
      </c>
      <c r="H231" s="97">
        <v>718</v>
      </c>
      <c r="I231" s="98">
        <v>1.1699164345403901</v>
      </c>
      <c r="J231" s="98">
        <v>71.014324931741385</v>
      </c>
      <c r="K231" s="97">
        <v>1</v>
      </c>
      <c r="L231" s="97">
        <v>4</v>
      </c>
      <c r="M231" s="98">
        <v>0.25</v>
      </c>
      <c r="N231" s="98">
        <v>75</v>
      </c>
      <c r="O231" s="41">
        <f t="shared" si="6"/>
        <v>51.722417798032303</v>
      </c>
      <c r="P231" s="109">
        <f t="shared" si="7"/>
        <v>40.29820433168873</v>
      </c>
    </row>
    <row r="232" spans="1:16" ht="18" x14ac:dyDescent="0.25">
      <c r="A232" s="73" t="s">
        <v>233</v>
      </c>
      <c r="B232" s="74">
        <v>4103057</v>
      </c>
      <c r="C232" s="97">
        <v>186</v>
      </c>
      <c r="D232" s="97">
        <v>519</v>
      </c>
      <c r="E232" s="98">
        <v>0.3583815028901734</v>
      </c>
      <c r="F232" s="98">
        <v>44.922421661089146</v>
      </c>
      <c r="G232" s="97">
        <v>1302</v>
      </c>
      <c r="H232" s="97">
        <v>1119</v>
      </c>
      <c r="I232" s="98">
        <v>1.1635388739946382</v>
      </c>
      <c r="J232" s="98">
        <v>71.448168653500389</v>
      </c>
      <c r="K232" s="97">
        <v>1</v>
      </c>
      <c r="L232" s="97">
        <v>4</v>
      </c>
      <c r="M232" s="98">
        <v>0.25</v>
      </c>
      <c r="N232" s="98">
        <v>75</v>
      </c>
      <c r="O232" s="41">
        <f t="shared" si="6"/>
        <v>59.073252993919667</v>
      </c>
      <c r="P232" s="109">
        <f t="shared" si="7"/>
        <v>52.683878246267426</v>
      </c>
    </row>
    <row r="233" spans="1:16" ht="18" x14ac:dyDescent="0.25">
      <c r="A233" s="73" t="s">
        <v>193</v>
      </c>
      <c r="B233" s="74">
        <v>4112751</v>
      </c>
      <c r="C233" s="97">
        <v>165</v>
      </c>
      <c r="D233" s="97">
        <v>509</v>
      </c>
      <c r="E233" s="98">
        <v>0.32416502946954812</v>
      </c>
      <c r="F233" s="98">
        <v>50.180953365732606</v>
      </c>
      <c r="G233" s="97">
        <v>1097</v>
      </c>
      <c r="H233" s="97">
        <v>1356</v>
      </c>
      <c r="I233" s="98">
        <v>0.80899705014749268</v>
      </c>
      <c r="J233" s="98">
        <v>95.566441349402425</v>
      </c>
      <c r="K233" s="97">
        <v>3</v>
      </c>
      <c r="L233" s="97">
        <v>5</v>
      </c>
      <c r="M233" s="98">
        <v>0.6</v>
      </c>
      <c r="N233" s="98">
        <v>40</v>
      </c>
      <c r="O233" s="41">
        <f t="shared" si="6"/>
        <v>58.982087020216909</v>
      </c>
      <c r="P233" s="109">
        <f t="shared" si="7"/>
        <v>52.53026957564736</v>
      </c>
    </row>
    <row r="234" spans="1:16" ht="18" x14ac:dyDescent="0.25">
      <c r="A234" s="73" t="s">
        <v>199</v>
      </c>
      <c r="B234" s="74">
        <v>4120507</v>
      </c>
      <c r="C234" s="97">
        <v>170</v>
      </c>
      <c r="D234" s="97">
        <v>490</v>
      </c>
      <c r="E234" s="98">
        <v>0.34693877551020408</v>
      </c>
      <c r="F234" s="98">
        <v>46.680988184747584</v>
      </c>
      <c r="G234" s="97">
        <v>1159</v>
      </c>
      <c r="H234" s="97">
        <v>1089</v>
      </c>
      <c r="I234" s="98">
        <v>1.064279155188246</v>
      </c>
      <c r="J234" s="98">
        <v>78.200469242226532</v>
      </c>
      <c r="K234" s="97">
        <v>3</v>
      </c>
      <c r="L234" s="97">
        <v>6</v>
      </c>
      <c r="M234" s="98">
        <v>0.5</v>
      </c>
      <c r="N234" s="98">
        <v>50</v>
      </c>
      <c r="O234" s="41">
        <f t="shared" si="6"/>
        <v>55.390611402930425</v>
      </c>
      <c r="P234" s="109">
        <f t="shared" si="7"/>
        <v>46.478869335745664</v>
      </c>
    </row>
    <row r="235" spans="1:16" ht="18" x14ac:dyDescent="0.25">
      <c r="A235" s="73" t="s">
        <v>260</v>
      </c>
      <c r="B235" s="74">
        <v>4125357</v>
      </c>
      <c r="C235" s="97">
        <v>169</v>
      </c>
      <c r="D235" s="97">
        <v>413</v>
      </c>
      <c r="E235" s="98">
        <v>0.40920096852300242</v>
      </c>
      <c r="F235" s="98">
        <v>37.112272205938581</v>
      </c>
      <c r="G235" s="97">
        <v>784</v>
      </c>
      <c r="H235" s="97">
        <v>733</v>
      </c>
      <c r="I235" s="98">
        <v>1.0695770804911324</v>
      </c>
      <c r="J235" s="98">
        <v>77.840069428768629</v>
      </c>
      <c r="K235" s="97">
        <v>0</v>
      </c>
      <c r="L235" s="97">
        <v>1</v>
      </c>
      <c r="M235" s="98">
        <v>0</v>
      </c>
      <c r="N235" s="98">
        <v>100</v>
      </c>
      <c r="O235" s="41">
        <f t="shared" si="6"/>
        <v>63.016153460161448</v>
      </c>
      <c r="P235" s="109">
        <f t="shared" si="7"/>
        <v>59.327406246981326</v>
      </c>
    </row>
    <row r="236" spans="1:16" ht="18" x14ac:dyDescent="0.25">
      <c r="A236" s="73" t="s">
        <v>269</v>
      </c>
      <c r="B236" s="74">
        <v>4109757</v>
      </c>
      <c r="C236" s="97">
        <v>164</v>
      </c>
      <c r="D236" s="97">
        <v>438</v>
      </c>
      <c r="E236" s="98">
        <v>0.37442922374429222</v>
      </c>
      <c r="F236" s="98">
        <v>42.456140350877206</v>
      </c>
      <c r="G236" s="97">
        <v>1133</v>
      </c>
      <c r="H236" s="97">
        <v>879</v>
      </c>
      <c r="I236" s="98">
        <v>1.2889647326507394</v>
      </c>
      <c r="J236" s="98">
        <v>62.915874693480269</v>
      </c>
      <c r="K236" s="97">
        <v>1</v>
      </c>
      <c r="L236" s="97">
        <v>3</v>
      </c>
      <c r="M236" s="98">
        <v>0.33333333333333331</v>
      </c>
      <c r="N236" s="98">
        <v>66.666666666666671</v>
      </c>
      <c r="O236" s="41">
        <f t="shared" si="6"/>
        <v>53.623705515475336</v>
      </c>
      <c r="P236" s="109">
        <f t="shared" si="7"/>
        <v>43.501749107011413</v>
      </c>
    </row>
    <row r="237" spans="1:16" ht="18" x14ac:dyDescent="0.25">
      <c r="A237" s="73" t="s">
        <v>228</v>
      </c>
      <c r="B237" s="74">
        <v>4127957</v>
      </c>
      <c r="C237" s="97">
        <v>194</v>
      </c>
      <c r="D237" s="97">
        <v>455</v>
      </c>
      <c r="E237" s="98">
        <v>0.42637362637362636</v>
      </c>
      <c r="F237" s="98">
        <v>34.473105841526902</v>
      </c>
      <c r="G237" s="97">
        <v>1016</v>
      </c>
      <c r="H237" s="97">
        <v>962</v>
      </c>
      <c r="I237" s="98">
        <v>1.0561330561330562</v>
      </c>
      <c r="J237" s="98">
        <v>78.754620615085727</v>
      </c>
      <c r="K237" s="97">
        <v>1</v>
      </c>
      <c r="L237" s="97">
        <v>5</v>
      </c>
      <c r="M237" s="98">
        <v>0.2</v>
      </c>
      <c r="N237" s="98">
        <v>80</v>
      </c>
      <c r="O237" s="41">
        <f t="shared" si="6"/>
        <v>56.925208074534879</v>
      </c>
      <c r="P237" s="109">
        <f t="shared" si="7"/>
        <v>49.064563812412018</v>
      </c>
    </row>
    <row r="238" spans="1:16" ht="18" x14ac:dyDescent="0.25">
      <c r="A238" s="73" t="s">
        <v>270</v>
      </c>
      <c r="B238" s="74">
        <v>4124509</v>
      </c>
      <c r="C238" s="97">
        <v>184</v>
      </c>
      <c r="D238" s="97">
        <v>455</v>
      </c>
      <c r="E238" s="98">
        <v>0.4043956043956044</v>
      </c>
      <c r="F238" s="98">
        <v>37.850780798149223</v>
      </c>
      <c r="G238" s="97">
        <v>953</v>
      </c>
      <c r="H238" s="97">
        <v>845</v>
      </c>
      <c r="I238" s="98">
        <v>1.127810650887574</v>
      </c>
      <c r="J238" s="98">
        <v>73.87863798004085</v>
      </c>
      <c r="K238" s="97">
        <v>1</v>
      </c>
      <c r="L238" s="97">
        <v>2</v>
      </c>
      <c r="M238" s="98">
        <v>0.5</v>
      </c>
      <c r="N238" s="98">
        <v>50</v>
      </c>
      <c r="O238" s="41">
        <f t="shared" si="6"/>
        <v>49.895049894084821</v>
      </c>
      <c r="P238" s="109">
        <f t="shared" si="7"/>
        <v>37.219209581143453</v>
      </c>
    </row>
    <row r="239" spans="1:16" ht="18" x14ac:dyDescent="0.25">
      <c r="A239" s="73" t="s">
        <v>235</v>
      </c>
      <c r="B239" s="74">
        <v>4112959</v>
      </c>
      <c r="C239" s="97">
        <v>152</v>
      </c>
      <c r="D239" s="97">
        <v>516</v>
      </c>
      <c r="E239" s="98">
        <v>0.29457364341085274</v>
      </c>
      <c r="F239" s="98">
        <v>54.728682170542633</v>
      </c>
      <c r="G239" s="97">
        <v>1084</v>
      </c>
      <c r="H239" s="97">
        <v>952</v>
      </c>
      <c r="I239" s="98">
        <v>1.1386554621848739</v>
      </c>
      <c r="J239" s="98">
        <v>73.140902405248298</v>
      </c>
      <c r="K239" s="97">
        <v>1</v>
      </c>
      <c r="L239" s="97">
        <v>5</v>
      </c>
      <c r="M239" s="98">
        <v>0.2</v>
      </c>
      <c r="N239" s="98">
        <v>80</v>
      </c>
      <c r="O239" s="41">
        <f t="shared" si="6"/>
        <v>65.649566686583398</v>
      </c>
      <c r="P239" s="109">
        <f t="shared" si="7"/>
        <v>63.764534360402934</v>
      </c>
    </row>
    <row r="240" spans="1:16" ht="18" x14ac:dyDescent="0.25">
      <c r="A240" s="73" t="s">
        <v>216</v>
      </c>
      <c r="B240" s="74">
        <v>4123709</v>
      </c>
      <c r="C240" s="97">
        <v>178</v>
      </c>
      <c r="D240" s="97">
        <v>525</v>
      </c>
      <c r="E240" s="98">
        <v>0.33904761904761904</v>
      </c>
      <c r="F240" s="98">
        <v>47.893734335839603</v>
      </c>
      <c r="G240" s="97">
        <v>1253</v>
      </c>
      <c r="H240" s="97">
        <v>1088</v>
      </c>
      <c r="I240" s="98">
        <v>1.1516544117647058</v>
      </c>
      <c r="J240" s="98">
        <v>72.256628140156693</v>
      </c>
      <c r="K240" s="97">
        <v>2</v>
      </c>
      <c r="L240" s="97">
        <v>4</v>
      </c>
      <c r="M240" s="98">
        <v>0.5</v>
      </c>
      <c r="N240" s="98">
        <v>50</v>
      </c>
      <c r="O240" s="41">
        <f t="shared" si="6"/>
        <v>54.511024202958978</v>
      </c>
      <c r="P240" s="109">
        <f t="shared" si="7"/>
        <v>44.996822745396479</v>
      </c>
    </row>
    <row r="241" spans="1:16" ht="18" x14ac:dyDescent="0.25">
      <c r="A241" s="73" t="s">
        <v>188</v>
      </c>
      <c r="B241" s="74">
        <v>4102505</v>
      </c>
      <c r="C241" s="97">
        <v>144</v>
      </c>
      <c r="D241" s="97">
        <v>584</v>
      </c>
      <c r="E241" s="98">
        <v>0.24657534246575341</v>
      </c>
      <c r="F241" s="98">
        <v>62.10526315789474</v>
      </c>
      <c r="G241" s="97">
        <v>1374</v>
      </c>
      <c r="H241" s="97">
        <v>1274</v>
      </c>
      <c r="I241" s="98">
        <v>1.0784929356357928</v>
      </c>
      <c r="J241" s="98">
        <v>77.233554170955813</v>
      </c>
      <c r="K241" s="97">
        <v>1</v>
      </c>
      <c r="L241" s="97">
        <v>3</v>
      </c>
      <c r="M241" s="98">
        <v>0.33333333333333331</v>
      </c>
      <c r="N241" s="98">
        <v>66.666666666666671</v>
      </c>
      <c r="O241" s="41">
        <f t="shared" si="6"/>
        <v>67.027686788352995</v>
      </c>
      <c r="P241" s="109">
        <f t="shared" si="7"/>
        <v>66.086576106787604</v>
      </c>
    </row>
    <row r="242" spans="1:16" ht="18" x14ac:dyDescent="0.25">
      <c r="A242" s="73" t="s">
        <v>225</v>
      </c>
      <c r="B242" s="74">
        <v>4128559</v>
      </c>
      <c r="C242" s="97">
        <v>151</v>
      </c>
      <c r="D242" s="97">
        <v>496</v>
      </c>
      <c r="E242" s="98">
        <v>0.30443548387096775</v>
      </c>
      <c r="F242" s="98">
        <v>53.213073005093378</v>
      </c>
      <c r="G242" s="97">
        <v>1104</v>
      </c>
      <c r="H242" s="97">
        <v>1030</v>
      </c>
      <c r="I242" s="98">
        <v>1.0718446601941747</v>
      </c>
      <c r="J242" s="98">
        <v>77.685813705017281</v>
      </c>
      <c r="K242" s="97">
        <v>0</v>
      </c>
      <c r="L242" s="97">
        <v>1</v>
      </c>
      <c r="M242" s="98">
        <v>0</v>
      </c>
      <c r="N242" s="98">
        <v>100</v>
      </c>
      <c r="O242" s="41">
        <f t="shared" si="6"/>
        <v>71.027989928801006</v>
      </c>
      <c r="P242" s="109">
        <f t="shared" si="7"/>
        <v>72.826823838742513</v>
      </c>
    </row>
    <row r="243" spans="1:16" ht="18" x14ac:dyDescent="0.25">
      <c r="A243" s="73" t="s">
        <v>261</v>
      </c>
      <c r="B243" s="74">
        <v>4103040</v>
      </c>
      <c r="C243" s="97">
        <v>117</v>
      </c>
      <c r="D243" s="97">
        <v>444</v>
      </c>
      <c r="E243" s="98">
        <v>0.26351351351351349</v>
      </c>
      <c r="F243" s="98">
        <v>59.502133712660033</v>
      </c>
      <c r="G243" s="97">
        <v>954</v>
      </c>
      <c r="H243" s="97">
        <v>878</v>
      </c>
      <c r="I243" s="98">
        <v>1.0865603644646924</v>
      </c>
      <c r="J243" s="98">
        <v>76.684754465637923</v>
      </c>
      <c r="K243" s="97">
        <v>0</v>
      </c>
      <c r="L243" s="97">
        <v>1</v>
      </c>
      <c r="M243" s="98">
        <v>0</v>
      </c>
      <c r="N243" s="98">
        <v>100</v>
      </c>
      <c r="O243" s="41">
        <f t="shared" si="6"/>
        <v>73.922255472739494</v>
      </c>
      <c r="P243" s="109">
        <f t="shared" si="7"/>
        <v>77.703470953546386</v>
      </c>
    </row>
    <row r="244" spans="1:16" ht="18" x14ac:dyDescent="0.25">
      <c r="A244" s="73" t="s">
        <v>256</v>
      </c>
      <c r="B244" s="74">
        <v>4108650</v>
      </c>
      <c r="C244" s="97">
        <v>113</v>
      </c>
      <c r="D244" s="97">
        <v>478</v>
      </c>
      <c r="E244" s="98">
        <v>0.23640167364016737</v>
      </c>
      <c r="F244" s="98">
        <v>63.668795419511113</v>
      </c>
      <c r="G244" s="97">
        <v>1001</v>
      </c>
      <c r="H244" s="97">
        <v>936</v>
      </c>
      <c r="I244" s="98">
        <v>1.0694444444444444</v>
      </c>
      <c r="J244" s="98">
        <v>77.849092207262345</v>
      </c>
      <c r="K244" s="97">
        <v>1</v>
      </c>
      <c r="L244" s="97">
        <v>2</v>
      </c>
      <c r="M244" s="98">
        <v>0.5</v>
      </c>
      <c r="N244" s="98">
        <v>50</v>
      </c>
      <c r="O244" s="41">
        <f t="shared" si="6"/>
        <v>63.796670761571143</v>
      </c>
      <c r="P244" s="109">
        <f t="shared" si="7"/>
        <v>60.642526573084673</v>
      </c>
    </row>
    <row r="245" spans="1:16" ht="18" x14ac:dyDescent="0.25">
      <c r="A245" s="73" t="s">
        <v>245</v>
      </c>
      <c r="B245" s="74">
        <v>4117271</v>
      </c>
      <c r="C245" s="97">
        <v>160</v>
      </c>
      <c r="D245" s="97">
        <v>386</v>
      </c>
      <c r="E245" s="98">
        <v>0.41450777202072536</v>
      </c>
      <c r="F245" s="98">
        <v>36.296700299972741</v>
      </c>
      <c r="G245" s="97">
        <v>999</v>
      </c>
      <c r="H245" s="97">
        <v>890</v>
      </c>
      <c r="I245" s="98">
        <v>1.1224719101123595</v>
      </c>
      <c r="J245" s="98">
        <v>74.241814331062471</v>
      </c>
      <c r="K245" s="97">
        <v>1</v>
      </c>
      <c r="L245" s="97">
        <v>4</v>
      </c>
      <c r="M245" s="98">
        <v>0.25</v>
      </c>
      <c r="N245" s="98">
        <v>75</v>
      </c>
      <c r="O245" s="41">
        <f t="shared" si="6"/>
        <v>55.458803732751988</v>
      </c>
      <c r="P245" s="109">
        <f t="shared" si="7"/>
        <v>46.593768927171389</v>
      </c>
    </row>
    <row r="246" spans="1:16" ht="18" x14ac:dyDescent="0.25">
      <c r="A246" s="73" t="s">
        <v>232</v>
      </c>
      <c r="B246" s="74">
        <v>4128609</v>
      </c>
      <c r="C246" s="97">
        <v>157</v>
      </c>
      <c r="D246" s="97">
        <v>442</v>
      </c>
      <c r="E246" s="98">
        <v>0.35520361990950228</v>
      </c>
      <c r="F246" s="98">
        <v>45.410812098118605</v>
      </c>
      <c r="G246" s="97">
        <v>1073</v>
      </c>
      <c r="H246" s="97">
        <v>978</v>
      </c>
      <c r="I246" s="98">
        <v>1.0971370143149284</v>
      </c>
      <c r="J246" s="98">
        <v>75.965261000722933</v>
      </c>
      <c r="K246" s="97">
        <v>1</v>
      </c>
      <c r="L246" s="97">
        <v>3</v>
      </c>
      <c r="M246" s="98">
        <v>0.33333333333333331</v>
      </c>
      <c r="N246" s="98">
        <v>66.666666666666671</v>
      </c>
      <c r="O246" s="41">
        <f t="shared" si="6"/>
        <v>58.363387965906711</v>
      </c>
      <c r="P246" s="109">
        <f t="shared" si="7"/>
        <v>51.487802354748212</v>
      </c>
    </row>
    <row r="247" spans="1:16" ht="18" x14ac:dyDescent="0.25">
      <c r="A247" s="73" t="s">
        <v>296</v>
      </c>
      <c r="B247" s="74">
        <v>4110003</v>
      </c>
      <c r="C247" s="97">
        <v>188</v>
      </c>
      <c r="D247" s="97">
        <v>341</v>
      </c>
      <c r="E247" s="98">
        <v>0.5513196480938416</v>
      </c>
      <c r="F247" s="98">
        <v>15.270875135051718</v>
      </c>
      <c r="G247" s="97">
        <v>789</v>
      </c>
      <c r="H247" s="97">
        <v>727</v>
      </c>
      <c r="I247" s="98">
        <v>1.0852819807427785</v>
      </c>
      <c r="J247" s="98">
        <v>76.77171855602522</v>
      </c>
      <c r="K247" s="97">
        <v>0</v>
      </c>
      <c r="L247" s="97">
        <v>1</v>
      </c>
      <c r="M247" s="98">
        <v>0</v>
      </c>
      <c r="N247" s="98">
        <v>100</v>
      </c>
      <c r="O247" s="41">
        <f t="shared" si="6"/>
        <v>51.828367206532164</v>
      </c>
      <c r="P247" s="109">
        <f t="shared" si="7"/>
        <v>40.476722117784107</v>
      </c>
    </row>
    <row r="248" spans="1:16" ht="18" x14ac:dyDescent="0.25">
      <c r="A248" s="73" t="s">
        <v>227</v>
      </c>
      <c r="B248" s="74">
        <v>4120705</v>
      </c>
      <c r="C248" s="97">
        <v>175</v>
      </c>
      <c r="D248" s="97">
        <v>458</v>
      </c>
      <c r="E248" s="98">
        <v>0.38209606986899564</v>
      </c>
      <c r="F248" s="98">
        <v>41.277867156975411</v>
      </c>
      <c r="G248" s="97">
        <v>1111</v>
      </c>
      <c r="H248" s="97">
        <v>995</v>
      </c>
      <c r="I248" s="98">
        <v>1.1165829145728643</v>
      </c>
      <c r="J248" s="98">
        <v>74.642422639513356</v>
      </c>
      <c r="K248" s="97">
        <v>2</v>
      </c>
      <c r="L248" s="97">
        <v>4</v>
      </c>
      <c r="M248" s="98">
        <v>0.5</v>
      </c>
      <c r="N248" s="98">
        <v>50</v>
      </c>
      <c r="O248" s="41">
        <f t="shared" si="6"/>
        <v>51.799539238366044</v>
      </c>
      <c r="P248" s="109">
        <f t="shared" si="7"/>
        <v>40.428148887149689</v>
      </c>
    </row>
    <row r="249" spans="1:16" ht="18" x14ac:dyDescent="0.25">
      <c r="A249" s="73" t="s">
        <v>224</v>
      </c>
      <c r="B249" s="74">
        <v>4106001</v>
      </c>
      <c r="C249" s="97">
        <v>141</v>
      </c>
      <c r="D249" s="97">
        <v>517</v>
      </c>
      <c r="E249" s="98">
        <v>0.27272727272727271</v>
      </c>
      <c r="F249" s="98">
        <v>58.086124401913885</v>
      </c>
      <c r="G249" s="97">
        <v>1203</v>
      </c>
      <c r="H249" s="97">
        <v>1170</v>
      </c>
      <c r="I249" s="98">
        <v>1.0282051282051281</v>
      </c>
      <c r="J249" s="98">
        <v>80.654462428636236</v>
      </c>
      <c r="K249" s="97">
        <v>1</v>
      </c>
      <c r="L249" s="97">
        <v>4</v>
      </c>
      <c r="M249" s="98">
        <v>0.25</v>
      </c>
      <c r="N249" s="98">
        <v>75</v>
      </c>
      <c r="O249" s="41">
        <f t="shared" si="6"/>
        <v>67.956677808115998</v>
      </c>
      <c r="P249" s="109">
        <f t="shared" si="7"/>
        <v>67.651864884693268</v>
      </c>
    </row>
    <row r="250" spans="1:16" ht="18" x14ac:dyDescent="0.25">
      <c r="A250" s="73" t="s">
        <v>186</v>
      </c>
      <c r="B250" s="74">
        <v>4105102</v>
      </c>
      <c r="C250" s="97">
        <v>98</v>
      </c>
      <c r="D250" s="97">
        <v>647</v>
      </c>
      <c r="E250" s="98">
        <v>0.15146831530139104</v>
      </c>
      <c r="F250" s="98">
        <v>76.72171154315464</v>
      </c>
      <c r="G250" s="97">
        <v>1397</v>
      </c>
      <c r="H250" s="97">
        <v>1339</v>
      </c>
      <c r="I250" s="98">
        <v>1.0433159073935774</v>
      </c>
      <c r="J250" s="98">
        <v>79.626527588227376</v>
      </c>
      <c r="K250" s="97">
        <v>4</v>
      </c>
      <c r="L250" s="97">
        <v>6</v>
      </c>
      <c r="M250" s="98">
        <v>0.66666666666666663</v>
      </c>
      <c r="N250" s="98">
        <v>33.333333333333336</v>
      </c>
      <c r="O250" s="41">
        <f t="shared" si="6"/>
        <v>66.600821001967489</v>
      </c>
      <c r="P250" s="109">
        <f t="shared" si="7"/>
        <v>65.367335327397114</v>
      </c>
    </row>
    <row r="251" spans="1:16" ht="18" x14ac:dyDescent="0.25">
      <c r="A251" s="73" t="s">
        <v>251</v>
      </c>
      <c r="B251" s="74">
        <v>4113007</v>
      </c>
      <c r="C251" s="97">
        <v>146</v>
      </c>
      <c r="D251" s="97">
        <v>394</v>
      </c>
      <c r="E251" s="98">
        <v>0.37055837563451777</v>
      </c>
      <c r="F251" s="98">
        <v>43.051028586695168</v>
      </c>
      <c r="G251" s="97">
        <v>966</v>
      </c>
      <c r="H251" s="97">
        <v>875</v>
      </c>
      <c r="I251" s="98">
        <v>1.1040000000000001</v>
      </c>
      <c r="J251" s="98">
        <v>75.498395460109037</v>
      </c>
      <c r="K251" s="97">
        <v>1</v>
      </c>
      <c r="L251" s="97">
        <v>2</v>
      </c>
      <c r="M251" s="98">
        <v>0.5</v>
      </c>
      <c r="N251" s="98">
        <v>50</v>
      </c>
      <c r="O251" s="41">
        <f t="shared" si="6"/>
        <v>52.900113158374843</v>
      </c>
      <c r="P251" s="109">
        <f t="shared" si="7"/>
        <v>42.282543568688062</v>
      </c>
    </row>
    <row r="252" spans="1:16" ht="18" x14ac:dyDescent="0.25">
      <c r="A252" s="73" t="s">
        <v>246</v>
      </c>
      <c r="B252" s="74">
        <v>4121604</v>
      </c>
      <c r="C252" s="97">
        <v>142</v>
      </c>
      <c r="D252" s="97">
        <v>449</v>
      </c>
      <c r="E252" s="98">
        <v>0.31625835189309576</v>
      </c>
      <c r="F252" s="98">
        <v>51.396084866955817</v>
      </c>
      <c r="G252" s="97">
        <v>870</v>
      </c>
      <c r="H252" s="97">
        <v>903</v>
      </c>
      <c r="I252" s="98">
        <v>0.96345514950166111</v>
      </c>
      <c r="J252" s="98">
        <v>85.059182939402703</v>
      </c>
      <c r="K252" s="97">
        <v>0</v>
      </c>
      <c r="L252" s="97">
        <v>1</v>
      </c>
      <c r="M252" s="98">
        <v>0</v>
      </c>
      <c r="N252" s="98">
        <v>100</v>
      </c>
      <c r="O252" s="41">
        <f t="shared" si="6"/>
        <v>71.962838168328588</v>
      </c>
      <c r="P252" s="109">
        <f t="shared" si="7"/>
        <v>74.401981646781067</v>
      </c>
    </row>
    <row r="253" spans="1:16" ht="18" x14ac:dyDescent="0.25">
      <c r="A253" s="73" t="s">
        <v>272</v>
      </c>
      <c r="B253" s="74">
        <v>4126272</v>
      </c>
      <c r="C253" s="97">
        <v>125</v>
      </c>
      <c r="D253" s="97">
        <v>445</v>
      </c>
      <c r="E253" s="98">
        <v>0.2808988764044944</v>
      </c>
      <c r="F253" s="98">
        <v>56.830277942046123</v>
      </c>
      <c r="G253" s="97">
        <v>1061</v>
      </c>
      <c r="H253" s="97">
        <v>957</v>
      </c>
      <c r="I253" s="98">
        <v>1.1086729362591432</v>
      </c>
      <c r="J253" s="98">
        <v>75.180511522564984</v>
      </c>
      <c r="K253" s="97">
        <v>1</v>
      </c>
      <c r="L253" s="97">
        <v>2</v>
      </c>
      <c r="M253" s="98">
        <v>0.5</v>
      </c>
      <c r="N253" s="98">
        <v>50</v>
      </c>
      <c r="O253" s="41">
        <f t="shared" si="6"/>
        <v>59.710266851664308</v>
      </c>
      <c r="P253" s="109">
        <f t="shared" si="7"/>
        <v>53.757204706573205</v>
      </c>
    </row>
    <row r="254" spans="1:16" ht="18" x14ac:dyDescent="0.25">
      <c r="A254" s="73" t="s">
        <v>250</v>
      </c>
      <c r="B254" s="74">
        <v>4126207</v>
      </c>
      <c r="C254" s="97">
        <v>118</v>
      </c>
      <c r="D254" s="97">
        <v>412</v>
      </c>
      <c r="E254" s="98">
        <v>0.28640776699029125</v>
      </c>
      <c r="F254" s="98">
        <v>55.983648441492086</v>
      </c>
      <c r="G254" s="97">
        <v>1000</v>
      </c>
      <c r="H254" s="97">
        <v>835</v>
      </c>
      <c r="I254" s="98">
        <v>1.1976047904191616</v>
      </c>
      <c r="J254" s="98">
        <v>69.130780388705176</v>
      </c>
      <c r="K254" s="97">
        <v>1</v>
      </c>
      <c r="L254" s="97">
        <v>2</v>
      </c>
      <c r="M254" s="98">
        <v>0.5</v>
      </c>
      <c r="N254" s="98">
        <v>50</v>
      </c>
      <c r="O254" s="41">
        <f t="shared" si="6"/>
        <v>57.774519317922341</v>
      </c>
      <c r="P254" s="109">
        <f t="shared" si="7"/>
        <v>50.495597406862316</v>
      </c>
    </row>
    <row r="255" spans="1:16" ht="18" x14ac:dyDescent="0.25">
      <c r="A255" s="73" t="s">
        <v>290</v>
      </c>
      <c r="B255" s="74">
        <v>4113254</v>
      </c>
      <c r="C255" s="97">
        <v>90</v>
      </c>
      <c r="D255" s="97">
        <v>437</v>
      </c>
      <c r="E255" s="98">
        <v>0.20594965675057209</v>
      </c>
      <c r="F255" s="98">
        <v>68.348789594122607</v>
      </c>
      <c r="G255" s="97">
        <v>942</v>
      </c>
      <c r="H255" s="97">
        <v>846</v>
      </c>
      <c r="I255" s="98">
        <v>1.1134751773049645</v>
      </c>
      <c r="J255" s="98">
        <v>74.85383142079931</v>
      </c>
      <c r="K255" s="97">
        <v>1</v>
      </c>
      <c r="L255" s="97">
        <v>3</v>
      </c>
      <c r="M255" s="98">
        <v>0.33333333333333331</v>
      </c>
      <c r="N255" s="98">
        <v>66.666666666666671</v>
      </c>
      <c r="O255" s="41">
        <f t="shared" si="6"/>
        <v>69.554519318927802</v>
      </c>
      <c r="P255" s="109">
        <f t="shared" si="7"/>
        <v>70.344122756447092</v>
      </c>
    </row>
    <row r="256" spans="1:16" ht="18" x14ac:dyDescent="0.25">
      <c r="A256" s="73" t="s">
        <v>222</v>
      </c>
      <c r="B256" s="74">
        <v>4127809</v>
      </c>
      <c r="C256" s="97">
        <v>128</v>
      </c>
      <c r="D256" s="97">
        <v>469</v>
      </c>
      <c r="E256" s="98">
        <v>0.27292110874200426</v>
      </c>
      <c r="F256" s="98">
        <v>58.0563348670183</v>
      </c>
      <c r="G256" s="97">
        <v>1105</v>
      </c>
      <c r="H256" s="97">
        <v>1011</v>
      </c>
      <c r="I256" s="98">
        <v>1.0929772502472799</v>
      </c>
      <c r="J256" s="98">
        <v>76.24823558195996</v>
      </c>
      <c r="K256" s="97">
        <v>2</v>
      </c>
      <c r="L256" s="97">
        <v>4</v>
      </c>
      <c r="M256" s="98">
        <v>0.5</v>
      </c>
      <c r="N256" s="98">
        <v>50</v>
      </c>
      <c r="O256" s="41">
        <f t="shared" si="6"/>
        <v>60.590226328999137</v>
      </c>
      <c r="P256" s="109">
        <f t="shared" si="7"/>
        <v>55.239878559798747</v>
      </c>
    </row>
    <row r="257" spans="1:16" ht="18" x14ac:dyDescent="0.25">
      <c r="A257" s="73" t="s">
        <v>242</v>
      </c>
      <c r="B257" s="74">
        <v>4117008</v>
      </c>
      <c r="C257" s="97">
        <v>183</v>
      </c>
      <c r="D257" s="97">
        <v>360</v>
      </c>
      <c r="E257" s="98">
        <v>0.5083333333333333</v>
      </c>
      <c r="F257" s="98">
        <v>21.877192982456151</v>
      </c>
      <c r="G257" s="97">
        <v>892</v>
      </c>
      <c r="H257" s="97">
        <v>926</v>
      </c>
      <c r="I257" s="98">
        <v>0.96328293736501081</v>
      </c>
      <c r="J257" s="98">
        <v>85.070897944499137</v>
      </c>
      <c r="K257" s="97">
        <v>2</v>
      </c>
      <c r="L257" s="97">
        <v>4</v>
      </c>
      <c r="M257" s="98">
        <v>0.5</v>
      </c>
      <c r="N257" s="98">
        <v>50</v>
      </c>
      <c r="O257" s="41">
        <f t="shared" si="6"/>
        <v>44.70632097735286</v>
      </c>
      <c r="P257" s="109">
        <f t="shared" si="7"/>
        <v>28.476542566959463</v>
      </c>
    </row>
    <row r="258" spans="1:16" ht="18" x14ac:dyDescent="0.25">
      <c r="A258" s="73" t="s">
        <v>220</v>
      </c>
      <c r="B258" s="74">
        <v>4114906</v>
      </c>
      <c r="C258" s="97">
        <v>115</v>
      </c>
      <c r="D258" s="97">
        <v>536</v>
      </c>
      <c r="E258" s="98">
        <v>0.21455223880597016</v>
      </c>
      <c r="F258" s="98">
        <v>67.026708562450892</v>
      </c>
      <c r="G258" s="97">
        <v>1241</v>
      </c>
      <c r="H258" s="97">
        <v>1164</v>
      </c>
      <c r="I258" s="98">
        <v>1.0661512027491409</v>
      </c>
      <c r="J258" s="98">
        <v>78.073120222910745</v>
      </c>
      <c r="K258" s="97">
        <v>1</v>
      </c>
      <c r="L258" s="97">
        <v>3</v>
      </c>
      <c r="M258" s="98">
        <v>0.33333333333333331</v>
      </c>
      <c r="N258" s="98">
        <v>66.666666666666671</v>
      </c>
      <c r="O258" s="41">
        <f t="shared" si="6"/>
        <v>69.698301003619804</v>
      </c>
      <c r="P258" s="109">
        <f t="shared" si="7"/>
        <v>70.586385440077962</v>
      </c>
    </row>
    <row r="259" spans="1:16" ht="18" x14ac:dyDescent="0.25">
      <c r="A259" s="73" t="s">
        <v>247</v>
      </c>
      <c r="B259" s="74">
        <v>4111555</v>
      </c>
      <c r="C259" s="97">
        <v>147</v>
      </c>
      <c r="D259" s="97">
        <v>375</v>
      </c>
      <c r="E259" s="98">
        <v>0.39200000000000002</v>
      </c>
      <c r="F259" s="98">
        <v>39.75578947368421</v>
      </c>
      <c r="G259" s="97">
        <v>951</v>
      </c>
      <c r="H259" s="97">
        <v>900</v>
      </c>
      <c r="I259" s="98">
        <v>1.0566666666666666</v>
      </c>
      <c r="J259" s="98">
        <v>78.718320907978196</v>
      </c>
      <c r="K259" s="97">
        <v>1</v>
      </c>
      <c r="L259" s="97">
        <v>3</v>
      </c>
      <c r="M259" s="98">
        <v>0.33333333333333331</v>
      </c>
      <c r="N259" s="98">
        <v>66.666666666666671</v>
      </c>
      <c r="O259" s="41">
        <f t="shared" ref="O259:O322" si="8">(2*F259+J259+N259)/4</f>
        <v>56.224141630503325</v>
      </c>
      <c r="P259" s="109">
        <f t="shared" ref="P259:P322" si="9">(O259-O$402)/(O$403-O$402)*100</f>
        <v>47.883312956307108</v>
      </c>
    </row>
    <row r="260" spans="1:16" ht="18" x14ac:dyDescent="0.25">
      <c r="A260" s="73" t="s">
        <v>271</v>
      </c>
      <c r="B260" s="74">
        <v>4111100</v>
      </c>
      <c r="C260" s="97">
        <v>186</v>
      </c>
      <c r="D260" s="97">
        <v>332</v>
      </c>
      <c r="E260" s="98">
        <v>0.56024096385542166</v>
      </c>
      <c r="F260" s="98">
        <v>13.899809765377311</v>
      </c>
      <c r="G260" s="97">
        <v>795</v>
      </c>
      <c r="H260" s="97">
        <v>696</v>
      </c>
      <c r="I260" s="98">
        <v>1.1422413793103448</v>
      </c>
      <c r="J260" s="98">
        <v>72.896964676947164</v>
      </c>
      <c r="K260" s="97">
        <v>0</v>
      </c>
      <c r="L260" s="97">
        <v>2</v>
      </c>
      <c r="M260" s="98">
        <v>0</v>
      </c>
      <c r="N260" s="98">
        <v>100</v>
      </c>
      <c r="O260" s="41">
        <f t="shared" si="8"/>
        <v>50.174146051925447</v>
      </c>
      <c r="P260" s="109">
        <f t="shared" si="9"/>
        <v>37.689468253757937</v>
      </c>
    </row>
    <row r="261" spans="1:16" ht="18" x14ac:dyDescent="0.25">
      <c r="A261" s="73" t="s">
        <v>285</v>
      </c>
      <c r="B261" s="74">
        <v>4128633</v>
      </c>
      <c r="C261" s="97">
        <v>47</v>
      </c>
      <c r="D261" s="97">
        <v>409</v>
      </c>
      <c r="E261" s="98">
        <v>0.11491442542787286</v>
      </c>
      <c r="F261" s="98">
        <v>82.339467250032172</v>
      </c>
      <c r="G261" s="97">
        <v>913</v>
      </c>
      <c r="H261" s="97">
        <v>784</v>
      </c>
      <c r="I261" s="98">
        <v>1.1645408163265305</v>
      </c>
      <c r="J261" s="98">
        <v>71.380009929308329</v>
      </c>
      <c r="K261" s="97">
        <v>0</v>
      </c>
      <c r="L261" s="97">
        <v>1</v>
      </c>
      <c r="M261" s="98">
        <v>0</v>
      </c>
      <c r="N261" s="98">
        <v>100</v>
      </c>
      <c r="O261" s="41">
        <f t="shared" si="8"/>
        <v>84.014736107343168</v>
      </c>
      <c r="P261" s="109">
        <f t="shared" si="9"/>
        <v>94.708637141918743</v>
      </c>
    </row>
    <row r="262" spans="1:16" ht="18" x14ac:dyDescent="0.25">
      <c r="A262" s="73" t="s">
        <v>303</v>
      </c>
      <c r="B262" s="74">
        <v>4121109</v>
      </c>
      <c r="C262" s="97">
        <v>120</v>
      </c>
      <c r="D262" s="97">
        <v>320</v>
      </c>
      <c r="E262" s="98">
        <v>0.375</v>
      </c>
      <c r="F262" s="98">
        <v>42.368421052631582</v>
      </c>
      <c r="G262" s="97">
        <v>713</v>
      </c>
      <c r="H262" s="97">
        <v>640</v>
      </c>
      <c r="I262" s="98">
        <v>1.1140625</v>
      </c>
      <c r="J262" s="98">
        <v>74.813877858295314</v>
      </c>
      <c r="K262" s="97">
        <v>0</v>
      </c>
      <c r="L262" s="97">
        <v>1</v>
      </c>
      <c r="M262" s="98">
        <v>0</v>
      </c>
      <c r="N262" s="98">
        <v>100</v>
      </c>
      <c r="O262" s="41">
        <f t="shared" si="8"/>
        <v>64.887679990889623</v>
      </c>
      <c r="P262" s="109">
        <f t="shared" si="9"/>
        <v>62.480805379783369</v>
      </c>
    </row>
    <row r="263" spans="1:16" ht="18" x14ac:dyDescent="0.25">
      <c r="A263" s="73" t="s">
        <v>196</v>
      </c>
      <c r="B263" s="74">
        <v>4128401</v>
      </c>
      <c r="C263" s="97">
        <v>142</v>
      </c>
      <c r="D263" s="97">
        <v>493</v>
      </c>
      <c r="E263" s="98">
        <v>0.28803245436105479</v>
      </c>
      <c r="F263" s="98">
        <v>55.733959645564212</v>
      </c>
      <c r="G263" s="97">
        <v>1298</v>
      </c>
      <c r="H263" s="97">
        <v>1212</v>
      </c>
      <c r="I263" s="98">
        <v>1.0709570957095709</v>
      </c>
      <c r="J263" s="98">
        <v>77.746191693832785</v>
      </c>
      <c r="K263" s="97">
        <v>3</v>
      </c>
      <c r="L263" s="97">
        <v>8</v>
      </c>
      <c r="M263" s="98">
        <v>0.375</v>
      </c>
      <c r="N263" s="98">
        <v>62.5</v>
      </c>
      <c r="O263" s="41">
        <f t="shared" si="8"/>
        <v>62.928527746240306</v>
      </c>
      <c r="P263" s="109">
        <f t="shared" si="9"/>
        <v>59.179762681286007</v>
      </c>
    </row>
    <row r="264" spans="1:16" ht="18" x14ac:dyDescent="0.25">
      <c r="A264" s="73" t="s">
        <v>331</v>
      </c>
      <c r="B264" s="74">
        <v>4121257</v>
      </c>
      <c r="C264" s="97">
        <v>136</v>
      </c>
      <c r="D264" s="97">
        <v>332</v>
      </c>
      <c r="E264" s="98">
        <v>0.40963855421686746</v>
      </c>
      <c r="F264" s="98">
        <v>37.045022194039326</v>
      </c>
      <c r="G264" s="97">
        <v>681</v>
      </c>
      <c r="H264" s="97">
        <v>590</v>
      </c>
      <c r="I264" s="98">
        <v>1.1542372881355931</v>
      </c>
      <c r="J264" s="98">
        <v>72.080923858002052</v>
      </c>
      <c r="K264" s="97">
        <v>0</v>
      </c>
      <c r="L264" s="97">
        <v>1</v>
      </c>
      <c r="M264" s="98">
        <v>0</v>
      </c>
      <c r="N264" s="98">
        <v>100</v>
      </c>
      <c r="O264" s="41">
        <f t="shared" si="8"/>
        <v>61.542742061520173</v>
      </c>
      <c r="P264" s="109">
        <f t="shared" si="9"/>
        <v>56.84480493171796</v>
      </c>
    </row>
    <row r="265" spans="1:16" ht="18" x14ac:dyDescent="0.25">
      <c r="A265" s="73" t="s">
        <v>257</v>
      </c>
      <c r="B265" s="74">
        <v>4119202</v>
      </c>
      <c r="C265" s="97">
        <v>166</v>
      </c>
      <c r="D265" s="97">
        <v>384</v>
      </c>
      <c r="E265" s="98">
        <v>0.43229166666666669</v>
      </c>
      <c r="F265" s="98">
        <v>33.563596491228068</v>
      </c>
      <c r="G265" s="97">
        <v>902</v>
      </c>
      <c r="H265" s="97">
        <v>821</v>
      </c>
      <c r="I265" s="98">
        <v>1.0986601705237515</v>
      </c>
      <c r="J265" s="98">
        <v>75.861645871753865</v>
      </c>
      <c r="K265" s="97">
        <v>0</v>
      </c>
      <c r="L265" s="97">
        <v>3</v>
      </c>
      <c r="M265" s="98">
        <v>0</v>
      </c>
      <c r="N265" s="98">
        <v>100</v>
      </c>
      <c r="O265" s="41">
        <f t="shared" si="8"/>
        <v>60.7472097135525</v>
      </c>
      <c r="P265" s="109">
        <f t="shared" si="9"/>
        <v>55.504385239553002</v>
      </c>
    </row>
    <row r="266" spans="1:16" ht="18" x14ac:dyDescent="0.25">
      <c r="A266" s="73" t="s">
        <v>326</v>
      </c>
      <c r="B266" s="74">
        <v>4120853</v>
      </c>
      <c r="C266" s="97">
        <v>176</v>
      </c>
      <c r="D266" s="97">
        <v>290</v>
      </c>
      <c r="E266" s="98">
        <v>0.60689655172413792</v>
      </c>
      <c r="F266" s="98">
        <v>6.7295825771324935</v>
      </c>
      <c r="G266" s="97">
        <v>651</v>
      </c>
      <c r="H266" s="97">
        <v>522</v>
      </c>
      <c r="I266" s="98">
        <v>1.2471264367816093</v>
      </c>
      <c r="J266" s="98">
        <v>65.761991458927255</v>
      </c>
      <c r="K266" s="97">
        <v>0</v>
      </c>
      <c r="L266" s="97">
        <v>2</v>
      </c>
      <c r="M266" s="98">
        <v>0</v>
      </c>
      <c r="N266" s="98">
        <v>100</v>
      </c>
      <c r="O266" s="41">
        <f t="shared" si="8"/>
        <v>44.805289153298062</v>
      </c>
      <c r="P266" s="109">
        <f t="shared" si="9"/>
        <v>28.643297435285682</v>
      </c>
    </row>
    <row r="267" spans="1:16" ht="18" x14ac:dyDescent="0.25">
      <c r="A267" s="73" t="s">
        <v>306</v>
      </c>
      <c r="B267" s="74">
        <v>4108452</v>
      </c>
      <c r="C267" s="97">
        <v>104</v>
      </c>
      <c r="D267" s="97">
        <v>352</v>
      </c>
      <c r="E267" s="98">
        <v>0.29545454545454547</v>
      </c>
      <c r="F267" s="98">
        <v>54.593301435406701</v>
      </c>
      <c r="G267" s="97">
        <v>727</v>
      </c>
      <c r="H267" s="97">
        <v>726</v>
      </c>
      <c r="I267" s="98">
        <v>1.0013774104683195</v>
      </c>
      <c r="J267" s="98">
        <v>82.479460690234845</v>
      </c>
      <c r="K267" s="97">
        <v>1</v>
      </c>
      <c r="L267" s="97">
        <v>3</v>
      </c>
      <c r="M267" s="98">
        <v>0.33333333333333331</v>
      </c>
      <c r="N267" s="98">
        <v>66.666666666666671</v>
      </c>
      <c r="O267" s="41">
        <f t="shared" si="8"/>
        <v>64.583182556928733</v>
      </c>
      <c r="P267" s="109">
        <f t="shared" si="9"/>
        <v>61.967747227292669</v>
      </c>
    </row>
    <row r="268" spans="1:16" ht="18" x14ac:dyDescent="0.25">
      <c r="A268" s="73" t="s">
        <v>266</v>
      </c>
      <c r="B268" s="74">
        <v>4107736</v>
      </c>
      <c r="C268" s="97">
        <v>94</v>
      </c>
      <c r="D268" s="97">
        <v>394</v>
      </c>
      <c r="E268" s="98">
        <v>0.23857868020304568</v>
      </c>
      <c r="F268" s="98">
        <v>63.33422388458456</v>
      </c>
      <c r="G268" s="97">
        <v>915</v>
      </c>
      <c r="H268" s="97">
        <v>940</v>
      </c>
      <c r="I268" s="98">
        <v>0.97340425531914898</v>
      </c>
      <c r="J268" s="98">
        <v>84.382379157601179</v>
      </c>
      <c r="K268" s="97">
        <v>1</v>
      </c>
      <c r="L268" s="97">
        <v>2</v>
      </c>
      <c r="M268" s="98">
        <v>0.5</v>
      </c>
      <c r="N268" s="98">
        <v>50</v>
      </c>
      <c r="O268" s="41">
        <f t="shared" si="8"/>
        <v>65.262706731692575</v>
      </c>
      <c r="P268" s="109">
        <f t="shared" si="9"/>
        <v>63.112700776299846</v>
      </c>
    </row>
    <row r="269" spans="1:16" ht="18" x14ac:dyDescent="0.25">
      <c r="A269" s="73" t="s">
        <v>231</v>
      </c>
      <c r="B269" s="74">
        <v>4107751</v>
      </c>
      <c r="C269" s="97">
        <v>127</v>
      </c>
      <c r="D269" s="97">
        <v>433</v>
      </c>
      <c r="E269" s="98">
        <v>0.29330254041570436</v>
      </c>
      <c r="F269" s="98">
        <v>54.92403063084965</v>
      </c>
      <c r="G269" s="97">
        <v>1074</v>
      </c>
      <c r="H269" s="97">
        <v>991</v>
      </c>
      <c r="I269" s="98">
        <v>1.0837537840565086</v>
      </c>
      <c r="J269" s="98">
        <v>76.875676571506972</v>
      </c>
      <c r="K269" s="97">
        <v>0</v>
      </c>
      <c r="L269" s="97">
        <v>1</v>
      </c>
      <c r="M269" s="98">
        <v>0</v>
      </c>
      <c r="N269" s="98">
        <v>100</v>
      </c>
      <c r="O269" s="41">
        <f t="shared" si="8"/>
        <v>71.680934458301564</v>
      </c>
      <c r="P269" s="109">
        <f t="shared" si="9"/>
        <v>73.926992433356972</v>
      </c>
    </row>
    <row r="270" spans="1:16" ht="18" x14ac:dyDescent="0.25">
      <c r="A270" s="73" t="s">
        <v>264</v>
      </c>
      <c r="B270" s="74">
        <v>4107306</v>
      </c>
      <c r="C270" s="97">
        <v>146</v>
      </c>
      <c r="D270" s="97">
        <v>353</v>
      </c>
      <c r="E270" s="98">
        <v>0.41359773371104813</v>
      </c>
      <c r="F270" s="98">
        <v>36.436558819144189</v>
      </c>
      <c r="G270" s="97">
        <v>699</v>
      </c>
      <c r="H270" s="97">
        <v>689</v>
      </c>
      <c r="I270" s="98">
        <v>1.0145137880986939</v>
      </c>
      <c r="J270" s="98">
        <v>81.585837662949032</v>
      </c>
      <c r="K270" s="97">
        <v>1</v>
      </c>
      <c r="L270" s="97">
        <v>4</v>
      </c>
      <c r="M270" s="98">
        <v>0.25</v>
      </c>
      <c r="N270" s="98">
        <v>75</v>
      </c>
      <c r="O270" s="41">
        <f t="shared" si="8"/>
        <v>57.364738825309352</v>
      </c>
      <c r="P270" s="109">
        <f t="shared" si="9"/>
        <v>49.805144223950606</v>
      </c>
    </row>
    <row r="271" spans="1:16" ht="18" x14ac:dyDescent="0.25">
      <c r="A271" s="73" t="s">
        <v>280</v>
      </c>
      <c r="B271" s="74">
        <v>4128807</v>
      </c>
      <c r="C271" s="97">
        <v>157</v>
      </c>
      <c r="D271" s="97">
        <v>360</v>
      </c>
      <c r="E271" s="98">
        <v>0.43611111111111112</v>
      </c>
      <c r="F271" s="98">
        <v>32.976608187134509</v>
      </c>
      <c r="G271" s="97">
        <v>814</v>
      </c>
      <c r="H271" s="97">
        <v>724</v>
      </c>
      <c r="I271" s="98">
        <v>1.1243093922651934</v>
      </c>
      <c r="J271" s="98">
        <v>74.116816678726238</v>
      </c>
      <c r="K271" s="97">
        <v>0</v>
      </c>
      <c r="L271" s="97">
        <v>3</v>
      </c>
      <c r="M271" s="98">
        <v>0</v>
      </c>
      <c r="N271" s="98">
        <v>100</v>
      </c>
      <c r="O271" s="41">
        <f t="shared" si="8"/>
        <v>60.017508263248814</v>
      </c>
      <c r="P271" s="109">
        <f t="shared" si="9"/>
        <v>54.274886280915879</v>
      </c>
    </row>
    <row r="272" spans="1:16" ht="18" x14ac:dyDescent="0.25">
      <c r="A272" s="73" t="s">
        <v>299</v>
      </c>
      <c r="B272" s="74">
        <v>4113452</v>
      </c>
      <c r="C272" s="97">
        <v>123</v>
      </c>
      <c r="D272" s="97">
        <v>360</v>
      </c>
      <c r="E272" s="98">
        <v>0.34166666666666667</v>
      </c>
      <c r="F272" s="98">
        <v>47.491228070175438</v>
      </c>
      <c r="G272" s="97">
        <v>848</v>
      </c>
      <c r="H272" s="97">
        <v>700</v>
      </c>
      <c r="I272" s="98">
        <v>1.2114285714285715</v>
      </c>
      <c r="J272" s="98">
        <v>68.190395650860751</v>
      </c>
      <c r="K272" s="97">
        <v>1</v>
      </c>
      <c r="L272" s="97">
        <v>2</v>
      </c>
      <c r="M272" s="98">
        <v>0.5</v>
      </c>
      <c r="N272" s="98">
        <v>50</v>
      </c>
      <c r="O272" s="41">
        <f t="shared" si="8"/>
        <v>53.293212947802907</v>
      </c>
      <c r="P272" s="109">
        <f t="shared" si="9"/>
        <v>42.944890863655246</v>
      </c>
    </row>
    <row r="273" spans="1:16" ht="18" x14ac:dyDescent="0.25">
      <c r="A273" s="73" t="s">
        <v>252</v>
      </c>
      <c r="B273" s="74">
        <v>4113734</v>
      </c>
      <c r="C273" s="97">
        <v>101</v>
      </c>
      <c r="D273" s="97">
        <v>445</v>
      </c>
      <c r="E273" s="98">
        <v>0.22696629213483147</v>
      </c>
      <c r="F273" s="98">
        <v>65.118864577173269</v>
      </c>
      <c r="G273" s="97">
        <v>1026</v>
      </c>
      <c r="H273" s="97">
        <v>981</v>
      </c>
      <c r="I273" s="98">
        <v>1.0458715596330275</v>
      </c>
      <c r="J273" s="98">
        <v>79.452675271008175</v>
      </c>
      <c r="K273" s="97">
        <v>0</v>
      </c>
      <c r="L273" s="97">
        <v>2</v>
      </c>
      <c r="M273" s="98">
        <v>0</v>
      </c>
      <c r="N273" s="98">
        <v>100</v>
      </c>
      <c r="O273" s="41">
        <f t="shared" si="8"/>
        <v>77.422601106338675</v>
      </c>
      <c r="P273" s="109">
        <f t="shared" si="9"/>
        <v>83.601323163637346</v>
      </c>
    </row>
    <row r="274" spans="1:16" ht="18" x14ac:dyDescent="0.25">
      <c r="A274" s="73" t="s">
        <v>324</v>
      </c>
      <c r="B274" s="74">
        <v>4107702</v>
      </c>
      <c r="C274" s="97">
        <v>154</v>
      </c>
      <c r="D274" s="97">
        <v>281</v>
      </c>
      <c r="E274" s="98">
        <v>0.54804270462633453</v>
      </c>
      <c r="F274" s="98">
        <v>15.774489604794908</v>
      </c>
      <c r="G274" s="97">
        <v>557</v>
      </c>
      <c r="H274" s="97">
        <v>506</v>
      </c>
      <c r="I274" s="98">
        <v>1.1007905138339922</v>
      </c>
      <c r="J274" s="98">
        <v>75.716725872373388</v>
      </c>
      <c r="K274" s="97">
        <v>1</v>
      </c>
      <c r="L274" s="97">
        <v>4</v>
      </c>
      <c r="M274" s="98">
        <v>0.25</v>
      </c>
      <c r="N274" s="98">
        <v>75</v>
      </c>
      <c r="O274" s="41">
        <f t="shared" si="8"/>
        <v>45.566426270490801</v>
      </c>
      <c r="P274" s="109">
        <f t="shared" si="9"/>
        <v>29.925763425423241</v>
      </c>
    </row>
    <row r="275" spans="1:16" ht="18" x14ac:dyDescent="0.25">
      <c r="A275" s="73" t="s">
        <v>283</v>
      </c>
      <c r="B275" s="74">
        <v>4120358</v>
      </c>
      <c r="C275" s="97">
        <v>144</v>
      </c>
      <c r="D275" s="97">
        <v>379</v>
      </c>
      <c r="E275" s="98">
        <v>0.37994722955145116</v>
      </c>
      <c r="F275" s="98">
        <v>41.608109984724351</v>
      </c>
      <c r="G275" s="97">
        <v>831</v>
      </c>
      <c r="H275" s="97">
        <v>701</v>
      </c>
      <c r="I275" s="98">
        <v>1.1854493580599144</v>
      </c>
      <c r="J275" s="98">
        <v>69.957673050326136</v>
      </c>
      <c r="K275" s="97">
        <v>1</v>
      </c>
      <c r="L275" s="97">
        <v>3</v>
      </c>
      <c r="M275" s="98">
        <v>0.33333333333333331</v>
      </c>
      <c r="N275" s="98">
        <v>66.666666666666671</v>
      </c>
      <c r="O275" s="41">
        <f t="shared" si="8"/>
        <v>54.960139921610377</v>
      </c>
      <c r="P275" s="109">
        <f t="shared" si="9"/>
        <v>45.753553197500764</v>
      </c>
    </row>
    <row r="276" spans="1:16" ht="18" x14ac:dyDescent="0.25">
      <c r="A276" s="73" t="s">
        <v>318</v>
      </c>
      <c r="B276" s="74">
        <v>4113106</v>
      </c>
      <c r="C276" s="97">
        <v>136</v>
      </c>
      <c r="D276" s="97">
        <v>232</v>
      </c>
      <c r="E276" s="98">
        <v>0.58620689655172409</v>
      </c>
      <c r="F276" s="98">
        <v>9.9092558983666201</v>
      </c>
      <c r="G276" s="97">
        <v>538</v>
      </c>
      <c r="H276" s="97">
        <v>515</v>
      </c>
      <c r="I276" s="98">
        <v>1.0446601941747573</v>
      </c>
      <c r="J276" s="98">
        <v>79.535080337186074</v>
      </c>
      <c r="K276" s="97">
        <v>1</v>
      </c>
      <c r="L276" s="97">
        <v>4</v>
      </c>
      <c r="M276" s="98">
        <v>0.25</v>
      </c>
      <c r="N276" s="98">
        <v>75</v>
      </c>
      <c r="O276" s="41">
        <f t="shared" si="8"/>
        <v>43.588398033479827</v>
      </c>
      <c r="P276" s="109">
        <f t="shared" si="9"/>
        <v>26.592915921080646</v>
      </c>
    </row>
    <row r="277" spans="1:16" ht="18" x14ac:dyDescent="0.25">
      <c r="A277" s="73" t="s">
        <v>310</v>
      </c>
      <c r="B277" s="74">
        <v>4113809</v>
      </c>
      <c r="C277" s="97">
        <v>141</v>
      </c>
      <c r="D277" s="97">
        <v>273</v>
      </c>
      <c r="E277" s="98">
        <v>0.51648351648351654</v>
      </c>
      <c r="F277" s="98">
        <v>20.62463851937536</v>
      </c>
      <c r="G277" s="97">
        <v>662</v>
      </c>
      <c r="H277" s="97">
        <v>605</v>
      </c>
      <c r="I277" s="98">
        <v>1.0942148760330579</v>
      </c>
      <c r="J277" s="98">
        <v>76.164044115145202</v>
      </c>
      <c r="K277" s="97">
        <v>1</v>
      </c>
      <c r="L277" s="97">
        <v>3</v>
      </c>
      <c r="M277" s="98">
        <v>0.33333333333333331</v>
      </c>
      <c r="N277" s="98">
        <v>66.666666666666671</v>
      </c>
      <c r="O277" s="41">
        <f t="shared" si="8"/>
        <v>46.019996955140648</v>
      </c>
      <c r="P277" s="109">
        <f t="shared" si="9"/>
        <v>30.6900002022766</v>
      </c>
    </row>
    <row r="278" spans="1:16" ht="18" x14ac:dyDescent="0.25">
      <c r="A278" s="73" t="s">
        <v>286</v>
      </c>
      <c r="B278" s="74">
        <v>4118600</v>
      </c>
      <c r="C278" s="97">
        <v>122</v>
      </c>
      <c r="D278" s="97">
        <v>322</v>
      </c>
      <c r="E278" s="98">
        <v>0.37888198757763975</v>
      </c>
      <c r="F278" s="98">
        <v>41.771820856489057</v>
      </c>
      <c r="G278" s="97">
        <v>778</v>
      </c>
      <c r="H278" s="97">
        <v>729</v>
      </c>
      <c r="I278" s="98">
        <v>1.0672153635116599</v>
      </c>
      <c r="J278" s="98">
        <v>78.000728990801065</v>
      </c>
      <c r="K278" s="97">
        <v>0</v>
      </c>
      <c r="L278" s="97">
        <v>2</v>
      </c>
      <c r="M278" s="98">
        <v>0</v>
      </c>
      <c r="N278" s="98">
        <v>100</v>
      </c>
      <c r="O278" s="41">
        <f t="shared" si="8"/>
        <v>65.386092675944795</v>
      </c>
      <c r="P278" s="109">
        <f t="shared" si="9"/>
        <v>63.320597978512382</v>
      </c>
    </row>
    <row r="279" spans="1:16" ht="18" x14ac:dyDescent="0.25">
      <c r="A279" s="73" t="s">
        <v>309</v>
      </c>
      <c r="B279" s="74">
        <v>4103354</v>
      </c>
      <c r="C279" s="97">
        <v>147</v>
      </c>
      <c r="D279" s="97">
        <v>283</v>
      </c>
      <c r="E279" s="98">
        <v>0.51943462897526504</v>
      </c>
      <c r="F279" s="98">
        <v>20.17109912590664</v>
      </c>
      <c r="G279" s="97">
        <v>700</v>
      </c>
      <c r="H279" s="97">
        <v>580</v>
      </c>
      <c r="I279" s="98">
        <v>1.2068965517241379</v>
      </c>
      <c r="J279" s="98">
        <v>68.498693515154073</v>
      </c>
      <c r="K279" s="97">
        <v>0</v>
      </c>
      <c r="L279" s="97">
        <v>3</v>
      </c>
      <c r="M279" s="98">
        <v>0</v>
      </c>
      <c r="N279" s="98">
        <v>100</v>
      </c>
      <c r="O279" s="41">
        <f t="shared" si="8"/>
        <v>52.21022294174184</v>
      </c>
      <c r="P279" s="109">
        <f t="shared" si="9"/>
        <v>41.120123920801646</v>
      </c>
    </row>
    <row r="280" spans="1:16" ht="18" x14ac:dyDescent="0.25">
      <c r="A280" s="73" t="s">
        <v>294</v>
      </c>
      <c r="B280" s="74">
        <v>4122651</v>
      </c>
      <c r="C280" s="97">
        <v>124</v>
      </c>
      <c r="D280" s="97">
        <v>293</v>
      </c>
      <c r="E280" s="98">
        <v>0.42320819112627989</v>
      </c>
      <c r="F280" s="98">
        <v>34.959583258487513</v>
      </c>
      <c r="G280" s="97">
        <v>810</v>
      </c>
      <c r="H280" s="97">
        <v>699</v>
      </c>
      <c r="I280" s="98">
        <v>1.1587982832618027</v>
      </c>
      <c r="J280" s="98">
        <v>71.770654894456513</v>
      </c>
      <c r="K280" s="97">
        <v>0</v>
      </c>
      <c r="L280" s="97">
        <v>1</v>
      </c>
      <c r="M280" s="98">
        <v>0</v>
      </c>
      <c r="N280" s="98">
        <v>100</v>
      </c>
      <c r="O280" s="41">
        <f t="shared" si="8"/>
        <v>60.422455352857881</v>
      </c>
      <c r="P280" s="109">
        <f t="shared" si="9"/>
        <v>54.957195497610286</v>
      </c>
    </row>
    <row r="281" spans="1:16" ht="18" x14ac:dyDescent="0.25">
      <c r="A281" s="73" t="s">
        <v>293</v>
      </c>
      <c r="B281" s="74">
        <v>4124004</v>
      </c>
      <c r="C281" s="97">
        <v>123</v>
      </c>
      <c r="D281" s="97">
        <v>336</v>
      </c>
      <c r="E281" s="98">
        <v>0.36607142857142855</v>
      </c>
      <c r="F281" s="98">
        <v>43.740601503759407</v>
      </c>
      <c r="G281" s="97">
        <v>751</v>
      </c>
      <c r="H281" s="97">
        <v>685</v>
      </c>
      <c r="I281" s="98">
        <v>1.0963503649635036</v>
      </c>
      <c r="J281" s="98">
        <v>76.018774076748329</v>
      </c>
      <c r="K281" s="97">
        <v>1</v>
      </c>
      <c r="L281" s="97">
        <v>2</v>
      </c>
      <c r="M281" s="98">
        <v>0.5</v>
      </c>
      <c r="N281" s="98">
        <v>50</v>
      </c>
      <c r="O281" s="41">
        <f t="shared" si="8"/>
        <v>53.374994271066782</v>
      </c>
      <c r="P281" s="109">
        <f t="shared" si="9"/>
        <v>43.08268701541985</v>
      </c>
    </row>
    <row r="282" spans="1:16" ht="18" x14ac:dyDescent="0.25">
      <c r="A282" s="73" t="s">
        <v>279</v>
      </c>
      <c r="B282" s="74">
        <v>4117206</v>
      </c>
      <c r="C282" s="97">
        <v>144</v>
      </c>
      <c r="D282" s="97">
        <v>325</v>
      </c>
      <c r="E282" s="98">
        <v>0.44307692307692309</v>
      </c>
      <c r="F282" s="98">
        <v>31.90607287449393</v>
      </c>
      <c r="G282" s="97">
        <v>816</v>
      </c>
      <c r="H282" s="97">
        <v>730</v>
      </c>
      <c r="I282" s="98">
        <v>1.1178082191780823</v>
      </c>
      <c r="J282" s="98">
        <v>74.559069340645763</v>
      </c>
      <c r="K282" s="97">
        <v>1</v>
      </c>
      <c r="L282" s="97">
        <v>2</v>
      </c>
      <c r="M282" s="98">
        <v>0.5</v>
      </c>
      <c r="N282" s="98">
        <v>50</v>
      </c>
      <c r="O282" s="41">
        <f t="shared" si="8"/>
        <v>47.092803772408402</v>
      </c>
      <c r="P282" s="109">
        <f t="shared" si="9"/>
        <v>32.49760914165936</v>
      </c>
    </row>
    <row r="283" spans="1:16" ht="18" x14ac:dyDescent="0.25">
      <c r="A283" s="73" t="s">
        <v>333</v>
      </c>
      <c r="B283" s="74">
        <v>4117214</v>
      </c>
      <c r="C283" s="97">
        <v>119</v>
      </c>
      <c r="D283" s="97">
        <v>268</v>
      </c>
      <c r="E283" s="98">
        <v>0.44402985074626866</v>
      </c>
      <c r="F283" s="98">
        <v>31.759622937941874</v>
      </c>
      <c r="G283" s="97">
        <v>575</v>
      </c>
      <c r="H283" s="97">
        <v>539</v>
      </c>
      <c r="I283" s="98">
        <v>1.0667903525046383</v>
      </c>
      <c r="J283" s="98">
        <v>78.029641042008109</v>
      </c>
      <c r="K283" s="97">
        <v>1</v>
      </c>
      <c r="L283" s="97">
        <v>2</v>
      </c>
      <c r="M283" s="98">
        <v>0.5</v>
      </c>
      <c r="N283" s="98">
        <v>50</v>
      </c>
      <c r="O283" s="41">
        <f t="shared" si="8"/>
        <v>47.887221729472962</v>
      </c>
      <c r="P283" s="109">
        <f t="shared" si="9"/>
        <v>33.836151158434866</v>
      </c>
    </row>
    <row r="284" spans="1:16" ht="18" x14ac:dyDescent="0.25">
      <c r="A284" s="73" t="s">
        <v>319</v>
      </c>
      <c r="B284" s="74">
        <v>4107538</v>
      </c>
      <c r="C284" s="97">
        <v>166</v>
      </c>
      <c r="D284" s="97">
        <v>303</v>
      </c>
      <c r="E284" s="98">
        <v>0.54785478547854782</v>
      </c>
      <c r="F284" s="98">
        <v>15.803369810665288</v>
      </c>
      <c r="G284" s="97">
        <v>673</v>
      </c>
      <c r="H284" s="97">
        <v>576</v>
      </c>
      <c r="I284" s="98">
        <v>1.1684027777777777</v>
      </c>
      <c r="J284" s="98">
        <v>71.11729384574015</v>
      </c>
      <c r="K284" s="97">
        <v>0</v>
      </c>
      <c r="L284" s="97">
        <v>1</v>
      </c>
      <c r="M284" s="98">
        <v>0</v>
      </c>
      <c r="N284" s="98">
        <v>100</v>
      </c>
      <c r="O284" s="41">
        <f t="shared" si="8"/>
        <v>50.681008366767685</v>
      </c>
      <c r="P284" s="109">
        <f t="shared" si="9"/>
        <v>38.543497923030998</v>
      </c>
    </row>
    <row r="285" spans="1:16" ht="18" x14ac:dyDescent="0.25">
      <c r="A285" s="73" t="s">
        <v>267</v>
      </c>
      <c r="B285" s="74">
        <v>4119004</v>
      </c>
      <c r="C285" s="97">
        <v>140</v>
      </c>
      <c r="D285" s="97">
        <v>381</v>
      </c>
      <c r="E285" s="98">
        <v>0.36745406824146981</v>
      </c>
      <c r="F285" s="98">
        <v>43.528111617626749</v>
      </c>
      <c r="G285" s="97">
        <v>752</v>
      </c>
      <c r="H285" s="97">
        <v>676</v>
      </c>
      <c r="I285" s="98">
        <v>1.1124260355029585</v>
      </c>
      <c r="J285" s="98">
        <v>74.925200964180348</v>
      </c>
      <c r="K285" s="97">
        <v>1</v>
      </c>
      <c r="L285" s="97">
        <v>3</v>
      </c>
      <c r="M285" s="98">
        <v>0.33333333333333331</v>
      </c>
      <c r="N285" s="98">
        <v>66.666666666666671</v>
      </c>
      <c r="O285" s="41">
        <f t="shared" si="8"/>
        <v>57.162022716525129</v>
      </c>
      <c r="P285" s="109">
        <f t="shared" si="9"/>
        <v>49.46358091124862</v>
      </c>
    </row>
    <row r="286" spans="1:16" ht="18" x14ac:dyDescent="0.25">
      <c r="A286" s="73" t="s">
        <v>265</v>
      </c>
      <c r="B286" s="74">
        <v>4100202</v>
      </c>
      <c r="C286" s="97">
        <v>59</v>
      </c>
      <c r="D286" s="97">
        <v>397</v>
      </c>
      <c r="E286" s="98">
        <v>0.1486146095717884</v>
      </c>
      <c r="F286" s="98">
        <v>77.160281055283036</v>
      </c>
      <c r="G286" s="97">
        <v>904</v>
      </c>
      <c r="H286" s="97">
        <v>913</v>
      </c>
      <c r="I286" s="98">
        <v>0.99014238773274921</v>
      </c>
      <c r="J286" s="98">
        <v>83.243741020100728</v>
      </c>
      <c r="K286" s="97">
        <v>1</v>
      </c>
      <c r="L286" s="97">
        <v>2</v>
      </c>
      <c r="M286" s="98">
        <v>0.5</v>
      </c>
      <c r="N286" s="98">
        <v>50</v>
      </c>
      <c r="O286" s="41">
        <f t="shared" si="8"/>
        <v>71.891075782666704</v>
      </c>
      <c r="P286" s="109">
        <f t="shared" si="9"/>
        <v>74.281066746031073</v>
      </c>
    </row>
    <row r="287" spans="1:16" ht="18" x14ac:dyDescent="0.25">
      <c r="A287" s="73" t="s">
        <v>350</v>
      </c>
      <c r="B287" s="74">
        <v>4120333</v>
      </c>
      <c r="C287" s="97">
        <v>117</v>
      </c>
      <c r="D287" s="97">
        <v>250</v>
      </c>
      <c r="E287" s="98">
        <v>0.46800000000000003</v>
      </c>
      <c r="F287" s="98">
        <v>28.07578947368421</v>
      </c>
      <c r="G287" s="97">
        <v>555</v>
      </c>
      <c r="H287" s="97">
        <v>492</v>
      </c>
      <c r="I287" s="98">
        <v>1.1280487804878048</v>
      </c>
      <c r="J287" s="98">
        <v>73.86243883441395</v>
      </c>
      <c r="K287" s="97">
        <v>1</v>
      </c>
      <c r="L287" s="97">
        <v>3</v>
      </c>
      <c r="M287" s="98">
        <v>0.33333333333333331</v>
      </c>
      <c r="N287" s="98">
        <v>66.666666666666671</v>
      </c>
      <c r="O287" s="41">
        <f t="shared" si="8"/>
        <v>49.170171112112257</v>
      </c>
      <c r="P287" s="109">
        <f t="shared" si="9"/>
        <v>35.997836501505887</v>
      </c>
    </row>
    <row r="288" spans="1:16" ht="18" x14ac:dyDescent="0.25">
      <c r="A288" s="73" t="s">
        <v>236</v>
      </c>
      <c r="B288" s="74">
        <v>4103305</v>
      </c>
      <c r="C288" s="97">
        <v>134</v>
      </c>
      <c r="D288" s="97">
        <v>370</v>
      </c>
      <c r="E288" s="98">
        <v>0.36216216216216218</v>
      </c>
      <c r="F288" s="98">
        <v>44.341394025604551</v>
      </c>
      <c r="G288" s="97">
        <v>952</v>
      </c>
      <c r="H288" s="97">
        <v>921</v>
      </c>
      <c r="I288" s="98">
        <v>1.0336590662323561</v>
      </c>
      <c r="J288" s="98">
        <v>80.28344960092555</v>
      </c>
      <c r="K288" s="97">
        <v>1</v>
      </c>
      <c r="L288" s="97">
        <v>3</v>
      </c>
      <c r="M288" s="98">
        <v>0.33333333333333331</v>
      </c>
      <c r="N288" s="98">
        <v>66.666666666666671</v>
      </c>
      <c r="O288" s="41">
        <f t="shared" si="8"/>
        <v>58.908226079700327</v>
      </c>
      <c r="P288" s="109">
        <f t="shared" si="9"/>
        <v>52.405818747968034</v>
      </c>
    </row>
    <row r="289" spans="1:16" ht="18" x14ac:dyDescent="0.25">
      <c r="A289" s="73" t="s">
        <v>230</v>
      </c>
      <c r="B289" s="74">
        <v>4126009</v>
      </c>
      <c r="C289" s="97">
        <v>106</v>
      </c>
      <c r="D289" s="97">
        <v>472</v>
      </c>
      <c r="E289" s="98">
        <v>0.22457627118644069</v>
      </c>
      <c r="F289" s="98">
        <v>65.486173059768063</v>
      </c>
      <c r="G289" s="97">
        <v>1192</v>
      </c>
      <c r="H289" s="97">
        <v>1058</v>
      </c>
      <c r="I289" s="98">
        <v>1.1266540642722118</v>
      </c>
      <c r="J289" s="98">
        <v>73.957316628114157</v>
      </c>
      <c r="K289" s="97">
        <v>3</v>
      </c>
      <c r="L289" s="97">
        <v>4</v>
      </c>
      <c r="M289" s="98">
        <v>0.75</v>
      </c>
      <c r="N289" s="98">
        <v>25</v>
      </c>
      <c r="O289" s="41">
        <f t="shared" si="8"/>
        <v>57.482415686912574</v>
      </c>
      <c r="P289" s="109">
        <f t="shared" si="9"/>
        <v>50.003421997328509</v>
      </c>
    </row>
    <row r="290" spans="1:16" ht="18" x14ac:dyDescent="0.25">
      <c r="A290" s="73" t="s">
        <v>332</v>
      </c>
      <c r="B290" s="74">
        <v>4120655</v>
      </c>
      <c r="C290" s="97">
        <v>137</v>
      </c>
      <c r="D290" s="97">
        <v>281</v>
      </c>
      <c r="E290" s="98">
        <v>0.48754448398576511</v>
      </c>
      <c r="F290" s="98">
        <v>25.07211088218768</v>
      </c>
      <c r="G290" s="97">
        <v>589</v>
      </c>
      <c r="H290" s="97">
        <v>521</v>
      </c>
      <c r="I290" s="98">
        <v>1.1305182341650672</v>
      </c>
      <c r="J290" s="98">
        <v>73.694450311785388</v>
      </c>
      <c r="K290" s="97">
        <v>0</v>
      </c>
      <c r="L290" s="97">
        <v>2</v>
      </c>
      <c r="M290" s="98">
        <v>0</v>
      </c>
      <c r="N290" s="98">
        <v>100</v>
      </c>
      <c r="O290" s="41">
        <f t="shared" si="8"/>
        <v>55.959668019040187</v>
      </c>
      <c r="P290" s="109">
        <f t="shared" si="9"/>
        <v>47.437692312760902</v>
      </c>
    </row>
    <row r="291" spans="1:16" ht="18" x14ac:dyDescent="0.25">
      <c r="A291" s="73" t="s">
        <v>276</v>
      </c>
      <c r="B291" s="74">
        <v>4111001</v>
      </c>
      <c r="C291" s="97">
        <v>152</v>
      </c>
      <c r="D291" s="97">
        <v>328</v>
      </c>
      <c r="E291" s="98">
        <v>0.46341463414634149</v>
      </c>
      <c r="F291" s="98">
        <v>28.780487804878053</v>
      </c>
      <c r="G291" s="97">
        <v>676</v>
      </c>
      <c r="H291" s="97">
        <v>699</v>
      </c>
      <c r="I291" s="98">
        <v>0.96709585121602293</v>
      </c>
      <c r="J291" s="98">
        <v>84.811518402117301</v>
      </c>
      <c r="K291" s="97">
        <v>0</v>
      </c>
      <c r="L291" s="97">
        <v>1</v>
      </c>
      <c r="M291" s="98">
        <v>0</v>
      </c>
      <c r="N291" s="98">
        <v>100</v>
      </c>
      <c r="O291" s="41">
        <f t="shared" si="8"/>
        <v>60.593123502968353</v>
      </c>
      <c r="P291" s="109">
        <f t="shared" si="9"/>
        <v>55.244760107418891</v>
      </c>
    </row>
    <row r="292" spans="1:16" ht="18" x14ac:dyDescent="0.25">
      <c r="A292" s="73" t="s">
        <v>337</v>
      </c>
      <c r="B292" s="74">
        <v>4119707</v>
      </c>
      <c r="C292" s="97">
        <v>136</v>
      </c>
      <c r="D292" s="97">
        <v>271</v>
      </c>
      <c r="E292" s="98">
        <v>0.50184501845018448</v>
      </c>
      <c r="F292" s="98">
        <v>22.874344532919022</v>
      </c>
      <c r="G292" s="97">
        <v>625</v>
      </c>
      <c r="H292" s="97">
        <v>519</v>
      </c>
      <c r="I292" s="98">
        <v>1.2042389210019269</v>
      </c>
      <c r="J292" s="98">
        <v>68.679483081213647</v>
      </c>
      <c r="K292" s="97">
        <v>0</v>
      </c>
      <c r="L292" s="97">
        <v>2</v>
      </c>
      <c r="M292" s="98">
        <v>0</v>
      </c>
      <c r="N292" s="98">
        <v>100</v>
      </c>
      <c r="O292" s="41">
        <f t="shared" si="8"/>
        <v>53.607043036762924</v>
      </c>
      <c r="P292" s="109">
        <f t="shared" si="9"/>
        <v>43.473673926104624</v>
      </c>
    </row>
    <row r="293" spans="1:16" ht="18" x14ac:dyDescent="0.25">
      <c r="A293" s="73" t="s">
        <v>313</v>
      </c>
      <c r="B293" s="74">
        <v>4100905</v>
      </c>
      <c r="C293" s="97">
        <v>119</v>
      </c>
      <c r="D293" s="97">
        <v>311</v>
      </c>
      <c r="E293" s="98">
        <v>0.38263665594855306</v>
      </c>
      <c r="F293" s="98">
        <v>41.194787612117111</v>
      </c>
      <c r="G293" s="97">
        <v>729</v>
      </c>
      <c r="H293" s="97">
        <v>658</v>
      </c>
      <c r="I293" s="98">
        <v>1.1079027355623101</v>
      </c>
      <c r="J293" s="98">
        <v>75.23290565264314</v>
      </c>
      <c r="K293" s="97">
        <v>0</v>
      </c>
      <c r="L293" s="97">
        <v>2</v>
      </c>
      <c r="M293" s="98">
        <v>0</v>
      </c>
      <c r="N293" s="98">
        <v>100</v>
      </c>
      <c r="O293" s="41">
        <f t="shared" si="8"/>
        <v>64.405620219219344</v>
      </c>
      <c r="P293" s="109">
        <f t="shared" si="9"/>
        <v>61.66856636474126</v>
      </c>
    </row>
    <row r="294" spans="1:16" ht="18" x14ac:dyDescent="0.25">
      <c r="A294" s="73" t="s">
        <v>275</v>
      </c>
      <c r="B294" s="74">
        <v>4115853</v>
      </c>
      <c r="C294" s="97">
        <v>154</v>
      </c>
      <c r="D294" s="97">
        <v>326</v>
      </c>
      <c r="E294" s="98">
        <v>0.47239263803680981</v>
      </c>
      <c r="F294" s="98">
        <v>27.400710364869234</v>
      </c>
      <c r="G294" s="97">
        <v>887</v>
      </c>
      <c r="H294" s="97">
        <v>817</v>
      </c>
      <c r="I294" s="98">
        <v>1.0856793145654835</v>
      </c>
      <c r="J294" s="98">
        <v>76.744689289397897</v>
      </c>
      <c r="K294" s="97">
        <v>0</v>
      </c>
      <c r="L294" s="97">
        <v>3</v>
      </c>
      <c r="M294" s="98">
        <v>0</v>
      </c>
      <c r="N294" s="98">
        <v>100</v>
      </c>
      <c r="O294" s="41">
        <f t="shared" si="8"/>
        <v>57.886527504784091</v>
      </c>
      <c r="P294" s="109">
        <f t="shared" si="9"/>
        <v>50.684323836072565</v>
      </c>
    </row>
    <row r="295" spans="1:16" ht="18" x14ac:dyDescent="0.25">
      <c r="A295" s="73" t="s">
        <v>234</v>
      </c>
      <c r="B295" s="74">
        <v>4108957</v>
      </c>
      <c r="C295" s="97">
        <v>33</v>
      </c>
      <c r="D295" s="97">
        <v>498</v>
      </c>
      <c r="E295" s="98">
        <v>6.6265060240963861E-2</v>
      </c>
      <c r="F295" s="98">
        <v>89.816106531388712</v>
      </c>
      <c r="G295" s="97">
        <v>1180</v>
      </c>
      <c r="H295" s="97">
        <v>1096</v>
      </c>
      <c r="I295" s="98">
        <v>1.0766423357664234</v>
      </c>
      <c r="J295" s="98">
        <v>77.359444176868607</v>
      </c>
      <c r="K295" s="97">
        <v>1</v>
      </c>
      <c r="L295" s="97">
        <v>3</v>
      </c>
      <c r="M295" s="98">
        <v>0.33333333333333331</v>
      </c>
      <c r="N295" s="98">
        <v>66.666666666666671</v>
      </c>
      <c r="O295" s="41">
        <f t="shared" si="8"/>
        <v>80.914580976578179</v>
      </c>
      <c r="P295" s="109">
        <f t="shared" si="9"/>
        <v>89.485079612599378</v>
      </c>
    </row>
    <row r="296" spans="1:16" ht="18" x14ac:dyDescent="0.25">
      <c r="A296" s="73" t="s">
        <v>328</v>
      </c>
      <c r="B296" s="74">
        <v>4110409</v>
      </c>
      <c r="C296" s="97">
        <v>159</v>
      </c>
      <c r="D296" s="97">
        <v>254</v>
      </c>
      <c r="E296" s="98">
        <v>0.62598425196850394</v>
      </c>
      <c r="F296" s="98">
        <v>3.796104434314139</v>
      </c>
      <c r="G296" s="97">
        <v>659</v>
      </c>
      <c r="H296" s="97">
        <v>558</v>
      </c>
      <c r="I296" s="98">
        <v>1.1810035842293907</v>
      </c>
      <c r="J296" s="98">
        <v>70.260103901573473</v>
      </c>
      <c r="K296" s="97">
        <v>0</v>
      </c>
      <c r="L296" s="97">
        <v>1</v>
      </c>
      <c r="M296" s="98">
        <v>0</v>
      </c>
      <c r="N296" s="98">
        <v>100</v>
      </c>
      <c r="O296" s="41">
        <f t="shared" si="8"/>
        <v>44.463078192550441</v>
      </c>
      <c r="P296" s="109">
        <f t="shared" si="9"/>
        <v>28.066694470198648</v>
      </c>
    </row>
    <row r="297" spans="1:16" ht="18" x14ac:dyDescent="0.25">
      <c r="A297" s="73" t="s">
        <v>355</v>
      </c>
      <c r="B297" s="74">
        <v>4111308</v>
      </c>
      <c r="C297" s="97">
        <v>86</v>
      </c>
      <c r="D297" s="97">
        <v>216</v>
      </c>
      <c r="E297" s="98">
        <v>0.39814814814814814</v>
      </c>
      <c r="F297" s="98">
        <v>38.810916179337241</v>
      </c>
      <c r="G297" s="97">
        <v>515</v>
      </c>
      <c r="H297" s="97">
        <v>479</v>
      </c>
      <c r="I297" s="98">
        <v>1.0751565762004176</v>
      </c>
      <c r="J297" s="98">
        <v>77.460515339600946</v>
      </c>
      <c r="K297" s="97">
        <v>0</v>
      </c>
      <c r="L297" s="97">
        <v>1</v>
      </c>
      <c r="M297" s="98">
        <v>0</v>
      </c>
      <c r="N297" s="98">
        <v>100</v>
      </c>
      <c r="O297" s="41">
        <f t="shared" si="8"/>
        <v>63.77058692456886</v>
      </c>
      <c r="P297" s="109">
        <f t="shared" si="9"/>
        <v>60.598577023007429</v>
      </c>
    </row>
    <row r="298" spans="1:16" ht="18" x14ac:dyDescent="0.25">
      <c r="A298" s="73" t="s">
        <v>323</v>
      </c>
      <c r="B298" s="74">
        <v>4106704</v>
      </c>
      <c r="C298" s="97">
        <v>117</v>
      </c>
      <c r="D298" s="97">
        <v>264</v>
      </c>
      <c r="E298" s="98">
        <v>0.44318181818181818</v>
      </c>
      <c r="F298" s="98">
        <v>31.889952153110052</v>
      </c>
      <c r="G298" s="97">
        <v>584</v>
      </c>
      <c r="H298" s="97">
        <v>559</v>
      </c>
      <c r="I298" s="98">
        <v>1.0447227191413238</v>
      </c>
      <c r="J298" s="98">
        <v>79.530826976672529</v>
      </c>
      <c r="K298" s="97">
        <v>0</v>
      </c>
      <c r="L298" s="97">
        <v>2</v>
      </c>
      <c r="M298" s="98">
        <v>0</v>
      </c>
      <c r="N298" s="98">
        <v>100</v>
      </c>
      <c r="O298" s="41">
        <f t="shared" si="8"/>
        <v>60.827682820723155</v>
      </c>
      <c r="P298" s="109">
        <f t="shared" si="9"/>
        <v>55.639977133228747</v>
      </c>
    </row>
    <row r="299" spans="1:16" ht="18" x14ac:dyDescent="0.25">
      <c r="A299" s="73" t="s">
        <v>304</v>
      </c>
      <c r="B299" s="74">
        <v>4112306</v>
      </c>
      <c r="C299" s="97">
        <v>98</v>
      </c>
      <c r="D299" s="97">
        <v>322</v>
      </c>
      <c r="E299" s="98">
        <v>0.30434782608695654</v>
      </c>
      <c r="F299" s="98">
        <v>53.226544622425628</v>
      </c>
      <c r="G299" s="97">
        <v>609</v>
      </c>
      <c r="H299" s="97">
        <v>653</v>
      </c>
      <c r="I299" s="98">
        <v>0.93261868300153139</v>
      </c>
      <c r="J299" s="98">
        <v>87.15688272544773</v>
      </c>
      <c r="K299" s="97">
        <v>0</v>
      </c>
      <c r="L299" s="97">
        <v>1</v>
      </c>
      <c r="M299" s="98">
        <v>0</v>
      </c>
      <c r="N299" s="98">
        <v>100</v>
      </c>
      <c r="O299" s="41">
        <f t="shared" si="8"/>
        <v>73.40249299257475</v>
      </c>
      <c r="P299" s="109">
        <f t="shared" si="9"/>
        <v>76.827705354019017</v>
      </c>
    </row>
    <row r="300" spans="1:16" ht="18" x14ac:dyDescent="0.25">
      <c r="A300" s="73" t="s">
        <v>339</v>
      </c>
      <c r="B300" s="74">
        <v>4104055</v>
      </c>
      <c r="C300" s="97">
        <v>120</v>
      </c>
      <c r="D300" s="97">
        <v>248</v>
      </c>
      <c r="E300" s="98">
        <v>0.4838709677419355</v>
      </c>
      <c r="F300" s="98">
        <v>25.636672325976235</v>
      </c>
      <c r="G300" s="97">
        <v>577</v>
      </c>
      <c r="H300" s="97">
        <v>528</v>
      </c>
      <c r="I300" s="98">
        <v>1.0928030303030303</v>
      </c>
      <c r="J300" s="98">
        <v>76.260087171368752</v>
      </c>
      <c r="K300" s="97">
        <v>1</v>
      </c>
      <c r="L300" s="97">
        <v>3</v>
      </c>
      <c r="M300" s="98">
        <v>0.33333333333333331</v>
      </c>
      <c r="N300" s="98">
        <v>66.666666666666671</v>
      </c>
      <c r="O300" s="41">
        <f t="shared" si="8"/>
        <v>48.550024622496977</v>
      </c>
      <c r="P300" s="109">
        <f t="shared" si="9"/>
        <v>34.952930447300936</v>
      </c>
    </row>
    <row r="301" spans="1:16" ht="18" x14ac:dyDescent="0.25">
      <c r="A301" s="73" t="s">
        <v>315</v>
      </c>
      <c r="B301" s="74">
        <v>4115507</v>
      </c>
      <c r="C301" s="97">
        <v>107</v>
      </c>
      <c r="D301" s="97">
        <v>273</v>
      </c>
      <c r="E301" s="98">
        <v>0.39194139194139194</v>
      </c>
      <c r="F301" s="98">
        <v>39.764796606901875</v>
      </c>
      <c r="G301" s="97">
        <v>604</v>
      </c>
      <c r="H301" s="97">
        <v>597</v>
      </c>
      <c r="I301" s="98">
        <v>1.0117252931323284</v>
      </c>
      <c r="J301" s="98">
        <v>81.775529477810778</v>
      </c>
      <c r="K301" s="97">
        <v>1</v>
      </c>
      <c r="L301" s="97">
        <v>3</v>
      </c>
      <c r="M301" s="98">
        <v>0.33333333333333331</v>
      </c>
      <c r="N301" s="98">
        <v>66.666666666666671</v>
      </c>
      <c r="O301" s="41">
        <f t="shared" si="8"/>
        <v>56.992947339570307</v>
      </c>
      <c r="P301" s="109">
        <f t="shared" si="9"/>
        <v>49.178700019466618</v>
      </c>
    </row>
    <row r="302" spans="1:16" ht="18" x14ac:dyDescent="0.25">
      <c r="A302" s="73" t="s">
        <v>258</v>
      </c>
      <c r="B302" s="74">
        <v>4115358</v>
      </c>
      <c r="C302" s="97">
        <v>131</v>
      </c>
      <c r="D302" s="97">
        <v>357</v>
      </c>
      <c r="E302" s="98">
        <v>0.36694677871148457</v>
      </c>
      <c r="F302" s="98">
        <v>43.606074008550799</v>
      </c>
      <c r="G302" s="97">
        <v>984</v>
      </c>
      <c r="H302" s="97">
        <v>967</v>
      </c>
      <c r="I302" s="98">
        <v>1.0175801447776629</v>
      </c>
      <c r="J302" s="98">
        <v>81.377243862184486</v>
      </c>
      <c r="K302" s="97">
        <v>1</v>
      </c>
      <c r="L302" s="97">
        <v>2</v>
      </c>
      <c r="M302" s="98">
        <v>0.5</v>
      </c>
      <c r="N302" s="98">
        <v>50</v>
      </c>
      <c r="O302" s="41">
        <f t="shared" si="8"/>
        <v>54.647347969821524</v>
      </c>
      <c r="P302" s="109">
        <f t="shared" si="9"/>
        <v>45.226519327916954</v>
      </c>
    </row>
    <row r="303" spans="1:16" ht="18" x14ac:dyDescent="0.25">
      <c r="A303" s="73" t="s">
        <v>316</v>
      </c>
      <c r="B303" s="74">
        <v>4109005</v>
      </c>
      <c r="C303" s="97">
        <v>125</v>
      </c>
      <c r="D303" s="97">
        <v>296</v>
      </c>
      <c r="E303" s="98">
        <v>0.42229729729729731</v>
      </c>
      <c r="F303" s="98">
        <v>35.099573257467995</v>
      </c>
      <c r="G303" s="97">
        <v>735</v>
      </c>
      <c r="H303" s="97">
        <v>681</v>
      </c>
      <c r="I303" s="98">
        <v>1.079295154185022</v>
      </c>
      <c r="J303" s="98">
        <v>77.178981975432947</v>
      </c>
      <c r="K303" s="97">
        <v>0</v>
      </c>
      <c r="L303" s="97">
        <v>1</v>
      </c>
      <c r="M303" s="98">
        <v>0</v>
      </c>
      <c r="N303" s="98">
        <v>100</v>
      </c>
      <c r="O303" s="41">
        <f t="shared" si="8"/>
        <v>61.844532122592234</v>
      </c>
      <c r="P303" s="109">
        <f t="shared" si="9"/>
        <v>57.353301338927665</v>
      </c>
    </row>
    <row r="304" spans="1:16" ht="18" x14ac:dyDescent="0.25">
      <c r="A304" s="73" t="s">
        <v>278</v>
      </c>
      <c r="B304" s="74">
        <v>4114708</v>
      </c>
      <c r="C304" s="97">
        <v>108</v>
      </c>
      <c r="D304" s="97">
        <v>337</v>
      </c>
      <c r="E304" s="98">
        <v>0.32047477744807124</v>
      </c>
      <c r="F304" s="98">
        <v>50.748086834296423</v>
      </c>
      <c r="G304" s="97">
        <v>775</v>
      </c>
      <c r="H304" s="97">
        <v>691</v>
      </c>
      <c r="I304" s="98">
        <v>1.1215629522431259</v>
      </c>
      <c r="J304" s="98">
        <v>74.303647638967817</v>
      </c>
      <c r="K304" s="97">
        <v>1</v>
      </c>
      <c r="L304" s="97">
        <v>3</v>
      </c>
      <c r="M304" s="98">
        <v>0.33333333333333331</v>
      </c>
      <c r="N304" s="98">
        <v>66.666666666666671</v>
      </c>
      <c r="O304" s="41">
        <f t="shared" si="8"/>
        <v>60.616621993556834</v>
      </c>
      <c r="P304" s="109">
        <f t="shared" si="9"/>
        <v>55.284353518801112</v>
      </c>
    </row>
    <row r="305" spans="1:16" ht="18" x14ac:dyDescent="0.25">
      <c r="A305" s="73" t="s">
        <v>289</v>
      </c>
      <c r="B305" s="74">
        <v>4126405</v>
      </c>
      <c r="C305" s="97">
        <v>154</v>
      </c>
      <c r="D305" s="97">
        <v>266</v>
      </c>
      <c r="E305" s="98">
        <v>0.57894736842105265</v>
      </c>
      <c r="F305" s="98">
        <v>11.02493074792244</v>
      </c>
      <c r="G305" s="97">
        <v>699</v>
      </c>
      <c r="H305" s="97">
        <v>658</v>
      </c>
      <c r="I305" s="98">
        <v>1.0623100303951367</v>
      </c>
      <c r="J305" s="98">
        <v>78.334422095001798</v>
      </c>
      <c r="K305" s="97">
        <v>0</v>
      </c>
      <c r="L305" s="97">
        <v>3</v>
      </c>
      <c r="M305" s="98">
        <v>0</v>
      </c>
      <c r="N305" s="98">
        <v>100</v>
      </c>
      <c r="O305" s="41">
        <f t="shared" si="8"/>
        <v>50.09607089771167</v>
      </c>
      <c r="P305" s="109">
        <f t="shared" si="9"/>
        <v>37.557916753125284</v>
      </c>
    </row>
    <row r="306" spans="1:16" ht="18" x14ac:dyDescent="0.25">
      <c r="A306" s="73" t="s">
        <v>273</v>
      </c>
      <c r="B306" s="74">
        <v>4125407</v>
      </c>
      <c r="C306" s="97">
        <v>93</v>
      </c>
      <c r="D306" s="97">
        <v>391</v>
      </c>
      <c r="E306" s="98">
        <v>0.23785166240409208</v>
      </c>
      <c r="F306" s="98">
        <v>63.445955041055328</v>
      </c>
      <c r="G306" s="97">
        <v>806</v>
      </c>
      <c r="H306" s="97">
        <v>749</v>
      </c>
      <c r="I306" s="98">
        <v>1.0761014686248331</v>
      </c>
      <c r="J306" s="98">
        <v>77.39623752630078</v>
      </c>
      <c r="K306" s="97">
        <v>0</v>
      </c>
      <c r="L306" s="97">
        <v>1</v>
      </c>
      <c r="M306" s="98">
        <v>0</v>
      </c>
      <c r="N306" s="98">
        <v>100</v>
      </c>
      <c r="O306" s="41">
        <f t="shared" si="8"/>
        <v>76.072036902102866</v>
      </c>
      <c r="P306" s="109">
        <f t="shared" si="9"/>
        <v>81.325711292522911</v>
      </c>
    </row>
    <row r="307" spans="1:16" ht="18" x14ac:dyDescent="0.25">
      <c r="A307" s="73" t="s">
        <v>341</v>
      </c>
      <c r="B307" s="74">
        <v>4103156</v>
      </c>
      <c r="C307" s="97">
        <v>144</v>
      </c>
      <c r="D307" s="97">
        <v>257</v>
      </c>
      <c r="E307" s="98">
        <v>0.56031128404669261</v>
      </c>
      <c r="F307" s="98">
        <v>13.889002662297772</v>
      </c>
      <c r="G307" s="97">
        <v>619</v>
      </c>
      <c r="H307" s="97">
        <v>546</v>
      </c>
      <c r="I307" s="98">
        <v>1.1336996336996337</v>
      </c>
      <c r="J307" s="98">
        <v>73.478030537394062</v>
      </c>
      <c r="K307" s="97">
        <v>1</v>
      </c>
      <c r="L307" s="97">
        <v>2</v>
      </c>
      <c r="M307" s="98">
        <v>0.5</v>
      </c>
      <c r="N307" s="98">
        <v>50</v>
      </c>
      <c r="O307" s="41">
        <f t="shared" si="8"/>
        <v>37.814008965497401</v>
      </c>
      <c r="P307" s="109">
        <f t="shared" si="9"/>
        <v>16.863450065016831</v>
      </c>
    </row>
    <row r="308" spans="1:16" ht="18" x14ac:dyDescent="0.25">
      <c r="A308" s="73" t="s">
        <v>312</v>
      </c>
      <c r="B308" s="74">
        <v>4107801</v>
      </c>
      <c r="C308" s="97">
        <v>120</v>
      </c>
      <c r="D308" s="97">
        <v>251</v>
      </c>
      <c r="E308" s="98">
        <v>0.47808764940239046</v>
      </c>
      <c r="F308" s="98">
        <v>26.525477039211577</v>
      </c>
      <c r="G308" s="97">
        <v>620</v>
      </c>
      <c r="H308" s="97">
        <v>530</v>
      </c>
      <c r="I308" s="98">
        <v>1.1698113207547169</v>
      </c>
      <c r="J308" s="98">
        <v>71.021475464559927</v>
      </c>
      <c r="K308" s="97">
        <v>1</v>
      </c>
      <c r="L308" s="97">
        <v>2</v>
      </c>
      <c r="M308" s="98">
        <v>0.5</v>
      </c>
      <c r="N308" s="98">
        <v>50</v>
      </c>
      <c r="O308" s="41">
        <f t="shared" si="8"/>
        <v>43.518107385745772</v>
      </c>
      <c r="P308" s="109">
        <f t="shared" si="9"/>
        <v>26.47448080195764</v>
      </c>
    </row>
    <row r="309" spans="1:16" ht="18" x14ac:dyDescent="0.25">
      <c r="A309" s="73" t="s">
        <v>298</v>
      </c>
      <c r="B309" s="74">
        <v>4122909</v>
      </c>
      <c r="C309" s="97">
        <v>116</v>
      </c>
      <c r="D309" s="97">
        <v>321</v>
      </c>
      <c r="E309" s="98">
        <v>0.36137071651090341</v>
      </c>
      <c r="F309" s="98">
        <v>44.463026725692743</v>
      </c>
      <c r="G309" s="97">
        <v>674</v>
      </c>
      <c r="H309" s="97">
        <v>633</v>
      </c>
      <c r="I309" s="98">
        <v>1.0647709320695102</v>
      </c>
      <c r="J309" s="98">
        <v>78.167015336001398</v>
      </c>
      <c r="K309" s="97">
        <v>1</v>
      </c>
      <c r="L309" s="97">
        <v>3</v>
      </c>
      <c r="M309" s="98">
        <v>0.33333333333333331</v>
      </c>
      <c r="N309" s="98">
        <v>66.666666666666671</v>
      </c>
      <c r="O309" s="41">
        <f t="shared" si="8"/>
        <v>58.439933863513389</v>
      </c>
      <c r="P309" s="109">
        <f t="shared" si="9"/>
        <v>51.616777158561725</v>
      </c>
    </row>
    <row r="310" spans="1:16" ht="18" x14ac:dyDescent="0.25">
      <c r="A310" s="73" t="s">
        <v>277</v>
      </c>
      <c r="B310" s="74">
        <v>4112207</v>
      </c>
      <c r="C310" s="97">
        <v>129</v>
      </c>
      <c r="D310" s="97">
        <v>305</v>
      </c>
      <c r="E310" s="98">
        <v>0.42295081967213116</v>
      </c>
      <c r="F310" s="98">
        <v>34.999137187230374</v>
      </c>
      <c r="G310" s="97">
        <v>705</v>
      </c>
      <c r="H310" s="97">
        <v>667</v>
      </c>
      <c r="I310" s="98">
        <v>1.0569715142428786</v>
      </c>
      <c r="J310" s="98">
        <v>78.697583165688769</v>
      </c>
      <c r="K310" s="97">
        <v>0</v>
      </c>
      <c r="L310" s="97">
        <v>2</v>
      </c>
      <c r="M310" s="98">
        <v>0</v>
      </c>
      <c r="N310" s="98">
        <v>100</v>
      </c>
      <c r="O310" s="41">
        <f t="shared" si="8"/>
        <v>62.17396438503738</v>
      </c>
      <c r="P310" s="109">
        <f t="shared" si="9"/>
        <v>57.90837303770148</v>
      </c>
    </row>
    <row r="311" spans="1:16" ht="18" x14ac:dyDescent="0.25">
      <c r="A311" s="73" t="s">
        <v>330</v>
      </c>
      <c r="B311" s="74">
        <v>4120408</v>
      </c>
      <c r="C311" s="97">
        <v>113</v>
      </c>
      <c r="D311" s="97">
        <v>280</v>
      </c>
      <c r="E311" s="98">
        <v>0.40357142857142858</v>
      </c>
      <c r="F311" s="98">
        <v>37.977443609022558</v>
      </c>
      <c r="G311" s="97">
        <v>614</v>
      </c>
      <c r="H311" s="97">
        <v>523</v>
      </c>
      <c r="I311" s="98">
        <v>1.1739961759082218</v>
      </c>
      <c r="J311" s="98">
        <v>70.73679402221309</v>
      </c>
      <c r="K311" s="97">
        <v>0</v>
      </c>
      <c r="L311" s="97">
        <v>2</v>
      </c>
      <c r="M311" s="98">
        <v>0</v>
      </c>
      <c r="N311" s="98">
        <v>100</v>
      </c>
      <c r="O311" s="41">
        <f t="shared" si="8"/>
        <v>61.672920310064555</v>
      </c>
      <c r="P311" s="109">
        <f t="shared" si="9"/>
        <v>57.064146720001261</v>
      </c>
    </row>
    <row r="312" spans="1:16" ht="18" x14ac:dyDescent="0.25">
      <c r="A312" s="73" t="s">
        <v>349</v>
      </c>
      <c r="B312" s="74">
        <v>4113403</v>
      </c>
      <c r="C312" s="97">
        <v>126</v>
      </c>
      <c r="D312" s="97">
        <v>207</v>
      </c>
      <c r="E312" s="98">
        <v>0.60869565217391308</v>
      </c>
      <c r="F312" s="98">
        <v>6.4530892448512596</v>
      </c>
      <c r="G312" s="97">
        <v>483</v>
      </c>
      <c r="H312" s="97">
        <v>463</v>
      </c>
      <c r="I312" s="98">
        <v>1.0431965442764579</v>
      </c>
      <c r="J312" s="98">
        <v>79.634647454530551</v>
      </c>
      <c r="K312" s="97">
        <v>0</v>
      </c>
      <c r="L312" s="97">
        <v>3</v>
      </c>
      <c r="M312" s="98">
        <v>0</v>
      </c>
      <c r="N312" s="98">
        <v>100</v>
      </c>
      <c r="O312" s="41">
        <f t="shared" si="8"/>
        <v>48.135206486058266</v>
      </c>
      <c r="P312" s="109">
        <f t="shared" si="9"/>
        <v>34.253989165818041</v>
      </c>
    </row>
    <row r="313" spans="1:16" ht="18" x14ac:dyDescent="0.25">
      <c r="A313" s="73" t="s">
        <v>311</v>
      </c>
      <c r="B313" s="74">
        <v>4107546</v>
      </c>
      <c r="C313" s="97">
        <v>66</v>
      </c>
      <c r="D313" s="97">
        <v>368</v>
      </c>
      <c r="E313" s="98">
        <v>0.17934782608695651</v>
      </c>
      <c r="F313" s="98">
        <v>72.437070938215101</v>
      </c>
      <c r="G313" s="97">
        <v>775</v>
      </c>
      <c r="H313" s="97">
        <v>734</v>
      </c>
      <c r="I313" s="98">
        <v>1.055858310626703</v>
      </c>
      <c r="J313" s="98">
        <v>78.773310616091237</v>
      </c>
      <c r="K313" s="97">
        <v>0</v>
      </c>
      <c r="L313" s="97">
        <v>1</v>
      </c>
      <c r="M313" s="98">
        <v>0</v>
      </c>
      <c r="N313" s="98">
        <v>100</v>
      </c>
      <c r="O313" s="41">
        <f t="shared" si="8"/>
        <v>80.91186312313036</v>
      </c>
      <c r="P313" s="109">
        <f t="shared" si="9"/>
        <v>89.480500208265696</v>
      </c>
    </row>
    <row r="314" spans="1:16" ht="18" x14ac:dyDescent="0.25">
      <c r="A314" s="73" t="s">
        <v>336</v>
      </c>
      <c r="B314" s="74">
        <v>4122800</v>
      </c>
      <c r="C314" s="97">
        <v>124</v>
      </c>
      <c r="D314" s="97">
        <v>252</v>
      </c>
      <c r="E314" s="98">
        <v>0.49206349206349204</v>
      </c>
      <c r="F314" s="98">
        <v>24.377610693400175</v>
      </c>
      <c r="G314" s="97">
        <v>574</v>
      </c>
      <c r="H314" s="97">
        <v>505</v>
      </c>
      <c r="I314" s="98">
        <v>1.1366336633663365</v>
      </c>
      <c r="J314" s="98">
        <v>73.278438492564064</v>
      </c>
      <c r="K314" s="97">
        <v>1</v>
      </c>
      <c r="L314" s="97">
        <v>2</v>
      </c>
      <c r="M314" s="98">
        <v>0.5</v>
      </c>
      <c r="N314" s="98">
        <v>50</v>
      </c>
      <c r="O314" s="41">
        <f t="shared" si="8"/>
        <v>43.008414969841105</v>
      </c>
      <c r="P314" s="109">
        <f t="shared" si="9"/>
        <v>25.615682598501664</v>
      </c>
    </row>
    <row r="315" spans="1:16" ht="18" x14ac:dyDescent="0.25">
      <c r="A315" s="73" t="s">
        <v>320</v>
      </c>
      <c r="B315" s="74">
        <v>4103008</v>
      </c>
      <c r="C315" s="97">
        <v>126</v>
      </c>
      <c r="D315" s="97">
        <v>267</v>
      </c>
      <c r="E315" s="98">
        <v>0.47191011235955055</v>
      </c>
      <c r="F315" s="98">
        <v>27.474866942637497</v>
      </c>
      <c r="G315" s="97">
        <v>615</v>
      </c>
      <c r="H315" s="97">
        <v>530</v>
      </c>
      <c r="I315" s="98">
        <v>1.1603773584905661</v>
      </c>
      <c r="J315" s="98">
        <v>71.663235785022806</v>
      </c>
      <c r="K315" s="97">
        <v>1</v>
      </c>
      <c r="L315" s="97">
        <v>4</v>
      </c>
      <c r="M315" s="98">
        <v>0.25</v>
      </c>
      <c r="N315" s="98">
        <v>75</v>
      </c>
      <c r="O315" s="41">
        <f t="shared" si="8"/>
        <v>50.403242417574447</v>
      </c>
      <c r="P315" s="109">
        <f t="shared" si="9"/>
        <v>38.075480564512922</v>
      </c>
    </row>
    <row r="316" spans="1:16" ht="18" x14ac:dyDescent="0.25">
      <c r="A316" s="73" t="s">
        <v>297</v>
      </c>
      <c r="B316" s="74">
        <v>4126108</v>
      </c>
      <c r="C316" s="97">
        <v>121</v>
      </c>
      <c r="D316" s="97">
        <v>292</v>
      </c>
      <c r="E316" s="98">
        <v>0.41438356164383561</v>
      </c>
      <c r="F316" s="98">
        <v>36.31578947368422</v>
      </c>
      <c r="G316" s="97">
        <v>798</v>
      </c>
      <c r="H316" s="97">
        <v>693</v>
      </c>
      <c r="I316" s="98">
        <v>1.1515151515151516</v>
      </c>
      <c r="J316" s="98">
        <v>72.266101540609156</v>
      </c>
      <c r="K316" s="97">
        <v>1</v>
      </c>
      <c r="L316" s="97">
        <v>3</v>
      </c>
      <c r="M316" s="98">
        <v>0.33333333333333331</v>
      </c>
      <c r="N316" s="98">
        <v>66.666666666666671</v>
      </c>
      <c r="O316" s="41">
        <f t="shared" si="8"/>
        <v>52.89108678866107</v>
      </c>
      <c r="P316" s="109">
        <f t="shared" si="9"/>
        <v>42.2673347292939</v>
      </c>
    </row>
    <row r="317" spans="1:16" ht="18" x14ac:dyDescent="0.25">
      <c r="A317" s="73" t="s">
        <v>317</v>
      </c>
      <c r="B317" s="74">
        <v>4113601</v>
      </c>
      <c r="C317" s="97">
        <v>127</v>
      </c>
      <c r="D317" s="97">
        <v>234</v>
      </c>
      <c r="E317" s="98">
        <v>0.54273504273504269</v>
      </c>
      <c r="F317" s="98">
        <v>16.590193432298708</v>
      </c>
      <c r="G317" s="97">
        <v>609</v>
      </c>
      <c r="H317" s="97">
        <v>563</v>
      </c>
      <c r="I317" s="98">
        <v>1.0817051509769093</v>
      </c>
      <c r="J317" s="98">
        <v>77.015038102204471</v>
      </c>
      <c r="K317" s="97">
        <v>0</v>
      </c>
      <c r="L317" s="97">
        <v>1</v>
      </c>
      <c r="M317" s="98">
        <v>0</v>
      </c>
      <c r="N317" s="98">
        <v>100</v>
      </c>
      <c r="O317" s="41">
        <f t="shared" si="8"/>
        <v>52.54885624170047</v>
      </c>
      <c r="P317" s="109">
        <f t="shared" si="9"/>
        <v>41.690698762725994</v>
      </c>
    </row>
    <row r="318" spans="1:16" ht="18" x14ac:dyDescent="0.25">
      <c r="A318" s="73" t="s">
        <v>282</v>
      </c>
      <c r="B318" s="74">
        <v>4126900</v>
      </c>
      <c r="C318" s="97">
        <v>119</v>
      </c>
      <c r="D318" s="97">
        <v>327</v>
      </c>
      <c r="E318" s="98">
        <v>0.36391437308868502</v>
      </c>
      <c r="F318" s="98">
        <v>44.072106872686305</v>
      </c>
      <c r="G318" s="97">
        <v>706</v>
      </c>
      <c r="H318" s="97">
        <v>690</v>
      </c>
      <c r="I318" s="98">
        <v>1.0231884057971015</v>
      </c>
      <c r="J318" s="98">
        <v>80.995732966942597</v>
      </c>
      <c r="K318" s="97">
        <v>0</v>
      </c>
      <c r="L318" s="97">
        <v>2</v>
      </c>
      <c r="M318" s="98">
        <v>0</v>
      </c>
      <c r="N318" s="98">
        <v>100</v>
      </c>
      <c r="O318" s="41">
        <f t="shared" si="8"/>
        <v>67.284986678078809</v>
      </c>
      <c r="P318" s="109">
        <f t="shared" si="9"/>
        <v>66.520109500949943</v>
      </c>
    </row>
    <row r="319" spans="1:16" ht="18" x14ac:dyDescent="0.25">
      <c r="A319" s="73" t="s">
        <v>325</v>
      </c>
      <c r="B319" s="74">
        <v>4110904</v>
      </c>
      <c r="C319" s="97">
        <v>119</v>
      </c>
      <c r="D319" s="97">
        <v>290</v>
      </c>
      <c r="E319" s="98">
        <v>0.41034482758620688</v>
      </c>
      <c r="F319" s="98">
        <v>36.936479128856632</v>
      </c>
      <c r="G319" s="97">
        <v>642</v>
      </c>
      <c r="H319" s="97">
        <v>632</v>
      </c>
      <c r="I319" s="98">
        <v>1.0158227848101267</v>
      </c>
      <c r="J319" s="98">
        <v>81.496791075153553</v>
      </c>
      <c r="K319" s="97">
        <v>1</v>
      </c>
      <c r="L319" s="97">
        <v>2</v>
      </c>
      <c r="M319" s="98">
        <v>0.5</v>
      </c>
      <c r="N319" s="98">
        <v>50</v>
      </c>
      <c r="O319" s="41">
        <f t="shared" si="8"/>
        <v>51.342437333216708</v>
      </c>
      <c r="P319" s="109">
        <f t="shared" si="9"/>
        <v>39.657962235967545</v>
      </c>
    </row>
    <row r="320" spans="1:16" ht="18" x14ac:dyDescent="0.25">
      <c r="A320" s="73" t="s">
        <v>351</v>
      </c>
      <c r="B320" s="74">
        <v>4103370</v>
      </c>
      <c r="C320" s="97">
        <v>97</v>
      </c>
      <c r="D320" s="97">
        <v>246</v>
      </c>
      <c r="E320" s="98">
        <v>0.39430894308943087</v>
      </c>
      <c r="F320" s="98">
        <v>39.400941377834833</v>
      </c>
      <c r="G320" s="97">
        <v>539</v>
      </c>
      <c r="H320" s="97">
        <v>470</v>
      </c>
      <c r="I320" s="98">
        <v>1.1468085106382979</v>
      </c>
      <c r="J320" s="98">
        <v>72.586278288497098</v>
      </c>
      <c r="K320" s="97">
        <v>0</v>
      </c>
      <c r="L320" s="97">
        <v>2</v>
      </c>
      <c r="M320" s="98">
        <v>0</v>
      </c>
      <c r="N320" s="98">
        <v>100</v>
      </c>
      <c r="O320" s="41">
        <f t="shared" si="8"/>
        <v>62.847040261041691</v>
      </c>
      <c r="P320" s="109">
        <f t="shared" si="9"/>
        <v>59.042461627338596</v>
      </c>
    </row>
    <row r="321" spans="1:16" ht="18" x14ac:dyDescent="0.25">
      <c r="A321" s="73" t="s">
        <v>295</v>
      </c>
      <c r="B321" s="74">
        <v>4111704</v>
      </c>
      <c r="C321" s="97">
        <v>95</v>
      </c>
      <c r="D321" s="97">
        <v>304</v>
      </c>
      <c r="E321" s="98">
        <v>0.3125</v>
      </c>
      <c r="F321" s="98">
        <v>51.973684210526315</v>
      </c>
      <c r="G321" s="97">
        <v>763</v>
      </c>
      <c r="H321" s="97">
        <v>723</v>
      </c>
      <c r="I321" s="98">
        <v>1.0553250345781466</v>
      </c>
      <c r="J321" s="98">
        <v>78.809587569319817</v>
      </c>
      <c r="K321" s="97">
        <v>1</v>
      </c>
      <c r="L321" s="97">
        <v>2</v>
      </c>
      <c r="M321" s="98">
        <v>0.5</v>
      </c>
      <c r="N321" s="98">
        <v>50</v>
      </c>
      <c r="O321" s="41">
        <f t="shared" si="8"/>
        <v>58.189238997593108</v>
      </c>
      <c r="P321" s="109">
        <f t="shared" si="9"/>
        <v>51.194372795165741</v>
      </c>
    </row>
    <row r="322" spans="1:16" ht="18" x14ac:dyDescent="0.25">
      <c r="A322" s="73" t="s">
        <v>291</v>
      </c>
      <c r="B322" s="74">
        <v>4116950</v>
      </c>
      <c r="C322" s="97">
        <v>82</v>
      </c>
      <c r="D322" s="97">
        <v>359</v>
      </c>
      <c r="E322" s="98">
        <v>0.22841225626740946</v>
      </c>
      <c r="F322" s="98">
        <v>64.896642721008661</v>
      </c>
      <c r="G322" s="97">
        <v>818</v>
      </c>
      <c r="H322" s="97">
        <v>754</v>
      </c>
      <c r="I322" s="98">
        <v>1.0848806366047745</v>
      </c>
      <c r="J322" s="98">
        <v>76.799020630743087</v>
      </c>
      <c r="K322" s="97">
        <v>1</v>
      </c>
      <c r="L322" s="97">
        <v>2</v>
      </c>
      <c r="M322" s="98">
        <v>0.5</v>
      </c>
      <c r="N322" s="98">
        <v>50</v>
      </c>
      <c r="O322" s="41">
        <f t="shared" si="8"/>
        <v>64.148076518190095</v>
      </c>
      <c r="P322" s="109">
        <f t="shared" si="9"/>
        <v>61.234622164565657</v>
      </c>
    </row>
    <row r="323" spans="1:16" ht="18" x14ac:dyDescent="0.25">
      <c r="A323" s="73" t="s">
        <v>307</v>
      </c>
      <c r="B323" s="74">
        <v>4126702</v>
      </c>
      <c r="C323" s="97">
        <v>101</v>
      </c>
      <c r="D323" s="97">
        <v>317</v>
      </c>
      <c r="E323" s="98">
        <v>0.31861198738170349</v>
      </c>
      <c r="F323" s="98">
        <v>51.034368255022414</v>
      </c>
      <c r="G323" s="97">
        <v>628</v>
      </c>
      <c r="H323" s="97">
        <v>615</v>
      </c>
      <c r="I323" s="98">
        <v>1.0211382113821139</v>
      </c>
      <c r="J323" s="98">
        <v>81.135200709968586</v>
      </c>
      <c r="K323" s="97">
        <v>1</v>
      </c>
      <c r="L323" s="97">
        <v>2</v>
      </c>
      <c r="M323" s="98">
        <v>0.5</v>
      </c>
      <c r="N323" s="98">
        <v>50</v>
      </c>
      <c r="O323" s="41">
        <f t="shared" ref="O323:O386" si="10">(2*F323+J323+N323)/4</f>
        <v>58.300984305003354</v>
      </c>
      <c r="P323" s="109">
        <f t="shared" ref="P323:P386" si="11">(O323-O$402)/(O$403-O$402)*100</f>
        <v>51.382656289787143</v>
      </c>
    </row>
    <row r="324" spans="1:16" ht="18" x14ac:dyDescent="0.25">
      <c r="A324" s="73" t="s">
        <v>327</v>
      </c>
      <c r="B324" s="74">
        <v>4103479</v>
      </c>
      <c r="C324" s="97">
        <v>102</v>
      </c>
      <c r="D324" s="97">
        <v>281</v>
      </c>
      <c r="E324" s="98">
        <v>0.36298932384341637</v>
      </c>
      <c r="F324" s="98">
        <v>44.214272335643386</v>
      </c>
      <c r="G324" s="97">
        <v>580</v>
      </c>
      <c r="H324" s="97">
        <v>523</v>
      </c>
      <c r="I324" s="98">
        <v>1.1089866156787762</v>
      </c>
      <c r="J324" s="98">
        <v>75.159172980049163</v>
      </c>
      <c r="K324" s="97">
        <v>0</v>
      </c>
      <c r="L324" s="97">
        <v>2</v>
      </c>
      <c r="M324" s="98">
        <v>0</v>
      </c>
      <c r="N324" s="98">
        <v>100</v>
      </c>
      <c r="O324" s="41">
        <f t="shared" si="10"/>
        <v>65.896929412833984</v>
      </c>
      <c r="P324" s="109">
        <f t="shared" si="11"/>
        <v>64.181324287576786</v>
      </c>
    </row>
    <row r="325" spans="1:16" ht="18" x14ac:dyDescent="0.25">
      <c r="A325" s="73" t="s">
        <v>301</v>
      </c>
      <c r="B325" s="74">
        <v>4107108</v>
      </c>
      <c r="C325" s="97">
        <v>112</v>
      </c>
      <c r="D325" s="97">
        <v>233</v>
      </c>
      <c r="E325" s="98">
        <v>0.48068669527896996</v>
      </c>
      <c r="F325" s="98">
        <v>26.126044725547782</v>
      </c>
      <c r="G325" s="97">
        <v>614</v>
      </c>
      <c r="H325" s="97">
        <v>591</v>
      </c>
      <c r="I325" s="98">
        <v>1.0389170896785109</v>
      </c>
      <c r="J325" s="98">
        <v>79.925764174874146</v>
      </c>
      <c r="K325" s="97">
        <v>1</v>
      </c>
      <c r="L325" s="97">
        <v>2</v>
      </c>
      <c r="M325" s="98">
        <v>0.5</v>
      </c>
      <c r="N325" s="98">
        <v>50</v>
      </c>
      <c r="O325" s="41">
        <f t="shared" si="10"/>
        <v>45.544463406492426</v>
      </c>
      <c r="P325" s="109">
        <f t="shared" si="11"/>
        <v>29.88875744386263</v>
      </c>
    </row>
    <row r="326" spans="1:16" ht="18" x14ac:dyDescent="0.25">
      <c r="A326" s="73" t="s">
        <v>305</v>
      </c>
      <c r="B326" s="74">
        <v>4109658</v>
      </c>
      <c r="C326" s="97">
        <v>82</v>
      </c>
      <c r="D326" s="97">
        <v>349</v>
      </c>
      <c r="E326" s="98">
        <v>0.23495702005730659</v>
      </c>
      <c r="F326" s="98">
        <v>63.890815864877105</v>
      </c>
      <c r="G326" s="97">
        <v>780</v>
      </c>
      <c r="H326" s="97">
        <v>692</v>
      </c>
      <c r="I326" s="98">
        <v>1.1271676300578035</v>
      </c>
      <c r="J326" s="98">
        <v>73.922380496941315</v>
      </c>
      <c r="K326" s="97">
        <v>0</v>
      </c>
      <c r="L326" s="97">
        <v>1</v>
      </c>
      <c r="M326" s="98">
        <v>0</v>
      </c>
      <c r="N326" s="98">
        <v>100</v>
      </c>
      <c r="O326" s="41">
        <f t="shared" si="10"/>
        <v>75.426003056673878</v>
      </c>
      <c r="P326" s="109">
        <f t="shared" si="11"/>
        <v>80.237186746122859</v>
      </c>
    </row>
    <row r="327" spans="1:16" ht="18" x14ac:dyDescent="0.25">
      <c r="A327" s="73" t="s">
        <v>343</v>
      </c>
      <c r="B327" s="74">
        <v>4116307</v>
      </c>
      <c r="C327" s="97">
        <v>115</v>
      </c>
      <c r="D327" s="97">
        <v>243</v>
      </c>
      <c r="E327" s="98">
        <v>0.47325102880658437</v>
      </c>
      <c r="F327" s="98">
        <v>27.268789257093356</v>
      </c>
      <c r="G327" s="97">
        <v>561</v>
      </c>
      <c r="H327" s="97">
        <v>479</v>
      </c>
      <c r="I327" s="98">
        <v>1.1711899791231732</v>
      </c>
      <c r="J327" s="98">
        <v>70.927690031506899</v>
      </c>
      <c r="K327" s="97">
        <v>0</v>
      </c>
      <c r="L327" s="97">
        <v>1</v>
      </c>
      <c r="M327" s="98">
        <v>0</v>
      </c>
      <c r="N327" s="98">
        <v>100</v>
      </c>
      <c r="O327" s="41">
        <f t="shared" si="10"/>
        <v>56.366317136423405</v>
      </c>
      <c r="P327" s="109">
        <f t="shared" si="11"/>
        <v>48.122869334329508</v>
      </c>
    </row>
    <row r="328" spans="1:16" ht="18" x14ac:dyDescent="0.25">
      <c r="A328" s="73" t="s">
        <v>334</v>
      </c>
      <c r="B328" s="74">
        <v>4106571</v>
      </c>
      <c r="C328" s="97">
        <v>106</v>
      </c>
      <c r="D328" s="97">
        <v>253</v>
      </c>
      <c r="E328" s="98">
        <v>0.4189723320158103</v>
      </c>
      <c r="F328" s="98">
        <v>35.610567921780742</v>
      </c>
      <c r="G328" s="97">
        <v>633</v>
      </c>
      <c r="H328" s="97">
        <v>561</v>
      </c>
      <c r="I328" s="98">
        <v>1.1283422459893049</v>
      </c>
      <c r="J328" s="98">
        <v>73.842475375899468</v>
      </c>
      <c r="K328" s="97">
        <v>1</v>
      </c>
      <c r="L328" s="97">
        <v>3</v>
      </c>
      <c r="M328" s="98">
        <v>0.33333333333333331</v>
      </c>
      <c r="N328" s="98">
        <v>66.666666666666671</v>
      </c>
      <c r="O328" s="41">
        <f t="shared" si="10"/>
        <v>52.932569471531906</v>
      </c>
      <c r="P328" s="109">
        <f t="shared" si="11"/>
        <v>42.337230322032461</v>
      </c>
    </row>
    <row r="329" spans="1:16" ht="18" x14ac:dyDescent="0.25">
      <c r="A329" s="73" t="s">
        <v>371</v>
      </c>
      <c r="B329" s="74">
        <v>4120200</v>
      </c>
      <c r="C329" s="97">
        <v>107</v>
      </c>
      <c r="D329" s="97">
        <v>188</v>
      </c>
      <c r="E329" s="98">
        <v>0.56914893617021278</v>
      </c>
      <c r="F329" s="98">
        <v>12.530795072788358</v>
      </c>
      <c r="G329" s="97">
        <v>515</v>
      </c>
      <c r="H329" s="97">
        <v>427</v>
      </c>
      <c r="I329" s="98">
        <v>1.2060889929742389</v>
      </c>
      <c r="J329" s="98">
        <v>68.553628986339618</v>
      </c>
      <c r="K329" s="97">
        <v>0</v>
      </c>
      <c r="L329" s="97">
        <v>1</v>
      </c>
      <c r="M329" s="98">
        <v>0</v>
      </c>
      <c r="N329" s="98">
        <v>100</v>
      </c>
      <c r="O329" s="41">
        <f t="shared" si="10"/>
        <v>48.40380478297908</v>
      </c>
      <c r="P329" s="109">
        <f t="shared" si="11"/>
        <v>34.706559633121358</v>
      </c>
    </row>
    <row r="330" spans="1:16" ht="18" x14ac:dyDescent="0.25">
      <c r="A330" s="73" t="s">
        <v>361</v>
      </c>
      <c r="B330" s="74">
        <v>4123105</v>
      </c>
      <c r="C330" s="97">
        <v>102</v>
      </c>
      <c r="D330" s="97">
        <v>192</v>
      </c>
      <c r="E330" s="98">
        <v>0.53125</v>
      </c>
      <c r="F330" s="98">
        <v>18.355263157894743</v>
      </c>
      <c r="G330" s="97">
        <v>497</v>
      </c>
      <c r="H330" s="97">
        <v>453</v>
      </c>
      <c r="I330" s="98">
        <v>1.0971302428256071</v>
      </c>
      <c r="J330" s="98">
        <v>75.965721642077554</v>
      </c>
      <c r="K330" s="97">
        <v>0</v>
      </c>
      <c r="L330" s="97">
        <v>1</v>
      </c>
      <c r="M330" s="98">
        <v>0</v>
      </c>
      <c r="N330" s="98">
        <v>100</v>
      </c>
      <c r="O330" s="41">
        <f t="shared" si="10"/>
        <v>53.169061989466762</v>
      </c>
      <c r="P330" s="109">
        <f t="shared" si="11"/>
        <v>42.735704663018581</v>
      </c>
    </row>
    <row r="331" spans="1:16" ht="18" x14ac:dyDescent="0.25">
      <c r="A331" s="73" t="s">
        <v>367</v>
      </c>
      <c r="B331" s="74">
        <v>4101150</v>
      </c>
      <c r="C331" s="97">
        <v>129</v>
      </c>
      <c r="D331" s="97">
        <v>212</v>
      </c>
      <c r="E331" s="98">
        <v>0.60849056603773588</v>
      </c>
      <c r="F331" s="98">
        <v>6.4846077457795452</v>
      </c>
      <c r="G331" s="97">
        <v>503</v>
      </c>
      <c r="H331" s="97">
        <v>441</v>
      </c>
      <c r="I331" s="98">
        <v>1.1405895691609977</v>
      </c>
      <c r="J331" s="98">
        <v>73.009331695290783</v>
      </c>
      <c r="K331" s="97">
        <v>0</v>
      </c>
      <c r="L331" s="97">
        <v>1</v>
      </c>
      <c r="M331" s="98">
        <v>0</v>
      </c>
      <c r="N331" s="98">
        <v>100</v>
      </c>
      <c r="O331" s="41">
        <f t="shared" si="10"/>
        <v>46.49463679671247</v>
      </c>
      <c r="P331" s="109">
        <f t="shared" si="11"/>
        <v>31.489737123036964</v>
      </c>
    </row>
    <row r="332" spans="1:16" ht="18" x14ac:dyDescent="0.25">
      <c r="A332" s="73" t="s">
        <v>342</v>
      </c>
      <c r="B332" s="74">
        <v>4125456</v>
      </c>
      <c r="C332" s="97">
        <v>102</v>
      </c>
      <c r="D332" s="97">
        <v>270</v>
      </c>
      <c r="E332" s="98">
        <v>0.37777777777777777</v>
      </c>
      <c r="F332" s="98">
        <v>41.941520467836263</v>
      </c>
      <c r="G332" s="97">
        <v>554</v>
      </c>
      <c r="H332" s="97">
        <v>563</v>
      </c>
      <c r="I332" s="98">
        <v>0.98401420959147423</v>
      </c>
      <c r="J332" s="98">
        <v>83.66062010628734</v>
      </c>
      <c r="K332" s="97">
        <v>0</v>
      </c>
      <c r="L332" s="97">
        <v>1</v>
      </c>
      <c r="M332" s="98">
        <v>0</v>
      </c>
      <c r="N332" s="98">
        <v>100</v>
      </c>
      <c r="O332" s="41">
        <f t="shared" si="10"/>
        <v>66.885915260489966</v>
      </c>
      <c r="P332" s="109">
        <f t="shared" si="11"/>
        <v>65.847700405225766</v>
      </c>
    </row>
    <row r="333" spans="1:16" ht="18" x14ac:dyDescent="0.25">
      <c r="A333" s="73" t="s">
        <v>300</v>
      </c>
      <c r="B333" s="74">
        <v>4125308</v>
      </c>
      <c r="C333" s="97">
        <v>111</v>
      </c>
      <c r="D333" s="97">
        <v>243</v>
      </c>
      <c r="E333" s="98">
        <v>0.4567901234567901</v>
      </c>
      <c r="F333" s="98">
        <v>29.798570500324896</v>
      </c>
      <c r="G333" s="97">
        <v>642</v>
      </c>
      <c r="H333" s="97">
        <v>580</v>
      </c>
      <c r="I333" s="98">
        <v>1.106896551724138</v>
      </c>
      <c r="J333" s="98">
        <v>75.301352912060707</v>
      </c>
      <c r="K333" s="97">
        <v>0</v>
      </c>
      <c r="L333" s="97">
        <v>1</v>
      </c>
      <c r="M333" s="98">
        <v>0</v>
      </c>
      <c r="N333" s="98">
        <v>100</v>
      </c>
      <c r="O333" s="41">
        <f t="shared" si="10"/>
        <v>58.724623478177627</v>
      </c>
      <c r="P333" s="109">
        <f t="shared" si="11"/>
        <v>52.096460438098603</v>
      </c>
    </row>
    <row r="334" spans="1:16" ht="18" x14ac:dyDescent="0.25">
      <c r="A334" s="73" t="s">
        <v>321</v>
      </c>
      <c r="B334" s="74">
        <v>4107157</v>
      </c>
      <c r="C334" s="97">
        <v>72</v>
      </c>
      <c r="D334" s="97">
        <v>277</v>
      </c>
      <c r="E334" s="98">
        <v>0.25992779783393499</v>
      </c>
      <c r="F334" s="98">
        <v>60.053201596047892</v>
      </c>
      <c r="G334" s="97">
        <v>781</v>
      </c>
      <c r="H334" s="97">
        <v>686</v>
      </c>
      <c r="I334" s="98">
        <v>1.1384839650145773</v>
      </c>
      <c r="J334" s="98">
        <v>73.15256877361891</v>
      </c>
      <c r="K334" s="97">
        <v>0</v>
      </c>
      <c r="L334" s="97">
        <v>1</v>
      </c>
      <c r="M334" s="98">
        <v>0</v>
      </c>
      <c r="N334" s="98">
        <v>100</v>
      </c>
      <c r="O334" s="41">
        <f t="shared" si="10"/>
        <v>73.314742991428673</v>
      </c>
      <c r="P334" s="109">
        <f t="shared" si="11"/>
        <v>76.679852372522802</v>
      </c>
    </row>
    <row r="335" spans="1:16" ht="18" x14ac:dyDescent="0.25">
      <c r="A335" s="73" t="s">
        <v>302</v>
      </c>
      <c r="B335" s="74">
        <v>4126355</v>
      </c>
      <c r="C335" s="97">
        <v>109</v>
      </c>
      <c r="D335" s="97">
        <v>276</v>
      </c>
      <c r="E335" s="98">
        <v>0.39492753623188404</v>
      </c>
      <c r="F335" s="98">
        <v>39.305873379099928</v>
      </c>
      <c r="G335" s="97">
        <v>659</v>
      </c>
      <c r="H335" s="97">
        <v>607</v>
      </c>
      <c r="I335" s="98">
        <v>1.0856672158154861</v>
      </c>
      <c r="J335" s="98">
        <v>76.745512326151498</v>
      </c>
      <c r="K335" s="97">
        <v>0</v>
      </c>
      <c r="L335" s="97">
        <v>1</v>
      </c>
      <c r="M335" s="98">
        <v>0</v>
      </c>
      <c r="N335" s="98">
        <v>100</v>
      </c>
      <c r="O335" s="41">
        <f t="shared" si="10"/>
        <v>63.839314771087842</v>
      </c>
      <c r="P335" s="109">
        <f t="shared" si="11"/>
        <v>60.714378924852753</v>
      </c>
    </row>
    <row r="336" spans="1:16" ht="18" x14ac:dyDescent="0.25">
      <c r="A336" s="73" t="s">
        <v>366</v>
      </c>
      <c r="B336" s="74">
        <v>4115739</v>
      </c>
      <c r="C336" s="97">
        <v>71</v>
      </c>
      <c r="D336" s="97">
        <v>206</v>
      </c>
      <c r="E336" s="98">
        <v>0.3446601941747573</v>
      </c>
      <c r="F336" s="98">
        <v>47.031170158405729</v>
      </c>
      <c r="G336" s="97">
        <v>503</v>
      </c>
      <c r="H336" s="97">
        <v>394</v>
      </c>
      <c r="I336" s="98">
        <v>1.2766497461928934</v>
      </c>
      <c r="J336" s="98">
        <v>63.75362127698272</v>
      </c>
      <c r="K336" s="97">
        <v>0</v>
      </c>
      <c r="L336" s="97">
        <v>1</v>
      </c>
      <c r="M336" s="98">
        <v>0</v>
      </c>
      <c r="N336" s="98">
        <v>100</v>
      </c>
      <c r="O336" s="41">
        <f t="shared" si="10"/>
        <v>64.453990398448553</v>
      </c>
      <c r="P336" s="109">
        <f t="shared" si="11"/>
        <v>61.750066935922334</v>
      </c>
    </row>
    <row r="337" spans="1:16" ht="18" x14ac:dyDescent="0.25">
      <c r="A337" s="73" t="s">
        <v>308</v>
      </c>
      <c r="B337" s="74">
        <v>4113759</v>
      </c>
      <c r="C337" s="97">
        <v>103</v>
      </c>
      <c r="D337" s="97">
        <v>239</v>
      </c>
      <c r="E337" s="98">
        <v>0.43096234309623432</v>
      </c>
      <c r="F337" s="98">
        <v>33.767892534683988</v>
      </c>
      <c r="G337" s="97">
        <v>570</v>
      </c>
      <c r="H337" s="97">
        <v>573</v>
      </c>
      <c r="I337" s="98">
        <v>0.99476439790575921</v>
      </c>
      <c r="J337" s="98">
        <v>82.929321410740471</v>
      </c>
      <c r="K337" s="97">
        <v>0</v>
      </c>
      <c r="L337" s="97">
        <v>2</v>
      </c>
      <c r="M337" s="98">
        <v>0</v>
      </c>
      <c r="N337" s="98">
        <v>100</v>
      </c>
      <c r="O337" s="41">
        <f t="shared" si="10"/>
        <v>62.616276620027108</v>
      </c>
      <c r="P337" s="109">
        <f t="shared" si="11"/>
        <v>58.65364006723253</v>
      </c>
    </row>
    <row r="338" spans="1:16" ht="18" x14ac:dyDescent="0.25">
      <c r="A338" s="73" t="s">
        <v>386</v>
      </c>
      <c r="B338" s="74">
        <v>4108106</v>
      </c>
      <c r="C338" s="97">
        <v>94</v>
      </c>
      <c r="D338" s="97">
        <v>172</v>
      </c>
      <c r="E338" s="98">
        <v>0.54651162790697672</v>
      </c>
      <c r="F338" s="98">
        <v>16.009791921664636</v>
      </c>
      <c r="G338" s="97">
        <v>380</v>
      </c>
      <c r="H338" s="97">
        <v>342</v>
      </c>
      <c r="I338" s="98">
        <v>1.1111111111111112</v>
      </c>
      <c r="J338" s="98">
        <v>75.014650791884577</v>
      </c>
      <c r="K338" s="97">
        <v>0</v>
      </c>
      <c r="L338" s="97">
        <v>1</v>
      </c>
      <c r="M338" s="98">
        <v>0</v>
      </c>
      <c r="N338" s="98">
        <v>100</v>
      </c>
      <c r="O338" s="41">
        <f t="shared" si="10"/>
        <v>51.758558658803466</v>
      </c>
      <c r="P338" s="109">
        <f t="shared" si="11"/>
        <v>40.359099305467254</v>
      </c>
    </row>
    <row r="339" spans="1:16" ht="18" x14ac:dyDescent="0.25">
      <c r="A339" s="73" t="s">
        <v>263</v>
      </c>
      <c r="B339" s="74">
        <v>4118709</v>
      </c>
      <c r="C339" s="97">
        <v>93</v>
      </c>
      <c r="D339" s="97">
        <v>318</v>
      </c>
      <c r="E339" s="98">
        <v>0.29245283018867924</v>
      </c>
      <c r="F339" s="98">
        <v>55.05461767626614</v>
      </c>
      <c r="G339" s="97">
        <v>888</v>
      </c>
      <c r="H339" s="97">
        <v>747</v>
      </c>
      <c r="I339" s="98">
        <v>1.1887550200803212</v>
      </c>
      <c r="J339" s="98">
        <v>69.732800122264962</v>
      </c>
      <c r="K339" s="97">
        <v>1</v>
      </c>
      <c r="L339" s="97">
        <v>2</v>
      </c>
      <c r="M339" s="98">
        <v>0.5</v>
      </c>
      <c r="N339" s="98">
        <v>50</v>
      </c>
      <c r="O339" s="41">
        <f t="shared" si="10"/>
        <v>57.460508868699307</v>
      </c>
      <c r="P339" s="109">
        <f t="shared" si="11"/>
        <v>49.966510449230242</v>
      </c>
    </row>
    <row r="340" spans="1:16" ht="18" x14ac:dyDescent="0.25">
      <c r="A340" s="73" t="s">
        <v>314</v>
      </c>
      <c r="B340" s="74">
        <v>4109203</v>
      </c>
      <c r="C340" s="97">
        <v>100</v>
      </c>
      <c r="D340" s="97">
        <v>273</v>
      </c>
      <c r="E340" s="98">
        <v>0.36630036630036628</v>
      </c>
      <c r="F340" s="98">
        <v>43.705417389627925</v>
      </c>
      <c r="G340" s="97">
        <v>679</v>
      </c>
      <c r="H340" s="97">
        <v>568</v>
      </c>
      <c r="I340" s="98">
        <v>1.1954225352112675</v>
      </c>
      <c r="J340" s="98">
        <v>69.279231777669466</v>
      </c>
      <c r="K340" s="97">
        <v>0</v>
      </c>
      <c r="L340" s="97">
        <v>2</v>
      </c>
      <c r="M340" s="98">
        <v>0</v>
      </c>
      <c r="N340" s="98">
        <v>100</v>
      </c>
      <c r="O340" s="41">
        <f t="shared" si="10"/>
        <v>64.172516639231333</v>
      </c>
      <c r="P340" s="109">
        <f t="shared" si="11"/>
        <v>61.275802161339222</v>
      </c>
    </row>
    <row r="341" spans="1:16" ht="18" x14ac:dyDescent="0.25">
      <c r="A341" s="73" t="s">
        <v>362</v>
      </c>
      <c r="B341" s="74">
        <v>4123204</v>
      </c>
      <c r="C341" s="97">
        <v>88</v>
      </c>
      <c r="D341" s="97">
        <v>196</v>
      </c>
      <c r="E341" s="98">
        <v>0.44897959183673469</v>
      </c>
      <c r="F341" s="98">
        <v>30.998925886143937</v>
      </c>
      <c r="G341" s="97">
        <v>431</v>
      </c>
      <c r="H341" s="97">
        <v>424</v>
      </c>
      <c r="I341" s="98">
        <v>1.0165094339622642</v>
      </c>
      <c r="J341" s="98">
        <v>81.450080672081896</v>
      </c>
      <c r="K341" s="97">
        <v>1</v>
      </c>
      <c r="L341" s="97">
        <v>2</v>
      </c>
      <c r="M341" s="98">
        <v>0.5</v>
      </c>
      <c r="N341" s="98">
        <v>50</v>
      </c>
      <c r="O341" s="41">
        <f t="shared" si="10"/>
        <v>48.361983111092442</v>
      </c>
      <c r="P341" s="109">
        <f t="shared" si="11"/>
        <v>34.636092866183063</v>
      </c>
    </row>
    <row r="342" spans="1:16" ht="18" x14ac:dyDescent="0.25">
      <c r="A342" s="73" t="s">
        <v>329</v>
      </c>
      <c r="B342" s="74">
        <v>4107850</v>
      </c>
      <c r="C342" s="97">
        <v>83</v>
      </c>
      <c r="D342" s="97">
        <v>268</v>
      </c>
      <c r="E342" s="98">
        <v>0.30970149253731344</v>
      </c>
      <c r="F342" s="98">
        <v>52.403770620581305</v>
      </c>
      <c r="G342" s="97">
        <v>687</v>
      </c>
      <c r="H342" s="97">
        <v>570</v>
      </c>
      <c r="I342" s="98">
        <v>1.2052631578947368</v>
      </c>
      <c r="J342" s="98">
        <v>68.609807733978329</v>
      </c>
      <c r="K342" s="97">
        <v>1</v>
      </c>
      <c r="L342" s="97">
        <v>2</v>
      </c>
      <c r="M342" s="98">
        <v>0.5</v>
      </c>
      <c r="N342" s="98">
        <v>50</v>
      </c>
      <c r="O342" s="41">
        <f t="shared" si="10"/>
        <v>55.854337243785238</v>
      </c>
      <c r="P342" s="109">
        <f t="shared" si="11"/>
        <v>47.260216883001924</v>
      </c>
    </row>
    <row r="343" spans="1:16" ht="18" x14ac:dyDescent="0.25">
      <c r="A343" s="73" t="s">
        <v>348</v>
      </c>
      <c r="B343" s="74">
        <v>4106555</v>
      </c>
      <c r="C343" s="97">
        <v>83</v>
      </c>
      <c r="D343" s="97">
        <v>219</v>
      </c>
      <c r="E343" s="98">
        <v>0.37899543378995432</v>
      </c>
      <c r="F343" s="98">
        <v>41.754385964912288</v>
      </c>
      <c r="G343" s="97">
        <v>494</v>
      </c>
      <c r="H343" s="97">
        <v>460</v>
      </c>
      <c r="I343" s="98">
        <v>1.0739130434782609</v>
      </c>
      <c r="J343" s="98">
        <v>77.545108635178352</v>
      </c>
      <c r="K343" s="97">
        <v>0</v>
      </c>
      <c r="L343" s="97">
        <v>1</v>
      </c>
      <c r="M343" s="98">
        <v>0</v>
      </c>
      <c r="N343" s="98">
        <v>100</v>
      </c>
      <c r="O343" s="41">
        <f t="shared" si="10"/>
        <v>65.263470141250735</v>
      </c>
      <c r="P343" s="109">
        <f t="shared" si="11"/>
        <v>63.113987071203582</v>
      </c>
    </row>
    <row r="344" spans="1:16" ht="18" x14ac:dyDescent="0.25">
      <c r="A344" s="73" t="s">
        <v>244</v>
      </c>
      <c r="B344" s="74">
        <v>4101309</v>
      </c>
      <c r="C344" s="97">
        <v>51</v>
      </c>
      <c r="D344" s="97">
        <v>390</v>
      </c>
      <c r="E344" s="98">
        <v>0.13076923076923078</v>
      </c>
      <c r="F344" s="98">
        <v>79.902834008097173</v>
      </c>
      <c r="G344" s="97">
        <v>1027</v>
      </c>
      <c r="H344" s="97">
        <v>883</v>
      </c>
      <c r="I344" s="98">
        <v>1.1630804077010193</v>
      </c>
      <c r="J344" s="98">
        <v>71.479356553904907</v>
      </c>
      <c r="K344" s="97">
        <v>0</v>
      </c>
      <c r="L344" s="97">
        <v>2</v>
      </c>
      <c r="M344" s="98">
        <v>0</v>
      </c>
      <c r="N344" s="98">
        <v>100</v>
      </c>
      <c r="O344" s="41">
        <f t="shared" si="10"/>
        <v>82.821256142524817</v>
      </c>
      <c r="P344" s="109">
        <f t="shared" si="11"/>
        <v>92.697701884372336</v>
      </c>
    </row>
    <row r="345" spans="1:16" ht="18" x14ac:dyDescent="0.25">
      <c r="A345" s="73" t="s">
        <v>363</v>
      </c>
      <c r="B345" s="74">
        <v>4123956</v>
      </c>
      <c r="C345" s="97">
        <v>95</v>
      </c>
      <c r="D345" s="97">
        <v>221</v>
      </c>
      <c r="E345" s="98">
        <v>0.42986425339366519</v>
      </c>
      <c r="F345" s="98">
        <v>33.936651583710407</v>
      </c>
      <c r="G345" s="97">
        <v>521</v>
      </c>
      <c r="H345" s="97">
        <v>493</v>
      </c>
      <c r="I345" s="98">
        <v>1.0567951318458417</v>
      </c>
      <c r="J345" s="98">
        <v>78.709581859395286</v>
      </c>
      <c r="K345" s="97">
        <v>1</v>
      </c>
      <c r="L345" s="97">
        <v>3</v>
      </c>
      <c r="M345" s="98">
        <v>0.33333333333333331</v>
      </c>
      <c r="N345" s="98">
        <v>66.666666666666671</v>
      </c>
      <c r="O345" s="41">
        <f t="shared" si="10"/>
        <v>53.312387923370693</v>
      </c>
      <c r="P345" s="109">
        <f t="shared" si="11"/>
        <v>42.977199436541689</v>
      </c>
    </row>
    <row r="346" spans="1:16" ht="18" x14ac:dyDescent="0.25">
      <c r="A346" s="73" t="s">
        <v>375</v>
      </c>
      <c r="B346" s="74">
        <v>4128625</v>
      </c>
      <c r="C346" s="97">
        <v>91</v>
      </c>
      <c r="D346" s="97">
        <v>205</v>
      </c>
      <c r="E346" s="98">
        <v>0.44390243902439025</v>
      </c>
      <c r="F346" s="98">
        <v>31.779204107830555</v>
      </c>
      <c r="G346" s="97">
        <v>528</v>
      </c>
      <c r="H346" s="97">
        <v>436</v>
      </c>
      <c r="I346" s="98">
        <v>1.2110091743119267</v>
      </c>
      <c r="J346" s="98">
        <v>68.218925808226558</v>
      </c>
      <c r="K346" s="97">
        <v>1</v>
      </c>
      <c r="L346" s="97">
        <v>2</v>
      </c>
      <c r="M346" s="98">
        <v>0.5</v>
      </c>
      <c r="N346" s="98">
        <v>50</v>
      </c>
      <c r="O346" s="41">
        <f t="shared" si="10"/>
        <v>45.444333505971919</v>
      </c>
      <c r="P346" s="109">
        <f t="shared" si="11"/>
        <v>29.720045146021963</v>
      </c>
    </row>
    <row r="347" spans="1:16" ht="18" x14ac:dyDescent="0.25">
      <c r="A347" s="73" t="s">
        <v>322</v>
      </c>
      <c r="B347" s="74">
        <v>4115457</v>
      </c>
      <c r="C347" s="97">
        <v>77</v>
      </c>
      <c r="D347" s="97">
        <v>307</v>
      </c>
      <c r="E347" s="98">
        <v>0.250814332247557</v>
      </c>
      <c r="F347" s="98">
        <v>61.45379735984914</v>
      </c>
      <c r="G347" s="97">
        <v>673</v>
      </c>
      <c r="H347" s="97">
        <v>649</v>
      </c>
      <c r="I347" s="98">
        <v>1.036979969183359</v>
      </c>
      <c r="J347" s="98">
        <v>80.057539884267001</v>
      </c>
      <c r="K347" s="97">
        <v>1</v>
      </c>
      <c r="L347" s="97">
        <v>2</v>
      </c>
      <c r="M347" s="98">
        <v>0.5</v>
      </c>
      <c r="N347" s="98">
        <v>50</v>
      </c>
      <c r="O347" s="41">
        <f t="shared" si="10"/>
        <v>63.241283650991321</v>
      </c>
      <c r="P347" s="109">
        <f t="shared" si="11"/>
        <v>59.706735813981517</v>
      </c>
    </row>
    <row r="348" spans="1:16" ht="18" x14ac:dyDescent="0.25">
      <c r="A348" s="73" t="s">
        <v>274</v>
      </c>
      <c r="B348" s="74">
        <v>4107405</v>
      </c>
      <c r="C348" s="97">
        <v>77</v>
      </c>
      <c r="D348" s="97">
        <v>346</v>
      </c>
      <c r="E348" s="98">
        <v>0.22254335260115607</v>
      </c>
      <c r="F348" s="98">
        <v>65.798600547611812</v>
      </c>
      <c r="G348" s="97">
        <v>887</v>
      </c>
      <c r="H348" s="97">
        <v>782</v>
      </c>
      <c r="I348" s="98">
        <v>1.1342710997442456</v>
      </c>
      <c r="J348" s="98">
        <v>73.439155648810143</v>
      </c>
      <c r="K348" s="97">
        <v>1</v>
      </c>
      <c r="L348" s="97">
        <v>2</v>
      </c>
      <c r="M348" s="98">
        <v>0.5</v>
      </c>
      <c r="N348" s="98">
        <v>50</v>
      </c>
      <c r="O348" s="41">
        <f t="shared" si="10"/>
        <v>63.759089186008438</v>
      </c>
      <c r="P348" s="109">
        <f t="shared" si="11"/>
        <v>60.57920408962373</v>
      </c>
    </row>
    <row r="349" spans="1:16" ht="18" x14ac:dyDescent="0.25">
      <c r="A349" s="73" t="s">
        <v>352</v>
      </c>
      <c r="B349" s="74">
        <v>4116406</v>
      </c>
      <c r="C349" s="97">
        <v>83</v>
      </c>
      <c r="D349" s="97">
        <v>212</v>
      </c>
      <c r="E349" s="98">
        <v>0.39150943396226418</v>
      </c>
      <c r="F349" s="98">
        <v>39.831181727904671</v>
      </c>
      <c r="G349" s="97">
        <v>496</v>
      </c>
      <c r="H349" s="97">
        <v>472</v>
      </c>
      <c r="I349" s="98">
        <v>1.0508474576271187</v>
      </c>
      <c r="J349" s="98">
        <v>79.114181878532648</v>
      </c>
      <c r="K349" s="97">
        <v>0</v>
      </c>
      <c r="L349" s="97">
        <v>2</v>
      </c>
      <c r="M349" s="98">
        <v>0</v>
      </c>
      <c r="N349" s="98">
        <v>100</v>
      </c>
      <c r="O349" s="41">
        <f t="shared" si="10"/>
        <v>64.694136333585504</v>
      </c>
      <c r="P349" s="109">
        <f t="shared" si="11"/>
        <v>62.154697044645481</v>
      </c>
    </row>
    <row r="350" spans="1:16" ht="18" x14ac:dyDescent="0.25">
      <c r="A350" s="73" t="s">
        <v>368</v>
      </c>
      <c r="B350" s="74">
        <v>4103222</v>
      </c>
      <c r="C350" s="97">
        <v>91</v>
      </c>
      <c r="D350" s="97">
        <v>205</v>
      </c>
      <c r="E350" s="98">
        <v>0.44390243902439025</v>
      </c>
      <c r="F350" s="98">
        <v>31.779204107830555</v>
      </c>
      <c r="G350" s="97">
        <v>497</v>
      </c>
      <c r="H350" s="97">
        <v>412</v>
      </c>
      <c r="I350" s="98">
        <v>1.2063106796116505</v>
      </c>
      <c r="J350" s="98">
        <v>68.538548399468056</v>
      </c>
      <c r="K350" s="97">
        <v>1</v>
      </c>
      <c r="L350" s="97">
        <v>2</v>
      </c>
      <c r="M350" s="98">
        <v>0.5</v>
      </c>
      <c r="N350" s="98">
        <v>50</v>
      </c>
      <c r="O350" s="41">
        <f t="shared" si="10"/>
        <v>45.52423915378229</v>
      </c>
      <c r="P350" s="109">
        <f t="shared" si="11"/>
        <v>29.854680907991721</v>
      </c>
    </row>
    <row r="351" spans="1:16" ht="18" x14ac:dyDescent="0.25">
      <c r="A351" s="73" t="s">
        <v>395</v>
      </c>
      <c r="B351" s="74">
        <v>4115903</v>
      </c>
      <c r="C351" s="97">
        <v>85</v>
      </c>
      <c r="D351" s="97">
        <v>171</v>
      </c>
      <c r="E351" s="98">
        <v>0.49707602339181284</v>
      </c>
      <c r="F351" s="98">
        <v>23.60726377346877</v>
      </c>
      <c r="G351" s="97">
        <v>322</v>
      </c>
      <c r="H351" s="97">
        <v>320</v>
      </c>
      <c r="I351" s="98">
        <v>1.0062500000000001</v>
      </c>
      <c r="J351" s="98">
        <v>82.147995020585284</v>
      </c>
      <c r="K351" s="97">
        <v>0</v>
      </c>
      <c r="L351" s="97">
        <v>3</v>
      </c>
      <c r="M351" s="98">
        <v>0</v>
      </c>
      <c r="N351" s="98">
        <v>100</v>
      </c>
      <c r="O351" s="41">
        <f t="shared" si="10"/>
        <v>57.340630641880708</v>
      </c>
      <c r="P351" s="109">
        <f t="shared" si="11"/>
        <v>49.764523520226064</v>
      </c>
    </row>
    <row r="352" spans="1:16" ht="18" x14ac:dyDescent="0.25">
      <c r="A352" s="73" t="s">
        <v>340</v>
      </c>
      <c r="B352" s="74">
        <v>4102208</v>
      </c>
      <c r="C352" s="97">
        <v>116</v>
      </c>
      <c r="D352" s="97">
        <v>190</v>
      </c>
      <c r="E352" s="98">
        <v>0.61052631578947369</v>
      </c>
      <c r="F352" s="98">
        <v>6.1717451523545757</v>
      </c>
      <c r="G352" s="97">
        <v>506</v>
      </c>
      <c r="H352" s="97">
        <v>421</v>
      </c>
      <c r="I352" s="98">
        <v>1.2019002375296912</v>
      </c>
      <c r="J352" s="98">
        <v>68.838575752201578</v>
      </c>
      <c r="K352" s="97">
        <v>0</v>
      </c>
      <c r="L352" s="97">
        <v>1</v>
      </c>
      <c r="M352" s="98">
        <v>0</v>
      </c>
      <c r="N352" s="98">
        <v>100</v>
      </c>
      <c r="O352" s="41">
        <f t="shared" si="10"/>
        <v>45.295516514227685</v>
      </c>
      <c r="P352" s="109">
        <f t="shared" si="11"/>
        <v>29.46929830112958</v>
      </c>
    </row>
    <row r="353" spans="1:16" ht="18" x14ac:dyDescent="0.25">
      <c r="A353" s="73" t="s">
        <v>345</v>
      </c>
      <c r="B353" s="74">
        <v>4103958</v>
      </c>
      <c r="C353" s="97">
        <v>61</v>
      </c>
      <c r="D353" s="97">
        <v>276</v>
      </c>
      <c r="E353" s="98">
        <v>0.2210144927536232</v>
      </c>
      <c r="F353" s="98">
        <v>66.033562166285293</v>
      </c>
      <c r="G353" s="97">
        <v>682</v>
      </c>
      <c r="H353" s="97">
        <v>557</v>
      </c>
      <c r="I353" s="98">
        <v>1.2244165170556554</v>
      </c>
      <c r="J353" s="98">
        <v>67.306869947194812</v>
      </c>
      <c r="K353" s="97">
        <v>0</v>
      </c>
      <c r="L353" s="97">
        <v>3</v>
      </c>
      <c r="M353" s="98">
        <v>0</v>
      </c>
      <c r="N353" s="98">
        <v>100</v>
      </c>
      <c r="O353" s="41">
        <f t="shared" si="10"/>
        <v>74.843498569941346</v>
      </c>
      <c r="P353" s="109">
        <f t="shared" si="11"/>
        <v>79.255704991439444</v>
      </c>
    </row>
    <row r="354" spans="1:16" ht="18" x14ac:dyDescent="0.25">
      <c r="A354" s="73" t="s">
        <v>365</v>
      </c>
      <c r="B354" s="74">
        <v>4116604</v>
      </c>
      <c r="C354" s="97">
        <v>92</v>
      </c>
      <c r="D354" s="97">
        <v>175</v>
      </c>
      <c r="E354" s="98">
        <v>0.52571428571428569</v>
      </c>
      <c r="F354" s="98">
        <v>19.206015037593996</v>
      </c>
      <c r="G354" s="97">
        <v>410</v>
      </c>
      <c r="H354" s="97">
        <v>402</v>
      </c>
      <c r="I354" s="98">
        <v>1.0199004975124377</v>
      </c>
      <c r="J354" s="98">
        <v>81.219398168830935</v>
      </c>
      <c r="K354" s="97">
        <v>1</v>
      </c>
      <c r="L354" s="97">
        <v>2</v>
      </c>
      <c r="M354" s="98">
        <v>0.5</v>
      </c>
      <c r="N354" s="98">
        <v>50</v>
      </c>
      <c r="O354" s="41">
        <f t="shared" si="10"/>
        <v>42.407857061004734</v>
      </c>
      <c r="P354" s="109">
        <f t="shared" si="11"/>
        <v>24.603782014765255</v>
      </c>
    </row>
    <row r="355" spans="1:16" ht="18" x14ac:dyDescent="0.25">
      <c r="A355" s="73" t="s">
        <v>379</v>
      </c>
      <c r="B355" s="74">
        <v>4101051</v>
      </c>
      <c r="C355" s="97">
        <v>91</v>
      </c>
      <c r="D355" s="97">
        <v>168</v>
      </c>
      <c r="E355" s="98">
        <v>0.54166666666666663</v>
      </c>
      <c r="F355" s="98">
        <v>16.754385964912291</v>
      </c>
      <c r="G355" s="97">
        <v>380</v>
      </c>
      <c r="H355" s="97">
        <v>366</v>
      </c>
      <c r="I355" s="98">
        <v>1.0382513661202186</v>
      </c>
      <c r="J355" s="98">
        <v>79.971051081069746</v>
      </c>
      <c r="K355" s="97">
        <v>0</v>
      </c>
      <c r="L355" s="97">
        <v>1</v>
      </c>
      <c r="M355" s="98">
        <v>0</v>
      </c>
      <c r="N355" s="98">
        <v>100</v>
      </c>
      <c r="O355" s="41">
        <f t="shared" si="10"/>
        <v>53.369955752723584</v>
      </c>
      <c r="P355" s="109">
        <f t="shared" si="11"/>
        <v>43.074197443344232</v>
      </c>
    </row>
    <row r="356" spans="1:16" ht="18" x14ac:dyDescent="0.25">
      <c r="A356" s="73" t="s">
        <v>346</v>
      </c>
      <c r="B356" s="74">
        <v>4128658</v>
      </c>
      <c r="C356" s="97">
        <v>84</v>
      </c>
      <c r="D356" s="97">
        <v>237</v>
      </c>
      <c r="E356" s="98">
        <v>0.35443037974683544</v>
      </c>
      <c r="F356" s="98">
        <v>45.529646902065295</v>
      </c>
      <c r="G356" s="97">
        <v>592</v>
      </c>
      <c r="H356" s="97">
        <v>521</v>
      </c>
      <c r="I356" s="98">
        <v>1.1362763915547025</v>
      </c>
      <c r="J356" s="98">
        <v>73.302742477030691</v>
      </c>
      <c r="K356" s="97">
        <v>0</v>
      </c>
      <c r="L356" s="97">
        <v>1</v>
      </c>
      <c r="M356" s="98">
        <v>0</v>
      </c>
      <c r="N356" s="98">
        <v>100</v>
      </c>
      <c r="O356" s="41">
        <f t="shared" si="10"/>
        <v>66.090509070290324</v>
      </c>
      <c r="P356" s="109">
        <f t="shared" si="11"/>
        <v>64.507493280603796</v>
      </c>
    </row>
    <row r="357" spans="1:16" ht="18" x14ac:dyDescent="0.25">
      <c r="A357" s="73" t="s">
        <v>359</v>
      </c>
      <c r="B357" s="74">
        <v>4106100</v>
      </c>
      <c r="C357" s="97">
        <v>88</v>
      </c>
      <c r="D357" s="97">
        <v>210</v>
      </c>
      <c r="E357" s="98">
        <v>0.41904761904761906</v>
      </c>
      <c r="F357" s="98">
        <v>35.598997493734345</v>
      </c>
      <c r="G357" s="97">
        <v>539</v>
      </c>
      <c r="H357" s="97">
        <v>450</v>
      </c>
      <c r="I357" s="98">
        <v>1.1977777777777778</v>
      </c>
      <c r="J357" s="98">
        <v>69.119012647898813</v>
      </c>
      <c r="K357" s="97">
        <v>1</v>
      </c>
      <c r="L357" s="97">
        <v>2</v>
      </c>
      <c r="M357" s="98">
        <v>0.5</v>
      </c>
      <c r="N357" s="98">
        <v>50</v>
      </c>
      <c r="O357" s="41">
        <f t="shared" si="10"/>
        <v>47.579251908841876</v>
      </c>
      <c r="P357" s="109">
        <f t="shared" si="11"/>
        <v>33.317242262748827</v>
      </c>
    </row>
    <row r="358" spans="1:16" ht="18" x14ac:dyDescent="0.25">
      <c r="A358" s="73" t="s">
        <v>347</v>
      </c>
      <c r="B358" s="74">
        <v>4122172</v>
      </c>
      <c r="C358" s="97">
        <v>50</v>
      </c>
      <c r="D358" s="97">
        <v>252</v>
      </c>
      <c r="E358" s="98">
        <v>0.1984126984126984</v>
      </c>
      <c r="F358" s="98">
        <v>69.507101086048465</v>
      </c>
      <c r="G358" s="97">
        <v>669</v>
      </c>
      <c r="H358" s="97">
        <v>587</v>
      </c>
      <c r="I358" s="98">
        <v>1.1396933560477003</v>
      </c>
      <c r="J358" s="98">
        <v>73.070298020858814</v>
      </c>
      <c r="K358" s="97">
        <v>1</v>
      </c>
      <c r="L358" s="97">
        <v>2</v>
      </c>
      <c r="M358" s="98">
        <v>0.5</v>
      </c>
      <c r="N358" s="98">
        <v>50</v>
      </c>
      <c r="O358" s="41">
        <f t="shared" si="10"/>
        <v>65.521125048238929</v>
      </c>
      <c r="P358" s="109">
        <f t="shared" si="11"/>
        <v>63.548118646107113</v>
      </c>
    </row>
    <row r="359" spans="1:16" ht="18" x14ac:dyDescent="0.25">
      <c r="A359" s="73" t="s">
        <v>389</v>
      </c>
      <c r="B359" s="74">
        <v>4110300</v>
      </c>
      <c r="C359" s="97">
        <v>95</v>
      </c>
      <c r="D359" s="97">
        <v>146</v>
      </c>
      <c r="E359" s="98">
        <v>0.65068493150684936</v>
      </c>
      <c r="F359" s="98">
        <v>0</v>
      </c>
      <c r="G359" s="97">
        <v>318</v>
      </c>
      <c r="H359" s="97">
        <v>334</v>
      </c>
      <c r="I359" s="98">
        <v>0.95209580838323349</v>
      </c>
      <c r="J359" s="98">
        <v>85.831920225422081</v>
      </c>
      <c r="K359" s="97">
        <v>0</v>
      </c>
      <c r="L359" s="97">
        <v>1</v>
      </c>
      <c r="M359" s="98">
        <v>0</v>
      </c>
      <c r="N359" s="98">
        <v>100</v>
      </c>
      <c r="O359" s="41">
        <f t="shared" si="10"/>
        <v>46.457980056355524</v>
      </c>
      <c r="P359" s="109">
        <f t="shared" si="11"/>
        <v>31.42797292608061</v>
      </c>
    </row>
    <row r="360" spans="1:16" ht="18" x14ac:dyDescent="0.25">
      <c r="A360" s="73" t="s">
        <v>357</v>
      </c>
      <c r="B360" s="74">
        <v>4101655</v>
      </c>
      <c r="C360" s="97">
        <v>72</v>
      </c>
      <c r="D360" s="97">
        <v>182</v>
      </c>
      <c r="E360" s="98">
        <v>0.39560439560439559</v>
      </c>
      <c r="F360" s="98">
        <v>39.201850780798161</v>
      </c>
      <c r="G360" s="97">
        <v>494</v>
      </c>
      <c r="H360" s="97">
        <v>433</v>
      </c>
      <c r="I360" s="98">
        <v>1.1408775981524248</v>
      </c>
      <c r="J360" s="98">
        <v>72.989738064039642</v>
      </c>
      <c r="K360" s="97">
        <v>0</v>
      </c>
      <c r="L360" s="97">
        <v>3</v>
      </c>
      <c r="M360" s="98">
        <v>0</v>
      </c>
      <c r="N360" s="98">
        <v>100</v>
      </c>
      <c r="O360" s="41">
        <f t="shared" si="10"/>
        <v>62.848359906408987</v>
      </c>
      <c r="P360" s="109">
        <f t="shared" si="11"/>
        <v>59.044685143002681</v>
      </c>
    </row>
    <row r="361" spans="1:16" ht="18" x14ac:dyDescent="0.25">
      <c r="A361" s="73" t="s">
        <v>356</v>
      </c>
      <c r="B361" s="74">
        <v>4120309</v>
      </c>
      <c r="C361" s="97">
        <v>70</v>
      </c>
      <c r="D361" s="97">
        <v>220</v>
      </c>
      <c r="E361" s="98">
        <v>0.31818181818181818</v>
      </c>
      <c r="F361" s="98">
        <v>51.100478468899524</v>
      </c>
      <c r="G361" s="97">
        <v>605</v>
      </c>
      <c r="H361" s="97">
        <v>497</v>
      </c>
      <c r="I361" s="98">
        <v>1.2173038229376258</v>
      </c>
      <c r="J361" s="98">
        <v>67.790722301988183</v>
      </c>
      <c r="K361" s="97">
        <v>0</v>
      </c>
      <c r="L361" s="97">
        <v>1</v>
      </c>
      <c r="M361" s="98">
        <v>0</v>
      </c>
      <c r="N361" s="98">
        <v>100</v>
      </c>
      <c r="O361" s="41">
        <f t="shared" si="10"/>
        <v>67.497919809946808</v>
      </c>
      <c r="P361" s="109">
        <f t="shared" si="11"/>
        <v>66.878887825677253</v>
      </c>
    </row>
    <row r="362" spans="1:16" ht="18" x14ac:dyDescent="0.25">
      <c r="A362" s="73" t="s">
        <v>364</v>
      </c>
      <c r="B362" s="74">
        <v>4112900</v>
      </c>
      <c r="C362" s="97">
        <v>66</v>
      </c>
      <c r="D362" s="97">
        <v>222</v>
      </c>
      <c r="E362" s="98">
        <v>0.29729729729729731</v>
      </c>
      <c r="F362" s="98">
        <v>54.310099573257467</v>
      </c>
      <c r="G362" s="97">
        <v>446</v>
      </c>
      <c r="H362" s="97">
        <v>413</v>
      </c>
      <c r="I362" s="98">
        <v>1.0799031476997578</v>
      </c>
      <c r="J362" s="98">
        <v>77.137622247470176</v>
      </c>
      <c r="K362" s="97">
        <v>1</v>
      </c>
      <c r="L362" s="97">
        <v>2</v>
      </c>
      <c r="M362" s="98">
        <v>0.5</v>
      </c>
      <c r="N362" s="98">
        <v>50</v>
      </c>
      <c r="O362" s="41">
        <f t="shared" si="10"/>
        <v>58.939455348496281</v>
      </c>
      <c r="P362" s="109">
        <f t="shared" si="11"/>
        <v>52.458438012254341</v>
      </c>
    </row>
    <row r="363" spans="1:16" ht="18" x14ac:dyDescent="0.25">
      <c r="A363" s="73" t="s">
        <v>353</v>
      </c>
      <c r="B363" s="74">
        <v>4123824</v>
      </c>
      <c r="C363" s="97">
        <v>52</v>
      </c>
      <c r="D363" s="97">
        <v>230</v>
      </c>
      <c r="E363" s="98">
        <v>0.22608695652173913</v>
      </c>
      <c r="F363" s="98">
        <v>65.254004576659042</v>
      </c>
      <c r="G363" s="97">
        <v>563</v>
      </c>
      <c r="H363" s="97">
        <v>475</v>
      </c>
      <c r="I363" s="98">
        <v>1.1852631578947368</v>
      </c>
      <c r="J363" s="98">
        <v>69.970339613359656</v>
      </c>
      <c r="K363" s="97">
        <v>0</v>
      </c>
      <c r="L363" s="97">
        <v>1</v>
      </c>
      <c r="M363" s="98">
        <v>0</v>
      </c>
      <c r="N363" s="98">
        <v>100</v>
      </c>
      <c r="O363" s="41">
        <f t="shared" si="10"/>
        <v>75.119587191669439</v>
      </c>
      <c r="P363" s="109">
        <f t="shared" si="11"/>
        <v>79.720896163479708</v>
      </c>
    </row>
    <row r="364" spans="1:16" ht="18" x14ac:dyDescent="0.25">
      <c r="A364" s="73" t="s">
        <v>370</v>
      </c>
      <c r="B364" s="74">
        <v>4117404</v>
      </c>
      <c r="C364" s="97">
        <v>77</v>
      </c>
      <c r="D364" s="97">
        <v>157</v>
      </c>
      <c r="E364" s="98">
        <v>0.49044585987261147</v>
      </c>
      <c r="F364" s="98">
        <v>24.626215219577613</v>
      </c>
      <c r="G364" s="97">
        <v>439</v>
      </c>
      <c r="H364" s="97">
        <v>388</v>
      </c>
      <c r="I364" s="98">
        <v>1.1314432989690721</v>
      </c>
      <c r="J364" s="98">
        <v>73.63152130396827</v>
      </c>
      <c r="K364" s="97">
        <v>0</v>
      </c>
      <c r="L364" s="97">
        <v>1</v>
      </c>
      <c r="M364" s="98">
        <v>0</v>
      </c>
      <c r="N364" s="98">
        <v>100</v>
      </c>
      <c r="O364" s="41">
        <f t="shared" si="10"/>
        <v>55.720987935780876</v>
      </c>
      <c r="P364" s="109">
        <f t="shared" si="11"/>
        <v>47.035532068057243</v>
      </c>
    </row>
    <row r="365" spans="1:16" ht="18" x14ac:dyDescent="0.25">
      <c r="A365" s="73" t="s">
        <v>354</v>
      </c>
      <c r="B365" s="74">
        <v>4100459</v>
      </c>
      <c r="C365" s="97">
        <v>53</v>
      </c>
      <c r="D365" s="97">
        <v>209</v>
      </c>
      <c r="E365" s="98">
        <v>0.25358851674641147</v>
      </c>
      <c r="F365" s="98">
        <v>61.027449005288346</v>
      </c>
      <c r="G365" s="97">
        <v>513</v>
      </c>
      <c r="H365" s="97">
        <v>467</v>
      </c>
      <c r="I365" s="98">
        <v>1.0985010706638116</v>
      </c>
      <c r="J365" s="98">
        <v>75.872468893326513</v>
      </c>
      <c r="K365" s="97">
        <v>1</v>
      </c>
      <c r="L365" s="97">
        <v>2</v>
      </c>
      <c r="M365" s="98">
        <v>0.5</v>
      </c>
      <c r="N365" s="98">
        <v>50</v>
      </c>
      <c r="O365" s="41">
        <f t="shared" si="10"/>
        <v>61.981841725975798</v>
      </c>
      <c r="P365" s="109">
        <f t="shared" si="11"/>
        <v>57.584658991157497</v>
      </c>
    </row>
    <row r="366" spans="1:16" ht="18" x14ac:dyDescent="0.25">
      <c r="A366" s="73" t="s">
        <v>376</v>
      </c>
      <c r="B366" s="74">
        <v>4119657</v>
      </c>
      <c r="C366" s="97">
        <v>94</v>
      </c>
      <c r="D366" s="97">
        <v>181</v>
      </c>
      <c r="E366" s="98">
        <v>0.51933701657458564</v>
      </c>
      <c r="F366" s="98">
        <v>20.186100610642633</v>
      </c>
      <c r="G366" s="97">
        <v>419</v>
      </c>
      <c r="H366" s="97">
        <v>405</v>
      </c>
      <c r="I366" s="98">
        <v>1.0345679012345679</v>
      </c>
      <c r="J366" s="98">
        <v>80.221624651245222</v>
      </c>
      <c r="K366" s="97">
        <v>0</v>
      </c>
      <c r="L366" s="97">
        <v>1</v>
      </c>
      <c r="M366" s="98">
        <v>0</v>
      </c>
      <c r="N366" s="98">
        <v>100</v>
      </c>
      <c r="O366" s="41">
        <f t="shared" si="10"/>
        <v>55.148456468132622</v>
      </c>
      <c r="P366" s="109">
        <f t="shared" si="11"/>
        <v>46.070854194705682</v>
      </c>
    </row>
    <row r="367" spans="1:16" ht="18" x14ac:dyDescent="0.25">
      <c r="A367" s="73" t="s">
        <v>358</v>
      </c>
      <c r="B367" s="74">
        <v>4121307</v>
      </c>
      <c r="C367" s="97">
        <v>84</v>
      </c>
      <c r="D367" s="97">
        <v>163</v>
      </c>
      <c r="E367" s="98">
        <v>0.51533742331288346</v>
      </c>
      <c r="F367" s="98">
        <v>20.800774943493707</v>
      </c>
      <c r="G367" s="97">
        <v>393</v>
      </c>
      <c r="H367" s="97">
        <v>366</v>
      </c>
      <c r="I367" s="98">
        <v>1.0737704918032787</v>
      </c>
      <c r="J367" s="98">
        <v>77.554805940091981</v>
      </c>
      <c r="K367" s="97">
        <v>0</v>
      </c>
      <c r="L367" s="97">
        <v>1</v>
      </c>
      <c r="M367" s="98">
        <v>0</v>
      </c>
      <c r="N367" s="98">
        <v>100</v>
      </c>
      <c r="O367" s="41">
        <f t="shared" si="10"/>
        <v>54.789088956769845</v>
      </c>
      <c r="P367" s="109">
        <f t="shared" si="11"/>
        <v>45.465343570045889</v>
      </c>
    </row>
    <row r="368" spans="1:16" ht="18" x14ac:dyDescent="0.25">
      <c r="A368" s="73" t="s">
        <v>344</v>
      </c>
      <c r="B368" s="74">
        <v>4113429</v>
      </c>
      <c r="C368" s="97">
        <v>78</v>
      </c>
      <c r="D368" s="97">
        <v>214</v>
      </c>
      <c r="E368" s="98">
        <v>0.3644859813084112</v>
      </c>
      <c r="F368" s="98">
        <v>43.984259714707335</v>
      </c>
      <c r="G368" s="97">
        <v>493</v>
      </c>
      <c r="H368" s="97">
        <v>486</v>
      </c>
      <c r="I368" s="98">
        <v>1.0144032921810699</v>
      </c>
      <c r="J368" s="98">
        <v>81.593354323872475</v>
      </c>
      <c r="K368" s="97">
        <v>0</v>
      </c>
      <c r="L368" s="97">
        <v>2</v>
      </c>
      <c r="M368" s="98">
        <v>0</v>
      </c>
      <c r="N368" s="98">
        <v>100</v>
      </c>
      <c r="O368" s="41">
        <f t="shared" si="10"/>
        <v>67.39046843832179</v>
      </c>
      <c r="P368" s="109">
        <f t="shared" si="11"/>
        <v>66.697839330484982</v>
      </c>
    </row>
    <row r="369" spans="1:16" ht="18" x14ac:dyDescent="0.25">
      <c r="A369" s="73" t="s">
        <v>391</v>
      </c>
      <c r="B369" s="74">
        <v>4103024</v>
      </c>
      <c r="C369" s="97">
        <v>83</v>
      </c>
      <c r="D369" s="97">
        <v>139</v>
      </c>
      <c r="E369" s="98">
        <v>0.59712230215827333</v>
      </c>
      <c r="F369" s="98">
        <v>8.2317304051495785</v>
      </c>
      <c r="G369" s="97">
        <v>355</v>
      </c>
      <c r="H369" s="97">
        <v>340</v>
      </c>
      <c r="I369" s="98">
        <v>1.0441176470588236</v>
      </c>
      <c r="J369" s="98">
        <v>79.57198796955079</v>
      </c>
      <c r="K369" s="97">
        <v>0</v>
      </c>
      <c r="L369" s="97">
        <v>1</v>
      </c>
      <c r="M369" s="98">
        <v>0</v>
      </c>
      <c r="N369" s="98">
        <v>100</v>
      </c>
      <c r="O369" s="41">
        <f t="shared" si="10"/>
        <v>49.008862194962489</v>
      </c>
      <c r="P369" s="109">
        <f t="shared" si="11"/>
        <v>35.726041583773466</v>
      </c>
    </row>
    <row r="370" spans="1:16" ht="18" x14ac:dyDescent="0.25">
      <c r="A370" s="73" t="s">
        <v>385</v>
      </c>
      <c r="B370" s="74">
        <v>4125902</v>
      </c>
      <c r="C370" s="97">
        <v>84</v>
      </c>
      <c r="D370" s="97">
        <v>157</v>
      </c>
      <c r="E370" s="98">
        <v>0.53503184713375795</v>
      </c>
      <c r="F370" s="98">
        <v>17.77405296681194</v>
      </c>
      <c r="G370" s="97">
        <v>364</v>
      </c>
      <c r="H370" s="97">
        <v>331</v>
      </c>
      <c r="I370" s="98">
        <v>1.0996978851963746</v>
      </c>
      <c r="J370" s="98">
        <v>75.791053677063587</v>
      </c>
      <c r="K370" s="97">
        <v>1</v>
      </c>
      <c r="L370" s="97">
        <v>3</v>
      </c>
      <c r="M370" s="98">
        <v>0.33333333333333331</v>
      </c>
      <c r="N370" s="98">
        <v>66.666666666666671</v>
      </c>
      <c r="O370" s="41">
        <f t="shared" si="10"/>
        <v>44.501456569338529</v>
      </c>
      <c r="P370" s="109">
        <f t="shared" si="11"/>
        <v>28.131359511326774</v>
      </c>
    </row>
    <row r="371" spans="1:16" ht="18" x14ac:dyDescent="0.25">
      <c r="A371" s="73" t="s">
        <v>390</v>
      </c>
      <c r="B371" s="74">
        <v>4124202</v>
      </c>
      <c r="C371" s="97">
        <v>76</v>
      </c>
      <c r="D371" s="97">
        <v>148</v>
      </c>
      <c r="E371" s="98">
        <v>0.51351351351351349</v>
      </c>
      <c r="F371" s="98">
        <v>21.081081081081091</v>
      </c>
      <c r="G371" s="97">
        <v>340</v>
      </c>
      <c r="H371" s="97">
        <v>288</v>
      </c>
      <c r="I371" s="98">
        <v>1.1805555555555556</v>
      </c>
      <c r="J371" s="98">
        <v>70.290581766254959</v>
      </c>
      <c r="K371" s="97">
        <v>1</v>
      </c>
      <c r="L371" s="97">
        <v>2</v>
      </c>
      <c r="M371" s="98">
        <v>0.5</v>
      </c>
      <c r="N371" s="98">
        <v>50</v>
      </c>
      <c r="O371" s="41">
        <f t="shared" si="10"/>
        <v>40.613185982104284</v>
      </c>
      <c r="P371" s="109">
        <f t="shared" si="11"/>
        <v>21.579879264282926</v>
      </c>
    </row>
    <row r="372" spans="1:16" ht="18" x14ac:dyDescent="0.25">
      <c r="A372" s="73" t="s">
        <v>372</v>
      </c>
      <c r="B372" s="74">
        <v>4107124</v>
      </c>
      <c r="C372" s="97">
        <v>47</v>
      </c>
      <c r="D372" s="97">
        <v>215</v>
      </c>
      <c r="E372" s="98">
        <v>0.21860465116279071</v>
      </c>
      <c r="F372" s="98">
        <v>66.403916768665852</v>
      </c>
      <c r="G372" s="97">
        <v>483</v>
      </c>
      <c r="H372" s="97">
        <v>407</v>
      </c>
      <c r="I372" s="98">
        <v>1.1867321867321867</v>
      </c>
      <c r="J372" s="98">
        <v>69.870406585105599</v>
      </c>
      <c r="K372" s="97">
        <v>0</v>
      </c>
      <c r="L372" s="97">
        <v>1</v>
      </c>
      <c r="M372" s="98">
        <v>0</v>
      </c>
      <c r="N372" s="98">
        <v>100</v>
      </c>
      <c r="O372" s="41">
        <f t="shared" si="10"/>
        <v>75.669560030609318</v>
      </c>
      <c r="P372" s="109">
        <f t="shared" si="11"/>
        <v>80.647564230911755</v>
      </c>
    </row>
    <row r="373" spans="1:16" ht="18" x14ac:dyDescent="0.25">
      <c r="A373" s="73" t="s">
        <v>338</v>
      </c>
      <c r="B373" s="74">
        <v>4102752</v>
      </c>
      <c r="C373" s="97">
        <v>61</v>
      </c>
      <c r="D373" s="97">
        <v>235</v>
      </c>
      <c r="E373" s="98">
        <v>0.25957446808510637</v>
      </c>
      <c r="F373" s="98">
        <v>60.10750279955208</v>
      </c>
      <c r="G373" s="97">
        <v>435</v>
      </c>
      <c r="H373" s="97">
        <v>517</v>
      </c>
      <c r="I373" s="98">
        <v>0.84139264990328821</v>
      </c>
      <c r="J373" s="98">
        <v>93.362679038430542</v>
      </c>
      <c r="K373" s="97">
        <v>1</v>
      </c>
      <c r="L373" s="97">
        <v>2</v>
      </c>
      <c r="M373" s="98">
        <v>0.5</v>
      </c>
      <c r="N373" s="98">
        <v>50</v>
      </c>
      <c r="O373" s="41">
        <f t="shared" si="10"/>
        <v>65.894421159383683</v>
      </c>
      <c r="P373" s="109">
        <f t="shared" si="11"/>
        <v>64.177098045455637</v>
      </c>
    </row>
    <row r="374" spans="1:16" ht="18" x14ac:dyDescent="0.25">
      <c r="A374" s="73" t="s">
        <v>381</v>
      </c>
      <c r="B374" s="74">
        <v>4102703</v>
      </c>
      <c r="C374" s="97">
        <v>77</v>
      </c>
      <c r="D374" s="97">
        <v>158</v>
      </c>
      <c r="E374" s="98">
        <v>0.48734177215189872</v>
      </c>
      <c r="F374" s="98">
        <v>25.103264490339782</v>
      </c>
      <c r="G374" s="97">
        <v>345</v>
      </c>
      <c r="H374" s="97">
        <v>319</v>
      </c>
      <c r="I374" s="98">
        <v>1.0815047021943573</v>
      </c>
      <c r="J374" s="98">
        <v>77.028673950146725</v>
      </c>
      <c r="K374" s="97">
        <v>0</v>
      </c>
      <c r="L374" s="97">
        <v>1</v>
      </c>
      <c r="M374" s="98">
        <v>0</v>
      </c>
      <c r="N374" s="98">
        <v>100</v>
      </c>
      <c r="O374" s="41">
        <f t="shared" si="10"/>
        <v>56.808800732706572</v>
      </c>
      <c r="P374" s="109">
        <f t="shared" si="11"/>
        <v>48.86842509637129</v>
      </c>
    </row>
    <row r="375" spans="1:16" ht="18" x14ac:dyDescent="0.25">
      <c r="A375" s="73" t="s">
        <v>335</v>
      </c>
      <c r="B375" s="74">
        <v>4120101</v>
      </c>
      <c r="C375" s="97">
        <v>47</v>
      </c>
      <c r="D375" s="97">
        <v>238</v>
      </c>
      <c r="E375" s="98">
        <v>0.19747899159663865</v>
      </c>
      <c r="F375" s="98">
        <v>69.650597080937644</v>
      </c>
      <c r="G375" s="97">
        <v>659</v>
      </c>
      <c r="H375" s="97">
        <v>566</v>
      </c>
      <c r="I375" s="98">
        <v>1.1643109540636043</v>
      </c>
      <c r="J375" s="98">
        <v>71.395646676137233</v>
      </c>
      <c r="K375" s="97">
        <v>2</v>
      </c>
      <c r="L375" s="97">
        <v>3</v>
      </c>
      <c r="M375" s="98">
        <v>0.66666666666666663</v>
      </c>
      <c r="N375" s="98">
        <v>33.333333333333336</v>
      </c>
      <c r="O375" s="41">
        <f t="shared" si="10"/>
        <v>61.007543542836466</v>
      </c>
      <c r="P375" s="109">
        <f t="shared" si="11"/>
        <v>55.943030622359139</v>
      </c>
    </row>
    <row r="376" spans="1:16" ht="18" x14ac:dyDescent="0.25">
      <c r="A376" s="73" t="s">
        <v>373</v>
      </c>
      <c r="B376" s="74">
        <v>4117297</v>
      </c>
      <c r="C376" s="97">
        <v>54</v>
      </c>
      <c r="D376" s="97">
        <v>168</v>
      </c>
      <c r="E376" s="98">
        <v>0.32142857142857145</v>
      </c>
      <c r="F376" s="98">
        <v>50.60150375939849</v>
      </c>
      <c r="G376" s="97">
        <v>403</v>
      </c>
      <c r="H376" s="97">
        <v>348</v>
      </c>
      <c r="I376" s="98">
        <v>1.1580459770114941</v>
      </c>
      <c r="J376" s="98">
        <v>71.821831726286632</v>
      </c>
      <c r="K376" s="97">
        <v>1</v>
      </c>
      <c r="L376" s="97">
        <v>2</v>
      </c>
      <c r="M376" s="98">
        <v>0.5</v>
      </c>
      <c r="N376" s="98">
        <v>50</v>
      </c>
      <c r="O376" s="41">
        <f t="shared" si="10"/>
        <v>55.756209811270907</v>
      </c>
      <c r="P376" s="109">
        <f t="shared" si="11"/>
        <v>47.094878612069479</v>
      </c>
    </row>
    <row r="377" spans="1:16" ht="18" x14ac:dyDescent="0.25">
      <c r="A377" s="73" t="s">
        <v>396</v>
      </c>
      <c r="B377" s="74">
        <v>4109104</v>
      </c>
      <c r="C377" s="97">
        <v>73</v>
      </c>
      <c r="D377" s="97">
        <v>113</v>
      </c>
      <c r="E377" s="98">
        <v>0.64601769911504425</v>
      </c>
      <c r="F377" s="98">
        <v>0.7172799254774167</v>
      </c>
      <c r="G377" s="97">
        <v>270</v>
      </c>
      <c r="H377" s="97">
        <v>260</v>
      </c>
      <c r="I377" s="98">
        <v>1.0384615384615385</v>
      </c>
      <c r="J377" s="98">
        <v>79.956753772543237</v>
      </c>
      <c r="K377" s="97">
        <v>0</v>
      </c>
      <c r="L377" s="97">
        <v>1</v>
      </c>
      <c r="M377" s="98">
        <v>0</v>
      </c>
      <c r="N377" s="98">
        <v>100</v>
      </c>
      <c r="O377" s="41">
        <f t="shared" si="10"/>
        <v>45.347828405874516</v>
      </c>
      <c r="P377" s="109">
        <f t="shared" si="11"/>
        <v>29.557440398527561</v>
      </c>
    </row>
    <row r="378" spans="1:16" ht="18" x14ac:dyDescent="0.25">
      <c r="A378" s="73" t="s">
        <v>380</v>
      </c>
      <c r="B378" s="74">
        <v>4106852</v>
      </c>
      <c r="C378" s="97">
        <v>70</v>
      </c>
      <c r="D378" s="97">
        <v>173</v>
      </c>
      <c r="E378" s="98">
        <v>0.40462427745664742</v>
      </c>
      <c r="F378" s="98">
        <v>37.815637359294193</v>
      </c>
      <c r="G378" s="97">
        <v>432</v>
      </c>
      <c r="H378" s="97">
        <v>367</v>
      </c>
      <c r="I378" s="98">
        <v>1.1771117166212535</v>
      </c>
      <c r="J378" s="98">
        <v>70.524854399133602</v>
      </c>
      <c r="K378" s="97">
        <v>0</v>
      </c>
      <c r="L378" s="97">
        <v>1</v>
      </c>
      <c r="M378" s="98">
        <v>0</v>
      </c>
      <c r="N378" s="98">
        <v>100</v>
      </c>
      <c r="O378" s="41">
        <f t="shared" si="10"/>
        <v>61.539032279430501</v>
      </c>
      <c r="P378" s="109">
        <f t="shared" si="11"/>
        <v>56.838554192851923</v>
      </c>
    </row>
    <row r="379" spans="1:16" ht="18" x14ac:dyDescent="0.25">
      <c r="A379" s="73" t="s">
        <v>383</v>
      </c>
      <c r="B379" s="74">
        <v>4119251</v>
      </c>
      <c r="C379" s="97">
        <v>77</v>
      </c>
      <c r="D379" s="97">
        <v>164</v>
      </c>
      <c r="E379" s="98">
        <v>0.46951219512195119</v>
      </c>
      <c r="F379" s="98">
        <v>27.843388960205402</v>
      </c>
      <c r="G379" s="97">
        <v>371</v>
      </c>
      <c r="H379" s="97">
        <v>352</v>
      </c>
      <c r="I379" s="98">
        <v>1.0539772727272727</v>
      </c>
      <c r="J379" s="98">
        <v>78.901271217516211</v>
      </c>
      <c r="K379" s="97">
        <v>1</v>
      </c>
      <c r="L379" s="97">
        <v>2</v>
      </c>
      <c r="M379" s="98">
        <v>0.5</v>
      </c>
      <c r="N379" s="98">
        <v>50</v>
      </c>
      <c r="O379" s="41">
        <f t="shared" si="10"/>
        <v>46.147012284481754</v>
      </c>
      <c r="P379" s="109">
        <f t="shared" si="11"/>
        <v>30.904012679695754</v>
      </c>
    </row>
    <row r="380" spans="1:16" ht="18" x14ac:dyDescent="0.25">
      <c r="A380" s="73" t="s">
        <v>374</v>
      </c>
      <c r="B380" s="74">
        <v>4120150</v>
      </c>
      <c r="C380" s="97">
        <v>55</v>
      </c>
      <c r="D380" s="97">
        <v>204</v>
      </c>
      <c r="E380" s="98">
        <v>0.26960784313725489</v>
      </c>
      <c r="F380" s="98">
        <v>58.565531475748202</v>
      </c>
      <c r="G380" s="97">
        <v>430</v>
      </c>
      <c r="H380" s="97">
        <v>397</v>
      </c>
      <c r="I380" s="98">
        <v>1.0831234256926952</v>
      </c>
      <c r="J380" s="98">
        <v>76.918557703977115</v>
      </c>
      <c r="K380" s="97">
        <v>0</v>
      </c>
      <c r="L380" s="97">
        <v>1</v>
      </c>
      <c r="M380" s="98">
        <v>0</v>
      </c>
      <c r="N380" s="98">
        <v>100</v>
      </c>
      <c r="O380" s="41">
        <f t="shared" si="10"/>
        <v>73.51240516386838</v>
      </c>
      <c r="P380" s="109">
        <f t="shared" si="11"/>
        <v>77.012900134830844</v>
      </c>
    </row>
    <row r="381" spans="1:16" ht="18" x14ac:dyDescent="0.25">
      <c r="A381" s="73" t="s">
        <v>384</v>
      </c>
      <c r="B381" s="74">
        <v>4111605</v>
      </c>
      <c r="C381" s="97">
        <v>78</v>
      </c>
      <c r="D381" s="97">
        <v>127</v>
      </c>
      <c r="E381" s="98">
        <v>0.61417322834645671</v>
      </c>
      <c r="F381" s="98">
        <v>5.611272275176133</v>
      </c>
      <c r="G381" s="97">
        <v>704</v>
      </c>
      <c r="H381" s="97">
        <v>318</v>
      </c>
      <c r="I381" s="98">
        <v>2.2138364779874213</v>
      </c>
      <c r="J381" s="98">
        <v>0</v>
      </c>
      <c r="K381" s="97">
        <v>0</v>
      </c>
      <c r="L381" s="97">
        <v>1</v>
      </c>
      <c r="M381" s="98">
        <v>0</v>
      </c>
      <c r="N381" s="98">
        <v>100</v>
      </c>
      <c r="O381" s="41">
        <f t="shared" si="10"/>
        <v>27.805636137588067</v>
      </c>
      <c r="P381" s="109">
        <f t="shared" si="11"/>
        <v>0</v>
      </c>
    </row>
    <row r="382" spans="1:16" ht="18" x14ac:dyDescent="0.25">
      <c r="A382" s="73" t="s">
        <v>392</v>
      </c>
      <c r="B382" s="74">
        <v>4118303</v>
      </c>
      <c r="C382" s="97">
        <v>71</v>
      </c>
      <c r="D382" s="97">
        <v>138</v>
      </c>
      <c r="E382" s="98">
        <v>0.51449275362318836</v>
      </c>
      <c r="F382" s="98">
        <v>20.930587337910005</v>
      </c>
      <c r="G382" s="97">
        <v>391</v>
      </c>
      <c r="H382" s="97">
        <v>362</v>
      </c>
      <c r="I382" s="98">
        <v>1.080110497237569</v>
      </c>
      <c r="J382" s="98">
        <v>77.123516964651827</v>
      </c>
      <c r="K382" s="97">
        <v>0</v>
      </c>
      <c r="L382" s="97">
        <v>1</v>
      </c>
      <c r="M382" s="98">
        <v>0</v>
      </c>
      <c r="N382" s="98">
        <v>100</v>
      </c>
      <c r="O382" s="41">
        <f t="shared" si="10"/>
        <v>54.746172910117963</v>
      </c>
      <c r="P382" s="109">
        <f t="shared" si="11"/>
        <v>45.393032853594171</v>
      </c>
    </row>
    <row r="383" spans="1:16" ht="18" x14ac:dyDescent="0.25">
      <c r="A383" s="73" t="s">
        <v>397</v>
      </c>
      <c r="B383" s="74">
        <v>4110052</v>
      </c>
      <c r="C383" s="97">
        <v>65</v>
      </c>
      <c r="D383" s="97">
        <v>104</v>
      </c>
      <c r="E383" s="98">
        <v>0.625</v>
      </c>
      <c r="F383" s="98">
        <v>3.9473684210526381</v>
      </c>
      <c r="G383" s="97">
        <v>259</v>
      </c>
      <c r="H383" s="97">
        <v>243</v>
      </c>
      <c r="I383" s="98">
        <v>1.0658436213991769</v>
      </c>
      <c r="J383" s="98">
        <v>78.094043934517217</v>
      </c>
      <c r="K383" s="97">
        <v>0</v>
      </c>
      <c r="L383" s="97">
        <v>1</v>
      </c>
      <c r="M383" s="98">
        <v>0</v>
      </c>
      <c r="N383" s="98">
        <v>100</v>
      </c>
      <c r="O383" s="41">
        <f t="shared" si="10"/>
        <v>46.497195194155623</v>
      </c>
      <c r="P383" s="109">
        <f t="shared" si="11"/>
        <v>31.494047854488617</v>
      </c>
    </row>
    <row r="384" spans="1:16" ht="18" x14ac:dyDescent="0.25">
      <c r="A384" s="73" t="s">
        <v>393</v>
      </c>
      <c r="B384" s="74">
        <v>4110656</v>
      </c>
      <c r="C384" s="97">
        <v>62</v>
      </c>
      <c r="D384" s="97">
        <v>133</v>
      </c>
      <c r="E384" s="98">
        <v>0.46616541353383456</v>
      </c>
      <c r="F384" s="98">
        <v>28.357736446379118</v>
      </c>
      <c r="G384" s="97">
        <v>289</v>
      </c>
      <c r="H384" s="97">
        <v>272</v>
      </c>
      <c r="I384" s="98">
        <v>1.0625</v>
      </c>
      <c r="J384" s="98">
        <v>78.321499109825297</v>
      </c>
      <c r="K384" s="97">
        <v>0</v>
      </c>
      <c r="L384" s="97">
        <v>1</v>
      </c>
      <c r="M384" s="98">
        <v>0</v>
      </c>
      <c r="N384" s="98">
        <v>100</v>
      </c>
      <c r="O384" s="41">
        <f t="shared" si="10"/>
        <v>58.759243000645881</v>
      </c>
      <c r="P384" s="109">
        <f t="shared" si="11"/>
        <v>52.154792056879842</v>
      </c>
    </row>
    <row r="385" spans="1:16" ht="18" x14ac:dyDescent="0.25">
      <c r="A385" s="73" t="s">
        <v>398</v>
      </c>
      <c r="B385" s="74">
        <v>4125555</v>
      </c>
      <c r="C385" s="97">
        <v>68</v>
      </c>
      <c r="D385" s="97">
        <v>108</v>
      </c>
      <c r="E385" s="98">
        <v>0.62962962962962965</v>
      </c>
      <c r="F385" s="98">
        <v>3.2358674463937662</v>
      </c>
      <c r="G385" s="97">
        <v>246</v>
      </c>
      <c r="H385" s="97">
        <v>248</v>
      </c>
      <c r="I385" s="98">
        <v>0.99193548387096775</v>
      </c>
      <c r="J385" s="98">
        <v>83.12176279715861</v>
      </c>
      <c r="K385" s="97">
        <v>0</v>
      </c>
      <c r="L385" s="97">
        <v>1</v>
      </c>
      <c r="M385" s="98">
        <v>0</v>
      </c>
      <c r="N385" s="98">
        <v>100</v>
      </c>
      <c r="O385" s="41">
        <f t="shared" si="10"/>
        <v>47.39837442248654</v>
      </c>
      <c r="P385" s="109">
        <f t="shared" si="11"/>
        <v>33.01247559273299</v>
      </c>
    </row>
    <row r="386" spans="1:16" ht="18" x14ac:dyDescent="0.25">
      <c r="A386" s="73" t="s">
        <v>388</v>
      </c>
      <c r="B386" s="74">
        <v>4121356</v>
      </c>
      <c r="C386" s="97">
        <v>54</v>
      </c>
      <c r="D386" s="97">
        <v>157</v>
      </c>
      <c r="E386" s="98">
        <v>0.34394904458598724</v>
      </c>
      <c r="F386" s="98">
        <v>47.140462621521969</v>
      </c>
      <c r="G386" s="97">
        <v>308</v>
      </c>
      <c r="H386" s="97">
        <v>341</v>
      </c>
      <c r="I386" s="98">
        <v>0.90322580645161288</v>
      </c>
      <c r="J386" s="98">
        <v>89.156380004091929</v>
      </c>
      <c r="K386" s="97">
        <v>0</v>
      </c>
      <c r="L386" s="97">
        <v>1</v>
      </c>
      <c r="M386" s="98">
        <v>0</v>
      </c>
      <c r="N386" s="98">
        <v>100</v>
      </c>
      <c r="O386" s="41">
        <f t="shared" si="10"/>
        <v>70.859326311783974</v>
      </c>
      <c r="P386" s="109">
        <f t="shared" si="11"/>
        <v>72.54263673537838</v>
      </c>
    </row>
    <row r="387" spans="1:16" ht="18" x14ac:dyDescent="0.25">
      <c r="A387" s="73" t="s">
        <v>399</v>
      </c>
      <c r="B387" s="74">
        <v>4128302</v>
      </c>
      <c r="C387" s="97">
        <v>65</v>
      </c>
      <c r="D387" s="97">
        <v>116</v>
      </c>
      <c r="E387" s="98">
        <v>0.56034482758620685</v>
      </c>
      <c r="F387" s="98">
        <v>13.88384754990927</v>
      </c>
      <c r="G387" s="97">
        <v>256</v>
      </c>
      <c r="H387" s="97">
        <v>268</v>
      </c>
      <c r="I387" s="98">
        <v>0.95522388059701491</v>
      </c>
      <c r="J387" s="98">
        <v>85.619128127029256</v>
      </c>
      <c r="K387" s="97">
        <v>0</v>
      </c>
      <c r="L387" s="97">
        <v>1</v>
      </c>
      <c r="M387" s="98">
        <v>0</v>
      </c>
      <c r="N387" s="98">
        <v>100</v>
      </c>
      <c r="O387" s="41">
        <f t="shared" ref="O387:O400" si="12">(2*F387+J387+N387)/4</f>
        <v>53.346705806711952</v>
      </c>
      <c r="P387" s="109">
        <f t="shared" ref="P387:P400" si="13">(O387-O$402)/(O$403-O$402)*100</f>
        <v>43.035022813229716</v>
      </c>
    </row>
    <row r="388" spans="1:16" ht="18" x14ac:dyDescent="0.25">
      <c r="A388" s="73" t="s">
        <v>377</v>
      </c>
      <c r="B388" s="74">
        <v>4107553</v>
      </c>
      <c r="C388" s="97">
        <v>37</v>
      </c>
      <c r="D388" s="97">
        <v>161</v>
      </c>
      <c r="E388" s="98">
        <v>0.22981366459627328</v>
      </c>
      <c r="F388" s="98">
        <v>64.681268388362213</v>
      </c>
      <c r="G388" s="97">
        <v>422</v>
      </c>
      <c r="H388" s="97">
        <v>397</v>
      </c>
      <c r="I388" s="98">
        <v>1.0629722921914357</v>
      </c>
      <c r="J388" s="98">
        <v>78.289370680683746</v>
      </c>
      <c r="K388" s="97">
        <v>0</v>
      </c>
      <c r="L388" s="97">
        <v>1</v>
      </c>
      <c r="M388" s="98">
        <v>0</v>
      </c>
      <c r="N388" s="98">
        <v>100</v>
      </c>
      <c r="O388" s="41">
        <f t="shared" si="12"/>
        <v>76.912976864352046</v>
      </c>
      <c r="P388" s="109">
        <f t="shared" si="13"/>
        <v>82.742639828750157</v>
      </c>
    </row>
    <row r="389" spans="1:16" ht="18" x14ac:dyDescent="0.25">
      <c r="A389" s="73" t="s">
        <v>382</v>
      </c>
      <c r="B389" s="74">
        <v>4114351</v>
      </c>
      <c r="C389" s="97">
        <v>45</v>
      </c>
      <c r="D389" s="97">
        <v>168</v>
      </c>
      <c r="E389" s="98">
        <v>0.26785714285714285</v>
      </c>
      <c r="F389" s="98">
        <v>58.834586466165419</v>
      </c>
      <c r="G389" s="97">
        <v>353</v>
      </c>
      <c r="H389" s="97">
        <v>365</v>
      </c>
      <c r="I389" s="98">
        <v>0.9671232876712329</v>
      </c>
      <c r="J389" s="98">
        <v>84.809651993518784</v>
      </c>
      <c r="K389" s="97">
        <v>0</v>
      </c>
      <c r="L389" s="97">
        <v>1</v>
      </c>
      <c r="M389" s="98">
        <v>0</v>
      </c>
      <c r="N389" s="98">
        <v>100</v>
      </c>
      <c r="O389" s="41">
        <f t="shared" si="12"/>
        <v>75.619706231462402</v>
      </c>
      <c r="P389" s="109">
        <f t="shared" si="13"/>
        <v>80.563563857732106</v>
      </c>
    </row>
    <row r="390" spans="1:16" ht="18" x14ac:dyDescent="0.25">
      <c r="A390" s="73" t="s">
        <v>387</v>
      </c>
      <c r="B390" s="74">
        <v>4103404</v>
      </c>
      <c r="C390" s="97">
        <v>55</v>
      </c>
      <c r="D390" s="97">
        <v>149</v>
      </c>
      <c r="E390" s="98">
        <v>0.36912751677852351</v>
      </c>
      <c r="F390" s="98">
        <v>43.270929000353235</v>
      </c>
      <c r="G390" s="97">
        <v>348</v>
      </c>
      <c r="H390" s="97">
        <v>309</v>
      </c>
      <c r="I390" s="98">
        <v>1.1262135922330097</v>
      </c>
      <c r="J390" s="98">
        <v>73.987280440679697</v>
      </c>
      <c r="K390" s="97">
        <v>1</v>
      </c>
      <c r="L390" s="97">
        <v>2</v>
      </c>
      <c r="M390" s="98">
        <v>0.5</v>
      </c>
      <c r="N390" s="98">
        <v>50</v>
      </c>
      <c r="O390" s="41">
        <f t="shared" si="12"/>
        <v>52.632284610346545</v>
      </c>
      <c r="P390" s="109">
        <f t="shared" si="13"/>
        <v>41.831270077649997</v>
      </c>
    </row>
    <row r="391" spans="1:16" ht="18" x14ac:dyDescent="0.25">
      <c r="A391" s="73" t="s">
        <v>400</v>
      </c>
      <c r="B391" s="74">
        <v>4124301</v>
      </c>
      <c r="C391" s="97">
        <v>54</v>
      </c>
      <c r="D391" s="97">
        <v>91</v>
      </c>
      <c r="E391" s="98">
        <v>0.59340659340659341</v>
      </c>
      <c r="F391" s="98">
        <v>8.8027761711972303</v>
      </c>
      <c r="G391" s="97">
        <v>274</v>
      </c>
      <c r="H391" s="97">
        <v>252</v>
      </c>
      <c r="I391" s="98">
        <v>1.0873015873015872</v>
      </c>
      <c r="J391" s="98">
        <v>76.634331600671885</v>
      </c>
      <c r="K391" s="97">
        <v>1</v>
      </c>
      <c r="L391" s="97">
        <v>2</v>
      </c>
      <c r="M391" s="98">
        <v>0.5</v>
      </c>
      <c r="N391" s="98">
        <v>50</v>
      </c>
      <c r="O391" s="41">
        <f t="shared" si="12"/>
        <v>36.059970985766583</v>
      </c>
      <c r="P391" s="109">
        <f t="shared" si="13"/>
        <v>13.908011414605115</v>
      </c>
    </row>
    <row r="392" spans="1:16" ht="18" x14ac:dyDescent="0.25">
      <c r="A392" s="73" t="s">
        <v>403</v>
      </c>
      <c r="B392" s="74">
        <v>4123600</v>
      </c>
      <c r="C392" s="97">
        <v>60</v>
      </c>
      <c r="D392" s="97">
        <v>99</v>
      </c>
      <c r="E392" s="98">
        <v>0.60606060606060608</v>
      </c>
      <c r="F392" s="98">
        <v>6.858054226475284</v>
      </c>
      <c r="G392" s="97">
        <v>199</v>
      </c>
      <c r="H392" s="97">
        <v>199</v>
      </c>
      <c r="I392" s="98">
        <v>1</v>
      </c>
      <c r="J392" s="98">
        <v>82.573161232891962</v>
      </c>
      <c r="K392" s="97">
        <v>0</v>
      </c>
      <c r="L392" s="97">
        <v>2</v>
      </c>
      <c r="M392" s="98">
        <v>0</v>
      </c>
      <c r="N392" s="98">
        <v>100</v>
      </c>
      <c r="O392" s="41">
        <f t="shared" si="12"/>
        <v>49.072317421460632</v>
      </c>
      <c r="P392" s="109">
        <f t="shared" si="13"/>
        <v>35.832959467610856</v>
      </c>
    </row>
    <row r="393" spans="1:16" ht="18" x14ac:dyDescent="0.25">
      <c r="A393" s="73" t="s">
        <v>402</v>
      </c>
      <c r="B393" s="74">
        <v>4107520</v>
      </c>
      <c r="C393" s="97">
        <v>53</v>
      </c>
      <c r="D393" s="97">
        <v>89</v>
      </c>
      <c r="E393" s="98">
        <v>0.5955056179775281</v>
      </c>
      <c r="F393" s="98">
        <v>8.4801892371377932</v>
      </c>
      <c r="G393" s="97">
        <v>237</v>
      </c>
      <c r="H393" s="97">
        <v>224</v>
      </c>
      <c r="I393" s="98">
        <v>1.0580357142857142</v>
      </c>
      <c r="J393" s="98">
        <v>78.625189261472926</v>
      </c>
      <c r="K393" s="97">
        <v>0</v>
      </c>
      <c r="L393" s="97">
        <v>1</v>
      </c>
      <c r="M393" s="98">
        <v>0</v>
      </c>
      <c r="N393" s="98">
        <v>100</v>
      </c>
      <c r="O393" s="41">
        <f t="shared" si="12"/>
        <v>48.896391933937124</v>
      </c>
      <c r="P393" s="109">
        <f t="shared" si="13"/>
        <v>35.536536589983498</v>
      </c>
    </row>
    <row r="394" spans="1:16" ht="18" x14ac:dyDescent="0.25">
      <c r="A394" s="73" t="s">
        <v>369</v>
      </c>
      <c r="B394" s="74">
        <v>4122107</v>
      </c>
      <c r="C394" s="97">
        <v>47</v>
      </c>
      <c r="D394" s="97">
        <v>160</v>
      </c>
      <c r="E394" s="98">
        <v>0.29375000000000001</v>
      </c>
      <c r="F394" s="98">
        <v>54.85526315789474</v>
      </c>
      <c r="G394" s="97">
        <v>394</v>
      </c>
      <c r="H394" s="97">
        <v>372</v>
      </c>
      <c r="I394" s="98">
        <v>1.0591397849462365</v>
      </c>
      <c r="J394" s="98">
        <v>78.550083094936411</v>
      </c>
      <c r="K394" s="97">
        <v>1</v>
      </c>
      <c r="L394" s="97">
        <v>2</v>
      </c>
      <c r="M394" s="98">
        <v>0.5</v>
      </c>
      <c r="N394" s="98">
        <v>50</v>
      </c>
      <c r="O394" s="41">
        <f t="shared" si="12"/>
        <v>59.565152352681473</v>
      </c>
      <c r="P394" s="109">
        <f t="shared" si="13"/>
        <v>53.51269631850807</v>
      </c>
    </row>
    <row r="395" spans="1:16" ht="18" x14ac:dyDescent="0.25">
      <c r="A395" s="73" t="s">
        <v>394</v>
      </c>
      <c r="B395" s="74">
        <v>4101853</v>
      </c>
      <c r="C395" s="97">
        <v>49</v>
      </c>
      <c r="D395" s="97">
        <v>113</v>
      </c>
      <c r="E395" s="98">
        <v>0.4336283185840708</v>
      </c>
      <c r="F395" s="98">
        <v>33.358174196553335</v>
      </c>
      <c r="G395" s="97">
        <v>343</v>
      </c>
      <c r="H395" s="97">
        <v>295</v>
      </c>
      <c r="I395" s="98">
        <v>1.1627118644067798</v>
      </c>
      <c r="J395" s="98">
        <v>71.504427298942147</v>
      </c>
      <c r="K395" s="97">
        <v>1</v>
      </c>
      <c r="L395" s="97">
        <v>2</v>
      </c>
      <c r="M395" s="98">
        <v>0.5</v>
      </c>
      <c r="N395" s="98">
        <v>50</v>
      </c>
      <c r="O395" s="41">
        <f t="shared" si="12"/>
        <v>47.055193923012204</v>
      </c>
      <c r="P395" s="109">
        <f t="shared" si="13"/>
        <v>32.434239018648256</v>
      </c>
    </row>
    <row r="396" spans="1:16" ht="18" x14ac:dyDescent="0.25">
      <c r="A396" s="73" t="s">
        <v>378</v>
      </c>
      <c r="B396" s="74">
        <v>4108551</v>
      </c>
      <c r="C396" s="97">
        <v>48</v>
      </c>
      <c r="D396" s="97">
        <v>139</v>
      </c>
      <c r="E396" s="98">
        <v>0.34532374100719426</v>
      </c>
      <c r="F396" s="98">
        <v>46.929193487315416</v>
      </c>
      <c r="G396" s="97">
        <v>397</v>
      </c>
      <c r="H396" s="97">
        <v>369</v>
      </c>
      <c r="I396" s="98">
        <v>1.075880758807588</v>
      </c>
      <c r="J396" s="98">
        <v>77.411251663423499</v>
      </c>
      <c r="K396" s="97">
        <v>1</v>
      </c>
      <c r="L396" s="97">
        <v>2</v>
      </c>
      <c r="M396" s="98">
        <v>0.5</v>
      </c>
      <c r="N396" s="98">
        <v>50</v>
      </c>
      <c r="O396" s="41">
        <f t="shared" si="12"/>
        <v>55.317409659513586</v>
      </c>
      <c r="P396" s="109">
        <f t="shared" si="13"/>
        <v>46.35552921183065</v>
      </c>
    </row>
    <row r="397" spans="1:16" ht="18" x14ac:dyDescent="0.25">
      <c r="A397" s="73" t="s">
        <v>405</v>
      </c>
      <c r="B397" s="74">
        <v>4116505</v>
      </c>
      <c r="C397" s="97">
        <v>45</v>
      </c>
      <c r="D397" s="97">
        <v>75</v>
      </c>
      <c r="E397" s="98">
        <v>0.6</v>
      </c>
      <c r="F397" s="98">
        <v>7.7894736842105363</v>
      </c>
      <c r="G397" s="97">
        <v>208</v>
      </c>
      <c r="H397" s="97">
        <v>176</v>
      </c>
      <c r="I397" s="98">
        <v>1.1818181818181819</v>
      </c>
      <c r="J397" s="98">
        <v>70.204689602152598</v>
      </c>
      <c r="K397" s="97">
        <v>0</v>
      </c>
      <c r="L397" s="97">
        <v>1</v>
      </c>
      <c r="M397" s="98">
        <v>0</v>
      </c>
      <c r="N397" s="98">
        <v>100</v>
      </c>
      <c r="O397" s="41">
        <f t="shared" si="12"/>
        <v>46.445909242643417</v>
      </c>
      <c r="P397" s="109">
        <f t="shared" si="13"/>
        <v>31.407634398751711</v>
      </c>
    </row>
    <row r="398" spans="1:16" ht="18" x14ac:dyDescent="0.25">
      <c r="A398" s="73" t="s">
        <v>401</v>
      </c>
      <c r="B398" s="74">
        <v>4116000</v>
      </c>
      <c r="C398" s="97">
        <v>49</v>
      </c>
      <c r="D398" s="97">
        <v>94</v>
      </c>
      <c r="E398" s="98">
        <v>0.52127659574468088</v>
      </c>
      <c r="F398" s="98">
        <v>19.888017917133261</v>
      </c>
      <c r="G398" s="97">
        <v>271</v>
      </c>
      <c r="H398" s="97">
        <v>229</v>
      </c>
      <c r="I398" s="98">
        <v>1.1834061135371179</v>
      </c>
      <c r="J398" s="98">
        <v>70.096668015857944</v>
      </c>
      <c r="K398" s="97">
        <v>0</v>
      </c>
      <c r="L398" s="97">
        <v>1</v>
      </c>
      <c r="M398" s="98">
        <v>0</v>
      </c>
      <c r="N398" s="98">
        <v>100</v>
      </c>
      <c r="O398" s="41">
        <f t="shared" si="12"/>
        <v>52.46817596253112</v>
      </c>
      <c r="P398" s="109">
        <f t="shared" si="13"/>
        <v>41.554757797856062</v>
      </c>
    </row>
    <row r="399" spans="1:16" ht="18" x14ac:dyDescent="0.25">
      <c r="A399" s="73" t="s">
        <v>404</v>
      </c>
      <c r="B399" s="74">
        <v>4112603</v>
      </c>
      <c r="C399" s="97">
        <v>39</v>
      </c>
      <c r="D399" s="97">
        <v>72</v>
      </c>
      <c r="E399" s="98">
        <v>0.54166666666666663</v>
      </c>
      <c r="F399" s="98">
        <v>16.754385964912291</v>
      </c>
      <c r="G399" s="97">
        <v>223</v>
      </c>
      <c r="H399" s="97">
        <v>211</v>
      </c>
      <c r="I399" s="98">
        <v>1.0568720379146919</v>
      </c>
      <c r="J399" s="98">
        <v>78.704350201475862</v>
      </c>
      <c r="K399" s="97">
        <v>0</v>
      </c>
      <c r="L399" s="97">
        <v>1</v>
      </c>
      <c r="M399" s="98">
        <v>0</v>
      </c>
      <c r="N399" s="98">
        <v>100</v>
      </c>
      <c r="O399" s="41">
        <f t="shared" si="12"/>
        <v>53.053280532825113</v>
      </c>
      <c r="P399" s="109">
        <f t="shared" si="13"/>
        <v>42.540620522359198</v>
      </c>
    </row>
    <row r="400" spans="1:16" ht="18" x14ac:dyDescent="0.25">
      <c r="A400" s="73" t="s">
        <v>360</v>
      </c>
      <c r="B400" s="74">
        <v>4126652</v>
      </c>
      <c r="C400" s="97">
        <v>0</v>
      </c>
      <c r="D400" s="97">
        <v>209</v>
      </c>
      <c r="E400" s="98">
        <v>0</v>
      </c>
      <c r="F400" s="98">
        <v>100</v>
      </c>
      <c r="G400" s="97">
        <v>441</v>
      </c>
      <c r="H400" s="97">
        <v>415</v>
      </c>
      <c r="I400" s="98">
        <v>1.0626506024096385</v>
      </c>
      <c r="J400" s="98">
        <v>78.311254140854061</v>
      </c>
      <c r="K400" s="97">
        <v>1</v>
      </c>
      <c r="L400" s="97">
        <v>1</v>
      </c>
      <c r="M400" s="98">
        <v>1</v>
      </c>
      <c r="N400" s="98">
        <v>0</v>
      </c>
      <c r="O400" s="41">
        <f t="shared" si="12"/>
        <v>69.577813535213522</v>
      </c>
      <c r="P400" s="109">
        <f t="shared" si="13"/>
        <v>70.383371979062233</v>
      </c>
    </row>
    <row r="402" spans="1:15" ht="16.5" x14ac:dyDescent="0.25">
      <c r="A402" s="19" t="s">
        <v>430</v>
      </c>
      <c r="B402" s="21"/>
      <c r="C402" s="21"/>
      <c r="D402" s="22"/>
      <c r="E402" s="23">
        <f>QUARTILE(E1:E400,0)</f>
        <v>0</v>
      </c>
      <c r="F402" s="25"/>
      <c r="G402" s="26"/>
      <c r="H402" s="27"/>
      <c r="I402" s="20">
        <f>QUARTILE(I1:I400,0)</f>
        <v>0.74382314694408325</v>
      </c>
      <c r="J402" s="20">
        <f t="shared" ref="J402:M402" si="14">QUARTILE(J1:J400,0)</f>
        <v>0</v>
      </c>
      <c r="K402" s="20">
        <f t="shared" si="14"/>
        <v>0</v>
      </c>
      <c r="L402" s="20">
        <f t="shared" si="14"/>
        <v>1</v>
      </c>
      <c r="M402" s="20">
        <f t="shared" si="14"/>
        <v>0</v>
      </c>
      <c r="N402" s="20">
        <f t="shared" ref="N402:O402" si="15">QUARTILE(N1:N400,0)</f>
        <v>0</v>
      </c>
      <c r="O402" s="20">
        <f t="shared" si="15"/>
        <v>27.805636137588067</v>
      </c>
    </row>
    <row r="403" spans="1:15" ht="16.5" x14ac:dyDescent="0.25">
      <c r="A403" s="19" t="s">
        <v>431</v>
      </c>
      <c r="B403" s="21"/>
      <c r="C403" s="21"/>
      <c r="D403" s="22"/>
      <c r="E403" s="23">
        <f>QUARTILE(E2:E400,4)</f>
        <v>0.65068493150684936</v>
      </c>
      <c r="F403" s="24"/>
      <c r="G403" s="21"/>
      <c r="H403" s="22"/>
      <c r="I403" s="20">
        <f>QUARTILE(I2:I400,4)</f>
        <v>2.2138364779874213</v>
      </c>
      <c r="J403" s="20">
        <f t="shared" ref="J403:M403" si="16">QUARTILE(J2:J400,4)</f>
        <v>100</v>
      </c>
      <c r="K403" s="20">
        <f t="shared" si="16"/>
        <v>379</v>
      </c>
      <c r="L403" s="20">
        <f t="shared" si="16"/>
        <v>604</v>
      </c>
      <c r="M403" s="20">
        <f t="shared" si="16"/>
        <v>1</v>
      </c>
      <c r="N403" s="20">
        <f t="shared" ref="N403:O403" si="17">QUARTILE(N2:N400,4)</f>
        <v>100</v>
      </c>
      <c r="O403" s="20">
        <f t="shared" si="17"/>
        <v>87.155133359818223</v>
      </c>
    </row>
  </sheetData>
  <conditionalFormatting sqref="O2:O4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3426-0313-4D9D-A048-FFCC4AE2C85F}">
  <sheetPr>
    <tabColor rgb="FF00B0F0"/>
  </sheetPr>
  <dimension ref="A1:M405"/>
  <sheetViews>
    <sheetView workbookViewId="0">
      <selection activeCell="L2" sqref="L2"/>
    </sheetView>
  </sheetViews>
  <sheetFormatPr defaultRowHeight="15" x14ac:dyDescent="0.25"/>
  <cols>
    <col min="1" max="1" width="24.5703125" bestFit="1" customWidth="1"/>
    <col min="3" max="3" width="19.140625" bestFit="1" customWidth="1"/>
    <col min="4" max="4" width="15.85546875" bestFit="1" customWidth="1"/>
    <col min="5" max="5" width="14.5703125" bestFit="1" customWidth="1"/>
    <col min="6" max="6" width="15.140625" bestFit="1" customWidth="1"/>
    <col min="7" max="7" width="10" bestFit="1" customWidth="1"/>
    <col min="8" max="8" width="22.7109375" bestFit="1" customWidth="1"/>
    <col min="9" max="9" width="18.140625" bestFit="1" customWidth="1"/>
    <col min="10" max="10" width="23.42578125" bestFit="1" customWidth="1"/>
    <col min="11" max="11" width="15.140625" bestFit="1" customWidth="1"/>
    <col min="12" max="12" width="15.140625" customWidth="1"/>
  </cols>
  <sheetData>
    <row r="1" spans="1:13" ht="40.5" x14ac:dyDescent="0.25">
      <c r="A1" s="63"/>
      <c r="B1" s="64" t="s">
        <v>4</v>
      </c>
      <c r="C1" s="39" t="s">
        <v>5</v>
      </c>
      <c r="D1" s="45" t="s">
        <v>441</v>
      </c>
      <c r="E1" s="40" t="s">
        <v>429</v>
      </c>
      <c r="F1" s="40" t="s">
        <v>442</v>
      </c>
      <c r="G1" s="40" t="s">
        <v>424</v>
      </c>
      <c r="H1" s="45" t="s">
        <v>443</v>
      </c>
      <c r="I1" s="47" t="s">
        <v>6</v>
      </c>
      <c r="J1" s="48" t="s">
        <v>444</v>
      </c>
      <c r="K1" s="35" t="s">
        <v>422</v>
      </c>
      <c r="L1" s="129"/>
    </row>
    <row r="2" spans="1:13" ht="18" x14ac:dyDescent="0.25">
      <c r="A2" s="65" t="s">
        <v>7</v>
      </c>
      <c r="B2" s="66">
        <v>4106902</v>
      </c>
      <c r="C2" s="43">
        <v>7.1</v>
      </c>
      <c r="D2" s="42">
        <v>12.778977681785456</v>
      </c>
      <c r="E2" s="44">
        <v>202402</v>
      </c>
      <c r="F2" s="44">
        <v>1773718</v>
      </c>
      <c r="G2" s="44">
        <v>0.11411171336142499</v>
      </c>
      <c r="H2" s="42">
        <v>66.323434149037581</v>
      </c>
      <c r="I2" s="67">
        <v>10.37</v>
      </c>
      <c r="J2" s="44">
        <v>55.573419078242225</v>
      </c>
      <c r="K2" s="41">
        <f t="shared" ref="K2:K65" si="0">(D2+H2+J2)/3</f>
        <v>44.891943636355087</v>
      </c>
      <c r="L2" s="130">
        <f>(K2-K$401)/(K$402-K$401)*100</f>
        <v>29.90225405983405</v>
      </c>
      <c r="M2" s="1" t="str">
        <f>VLOOKUP(A2,CI!A$2:C$400,3,FALSE)</f>
        <v>G2</v>
      </c>
    </row>
    <row r="3" spans="1:13" ht="18" x14ac:dyDescent="0.25">
      <c r="A3" s="65" t="s">
        <v>13</v>
      </c>
      <c r="B3" s="66">
        <v>4108304</v>
      </c>
      <c r="C3" s="43">
        <v>9.14</v>
      </c>
      <c r="D3" s="42">
        <v>16.450683945284378</v>
      </c>
      <c r="E3" s="44">
        <v>39481</v>
      </c>
      <c r="F3" s="44">
        <v>285415</v>
      </c>
      <c r="G3" s="44">
        <v>0.13832839899795035</v>
      </c>
      <c r="H3" s="42">
        <v>80.398533959649839</v>
      </c>
      <c r="I3" s="67">
        <v>14.08</v>
      </c>
      <c r="J3" s="44">
        <v>75.455519828510191</v>
      </c>
      <c r="K3" s="41">
        <f t="shared" si="0"/>
        <v>57.434912577814806</v>
      </c>
      <c r="L3" s="130">
        <f t="shared" ref="L3:L66" si="1">(K3-K$401)/(K$402-K$401)*100</f>
        <v>53.393821239306995</v>
      </c>
      <c r="M3" s="1" t="str">
        <f>VLOOKUP(A3,CI!A$2:C$400,3,FALSE)</f>
        <v>M2</v>
      </c>
    </row>
    <row r="4" spans="1:13" ht="18" x14ac:dyDescent="0.25">
      <c r="A4" s="65" t="s">
        <v>9</v>
      </c>
      <c r="B4" s="66">
        <v>4115200</v>
      </c>
      <c r="C4" s="43">
        <v>7.29</v>
      </c>
      <c r="D4" s="42">
        <v>13.120950323974082</v>
      </c>
      <c r="E4" s="44">
        <v>45546</v>
      </c>
      <c r="F4" s="44">
        <v>409657</v>
      </c>
      <c r="G4" s="44">
        <v>0.11118081712261721</v>
      </c>
      <c r="H4" s="42">
        <v>64.61995342855667</v>
      </c>
      <c r="I4" s="67">
        <v>11.36</v>
      </c>
      <c r="J4" s="44">
        <v>60.878885316184352</v>
      </c>
      <c r="K4" s="41">
        <f t="shared" si="0"/>
        <v>46.206596356238371</v>
      </c>
      <c r="L4" s="130">
        <f t="shared" si="1"/>
        <v>32.364450437019762</v>
      </c>
      <c r="M4" s="1" t="str">
        <f>VLOOKUP(A4,CI!A$2:C$400,3,FALSE)</f>
        <v>M2</v>
      </c>
    </row>
    <row r="5" spans="1:13" ht="18" x14ac:dyDescent="0.25">
      <c r="A5" s="65" t="s">
        <v>11</v>
      </c>
      <c r="B5" s="66">
        <v>4104808</v>
      </c>
      <c r="C5" s="43">
        <v>7.09</v>
      </c>
      <c r="D5" s="42">
        <v>12.760979121670266</v>
      </c>
      <c r="E5" s="44">
        <v>45120</v>
      </c>
      <c r="F5" s="44">
        <v>348051</v>
      </c>
      <c r="G5" s="44">
        <v>0.12963617400898145</v>
      </c>
      <c r="H5" s="42">
        <v>75.346482818865013</v>
      </c>
      <c r="I5" s="67">
        <v>13.61</v>
      </c>
      <c r="J5" s="44">
        <v>72.936763129689169</v>
      </c>
      <c r="K5" s="41">
        <f t="shared" si="0"/>
        <v>53.681408356741485</v>
      </c>
      <c r="L5" s="130">
        <f t="shared" si="1"/>
        <v>46.363930869705435</v>
      </c>
      <c r="M5" s="1" t="str">
        <f>VLOOKUP(A5,CI!A$2:C$400,3,FALSE)</f>
        <v>M2</v>
      </c>
    </row>
    <row r="6" spans="1:13" ht="18" x14ac:dyDescent="0.25">
      <c r="A6" s="65" t="s">
        <v>8</v>
      </c>
      <c r="B6" s="66">
        <v>4113700</v>
      </c>
      <c r="C6" s="43">
        <v>11.84</v>
      </c>
      <c r="D6" s="42">
        <v>21.310295176385889</v>
      </c>
      <c r="E6" s="44">
        <v>66820</v>
      </c>
      <c r="F6" s="44">
        <v>555965</v>
      </c>
      <c r="G6" s="44">
        <v>0.12018742187008175</v>
      </c>
      <c r="H6" s="42">
        <v>69.854726785984894</v>
      </c>
      <c r="I6" s="67">
        <v>11</v>
      </c>
      <c r="J6" s="44">
        <v>58.949624866023576</v>
      </c>
      <c r="K6" s="41">
        <f t="shared" si="0"/>
        <v>50.038215609464793</v>
      </c>
      <c r="L6" s="130">
        <f t="shared" si="1"/>
        <v>39.540641457935671</v>
      </c>
      <c r="M6" s="1" t="str">
        <f>VLOOKUP(A6,CI!A$2:C$400,3,FALSE)</f>
        <v>G1</v>
      </c>
    </row>
    <row r="7" spans="1:13" ht="18" x14ac:dyDescent="0.25">
      <c r="A7" s="65" t="s">
        <v>10</v>
      </c>
      <c r="B7" s="66">
        <v>4119905</v>
      </c>
      <c r="C7" s="43">
        <v>9.08</v>
      </c>
      <c r="D7" s="42">
        <v>16.342692584593234</v>
      </c>
      <c r="E7" s="44">
        <v>50454</v>
      </c>
      <c r="F7" s="44">
        <v>358371</v>
      </c>
      <c r="G7" s="44">
        <v>0.14078706145307515</v>
      </c>
      <c r="H7" s="42">
        <v>81.827545343614432</v>
      </c>
      <c r="I7" s="67">
        <v>13.01</v>
      </c>
      <c r="J7" s="44">
        <v>69.721329046087888</v>
      </c>
      <c r="K7" s="41">
        <f t="shared" si="0"/>
        <v>55.963855658098517</v>
      </c>
      <c r="L7" s="130">
        <f t="shared" si="1"/>
        <v>50.63869742327671</v>
      </c>
      <c r="M7" s="1" t="str">
        <f>VLOOKUP(A7,CI!A$2:C$400,3,FALSE)</f>
        <v>M2</v>
      </c>
    </row>
    <row r="8" spans="1:13" ht="18" x14ac:dyDescent="0.25">
      <c r="A8" s="65" t="s">
        <v>12</v>
      </c>
      <c r="B8" s="66">
        <v>4125506</v>
      </c>
      <c r="C8" s="43">
        <v>9.19</v>
      </c>
      <c r="D8" s="42">
        <v>16.540676745860331</v>
      </c>
      <c r="E8" s="44">
        <v>47016</v>
      </c>
      <c r="F8" s="44">
        <v>329628</v>
      </c>
      <c r="G8" s="44">
        <v>0.14263351414321598</v>
      </c>
      <c r="H8" s="42">
        <v>82.900731257631804</v>
      </c>
      <c r="I8" s="67">
        <v>12.92</v>
      </c>
      <c r="J8" s="44">
        <v>69.239013933547696</v>
      </c>
      <c r="K8" s="41">
        <f t="shared" si="0"/>
        <v>56.226807312346615</v>
      </c>
      <c r="L8" s="130">
        <f t="shared" si="1"/>
        <v>51.131176235873042</v>
      </c>
      <c r="M8" s="1" t="str">
        <f>VLOOKUP(A8,CI!A$2:C$400,3,FALSE)</f>
        <v>M2</v>
      </c>
    </row>
    <row r="9" spans="1:13" ht="18" x14ac:dyDescent="0.25">
      <c r="A9" s="65" t="s">
        <v>14</v>
      </c>
      <c r="B9" s="66">
        <v>4105805</v>
      </c>
      <c r="C9" s="43">
        <v>8.2100000000000009</v>
      </c>
      <c r="D9" s="42">
        <v>14.776817854571636</v>
      </c>
      <c r="E9" s="44">
        <v>33632</v>
      </c>
      <c r="F9" s="44">
        <v>232212</v>
      </c>
      <c r="G9" s="44">
        <v>0.14483316968976626</v>
      </c>
      <c r="H9" s="42">
        <v>84.179203953332376</v>
      </c>
      <c r="I9" s="67">
        <v>12.73</v>
      </c>
      <c r="J9" s="44">
        <v>68.220793140407281</v>
      </c>
      <c r="K9" s="41">
        <f t="shared" si="0"/>
        <v>55.725604982770427</v>
      </c>
      <c r="L9" s="130">
        <f t="shared" si="1"/>
        <v>50.192480760288369</v>
      </c>
      <c r="M9" s="1" t="str">
        <f>VLOOKUP(A9,CI!A$2:C$400,3,FALSE)</f>
        <v>M2</v>
      </c>
    </row>
    <row r="10" spans="1:13" ht="18" x14ac:dyDescent="0.25">
      <c r="A10" s="65" t="s">
        <v>16</v>
      </c>
      <c r="B10" s="66">
        <v>4101804</v>
      </c>
      <c r="C10" s="43">
        <v>6.4</v>
      </c>
      <c r="D10" s="42">
        <v>11.519078473722102</v>
      </c>
      <c r="E10" s="44">
        <v>22332</v>
      </c>
      <c r="F10" s="44">
        <v>151666</v>
      </c>
      <c r="G10" s="44">
        <v>0.14724460327298142</v>
      </c>
      <c r="H10" s="42">
        <v>85.580765210716962</v>
      </c>
      <c r="I10" s="67">
        <v>12.86</v>
      </c>
      <c r="J10" s="44">
        <v>68.917470525187568</v>
      </c>
      <c r="K10" s="41">
        <f t="shared" si="0"/>
        <v>55.339104736542218</v>
      </c>
      <c r="L10" s="130">
        <f t="shared" si="1"/>
        <v>49.468609359384132</v>
      </c>
      <c r="M10" s="1" t="str">
        <f>VLOOKUP(A10,CI!A$2:C$400,3,FALSE)</f>
        <v>M1</v>
      </c>
    </row>
    <row r="11" spans="1:13" ht="18" x14ac:dyDescent="0.25">
      <c r="A11" s="65" t="s">
        <v>15</v>
      </c>
      <c r="B11" s="66">
        <v>4109401</v>
      </c>
      <c r="C11" s="43">
        <v>9.89</v>
      </c>
      <c r="D11" s="42">
        <v>17.800575953923687</v>
      </c>
      <c r="E11" s="44">
        <v>25554</v>
      </c>
      <c r="F11" s="44">
        <v>182093</v>
      </c>
      <c r="G11" s="44">
        <v>0.14033488382310139</v>
      </c>
      <c r="H11" s="42">
        <v>81.564732943539028</v>
      </c>
      <c r="I11" s="67">
        <v>14.27</v>
      </c>
      <c r="J11" s="44">
        <v>76.473740621650592</v>
      </c>
      <c r="K11" s="41">
        <f t="shared" si="0"/>
        <v>58.613016506371103</v>
      </c>
      <c r="L11" s="130">
        <f t="shared" si="1"/>
        <v>55.600277119987865</v>
      </c>
      <c r="M11" s="1" t="str">
        <f>VLOOKUP(A11,CI!A$2:C$400,3,FALSE)</f>
        <v>M1</v>
      </c>
    </row>
    <row r="12" spans="1:13" ht="18" x14ac:dyDescent="0.25">
      <c r="A12" s="65" t="s">
        <v>18</v>
      </c>
      <c r="B12" s="66">
        <v>4107652</v>
      </c>
      <c r="C12" s="43">
        <v>9.92</v>
      </c>
      <c r="D12" s="42">
        <v>17.854571634269259</v>
      </c>
      <c r="E12" s="44">
        <v>24618</v>
      </c>
      <c r="F12" s="44">
        <v>148873</v>
      </c>
      <c r="G12" s="44">
        <v>0.16536242300484305</v>
      </c>
      <c r="H12" s="42">
        <v>96.111112959543831</v>
      </c>
      <c r="I12" s="67">
        <v>12.91</v>
      </c>
      <c r="J12" s="44">
        <v>69.185423365487679</v>
      </c>
      <c r="K12" s="41">
        <f t="shared" si="0"/>
        <v>61.050369319766922</v>
      </c>
      <c r="L12" s="130">
        <f t="shared" si="1"/>
        <v>60.165164239073853</v>
      </c>
      <c r="M12" s="1" t="str">
        <f>VLOOKUP(A12,CI!A$2:C$400,3,FALSE)</f>
        <v>M1</v>
      </c>
    </row>
    <row r="13" spans="1:13" ht="18" x14ac:dyDescent="0.25">
      <c r="A13" s="65" t="s">
        <v>17</v>
      </c>
      <c r="B13" s="66">
        <v>4127700</v>
      </c>
      <c r="C13" s="43">
        <v>7.59</v>
      </c>
      <c r="D13" s="42">
        <v>13.660907127429805</v>
      </c>
      <c r="E13" s="44">
        <v>19560</v>
      </c>
      <c r="F13" s="44">
        <v>150470</v>
      </c>
      <c r="G13" s="44">
        <v>0.12999268957267229</v>
      </c>
      <c r="H13" s="42">
        <v>75.553694995555986</v>
      </c>
      <c r="I13" s="67">
        <v>13.39</v>
      </c>
      <c r="J13" s="44">
        <v>71.757770632368704</v>
      </c>
      <c r="K13" s="41">
        <f t="shared" si="0"/>
        <v>53.657457585118173</v>
      </c>
      <c r="L13" s="130">
        <f t="shared" si="1"/>
        <v>46.319073773812491</v>
      </c>
      <c r="M13" s="1" t="str">
        <f>VLOOKUP(A13,CI!A$2:C$400,3,FALSE)</f>
        <v>M1</v>
      </c>
    </row>
    <row r="14" spans="1:13" ht="18" x14ac:dyDescent="0.25">
      <c r="A14" s="65" t="s">
        <v>19</v>
      </c>
      <c r="B14" s="66">
        <v>4118204</v>
      </c>
      <c r="C14" s="43">
        <v>9.41</v>
      </c>
      <c r="D14" s="42">
        <v>16.93664506839453</v>
      </c>
      <c r="E14" s="44">
        <v>21072</v>
      </c>
      <c r="F14" s="44">
        <v>145829</v>
      </c>
      <c r="G14" s="44">
        <v>0.14449800794080739</v>
      </c>
      <c r="H14" s="42">
        <v>83.984402933073014</v>
      </c>
      <c r="I14" s="67">
        <v>14.54</v>
      </c>
      <c r="J14" s="44">
        <v>77.920685959271168</v>
      </c>
      <c r="K14" s="41">
        <f t="shared" si="0"/>
        <v>59.613911320246238</v>
      </c>
      <c r="L14" s="130">
        <f t="shared" si="1"/>
        <v>57.474840301119158</v>
      </c>
      <c r="M14" s="1" t="str">
        <f>VLOOKUP(A14,CI!A$2:C$400,3,FALSE)</f>
        <v>M1</v>
      </c>
    </row>
    <row r="15" spans="1:13" ht="18" x14ac:dyDescent="0.25">
      <c r="A15" s="65" t="s">
        <v>21</v>
      </c>
      <c r="B15" s="66">
        <v>4101408</v>
      </c>
      <c r="C15" s="43">
        <v>10.63</v>
      </c>
      <c r="D15" s="42">
        <v>19.132469402447803</v>
      </c>
      <c r="E15" s="44">
        <v>16944</v>
      </c>
      <c r="F15" s="44">
        <v>130134</v>
      </c>
      <c r="G15" s="44">
        <v>0.13020425100281249</v>
      </c>
      <c r="H15" s="42">
        <v>75.676657662288875</v>
      </c>
      <c r="I15" s="67">
        <v>11.67</v>
      </c>
      <c r="J15" s="44">
        <v>62.540192926045016</v>
      </c>
      <c r="K15" s="41">
        <f t="shared" si="0"/>
        <v>52.44977333026057</v>
      </c>
      <c r="L15" s="130">
        <f t="shared" si="1"/>
        <v>44.057217275802422</v>
      </c>
      <c r="M15" s="1" t="str">
        <f>VLOOKUP(A15,CI!A$2:C$400,3,FALSE)</f>
        <v>M1</v>
      </c>
    </row>
    <row r="16" spans="1:13" ht="18" x14ac:dyDescent="0.25">
      <c r="A16" s="65" t="s">
        <v>20</v>
      </c>
      <c r="B16" s="66">
        <v>4104204</v>
      </c>
      <c r="C16" s="43">
        <v>10.7</v>
      </c>
      <c r="D16" s="42">
        <v>19.258459323254137</v>
      </c>
      <c r="E16" s="44">
        <v>18537</v>
      </c>
      <c r="F16" s="44">
        <v>136327</v>
      </c>
      <c r="G16" s="44">
        <v>0.13597453182421676</v>
      </c>
      <c r="H16" s="42">
        <v>79.030431160262054</v>
      </c>
      <c r="I16" s="67">
        <v>11.42</v>
      </c>
      <c r="J16" s="44">
        <v>61.200428724544473</v>
      </c>
      <c r="K16" s="41">
        <f t="shared" si="0"/>
        <v>53.163106402686886</v>
      </c>
      <c r="L16" s="130">
        <f t="shared" si="1"/>
        <v>45.393209724675728</v>
      </c>
      <c r="M16" s="1" t="str">
        <f>VLOOKUP(A16,CI!A$2:C$400,3,FALSE)</f>
        <v>M1</v>
      </c>
    </row>
    <row r="17" spans="1:13" ht="18" x14ac:dyDescent="0.25">
      <c r="A17" s="65" t="s">
        <v>22</v>
      </c>
      <c r="B17" s="66">
        <v>4119152</v>
      </c>
      <c r="C17" s="43">
        <v>10.53</v>
      </c>
      <c r="D17" s="42">
        <v>18.952483801295894</v>
      </c>
      <c r="E17" s="44">
        <v>16795</v>
      </c>
      <c r="F17" s="44">
        <v>127019</v>
      </c>
      <c r="G17" s="44">
        <v>0.13222431289807038</v>
      </c>
      <c r="H17" s="42">
        <v>76.850747842345768</v>
      </c>
      <c r="I17" s="67">
        <v>11.69</v>
      </c>
      <c r="J17" s="44">
        <v>62.647374062165049</v>
      </c>
      <c r="K17" s="41">
        <f t="shared" si="0"/>
        <v>52.816868568602239</v>
      </c>
      <c r="L17" s="130">
        <f t="shared" si="1"/>
        <v>44.744745283965088</v>
      </c>
      <c r="M17" s="1" t="str">
        <f>VLOOKUP(A17,CI!A$2:C$400,3,FALSE)</f>
        <v>M1</v>
      </c>
    </row>
    <row r="18" spans="1:13" ht="18" x14ac:dyDescent="0.25">
      <c r="A18" s="65" t="s">
        <v>25</v>
      </c>
      <c r="B18" s="66">
        <v>4119509</v>
      </c>
      <c r="C18" s="43">
        <v>6.97</v>
      </c>
      <c r="D18" s="42">
        <v>12.544996400287975</v>
      </c>
      <c r="E18" s="44">
        <v>18220</v>
      </c>
      <c r="F18" s="44">
        <v>118730</v>
      </c>
      <c r="G18" s="44">
        <v>0.15345742440832141</v>
      </c>
      <c r="H18" s="42">
        <v>89.19174975657485</v>
      </c>
      <c r="I18" s="67">
        <v>12.48</v>
      </c>
      <c r="J18" s="44">
        <v>66.881028938906752</v>
      </c>
      <c r="K18" s="41">
        <f t="shared" si="0"/>
        <v>56.205925031923186</v>
      </c>
      <c r="L18" s="130">
        <f t="shared" si="1"/>
        <v>51.092066078164997</v>
      </c>
      <c r="M18" s="1" t="str">
        <f>VLOOKUP(A18,CI!A$2:C$400,3,FALSE)</f>
        <v>M1</v>
      </c>
    </row>
    <row r="19" spans="1:13" ht="18" x14ac:dyDescent="0.25">
      <c r="A19" s="65" t="s">
        <v>26</v>
      </c>
      <c r="B19" s="66">
        <v>4126256</v>
      </c>
      <c r="C19" s="43">
        <v>10.78</v>
      </c>
      <c r="D19" s="42">
        <v>19.402447804175662</v>
      </c>
      <c r="E19" s="44">
        <v>16897</v>
      </c>
      <c r="F19" s="44">
        <v>118455</v>
      </c>
      <c r="G19" s="44">
        <v>0.14264488624372124</v>
      </c>
      <c r="H19" s="42">
        <v>82.907340892495554</v>
      </c>
      <c r="I19" s="67">
        <v>12.6</v>
      </c>
      <c r="J19" s="44">
        <v>67.524115755627008</v>
      </c>
      <c r="K19" s="41">
        <f t="shared" si="0"/>
        <v>56.611301484099407</v>
      </c>
      <c r="L19" s="130">
        <f t="shared" si="1"/>
        <v>51.851290485378264</v>
      </c>
      <c r="M19" s="1" t="str">
        <f>VLOOKUP(A19,CI!A$2:C$400,3,FALSE)</f>
        <v>M1</v>
      </c>
    </row>
    <row r="20" spans="1:13" ht="18" x14ac:dyDescent="0.25">
      <c r="A20" s="65" t="s">
        <v>23</v>
      </c>
      <c r="B20" s="66">
        <v>4100400</v>
      </c>
      <c r="C20" s="43">
        <v>7.54</v>
      </c>
      <c r="D20" s="42">
        <v>13.570914326853851</v>
      </c>
      <c r="E20" s="44">
        <v>18915</v>
      </c>
      <c r="F20" s="44">
        <v>119825</v>
      </c>
      <c r="G20" s="44">
        <v>0.15785520550803256</v>
      </c>
      <c r="H20" s="42">
        <v>91.747805892939681</v>
      </c>
      <c r="I20" s="67">
        <v>13.09</v>
      </c>
      <c r="J20" s="44">
        <v>70.150053590568064</v>
      </c>
      <c r="K20" s="41">
        <f t="shared" si="0"/>
        <v>58.489591270120535</v>
      </c>
      <c r="L20" s="130">
        <f t="shared" si="1"/>
        <v>55.369115563058649</v>
      </c>
      <c r="M20" s="1" t="str">
        <f>VLOOKUP(A20,CI!A$2:C$400,3,FALSE)</f>
        <v>M1</v>
      </c>
    </row>
    <row r="21" spans="1:13" ht="18" x14ac:dyDescent="0.25">
      <c r="A21" s="65" t="s">
        <v>24</v>
      </c>
      <c r="B21" s="66">
        <v>4101507</v>
      </c>
      <c r="C21" s="43">
        <v>8.01</v>
      </c>
      <c r="D21" s="42">
        <v>14.416846652267818</v>
      </c>
      <c r="E21" s="44">
        <v>15470</v>
      </c>
      <c r="F21" s="44">
        <v>119138</v>
      </c>
      <c r="G21" s="44">
        <v>0.12984941832161023</v>
      </c>
      <c r="H21" s="42">
        <v>75.470423602064869</v>
      </c>
      <c r="I21" s="67">
        <v>12.73</v>
      </c>
      <c r="J21" s="44">
        <v>68.220793140407281</v>
      </c>
      <c r="K21" s="41">
        <f t="shared" si="0"/>
        <v>52.702687798246664</v>
      </c>
      <c r="L21" s="130">
        <f t="shared" si="1"/>
        <v>44.530897569765152</v>
      </c>
      <c r="M21" s="1" t="str">
        <f>VLOOKUP(A21,CI!A$2:C$400,3,FALSE)</f>
        <v>M1</v>
      </c>
    </row>
    <row r="22" spans="1:13" ht="18" x14ac:dyDescent="0.25">
      <c r="A22" s="65" t="s">
        <v>27</v>
      </c>
      <c r="B22" s="66">
        <v>4128104</v>
      </c>
      <c r="C22" s="43">
        <v>14.61</v>
      </c>
      <c r="D22" s="42">
        <v>26.295896328293733</v>
      </c>
      <c r="E22" s="44">
        <v>14786</v>
      </c>
      <c r="F22" s="44">
        <v>117095</v>
      </c>
      <c r="G22" s="44">
        <v>0.12627353857978565</v>
      </c>
      <c r="H22" s="42">
        <v>73.392068825017475</v>
      </c>
      <c r="I22" s="67">
        <v>12.93</v>
      </c>
      <c r="J22" s="44">
        <v>69.292604501607713</v>
      </c>
      <c r="K22" s="41">
        <f t="shared" si="0"/>
        <v>56.326856551639644</v>
      </c>
      <c r="L22" s="130">
        <f t="shared" si="1"/>
        <v>51.318557185078674</v>
      </c>
      <c r="M22" s="1" t="str">
        <f>VLOOKUP(A22,CI!A$2:C$400,3,FALSE)</f>
        <v>M1</v>
      </c>
    </row>
    <row r="23" spans="1:13" ht="18" x14ac:dyDescent="0.25">
      <c r="A23" s="65" t="s">
        <v>30</v>
      </c>
      <c r="B23" s="66">
        <v>4108403</v>
      </c>
      <c r="C23" s="43">
        <v>9.4</v>
      </c>
      <c r="D23" s="42">
        <v>16.918646508279338</v>
      </c>
      <c r="E23" s="44">
        <v>12385</v>
      </c>
      <c r="F23" s="44">
        <v>96666</v>
      </c>
      <c r="G23" s="44">
        <v>0.12812157325222934</v>
      </c>
      <c r="H23" s="42">
        <v>74.466174210805079</v>
      </c>
      <c r="I23" s="67">
        <v>13.1</v>
      </c>
      <c r="J23" s="44">
        <v>70.20364415862808</v>
      </c>
      <c r="K23" s="41">
        <f t="shared" si="0"/>
        <v>53.862821625904168</v>
      </c>
      <c r="L23" s="130">
        <f t="shared" si="1"/>
        <v>46.703697476772149</v>
      </c>
      <c r="M23" s="1" t="str">
        <f>VLOOKUP(A23,CI!A$2:C$400,3,FALSE)</f>
        <v>P4</v>
      </c>
    </row>
    <row r="24" spans="1:13" ht="18" x14ac:dyDescent="0.25">
      <c r="A24" s="65" t="s">
        <v>29</v>
      </c>
      <c r="B24" s="66">
        <v>4104303</v>
      </c>
      <c r="C24" s="43">
        <v>11.97</v>
      </c>
      <c r="D24" s="42">
        <v>21.544276457883367</v>
      </c>
      <c r="E24" s="44">
        <v>12740</v>
      </c>
      <c r="F24" s="44">
        <v>99432</v>
      </c>
      <c r="G24" s="44">
        <v>0.12812776570922843</v>
      </c>
      <c r="H24" s="42">
        <v>74.469773359410439</v>
      </c>
      <c r="I24" s="67">
        <v>11.98</v>
      </c>
      <c r="J24" s="44">
        <v>64.20150053590568</v>
      </c>
      <c r="K24" s="41">
        <f t="shared" si="0"/>
        <v>53.405183451066499</v>
      </c>
      <c r="L24" s="130">
        <f t="shared" si="1"/>
        <v>45.846592753140477</v>
      </c>
      <c r="M24" s="1" t="str">
        <f>VLOOKUP(A24,CI!A$2:C$400,3,FALSE)</f>
        <v>P4</v>
      </c>
    </row>
    <row r="25" spans="1:13" ht="18" x14ac:dyDescent="0.25">
      <c r="A25" s="65" t="s">
        <v>28</v>
      </c>
      <c r="B25" s="66">
        <v>4103701</v>
      </c>
      <c r="C25" s="43">
        <v>7.26</v>
      </c>
      <c r="D25" s="42">
        <v>13.06695464362851</v>
      </c>
      <c r="E25" s="44">
        <v>13404</v>
      </c>
      <c r="F25" s="44">
        <v>107208</v>
      </c>
      <c r="G25" s="44">
        <v>0.12502798298634429</v>
      </c>
      <c r="H25" s="42">
        <v>72.668133288978993</v>
      </c>
      <c r="I25" s="67">
        <v>11.76</v>
      </c>
      <c r="J25" s="44">
        <v>63.022508038585215</v>
      </c>
      <c r="K25" s="41">
        <f t="shared" si="0"/>
        <v>49.5858653237309</v>
      </c>
      <c r="L25" s="130">
        <f t="shared" si="1"/>
        <v>38.693440354626965</v>
      </c>
      <c r="M25" s="1" t="str">
        <f>VLOOKUP(A25,CI!A$2:C$400,3,FALSE)</f>
        <v>M1</v>
      </c>
    </row>
    <row r="26" spans="1:13" ht="18" x14ac:dyDescent="0.25">
      <c r="A26" s="65" t="s">
        <v>32</v>
      </c>
      <c r="B26" s="66">
        <v>4118501</v>
      </c>
      <c r="C26" s="43">
        <v>5.94</v>
      </c>
      <c r="D26" s="42">
        <v>10.691144708423327</v>
      </c>
      <c r="E26" s="44">
        <v>11949</v>
      </c>
      <c r="F26" s="44">
        <v>91836</v>
      </c>
      <c r="G26" s="44">
        <v>0.13011237423232719</v>
      </c>
      <c r="H26" s="42">
        <v>75.623257509424562</v>
      </c>
      <c r="I26" s="67">
        <v>14.46</v>
      </c>
      <c r="J26" s="44">
        <v>77.491961414791007</v>
      </c>
      <c r="K26" s="41">
        <f t="shared" si="0"/>
        <v>54.602121210879631</v>
      </c>
      <c r="L26" s="130">
        <f t="shared" si="1"/>
        <v>48.088322277109604</v>
      </c>
      <c r="M26" s="1" t="str">
        <f>VLOOKUP(A26,CI!A$2:C$400,3,FALSE)</f>
        <v>P4</v>
      </c>
    </row>
    <row r="27" spans="1:13" ht="18" x14ac:dyDescent="0.25">
      <c r="A27" s="65" t="s">
        <v>33</v>
      </c>
      <c r="B27" s="66">
        <v>4105508</v>
      </c>
      <c r="C27" s="43">
        <v>10.76</v>
      </c>
      <c r="D27" s="42">
        <v>19.366450683945281</v>
      </c>
      <c r="E27" s="44">
        <v>10122</v>
      </c>
      <c r="F27" s="44">
        <v>79527</v>
      </c>
      <c r="G27" s="44">
        <v>0.12727752838658568</v>
      </c>
      <c r="H27" s="42">
        <v>73.975602713661345</v>
      </c>
      <c r="I27" s="67">
        <v>12.21</v>
      </c>
      <c r="J27" s="44">
        <v>65.434083601286176</v>
      </c>
      <c r="K27" s="41">
        <f t="shared" si="0"/>
        <v>52.925378999630937</v>
      </c>
      <c r="L27" s="130">
        <f t="shared" si="1"/>
        <v>44.947973091678008</v>
      </c>
      <c r="M27" s="1" t="str">
        <f>VLOOKUP(A27,CI!A$2:C$400,3,FALSE)</f>
        <v>P4</v>
      </c>
    </row>
    <row r="28" spans="1:13" ht="18" x14ac:dyDescent="0.25">
      <c r="A28" s="65" t="s">
        <v>43</v>
      </c>
      <c r="B28" s="66">
        <v>4117602</v>
      </c>
      <c r="C28" s="43">
        <v>16.03</v>
      </c>
      <c r="D28" s="42">
        <v>28.851691864650832</v>
      </c>
      <c r="E28" s="44">
        <v>7729</v>
      </c>
      <c r="F28" s="44">
        <v>48247</v>
      </c>
      <c r="G28" s="44">
        <v>0.1601964889008643</v>
      </c>
      <c r="H28" s="42">
        <v>93.108594810698605</v>
      </c>
      <c r="I28" s="67">
        <v>16.809999999999999</v>
      </c>
      <c r="J28" s="44">
        <v>90.085744908896032</v>
      </c>
      <c r="K28" s="41">
        <f t="shared" si="0"/>
        <v>70.682010528081818</v>
      </c>
      <c r="L28" s="130">
        <f t="shared" si="1"/>
        <v>78.204142693833361</v>
      </c>
      <c r="M28" s="1" t="str">
        <f>VLOOKUP(A28,CI!A$2:C$400,3,FALSE)</f>
        <v>P3</v>
      </c>
    </row>
    <row r="29" spans="1:13" ht="18" x14ac:dyDescent="0.25">
      <c r="A29" s="65" t="s">
        <v>31</v>
      </c>
      <c r="B29" s="66">
        <v>4118402</v>
      </c>
      <c r="C29" s="43">
        <v>9.23</v>
      </c>
      <c r="D29" s="42">
        <v>16.612670986321092</v>
      </c>
      <c r="E29" s="44">
        <v>11985</v>
      </c>
      <c r="F29" s="44">
        <v>92001</v>
      </c>
      <c r="G29" s="44">
        <v>0.13027032314866144</v>
      </c>
      <c r="H29" s="42">
        <v>75.715059781450989</v>
      </c>
      <c r="I29" s="67">
        <v>12.34</v>
      </c>
      <c r="J29" s="44">
        <v>66.130760986066448</v>
      </c>
      <c r="K29" s="41">
        <f t="shared" si="0"/>
        <v>52.819497251279508</v>
      </c>
      <c r="L29" s="130">
        <f t="shared" si="1"/>
        <v>44.749668510355484</v>
      </c>
      <c r="M29" s="1" t="str">
        <f>VLOOKUP(A29,CI!A$2:C$400,3,FALSE)</f>
        <v>P4</v>
      </c>
    </row>
    <row r="30" spans="1:13" ht="18" x14ac:dyDescent="0.25">
      <c r="A30" s="65" t="s">
        <v>35</v>
      </c>
      <c r="B30" s="66">
        <v>4104907</v>
      </c>
      <c r="C30" s="43">
        <v>8.8800000000000008</v>
      </c>
      <c r="D30" s="42">
        <v>15.982721382289416</v>
      </c>
      <c r="E30" s="44">
        <v>11291</v>
      </c>
      <c r="F30" s="44">
        <v>73075</v>
      </c>
      <c r="G30" s="44">
        <v>0.15451248717071503</v>
      </c>
      <c r="H30" s="42">
        <v>89.804968010717474</v>
      </c>
      <c r="I30" s="67">
        <v>13.32</v>
      </c>
      <c r="J30" s="44">
        <v>71.382636655948545</v>
      </c>
      <c r="K30" s="41">
        <f t="shared" si="0"/>
        <v>59.056775349651808</v>
      </c>
      <c r="L30" s="130">
        <f t="shared" si="1"/>
        <v>56.431387419875179</v>
      </c>
      <c r="M30" s="1" t="str">
        <f>VLOOKUP(A30,CI!A$2:C$400,3,FALSE)</f>
        <v>P4</v>
      </c>
    </row>
    <row r="31" spans="1:13" ht="18" x14ac:dyDescent="0.25">
      <c r="A31" s="65" t="s">
        <v>34</v>
      </c>
      <c r="B31" s="66">
        <v>4127106</v>
      </c>
      <c r="C31" s="43">
        <v>9.6199999999999992</v>
      </c>
      <c r="D31" s="42">
        <v>17.314614830813532</v>
      </c>
      <c r="E31" s="44">
        <v>11019</v>
      </c>
      <c r="F31" s="44">
        <v>75042</v>
      </c>
      <c r="G31" s="44">
        <v>0.14683777084832494</v>
      </c>
      <c r="H31" s="42">
        <v>85.344308122031109</v>
      </c>
      <c r="I31" s="67">
        <v>13.89</v>
      </c>
      <c r="J31" s="44">
        <v>74.437299035369776</v>
      </c>
      <c r="K31" s="41">
        <f t="shared" si="0"/>
        <v>59.032073996071482</v>
      </c>
      <c r="L31" s="130">
        <f t="shared" si="1"/>
        <v>56.385124568570646</v>
      </c>
      <c r="M31" s="1" t="str">
        <f>VLOOKUP(A31,CI!A$2:C$400,3,FALSE)</f>
        <v>P4</v>
      </c>
    </row>
    <row r="32" spans="1:13" ht="18" x14ac:dyDescent="0.25">
      <c r="A32" s="65" t="s">
        <v>36</v>
      </c>
      <c r="B32" s="66">
        <v>4122404</v>
      </c>
      <c r="C32" s="43">
        <v>12.23</v>
      </c>
      <c r="D32" s="42">
        <v>22.012239020878329</v>
      </c>
      <c r="E32" s="44">
        <v>9508</v>
      </c>
      <c r="F32" s="44">
        <v>71670</v>
      </c>
      <c r="G32" s="44">
        <v>0.13266359704199804</v>
      </c>
      <c r="H32" s="42">
        <v>77.106066355531382</v>
      </c>
      <c r="I32" s="67">
        <v>13.14</v>
      </c>
      <c r="J32" s="44">
        <v>70.418006430868175</v>
      </c>
      <c r="K32" s="41">
        <f t="shared" si="0"/>
        <v>56.512103935759292</v>
      </c>
      <c r="L32" s="130">
        <f t="shared" si="1"/>
        <v>51.665504657338126</v>
      </c>
      <c r="M32" s="1" t="str">
        <f>VLOOKUP(A32,CI!A$2:C$400,3,FALSE)</f>
        <v>P4</v>
      </c>
    </row>
    <row r="33" spans="1:13" ht="18" x14ac:dyDescent="0.25">
      <c r="A33" s="65" t="s">
        <v>41</v>
      </c>
      <c r="B33" s="66">
        <v>4109807</v>
      </c>
      <c r="C33" s="43">
        <v>19.23</v>
      </c>
      <c r="D33" s="42">
        <v>34.611231101511883</v>
      </c>
      <c r="E33" s="44">
        <v>6836</v>
      </c>
      <c r="F33" s="44">
        <v>51603</v>
      </c>
      <c r="G33" s="44">
        <v>0.13247291824118754</v>
      </c>
      <c r="H33" s="42">
        <v>76.995240985228548</v>
      </c>
      <c r="I33" s="67">
        <v>12.13</v>
      </c>
      <c r="J33" s="44">
        <v>65.005359056806014</v>
      </c>
      <c r="K33" s="41">
        <f t="shared" si="0"/>
        <v>58.870610381182154</v>
      </c>
      <c r="L33" s="130">
        <f t="shared" si="1"/>
        <v>56.082721415543958</v>
      </c>
      <c r="M33" s="1" t="str">
        <f>VLOOKUP(A33,CI!A$2:C$400,3,FALSE)</f>
        <v>P3</v>
      </c>
    </row>
    <row r="34" spans="1:13" ht="18" x14ac:dyDescent="0.25">
      <c r="A34" s="65" t="s">
        <v>45</v>
      </c>
      <c r="B34" s="66">
        <v>4117503</v>
      </c>
      <c r="C34" s="43">
        <v>11.13</v>
      </c>
      <c r="D34" s="42">
        <v>20.032397408207345</v>
      </c>
      <c r="E34" s="44">
        <v>6371</v>
      </c>
      <c r="F34" s="44">
        <v>45962</v>
      </c>
      <c r="G34" s="44">
        <v>0.13861450763674341</v>
      </c>
      <c r="H34" s="42">
        <v>80.564824578776381</v>
      </c>
      <c r="I34" s="67">
        <v>13.08</v>
      </c>
      <c r="J34" s="44">
        <v>70.096463022508033</v>
      </c>
      <c r="K34" s="41">
        <f t="shared" si="0"/>
        <v>56.897895003163917</v>
      </c>
      <c r="L34" s="130">
        <f t="shared" si="1"/>
        <v>52.388047846233377</v>
      </c>
      <c r="M34" s="1" t="str">
        <f>VLOOKUP(A34,CI!A$2:C$400,3,FALSE)</f>
        <v>P3</v>
      </c>
    </row>
    <row r="35" spans="1:13" ht="18" x14ac:dyDescent="0.25">
      <c r="A35" s="65" t="s">
        <v>40</v>
      </c>
      <c r="B35" s="66">
        <v>4115804</v>
      </c>
      <c r="C35" s="43">
        <v>13.85</v>
      </c>
      <c r="D35" s="42">
        <v>24.928005759539236</v>
      </c>
      <c r="E35" s="44">
        <v>6921</v>
      </c>
      <c r="F35" s="44">
        <v>54369</v>
      </c>
      <c r="G35" s="44">
        <v>0.12729680516470784</v>
      </c>
      <c r="H35" s="42">
        <v>73.986806665356838</v>
      </c>
      <c r="I35" s="67">
        <v>14.16</v>
      </c>
      <c r="J35" s="44">
        <v>75.884244372990352</v>
      </c>
      <c r="K35" s="41">
        <f t="shared" si="0"/>
        <v>58.266352265962134</v>
      </c>
      <c r="L35" s="130">
        <f t="shared" si="1"/>
        <v>54.951014068289631</v>
      </c>
      <c r="M35" s="1" t="str">
        <f>VLOOKUP(A35,CI!A$2:C$400,3,FALSE)</f>
        <v>P3</v>
      </c>
    </row>
    <row r="36" spans="1:13" ht="18" x14ac:dyDescent="0.25">
      <c r="A36" s="65" t="s">
        <v>38</v>
      </c>
      <c r="B36" s="66">
        <v>4114609</v>
      </c>
      <c r="C36" s="43">
        <v>8.06</v>
      </c>
      <c r="D36" s="42">
        <v>14.506839452843773</v>
      </c>
      <c r="E36" s="44">
        <v>6945</v>
      </c>
      <c r="F36" s="44">
        <v>55836</v>
      </c>
      <c r="G36" s="44">
        <v>0.12438211906297013</v>
      </c>
      <c r="H36" s="42">
        <v>72.292747518935627</v>
      </c>
      <c r="I36" s="67">
        <v>13.11</v>
      </c>
      <c r="J36" s="44">
        <v>70.257234726688097</v>
      </c>
      <c r="K36" s="41">
        <f t="shared" si="0"/>
        <v>52.35227389948917</v>
      </c>
      <c r="L36" s="130">
        <f t="shared" si="1"/>
        <v>43.874611830583156</v>
      </c>
      <c r="M36" s="1" t="str">
        <f>VLOOKUP(A36,CI!A$2:C$400,3,FALSE)</f>
        <v>P3</v>
      </c>
    </row>
    <row r="37" spans="1:13" ht="18" x14ac:dyDescent="0.25">
      <c r="A37" s="65" t="s">
        <v>39</v>
      </c>
      <c r="B37" s="66">
        <v>4128203</v>
      </c>
      <c r="C37" s="43">
        <v>6.39</v>
      </c>
      <c r="D37" s="42">
        <v>11.50107991360691</v>
      </c>
      <c r="E37" s="44">
        <v>7207</v>
      </c>
      <c r="F37" s="44">
        <v>55033</v>
      </c>
      <c r="G37" s="44">
        <v>0.13095778896298585</v>
      </c>
      <c r="H37" s="42">
        <v>76.114625192598979</v>
      </c>
      <c r="I37" s="67">
        <v>13.65</v>
      </c>
      <c r="J37" s="44">
        <v>73.151125401929264</v>
      </c>
      <c r="K37" s="41">
        <f t="shared" si="0"/>
        <v>53.588943502711722</v>
      </c>
      <c r="L37" s="130">
        <f t="shared" si="1"/>
        <v>46.190754619304258</v>
      </c>
      <c r="M37" s="1" t="str">
        <f>VLOOKUP(A37,CI!A$2:C$400,3,FALSE)</f>
        <v>P3</v>
      </c>
    </row>
    <row r="38" spans="1:13" ht="18" x14ac:dyDescent="0.25">
      <c r="A38" s="65" t="s">
        <v>51</v>
      </c>
      <c r="B38" s="66">
        <v>4109609</v>
      </c>
      <c r="C38" s="43">
        <v>11.17</v>
      </c>
      <c r="D38" s="42">
        <v>20.104391648668106</v>
      </c>
      <c r="E38" s="44">
        <v>6175</v>
      </c>
      <c r="F38" s="44">
        <v>42062</v>
      </c>
      <c r="G38" s="44">
        <v>0.14680709428938235</v>
      </c>
      <c r="H38" s="42">
        <v>85.326478447258779</v>
      </c>
      <c r="I38" s="67">
        <v>12.22</v>
      </c>
      <c r="J38" s="44">
        <v>65.487674169346207</v>
      </c>
      <c r="K38" s="41">
        <f t="shared" si="0"/>
        <v>56.972848088424364</v>
      </c>
      <c r="L38" s="130">
        <f t="shared" si="1"/>
        <v>52.528426527383132</v>
      </c>
      <c r="M38" s="1" t="str">
        <f>VLOOKUP(A38,CI!A$2:C$400,3,FALSE)</f>
        <v>P3</v>
      </c>
    </row>
    <row r="39" spans="1:13" ht="18" x14ac:dyDescent="0.25">
      <c r="A39" s="65" t="s">
        <v>48</v>
      </c>
      <c r="B39" s="66">
        <v>4107207</v>
      </c>
      <c r="C39" s="43">
        <v>4.66</v>
      </c>
      <c r="D39" s="42">
        <v>8.3873290136789063</v>
      </c>
      <c r="E39" s="44">
        <v>5782</v>
      </c>
      <c r="F39" s="44">
        <v>44869</v>
      </c>
      <c r="G39" s="44">
        <v>0.12886402638792929</v>
      </c>
      <c r="H39" s="42">
        <v>74.897699075376849</v>
      </c>
      <c r="I39" s="67">
        <v>14.42</v>
      </c>
      <c r="J39" s="44">
        <v>77.277599142550912</v>
      </c>
      <c r="K39" s="41">
        <f t="shared" si="0"/>
        <v>53.520875743868885</v>
      </c>
      <c r="L39" s="130">
        <f t="shared" si="1"/>
        <v>46.06327137852805</v>
      </c>
      <c r="M39" s="1" t="str">
        <f>VLOOKUP(A39,CI!A$2:C$400,3,FALSE)</f>
        <v>P3</v>
      </c>
    </row>
    <row r="40" spans="1:13" ht="18" x14ac:dyDescent="0.25">
      <c r="A40" s="65" t="s">
        <v>53</v>
      </c>
      <c r="B40" s="66">
        <v>4111803</v>
      </c>
      <c r="C40" s="43">
        <v>5.26</v>
      </c>
      <c r="D40" s="42">
        <v>9.4672426205903513</v>
      </c>
      <c r="E40" s="44">
        <v>5336</v>
      </c>
      <c r="F40" s="44">
        <v>40375</v>
      </c>
      <c r="G40" s="44">
        <v>0.13216099071207429</v>
      </c>
      <c r="H40" s="42">
        <v>76.813944040971037</v>
      </c>
      <c r="I40" s="67">
        <v>12.93</v>
      </c>
      <c r="J40" s="44">
        <v>69.292604501607713</v>
      </c>
      <c r="K40" s="41">
        <f t="shared" si="0"/>
        <v>51.857930387723037</v>
      </c>
      <c r="L40" s="130">
        <f t="shared" si="1"/>
        <v>42.94876214773771</v>
      </c>
      <c r="M40" s="1" t="str">
        <f>VLOOKUP(A40,CI!A$2:C$400,3,FALSE)</f>
        <v>P3</v>
      </c>
    </row>
    <row r="41" spans="1:13" ht="18" x14ac:dyDescent="0.25">
      <c r="A41" s="65" t="s">
        <v>44</v>
      </c>
      <c r="B41" s="66">
        <v>4104006</v>
      </c>
      <c r="C41" s="43">
        <v>8.8000000000000007</v>
      </c>
      <c r="D41" s="42">
        <v>15.838732901367891</v>
      </c>
      <c r="E41" s="44">
        <v>7203</v>
      </c>
      <c r="F41" s="44">
        <v>47825</v>
      </c>
      <c r="G41" s="44">
        <v>0.15061160480920022</v>
      </c>
      <c r="H41" s="42">
        <v>87.537716851253862</v>
      </c>
      <c r="I41" s="67">
        <v>14.53</v>
      </c>
      <c r="J41" s="44">
        <v>77.867095391211137</v>
      </c>
      <c r="K41" s="41">
        <f t="shared" si="0"/>
        <v>60.414515047944292</v>
      </c>
      <c r="L41" s="130">
        <f t="shared" si="1"/>
        <v>58.974280851528945</v>
      </c>
      <c r="M41" s="1" t="str">
        <f>VLOOKUP(A41,CI!A$2:C$400,3,FALSE)</f>
        <v>P3</v>
      </c>
    </row>
    <row r="42" spans="1:13" ht="18" x14ac:dyDescent="0.25">
      <c r="A42" s="65" t="s">
        <v>37</v>
      </c>
      <c r="B42" s="66">
        <v>4110706</v>
      </c>
      <c r="C42" s="43">
        <v>5.36</v>
      </c>
      <c r="D42" s="42">
        <v>9.647228221742262</v>
      </c>
      <c r="E42" s="44">
        <v>7672</v>
      </c>
      <c r="F42" s="44">
        <v>59250</v>
      </c>
      <c r="G42" s="44">
        <v>0.12948523206751056</v>
      </c>
      <c r="H42" s="42">
        <v>75.25875310540637</v>
      </c>
      <c r="I42" s="67">
        <v>12.93</v>
      </c>
      <c r="J42" s="44">
        <v>69.292604501607713</v>
      </c>
      <c r="K42" s="41">
        <f t="shared" si="0"/>
        <v>51.399528609585445</v>
      </c>
      <c r="L42" s="130">
        <f t="shared" si="1"/>
        <v>42.090227281186742</v>
      </c>
      <c r="M42" s="1" t="str">
        <f>VLOOKUP(A42,CI!A$2:C$400,3,FALSE)</f>
        <v>P3</v>
      </c>
    </row>
    <row r="43" spans="1:13" ht="18" x14ac:dyDescent="0.25">
      <c r="A43" s="65" t="s">
        <v>42</v>
      </c>
      <c r="B43" s="66">
        <v>4120606</v>
      </c>
      <c r="C43" s="43">
        <v>7.89</v>
      </c>
      <c r="D43" s="42">
        <v>14.200863930885527</v>
      </c>
      <c r="E43" s="44">
        <v>6590</v>
      </c>
      <c r="F43" s="44">
        <v>49393</v>
      </c>
      <c r="G43" s="44">
        <v>0.13341971534427954</v>
      </c>
      <c r="H43" s="42">
        <v>77.545533619259302</v>
      </c>
      <c r="I43" s="67">
        <v>12.27</v>
      </c>
      <c r="J43" s="44">
        <v>65.755627009646304</v>
      </c>
      <c r="K43" s="41">
        <f t="shared" si="0"/>
        <v>52.500674853263718</v>
      </c>
      <c r="L43" s="130">
        <f t="shared" si="1"/>
        <v>44.152550091561331</v>
      </c>
      <c r="M43" s="1" t="str">
        <f>VLOOKUP(A43,CI!A$2:C$400,3,FALSE)</f>
        <v>P3</v>
      </c>
    </row>
    <row r="44" spans="1:13" ht="18" x14ac:dyDescent="0.25">
      <c r="A44" s="65" t="s">
        <v>63</v>
      </c>
      <c r="B44" s="66">
        <v>4113304</v>
      </c>
      <c r="C44" s="43">
        <v>12.22</v>
      </c>
      <c r="D44" s="42">
        <v>21.994240460763141</v>
      </c>
      <c r="E44" s="44">
        <v>4424</v>
      </c>
      <c r="F44" s="44">
        <v>32227</v>
      </c>
      <c r="G44" s="44">
        <v>0.1372761969776895</v>
      </c>
      <c r="H44" s="42">
        <v>79.786978411612253</v>
      </c>
      <c r="I44" s="67">
        <v>15.95</v>
      </c>
      <c r="J44" s="44">
        <v>85.476956055734192</v>
      </c>
      <c r="K44" s="41">
        <f t="shared" si="0"/>
        <v>62.419391642703197</v>
      </c>
      <c r="L44" s="130">
        <f t="shared" si="1"/>
        <v>62.729188755083918</v>
      </c>
      <c r="M44" s="1" t="str">
        <f>VLOOKUP(A44,CI!A$2:C$400,3,FALSE)</f>
        <v>P2</v>
      </c>
    </row>
    <row r="45" spans="1:13" ht="18" x14ac:dyDescent="0.25">
      <c r="A45" s="65" t="s">
        <v>50</v>
      </c>
      <c r="B45" s="66">
        <v>4125605</v>
      </c>
      <c r="C45" s="43">
        <v>15.25</v>
      </c>
      <c r="D45" s="42">
        <v>27.447804175665947</v>
      </c>
      <c r="E45" s="44">
        <v>5750</v>
      </c>
      <c r="F45" s="44">
        <v>42366</v>
      </c>
      <c r="G45" s="44">
        <v>0.13572204125950055</v>
      </c>
      <c r="H45" s="42">
        <v>78.883679868489153</v>
      </c>
      <c r="I45" s="67">
        <v>12.27</v>
      </c>
      <c r="J45" s="44">
        <v>65.755627009646304</v>
      </c>
      <c r="K45" s="41">
        <f t="shared" si="0"/>
        <v>57.362370351267138</v>
      </c>
      <c r="L45" s="130">
        <f t="shared" si="1"/>
        <v>53.257957824811861</v>
      </c>
      <c r="M45" s="1" t="str">
        <f>VLOOKUP(A45,CI!A$2:C$400,3,FALSE)</f>
        <v>P3</v>
      </c>
    </row>
    <row r="46" spans="1:13" ht="18" x14ac:dyDescent="0.25">
      <c r="A46" s="65" t="s">
        <v>65</v>
      </c>
      <c r="B46" s="66">
        <v>4114104</v>
      </c>
      <c r="C46" s="43">
        <v>9.4600000000000009</v>
      </c>
      <c r="D46" s="42">
        <v>17.026637868970486</v>
      </c>
      <c r="E46" s="44">
        <v>4294</v>
      </c>
      <c r="F46" s="44">
        <v>31457</v>
      </c>
      <c r="G46" s="44">
        <v>0.13650379883650698</v>
      </c>
      <c r="H46" s="42">
        <v>79.338049062078227</v>
      </c>
      <c r="I46" s="67">
        <v>12.72</v>
      </c>
      <c r="J46" s="44">
        <v>68.167202572347279</v>
      </c>
      <c r="K46" s="41">
        <f t="shared" si="0"/>
        <v>54.843963167798655</v>
      </c>
      <c r="L46" s="130">
        <f t="shared" si="1"/>
        <v>48.541265005764508</v>
      </c>
      <c r="M46" s="1" t="str">
        <f>VLOOKUP(A46,CI!A$2:C$400,3,FALSE)</f>
        <v>P2</v>
      </c>
    </row>
    <row r="47" spans="1:13" ht="18" x14ac:dyDescent="0.25">
      <c r="A47" s="65" t="s">
        <v>64</v>
      </c>
      <c r="B47" s="66">
        <v>4108809</v>
      </c>
      <c r="C47" s="43">
        <v>4.45</v>
      </c>
      <c r="D47" s="42">
        <v>8.0093592512598999</v>
      </c>
      <c r="E47" s="44">
        <v>4591</v>
      </c>
      <c r="F47" s="44">
        <v>32097</v>
      </c>
      <c r="G47" s="44">
        <v>0.14303517462691218</v>
      </c>
      <c r="H47" s="42">
        <v>83.134182336894099</v>
      </c>
      <c r="I47" s="67">
        <v>13.77</v>
      </c>
      <c r="J47" s="44">
        <v>73.79421221864952</v>
      </c>
      <c r="K47" s="41">
        <f t="shared" si="0"/>
        <v>54.979251268934512</v>
      </c>
      <c r="L47" s="130">
        <f t="shared" si="1"/>
        <v>48.794644371626703</v>
      </c>
      <c r="M47" s="1" t="str">
        <f>VLOOKUP(A47,CI!A$2:C$400,3,FALSE)</f>
        <v>P2</v>
      </c>
    </row>
    <row r="48" spans="1:13" ht="18" x14ac:dyDescent="0.25">
      <c r="A48" s="65" t="s">
        <v>55</v>
      </c>
      <c r="B48" s="66">
        <v>4122206</v>
      </c>
      <c r="C48" s="43">
        <v>1.73</v>
      </c>
      <c r="D48" s="42">
        <v>3.1137508999280055</v>
      </c>
      <c r="E48" s="44">
        <v>5566</v>
      </c>
      <c r="F48" s="44">
        <v>37558</v>
      </c>
      <c r="G48" s="44">
        <v>0.14819745460354652</v>
      </c>
      <c r="H48" s="42">
        <v>86.134576652285602</v>
      </c>
      <c r="I48" s="67">
        <v>13.47</v>
      </c>
      <c r="J48" s="44">
        <v>72.186495176848879</v>
      </c>
      <c r="K48" s="41">
        <f t="shared" si="0"/>
        <v>53.811607576354163</v>
      </c>
      <c r="L48" s="130">
        <f t="shared" si="1"/>
        <v>46.60777933401409</v>
      </c>
      <c r="M48" s="1" t="str">
        <f>VLOOKUP(A48,CI!A$2:C$400,3,FALSE)</f>
        <v>P2</v>
      </c>
    </row>
    <row r="49" spans="1:13" ht="18" x14ac:dyDescent="0.25">
      <c r="A49" s="65" t="s">
        <v>49</v>
      </c>
      <c r="B49" s="66">
        <v>4124103</v>
      </c>
      <c r="C49" s="43">
        <v>6.72</v>
      </c>
      <c r="D49" s="42">
        <v>12.095032397408206</v>
      </c>
      <c r="E49" s="44">
        <v>5851</v>
      </c>
      <c r="F49" s="44">
        <v>44369</v>
      </c>
      <c r="G49" s="44">
        <v>0.13187135161937388</v>
      </c>
      <c r="H49" s="42">
        <v>76.645601469241711</v>
      </c>
      <c r="I49" s="67">
        <v>12.87</v>
      </c>
      <c r="J49" s="44">
        <v>68.971061093247584</v>
      </c>
      <c r="K49" s="41">
        <f t="shared" si="0"/>
        <v>52.570564986632498</v>
      </c>
      <c r="L49" s="130">
        <f t="shared" si="1"/>
        <v>44.283446434435</v>
      </c>
      <c r="M49" s="1" t="str">
        <f>VLOOKUP(A49,CI!A$2:C$400,3,FALSE)</f>
        <v>P3</v>
      </c>
    </row>
    <row r="50" spans="1:13" ht="18" x14ac:dyDescent="0.25">
      <c r="A50" s="65" t="s">
        <v>59</v>
      </c>
      <c r="B50" s="66">
        <v>4117909</v>
      </c>
      <c r="C50" s="43">
        <v>9.4499999999999993</v>
      </c>
      <c r="D50" s="42">
        <v>17.00863930885529</v>
      </c>
      <c r="E50" s="44">
        <v>4726</v>
      </c>
      <c r="F50" s="44">
        <v>35011</v>
      </c>
      <c r="G50" s="44">
        <v>0.13498614721087659</v>
      </c>
      <c r="H50" s="42">
        <v>78.455967243405752</v>
      </c>
      <c r="I50" s="67">
        <v>15.37</v>
      </c>
      <c r="J50" s="44">
        <v>82.368703108252944</v>
      </c>
      <c r="K50" s="41">
        <f t="shared" si="0"/>
        <v>59.277769886837994</v>
      </c>
      <c r="L50" s="130">
        <f t="shared" si="1"/>
        <v>56.845285280966564</v>
      </c>
      <c r="M50" s="1" t="str">
        <f>VLOOKUP(A50,CI!A$2:C$400,3,FALSE)</f>
        <v>P2</v>
      </c>
    </row>
    <row r="51" spans="1:13" ht="18" x14ac:dyDescent="0.25">
      <c r="A51" s="65" t="s">
        <v>73</v>
      </c>
      <c r="B51" s="66">
        <v>4119301</v>
      </c>
      <c r="C51" s="43">
        <v>14.71</v>
      </c>
      <c r="D51" s="42">
        <v>26.475881929445645</v>
      </c>
      <c r="E51" s="44">
        <v>4655</v>
      </c>
      <c r="F51" s="44">
        <v>29886</v>
      </c>
      <c r="G51" s="44">
        <v>0.15575854915344978</v>
      </c>
      <c r="H51" s="42">
        <v>90.529197867785442</v>
      </c>
      <c r="I51" s="67">
        <v>16.829999999999998</v>
      </c>
      <c r="J51" s="44">
        <v>90.192926045016065</v>
      </c>
      <c r="K51" s="41">
        <f t="shared" si="0"/>
        <v>69.066001947415714</v>
      </c>
      <c r="L51" s="130">
        <f t="shared" si="1"/>
        <v>75.177540753535126</v>
      </c>
      <c r="M51" s="1" t="str">
        <f>VLOOKUP(A51,CI!A$2:C$400,3,FALSE)</f>
        <v>P2</v>
      </c>
    </row>
    <row r="52" spans="1:13" ht="18" x14ac:dyDescent="0.25">
      <c r="A52" s="65" t="s">
        <v>52</v>
      </c>
      <c r="B52" s="66">
        <v>4114807</v>
      </c>
      <c r="C52" s="43">
        <v>16.329999999999998</v>
      </c>
      <c r="D52" s="42">
        <v>29.391648668106544</v>
      </c>
      <c r="E52" s="44">
        <v>5446</v>
      </c>
      <c r="F52" s="44">
        <v>41851</v>
      </c>
      <c r="G52" s="44">
        <v>0.1301283123461805</v>
      </c>
      <c r="H52" s="42">
        <v>75.632520979523036</v>
      </c>
      <c r="I52" s="67">
        <v>13.36</v>
      </c>
      <c r="J52" s="44">
        <v>71.59699892818864</v>
      </c>
      <c r="K52" s="41">
        <f t="shared" si="0"/>
        <v>58.873722858606072</v>
      </c>
      <c r="L52" s="130">
        <f t="shared" si="1"/>
        <v>56.088550734969033</v>
      </c>
      <c r="M52" s="1" t="str">
        <f>VLOOKUP(A52,CI!A$2:C$400,3,FALSE)</f>
        <v>P3</v>
      </c>
    </row>
    <row r="53" spans="1:13" ht="18" x14ac:dyDescent="0.25">
      <c r="A53" s="65" t="s">
        <v>69</v>
      </c>
      <c r="B53" s="66">
        <v>4120903</v>
      </c>
      <c r="C53" s="43">
        <v>22.08</v>
      </c>
      <c r="D53" s="42">
        <v>39.740820734341249</v>
      </c>
      <c r="E53" s="44">
        <v>4406</v>
      </c>
      <c r="F53" s="44">
        <v>30738</v>
      </c>
      <c r="G53" s="44">
        <v>0.14334049059795692</v>
      </c>
      <c r="H53" s="42">
        <v>83.31163654473778</v>
      </c>
      <c r="I53" s="67">
        <v>14.74</v>
      </c>
      <c r="J53" s="44">
        <v>78.9924973204716</v>
      </c>
      <c r="K53" s="41">
        <f t="shared" si="0"/>
        <v>67.348318199850212</v>
      </c>
      <c r="L53" s="130">
        <f t="shared" si="1"/>
        <v>71.960512684873748</v>
      </c>
      <c r="M53" s="1" t="str">
        <f>VLOOKUP(A53,CI!A$2:C$400,3,FALSE)</f>
        <v>P2</v>
      </c>
    </row>
    <row r="54" spans="1:13" ht="18" x14ac:dyDescent="0.25">
      <c r="A54" s="65" t="s">
        <v>57</v>
      </c>
      <c r="B54" s="66">
        <v>4114203</v>
      </c>
      <c r="C54" s="43">
        <v>12.22</v>
      </c>
      <c r="D54" s="42">
        <v>21.994240460763141</v>
      </c>
      <c r="E54" s="44">
        <v>4477</v>
      </c>
      <c r="F54" s="44">
        <v>36716</v>
      </c>
      <c r="G54" s="44">
        <v>0.12193594073428478</v>
      </c>
      <c r="H54" s="42">
        <v>70.870992095936174</v>
      </c>
      <c r="I54" s="67">
        <v>12.15</v>
      </c>
      <c r="J54" s="44">
        <v>65.112540192926048</v>
      </c>
      <c r="K54" s="41">
        <f t="shared" si="0"/>
        <v>52.659257583208451</v>
      </c>
      <c r="L54" s="130">
        <f t="shared" si="1"/>
        <v>44.449557671775224</v>
      </c>
      <c r="M54" s="1" t="str">
        <f>VLOOKUP(A54,CI!A$2:C$400,3,FALSE)</f>
        <v>P2</v>
      </c>
    </row>
    <row r="55" spans="1:13" ht="18" x14ac:dyDescent="0.25">
      <c r="A55" s="65" t="s">
        <v>60</v>
      </c>
      <c r="B55" s="66">
        <v>4117701</v>
      </c>
      <c r="C55" s="43">
        <v>9.32</v>
      </c>
      <c r="D55" s="42">
        <v>16.774658027357813</v>
      </c>
      <c r="E55" s="44">
        <v>4569</v>
      </c>
      <c r="F55" s="44">
        <v>33855</v>
      </c>
      <c r="G55" s="44">
        <v>0.13495790872840052</v>
      </c>
      <c r="H55" s="42">
        <v>78.439554615132977</v>
      </c>
      <c r="I55" s="67">
        <v>13.71</v>
      </c>
      <c r="J55" s="44">
        <v>73.472668810289392</v>
      </c>
      <c r="K55" s="41">
        <f t="shared" si="0"/>
        <v>56.228960484260064</v>
      </c>
      <c r="L55" s="130">
        <f t="shared" si="1"/>
        <v>51.135208884194974</v>
      </c>
      <c r="M55" s="1" t="str">
        <f>VLOOKUP(A55,CI!A$2:C$400,3,FALSE)</f>
        <v>P2</v>
      </c>
    </row>
    <row r="56" spans="1:13" ht="18" x14ac:dyDescent="0.25">
      <c r="A56" s="65" t="s">
        <v>72</v>
      </c>
      <c r="B56" s="66">
        <v>4110102</v>
      </c>
      <c r="C56" s="43">
        <v>9.0299999999999994</v>
      </c>
      <c r="D56" s="42">
        <v>16.252699784017278</v>
      </c>
      <c r="E56" s="44">
        <v>4270</v>
      </c>
      <c r="F56" s="44">
        <v>29924</v>
      </c>
      <c r="G56" s="44">
        <v>0.14269482689480015</v>
      </c>
      <c r="H56" s="42">
        <v>82.936367145678716</v>
      </c>
      <c r="I56" s="67">
        <v>15.17</v>
      </c>
      <c r="J56" s="44">
        <v>81.296891747052513</v>
      </c>
      <c r="K56" s="41">
        <f t="shared" si="0"/>
        <v>60.161986225582837</v>
      </c>
      <c r="L56" s="130">
        <f t="shared" si="1"/>
        <v>58.501322828357203</v>
      </c>
      <c r="M56" s="1" t="str">
        <f>VLOOKUP(A56,CI!A$2:C$400,3,FALSE)</f>
        <v>P2</v>
      </c>
    </row>
    <row r="57" spans="1:13" ht="18" x14ac:dyDescent="0.25">
      <c r="A57" s="65" t="s">
        <v>68</v>
      </c>
      <c r="B57" s="66">
        <v>4111258</v>
      </c>
      <c r="C57" s="43">
        <v>1.89</v>
      </c>
      <c r="D57" s="42">
        <v>3.4017278617710582</v>
      </c>
      <c r="E57" s="44">
        <v>4940</v>
      </c>
      <c r="F57" s="44">
        <v>31217</v>
      </c>
      <c r="G57" s="44">
        <v>0.15824710894704808</v>
      </c>
      <c r="H57" s="42">
        <v>91.975586031933844</v>
      </c>
      <c r="I57" s="67">
        <v>16.02</v>
      </c>
      <c r="J57" s="44">
        <v>85.852090032154337</v>
      </c>
      <c r="K57" s="41">
        <f t="shared" si="0"/>
        <v>60.409801308619741</v>
      </c>
      <c r="L57" s="130">
        <f t="shared" si="1"/>
        <v>58.965452549033259</v>
      </c>
      <c r="M57" s="1" t="str">
        <f>VLOOKUP(A57,CI!A$2:C$400,3,FALSE)</f>
        <v>P2</v>
      </c>
    </row>
    <row r="58" spans="1:13" ht="18" x14ac:dyDescent="0.25">
      <c r="A58" s="65" t="s">
        <v>54</v>
      </c>
      <c r="B58" s="66">
        <v>4115705</v>
      </c>
      <c r="C58" s="43">
        <v>15.41</v>
      </c>
      <c r="D58" s="42">
        <v>27.735781137508997</v>
      </c>
      <c r="E58" s="44">
        <v>5331</v>
      </c>
      <c r="F58" s="44">
        <v>39259</v>
      </c>
      <c r="G58" s="44">
        <v>0.13579051937135433</v>
      </c>
      <c r="H58" s="42">
        <v>78.92348037107034</v>
      </c>
      <c r="I58" s="67">
        <v>12.97</v>
      </c>
      <c r="J58" s="44">
        <v>69.506966773847807</v>
      </c>
      <c r="K58" s="41">
        <f t="shared" si="0"/>
        <v>58.72207609414238</v>
      </c>
      <c r="L58" s="130">
        <f t="shared" si="1"/>
        <v>55.804533436387246</v>
      </c>
      <c r="M58" s="1" t="str">
        <f>VLOOKUP(A58,CI!A$2:C$400,3,FALSE)</f>
        <v>P2</v>
      </c>
    </row>
    <row r="59" spans="1:13" ht="18" x14ac:dyDescent="0.25">
      <c r="A59" s="65" t="s">
        <v>56</v>
      </c>
      <c r="B59" s="66">
        <v>4102000</v>
      </c>
      <c r="C59" s="43">
        <v>6.88</v>
      </c>
      <c r="D59" s="42">
        <v>12.383009359251259</v>
      </c>
      <c r="E59" s="44">
        <v>4462</v>
      </c>
      <c r="F59" s="44">
        <v>36808</v>
      </c>
      <c r="G59" s="44">
        <v>0.12122364703325364</v>
      </c>
      <c r="H59" s="42">
        <v>70.456996345776119</v>
      </c>
      <c r="I59" s="67">
        <v>12.04</v>
      </c>
      <c r="J59" s="44">
        <v>64.523043944265794</v>
      </c>
      <c r="K59" s="41">
        <f t="shared" si="0"/>
        <v>49.121016549764391</v>
      </c>
      <c r="L59" s="130">
        <f t="shared" si="1"/>
        <v>37.822830991493277</v>
      </c>
      <c r="M59" s="1" t="str">
        <f>VLOOKUP(A59,CI!A$2:C$400,3,FALSE)</f>
        <v>P2</v>
      </c>
    </row>
    <row r="60" spans="1:13" ht="18" x14ac:dyDescent="0.25">
      <c r="A60" s="65" t="s">
        <v>75</v>
      </c>
      <c r="B60" s="66">
        <v>4109708</v>
      </c>
      <c r="C60" s="43">
        <v>8.33</v>
      </c>
      <c r="D60" s="42">
        <v>14.992800575953924</v>
      </c>
      <c r="E60" s="44">
        <v>3740</v>
      </c>
      <c r="F60" s="44">
        <v>28830</v>
      </c>
      <c r="G60" s="44">
        <v>0.1297259798820673</v>
      </c>
      <c r="H60" s="42">
        <v>75.398679335194075</v>
      </c>
      <c r="I60" s="67">
        <v>12.7</v>
      </c>
      <c r="J60" s="44">
        <v>68.060021436227231</v>
      </c>
      <c r="K60" s="41">
        <f t="shared" si="0"/>
        <v>52.81716711579174</v>
      </c>
      <c r="L60" s="130">
        <f t="shared" si="1"/>
        <v>44.745304429203436</v>
      </c>
      <c r="M60" s="1" t="str">
        <f>VLOOKUP(A60,CI!A$2:C$400,3,FALSE)</f>
        <v>P2</v>
      </c>
    </row>
    <row r="61" spans="1:13" ht="18" x14ac:dyDescent="0.25">
      <c r="A61" s="65" t="s">
        <v>77</v>
      </c>
      <c r="B61" s="66">
        <v>4114302</v>
      </c>
      <c r="C61" s="43">
        <v>11.8</v>
      </c>
      <c r="D61" s="42">
        <v>21.238300935925125</v>
      </c>
      <c r="E61" s="44">
        <v>3935</v>
      </c>
      <c r="F61" s="44">
        <v>27439</v>
      </c>
      <c r="G61" s="44">
        <v>0.14340901636357009</v>
      </c>
      <c r="H61" s="42">
        <v>83.351464744396495</v>
      </c>
      <c r="I61" s="67">
        <v>13.16</v>
      </c>
      <c r="J61" s="44">
        <v>70.525187566988208</v>
      </c>
      <c r="K61" s="41">
        <f t="shared" si="0"/>
        <v>58.371651082436607</v>
      </c>
      <c r="L61" s="130">
        <f t="shared" si="1"/>
        <v>55.148226883905608</v>
      </c>
      <c r="M61" s="1" t="str">
        <f>VLOOKUP(A61,CI!A$2:C$400,3,FALSE)</f>
        <v>P2</v>
      </c>
    </row>
    <row r="62" spans="1:13" ht="18" x14ac:dyDescent="0.25">
      <c r="A62" s="65" t="s">
        <v>74</v>
      </c>
      <c r="B62" s="66">
        <v>4125704</v>
      </c>
      <c r="C62" s="43">
        <v>9.26</v>
      </c>
      <c r="D62" s="42">
        <v>16.666666666666664</v>
      </c>
      <c r="E62" s="44">
        <v>3976</v>
      </c>
      <c r="F62" s="44">
        <v>29122</v>
      </c>
      <c r="G62" s="44">
        <v>0.13652908454089691</v>
      </c>
      <c r="H62" s="42">
        <v>79.352745491573643</v>
      </c>
      <c r="I62" s="67">
        <v>13.74</v>
      </c>
      <c r="J62" s="44">
        <v>73.633440514469456</v>
      </c>
      <c r="K62" s="41">
        <f t="shared" si="0"/>
        <v>56.550950890903245</v>
      </c>
      <c r="L62" s="130">
        <f t="shared" si="1"/>
        <v>51.738260626099695</v>
      </c>
      <c r="M62" s="1" t="str">
        <f>VLOOKUP(A62,CI!A$2:C$400,3,FALSE)</f>
        <v>P2</v>
      </c>
    </row>
    <row r="63" spans="1:13" ht="18" x14ac:dyDescent="0.25">
      <c r="A63" s="65" t="s">
        <v>80</v>
      </c>
      <c r="B63" s="66">
        <v>4123501</v>
      </c>
      <c r="C63" s="43">
        <v>2.92</v>
      </c>
      <c r="D63" s="42">
        <v>5.2555795536357088</v>
      </c>
      <c r="E63" s="44">
        <v>3303</v>
      </c>
      <c r="F63" s="44">
        <v>25492</v>
      </c>
      <c r="G63" s="44">
        <v>0.12957006119566922</v>
      </c>
      <c r="H63" s="42">
        <v>75.308057063165137</v>
      </c>
      <c r="I63" s="67">
        <v>13.93</v>
      </c>
      <c r="J63" s="44">
        <v>74.651661307609857</v>
      </c>
      <c r="K63" s="41">
        <f t="shared" si="0"/>
        <v>51.73843264147024</v>
      </c>
      <c r="L63" s="130">
        <f t="shared" si="1"/>
        <v>42.724956336928898</v>
      </c>
      <c r="M63" s="1" t="str">
        <f>VLOOKUP(A63,CI!A$2:C$400,3,FALSE)</f>
        <v>P2</v>
      </c>
    </row>
    <row r="64" spans="1:13" ht="18" x14ac:dyDescent="0.25">
      <c r="A64" s="65" t="s">
        <v>47</v>
      </c>
      <c r="B64" s="66">
        <v>4113205</v>
      </c>
      <c r="C64" s="43">
        <v>14.84</v>
      </c>
      <c r="D64" s="42">
        <v>26.709863210943123</v>
      </c>
      <c r="E64" s="44">
        <v>5940</v>
      </c>
      <c r="F64" s="44">
        <v>45003</v>
      </c>
      <c r="G64" s="44">
        <v>0.13199120058662756</v>
      </c>
      <c r="H64" s="42">
        <v>76.715259481143633</v>
      </c>
      <c r="I64" s="67">
        <v>11.84</v>
      </c>
      <c r="J64" s="44">
        <v>63.451232583065377</v>
      </c>
      <c r="K64" s="41">
        <f t="shared" si="0"/>
        <v>55.625451758384052</v>
      </c>
      <c r="L64" s="130">
        <f t="shared" si="1"/>
        <v>50.004905058722493</v>
      </c>
      <c r="M64" s="1" t="str">
        <f>VLOOKUP(A64,CI!A$2:C$400,3,FALSE)</f>
        <v>P3</v>
      </c>
    </row>
    <row r="65" spans="1:13" ht="18" x14ac:dyDescent="0.25">
      <c r="A65" s="65" t="s">
        <v>85</v>
      </c>
      <c r="B65" s="66">
        <v>4117305</v>
      </c>
      <c r="C65" s="43">
        <v>5.75</v>
      </c>
      <c r="D65" s="42">
        <v>10.349172066234701</v>
      </c>
      <c r="E65" s="44">
        <v>3588</v>
      </c>
      <c r="F65" s="44">
        <v>24192</v>
      </c>
      <c r="G65" s="44">
        <v>0.14831349206349206</v>
      </c>
      <c r="H65" s="42">
        <v>86.202019359145538</v>
      </c>
      <c r="I65" s="67">
        <v>13.97</v>
      </c>
      <c r="J65" s="44">
        <v>74.866023579849951</v>
      </c>
      <c r="K65" s="41">
        <f t="shared" si="0"/>
        <v>57.139071668410061</v>
      </c>
      <c r="L65" s="130">
        <f t="shared" si="1"/>
        <v>52.839744558566274</v>
      </c>
      <c r="M65" s="1" t="str">
        <f>VLOOKUP(A65,CI!A$2:C$400,3,FALSE)</f>
        <v>P2</v>
      </c>
    </row>
    <row r="66" spans="1:13" ht="18" x14ac:dyDescent="0.25">
      <c r="A66" s="65" t="s">
        <v>76</v>
      </c>
      <c r="B66" s="66">
        <v>4108601</v>
      </c>
      <c r="C66" s="43">
        <v>8.98</v>
      </c>
      <c r="D66" s="42">
        <v>16.162706983441325</v>
      </c>
      <c r="E66" s="44">
        <v>3542</v>
      </c>
      <c r="F66" s="44">
        <v>28437</v>
      </c>
      <c r="G66" s="44">
        <v>0.12455603615008616</v>
      </c>
      <c r="H66" s="42">
        <v>72.393830730596804</v>
      </c>
      <c r="I66" s="67">
        <v>10.48</v>
      </c>
      <c r="J66" s="44">
        <v>56.162915326902464</v>
      </c>
      <c r="K66" s="41">
        <f t="shared" ref="K66:K129" si="2">(D66+H66+J66)/3</f>
        <v>48.239817680313536</v>
      </c>
      <c r="L66" s="130">
        <f t="shared" si="1"/>
        <v>36.172444824008174</v>
      </c>
      <c r="M66" s="1" t="str">
        <f>VLOOKUP(A66,CI!A$2:C$400,3,FALSE)</f>
        <v>P2</v>
      </c>
    </row>
    <row r="67" spans="1:13" ht="18" x14ac:dyDescent="0.25">
      <c r="A67" s="65" t="s">
        <v>46</v>
      </c>
      <c r="B67" s="66">
        <v>4106407</v>
      </c>
      <c r="C67" s="43">
        <v>13.27</v>
      </c>
      <c r="D67" s="42">
        <v>23.884089272858169</v>
      </c>
      <c r="E67" s="44">
        <v>4995</v>
      </c>
      <c r="F67" s="44">
        <v>45206</v>
      </c>
      <c r="G67" s="44">
        <v>0.1104941821882051</v>
      </c>
      <c r="H67" s="42">
        <v>64.220870937238089</v>
      </c>
      <c r="I67" s="67">
        <v>9.89</v>
      </c>
      <c r="J67" s="44">
        <v>53.0010718113612</v>
      </c>
      <c r="K67" s="41">
        <f t="shared" si="2"/>
        <v>47.035344007152482</v>
      </c>
      <c r="L67" s="130">
        <f t="shared" ref="L67:L130" si="3">(K67-K$401)/(K$402-K$401)*100</f>
        <v>33.91660138366904</v>
      </c>
      <c r="M67" s="1" t="str">
        <f>VLOOKUP(A67,CI!A$2:C$400,3,FALSE)</f>
        <v>P3</v>
      </c>
    </row>
    <row r="68" spans="1:13" ht="18" x14ac:dyDescent="0.25">
      <c r="A68" s="65" t="s">
        <v>71</v>
      </c>
      <c r="B68" s="66">
        <v>4104253</v>
      </c>
      <c r="C68" s="43">
        <v>5.31</v>
      </c>
      <c r="D68" s="42">
        <v>9.5572354211663058</v>
      </c>
      <c r="E68" s="44">
        <v>4234</v>
      </c>
      <c r="F68" s="44">
        <v>30160</v>
      </c>
      <c r="G68" s="44">
        <v>0.14038461538461539</v>
      </c>
      <c r="H68" s="42">
        <v>81.593637670740478</v>
      </c>
      <c r="I68" s="67">
        <v>11.27</v>
      </c>
      <c r="J68" s="44">
        <v>60.396570203644153</v>
      </c>
      <c r="K68" s="41">
        <f t="shared" si="2"/>
        <v>50.515814431850316</v>
      </c>
      <c r="L68" s="130">
        <f t="shared" si="3"/>
        <v>40.435130224771527</v>
      </c>
      <c r="M68" s="1" t="str">
        <f>VLOOKUP(A68,CI!A$2:C$400,3,FALSE)</f>
        <v>P2</v>
      </c>
    </row>
    <row r="69" spans="1:13" ht="18" x14ac:dyDescent="0.25">
      <c r="A69" s="65" t="s">
        <v>58</v>
      </c>
      <c r="B69" s="66">
        <v>4112009</v>
      </c>
      <c r="C69" s="43">
        <v>3.77</v>
      </c>
      <c r="D69" s="42">
        <v>6.7854571634269254</v>
      </c>
      <c r="E69" s="44">
        <v>5259</v>
      </c>
      <c r="F69" s="44">
        <v>35141</v>
      </c>
      <c r="G69" s="44">
        <v>0.14965425002134258</v>
      </c>
      <c r="H69" s="42">
        <v>86.981287932965373</v>
      </c>
      <c r="I69" s="67">
        <v>14.09</v>
      </c>
      <c r="J69" s="44">
        <v>75.509110396570208</v>
      </c>
      <c r="K69" s="41">
        <f t="shared" si="2"/>
        <v>56.425285164320833</v>
      </c>
      <c r="L69" s="130">
        <f t="shared" si="3"/>
        <v>51.50290288329208</v>
      </c>
      <c r="M69" s="1" t="str">
        <f>VLOOKUP(A69,CI!A$2:C$400,3,FALSE)</f>
        <v>P2</v>
      </c>
    </row>
    <row r="70" spans="1:13" ht="18" x14ac:dyDescent="0.25">
      <c r="A70" s="65" t="s">
        <v>61</v>
      </c>
      <c r="B70" s="66">
        <v>4119608</v>
      </c>
      <c r="C70" s="43">
        <v>10.64</v>
      </c>
      <c r="D70" s="42">
        <v>19.150467962562995</v>
      </c>
      <c r="E70" s="44">
        <v>4506</v>
      </c>
      <c r="F70" s="44">
        <v>33567</v>
      </c>
      <c r="G70" s="44">
        <v>0.13423898471713289</v>
      </c>
      <c r="H70" s="42">
        <v>78.021705229518645</v>
      </c>
      <c r="I70" s="67">
        <v>13.32</v>
      </c>
      <c r="J70" s="44">
        <v>71.382636655948545</v>
      </c>
      <c r="K70" s="41">
        <f t="shared" si="2"/>
        <v>56.184936616010056</v>
      </c>
      <c r="L70" s="130">
        <f t="shared" si="3"/>
        <v>51.05275714064669</v>
      </c>
      <c r="M70" s="1" t="str">
        <f>VLOOKUP(A70,CI!A$2:C$400,3,FALSE)</f>
        <v>P2</v>
      </c>
    </row>
    <row r="71" spans="1:13" ht="18" x14ac:dyDescent="0.25">
      <c r="A71" s="65" t="s">
        <v>66</v>
      </c>
      <c r="B71" s="66">
        <v>4122305</v>
      </c>
      <c r="C71" s="43">
        <v>5.95</v>
      </c>
      <c r="D71" s="42">
        <v>10.709143268538517</v>
      </c>
      <c r="E71" s="44">
        <v>4112</v>
      </c>
      <c r="F71" s="44">
        <v>31324</v>
      </c>
      <c r="G71" s="44">
        <v>0.13127314519218491</v>
      </c>
      <c r="H71" s="42">
        <v>76.297914948616636</v>
      </c>
      <c r="I71" s="67">
        <v>10.5</v>
      </c>
      <c r="J71" s="44">
        <v>56.270096463022512</v>
      </c>
      <c r="K71" s="41">
        <f t="shared" si="2"/>
        <v>47.75905156005922</v>
      </c>
      <c r="L71" s="130">
        <f t="shared" si="3"/>
        <v>35.272024065232507</v>
      </c>
      <c r="M71" s="1" t="str">
        <f>VLOOKUP(A71,CI!A$2:C$400,3,FALSE)</f>
        <v>P2</v>
      </c>
    </row>
    <row r="72" spans="1:13" ht="18" x14ac:dyDescent="0.25">
      <c r="A72" s="65" t="s">
        <v>67</v>
      </c>
      <c r="B72" s="66">
        <v>4102406</v>
      </c>
      <c r="C72" s="43">
        <v>5.17</v>
      </c>
      <c r="D72" s="42">
        <v>9.305255579553636</v>
      </c>
      <c r="E72" s="44">
        <v>3861</v>
      </c>
      <c r="F72" s="44">
        <v>31273</v>
      </c>
      <c r="G72" s="44">
        <v>0.12346113260640169</v>
      </c>
      <c r="H72" s="42">
        <v>71.757456418617963</v>
      </c>
      <c r="I72" s="67">
        <v>12.12</v>
      </c>
      <c r="J72" s="44">
        <v>64.951768488745969</v>
      </c>
      <c r="K72" s="41">
        <f t="shared" si="2"/>
        <v>48.67149349563919</v>
      </c>
      <c r="L72" s="130">
        <f t="shared" si="3"/>
        <v>36.980924974346188</v>
      </c>
      <c r="M72" s="1" t="str">
        <f>VLOOKUP(A72,CI!A$2:C$400,3,FALSE)</f>
        <v>P2</v>
      </c>
    </row>
    <row r="73" spans="1:13" ht="18" x14ac:dyDescent="0.25">
      <c r="A73" s="65" t="s">
        <v>62</v>
      </c>
      <c r="B73" s="66">
        <v>4111506</v>
      </c>
      <c r="C73" s="43">
        <v>23.05</v>
      </c>
      <c r="D73" s="42">
        <v>41.486681065514759</v>
      </c>
      <c r="E73" s="44">
        <v>3943</v>
      </c>
      <c r="F73" s="44">
        <v>32720</v>
      </c>
      <c r="G73" s="44">
        <v>0.12050733496332518</v>
      </c>
      <c r="H73" s="42">
        <v>70.040665059525182</v>
      </c>
      <c r="I73" s="67">
        <v>11.43</v>
      </c>
      <c r="J73" s="44">
        <v>61.254019292604497</v>
      </c>
      <c r="K73" s="41">
        <f t="shared" si="2"/>
        <v>57.593788472548148</v>
      </c>
      <c r="L73" s="130">
        <f t="shared" si="3"/>
        <v>53.691377884128975</v>
      </c>
      <c r="M73" s="1" t="str">
        <f>VLOOKUP(A73,CI!A$2:C$400,3,FALSE)</f>
        <v>P2</v>
      </c>
    </row>
    <row r="74" spans="1:13" ht="18" x14ac:dyDescent="0.25">
      <c r="A74" s="65" t="s">
        <v>70</v>
      </c>
      <c r="B74" s="66">
        <v>4119954</v>
      </c>
      <c r="C74" s="43">
        <v>3</v>
      </c>
      <c r="D74" s="42">
        <v>5.3995680345572357</v>
      </c>
      <c r="E74" s="44">
        <v>3873</v>
      </c>
      <c r="F74" s="44">
        <v>30425</v>
      </c>
      <c r="G74" s="44">
        <v>0.12729663105998357</v>
      </c>
      <c r="H74" s="42">
        <v>73.986705473087653</v>
      </c>
      <c r="I74" s="67">
        <v>10.68</v>
      </c>
      <c r="J74" s="44">
        <v>57.234726688102889</v>
      </c>
      <c r="K74" s="41">
        <f t="shared" si="2"/>
        <v>45.54033339858259</v>
      </c>
      <c r="L74" s="130">
        <f t="shared" si="3"/>
        <v>31.116615008102272</v>
      </c>
      <c r="M74" s="1" t="str">
        <f>VLOOKUP(A74,CI!A$2:C$400,3,FALSE)</f>
        <v>P2</v>
      </c>
    </row>
    <row r="75" spans="1:13" ht="18" x14ac:dyDescent="0.25">
      <c r="A75" s="65" t="s">
        <v>83</v>
      </c>
      <c r="B75" s="66">
        <v>4121703</v>
      </c>
      <c r="C75" s="43">
        <v>11.53</v>
      </c>
      <c r="D75" s="42">
        <v>20.752339812814974</v>
      </c>
      <c r="E75" s="44">
        <v>3505</v>
      </c>
      <c r="F75" s="44">
        <v>24573</v>
      </c>
      <c r="G75" s="44">
        <v>0.14263622675294022</v>
      </c>
      <c r="H75" s="42">
        <v>82.902307866965913</v>
      </c>
      <c r="I75" s="67">
        <v>13.75</v>
      </c>
      <c r="J75" s="44">
        <v>73.687031082529472</v>
      </c>
      <c r="K75" s="41">
        <f t="shared" si="2"/>
        <v>59.11389292077012</v>
      </c>
      <c r="L75" s="130">
        <f t="shared" si="3"/>
        <v>56.538362193177768</v>
      </c>
      <c r="M75" s="1" t="str">
        <f>VLOOKUP(A75,CI!A$2:C$400,3,FALSE)</f>
        <v>P2</v>
      </c>
    </row>
    <row r="76" spans="1:13" ht="18" x14ac:dyDescent="0.25">
      <c r="A76" s="65" t="s">
        <v>92</v>
      </c>
      <c r="B76" s="66">
        <v>4113502</v>
      </c>
      <c r="C76" s="43">
        <v>3.1</v>
      </c>
      <c r="D76" s="42">
        <v>5.5795536357091429</v>
      </c>
      <c r="E76" s="44">
        <v>3152</v>
      </c>
      <c r="F76" s="44">
        <v>23225</v>
      </c>
      <c r="G76" s="44">
        <v>0.13571582346609257</v>
      </c>
      <c r="H76" s="42">
        <v>78.88006599398409</v>
      </c>
      <c r="I76" s="67">
        <v>14.08</v>
      </c>
      <c r="J76" s="44">
        <v>75.455519828510191</v>
      </c>
      <c r="K76" s="41">
        <f t="shared" si="2"/>
        <v>53.305046486067816</v>
      </c>
      <c r="L76" s="130">
        <f t="shared" si="3"/>
        <v>45.659047503575238</v>
      </c>
      <c r="M76" s="1" t="str">
        <f>VLOOKUP(A76,CI!A$2:C$400,3,FALSE)</f>
        <v>P2</v>
      </c>
    </row>
    <row r="77" spans="1:13" ht="18" x14ac:dyDescent="0.25">
      <c r="A77" s="65" t="s">
        <v>82</v>
      </c>
      <c r="B77" s="66">
        <v>4128005</v>
      </c>
      <c r="C77" s="43">
        <v>3.04</v>
      </c>
      <c r="D77" s="42">
        <v>5.4715622750179982</v>
      </c>
      <c r="E77" s="44">
        <v>3176</v>
      </c>
      <c r="F77" s="44">
        <v>24749</v>
      </c>
      <c r="G77" s="44">
        <v>0.1283284173097903</v>
      </c>
      <c r="H77" s="42">
        <v>74.586395070054763</v>
      </c>
      <c r="I77" s="67">
        <v>12</v>
      </c>
      <c r="J77" s="44">
        <v>64.308681672025727</v>
      </c>
      <c r="K77" s="41">
        <f t="shared" si="2"/>
        <v>48.1222130056995</v>
      </c>
      <c r="L77" s="130">
        <f t="shared" si="3"/>
        <v>35.952184523021238</v>
      </c>
      <c r="M77" s="1" t="str">
        <f>VLOOKUP(A77,CI!A$2:C$400,3,FALSE)</f>
        <v>P2</v>
      </c>
    </row>
    <row r="78" spans="1:13" ht="18" x14ac:dyDescent="0.25">
      <c r="A78" s="65" t="s">
        <v>81</v>
      </c>
      <c r="B78" s="66">
        <v>4102109</v>
      </c>
      <c r="C78" s="43">
        <v>21.28</v>
      </c>
      <c r="D78" s="42">
        <v>38.300935925125991</v>
      </c>
      <c r="E78" s="44">
        <v>3177</v>
      </c>
      <c r="F78" s="44">
        <v>25475</v>
      </c>
      <c r="G78" s="44">
        <v>0.12471050049067714</v>
      </c>
      <c r="H78" s="42">
        <v>72.483607715095445</v>
      </c>
      <c r="I78" s="67">
        <v>12.52</v>
      </c>
      <c r="J78" s="44">
        <v>67.095391211146833</v>
      </c>
      <c r="K78" s="41">
        <f t="shared" si="2"/>
        <v>59.293311617122754</v>
      </c>
      <c r="L78" s="130">
        <f t="shared" si="3"/>
        <v>56.874393190168412</v>
      </c>
      <c r="M78" s="1" t="str">
        <f>VLOOKUP(A78,CI!A$2:C$400,3,FALSE)</f>
        <v>P2</v>
      </c>
    </row>
    <row r="79" spans="1:13" ht="18" x14ac:dyDescent="0.25">
      <c r="A79" s="65" t="s">
        <v>88</v>
      </c>
      <c r="B79" s="66">
        <v>4124400</v>
      </c>
      <c r="C79" s="43">
        <v>3.88</v>
      </c>
      <c r="D79" s="42">
        <v>6.9834413246940246</v>
      </c>
      <c r="E79" s="44">
        <v>3219</v>
      </c>
      <c r="F79" s="44">
        <v>23673</v>
      </c>
      <c r="G79" s="44">
        <v>0.13597769610949181</v>
      </c>
      <c r="H79" s="42">
        <v>79.032270290180335</v>
      </c>
      <c r="I79" s="67">
        <v>11.28</v>
      </c>
      <c r="J79" s="44">
        <v>60.450160771704176</v>
      </c>
      <c r="K79" s="41">
        <f t="shared" si="2"/>
        <v>48.821957462192849</v>
      </c>
      <c r="L79" s="130">
        <f t="shared" si="3"/>
        <v>37.262727025749008</v>
      </c>
      <c r="M79" s="1" t="str">
        <f>VLOOKUP(A79,CI!A$2:C$400,3,FALSE)</f>
        <v>P2</v>
      </c>
    </row>
    <row r="80" spans="1:13" ht="18" x14ac:dyDescent="0.25">
      <c r="A80" s="65" t="s">
        <v>105</v>
      </c>
      <c r="B80" s="66">
        <v>4103453</v>
      </c>
      <c r="C80" s="43">
        <v>3.15</v>
      </c>
      <c r="D80" s="42">
        <v>5.6695464362850965</v>
      </c>
      <c r="E80" s="44">
        <v>2569</v>
      </c>
      <c r="F80" s="44">
        <v>18997</v>
      </c>
      <c r="G80" s="44">
        <v>0.13523187871769227</v>
      </c>
      <c r="H80" s="42">
        <v>78.598790069656843</v>
      </c>
      <c r="I80" s="67">
        <v>13.79</v>
      </c>
      <c r="J80" s="44">
        <v>73.901393354769553</v>
      </c>
      <c r="K80" s="41">
        <f t="shared" si="2"/>
        <v>52.723243286903831</v>
      </c>
      <c r="L80" s="130">
        <f t="shared" si="3"/>
        <v>44.569395683325851</v>
      </c>
      <c r="M80" s="1" t="str">
        <f>VLOOKUP(A80,CI!A$2:C$400,3,FALSE)</f>
        <v>P1</v>
      </c>
    </row>
    <row r="81" spans="1:13" ht="18" x14ac:dyDescent="0.25">
      <c r="A81" s="65" t="s">
        <v>95</v>
      </c>
      <c r="B81" s="66">
        <v>4126603</v>
      </c>
      <c r="C81" s="43">
        <v>6.43</v>
      </c>
      <c r="D81" s="42">
        <v>11.573074154067674</v>
      </c>
      <c r="E81" s="44">
        <v>2922</v>
      </c>
      <c r="F81" s="44">
        <v>22811</v>
      </c>
      <c r="G81" s="44">
        <v>0.12809609398974178</v>
      </c>
      <c r="H81" s="42">
        <v>74.45136528244899</v>
      </c>
      <c r="I81" s="67">
        <v>11.7</v>
      </c>
      <c r="J81" s="44">
        <v>62.700964630225073</v>
      </c>
      <c r="K81" s="41">
        <f t="shared" si="2"/>
        <v>49.575134688913913</v>
      </c>
      <c r="L81" s="130">
        <f t="shared" si="3"/>
        <v>38.673343085004589</v>
      </c>
      <c r="M81" s="1" t="str">
        <f>VLOOKUP(A81,CI!A$2:C$400,3,FALSE)</f>
        <v>P2</v>
      </c>
    </row>
    <row r="82" spans="1:13" ht="18" x14ac:dyDescent="0.25">
      <c r="A82" s="65" t="s">
        <v>86</v>
      </c>
      <c r="B82" s="66">
        <v>4120804</v>
      </c>
      <c r="C82" s="43">
        <v>3.42</v>
      </c>
      <c r="D82" s="42">
        <v>6.1555075593952475</v>
      </c>
      <c r="E82" s="44">
        <v>3525</v>
      </c>
      <c r="F82" s="44">
        <v>24191</v>
      </c>
      <c r="G82" s="44">
        <v>0.14571534868339464</v>
      </c>
      <c r="H82" s="42">
        <v>84.691939575890785</v>
      </c>
      <c r="I82" s="67">
        <v>12.24</v>
      </c>
      <c r="J82" s="44">
        <v>65.59485530546624</v>
      </c>
      <c r="K82" s="41">
        <f t="shared" si="2"/>
        <v>52.147434146917419</v>
      </c>
      <c r="L82" s="130">
        <f t="shared" si="3"/>
        <v>43.490970060359182</v>
      </c>
      <c r="M82" s="1" t="str">
        <f>VLOOKUP(A82,CI!A$2:C$400,3,FALSE)</f>
        <v>P2</v>
      </c>
    </row>
    <row r="83" spans="1:13" ht="18" x14ac:dyDescent="0.25">
      <c r="A83" s="65" t="s">
        <v>154</v>
      </c>
      <c r="B83" s="66">
        <v>4102307</v>
      </c>
      <c r="C83" s="43">
        <v>19.350000000000001</v>
      </c>
      <c r="D83" s="42">
        <v>34.827213822894173</v>
      </c>
      <c r="E83" s="44">
        <v>1914</v>
      </c>
      <c r="F83" s="44">
        <v>13395</v>
      </c>
      <c r="G83" s="44">
        <v>0.14288913773796191</v>
      </c>
      <c r="H83" s="42">
        <v>83.049303513307024</v>
      </c>
      <c r="I83" s="67">
        <v>12.32</v>
      </c>
      <c r="J83" s="44">
        <v>66.023579849946415</v>
      </c>
      <c r="K83" s="41">
        <f t="shared" si="2"/>
        <v>61.300032395382537</v>
      </c>
      <c r="L83" s="130">
        <f t="shared" si="3"/>
        <v>60.632755041572928</v>
      </c>
      <c r="M83" s="1" t="str">
        <f>VLOOKUP(A83,CI!A$2:C$400,3,FALSE)</f>
        <v>P1</v>
      </c>
    </row>
    <row r="84" spans="1:13" ht="18" x14ac:dyDescent="0.25">
      <c r="A84" s="65" t="s">
        <v>98</v>
      </c>
      <c r="B84" s="66">
        <v>4104501</v>
      </c>
      <c r="C84" s="43">
        <v>8.1999999999999993</v>
      </c>
      <c r="D84" s="42">
        <v>14.75881929445644</v>
      </c>
      <c r="E84" s="44">
        <v>2464</v>
      </c>
      <c r="F84" s="44">
        <v>20481</v>
      </c>
      <c r="G84" s="44">
        <v>0.12030662565304429</v>
      </c>
      <c r="H84" s="42">
        <v>69.92400980712921</v>
      </c>
      <c r="I84" s="67">
        <v>13.33</v>
      </c>
      <c r="J84" s="44">
        <v>71.436227224008576</v>
      </c>
      <c r="K84" s="41">
        <f t="shared" si="2"/>
        <v>52.039685441864741</v>
      </c>
      <c r="L84" s="130">
        <f t="shared" si="3"/>
        <v>43.289168879549464</v>
      </c>
      <c r="M84" s="1" t="str">
        <f>VLOOKUP(A84,CI!A$2:C$400,3,FALSE)</f>
        <v>P2</v>
      </c>
    </row>
    <row r="85" spans="1:13" ht="18" x14ac:dyDescent="0.25">
      <c r="A85" s="65" t="s">
        <v>107</v>
      </c>
      <c r="B85" s="66">
        <v>4115606</v>
      </c>
      <c r="C85" s="43">
        <v>3.42</v>
      </c>
      <c r="D85" s="42">
        <v>6.1555075593952475</v>
      </c>
      <c r="E85" s="44">
        <v>2526</v>
      </c>
      <c r="F85" s="44">
        <v>18450</v>
      </c>
      <c r="G85" s="44">
        <v>0.13691056910569105</v>
      </c>
      <c r="H85" s="42">
        <v>79.574470025074078</v>
      </c>
      <c r="I85" s="67">
        <v>14.04</v>
      </c>
      <c r="J85" s="44">
        <v>75.241157556270082</v>
      </c>
      <c r="K85" s="41">
        <f t="shared" si="2"/>
        <v>53.65704504691314</v>
      </c>
      <c r="L85" s="130">
        <f t="shared" si="3"/>
        <v>46.318301136249332</v>
      </c>
      <c r="M85" s="1" t="str">
        <f>VLOOKUP(A85,CI!A$2:C$400,3,FALSE)</f>
        <v>P1</v>
      </c>
    </row>
    <row r="86" spans="1:13" ht="18" x14ac:dyDescent="0.25">
      <c r="A86" s="65" t="s">
        <v>97</v>
      </c>
      <c r="B86" s="66">
        <v>4105409</v>
      </c>
      <c r="C86" s="43">
        <v>7.55</v>
      </c>
      <c r="D86" s="42">
        <v>13.588912886969043</v>
      </c>
      <c r="E86" s="44">
        <v>2775</v>
      </c>
      <c r="F86" s="44">
        <v>21085</v>
      </c>
      <c r="G86" s="44">
        <v>0.13161014939530472</v>
      </c>
      <c r="H86" s="42">
        <v>76.493786830785055</v>
      </c>
      <c r="I86" s="67">
        <v>14.13</v>
      </c>
      <c r="J86" s="44">
        <v>75.723472668810288</v>
      </c>
      <c r="K86" s="41">
        <f t="shared" si="2"/>
        <v>55.268724128854792</v>
      </c>
      <c r="L86" s="130">
        <f t="shared" si="3"/>
        <v>49.336794413390258</v>
      </c>
      <c r="M86" s="1" t="str">
        <f>VLOOKUP(A86,CI!A$2:C$400,3,FALSE)</f>
        <v>P2</v>
      </c>
    </row>
    <row r="87" spans="1:13" ht="18" x14ac:dyDescent="0.25">
      <c r="A87" s="65" t="s">
        <v>79</v>
      </c>
      <c r="B87" s="66">
        <v>4101606</v>
      </c>
      <c r="C87" s="43">
        <v>16.57</v>
      </c>
      <c r="D87" s="42">
        <v>29.823614110871127</v>
      </c>
      <c r="E87" s="44">
        <v>3737</v>
      </c>
      <c r="F87" s="44">
        <v>25777</v>
      </c>
      <c r="G87" s="44">
        <v>0.14497420180781317</v>
      </c>
      <c r="H87" s="42">
        <v>84.261173929232726</v>
      </c>
      <c r="I87" s="67">
        <v>14.24</v>
      </c>
      <c r="J87" s="44">
        <v>76.312968917470528</v>
      </c>
      <c r="K87" s="41">
        <f t="shared" si="2"/>
        <v>63.465918985858131</v>
      </c>
      <c r="L87" s="130">
        <f t="shared" si="3"/>
        <v>64.689216520569119</v>
      </c>
      <c r="M87" s="1" t="str">
        <f>VLOOKUP(A87,CI!A$2:C$400,3,FALSE)</f>
        <v>P2</v>
      </c>
    </row>
    <row r="88" spans="1:13" ht="18" x14ac:dyDescent="0.25">
      <c r="A88" s="65" t="s">
        <v>87</v>
      </c>
      <c r="B88" s="66">
        <v>4106605</v>
      </c>
      <c r="C88" s="43">
        <v>13.99</v>
      </c>
      <c r="D88" s="42">
        <v>25.179985601151905</v>
      </c>
      <c r="E88" s="44">
        <v>2879</v>
      </c>
      <c r="F88" s="44">
        <v>23831</v>
      </c>
      <c r="G88" s="44">
        <v>0.12080903025471025</v>
      </c>
      <c r="H88" s="42">
        <v>70.216014874209634</v>
      </c>
      <c r="I88" s="67">
        <v>10.74</v>
      </c>
      <c r="J88" s="44">
        <v>57.556270096463024</v>
      </c>
      <c r="K88" s="41">
        <f t="shared" si="2"/>
        <v>50.984090190608185</v>
      </c>
      <c r="L88" s="130">
        <f t="shared" si="3"/>
        <v>41.312157944183141</v>
      </c>
      <c r="M88" s="1" t="str">
        <f>VLOOKUP(A88,CI!A$2:C$400,3,FALSE)</f>
        <v>P2</v>
      </c>
    </row>
    <row r="89" spans="1:13" ht="18" x14ac:dyDescent="0.25">
      <c r="A89" s="65" t="s">
        <v>99</v>
      </c>
      <c r="B89" s="66">
        <v>4127502</v>
      </c>
      <c r="C89" s="43">
        <v>10.45</v>
      </c>
      <c r="D89" s="42">
        <v>18.808495320374369</v>
      </c>
      <c r="E89" s="44">
        <v>3019</v>
      </c>
      <c r="F89" s="44">
        <v>19961</v>
      </c>
      <c r="G89" s="44">
        <v>0.15124492760883723</v>
      </c>
      <c r="H89" s="42">
        <v>87.905813532650356</v>
      </c>
      <c r="I89" s="67">
        <v>12.88</v>
      </c>
      <c r="J89" s="44">
        <v>69.024651661307615</v>
      </c>
      <c r="K89" s="41">
        <f t="shared" si="2"/>
        <v>58.579653504777447</v>
      </c>
      <c r="L89" s="130">
        <f t="shared" si="3"/>
        <v>55.537791978160264</v>
      </c>
      <c r="M89" s="1" t="str">
        <f>VLOOKUP(A89,CI!A$2:C$400,3,FALSE)</f>
        <v>P1</v>
      </c>
    </row>
    <row r="90" spans="1:13" ht="18" x14ac:dyDescent="0.25">
      <c r="A90" s="65" t="s">
        <v>114</v>
      </c>
      <c r="B90" s="66">
        <v>4106308</v>
      </c>
      <c r="C90" s="43">
        <v>9.01</v>
      </c>
      <c r="D90" s="42">
        <v>16.216702663786897</v>
      </c>
      <c r="E90" s="44">
        <v>2303</v>
      </c>
      <c r="F90" s="44">
        <v>17470</v>
      </c>
      <c r="G90" s="44">
        <v>0.1318259874069834</v>
      </c>
      <c r="H90" s="42">
        <v>76.619235110656987</v>
      </c>
      <c r="I90" s="67">
        <v>13.39</v>
      </c>
      <c r="J90" s="44">
        <v>71.757770632368704</v>
      </c>
      <c r="K90" s="41">
        <f t="shared" si="2"/>
        <v>54.864569468937532</v>
      </c>
      <c r="L90" s="130">
        <f t="shared" si="3"/>
        <v>48.579858285376659</v>
      </c>
      <c r="M90" s="1" t="str">
        <f>VLOOKUP(A90,CI!A$2:C$400,3,FALSE)</f>
        <v>P1</v>
      </c>
    </row>
    <row r="91" spans="1:13" ht="18" x14ac:dyDescent="0.25">
      <c r="A91" s="65" t="s">
        <v>78</v>
      </c>
      <c r="B91" s="66">
        <v>4116901</v>
      </c>
      <c r="C91" s="43">
        <v>7.02</v>
      </c>
      <c r="D91" s="42">
        <v>12.634989200863931</v>
      </c>
      <c r="E91" s="44">
        <v>3193</v>
      </c>
      <c r="F91" s="44">
        <v>26585</v>
      </c>
      <c r="G91" s="44">
        <v>0.12010532255031033</v>
      </c>
      <c r="H91" s="42">
        <v>69.807009433680363</v>
      </c>
      <c r="I91" s="67">
        <v>11.4</v>
      </c>
      <c r="J91" s="44">
        <v>61.09324758842444</v>
      </c>
      <c r="K91" s="41">
        <f t="shared" si="2"/>
        <v>47.84508207432291</v>
      </c>
      <c r="L91" s="130">
        <f t="shared" si="3"/>
        <v>35.433149522430277</v>
      </c>
      <c r="M91" s="1" t="str">
        <f>VLOOKUP(A91,CI!A$2:C$400,3,FALSE)</f>
        <v>P2</v>
      </c>
    </row>
    <row r="92" spans="1:13" ht="18" x14ac:dyDescent="0.25">
      <c r="A92" s="65" t="s">
        <v>84</v>
      </c>
      <c r="B92" s="66">
        <v>4124053</v>
      </c>
      <c r="C92" s="43">
        <v>25.08</v>
      </c>
      <c r="D92" s="42">
        <v>45.140388768898482</v>
      </c>
      <c r="E92" s="44">
        <v>3229</v>
      </c>
      <c r="F92" s="44">
        <v>24262</v>
      </c>
      <c r="G92" s="44">
        <v>0.13308878080949632</v>
      </c>
      <c r="H92" s="42">
        <v>77.353189519089511</v>
      </c>
      <c r="I92" s="67">
        <v>11.42</v>
      </c>
      <c r="J92" s="44">
        <v>61.200428724544473</v>
      </c>
      <c r="K92" s="41">
        <f t="shared" si="2"/>
        <v>61.231335670844153</v>
      </c>
      <c r="L92" s="130">
        <f t="shared" si="3"/>
        <v>60.504093818936155</v>
      </c>
      <c r="M92" s="1" t="str">
        <f>VLOOKUP(A92,CI!A$2:C$400,3,FALSE)</f>
        <v>P2</v>
      </c>
    </row>
    <row r="93" spans="1:13" ht="18" x14ac:dyDescent="0.25">
      <c r="A93" s="65" t="s">
        <v>131</v>
      </c>
      <c r="B93" s="66">
        <v>4104428</v>
      </c>
      <c r="C93" s="43">
        <v>9.26</v>
      </c>
      <c r="D93" s="42">
        <v>16.666666666666664</v>
      </c>
      <c r="E93" s="44">
        <v>2241</v>
      </c>
      <c r="F93" s="44">
        <v>14973</v>
      </c>
      <c r="G93" s="44">
        <v>0.14966940492887196</v>
      </c>
      <c r="H93" s="42">
        <v>86.990096191836898</v>
      </c>
      <c r="I93" s="67">
        <v>13.02</v>
      </c>
      <c r="J93" s="44">
        <v>69.774919614147919</v>
      </c>
      <c r="K93" s="41">
        <f t="shared" si="2"/>
        <v>57.810560824217156</v>
      </c>
      <c r="L93" s="130">
        <f t="shared" si="3"/>
        <v>54.097368067605615</v>
      </c>
      <c r="M93" s="1" t="str">
        <f>VLOOKUP(A93,CI!A$2:C$400,3,FALSE)</f>
        <v>P1</v>
      </c>
    </row>
    <row r="94" spans="1:13" ht="18" x14ac:dyDescent="0.25">
      <c r="A94" s="65" t="s">
        <v>117</v>
      </c>
      <c r="B94" s="66">
        <v>4114401</v>
      </c>
      <c r="C94" s="43">
        <v>29.17</v>
      </c>
      <c r="D94" s="42">
        <v>52.501799856011523</v>
      </c>
      <c r="E94" s="44">
        <v>2440</v>
      </c>
      <c r="F94" s="44">
        <v>16603</v>
      </c>
      <c r="G94" s="44">
        <v>0.14696139251942419</v>
      </c>
      <c r="H94" s="42">
        <v>85.416158885822341</v>
      </c>
      <c r="I94" s="67">
        <v>13.91</v>
      </c>
      <c r="J94" s="44">
        <v>74.544480171489809</v>
      </c>
      <c r="K94" s="41">
        <f t="shared" si="2"/>
        <v>70.820812971107898</v>
      </c>
      <c r="L94" s="130">
        <f t="shared" si="3"/>
        <v>78.464104025974123</v>
      </c>
      <c r="M94" s="1" t="str">
        <f>VLOOKUP(A94,CI!A$2:C$400,3,FALSE)</f>
        <v>P1</v>
      </c>
    </row>
    <row r="95" spans="1:13" ht="18" x14ac:dyDescent="0.25">
      <c r="A95" s="65" t="s">
        <v>90</v>
      </c>
      <c r="B95" s="66">
        <v>4106506</v>
      </c>
      <c r="C95" s="43">
        <v>12.5</v>
      </c>
      <c r="D95" s="42">
        <v>22.49820014398848</v>
      </c>
      <c r="E95" s="44">
        <v>3085</v>
      </c>
      <c r="F95" s="44">
        <v>23331</v>
      </c>
      <c r="G95" s="44">
        <v>0.13222750846513223</v>
      </c>
      <c r="H95" s="42">
        <v>76.852605153706293</v>
      </c>
      <c r="I95" s="67">
        <v>13.42</v>
      </c>
      <c r="J95" s="44">
        <v>71.918542336548768</v>
      </c>
      <c r="K95" s="41">
        <f t="shared" si="2"/>
        <v>57.089782544747855</v>
      </c>
      <c r="L95" s="130">
        <f t="shared" si="3"/>
        <v>52.747431585048432</v>
      </c>
      <c r="M95" s="1" t="str">
        <f>VLOOKUP(A95,CI!A$2:C$400,3,FALSE)</f>
        <v>P2</v>
      </c>
    </row>
    <row r="96" spans="1:13" ht="18" x14ac:dyDescent="0.25">
      <c r="A96" s="65" t="s">
        <v>110</v>
      </c>
      <c r="B96" s="66">
        <v>4127403</v>
      </c>
      <c r="C96" s="43">
        <v>4.1500000000000004</v>
      </c>
      <c r="D96" s="42">
        <v>7.4694024478041756</v>
      </c>
      <c r="E96" s="44">
        <v>2405</v>
      </c>
      <c r="F96" s="44">
        <v>18119</v>
      </c>
      <c r="G96" s="44">
        <v>0.13273359456923672</v>
      </c>
      <c r="H96" s="42">
        <v>77.146749965054511</v>
      </c>
      <c r="I96" s="67">
        <v>12.53</v>
      </c>
      <c r="J96" s="44">
        <v>67.148981779206849</v>
      </c>
      <c r="K96" s="41">
        <f t="shared" si="2"/>
        <v>50.588378064021846</v>
      </c>
      <c r="L96" s="130">
        <f t="shared" si="3"/>
        <v>40.57103372958764</v>
      </c>
      <c r="M96" s="1" t="str">
        <f>VLOOKUP(A96,CI!A$2:C$400,3,FALSE)</f>
        <v>P1</v>
      </c>
    </row>
    <row r="97" spans="1:13" ht="18" x14ac:dyDescent="0.25">
      <c r="A97" s="65" t="s">
        <v>119</v>
      </c>
      <c r="B97" s="66">
        <v>4105201</v>
      </c>
      <c r="C97" s="43">
        <v>0</v>
      </c>
      <c r="D97" s="42">
        <v>0</v>
      </c>
      <c r="E97" s="44">
        <v>2262</v>
      </c>
      <c r="F97" s="44">
        <v>16134</v>
      </c>
      <c r="G97" s="44">
        <v>0.14020081814801041</v>
      </c>
      <c r="H97" s="42">
        <v>81.486811968455768</v>
      </c>
      <c r="I97" s="67">
        <v>12.83</v>
      </c>
      <c r="J97" s="44">
        <v>68.756698821007504</v>
      </c>
      <c r="K97" s="41">
        <f t="shared" si="2"/>
        <v>50.081170263154426</v>
      </c>
      <c r="L97" s="130">
        <f t="shared" si="3"/>
        <v>39.621090683117572</v>
      </c>
      <c r="M97" s="1" t="str">
        <f>VLOOKUP(A97,CI!A$2:C$400,3,FALSE)</f>
        <v>P1</v>
      </c>
    </row>
    <row r="98" spans="1:13" ht="18" x14ac:dyDescent="0.25">
      <c r="A98" s="65" t="s">
        <v>91</v>
      </c>
      <c r="B98" s="66">
        <v>4104659</v>
      </c>
      <c r="C98" s="43">
        <v>8.67</v>
      </c>
      <c r="D98" s="42">
        <v>15.604751619870411</v>
      </c>
      <c r="E98" s="44">
        <v>3786</v>
      </c>
      <c r="F98" s="44">
        <v>23283</v>
      </c>
      <c r="G98" s="44">
        <v>0.16260791135162994</v>
      </c>
      <c r="H98" s="42">
        <v>94.510149597737069</v>
      </c>
      <c r="I98" s="67">
        <v>14.77</v>
      </c>
      <c r="J98" s="44">
        <v>79.153269024651664</v>
      </c>
      <c r="K98" s="41">
        <f t="shared" si="2"/>
        <v>63.089390080753049</v>
      </c>
      <c r="L98" s="130">
        <f t="shared" si="3"/>
        <v>63.984020317774416</v>
      </c>
      <c r="M98" s="1" t="str">
        <f>VLOOKUP(A98,CI!A$2:C$400,3,FALSE)</f>
        <v>P2</v>
      </c>
    </row>
    <row r="99" spans="1:13" ht="18" x14ac:dyDescent="0.25">
      <c r="A99" s="65" t="s">
        <v>102</v>
      </c>
      <c r="B99" s="66">
        <v>4121406</v>
      </c>
      <c r="C99" s="43">
        <v>4.83</v>
      </c>
      <c r="D99" s="42">
        <v>8.6933045356371483</v>
      </c>
      <c r="E99" s="44">
        <v>2421</v>
      </c>
      <c r="F99" s="44">
        <v>19247</v>
      </c>
      <c r="G99" s="44">
        <v>0.1257858367537798</v>
      </c>
      <c r="H99" s="42">
        <v>73.108609231005289</v>
      </c>
      <c r="I99" s="67">
        <v>12.47</v>
      </c>
      <c r="J99" s="44">
        <v>66.827438370846735</v>
      </c>
      <c r="K99" s="41">
        <f t="shared" si="2"/>
        <v>49.543117379163057</v>
      </c>
      <c r="L99" s="130">
        <f t="shared" si="3"/>
        <v>38.613378272333151</v>
      </c>
      <c r="M99" s="1" t="str">
        <f>VLOOKUP(A99,CI!A$2:C$400,3,FALSE)</f>
        <v>P1</v>
      </c>
    </row>
    <row r="100" spans="1:13" ht="18" x14ac:dyDescent="0.25">
      <c r="A100" s="65" t="s">
        <v>89</v>
      </c>
      <c r="B100" s="66">
        <v>4119400</v>
      </c>
      <c r="C100" s="43">
        <v>5.93</v>
      </c>
      <c r="D100" s="42">
        <v>10.673146148308135</v>
      </c>
      <c r="E100" s="44">
        <v>3482</v>
      </c>
      <c r="F100" s="44">
        <v>23651</v>
      </c>
      <c r="G100" s="44">
        <v>0.14722421884909728</v>
      </c>
      <c r="H100" s="42">
        <v>85.568917478741696</v>
      </c>
      <c r="I100" s="67">
        <v>13.19</v>
      </c>
      <c r="J100" s="44">
        <v>70.685959271168272</v>
      </c>
      <c r="K100" s="41">
        <f t="shared" si="2"/>
        <v>55.642674299406032</v>
      </c>
      <c r="L100" s="130">
        <f t="shared" si="3"/>
        <v>50.03716093700038</v>
      </c>
      <c r="M100" s="1" t="str">
        <f>VLOOKUP(A100,CI!A$2:C$400,3,FALSE)</f>
        <v>P2</v>
      </c>
    </row>
    <row r="101" spans="1:13" ht="18" x14ac:dyDescent="0.25">
      <c r="A101" s="65" t="s">
        <v>115</v>
      </c>
      <c r="B101" s="66">
        <v>4126306</v>
      </c>
      <c r="C101" s="43">
        <v>22.42</v>
      </c>
      <c r="D101" s="42">
        <v>40.35277177825774</v>
      </c>
      <c r="E101" s="44">
        <v>2526</v>
      </c>
      <c r="F101" s="44">
        <v>17270</v>
      </c>
      <c r="G101" s="44">
        <v>0.14626519976838448</v>
      </c>
      <c r="H101" s="42">
        <v>85.011521248559177</v>
      </c>
      <c r="I101" s="67">
        <v>13.38</v>
      </c>
      <c r="J101" s="44">
        <v>71.704180064308687</v>
      </c>
      <c r="K101" s="41">
        <f t="shared" si="2"/>
        <v>65.689491030375208</v>
      </c>
      <c r="L101" s="130">
        <f t="shared" si="3"/>
        <v>68.853716353580111</v>
      </c>
      <c r="M101" s="1" t="str">
        <f>VLOOKUP(A101,CI!A$2:C$400,3,FALSE)</f>
        <v>P1</v>
      </c>
    </row>
    <row r="102" spans="1:13" ht="18" x14ac:dyDescent="0.25">
      <c r="A102" s="65" t="s">
        <v>118</v>
      </c>
      <c r="B102" s="66">
        <v>4107603</v>
      </c>
      <c r="C102" s="43">
        <v>10</v>
      </c>
      <c r="D102" s="42">
        <v>17.998560115190784</v>
      </c>
      <c r="E102" s="44">
        <v>2349</v>
      </c>
      <c r="F102" s="44">
        <v>16389</v>
      </c>
      <c r="G102" s="44">
        <v>0.14332784184514002</v>
      </c>
      <c r="H102" s="42">
        <v>83.304284900460374</v>
      </c>
      <c r="I102" s="67">
        <v>14.52</v>
      </c>
      <c r="J102" s="44">
        <v>77.813504823151121</v>
      </c>
      <c r="K102" s="41">
        <f t="shared" si="2"/>
        <v>59.705449946267429</v>
      </c>
      <c r="L102" s="130">
        <f t="shared" si="3"/>
        <v>57.646281830850256</v>
      </c>
      <c r="M102" s="1" t="str">
        <f>VLOOKUP(A102,CI!A$2:C$400,3,FALSE)</f>
        <v>P1</v>
      </c>
    </row>
    <row r="103" spans="1:13" ht="18" x14ac:dyDescent="0.25">
      <c r="A103" s="65" t="s">
        <v>112</v>
      </c>
      <c r="B103" s="66">
        <v>4127601</v>
      </c>
      <c r="C103" s="43">
        <v>33.82</v>
      </c>
      <c r="D103" s="42">
        <v>60.871130309575229</v>
      </c>
      <c r="E103" s="44">
        <v>2516</v>
      </c>
      <c r="F103" s="44">
        <v>17621</v>
      </c>
      <c r="G103" s="44">
        <v>0.14278417796946824</v>
      </c>
      <c r="H103" s="42">
        <v>82.988299326366644</v>
      </c>
      <c r="I103" s="67">
        <v>11.69</v>
      </c>
      <c r="J103" s="44">
        <v>62.647374062165049</v>
      </c>
      <c r="K103" s="41">
        <f t="shared" si="2"/>
        <v>68.835601232702302</v>
      </c>
      <c r="L103" s="130">
        <f t="shared" si="3"/>
        <v>74.746026182052901</v>
      </c>
      <c r="M103" s="1" t="str">
        <f>VLOOKUP(A103,CI!A$2:C$400,3,FALSE)</f>
        <v>P1</v>
      </c>
    </row>
    <row r="104" spans="1:13" ht="18" x14ac:dyDescent="0.25">
      <c r="A104" s="65" t="s">
        <v>113</v>
      </c>
      <c r="B104" s="66">
        <v>4127205</v>
      </c>
      <c r="C104" s="43">
        <v>12.4</v>
      </c>
      <c r="D104" s="42">
        <v>22.318214542836571</v>
      </c>
      <c r="E104" s="44">
        <v>2246</v>
      </c>
      <c r="F104" s="44">
        <v>17568</v>
      </c>
      <c r="G104" s="44">
        <v>0.12784608378870674</v>
      </c>
      <c r="H104" s="42">
        <v>74.306055615137126</v>
      </c>
      <c r="I104" s="67">
        <v>11.95</v>
      </c>
      <c r="J104" s="44">
        <v>64.040728831725616</v>
      </c>
      <c r="K104" s="41">
        <f t="shared" si="2"/>
        <v>53.554999663233104</v>
      </c>
      <c r="L104" s="130">
        <f t="shared" si="3"/>
        <v>46.127181633581124</v>
      </c>
      <c r="M104" s="1" t="str">
        <f>VLOOKUP(A104,CI!A$2:C$400,3,FALSE)</f>
        <v>P1</v>
      </c>
    </row>
    <row r="105" spans="1:13" ht="18" x14ac:dyDescent="0.25">
      <c r="A105" s="65" t="s">
        <v>130</v>
      </c>
      <c r="B105" s="66">
        <v>4105706</v>
      </c>
      <c r="C105" s="43">
        <v>23.26</v>
      </c>
      <c r="D105" s="42">
        <v>41.864650827933765</v>
      </c>
      <c r="E105" s="44">
        <v>2149</v>
      </c>
      <c r="F105" s="44">
        <v>15070</v>
      </c>
      <c r="G105" s="44">
        <v>0.14260119442601193</v>
      </c>
      <c r="H105" s="42">
        <v>82.881946554707326</v>
      </c>
      <c r="I105" s="67">
        <v>15.59</v>
      </c>
      <c r="J105" s="44">
        <v>83.547695605573409</v>
      </c>
      <c r="K105" s="41">
        <f t="shared" si="2"/>
        <v>69.431430996071498</v>
      </c>
      <c r="L105" s="130">
        <f t="shared" si="3"/>
        <v>75.861948176203043</v>
      </c>
      <c r="M105" s="1" t="str">
        <f>VLOOKUP(A105,CI!A$2:C$400,3,FALSE)</f>
        <v>P1</v>
      </c>
    </row>
    <row r="106" spans="1:13" ht="18" x14ac:dyDescent="0.25">
      <c r="A106" s="65" t="s">
        <v>103</v>
      </c>
      <c r="B106" s="66">
        <v>4128500</v>
      </c>
      <c r="C106" s="43">
        <v>6.54</v>
      </c>
      <c r="D106" s="42">
        <v>11.771058315334773</v>
      </c>
      <c r="E106" s="44">
        <v>2583</v>
      </c>
      <c r="F106" s="44">
        <v>19188</v>
      </c>
      <c r="G106" s="44">
        <v>0.13461538461538461</v>
      </c>
      <c r="H106" s="42">
        <v>78.240474478792237</v>
      </c>
      <c r="I106" s="67">
        <v>14.07</v>
      </c>
      <c r="J106" s="44">
        <v>75.40192926045016</v>
      </c>
      <c r="K106" s="41">
        <f t="shared" si="2"/>
        <v>55.137820684859058</v>
      </c>
      <c r="L106" s="130">
        <f t="shared" si="3"/>
        <v>49.091627016181327</v>
      </c>
      <c r="M106" s="1" t="str">
        <f>VLOOKUP(A106,CI!A$2:C$400,3,FALSE)</f>
        <v>P1</v>
      </c>
    </row>
    <row r="107" spans="1:13" ht="18" x14ac:dyDescent="0.25">
      <c r="A107" s="65" t="s">
        <v>159</v>
      </c>
      <c r="B107" s="66">
        <v>4124020</v>
      </c>
      <c r="C107" s="43">
        <v>0</v>
      </c>
      <c r="D107" s="42">
        <v>0</v>
      </c>
      <c r="E107" s="44">
        <v>1945</v>
      </c>
      <c r="F107" s="44">
        <v>13174</v>
      </c>
      <c r="G107" s="44">
        <v>0.1476392895096402</v>
      </c>
      <c r="H107" s="42">
        <v>85.810162753313307</v>
      </c>
      <c r="I107" s="67">
        <v>15.03</v>
      </c>
      <c r="J107" s="44">
        <v>80.546623794212209</v>
      </c>
      <c r="K107" s="41">
        <f t="shared" si="2"/>
        <v>55.452262182508512</v>
      </c>
      <c r="L107" s="130">
        <f t="shared" si="3"/>
        <v>49.680540502336115</v>
      </c>
      <c r="M107" s="1" t="str">
        <f>VLOOKUP(A107,CI!A$2:C$400,3,FALSE)</f>
        <v>P1</v>
      </c>
    </row>
    <row r="108" spans="1:13" ht="18" x14ac:dyDescent="0.25">
      <c r="A108" s="65" t="s">
        <v>174</v>
      </c>
      <c r="B108" s="66">
        <v>4110953</v>
      </c>
      <c r="C108" s="43">
        <v>14.49</v>
      </c>
      <c r="D108" s="42">
        <v>26.079913606911447</v>
      </c>
      <c r="E108" s="44">
        <v>1652</v>
      </c>
      <c r="F108" s="44">
        <v>11485</v>
      </c>
      <c r="G108" s="44">
        <v>0.14383979103178057</v>
      </c>
      <c r="H108" s="42">
        <v>83.601837423050796</v>
      </c>
      <c r="I108" s="67">
        <v>13.32</v>
      </c>
      <c r="J108" s="44">
        <v>71.382636655948545</v>
      </c>
      <c r="K108" s="41">
        <f t="shared" si="2"/>
        <v>60.354795895303596</v>
      </c>
      <c r="L108" s="130">
        <f t="shared" si="3"/>
        <v>58.862433609244633</v>
      </c>
      <c r="M108" s="1" t="str">
        <f>VLOOKUP(A108,CI!A$2:C$400,3,FALSE)</f>
        <v>P1</v>
      </c>
    </row>
    <row r="109" spans="1:13" ht="18" x14ac:dyDescent="0.25">
      <c r="A109" s="65" t="s">
        <v>100</v>
      </c>
      <c r="B109" s="66">
        <v>4101101</v>
      </c>
      <c r="C109" s="43">
        <v>13.27</v>
      </c>
      <c r="D109" s="42">
        <v>23.884089272858169</v>
      </c>
      <c r="E109" s="44">
        <v>2375</v>
      </c>
      <c r="F109" s="44">
        <v>19878</v>
      </c>
      <c r="G109" s="44">
        <v>0.11947882080692222</v>
      </c>
      <c r="H109" s="42">
        <v>69.442877252172835</v>
      </c>
      <c r="I109" s="67">
        <v>10.210000000000001</v>
      </c>
      <c r="J109" s="44">
        <v>54.715969989281888</v>
      </c>
      <c r="K109" s="41">
        <f t="shared" si="2"/>
        <v>49.347645504770959</v>
      </c>
      <c r="L109" s="130">
        <f t="shared" si="3"/>
        <v>38.247281482138519</v>
      </c>
      <c r="M109" s="1" t="str">
        <f>VLOOKUP(A109,CI!A$2:C$400,3,FALSE)</f>
        <v>P1</v>
      </c>
    </row>
    <row r="110" spans="1:13" ht="18" x14ac:dyDescent="0.25">
      <c r="A110" s="65" t="s">
        <v>167</v>
      </c>
      <c r="B110" s="66">
        <v>4117057</v>
      </c>
      <c r="C110" s="43">
        <v>16.95</v>
      </c>
      <c r="D110" s="42">
        <v>30.507559395248379</v>
      </c>
      <c r="E110" s="44">
        <v>1939</v>
      </c>
      <c r="F110" s="44">
        <v>12074</v>
      </c>
      <c r="G110" s="44">
        <v>0.16059300977306609</v>
      </c>
      <c r="H110" s="42">
        <v>93.339058670906354</v>
      </c>
      <c r="I110" s="67">
        <v>16.07</v>
      </c>
      <c r="J110" s="44">
        <v>86.120042872454448</v>
      </c>
      <c r="K110" s="41">
        <f t="shared" si="2"/>
        <v>69.988886979536389</v>
      </c>
      <c r="L110" s="130">
        <f t="shared" si="3"/>
        <v>76.906000405486537</v>
      </c>
      <c r="M110" s="1" t="str">
        <f>VLOOKUP(A110,CI!A$2:C$400,3,FALSE)</f>
        <v>P1</v>
      </c>
    </row>
    <row r="111" spans="1:13" ht="18" x14ac:dyDescent="0.25">
      <c r="A111" s="65" t="s">
        <v>150</v>
      </c>
      <c r="B111" s="66">
        <v>4119103</v>
      </c>
      <c r="C111" s="43">
        <v>0</v>
      </c>
      <c r="D111" s="42">
        <v>0</v>
      </c>
      <c r="E111" s="44">
        <v>1978</v>
      </c>
      <c r="F111" s="44">
        <v>13655</v>
      </c>
      <c r="G111" s="44">
        <v>0.14485536433540827</v>
      </c>
      <c r="H111" s="42">
        <v>84.192103813262065</v>
      </c>
      <c r="I111" s="67">
        <v>14.43</v>
      </c>
      <c r="J111" s="44">
        <v>77.331189710610929</v>
      </c>
      <c r="K111" s="41">
        <f t="shared" si="2"/>
        <v>53.841097841291003</v>
      </c>
      <c r="L111" s="130">
        <f t="shared" si="3"/>
        <v>46.66301127655796</v>
      </c>
      <c r="M111" s="1" t="str">
        <f>VLOOKUP(A111,CI!A$2:C$400,3,FALSE)</f>
        <v>P1</v>
      </c>
    </row>
    <row r="112" spans="1:13" ht="18" x14ac:dyDescent="0.25">
      <c r="A112" s="65" t="s">
        <v>93</v>
      </c>
      <c r="B112" s="66">
        <v>4103602</v>
      </c>
      <c r="C112" s="43">
        <v>10.75</v>
      </c>
      <c r="D112" s="42">
        <v>19.348452123830093</v>
      </c>
      <c r="E112" s="44">
        <v>2843</v>
      </c>
      <c r="F112" s="44">
        <v>23212</v>
      </c>
      <c r="G112" s="44">
        <v>0.12247975185249009</v>
      </c>
      <c r="H112" s="42">
        <v>71.187063249592143</v>
      </c>
      <c r="I112" s="67">
        <v>10.17</v>
      </c>
      <c r="J112" s="44">
        <v>54.5016077170418</v>
      </c>
      <c r="K112" s="41">
        <f t="shared" si="2"/>
        <v>48.345707696821343</v>
      </c>
      <c r="L112" s="130">
        <f t="shared" si="3"/>
        <v>36.370764890655742</v>
      </c>
      <c r="M112" s="1" t="str">
        <f>VLOOKUP(A112,CI!A$2:C$400,3,FALSE)</f>
        <v>P2</v>
      </c>
    </row>
    <row r="113" spans="1:13" ht="18" x14ac:dyDescent="0.25">
      <c r="A113" s="65" t="s">
        <v>126</v>
      </c>
      <c r="B113" s="66">
        <v>4102901</v>
      </c>
      <c r="C113" s="43">
        <v>14.87</v>
      </c>
      <c r="D113" s="42">
        <v>26.763858891288695</v>
      </c>
      <c r="E113" s="44">
        <v>2240</v>
      </c>
      <c r="F113" s="44">
        <v>15533</v>
      </c>
      <c r="G113" s="44">
        <v>0.14420910319963948</v>
      </c>
      <c r="H113" s="42">
        <v>83.816487177435334</v>
      </c>
      <c r="I113" s="67">
        <v>16.420000000000002</v>
      </c>
      <c r="J113" s="44">
        <v>87.995712754555214</v>
      </c>
      <c r="K113" s="41">
        <f t="shared" si="2"/>
        <v>66.192019607759747</v>
      </c>
      <c r="L113" s="130">
        <f t="shared" si="3"/>
        <v>69.794895741835859</v>
      </c>
      <c r="M113" s="1" t="str">
        <f>VLOOKUP(A113,CI!A$2:C$400,3,FALSE)</f>
        <v>P1</v>
      </c>
    </row>
    <row r="114" spans="1:13" ht="18" x14ac:dyDescent="0.25">
      <c r="A114" s="65" t="s">
        <v>157</v>
      </c>
      <c r="B114" s="66">
        <v>4118006</v>
      </c>
      <c r="C114" s="43">
        <v>31.58</v>
      </c>
      <c r="D114" s="42">
        <v>56.839452843772499</v>
      </c>
      <c r="E114" s="44">
        <v>1766</v>
      </c>
      <c r="F114" s="44">
        <v>13245</v>
      </c>
      <c r="G114" s="44">
        <v>0.13333333333333333</v>
      </c>
      <c r="H114" s="42">
        <v>77.495327102803742</v>
      </c>
      <c r="I114" s="67">
        <v>13.21</v>
      </c>
      <c r="J114" s="44">
        <v>70.79314040728832</v>
      </c>
      <c r="K114" s="41">
        <f t="shared" si="2"/>
        <v>68.375973451288189</v>
      </c>
      <c r="L114" s="130">
        <f t="shared" si="3"/>
        <v>73.885195149540976</v>
      </c>
      <c r="M114" s="1" t="str">
        <f>VLOOKUP(A114,CI!A$2:C$400,3,FALSE)</f>
        <v>P1</v>
      </c>
    </row>
    <row r="115" spans="1:13" ht="18" x14ac:dyDescent="0.25">
      <c r="A115" s="65" t="s">
        <v>139</v>
      </c>
      <c r="B115" s="66">
        <v>4114500</v>
      </c>
      <c r="C115" s="43">
        <v>0</v>
      </c>
      <c r="D115" s="42">
        <v>0</v>
      </c>
      <c r="E115" s="44">
        <v>2133</v>
      </c>
      <c r="F115" s="44">
        <v>14240</v>
      </c>
      <c r="G115" s="44">
        <v>0.14978932584269664</v>
      </c>
      <c r="H115" s="42">
        <v>87.059796020161727</v>
      </c>
      <c r="I115" s="67">
        <v>15.59</v>
      </c>
      <c r="J115" s="44">
        <v>83.547695605573409</v>
      </c>
      <c r="K115" s="41">
        <f t="shared" si="2"/>
        <v>56.869163875245043</v>
      </c>
      <c r="L115" s="130">
        <f t="shared" si="3"/>
        <v>52.334237681766062</v>
      </c>
      <c r="M115" s="1" t="str">
        <f>VLOOKUP(A115,CI!A$2:C$400,3,FALSE)</f>
        <v>P1</v>
      </c>
    </row>
    <row r="116" spans="1:13" ht="18" x14ac:dyDescent="0.25">
      <c r="A116" s="65" t="s">
        <v>101</v>
      </c>
      <c r="B116" s="66">
        <v>4101002</v>
      </c>
      <c r="C116" s="43">
        <v>3.62</v>
      </c>
      <c r="D116" s="42">
        <v>6.5154787616990646</v>
      </c>
      <c r="E116" s="44">
        <v>2550</v>
      </c>
      <c r="F116" s="44">
        <v>19620</v>
      </c>
      <c r="G116" s="44">
        <v>0.12996941896024464</v>
      </c>
      <c r="H116" s="42">
        <v>75.54016976764126</v>
      </c>
      <c r="I116" s="67">
        <v>13.81</v>
      </c>
      <c r="J116" s="44">
        <v>74.0085744908896</v>
      </c>
      <c r="K116" s="41">
        <f t="shared" si="2"/>
        <v>52.021407673409975</v>
      </c>
      <c r="L116" s="130">
        <f t="shared" si="3"/>
        <v>43.254936679218744</v>
      </c>
      <c r="M116" s="1" t="str">
        <f>VLOOKUP(A116,CI!A$2:C$400,3,FALSE)</f>
        <v>P1</v>
      </c>
    </row>
    <row r="117" spans="1:13" ht="18" x14ac:dyDescent="0.25">
      <c r="A117" s="65" t="s">
        <v>96</v>
      </c>
      <c r="B117" s="66">
        <v>4112108</v>
      </c>
      <c r="C117" s="43">
        <v>8.51</v>
      </c>
      <c r="D117" s="42">
        <v>15.316774658027358</v>
      </c>
      <c r="E117" s="44">
        <v>2414</v>
      </c>
      <c r="F117" s="44">
        <v>21408</v>
      </c>
      <c r="G117" s="44">
        <v>0.11276158445440956</v>
      </c>
      <c r="H117" s="42">
        <v>65.538719039436742</v>
      </c>
      <c r="I117" s="67">
        <v>11.58</v>
      </c>
      <c r="J117" s="44">
        <v>62.057877813504824</v>
      </c>
      <c r="K117" s="41">
        <f t="shared" si="2"/>
        <v>47.637790503656305</v>
      </c>
      <c r="L117" s="130">
        <f t="shared" si="3"/>
        <v>35.044915773245343</v>
      </c>
      <c r="M117" s="1" t="str">
        <f>VLOOKUP(A117,CI!A$2:C$400,3,FALSE)</f>
        <v>P2</v>
      </c>
    </row>
    <row r="118" spans="1:13" ht="18" x14ac:dyDescent="0.25">
      <c r="A118" s="65" t="s">
        <v>145</v>
      </c>
      <c r="B118" s="66">
        <v>4100608</v>
      </c>
      <c r="C118" s="43">
        <v>11.11</v>
      </c>
      <c r="D118" s="42">
        <v>19.996400287976961</v>
      </c>
      <c r="E118" s="44">
        <v>1923</v>
      </c>
      <c r="F118" s="44">
        <v>13909</v>
      </c>
      <c r="G118" s="44">
        <v>0.13825580559350062</v>
      </c>
      <c r="H118" s="42">
        <v>80.356341587474816</v>
      </c>
      <c r="I118" s="67">
        <v>11.86</v>
      </c>
      <c r="J118" s="44">
        <v>63.558413719185424</v>
      </c>
      <c r="K118" s="41">
        <f t="shared" si="2"/>
        <v>54.637051864879062</v>
      </c>
      <c r="L118" s="130">
        <f t="shared" si="3"/>
        <v>48.153743455211881</v>
      </c>
      <c r="M118" s="1" t="str">
        <f>VLOOKUP(A118,CI!A$2:C$400,3,FALSE)</f>
        <v>P1</v>
      </c>
    </row>
    <row r="119" spans="1:13" ht="18" x14ac:dyDescent="0.25">
      <c r="A119" s="65" t="s">
        <v>123</v>
      </c>
      <c r="B119" s="66">
        <v>4126801</v>
      </c>
      <c r="C119" s="43">
        <v>11.83</v>
      </c>
      <c r="D119" s="42">
        <v>21.292296616270697</v>
      </c>
      <c r="E119" s="44">
        <v>2189</v>
      </c>
      <c r="F119" s="44">
        <v>15869</v>
      </c>
      <c r="G119" s="44">
        <v>0.13794189930052303</v>
      </c>
      <c r="H119" s="42">
        <v>80.173894556070351</v>
      </c>
      <c r="I119" s="67">
        <v>11.28</v>
      </c>
      <c r="J119" s="44">
        <v>60.450160771704176</v>
      </c>
      <c r="K119" s="41">
        <f t="shared" si="2"/>
        <v>53.972117314681746</v>
      </c>
      <c r="L119" s="130">
        <f t="shared" si="3"/>
        <v>46.908395983746722</v>
      </c>
      <c r="M119" s="1" t="str">
        <f>VLOOKUP(A119,CI!A$2:C$400,3,FALSE)</f>
        <v>P1</v>
      </c>
    </row>
    <row r="120" spans="1:13" ht="18" x14ac:dyDescent="0.25">
      <c r="A120" s="65" t="s">
        <v>147</v>
      </c>
      <c r="B120" s="66">
        <v>4116703</v>
      </c>
      <c r="C120" s="43">
        <v>13.7</v>
      </c>
      <c r="D120" s="42">
        <v>24.658027357811374</v>
      </c>
      <c r="E120" s="44">
        <v>1850</v>
      </c>
      <c r="F120" s="44">
        <v>13765</v>
      </c>
      <c r="G120" s="44">
        <v>0.13439883763167454</v>
      </c>
      <c r="H120" s="42">
        <v>78.114614133774211</v>
      </c>
      <c r="I120" s="67">
        <v>11.19</v>
      </c>
      <c r="J120" s="44">
        <v>59.967845659163984</v>
      </c>
      <c r="K120" s="41">
        <f t="shared" si="2"/>
        <v>54.246829050249858</v>
      </c>
      <c r="L120" s="130">
        <f t="shared" si="3"/>
        <v>47.422900103242441</v>
      </c>
      <c r="M120" s="1" t="str">
        <f>VLOOKUP(A120,CI!A$2:C$400,3,FALSE)</f>
        <v>P1</v>
      </c>
    </row>
    <row r="121" spans="1:13" ht="18" x14ac:dyDescent="0.25">
      <c r="A121" s="65" t="s">
        <v>134</v>
      </c>
      <c r="B121" s="66">
        <v>4104600</v>
      </c>
      <c r="C121" s="43">
        <v>15.63</v>
      </c>
      <c r="D121" s="42">
        <v>28.131749460043199</v>
      </c>
      <c r="E121" s="44">
        <v>1935</v>
      </c>
      <c r="F121" s="44">
        <v>14648</v>
      </c>
      <c r="G121" s="44">
        <v>0.1320999453850355</v>
      </c>
      <c r="H121" s="42">
        <v>76.778463584068774</v>
      </c>
      <c r="I121" s="67">
        <v>14.27</v>
      </c>
      <c r="J121" s="44">
        <v>76.473740621650592</v>
      </c>
      <c r="K121" s="41">
        <f t="shared" si="2"/>
        <v>60.461317888587523</v>
      </c>
      <c r="L121" s="130">
        <f t="shared" si="3"/>
        <v>59.061937297167297</v>
      </c>
      <c r="M121" s="1" t="str">
        <f>VLOOKUP(A121,CI!A$2:C$400,3,FALSE)</f>
        <v>P1</v>
      </c>
    </row>
    <row r="122" spans="1:13" ht="18" x14ac:dyDescent="0.25">
      <c r="A122" s="65" t="s">
        <v>94</v>
      </c>
      <c r="B122" s="66">
        <v>4105904</v>
      </c>
      <c r="C122" s="43">
        <v>13.89</v>
      </c>
      <c r="D122" s="42">
        <v>25</v>
      </c>
      <c r="E122" s="44">
        <v>2551</v>
      </c>
      <c r="F122" s="44">
        <v>22896</v>
      </c>
      <c r="G122" s="44">
        <v>0.11141684136967156</v>
      </c>
      <c r="H122" s="42">
        <v>64.757134250279208</v>
      </c>
      <c r="I122" s="67">
        <v>12.19</v>
      </c>
      <c r="J122" s="44">
        <v>65.326902465166128</v>
      </c>
      <c r="K122" s="41">
        <f t="shared" si="2"/>
        <v>51.694678905148443</v>
      </c>
      <c r="L122" s="130">
        <f t="shared" si="3"/>
        <v>42.643010520037095</v>
      </c>
      <c r="M122" s="1" t="str">
        <f>VLOOKUP(A122,CI!A$2:C$400,3,FALSE)</f>
        <v>P2</v>
      </c>
    </row>
    <row r="123" spans="1:13" ht="18" x14ac:dyDescent="0.25">
      <c r="A123" s="65" t="s">
        <v>125</v>
      </c>
      <c r="B123" s="66">
        <v>4103909</v>
      </c>
      <c r="C123" s="43">
        <v>20.41</v>
      </c>
      <c r="D123" s="42">
        <v>36.735061195104393</v>
      </c>
      <c r="E123" s="44">
        <v>2103</v>
      </c>
      <c r="F123" s="44">
        <v>15723</v>
      </c>
      <c r="G123" s="44">
        <v>0.13375310055332951</v>
      </c>
      <c r="H123" s="42">
        <v>77.739302087958535</v>
      </c>
      <c r="I123" s="67">
        <v>13.1</v>
      </c>
      <c r="J123" s="44">
        <v>70.20364415862808</v>
      </c>
      <c r="K123" s="41">
        <f t="shared" si="2"/>
        <v>61.559335813897007</v>
      </c>
      <c r="L123" s="130">
        <f t="shared" si="3"/>
        <v>61.118401119812425</v>
      </c>
      <c r="M123" s="1" t="str">
        <f>VLOOKUP(A123,CI!A$2:C$400,3,FALSE)</f>
        <v>P1</v>
      </c>
    </row>
    <row r="124" spans="1:13" ht="18" x14ac:dyDescent="0.25">
      <c r="A124" s="65" t="s">
        <v>169</v>
      </c>
      <c r="B124" s="66">
        <v>4112801</v>
      </c>
      <c r="C124" s="43">
        <v>17.440000000000001</v>
      </c>
      <c r="D124" s="42">
        <v>31.389488840892732</v>
      </c>
      <c r="E124" s="44">
        <v>1599</v>
      </c>
      <c r="F124" s="44">
        <v>11945</v>
      </c>
      <c r="G124" s="44">
        <v>0.13386354123064043</v>
      </c>
      <c r="H124" s="42">
        <v>77.803491861061019</v>
      </c>
      <c r="I124" s="67">
        <v>14.99</v>
      </c>
      <c r="J124" s="44">
        <v>80.332261521972143</v>
      </c>
      <c r="K124" s="41">
        <f t="shared" si="2"/>
        <v>63.175080741308626</v>
      </c>
      <c r="L124" s="130">
        <f t="shared" si="3"/>
        <v>64.144509267279886</v>
      </c>
      <c r="M124" s="1" t="str">
        <f>VLOOKUP(A124,CI!A$2:C$400,3,FALSE)</f>
        <v>P1</v>
      </c>
    </row>
    <row r="125" spans="1:13" ht="18" x14ac:dyDescent="0.25">
      <c r="A125" s="65" t="s">
        <v>128</v>
      </c>
      <c r="B125" s="66">
        <v>4123006</v>
      </c>
      <c r="C125" s="43">
        <v>5.32</v>
      </c>
      <c r="D125" s="42">
        <v>9.5752339812814977</v>
      </c>
      <c r="E125" s="44">
        <v>1975</v>
      </c>
      <c r="F125" s="44">
        <v>15223</v>
      </c>
      <c r="G125" s="44">
        <v>0.12973789660382315</v>
      </c>
      <c r="H125" s="42">
        <v>75.405605512072555</v>
      </c>
      <c r="I125" s="67">
        <v>11.23</v>
      </c>
      <c r="J125" s="44">
        <v>60.182207931404072</v>
      </c>
      <c r="K125" s="41">
        <f t="shared" si="2"/>
        <v>48.38768247491938</v>
      </c>
      <c r="L125" s="130">
        <f t="shared" si="3"/>
        <v>36.449378919290879</v>
      </c>
      <c r="M125" s="1" t="str">
        <f>VLOOKUP(A125,CI!A$2:C$400,3,FALSE)</f>
        <v>P1</v>
      </c>
    </row>
    <row r="126" spans="1:13" ht="18" x14ac:dyDescent="0.25">
      <c r="A126" s="65" t="s">
        <v>156</v>
      </c>
      <c r="B126" s="66">
        <v>4103107</v>
      </c>
      <c r="C126" s="43">
        <v>15.31</v>
      </c>
      <c r="D126" s="42">
        <v>27.555795536357092</v>
      </c>
      <c r="E126" s="44">
        <v>2010</v>
      </c>
      <c r="F126" s="44">
        <v>13299</v>
      </c>
      <c r="G126" s="44">
        <v>0.15113918339724791</v>
      </c>
      <c r="H126" s="42">
        <v>87.84435341565279</v>
      </c>
      <c r="I126" s="67">
        <v>12.71</v>
      </c>
      <c r="J126" s="44">
        <v>68.113612004287248</v>
      </c>
      <c r="K126" s="41">
        <f t="shared" si="2"/>
        <v>61.17125365209904</v>
      </c>
      <c r="L126" s="130">
        <f t="shared" si="3"/>
        <v>60.391566969334889</v>
      </c>
      <c r="M126" s="1" t="str">
        <f>VLOOKUP(A126,CI!A$2:C$400,3,FALSE)</f>
        <v>P1</v>
      </c>
    </row>
    <row r="127" spans="1:13" ht="18" x14ac:dyDescent="0.25">
      <c r="A127" s="65" t="s">
        <v>140</v>
      </c>
      <c r="B127" s="66">
        <v>4127965</v>
      </c>
      <c r="C127" s="43">
        <v>0</v>
      </c>
      <c r="D127" s="42">
        <v>0</v>
      </c>
      <c r="E127" s="44">
        <v>2071</v>
      </c>
      <c r="F127" s="44">
        <v>14231</v>
      </c>
      <c r="G127" s="44">
        <v>0.14552736982643524</v>
      </c>
      <c r="H127" s="42">
        <v>84.582683453327178</v>
      </c>
      <c r="I127" s="67">
        <v>14.55</v>
      </c>
      <c r="J127" s="44">
        <v>77.974276527331185</v>
      </c>
      <c r="K127" s="41">
        <f t="shared" si="2"/>
        <v>54.185653326886118</v>
      </c>
      <c r="L127" s="130">
        <f t="shared" si="3"/>
        <v>47.308324868155808</v>
      </c>
      <c r="M127" s="1" t="str">
        <f>VLOOKUP(A127,CI!A$2:C$400,3,FALSE)</f>
        <v>P1</v>
      </c>
    </row>
    <row r="128" spans="1:13" ht="18" x14ac:dyDescent="0.25">
      <c r="A128" s="65" t="s">
        <v>124</v>
      </c>
      <c r="B128" s="66">
        <v>4110607</v>
      </c>
      <c r="C128" s="43">
        <v>9.48</v>
      </c>
      <c r="D128" s="42">
        <v>17.062634989200866</v>
      </c>
      <c r="E128" s="44">
        <v>1958</v>
      </c>
      <c r="F128" s="44">
        <v>15746</v>
      </c>
      <c r="G128" s="44">
        <v>0.12434904102629239</v>
      </c>
      <c r="H128" s="42">
        <v>72.273522069393692</v>
      </c>
      <c r="I128" s="67">
        <v>10.48</v>
      </c>
      <c r="J128" s="44">
        <v>56.162915326902464</v>
      </c>
      <c r="K128" s="41">
        <f t="shared" si="2"/>
        <v>48.499690795165669</v>
      </c>
      <c r="L128" s="130">
        <f t="shared" si="3"/>
        <v>36.659157879280826</v>
      </c>
      <c r="M128" s="1" t="str">
        <f>VLOOKUP(A128,CI!A$2:C$400,3,FALSE)</f>
        <v>P1</v>
      </c>
    </row>
    <row r="129" spans="1:13" ht="18" x14ac:dyDescent="0.25">
      <c r="A129" s="65" t="s">
        <v>116</v>
      </c>
      <c r="B129" s="66">
        <v>4104709</v>
      </c>
      <c r="C129" s="43">
        <v>9.9</v>
      </c>
      <c r="D129" s="42">
        <v>17.818574514038875</v>
      </c>
      <c r="E129" s="44">
        <v>2215</v>
      </c>
      <c r="F129" s="44">
        <v>16905</v>
      </c>
      <c r="G129" s="44">
        <v>0.13102632357290742</v>
      </c>
      <c r="H129" s="42">
        <v>76.15445853270198</v>
      </c>
      <c r="I129" s="67">
        <v>14.14</v>
      </c>
      <c r="J129" s="44">
        <v>75.777063236870319</v>
      </c>
      <c r="K129" s="41">
        <f t="shared" si="2"/>
        <v>56.583365427870397</v>
      </c>
      <c r="L129" s="130">
        <f t="shared" si="3"/>
        <v>51.798969400577988</v>
      </c>
      <c r="M129" s="1" t="str">
        <f>VLOOKUP(A129,CI!A$2:C$400,3,FALSE)</f>
        <v>P1</v>
      </c>
    </row>
    <row r="130" spans="1:13" ht="18" x14ac:dyDescent="0.25">
      <c r="A130" s="65" t="s">
        <v>109</v>
      </c>
      <c r="B130" s="66">
        <v>4116208</v>
      </c>
      <c r="C130" s="43">
        <v>4.55</v>
      </c>
      <c r="D130" s="42">
        <v>8.1893448524118071</v>
      </c>
      <c r="E130" s="44">
        <v>2493</v>
      </c>
      <c r="F130" s="44">
        <v>18309</v>
      </c>
      <c r="G130" s="44">
        <v>0.13616254301163364</v>
      </c>
      <c r="H130" s="42">
        <v>79.139706073770995</v>
      </c>
      <c r="I130" s="67">
        <v>11.14</v>
      </c>
      <c r="J130" s="44">
        <v>59.699892818863887</v>
      </c>
      <c r="K130" s="41">
        <f t="shared" ref="K130:K193" si="4">(D130+H130+J130)/3</f>
        <v>49.009647915015563</v>
      </c>
      <c r="L130" s="130">
        <f t="shared" si="3"/>
        <v>37.614250090344704</v>
      </c>
      <c r="M130" s="1" t="str">
        <f>VLOOKUP(A130,CI!A$2:C$400,3,FALSE)</f>
        <v>P1</v>
      </c>
    </row>
    <row r="131" spans="1:13" ht="18" x14ac:dyDescent="0.25">
      <c r="A131" s="65" t="s">
        <v>155</v>
      </c>
      <c r="B131" s="66">
        <v>4118808</v>
      </c>
      <c r="C131" s="43">
        <v>6.33</v>
      </c>
      <c r="D131" s="42">
        <v>11.393088552915765</v>
      </c>
      <c r="E131" s="44">
        <v>1805</v>
      </c>
      <c r="F131" s="44">
        <v>13346</v>
      </c>
      <c r="G131" s="44">
        <v>0.13524651580998051</v>
      </c>
      <c r="H131" s="42">
        <v>78.607297366567181</v>
      </c>
      <c r="I131" s="67">
        <v>12.06</v>
      </c>
      <c r="J131" s="44">
        <v>64.630225080385856</v>
      </c>
      <c r="K131" s="41">
        <f t="shared" si="4"/>
        <v>51.543536999956267</v>
      </c>
      <c r="L131" s="130">
        <f t="shared" ref="L131:L194" si="5">(K131-K$401)/(K$402-K$401)*100</f>
        <v>42.359938765971002</v>
      </c>
      <c r="M131" s="1" t="str">
        <f>VLOOKUP(A131,CI!A$2:C$400,3,FALSE)</f>
        <v>P1</v>
      </c>
    </row>
    <row r="132" spans="1:13" ht="18" x14ac:dyDescent="0.25">
      <c r="A132" s="65" t="s">
        <v>122</v>
      </c>
      <c r="B132" s="66">
        <v>4115408</v>
      </c>
      <c r="C132" s="43">
        <v>4.78</v>
      </c>
      <c r="D132" s="42">
        <v>8.6033117350611956</v>
      </c>
      <c r="E132" s="44">
        <v>2073</v>
      </c>
      <c r="F132" s="44">
        <v>15901</v>
      </c>
      <c r="G132" s="44">
        <v>0.1303691591723791</v>
      </c>
      <c r="H132" s="42">
        <v>75.772504756357534</v>
      </c>
      <c r="I132" s="67">
        <v>13.33</v>
      </c>
      <c r="J132" s="44">
        <v>71.436227224008576</v>
      </c>
      <c r="K132" s="41">
        <f t="shared" si="4"/>
        <v>51.937347905142438</v>
      </c>
      <c r="L132" s="130">
        <f t="shared" si="5"/>
        <v>43.097502207160012</v>
      </c>
      <c r="M132" s="1" t="str">
        <f>VLOOKUP(A132,CI!A$2:C$400,3,FALSE)</f>
        <v>P1</v>
      </c>
    </row>
    <row r="133" spans="1:13" ht="18" x14ac:dyDescent="0.25">
      <c r="A133" s="65" t="s">
        <v>162</v>
      </c>
      <c r="B133" s="66">
        <v>4117107</v>
      </c>
      <c r="C133" s="43">
        <v>0</v>
      </c>
      <c r="D133" s="42">
        <v>0</v>
      </c>
      <c r="E133" s="44">
        <v>1696</v>
      </c>
      <c r="F133" s="44">
        <v>12923</v>
      </c>
      <c r="G133" s="44">
        <v>0.13123887642188348</v>
      </c>
      <c r="H133" s="42">
        <v>76.277997426887239</v>
      </c>
      <c r="I133" s="67">
        <v>13.93</v>
      </c>
      <c r="J133" s="44">
        <v>74.651661307609857</v>
      </c>
      <c r="K133" s="41">
        <f t="shared" si="4"/>
        <v>50.309886244832363</v>
      </c>
      <c r="L133" s="130">
        <f t="shared" si="5"/>
        <v>40.049449939501173</v>
      </c>
      <c r="M133" s="1" t="str">
        <f>VLOOKUP(A133,CI!A$2:C$400,3,FALSE)</f>
        <v>P1</v>
      </c>
    </row>
    <row r="134" spans="1:13" ht="18" x14ac:dyDescent="0.25">
      <c r="A134" s="65" t="s">
        <v>148</v>
      </c>
      <c r="B134" s="66">
        <v>4109302</v>
      </c>
      <c r="C134" s="43">
        <v>5.24</v>
      </c>
      <c r="D134" s="42">
        <v>9.4312455003599709</v>
      </c>
      <c r="E134" s="44">
        <v>1714</v>
      </c>
      <c r="F134" s="44">
        <v>13735</v>
      </c>
      <c r="G134" s="44">
        <v>0.12479068074262832</v>
      </c>
      <c r="H134" s="42">
        <v>72.530209676486507</v>
      </c>
      <c r="I134" s="67">
        <v>12.09</v>
      </c>
      <c r="J134" s="44">
        <v>64.79099678456592</v>
      </c>
      <c r="K134" s="41">
        <f t="shared" si="4"/>
        <v>48.917483987137466</v>
      </c>
      <c r="L134" s="130">
        <f t="shared" si="5"/>
        <v>37.441637440709897</v>
      </c>
      <c r="M134" s="1" t="str">
        <f>VLOOKUP(A134,CI!A$2:C$400,3,FALSE)</f>
        <v>P1</v>
      </c>
    </row>
    <row r="135" spans="1:13" ht="18" x14ac:dyDescent="0.25">
      <c r="A135" s="65" t="s">
        <v>138</v>
      </c>
      <c r="B135" s="66">
        <v>4110078</v>
      </c>
      <c r="C135" s="43">
        <v>6.13</v>
      </c>
      <c r="D135" s="42">
        <v>11.033117350611949</v>
      </c>
      <c r="E135" s="44">
        <v>2127</v>
      </c>
      <c r="F135" s="44">
        <v>14249</v>
      </c>
      <c r="G135" s="44">
        <v>0.14927363323742018</v>
      </c>
      <c r="H135" s="42">
        <v>86.760067766683761</v>
      </c>
      <c r="I135" s="67">
        <v>13.4</v>
      </c>
      <c r="J135" s="44">
        <v>71.811361200428721</v>
      </c>
      <c r="K135" s="41">
        <f t="shared" si="4"/>
        <v>56.534848772574811</v>
      </c>
      <c r="L135" s="130">
        <f t="shared" si="5"/>
        <v>51.708103173250244</v>
      </c>
      <c r="M135" s="1" t="str">
        <f>VLOOKUP(A135,CI!A$2:C$400,3,FALSE)</f>
        <v>P1</v>
      </c>
    </row>
    <row r="136" spans="1:13" ht="18" x14ac:dyDescent="0.25">
      <c r="A136" s="65" t="s">
        <v>163</v>
      </c>
      <c r="B136" s="66">
        <v>4117255</v>
      </c>
      <c r="C136" s="43">
        <v>7.46</v>
      </c>
      <c r="D136" s="42">
        <v>13.426925845932324</v>
      </c>
      <c r="E136" s="44">
        <v>1689</v>
      </c>
      <c r="F136" s="44">
        <v>12699</v>
      </c>
      <c r="G136" s="44">
        <v>0.13300259862981337</v>
      </c>
      <c r="H136" s="42">
        <v>77.303099147552274</v>
      </c>
      <c r="I136" s="67">
        <v>10.08</v>
      </c>
      <c r="J136" s="44">
        <v>54.019292604501615</v>
      </c>
      <c r="K136" s="41">
        <f t="shared" si="4"/>
        <v>48.249772532662064</v>
      </c>
      <c r="L136" s="130">
        <f t="shared" si="5"/>
        <v>36.191089140501234</v>
      </c>
      <c r="M136" s="1" t="str">
        <f>VLOOKUP(A136,CI!A$2:C$400,3,FALSE)</f>
        <v>P1</v>
      </c>
    </row>
    <row r="137" spans="1:13" ht="18" x14ac:dyDescent="0.25">
      <c r="A137" s="65" t="s">
        <v>104</v>
      </c>
      <c r="B137" s="66">
        <v>4106209</v>
      </c>
      <c r="C137" s="43">
        <v>12.82</v>
      </c>
      <c r="D137" s="42">
        <v>23.074154067674584</v>
      </c>
      <c r="E137" s="44">
        <v>2740</v>
      </c>
      <c r="F137" s="44">
        <v>19128</v>
      </c>
      <c r="G137" s="44">
        <v>0.14324550397323296</v>
      </c>
      <c r="H137" s="42">
        <v>83.256428898087464</v>
      </c>
      <c r="I137" s="67">
        <v>11.76</v>
      </c>
      <c r="J137" s="44">
        <v>63.022508038585215</v>
      </c>
      <c r="K137" s="41">
        <f t="shared" si="4"/>
        <v>56.451030334782423</v>
      </c>
      <c r="L137" s="130">
        <f t="shared" si="5"/>
        <v>51.55112068597245</v>
      </c>
      <c r="M137" s="1" t="str">
        <f>VLOOKUP(A137,CI!A$2:C$400,3,FALSE)</f>
        <v>P1</v>
      </c>
    </row>
    <row r="138" spans="1:13" ht="18" x14ac:dyDescent="0.25">
      <c r="A138" s="65" t="s">
        <v>144</v>
      </c>
      <c r="B138" s="66">
        <v>4122156</v>
      </c>
      <c r="C138" s="43">
        <v>21.19</v>
      </c>
      <c r="D138" s="42">
        <v>38.138948884089274</v>
      </c>
      <c r="E138" s="44">
        <v>2149</v>
      </c>
      <c r="F138" s="44">
        <v>13929</v>
      </c>
      <c r="G138" s="44">
        <v>0.15428243233541533</v>
      </c>
      <c r="H138" s="42">
        <v>89.671256700368971</v>
      </c>
      <c r="I138" s="67">
        <v>14.5</v>
      </c>
      <c r="J138" s="44">
        <v>77.706323687031087</v>
      </c>
      <c r="K138" s="41">
        <f t="shared" si="4"/>
        <v>68.505509757163111</v>
      </c>
      <c r="L138" s="130">
        <f t="shared" si="5"/>
        <v>74.127802051132136</v>
      </c>
      <c r="M138" s="1" t="str">
        <f>VLOOKUP(A138,CI!A$2:C$400,3,FALSE)</f>
        <v>P1</v>
      </c>
    </row>
    <row r="139" spans="1:13" ht="18" x14ac:dyDescent="0.25">
      <c r="A139" s="65" t="s">
        <v>194</v>
      </c>
      <c r="B139" s="66">
        <v>4107900</v>
      </c>
      <c r="C139" s="43">
        <v>0</v>
      </c>
      <c r="D139" s="42">
        <v>0</v>
      </c>
      <c r="E139" s="44">
        <v>1472</v>
      </c>
      <c r="F139" s="44">
        <v>10458</v>
      </c>
      <c r="G139" s="44">
        <v>0.14075349015108052</v>
      </c>
      <c r="H139" s="42">
        <v>81.808033200894371</v>
      </c>
      <c r="I139" s="67">
        <v>14.15</v>
      </c>
      <c r="J139" s="44">
        <v>75.830653804930336</v>
      </c>
      <c r="K139" s="41">
        <f t="shared" si="4"/>
        <v>52.546229001941562</v>
      </c>
      <c r="L139" s="130">
        <f t="shared" si="5"/>
        <v>44.237867877881612</v>
      </c>
      <c r="M139" s="1" t="str">
        <f>VLOOKUP(A139,CI!A$2:C$400,3,FALSE)</f>
        <v>P1</v>
      </c>
    </row>
    <row r="140" spans="1:13" ht="18" x14ac:dyDescent="0.25">
      <c r="A140" s="65" t="s">
        <v>132</v>
      </c>
      <c r="B140" s="66">
        <v>4127304</v>
      </c>
      <c r="C140" s="43">
        <v>5.56</v>
      </c>
      <c r="D140" s="42">
        <v>10.007199424046075</v>
      </c>
      <c r="E140" s="44">
        <v>2020</v>
      </c>
      <c r="F140" s="44">
        <v>14842</v>
      </c>
      <c r="G140" s="44">
        <v>0.13610025603018461</v>
      </c>
      <c r="H140" s="42">
        <v>79.1035039487587</v>
      </c>
      <c r="I140" s="67">
        <v>10.91</v>
      </c>
      <c r="J140" s="44">
        <v>58.467309753483384</v>
      </c>
      <c r="K140" s="41">
        <f t="shared" si="4"/>
        <v>49.192671042096059</v>
      </c>
      <c r="L140" s="130">
        <f t="shared" si="5"/>
        <v>37.957031779853402</v>
      </c>
      <c r="M140" s="1" t="str">
        <f>VLOOKUP(A140,CI!A$2:C$400,3,FALSE)</f>
        <v>P1</v>
      </c>
    </row>
    <row r="141" spans="1:13" ht="18" x14ac:dyDescent="0.25">
      <c r="A141" s="65" t="s">
        <v>129</v>
      </c>
      <c r="B141" s="66">
        <v>4111902</v>
      </c>
      <c r="C141" s="43">
        <v>11.76</v>
      </c>
      <c r="D141" s="42">
        <v>21.166306695464364</v>
      </c>
      <c r="E141" s="44">
        <v>2057</v>
      </c>
      <c r="F141" s="44">
        <v>15122</v>
      </c>
      <c r="G141" s="44">
        <v>0.13602698055812723</v>
      </c>
      <c r="H141" s="42">
        <v>79.060915148690967</v>
      </c>
      <c r="I141" s="67">
        <v>13.95</v>
      </c>
      <c r="J141" s="44">
        <v>74.758842443729904</v>
      </c>
      <c r="K141" s="41">
        <f t="shared" si="4"/>
        <v>58.328688095961752</v>
      </c>
      <c r="L141" s="130">
        <f t="shared" si="5"/>
        <v>55.067762052356137</v>
      </c>
      <c r="M141" s="1" t="str">
        <f>VLOOKUP(A141,CI!A$2:C$400,3,FALSE)</f>
        <v>P1</v>
      </c>
    </row>
    <row r="142" spans="1:13" ht="18" x14ac:dyDescent="0.25">
      <c r="A142" s="65" t="s">
        <v>164</v>
      </c>
      <c r="B142" s="66">
        <v>4107504</v>
      </c>
      <c r="C142" s="43">
        <v>7.25</v>
      </c>
      <c r="D142" s="42">
        <v>13.048956083513319</v>
      </c>
      <c r="E142" s="44">
        <v>1446</v>
      </c>
      <c r="F142" s="44">
        <v>12454</v>
      </c>
      <c r="G142" s="44">
        <v>0.11610727477115786</v>
      </c>
      <c r="H142" s="42">
        <v>67.483284280544936</v>
      </c>
      <c r="I142" s="67">
        <v>9.56</v>
      </c>
      <c r="J142" s="44">
        <v>51.232583065380496</v>
      </c>
      <c r="K142" s="41">
        <f t="shared" si="4"/>
        <v>43.921607809812919</v>
      </c>
      <c r="L142" s="130">
        <f t="shared" si="5"/>
        <v>28.084924417844842</v>
      </c>
      <c r="M142" s="1" t="str">
        <f>VLOOKUP(A142,CI!A$2:C$400,3,FALSE)</f>
        <v>P1</v>
      </c>
    </row>
    <row r="143" spans="1:13" ht="18" x14ac:dyDescent="0.25">
      <c r="A143" s="65" t="s">
        <v>108</v>
      </c>
      <c r="B143" s="66">
        <v>4121208</v>
      </c>
      <c r="C143" s="43">
        <v>9.39</v>
      </c>
      <c r="D143" s="42">
        <v>16.900647948164146</v>
      </c>
      <c r="E143" s="44">
        <v>2387</v>
      </c>
      <c r="F143" s="44">
        <v>18398</v>
      </c>
      <c r="G143" s="44">
        <v>0.12974236330035874</v>
      </c>
      <c r="H143" s="42">
        <v>75.408201622890743</v>
      </c>
      <c r="I143" s="67">
        <v>11.52</v>
      </c>
      <c r="J143" s="44">
        <v>61.736334405144689</v>
      </c>
      <c r="K143" s="41">
        <f t="shared" si="4"/>
        <v>51.348394658733191</v>
      </c>
      <c r="L143" s="130">
        <f t="shared" si="5"/>
        <v>41.994459154262096</v>
      </c>
      <c r="M143" s="1" t="str">
        <f>VLOOKUP(A143,CI!A$2:C$400,3,FALSE)</f>
        <v>P1</v>
      </c>
    </row>
    <row r="144" spans="1:13" ht="18" x14ac:dyDescent="0.25">
      <c r="A144" s="65" t="s">
        <v>185</v>
      </c>
      <c r="B144" s="66">
        <v>4104451</v>
      </c>
      <c r="C144" s="43">
        <v>13.25</v>
      </c>
      <c r="D144" s="42">
        <v>23.848092152627789</v>
      </c>
      <c r="E144" s="44">
        <v>1611</v>
      </c>
      <c r="F144" s="44">
        <v>10933</v>
      </c>
      <c r="G144" s="44">
        <v>0.1473520534162627</v>
      </c>
      <c r="H144" s="42">
        <v>85.643216840723156</v>
      </c>
      <c r="I144" s="67">
        <v>16.190000000000001</v>
      </c>
      <c r="J144" s="44">
        <v>86.763129689174718</v>
      </c>
      <c r="K144" s="41">
        <f t="shared" si="4"/>
        <v>65.418146227508558</v>
      </c>
      <c r="L144" s="130">
        <f t="shared" si="5"/>
        <v>68.34551811956608</v>
      </c>
      <c r="M144" s="1" t="str">
        <f>VLOOKUP(A144,CI!A$2:C$400,3,FALSE)</f>
        <v>P1</v>
      </c>
    </row>
    <row r="145" spans="1:13" ht="18" x14ac:dyDescent="0.25">
      <c r="A145" s="65" t="s">
        <v>170</v>
      </c>
      <c r="B145" s="66">
        <v>4124806</v>
      </c>
      <c r="C145" s="43">
        <v>6.25</v>
      </c>
      <c r="D145" s="42">
        <v>11.24910007199424</v>
      </c>
      <c r="E145" s="44">
        <v>1449</v>
      </c>
      <c r="F145" s="44">
        <v>11886</v>
      </c>
      <c r="G145" s="44">
        <v>0.12190812720848057</v>
      </c>
      <c r="H145" s="42">
        <v>70.854826458835589</v>
      </c>
      <c r="I145" s="67">
        <v>12.03</v>
      </c>
      <c r="J145" s="44">
        <v>64.469453376205792</v>
      </c>
      <c r="K145" s="41">
        <f t="shared" si="4"/>
        <v>48.857793302345208</v>
      </c>
      <c r="L145" s="130">
        <f t="shared" si="5"/>
        <v>37.329843515497252</v>
      </c>
      <c r="M145" s="1" t="str">
        <f>VLOOKUP(A145,CI!A$2:C$400,3,FALSE)</f>
        <v>P1</v>
      </c>
    </row>
    <row r="146" spans="1:13" ht="18" x14ac:dyDescent="0.25">
      <c r="A146" s="65" t="s">
        <v>143</v>
      </c>
      <c r="B146" s="66">
        <v>4122008</v>
      </c>
      <c r="C146" s="43">
        <v>30.12</v>
      </c>
      <c r="D146" s="42">
        <v>54.211663066954642</v>
      </c>
      <c r="E146" s="44">
        <v>1857</v>
      </c>
      <c r="F146" s="44">
        <v>14025</v>
      </c>
      <c r="G146" s="44">
        <v>0.13240641711229947</v>
      </c>
      <c r="H146" s="42">
        <v>76.956589534709394</v>
      </c>
      <c r="I146" s="67">
        <v>12.05</v>
      </c>
      <c r="J146" s="44">
        <v>64.576634512325839</v>
      </c>
      <c r="K146" s="41">
        <f t="shared" si="4"/>
        <v>65.248295704663292</v>
      </c>
      <c r="L146" s="130">
        <f t="shared" si="5"/>
        <v>68.027407233179403</v>
      </c>
      <c r="M146" s="1" t="str">
        <f>VLOOKUP(A146,CI!A$2:C$400,3,FALSE)</f>
        <v>P1</v>
      </c>
    </row>
    <row r="147" spans="1:13" ht="18" x14ac:dyDescent="0.25">
      <c r="A147" s="65" t="s">
        <v>142</v>
      </c>
      <c r="B147" s="66">
        <v>4123808</v>
      </c>
      <c r="C147" s="43">
        <v>6.1</v>
      </c>
      <c r="D147" s="42">
        <v>10.979121670266377</v>
      </c>
      <c r="E147" s="44">
        <v>1797</v>
      </c>
      <c r="F147" s="44">
        <v>14070</v>
      </c>
      <c r="G147" s="44">
        <v>0.12771855010660982</v>
      </c>
      <c r="H147" s="42">
        <v>74.231931132056687</v>
      </c>
      <c r="I147" s="67">
        <v>10.09</v>
      </c>
      <c r="J147" s="44">
        <v>54.072883172561625</v>
      </c>
      <c r="K147" s="41">
        <f t="shared" si="4"/>
        <v>46.427978658294897</v>
      </c>
      <c r="L147" s="130">
        <f t="shared" si="5"/>
        <v>32.779074538010477</v>
      </c>
      <c r="M147" s="1" t="str">
        <f>VLOOKUP(A147,CI!A$2:C$400,3,FALSE)</f>
        <v>P1</v>
      </c>
    </row>
    <row r="148" spans="1:13" ht="18" x14ac:dyDescent="0.25">
      <c r="A148" s="65" t="s">
        <v>176</v>
      </c>
      <c r="B148" s="66">
        <v>4108007</v>
      </c>
      <c r="C148" s="43">
        <v>6.76</v>
      </c>
      <c r="D148" s="42">
        <v>12.167026637868968</v>
      </c>
      <c r="E148" s="44">
        <v>1471</v>
      </c>
      <c r="F148" s="44">
        <v>11446</v>
      </c>
      <c r="G148" s="44">
        <v>0.12851651231871397</v>
      </c>
      <c r="H148" s="42">
        <v>74.695718701876842</v>
      </c>
      <c r="I148" s="67">
        <v>10.48</v>
      </c>
      <c r="J148" s="44">
        <v>56.162915326902464</v>
      </c>
      <c r="K148" s="41">
        <f t="shared" si="4"/>
        <v>47.67522022221609</v>
      </c>
      <c r="L148" s="130">
        <f t="shared" si="5"/>
        <v>35.115017417613572</v>
      </c>
      <c r="M148" s="1" t="str">
        <f>VLOOKUP(A148,CI!A$2:C$400,3,FALSE)</f>
        <v>P1</v>
      </c>
    </row>
    <row r="149" spans="1:13" ht="18" x14ac:dyDescent="0.25">
      <c r="A149" s="65" t="s">
        <v>206</v>
      </c>
      <c r="B149" s="66">
        <v>4110201</v>
      </c>
      <c r="C149" s="43">
        <v>5.92</v>
      </c>
      <c r="D149" s="42">
        <v>10.655147588192944</v>
      </c>
      <c r="E149" s="44">
        <v>1472</v>
      </c>
      <c r="F149" s="44">
        <v>9670</v>
      </c>
      <c r="G149" s="44">
        <v>0.15222337125129265</v>
      </c>
      <c r="H149" s="42">
        <v>88.474499608578412</v>
      </c>
      <c r="I149" s="67">
        <v>15.2</v>
      </c>
      <c r="J149" s="44">
        <v>81.457663451232577</v>
      </c>
      <c r="K149" s="41">
        <f t="shared" si="4"/>
        <v>60.195770216001314</v>
      </c>
      <c r="L149" s="130">
        <f t="shared" si="5"/>
        <v>58.564596434806404</v>
      </c>
      <c r="M149" s="1" t="str">
        <f>VLOOKUP(A149,CI!A$2:C$400,3,FALSE)</f>
        <v>P1</v>
      </c>
    </row>
    <row r="150" spans="1:13" ht="18" x14ac:dyDescent="0.25">
      <c r="A150" s="65" t="s">
        <v>120</v>
      </c>
      <c r="B150" s="66">
        <v>4106803</v>
      </c>
      <c r="C150" s="43">
        <v>25.51</v>
      </c>
      <c r="D150" s="42">
        <v>45.914326853851698</v>
      </c>
      <c r="E150" s="44">
        <v>2008</v>
      </c>
      <c r="F150" s="44">
        <v>15978</v>
      </c>
      <c r="G150" s="44">
        <v>0.12567280010013768</v>
      </c>
      <c r="H150" s="42">
        <v>73.042910637640773</v>
      </c>
      <c r="I150" s="67">
        <v>12.45</v>
      </c>
      <c r="J150" s="44">
        <v>66.720257234726688</v>
      </c>
      <c r="K150" s="41">
        <f t="shared" si="4"/>
        <v>61.892498242073053</v>
      </c>
      <c r="L150" s="130">
        <f t="shared" si="5"/>
        <v>61.742376798912126</v>
      </c>
      <c r="M150" s="1" t="str">
        <f>VLOOKUP(A150,CI!A$2:C$400,3,FALSE)</f>
        <v>P1</v>
      </c>
    </row>
    <row r="151" spans="1:13" ht="18" x14ac:dyDescent="0.25">
      <c r="A151" s="65" t="s">
        <v>161</v>
      </c>
      <c r="B151" s="66">
        <v>4117800</v>
      </c>
      <c r="C151" s="43">
        <v>10.31</v>
      </c>
      <c r="D151" s="42">
        <v>18.5565154787617</v>
      </c>
      <c r="E151" s="44">
        <v>1841</v>
      </c>
      <c r="F151" s="44">
        <v>13033</v>
      </c>
      <c r="G151" s="44">
        <v>0.14125680963707513</v>
      </c>
      <c r="H151" s="42">
        <v>82.100570012427127</v>
      </c>
      <c r="I151" s="67">
        <v>12.2</v>
      </c>
      <c r="J151" s="44">
        <v>65.380493033226145</v>
      </c>
      <c r="K151" s="41">
        <f t="shared" si="4"/>
        <v>55.345859508138325</v>
      </c>
      <c r="L151" s="130">
        <f t="shared" si="5"/>
        <v>49.481260285291114</v>
      </c>
      <c r="M151" s="1" t="str">
        <f>VLOOKUP(A151,CI!A$2:C$400,3,FALSE)</f>
        <v>P1</v>
      </c>
    </row>
    <row r="152" spans="1:13" ht="18" x14ac:dyDescent="0.25">
      <c r="A152" s="65" t="s">
        <v>177</v>
      </c>
      <c r="B152" s="66">
        <v>4123402</v>
      </c>
      <c r="C152" s="43">
        <v>16.13</v>
      </c>
      <c r="D152" s="42">
        <v>29.031677465802737</v>
      </c>
      <c r="E152" s="44">
        <v>1374</v>
      </c>
      <c r="F152" s="44">
        <v>11378</v>
      </c>
      <c r="G152" s="44">
        <v>0.12075936016874671</v>
      </c>
      <c r="H152" s="42">
        <v>70.187145877517366</v>
      </c>
      <c r="I152" s="67">
        <v>9.49</v>
      </c>
      <c r="J152" s="44">
        <v>50.857449088960351</v>
      </c>
      <c r="K152" s="41">
        <f t="shared" si="4"/>
        <v>50.025424144093485</v>
      </c>
      <c r="L152" s="130">
        <f t="shared" si="5"/>
        <v>39.516684484949735</v>
      </c>
      <c r="M152" s="1" t="str">
        <f>VLOOKUP(A152,CI!A$2:C$400,3,FALSE)</f>
        <v>P1</v>
      </c>
    </row>
    <row r="153" spans="1:13" ht="18" x14ac:dyDescent="0.25">
      <c r="A153" s="65" t="s">
        <v>175</v>
      </c>
      <c r="B153" s="66">
        <v>4105607</v>
      </c>
      <c r="C153" s="43">
        <v>6.9</v>
      </c>
      <c r="D153" s="42">
        <v>12.419006479481641</v>
      </c>
      <c r="E153" s="44">
        <v>1544</v>
      </c>
      <c r="F153" s="44">
        <v>11467</v>
      </c>
      <c r="G153" s="44">
        <v>0.13464724862649341</v>
      </c>
      <c r="H153" s="42">
        <v>78.258994318519868</v>
      </c>
      <c r="I153" s="67">
        <v>15.17</v>
      </c>
      <c r="J153" s="44">
        <v>81.296891747052513</v>
      </c>
      <c r="K153" s="41">
        <f t="shared" si="4"/>
        <v>57.32496418168467</v>
      </c>
      <c r="L153" s="130">
        <f t="shared" si="5"/>
        <v>53.187900285024071</v>
      </c>
      <c r="M153" s="1" t="str">
        <f>VLOOKUP(A153,CI!A$2:C$400,3,FALSE)</f>
        <v>P1</v>
      </c>
    </row>
    <row r="154" spans="1:13" ht="18" x14ac:dyDescent="0.25">
      <c r="A154" s="65" t="s">
        <v>158</v>
      </c>
      <c r="B154" s="66">
        <v>4111407</v>
      </c>
      <c r="C154" s="43">
        <v>10.15</v>
      </c>
      <c r="D154" s="42">
        <v>18.268538516918646</v>
      </c>
      <c r="E154" s="44">
        <v>1890</v>
      </c>
      <c r="F154" s="44">
        <v>13229</v>
      </c>
      <c r="G154" s="44">
        <v>0.14286794164335928</v>
      </c>
      <c r="H154" s="42">
        <v>83.03698402617303</v>
      </c>
      <c r="I154" s="67">
        <v>15.87</v>
      </c>
      <c r="J154" s="44">
        <v>85.048231511254016</v>
      </c>
      <c r="K154" s="41">
        <f t="shared" si="4"/>
        <v>62.117918018115233</v>
      </c>
      <c r="L154" s="130">
        <f t="shared" si="5"/>
        <v>62.164562633636876</v>
      </c>
      <c r="M154" s="1" t="str">
        <f>VLOOKUP(A154,CI!A$2:C$400,3,FALSE)</f>
        <v>P1</v>
      </c>
    </row>
    <row r="155" spans="1:13" ht="18" x14ac:dyDescent="0.25">
      <c r="A155" s="65" t="s">
        <v>189</v>
      </c>
      <c r="B155" s="66">
        <v>4126678</v>
      </c>
      <c r="C155" s="43">
        <v>0</v>
      </c>
      <c r="D155" s="42">
        <v>0</v>
      </c>
      <c r="E155" s="44">
        <v>1628</v>
      </c>
      <c r="F155" s="44">
        <v>10707</v>
      </c>
      <c r="G155" s="44">
        <v>0.15205006070794808</v>
      </c>
      <c r="H155" s="42">
        <v>88.373768929227026</v>
      </c>
      <c r="I155" s="67">
        <v>15.5</v>
      </c>
      <c r="J155" s="44">
        <v>83.065380493033231</v>
      </c>
      <c r="K155" s="41">
        <f t="shared" si="4"/>
        <v>57.146383140753414</v>
      </c>
      <c r="L155" s="130">
        <f t="shared" si="5"/>
        <v>52.853438122230209</v>
      </c>
      <c r="M155" s="1" t="str">
        <f>VLOOKUP(A155,CI!A$2:C$400,3,FALSE)</f>
        <v>P1</v>
      </c>
    </row>
    <row r="156" spans="1:13" ht="18" x14ac:dyDescent="0.25">
      <c r="A156" s="65" t="s">
        <v>137</v>
      </c>
      <c r="B156" s="66">
        <v>4119806</v>
      </c>
      <c r="C156" s="43">
        <v>20.98</v>
      </c>
      <c r="D156" s="42">
        <v>37.76097912167026</v>
      </c>
      <c r="E156" s="44">
        <v>1570</v>
      </c>
      <c r="F156" s="44">
        <v>14374</v>
      </c>
      <c r="G156" s="44">
        <v>0.10922498956449145</v>
      </c>
      <c r="H156" s="42">
        <v>63.483197205754429</v>
      </c>
      <c r="I156" s="67">
        <v>8.6999999999999993</v>
      </c>
      <c r="J156" s="44">
        <v>46.623794212218641</v>
      </c>
      <c r="K156" s="41">
        <f t="shared" si="4"/>
        <v>49.289323513214448</v>
      </c>
      <c r="L156" s="130">
        <f t="shared" si="5"/>
        <v>38.138050965098664</v>
      </c>
      <c r="M156" s="1" t="str">
        <f>VLOOKUP(A156,CI!A$2:C$400,3,FALSE)</f>
        <v>P1</v>
      </c>
    </row>
    <row r="157" spans="1:13" ht="18" x14ac:dyDescent="0.25">
      <c r="A157" s="65" t="s">
        <v>166</v>
      </c>
      <c r="B157" s="66">
        <v>4111209</v>
      </c>
      <c r="C157" s="43">
        <v>18.87</v>
      </c>
      <c r="D157" s="42">
        <v>33.963282937365015</v>
      </c>
      <c r="E157" s="44">
        <v>1591</v>
      </c>
      <c r="F157" s="44">
        <v>12344</v>
      </c>
      <c r="G157" s="44">
        <v>0.12888852883992222</v>
      </c>
      <c r="H157" s="42">
        <v>74.911940266866949</v>
      </c>
      <c r="I157" s="67">
        <v>11.67</v>
      </c>
      <c r="J157" s="44">
        <v>62.540192926045016</v>
      </c>
      <c r="K157" s="41">
        <f t="shared" si="4"/>
        <v>57.138472043425658</v>
      </c>
      <c r="L157" s="130">
        <f t="shared" si="5"/>
        <v>52.838621528550867</v>
      </c>
      <c r="M157" s="1" t="str">
        <f>VLOOKUP(A157,CI!A$2:C$400,3,FALSE)</f>
        <v>P1</v>
      </c>
    </row>
    <row r="158" spans="1:13" ht="18" x14ac:dyDescent="0.25">
      <c r="A158" s="65" t="s">
        <v>205</v>
      </c>
      <c r="B158" s="66">
        <v>4128534</v>
      </c>
      <c r="C158" s="43">
        <v>25</v>
      </c>
      <c r="D158" s="42">
        <v>44.996400287976961</v>
      </c>
      <c r="E158" s="44">
        <v>1362</v>
      </c>
      <c r="F158" s="44">
        <v>9681</v>
      </c>
      <c r="G158" s="44">
        <v>0.14068794546017974</v>
      </c>
      <c r="H158" s="42">
        <v>81.769937646435309</v>
      </c>
      <c r="I158" s="67">
        <v>13.74</v>
      </c>
      <c r="J158" s="44">
        <v>73.633440514469456</v>
      </c>
      <c r="K158" s="41">
        <f t="shared" si="4"/>
        <v>66.79992614962724</v>
      </c>
      <c r="L158" s="130">
        <f t="shared" si="5"/>
        <v>70.933436181007139</v>
      </c>
      <c r="M158" s="1" t="str">
        <f>VLOOKUP(A158,CI!A$2:C$400,3,FALSE)</f>
        <v>P1</v>
      </c>
    </row>
    <row r="159" spans="1:13" ht="18" x14ac:dyDescent="0.25">
      <c r="A159" s="65" t="s">
        <v>127</v>
      </c>
      <c r="B159" s="66">
        <v>4104402</v>
      </c>
      <c r="C159" s="43">
        <v>10.36</v>
      </c>
      <c r="D159" s="42">
        <v>18.646508279337652</v>
      </c>
      <c r="E159" s="44">
        <v>2069</v>
      </c>
      <c r="F159" s="44">
        <v>15244</v>
      </c>
      <c r="G159" s="44">
        <v>0.13572553135659932</v>
      </c>
      <c r="H159" s="42">
        <v>78.885708365111327</v>
      </c>
      <c r="I159" s="67">
        <v>11.87</v>
      </c>
      <c r="J159" s="44">
        <v>63.612004287245441</v>
      </c>
      <c r="K159" s="41">
        <f t="shared" si="4"/>
        <v>53.7147403105648</v>
      </c>
      <c r="L159" s="130">
        <f t="shared" si="5"/>
        <v>46.426357862558397</v>
      </c>
      <c r="M159" s="1" t="str">
        <f>VLOOKUP(A159,CI!A$2:C$400,3,FALSE)</f>
        <v>P1</v>
      </c>
    </row>
    <row r="160" spans="1:13" ht="18" x14ac:dyDescent="0.25">
      <c r="A160" s="65" t="s">
        <v>202</v>
      </c>
      <c r="B160" s="66">
        <v>4102604</v>
      </c>
      <c r="C160" s="43">
        <v>0</v>
      </c>
      <c r="D160" s="42">
        <v>0</v>
      </c>
      <c r="E160" s="44">
        <v>1356</v>
      </c>
      <c r="F160" s="44">
        <v>9759</v>
      </c>
      <c r="G160" s="44">
        <v>0.13894866277282508</v>
      </c>
      <c r="H160" s="42">
        <v>80.759040540579377</v>
      </c>
      <c r="I160" s="67">
        <v>13.42</v>
      </c>
      <c r="J160" s="44">
        <v>71.918542336548768</v>
      </c>
      <c r="K160" s="41">
        <f t="shared" si="4"/>
        <v>50.892527625709384</v>
      </c>
      <c r="L160" s="130">
        <f t="shared" si="5"/>
        <v>41.140671579632297</v>
      </c>
      <c r="M160" s="1" t="str">
        <f>VLOOKUP(A160,CI!A$2:C$400,3,FALSE)</f>
        <v>P1</v>
      </c>
    </row>
    <row r="161" spans="1:13" ht="18" x14ac:dyDescent="0.25">
      <c r="A161" s="65" t="s">
        <v>135</v>
      </c>
      <c r="B161" s="66">
        <v>4121505</v>
      </c>
      <c r="C161" s="43">
        <v>5.38</v>
      </c>
      <c r="D161" s="42">
        <v>9.6832253419726406</v>
      </c>
      <c r="E161" s="44">
        <v>1952</v>
      </c>
      <c r="F161" s="44">
        <v>14514</v>
      </c>
      <c r="G161" s="44">
        <v>0.13449083643378806</v>
      </c>
      <c r="H161" s="42">
        <v>78.168085213245604</v>
      </c>
      <c r="I161" s="67">
        <v>11.51</v>
      </c>
      <c r="J161" s="44">
        <v>61.682743837084672</v>
      </c>
      <c r="K161" s="41">
        <f t="shared" si="4"/>
        <v>49.844684797434304</v>
      </c>
      <c r="L161" s="130">
        <f t="shared" si="5"/>
        <v>39.178180058778047</v>
      </c>
      <c r="M161" s="1" t="str">
        <f>VLOOKUP(A161,CI!A$2:C$400,3,FALSE)</f>
        <v>P1</v>
      </c>
    </row>
    <row r="162" spans="1:13" ht="18" x14ac:dyDescent="0.25">
      <c r="A162" s="65" t="s">
        <v>181</v>
      </c>
      <c r="B162" s="66">
        <v>4105300</v>
      </c>
      <c r="C162" s="43">
        <v>9.17</v>
      </c>
      <c r="D162" s="42">
        <v>16.504679625629947</v>
      </c>
      <c r="E162" s="44">
        <v>1332</v>
      </c>
      <c r="F162" s="44">
        <v>11087</v>
      </c>
      <c r="G162" s="44">
        <v>0.12014070533056734</v>
      </c>
      <c r="H162" s="42">
        <v>69.827574434654053</v>
      </c>
      <c r="I162" s="67">
        <v>9.2899999999999991</v>
      </c>
      <c r="J162" s="44">
        <v>49.785637727759905</v>
      </c>
      <c r="K162" s="41">
        <f t="shared" si="4"/>
        <v>45.372630596014631</v>
      </c>
      <c r="L162" s="130">
        <f t="shared" si="5"/>
        <v>30.802526559737458</v>
      </c>
      <c r="M162" s="1" t="str">
        <f>VLOOKUP(A162,CI!A$2:C$400,3,FALSE)</f>
        <v>P1</v>
      </c>
    </row>
    <row r="163" spans="1:13" ht="18" x14ac:dyDescent="0.25">
      <c r="A163" s="65" t="s">
        <v>141</v>
      </c>
      <c r="B163" s="66">
        <v>4110508</v>
      </c>
      <c r="C163" s="43">
        <v>14.35</v>
      </c>
      <c r="D163" s="42">
        <v>25.827933765298773</v>
      </c>
      <c r="E163" s="44">
        <v>1999</v>
      </c>
      <c r="F163" s="44">
        <v>14142</v>
      </c>
      <c r="G163" s="44">
        <v>0.14135200113138169</v>
      </c>
      <c r="H163" s="42">
        <v>82.155896732342313</v>
      </c>
      <c r="I163" s="67">
        <v>12.8</v>
      </c>
      <c r="J163" s="44">
        <v>68.59592711682744</v>
      </c>
      <c r="K163" s="41">
        <f t="shared" si="4"/>
        <v>58.859919204822837</v>
      </c>
      <c r="L163" s="130">
        <f t="shared" si="5"/>
        <v>56.062698047165647</v>
      </c>
      <c r="M163" s="1" t="str">
        <f>VLOOKUP(A163,CI!A$2:C$400,3,FALSE)</f>
        <v>P1</v>
      </c>
    </row>
    <row r="164" spans="1:13" ht="18" x14ac:dyDescent="0.25">
      <c r="A164" s="65" t="s">
        <v>180</v>
      </c>
      <c r="B164" s="66">
        <v>4127858</v>
      </c>
      <c r="C164" s="43">
        <v>14.08</v>
      </c>
      <c r="D164" s="42">
        <v>25.341972642188626</v>
      </c>
      <c r="E164" s="44">
        <v>1523</v>
      </c>
      <c r="F164" s="44">
        <v>11135</v>
      </c>
      <c r="G164" s="44">
        <v>0.13677593174674449</v>
      </c>
      <c r="H164" s="42">
        <v>79.496216778785424</v>
      </c>
      <c r="I164" s="67">
        <v>13.56</v>
      </c>
      <c r="J164" s="44">
        <v>72.668810289389071</v>
      </c>
      <c r="K164" s="41">
        <f t="shared" si="4"/>
        <v>59.16899990345437</v>
      </c>
      <c r="L164" s="130">
        <f t="shared" si="5"/>
        <v>56.641571360945541</v>
      </c>
      <c r="M164" s="1" t="str">
        <f>VLOOKUP(A164,CI!A$2:C$400,3,FALSE)</f>
        <v>P1</v>
      </c>
    </row>
    <row r="165" spans="1:13" ht="18" x14ac:dyDescent="0.25">
      <c r="A165" s="65" t="s">
        <v>218</v>
      </c>
      <c r="B165" s="66">
        <v>4103503</v>
      </c>
      <c r="C165" s="43">
        <v>25.42</v>
      </c>
      <c r="D165" s="42">
        <v>45.752339812814974</v>
      </c>
      <c r="E165" s="44">
        <v>1168</v>
      </c>
      <c r="F165" s="44">
        <v>8710</v>
      </c>
      <c r="G165" s="44">
        <v>0.1340987370838117</v>
      </c>
      <c r="H165" s="42">
        <v>77.940191207871507</v>
      </c>
      <c r="I165" s="67">
        <v>11.25</v>
      </c>
      <c r="J165" s="44">
        <v>60.289389067524112</v>
      </c>
      <c r="K165" s="41">
        <f t="shared" si="4"/>
        <v>61.327306696070195</v>
      </c>
      <c r="L165" s="130">
        <f t="shared" si="5"/>
        <v>60.683836732827025</v>
      </c>
      <c r="M165" s="1" t="str">
        <f>VLOOKUP(A165,CI!A$2:C$400,3,FALSE)</f>
        <v>P1</v>
      </c>
    </row>
    <row r="166" spans="1:13" ht="18" x14ac:dyDescent="0.25">
      <c r="A166" s="65" t="s">
        <v>146</v>
      </c>
      <c r="B166" s="66">
        <v>4101903</v>
      </c>
      <c r="C166" s="43">
        <v>6.49</v>
      </c>
      <c r="D166" s="42">
        <v>11.681065514758819</v>
      </c>
      <c r="E166" s="44">
        <v>1755</v>
      </c>
      <c r="F166" s="44">
        <v>13797</v>
      </c>
      <c r="G166" s="44">
        <v>0.12720156555772993</v>
      </c>
      <c r="H166" s="42">
        <v>73.931451981637622</v>
      </c>
      <c r="I166" s="67">
        <v>10.94</v>
      </c>
      <c r="J166" s="44">
        <v>58.628081457663448</v>
      </c>
      <c r="K166" s="41">
        <f t="shared" si="4"/>
        <v>48.080199651353297</v>
      </c>
      <c r="L166" s="130">
        <f t="shared" si="5"/>
        <v>35.873498245421011</v>
      </c>
      <c r="M166" s="1" t="str">
        <f>VLOOKUP(A166,CI!A$2:C$400,3,FALSE)</f>
        <v>P1</v>
      </c>
    </row>
    <row r="167" spans="1:13" ht="18" x14ac:dyDescent="0.25">
      <c r="A167" s="65" t="s">
        <v>200</v>
      </c>
      <c r="B167" s="66">
        <v>4123857</v>
      </c>
      <c r="C167" s="43">
        <v>9.43</v>
      </c>
      <c r="D167" s="42">
        <v>16.97264218862491</v>
      </c>
      <c r="E167" s="44">
        <v>1409</v>
      </c>
      <c r="F167" s="44">
        <v>9934</v>
      </c>
      <c r="G167" s="44">
        <v>0.14183611838131668</v>
      </c>
      <c r="H167" s="42">
        <v>82.437272917140973</v>
      </c>
      <c r="I167" s="67">
        <v>13.89</v>
      </c>
      <c r="J167" s="44">
        <v>74.437299035369776</v>
      </c>
      <c r="K167" s="41">
        <f t="shared" si="4"/>
        <v>57.949071380378562</v>
      </c>
      <c r="L167" s="130">
        <f t="shared" si="5"/>
        <v>54.356782728545774</v>
      </c>
      <c r="M167" s="1" t="str">
        <f>VLOOKUP(A167,CI!A$2:C$400,3,FALSE)</f>
        <v>P1</v>
      </c>
    </row>
    <row r="168" spans="1:13" ht="18" x14ac:dyDescent="0.25">
      <c r="A168" s="65" t="s">
        <v>190</v>
      </c>
      <c r="B168" s="66">
        <v>4121000</v>
      </c>
      <c r="C168" s="43">
        <v>6.71</v>
      </c>
      <c r="D168" s="42">
        <v>12.077033837293015</v>
      </c>
      <c r="E168" s="44">
        <v>1542</v>
      </c>
      <c r="F168" s="44">
        <v>10685</v>
      </c>
      <c r="G168" s="44">
        <v>0.14431445952269537</v>
      </c>
      <c r="H168" s="42">
        <v>83.877721847817071</v>
      </c>
      <c r="I168" s="67">
        <v>11.79</v>
      </c>
      <c r="J168" s="44">
        <v>63.183279742765265</v>
      </c>
      <c r="K168" s="41">
        <f t="shared" si="4"/>
        <v>53.046011809291791</v>
      </c>
      <c r="L168" s="130">
        <f t="shared" si="5"/>
        <v>45.173904748323473</v>
      </c>
      <c r="M168" s="1" t="str">
        <f>VLOOKUP(A168,CI!A$2:C$400,3,FALSE)</f>
        <v>P1</v>
      </c>
    </row>
    <row r="169" spans="1:13" ht="18" x14ac:dyDescent="0.25">
      <c r="A169" s="65" t="s">
        <v>172</v>
      </c>
      <c r="B169" s="66">
        <v>4112702</v>
      </c>
      <c r="C169" s="43">
        <v>18.87</v>
      </c>
      <c r="D169" s="42">
        <v>33.963282937365015</v>
      </c>
      <c r="E169" s="44">
        <v>1566</v>
      </c>
      <c r="F169" s="44">
        <v>11813</v>
      </c>
      <c r="G169" s="44">
        <v>0.1325658173199018</v>
      </c>
      <c r="H169" s="42">
        <v>77.049235318922371</v>
      </c>
      <c r="I169" s="67">
        <v>12.95</v>
      </c>
      <c r="J169" s="44">
        <v>69.399785637727746</v>
      </c>
      <c r="K169" s="41">
        <f t="shared" si="4"/>
        <v>60.13743463133838</v>
      </c>
      <c r="L169" s="130">
        <f t="shared" si="5"/>
        <v>58.455340459410223</v>
      </c>
      <c r="M169" s="1" t="str">
        <f>VLOOKUP(A169,CI!A$2:C$400,3,FALSE)</f>
        <v>P1</v>
      </c>
    </row>
    <row r="170" spans="1:13" ht="18" x14ac:dyDescent="0.25">
      <c r="A170" s="65" t="s">
        <v>184</v>
      </c>
      <c r="B170" s="66">
        <v>4108502</v>
      </c>
      <c r="C170" s="43">
        <v>5.05</v>
      </c>
      <c r="D170" s="42">
        <v>9.0892728581713467</v>
      </c>
      <c r="E170" s="44">
        <v>1630</v>
      </c>
      <c r="F170" s="44">
        <v>11062</v>
      </c>
      <c r="G170" s="44">
        <v>0.14735129271379496</v>
      </c>
      <c r="H170" s="42">
        <v>85.642774709073919</v>
      </c>
      <c r="I170" s="67">
        <v>15.28</v>
      </c>
      <c r="J170" s="44">
        <v>81.886387995712752</v>
      </c>
      <c r="K170" s="41">
        <f t="shared" si="4"/>
        <v>58.872811854319337</v>
      </c>
      <c r="L170" s="130">
        <f t="shared" si="5"/>
        <v>56.086844526614179</v>
      </c>
      <c r="M170" s="1" t="str">
        <f>VLOOKUP(A170,CI!A$2:C$400,3,FALSE)</f>
        <v>P1</v>
      </c>
    </row>
    <row r="171" spans="1:13" ht="18" x14ac:dyDescent="0.25">
      <c r="A171" s="65" t="s">
        <v>192</v>
      </c>
      <c r="B171" s="66">
        <v>4125001</v>
      </c>
      <c r="C171" s="43">
        <v>17.54</v>
      </c>
      <c r="D171" s="42">
        <v>31.56947444204463</v>
      </c>
      <c r="E171" s="44">
        <v>1213</v>
      </c>
      <c r="F171" s="44">
        <v>10667</v>
      </c>
      <c r="G171" s="44">
        <v>0.1137151964001125</v>
      </c>
      <c r="H171" s="42">
        <v>66.09297256189717</v>
      </c>
      <c r="I171" s="67">
        <v>11.25</v>
      </c>
      <c r="J171" s="44">
        <v>60.289389067524112</v>
      </c>
      <c r="K171" s="41">
        <f t="shared" si="4"/>
        <v>52.650612023821964</v>
      </c>
      <c r="L171" s="130">
        <f t="shared" si="5"/>
        <v>44.433365513436982</v>
      </c>
      <c r="M171" s="1" t="str">
        <f>VLOOKUP(A171,CI!A$2:C$400,3,FALSE)</f>
        <v>P1</v>
      </c>
    </row>
    <row r="172" spans="1:13" ht="18" x14ac:dyDescent="0.25">
      <c r="A172" s="65" t="s">
        <v>203</v>
      </c>
      <c r="B172" s="66">
        <v>4100707</v>
      </c>
      <c r="C172" s="43">
        <v>7.58</v>
      </c>
      <c r="D172" s="42">
        <v>13.642908567314615</v>
      </c>
      <c r="E172" s="44">
        <v>1273</v>
      </c>
      <c r="F172" s="44">
        <v>9727</v>
      </c>
      <c r="G172" s="44">
        <v>0.13087282821013674</v>
      </c>
      <c r="H172" s="42">
        <v>76.065244732601911</v>
      </c>
      <c r="I172" s="67">
        <v>12.34</v>
      </c>
      <c r="J172" s="44">
        <v>66.130760986066448</v>
      </c>
      <c r="K172" s="41">
        <f t="shared" si="4"/>
        <v>51.946304761994327</v>
      </c>
      <c r="L172" s="130">
        <f t="shared" si="5"/>
        <v>43.114277390566365</v>
      </c>
      <c r="M172" s="1" t="str">
        <f>VLOOKUP(A172,CI!A$2:C$400,3,FALSE)</f>
        <v>P1</v>
      </c>
    </row>
    <row r="173" spans="1:13" ht="18" x14ac:dyDescent="0.25">
      <c r="A173" s="65" t="s">
        <v>136</v>
      </c>
      <c r="B173" s="66">
        <v>4101705</v>
      </c>
      <c r="C173" s="43">
        <v>0</v>
      </c>
      <c r="D173" s="42">
        <v>0</v>
      </c>
      <c r="E173" s="44">
        <v>1845</v>
      </c>
      <c r="F173" s="44">
        <v>14485</v>
      </c>
      <c r="G173" s="44">
        <v>0.12737314463237831</v>
      </c>
      <c r="H173" s="42">
        <v>74.03117630549167</v>
      </c>
      <c r="I173" s="67">
        <v>13.05</v>
      </c>
      <c r="J173" s="44">
        <v>69.935691318327969</v>
      </c>
      <c r="K173" s="41">
        <f t="shared" si="4"/>
        <v>47.988955874606546</v>
      </c>
      <c r="L173" s="130">
        <f t="shared" si="5"/>
        <v>35.702608935150124</v>
      </c>
      <c r="M173" s="1" t="str">
        <f>VLOOKUP(A173,CI!A$2:C$400,3,FALSE)</f>
        <v>P1</v>
      </c>
    </row>
    <row r="174" spans="1:13" ht="18" x14ac:dyDescent="0.25">
      <c r="A174" s="65" t="s">
        <v>191</v>
      </c>
      <c r="B174" s="66">
        <v>4110805</v>
      </c>
      <c r="C174" s="43">
        <v>23.26</v>
      </c>
      <c r="D174" s="42">
        <v>41.864650827933765</v>
      </c>
      <c r="E174" s="44">
        <v>1387</v>
      </c>
      <c r="F174" s="44">
        <v>10684</v>
      </c>
      <c r="G174" s="44">
        <v>0.12982029202545864</v>
      </c>
      <c r="H174" s="42">
        <v>75.453494963208172</v>
      </c>
      <c r="I174" s="67">
        <v>11.51</v>
      </c>
      <c r="J174" s="44">
        <v>61.682743837084672</v>
      </c>
      <c r="K174" s="41">
        <f t="shared" si="4"/>
        <v>59.66696320940887</v>
      </c>
      <c r="L174" s="130">
        <f t="shared" si="5"/>
        <v>57.574200510339033</v>
      </c>
      <c r="M174" s="1" t="str">
        <f>VLOOKUP(A174,CI!A$2:C$400,3,FALSE)</f>
        <v>P1</v>
      </c>
    </row>
    <row r="175" spans="1:13" ht="18" x14ac:dyDescent="0.25">
      <c r="A175" s="65" t="s">
        <v>149</v>
      </c>
      <c r="B175" s="66">
        <v>4125100</v>
      </c>
      <c r="C175" s="43">
        <v>4.93</v>
      </c>
      <c r="D175" s="42">
        <v>8.8732901367890555</v>
      </c>
      <c r="E175" s="44">
        <v>1885</v>
      </c>
      <c r="F175" s="44">
        <v>13726</v>
      </c>
      <c r="G175" s="44">
        <v>0.13733061343435815</v>
      </c>
      <c r="H175" s="42">
        <v>79.818606069932102</v>
      </c>
      <c r="I175" s="67">
        <v>11.29</v>
      </c>
      <c r="J175" s="44">
        <v>60.5037513397642</v>
      </c>
      <c r="K175" s="41">
        <f t="shared" si="4"/>
        <v>49.731882515495123</v>
      </c>
      <c r="L175" s="130">
        <f t="shared" si="5"/>
        <v>38.966914098020297</v>
      </c>
      <c r="M175" s="1" t="str">
        <f>VLOOKUP(A175,CI!A$2:C$400,3,FALSE)</f>
        <v>P1</v>
      </c>
    </row>
    <row r="176" spans="1:13" ht="18" x14ac:dyDescent="0.25">
      <c r="A176" s="65" t="s">
        <v>179</v>
      </c>
      <c r="B176" s="66">
        <v>4116109</v>
      </c>
      <c r="C176" s="43">
        <v>16.13</v>
      </c>
      <c r="D176" s="42">
        <v>29.031677465802737</v>
      </c>
      <c r="E176" s="44">
        <v>1324</v>
      </c>
      <c r="F176" s="44">
        <v>11175</v>
      </c>
      <c r="G176" s="44">
        <v>0.11847874720357941</v>
      </c>
      <c r="H176" s="42">
        <v>68.861619519538351</v>
      </c>
      <c r="I176" s="67">
        <v>10.65</v>
      </c>
      <c r="J176" s="44">
        <v>57.073954983922825</v>
      </c>
      <c r="K176" s="41">
        <f t="shared" si="4"/>
        <v>51.655750656421304</v>
      </c>
      <c r="L176" s="130">
        <f t="shared" si="5"/>
        <v>42.570102297556367</v>
      </c>
      <c r="M176" s="1" t="str">
        <f>VLOOKUP(A176,CI!A$2:C$400,3,FALSE)</f>
        <v>P1</v>
      </c>
    </row>
    <row r="177" spans="1:13" ht="18" x14ac:dyDescent="0.25">
      <c r="A177" s="65" t="s">
        <v>183</v>
      </c>
      <c r="B177" s="66">
        <v>4116059</v>
      </c>
      <c r="C177" s="43">
        <v>7.52</v>
      </c>
      <c r="D177" s="42">
        <v>13.534917206623467</v>
      </c>
      <c r="E177" s="44">
        <v>1355</v>
      </c>
      <c r="F177" s="44">
        <v>11064</v>
      </c>
      <c r="G177" s="44">
        <v>0.12246926970354302</v>
      </c>
      <c r="H177" s="42">
        <v>71.180970867881683</v>
      </c>
      <c r="I177" s="67">
        <v>11.12</v>
      </c>
      <c r="J177" s="44">
        <v>59.59271168274384</v>
      </c>
      <c r="K177" s="41">
        <f t="shared" si="4"/>
        <v>48.102866585749666</v>
      </c>
      <c r="L177" s="130">
        <f t="shared" si="5"/>
        <v>35.915950858881999</v>
      </c>
      <c r="M177" s="1" t="str">
        <f>VLOOKUP(A177,CI!A$2:C$400,3,FALSE)</f>
        <v>P1</v>
      </c>
    </row>
    <row r="178" spans="1:13" ht="18" x14ac:dyDescent="0.25">
      <c r="A178" s="65" t="s">
        <v>204</v>
      </c>
      <c r="B178" s="66">
        <v>4128708</v>
      </c>
      <c r="C178" s="43">
        <v>0</v>
      </c>
      <c r="D178" s="42">
        <v>0</v>
      </c>
      <c r="E178" s="44">
        <v>1538</v>
      </c>
      <c r="F178" s="44">
        <v>9706</v>
      </c>
      <c r="G178" s="44">
        <v>0.15845868534926849</v>
      </c>
      <c r="H178" s="42">
        <v>92.098557400663623</v>
      </c>
      <c r="I178" s="67">
        <v>12.98</v>
      </c>
      <c r="J178" s="44">
        <v>69.560557341907824</v>
      </c>
      <c r="K178" s="41">
        <f t="shared" si="4"/>
        <v>53.886371580857144</v>
      </c>
      <c r="L178" s="130">
        <f t="shared" si="5"/>
        <v>46.747803888215358</v>
      </c>
      <c r="M178" s="1" t="str">
        <f>VLOOKUP(A178,CI!A$2:C$400,3,FALSE)</f>
        <v>P1</v>
      </c>
    </row>
    <row r="179" spans="1:13" ht="18" x14ac:dyDescent="0.25">
      <c r="A179" s="65" t="s">
        <v>219</v>
      </c>
      <c r="B179" s="66">
        <v>4125803</v>
      </c>
      <c r="C179" s="43">
        <v>49.02</v>
      </c>
      <c r="D179" s="42">
        <v>88.22894168466523</v>
      </c>
      <c r="E179" s="44">
        <v>1084</v>
      </c>
      <c r="F179" s="44">
        <v>8690</v>
      </c>
      <c r="G179" s="44">
        <v>0.12474108170310702</v>
      </c>
      <c r="H179" s="42">
        <v>72.501381973048836</v>
      </c>
      <c r="I179" s="67">
        <v>10.36</v>
      </c>
      <c r="J179" s="44">
        <v>55.519828510182201</v>
      </c>
      <c r="K179" s="41">
        <f t="shared" si="4"/>
        <v>72.083384055965425</v>
      </c>
      <c r="L179" s="130">
        <f t="shared" si="5"/>
        <v>80.828757370586402</v>
      </c>
      <c r="M179" s="1" t="str">
        <f>VLOOKUP(A179,CI!A$2:C$400,3,FALSE)</f>
        <v>P1</v>
      </c>
    </row>
    <row r="180" spans="1:13" ht="18" x14ac:dyDescent="0.25">
      <c r="A180" s="65" t="s">
        <v>209</v>
      </c>
      <c r="B180" s="66">
        <v>4103800</v>
      </c>
      <c r="C180" s="43">
        <v>0</v>
      </c>
      <c r="D180" s="42">
        <v>0</v>
      </c>
      <c r="E180" s="44">
        <v>1227</v>
      </c>
      <c r="F180" s="44">
        <v>9460</v>
      </c>
      <c r="G180" s="44">
        <v>0.12970401691331923</v>
      </c>
      <c r="H180" s="42">
        <v>75.385914129339469</v>
      </c>
      <c r="I180" s="67">
        <v>11.63</v>
      </c>
      <c r="J180" s="44">
        <v>62.325830653804935</v>
      </c>
      <c r="K180" s="41">
        <f t="shared" si="4"/>
        <v>45.903914927714801</v>
      </c>
      <c r="L180" s="130">
        <f t="shared" si="5"/>
        <v>31.797562234926136</v>
      </c>
      <c r="M180" s="1" t="str">
        <f>VLOOKUP(A180,CI!A$2:C$400,3,FALSE)</f>
        <v>P1</v>
      </c>
    </row>
    <row r="181" spans="1:13" ht="18" x14ac:dyDescent="0.25">
      <c r="A181" s="65" t="s">
        <v>210</v>
      </c>
      <c r="B181" s="66">
        <v>4115754</v>
      </c>
      <c r="C181" s="43">
        <v>0</v>
      </c>
      <c r="D181" s="42">
        <v>0</v>
      </c>
      <c r="E181" s="44">
        <v>1494</v>
      </c>
      <c r="F181" s="44">
        <v>9383</v>
      </c>
      <c r="G181" s="44">
        <v>0.15922412874347225</v>
      </c>
      <c r="H181" s="42">
        <v>92.54344454725738</v>
      </c>
      <c r="I181" s="67">
        <v>13.43</v>
      </c>
      <c r="J181" s="44">
        <v>71.972132904608785</v>
      </c>
      <c r="K181" s="41">
        <f t="shared" si="4"/>
        <v>54.838525817288719</v>
      </c>
      <c r="L181" s="130">
        <f t="shared" si="5"/>
        <v>48.531081461072759</v>
      </c>
      <c r="M181" s="1" t="str">
        <f>VLOOKUP(A181,CI!A$2:C$400,3,FALSE)</f>
        <v>P1</v>
      </c>
    </row>
    <row r="182" spans="1:13" ht="18" x14ac:dyDescent="0.25">
      <c r="A182" s="65" t="s">
        <v>160</v>
      </c>
      <c r="B182" s="66">
        <v>4121901</v>
      </c>
      <c r="C182" s="43">
        <v>24.24</v>
      </c>
      <c r="D182" s="42">
        <v>43.628509719222457</v>
      </c>
      <c r="E182" s="44">
        <v>1734</v>
      </c>
      <c r="F182" s="44">
        <v>13060</v>
      </c>
      <c r="G182" s="44">
        <v>0.13277182235834609</v>
      </c>
      <c r="H182" s="42">
        <v>77.168968527715364</v>
      </c>
      <c r="I182" s="67">
        <v>12.94</v>
      </c>
      <c r="J182" s="44">
        <v>69.346195069667743</v>
      </c>
      <c r="K182" s="41">
        <f t="shared" si="4"/>
        <v>63.381224438868522</v>
      </c>
      <c r="L182" s="130">
        <f t="shared" si="5"/>
        <v>64.530593179506297</v>
      </c>
      <c r="M182" s="1" t="str">
        <f>VLOOKUP(A182,CI!A$2:C$400,3,FALSE)</f>
        <v>P1</v>
      </c>
    </row>
    <row r="183" spans="1:13" ht="18" x14ac:dyDescent="0.25">
      <c r="A183" s="65" t="s">
        <v>168</v>
      </c>
      <c r="B183" s="66">
        <v>4112504</v>
      </c>
      <c r="C183" s="43">
        <v>7.41</v>
      </c>
      <c r="D183" s="42">
        <v>13.336933045356373</v>
      </c>
      <c r="E183" s="44">
        <v>1473</v>
      </c>
      <c r="F183" s="44">
        <v>12004</v>
      </c>
      <c r="G183" s="44">
        <v>0.12270909696767744</v>
      </c>
      <c r="H183" s="42">
        <v>71.3203620599987</v>
      </c>
      <c r="I183" s="67">
        <v>11.75</v>
      </c>
      <c r="J183" s="44">
        <v>62.968917470525184</v>
      </c>
      <c r="K183" s="41">
        <f t="shared" si="4"/>
        <v>49.208737525293422</v>
      </c>
      <c r="L183" s="130">
        <f t="shared" si="5"/>
        <v>37.987122492118594</v>
      </c>
      <c r="M183" s="1" t="str">
        <f>VLOOKUP(A183,CI!A$2:C$400,3,FALSE)</f>
        <v>P1</v>
      </c>
    </row>
    <row r="184" spans="1:13" ht="18" x14ac:dyDescent="0.25">
      <c r="A184" s="65" t="s">
        <v>212</v>
      </c>
      <c r="B184" s="66">
        <v>4107256</v>
      </c>
      <c r="C184" s="43">
        <v>0</v>
      </c>
      <c r="D184" s="42">
        <v>0</v>
      </c>
      <c r="E184" s="44">
        <v>1208</v>
      </c>
      <c r="F184" s="44">
        <v>9161</v>
      </c>
      <c r="G184" s="44">
        <v>0.13186333369719463</v>
      </c>
      <c r="H184" s="42">
        <v>76.640941332976965</v>
      </c>
      <c r="I184" s="67">
        <v>10.92</v>
      </c>
      <c r="J184" s="44">
        <v>58.520900321543415</v>
      </c>
      <c r="K184" s="41">
        <f t="shared" si="4"/>
        <v>45.053947218173455</v>
      </c>
      <c r="L184" s="130">
        <f t="shared" si="5"/>
        <v>30.205668510062171</v>
      </c>
      <c r="M184" s="1" t="str">
        <f>VLOOKUP(A184,CI!A$2:C$400,3,FALSE)</f>
        <v>P1</v>
      </c>
    </row>
    <row r="185" spans="1:13" ht="18" x14ac:dyDescent="0.25">
      <c r="A185" s="65" t="s">
        <v>182</v>
      </c>
      <c r="B185" s="66">
        <v>4123907</v>
      </c>
      <c r="C185" s="43">
        <v>22.9</v>
      </c>
      <c r="D185" s="42">
        <v>41.21670266378689</v>
      </c>
      <c r="E185" s="44">
        <v>1283</v>
      </c>
      <c r="F185" s="44">
        <v>11066</v>
      </c>
      <c r="G185" s="44">
        <v>0.11594071932044099</v>
      </c>
      <c r="H185" s="42">
        <v>67.3864797620395</v>
      </c>
      <c r="I185" s="67">
        <v>12.56</v>
      </c>
      <c r="J185" s="44">
        <v>67.309753483386928</v>
      </c>
      <c r="K185" s="41">
        <f t="shared" si="4"/>
        <v>58.63764530307111</v>
      </c>
      <c r="L185" s="130">
        <f t="shared" si="5"/>
        <v>55.64640408043303</v>
      </c>
      <c r="M185" s="1" t="str">
        <f>VLOOKUP(A185,CI!A$2:C$400,3,FALSE)</f>
        <v>P1</v>
      </c>
    </row>
    <row r="186" spans="1:13" ht="18" x14ac:dyDescent="0.25">
      <c r="A186" s="65" t="s">
        <v>152</v>
      </c>
      <c r="B186" s="66">
        <v>4114005</v>
      </c>
      <c r="C186" s="43">
        <v>0</v>
      </c>
      <c r="D186" s="42">
        <v>0</v>
      </c>
      <c r="E186" s="44">
        <v>1688</v>
      </c>
      <c r="F186" s="44">
        <v>13452</v>
      </c>
      <c r="G186" s="44">
        <v>0.12548319952423431</v>
      </c>
      <c r="H186" s="42">
        <v>72.932711947776937</v>
      </c>
      <c r="I186" s="67">
        <v>10.33</v>
      </c>
      <c r="J186" s="44">
        <v>55.359056806002137</v>
      </c>
      <c r="K186" s="41">
        <f t="shared" si="4"/>
        <v>42.763922917926358</v>
      </c>
      <c r="L186" s="130">
        <f t="shared" si="5"/>
        <v>25.916711091530964</v>
      </c>
      <c r="M186" s="1" t="str">
        <f>VLOOKUP(A186,CI!A$2:C$400,3,FALSE)</f>
        <v>P1</v>
      </c>
    </row>
    <row r="187" spans="1:13" ht="18" x14ac:dyDescent="0.25">
      <c r="A187" s="65" t="s">
        <v>111</v>
      </c>
      <c r="B187" s="66">
        <v>4101200</v>
      </c>
      <c r="C187" s="43">
        <v>0</v>
      </c>
      <c r="D187" s="42">
        <v>0</v>
      </c>
      <c r="E187" s="44">
        <v>2524</v>
      </c>
      <c r="F187" s="44">
        <v>18091</v>
      </c>
      <c r="G187" s="44">
        <v>0.13951688684981484</v>
      </c>
      <c r="H187" s="42">
        <v>81.089300870934437</v>
      </c>
      <c r="I187" s="67">
        <v>10.119999999999999</v>
      </c>
      <c r="J187" s="44">
        <v>54.233654876741689</v>
      </c>
      <c r="K187" s="41">
        <f t="shared" si="4"/>
        <v>45.107651915892042</v>
      </c>
      <c r="L187" s="130">
        <f t="shared" si="5"/>
        <v>30.306251356132957</v>
      </c>
      <c r="M187" s="1" t="str">
        <f>VLOOKUP(A187,CI!A$2:C$400,3,FALSE)</f>
        <v>P1</v>
      </c>
    </row>
    <row r="188" spans="1:13" ht="18" x14ac:dyDescent="0.25">
      <c r="A188" s="65" t="s">
        <v>171</v>
      </c>
      <c r="B188" s="66">
        <v>4118907</v>
      </c>
      <c r="C188" s="43">
        <v>6.54</v>
      </c>
      <c r="D188" s="42">
        <v>11.771058315334773</v>
      </c>
      <c r="E188" s="44">
        <v>1463</v>
      </c>
      <c r="F188" s="44">
        <v>11878</v>
      </c>
      <c r="G188" s="44">
        <v>0.1231688836504462</v>
      </c>
      <c r="H188" s="42">
        <v>71.587596955338782</v>
      </c>
      <c r="I188" s="67">
        <v>10.94</v>
      </c>
      <c r="J188" s="44">
        <v>58.628081457663448</v>
      </c>
      <c r="K188" s="41">
        <f t="shared" si="4"/>
        <v>47.328912242779005</v>
      </c>
      <c r="L188" s="130">
        <f t="shared" si="5"/>
        <v>34.4664216025635</v>
      </c>
      <c r="M188" s="1" t="str">
        <f>VLOOKUP(A188,CI!A$2:C$400,3,FALSE)</f>
        <v>P1</v>
      </c>
    </row>
    <row r="189" spans="1:13" ht="18" x14ac:dyDescent="0.25">
      <c r="A189" s="65" t="s">
        <v>221</v>
      </c>
      <c r="B189" s="66">
        <v>4123303</v>
      </c>
      <c r="C189" s="43">
        <v>10.42</v>
      </c>
      <c r="D189" s="42">
        <v>18.754499640028797</v>
      </c>
      <c r="E189" s="44">
        <v>1110</v>
      </c>
      <c r="F189" s="44">
        <v>8613</v>
      </c>
      <c r="G189" s="44">
        <v>0.12887495646116337</v>
      </c>
      <c r="H189" s="42">
        <v>74.904051797380845</v>
      </c>
      <c r="I189" s="67">
        <v>11.49</v>
      </c>
      <c r="J189" s="44">
        <v>61.575562700964625</v>
      </c>
      <c r="K189" s="41">
        <f t="shared" si="4"/>
        <v>51.744704712791417</v>
      </c>
      <c r="L189" s="130">
        <f t="shared" si="5"/>
        <v>42.736703219623379</v>
      </c>
      <c r="M189" s="1" t="str">
        <f>VLOOKUP(A189,CI!A$2:C$400,3,FALSE)</f>
        <v>P1</v>
      </c>
    </row>
    <row r="190" spans="1:13" ht="18" x14ac:dyDescent="0.25">
      <c r="A190" s="65" t="s">
        <v>178</v>
      </c>
      <c r="B190" s="66">
        <v>4122503</v>
      </c>
      <c r="C190" s="43">
        <v>6.06</v>
      </c>
      <c r="D190" s="42">
        <v>10.907127429805614</v>
      </c>
      <c r="E190" s="44">
        <v>1425</v>
      </c>
      <c r="F190" s="44">
        <v>11251</v>
      </c>
      <c r="G190" s="44">
        <v>0.12665540840814149</v>
      </c>
      <c r="H190" s="42">
        <v>73.614017279460924</v>
      </c>
      <c r="I190" s="67">
        <v>14.13</v>
      </c>
      <c r="J190" s="44">
        <v>75.723472668810288</v>
      </c>
      <c r="K190" s="41">
        <f t="shared" si="4"/>
        <v>53.414872459358946</v>
      </c>
      <c r="L190" s="130">
        <f t="shared" si="5"/>
        <v>45.864739173678295</v>
      </c>
      <c r="M190" s="1" t="str">
        <f>VLOOKUP(A190,CI!A$2:C$400,3,FALSE)</f>
        <v>P1</v>
      </c>
    </row>
    <row r="191" spans="1:13" ht="18" x14ac:dyDescent="0.25">
      <c r="A191" s="65" t="s">
        <v>197</v>
      </c>
      <c r="B191" s="66">
        <v>4100806</v>
      </c>
      <c r="C191" s="43">
        <v>0</v>
      </c>
      <c r="D191" s="42">
        <v>0</v>
      </c>
      <c r="E191" s="44">
        <v>1164</v>
      </c>
      <c r="F191" s="44">
        <v>10326</v>
      </c>
      <c r="G191" s="44">
        <v>0.11272515979081929</v>
      </c>
      <c r="H191" s="42">
        <v>65.517548480290216</v>
      </c>
      <c r="I191" s="67">
        <v>8.91</v>
      </c>
      <c r="J191" s="44">
        <v>47.749196141479104</v>
      </c>
      <c r="K191" s="41">
        <f t="shared" si="4"/>
        <v>37.755581540589773</v>
      </c>
      <c r="L191" s="130">
        <f t="shared" si="5"/>
        <v>16.536652153926344</v>
      </c>
      <c r="M191" s="1" t="str">
        <f>VLOOKUP(A191,CI!A$2:C$400,3,FALSE)</f>
        <v>P1</v>
      </c>
    </row>
    <row r="192" spans="1:13" ht="18" x14ac:dyDescent="0.25">
      <c r="A192" s="65" t="s">
        <v>217</v>
      </c>
      <c r="B192" s="66">
        <v>4122701</v>
      </c>
      <c r="C192" s="43">
        <v>0</v>
      </c>
      <c r="D192" s="42">
        <v>0</v>
      </c>
      <c r="E192" s="44">
        <v>1205</v>
      </c>
      <c r="F192" s="44">
        <v>8822</v>
      </c>
      <c r="G192" s="44">
        <v>0.13659034232600317</v>
      </c>
      <c r="H192" s="42">
        <v>79.388349432281672</v>
      </c>
      <c r="I192" s="67">
        <v>12.7</v>
      </c>
      <c r="J192" s="44">
        <v>68.060021436227231</v>
      </c>
      <c r="K192" s="41">
        <f t="shared" si="4"/>
        <v>49.149456956169637</v>
      </c>
      <c r="L192" s="130">
        <f t="shared" si="5"/>
        <v>37.876096667331154</v>
      </c>
      <c r="M192" s="1" t="str">
        <f>VLOOKUP(A192,CI!A$2:C$400,3,FALSE)</f>
        <v>P1</v>
      </c>
    </row>
    <row r="193" spans="1:13" ht="18" x14ac:dyDescent="0.25">
      <c r="A193" s="65" t="s">
        <v>106</v>
      </c>
      <c r="B193" s="66">
        <v>4100509</v>
      </c>
      <c r="C193" s="43">
        <v>8.89</v>
      </c>
      <c r="D193" s="42">
        <v>16.000719942404608</v>
      </c>
      <c r="E193" s="44">
        <v>2251</v>
      </c>
      <c r="F193" s="44">
        <v>18742</v>
      </c>
      <c r="G193" s="44">
        <v>0.12010457795326006</v>
      </c>
      <c r="H193" s="42">
        <v>69.806576662740596</v>
      </c>
      <c r="I193" s="67">
        <v>10.99</v>
      </c>
      <c r="J193" s="44">
        <v>58.89603429796356</v>
      </c>
      <c r="K193" s="41">
        <f t="shared" si="4"/>
        <v>48.23444363436959</v>
      </c>
      <c r="L193" s="130">
        <f t="shared" si="5"/>
        <v>36.162379841633829</v>
      </c>
      <c r="M193" s="1" t="str">
        <f>VLOOKUP(A193,CI!A$2:C$400,3,FALSE)</f>
        <v>P1</v>
      </c>
    </row>
    <row r="194" spans="1:13" ht="18" x14ac:dyDescent="0.25">
      <c r="A194" s="65" t="s">
        <v>198</v>
      </c>
      <c r="B194" s="66">
        <v>4100301</v>
      </c>
      <c r="C194" s="43">
        <v>0</v>
      </c>
      <c r="D194" s="42">
        <v>0</v>
      </c>
      <c r="E194" s="44">
        <v>1482</v>
      </c>
      <c r="F194" s="44">
        <v>10233</v>
      </c>
      <c r="G194" s="44">
        <v>0.14482556435063032</v>
      </c>
      <c r="H194" s="42">
        <v>84.17478361650187</v>
      </c>
      <c r="I194" s="67">
        <v>14.95</v>
      </c>
      <c r="J194" s="44">
        <v>80.117899249732034</v>
      </c>
      <c r="K194" s="41">
        <f t="shared" ref="K194:K257" si="6">(D194+H194+J194)/3</f>
        <v>54.764227622077975</v>
      </c>
      <c r="L194" s="130">
        <f t="shared" si="5"/>
        <v>48.391929315177094</v>
      </c>
      <c r="M194" s="1" t="str">
        <f>VLOOKUP(A194,CI!A$2:C$400,3,FALSE)</f>
        <v>P1</v>
      </c>
    </row>
    <row r="195" spans="1:13" ht="18" x14ac:dyDescent="0.25">
      <c r="A195" s="65" t="s">
        <v>208</v>
      </c>
      <c r="B195" s="66">
        <v>4127007</v>
      </c>
      <c r="C195" s="43">
        <v>8</v>
      </c>
      <c r="D195" s="42">
        <v>14.398848092152628</v>
      </c>
      <c r="E195" s="44">
        <v>1299</v>
      </c>
      <c r="F195" s="44">
        <v>9547</v>
      </c>
      <c r="G195" s="44">
        <v>0.13606368492720225</v>
      </c>
      <c r="H195" s="42">
        <v>79.08224827684775</v>
      </c>
      <c r="I195" s="67">
        <v>14.56</v>
      </c>
      <c r="J195" s="44">
        <v>78.027867095391215</v>
      </c>
      <c r="K195" s="41">
        <f t="shared" si="6"/>
        <v>57.169654488130533</v>
      </c>
      <c r="L195" s="130">
        <f t="shared" ref="L195:L258" si="7">(K195-K$401)/(K$402-K$401)*100</f>
        <v>52.897022733084142</v>
      </c>
      <c r="M195" s="1" t="str">
        <f>VLOOKUP(A195,CI!A$2:C$400,3,FALSE)</f>
        <v>P1</v>
      </c>
    </row>
    <row r="196" spans="1:13" ht="18" x14ac:dyDescent="0.25">
      <c r="A196" s="65" t="s">
        <v>215</v>
      </c>
      <c r="B196" s="66">
        <v>4109906</v>
      </c>
      <c r="C196" s="43">
        <v>28.04</v>
      </c>
      <c r="D196" s="42">
        <v>50.467962562994963</v>
      </c>
      <c r="E196" s="44">
        <v>1051</v>
      </c>
      <c r="F196" s="44">
        <v>8991</v>
      </c>
      <c r="G196" s="44">
        <v>0.11689467245022801</v>
      </c>
      <c r="H196" s="42">
        <v>67.940931585791404</v>
      </c>
      <c r="I196" s="67">
        <v>14.57</v>
      </c>
      <c r="J196" s="44">
        <v>78.081457663451232</v>
      </c>
      <c r="K196" s="41">
        <f t="shared" si="6"/>
        <v>65.49678393741253</v>
      </c>
      <c r="L196" s="130">
        <f t="shared" si="7"/>
        <v>68.492797687399715</v>
      </c>
      <c r="M196" s="1" t="str">
        <f>VLOOKUP(A196,CI!A$2:C$400,3,FALSE)</f>
        <v>P1</v>
      </c>
    </row>
    <row r="197" spans="1:13" ht="18" x14ac:dyDescent="0.25">
      <c r="A197" s="65" t="s">
        <v>237</v>
      </c>
      <c r="B197" s="66">
        <v>4108205</v>
      </c>
      <c r="C197" s="43">
        <v>0</v>
      </c>
      <c r="D197" s="42">
        <v>0</v>
      </c>
      <c r="E197" s="44">
        <v>825</v>
      </c>
      <c r="F197" s="44">
        <v>7635</v>
      </c>
      <c r="G197" s="44">
        <v>0.10805500982318271</v>
      </c>
      <c r="H197" s="42">
        <v>62.803187485081622</v>
      </c>
      <c r="I197" s="67">
        <v>10.48</v>
      </c>
      <c r="J197" s="44">
        <v>56.162915326902464</v>
      </c>
      <c r="K197" s="41">
        <f t="shared" si="6"/>
        <v>39.655367603994698</v>
      </c>
      <c r="L197" s="130">
        <f t="shared" si="7"/>
        <v>20.094737336421375</v>
      </c>
      <c r="M197" s="1" t="str">
        <f>VLOOKUP(A197,CI!A$2:C$400,3,FALSE)</f>
        <v>P1</v>
      </c>
    </row>
    <row r="198" spans="1:13" ht="18" x14ac:dyDescent="0.25">
      <c r="A198" s="65" t="s">
        <v>165</v>
      </c>
      <c r="B198" s="66">
        <v>4121802</v>
      </c>
      <c r="C198" s="43">
        <v>12.35</v>
      </c>
      <c r="D198" s="42">
        <v>22.228221742260619</v>
      </c>
      <c r="E198" s="44">
        <v>1509</v>
      </c>
      <c r="F198" s="44">
        <v>12364</v>
      </c>
      <c r="G198" s="44">
        <v>0.1220478809446781</v>
      </c>
      <c r="H198" s="42">
        <v>70.936053420089081</v>
      </c>
      <c r="I198" s="67">
        <v>10.27</v>
      </c>
      <c r="J198" s="44">
        <v>55.037513397642016</v>
      </c>
      <c r="K198" s="41">
        <f t="shared" si="6"/>
        <v>49.400596186663904</v>
      </c>
      <c r="L198" s="130">
        <f t="shared" si="7"/>
        <v>38.346452141548774</v>
      </c>
      <c r="M198" s="1" t="str">
        <f>VLOOKUP(A198,CI!A$2:C$400,3,FALSE)</f>
        <v>P1</v>
      </c>
    </row>
    <row r="199" spans="1:13" ht="18" x14ac:dyDescent="0.25">
      <c r="A199" s="65" t="s">
        <v>214</v>
      </c>
      <c r="B199" s="66">
        <v>4122602</v>
      </c>
      <c r="C199" s="43">
        <v>8.6999999999999993</v>
      </c>
      <c r="D199" s="42">
        <v>15.65874730021598</v>
      </c>
      <c r="E199" s="44">
        <v>1184</v>
      </c>
      <c r="F199" s="44">
        <v>9097</v>
      </c>
      <c r="G199" s="44">
        <v>0.13015279762559084</v>
      </c>
      <c r="H199" s="42">
        <v>75.646752190051359</v>
      </c>
      <c r="I199" s="67">
        <v>14.4</v>
      </c>
      <c r="J199" s="44">
        <v>77.170418006430879</v>
      </c>
      <c r="K199" s="41">
        <f t="shared" si="6"/>
        <v>56.158639165566079</v>
      </c>
      <c r="L199" s="130">
        <f t="shared" si="7"/>
        <v>51.003504979803679</v>
      </c>
      <c r="M199" s="1" t="str">
        <f>VLOOKUP(A199,CI!A$2:C$400,3,FALSE)</f>
        <v>P1</v>
      </c>
    </row>
    <row r="200" spans="1:13" ht="18" x14ac:dyDescent="0.25">
      <c r="A200" s="65" t="s">
        <v>287</v>
      </c>
      <c r="B200" s="66">
        <v>4106456</v>
      </c>
      <c r="C200" s="43">
        <v>24.39</v>
      </c>
      <c r="D200" s="42">
        <v>43.898488120950326</v>
      </c>
      <c r="E200" s="44">
        <v>875</v>
      </c>
      <c r="F200" s="44">
        <v>5649</v>
      </c>
      <c r="G200" s="44">
        <v>0.15489467162329615</v>
      </c>
      <c r="H200" s="42">
        <v>90.027099329465315</v>
      </c>
      <c r="I200" s="67">
        <v>17.88</v>
      </c>
      <c r="J200" s="44">
        <v>95.819935691318321</v>
      </c>
      <c r="K200" s="41">
        <f t="shared" si="6"/>
        <v>76.581841047244652</v>
      </c>
      <c r="L200" s="130">
        <f t="shared" si="7"/>
        <v>89.253860319323138</v>
      </c>
      <c r="M200" s="1" t="str">
        <f>VLOOKUP(A200,CI!A$2:C$400,3,FALSE)</f>
        <v>P1</v>
      </c>
    </row>
    <row r="201" spans="1:13" ht="18" x14ac:dyDescent="0.25">
      <c r="A201" s="65" t="s">
        <v>207</v>
      </c>
      <c r="B201" s="66">
        <v>4118105</v>
      </c>
      <c r="C201" s="43">
        <v>16.95</v>
      </c>
      <c r="D201" s="42">
        <v>30.507559395248379</v>
      </c>
      <c r="E201" s="44">
        <v>1315</v>
      </c>
      <c r="F201" s="44">
        <v>9557</v>
      </c>
      <c r="G201" s="44">
        <v>0.13759547975306058</v>
      </c>
      <c r="H201" s="42">
        <v>79.9725503349798</v>
      </c>
      <c r="I201" s="67">
        <v>12.97</v>
      </c>
      <c r="J201" s="44">
        <v>69.506966773847807</v>
      </c>
      <c r="K201" s="41">
        <f t="shared" si="6"/>
        <v>59.995692168025329</v>
      </c>
      <c r="L201" s="130">
        <f t="shared" si="7"/>
        <v>58.189872800625196</v>
      </c>
      <c r="M201" s="1" t="str">
        <f>VLOOKUP(A201,CI!A$2:C$400,3,FALSE)</f>
        <v>P1</v>
      </c>
    </row>
    <row r="202" spans="1:13" ht="18" x14ac:dyDescent="0.25">
      <c r="A202" s="65" t="s">
        <v>173</v>
      </c>
      <c r="B202" s="66">
        <v>4120002</v>
      </c>
      <c r="C202" s="43">
        <v>7.94</v>
      </c>
      <c r="D202" s="42">
        <v>14.290856731461481</v>
      </c>
      <c r="E202" s="44">
        <v>1312</v>
      </c>
      <c r="F202" s="44">
        <v>11624</v>
      </c>
      <c r="G202" s="44">
        <v>0.11286992429456297</v>
      </c>
      <c r="H202" s="42">
        <v>65.601687774568902</v>
      </c>
      <c r="I202" s="67">
        <v>9.64</v>
      </c>
      <c r="J202" s="44">
        <v>51.661307609860664</v>
      </c>
      <c r="K202" s="41">
        <f t="shared" si="6"/>
        <v>43.851284038630354</v>
      </c>
      <c r="L202" s="130">
        <f t="shared" si="7"/>
        <v>27.953215920218849</v>
      </c>
      <c r="M202" s="1" t="str">
        <f>VLOOKUP(A202,CI!A$2:C$400,3,FALSE)</f>
        <v>P1</v>
      </c>
    </row>
    <row r="203" spans="1:13" ht="18" x14ac:dyDescent="0.25">
      <c r="A203" s="65" t="s">
        <v>211</v>
      </c>
      <c r="B203" s="66">
        <v>4125209</v>
      </c>
      <c r="C203" s="43">
        <v>0</v>
      </c>
      <c r="D203" s="42">
        <v>0</v>
      </c>
      <c r="E203" s="44">
        <v>1181</v>
      </c>
      <c r="F203" s="44">
        <v>9378</v>
      </c>
      <c r="G203" s="44">
        <v>0.12593303476220943</v>
      </c>
      <c r="H203" s="42">
        <v>73.194162914596319</v>
      </c>
      <c r="I203" s="67">
        <v>13.86</v>
      </c>
      <c r="J203" s="44">
        <v>74.276527331189712</v>
      </c>
      <c r="K203" s="41">
        <f t="shared" si="6"/>
        <v>49.156896748595351</v>
      </c>
      <c r="L203" s="130">
        <f t="shared" si="7"/>
        <v>37.890030560047123</v>
      </c>
      <c r="M203" s="1" t="str">
        <f>VLOOKUP(A203,CI!A$2:C$400,3,FALSE)</f>
        <v>P1</v>
      </c>
    </row>
    <row r="204" spans="1:13" ht="18" x14ac:dyDescent="0.25">
      <c r="A204" s="65" t="s">
        <v>153</v>
      </c>
      <c r="B204" s="66">
        <v>4113908</v>
      </c>
      <c r="C204" s="43">
        <v>0</v>
      </c>
      <c r="D204" s="42">
        <v>0</v>
      </c>
      <c r="E204" s="44">
        <v>1633</v>
      </c>
      <c r="F204" s="44">
        <v>13428</v>
      </c>
      <c r="G204" s="44">
        <v>0.12161155793863569</v>
      </c>
      <c r="H204" s="42">
        <v>70.682455964521068</v>
      </c>
      <c r="I204" s="67">
        <v>11.92</v>
      </c>
      <c r="J204" s="44">
        <v>63.879957127545552</v>
      </c>
      <c r="K204" s="41">
        <f t="shared" si="6"/>
        <v>44.854137697355533</v>
      </c>
      <c r="L204" s="130">
        <f t="shared" si="7"/>
        <v>29.831447796983834</v>
      </c>
      <c r="M204" s="1" t="str">
        <f>VLOOKUP(A204,CI!A$2:C$400,3,FALSE)</f>
        <v>P1</v>
      </c>
    </row>
    <row r="205" spans="1:13" ht="18" x14ac:dyDescent="0.25">
      <c r="A205" s="65" t="s">
        <v>292</v>
      </c>
      <c r="B205" s="66">
        <v>4124905</v>
      </c>
      <c r="C205" s="43">
        <v>13.7</v>
      </c>
      <c r="D205" s="42">
        <v>24.658027357811374</v>
      </c>
      <c r="E205" s="44">
        <v>740</v>
      </c>
      <c r="F205" s="44">
        <v>5586</v>
      </c>
      <c r="G205" s="44">
        <v>0.13247404224847834</v>
      </c>
      <c r="H205" s="42">
        <v>76.995894275073539</v>
      </c>
      <c r="I205" s="67">
        <v>9.67</v>
      </c>
      <c r="J205" s="44">
        <v>51.822079314040728</v>
      </c>
      <c r="K205" s="41">
        <f t="shared" si="6"/>
        <v>51.158666982308546</v>
      </c>
      <c r="L205" s="130">
        <f t="shared" si="7"/>
        <v>41.639120599464071</v>
      </c>
      <c r="M205" s="1" t="str">
        <f>VLOOKUP(A205,CI!A$2:C$400,3,FALSE)</f>
        <v>P1</v>
      </c>
    </row>
    <row r="206" spans="1:13" ht="18" x14ac:dyDescent="0.25">
      <c r="A206" s="65" t="s">
        <v>187</v>
      </c>
      <c r="B206" s="66">
        <v>4124707</v>
      </c>
      <c r="C206" s="43">
        <v>0</v>
      </c>
      <c r="D206" s="42">
        <v>0</v>
      </c>
      <c r="E206" s="44">
        <v>1521</v>
      </c>
      <c r="F206" s="44">
        <v>10830</v>
      </c>
      <c r="G206" s="44">
        <v>0.14044321329639889</v>
      </c>
      <c r="H206" s="42">
        <v>81.627695653299511</v>
      </c>
      <c r="I206" s="67">
        <v>11.73</v>
      </c>
      <c r="J206" s="44">
        <v>62.861736334405151</v>
      </c>
      <c r="K206" s="41">
        <f t="shared" si="6"/>
        <v>48.163143995901557</v>
      </c>
      <c r="L206" s="130">
        <f t="shared" si="7"/>
        <v>36.0288436545667</v>
      </c>
      <c r="M206" s="1" t="str">
        <f>VLOOKUP(A206,CI!A$2:C$400,3,FALSE)</f>
        <v>P1</v>
      </c>
    </row>
    <row r="207" spans="1:13" ht="18" x14ac:dyDescent="0.25">
      <c r="A207" s="65" t="s">
        <v>239</v>
      </c>
      <c r="B207" s="66">
        <v>4109500</v>
      </c>
      <c r="C207" s="43">
        <v>0</v>
      </c>
      <c r="D207" s="42">
        <v>0</v>
      </c>
      <c r="E207" s="44">
        <v>1075</v>
      </c>
      <c r="F207" s="44">
        <v>7430</v>
      </c>
      <c r="G207" s="44">
        <v>0.14468371467025573</v>
      </c>
      <c r="H207" s="42">
        <v>84.092338461151456</v>
      </c>
      <c r="I207" s="67">
        <v>13.19</v>
      </c>
      <c r="J207" s="44">
        <v>70.685959271168272</v>
      </c>
      <c r="K207" s="41">
        <f t="shared" si="6"/>
        <v>51.592765910773245</v>
      </c>
      <c r="L207" s="130">
        <f t="shared" si="7"/>
        <v>42.45213896761598</v>
      </c>
      <c r="M207" s="1" t="str">
        <f>VLOOKUP(A207,CI!A$2:C$400,3,FALSE)</f>
        <v>P1</v>
      </c>
    </row>
    <row r="208" spans="1:13" ht="18" x14ac:dyDescent="0.25">
      <c r="A208" s="65" t="s">
        <v>195</v>
      </c>
      <c r="B208" s="66">
        <v>4105003</v>
      </c>
      <c r="C208" s="43">
        <v>0</v>
      </c>
      <c r="D208" s="42">
        <v>0</v>
      </c>
      <c r="E208" s="44">
        <v>1377</v>
      </c>
      <c r="F208" s="44">
        <v>10446</v>
      </c>
      <c r="G208" s="44">
        <v>0.1318207926479035</v>
      </c>
      <c r="H208" s="42">
        <v>76.616215839001114</v>
      </c>
      <c r="I208" s="67">
        <v>11.1</v>
      </c>
      <c r="J208" s="44">
        <v>59.485530546623785</v>
      </c>
      <c r="K208" s="41">
        <f t="shared" si="6"/>
        <v>45.367248795208297</v>
      </c>
      <c r="L208" s="130">
        <f t="shared" si="7"/>
        <v>30.792447053379867</v>
      </c>
      <c r="M208" s="1" t="str">
        <f>VLOOKUP(A208,CI!A$2:C$400,3,FALSE)</f>
        <v>P1</v>
      </c>
    </row>
    <row r="209" spans="1:13" ht="18" x14ac:dyDescent="0.25">
      <c r="A209" s="65" t="s">
        <v>255</v>
      </c>
      <c r="B209" s="66">
        <v>4103206</v>
      </c>
      <c r="C209" s="43">
        <v>0</v>
      </c>
      <c r="D209" s="42">
        <v>0</v>
      </c>
      <c r="E209" s="44">
        <v>939</v>
      </c>
      <c r="F209" s="44">
        <v>6581</v>
      </c>
      <c r="G209" s="44">
        <v>0.14268348275338094</v>
      </c>
      <c r="H209" s="42">
        <v>82.929773761053852</v>
      </c>
      <c r="I209" s="67">
        <v>10.33</v>
      </c>
      <c r="J209" s="44">
        <v>55.359056806002137</v>
      </c>
      <c r="K209" s="41">
        <f t="shared" si="6"/>
        <v>46.096276855685325</v>
      </c>
      <c r="L209" s="130">
        <f t="shared" si="7"/>
        <v>32.157834445977834</v>
      </c>
      <c r="M209" s="1" t="str">
        <f>VLOOKUP(A209,CI!A$2:C$400,3,FALSE)</f>
        <v>P1</v>
      </c>
    </row>
    <row r="210" spans="1:13" ht="18" x14ac:dyDescent="0.25">
      <c r="A210" s="65" t="s">
        <v>133</v>
      </c>
      <c r="B210" s="66">
        <v>4102802</v>
      </c>
      <c r="C210" s="43">
        <v>19.350000000000001</v>
      </c>
      <c r="D210" s="42">
        <v>34.827213822894173</v>
      </c>
      <c r="E210" s="44">
        <v>1807</v>
      </c>
      <c r="F210" s="44">
        <v>14833</v>
      </c>
      <c r="G210" s="44">
        <v>0.12182296231375986</v>
      </c>
      <c r="H210" s="42">
        <v>70.805327348530156</v>
      </c>
      <c r="I210" s="67">
        <v>10.45</v>
      </c>
      <c r="J210" s="44">
        <v>56.0021436227224</v>
      </c>
      <c r="K210" s="41">
        <f t="shared" si="6"/>
        <v>53.878228264715574</v>
      </c>
      <c r="L210" s="130">
        <f t="shared" si="7"/>
        <v>46.732552374869812</v>
      </c>
      <c r="M210" s="1" t="str">
        <f>VLOOKUP(A210,CI!A$2:C$400,3,FALSE)</f>
        <v>P1</v>
      </c>
    </row>
    <row r="211" spans="1:13" ht="18" x14ac:dyDescent="0.25">
      <c r="A211" s="65" t="s">
        <v>151</v>
      </c>
      <c r="B211" s="66">
        <v>4107009</v>
      </c>
      <c r="C211" s="43">
        <v>11.36</v>
      </c>
      <c r="D211" s="42">
        <v>20.446364290856732</v>
      </c>
      <c r="E211" s="44">
        <v>1786</v>
      </c>
      <c r="F211" s="44">
        <v>13647</v>
      </c>
      <c r="G211" s="44">
        <v>0.13087125375540412</v>
      </c>
      <c r="H211" s="42">
        <v>76.064329635968065</v>
      </c>
      <c r="I211" s="67">
        <v>11.65</v>
      </c>
      <c r="J211" s="44">
        <v>62.433011789924976</v>
      </c>
      <c r="K211" s="41">
        <f t="shared" si="6"/>
        <v>52.981235238916589</v>
      </c>
      <c r="L211" s="130">
        <f t="shared" si="7"/>
        <v>45.052585532615694</v>
      </c>
      <c r="M211" s="1" t="str">
        <f>VLOOKUP(A211,CI!A$2:C$400,3,FALSE)</f>
        <v>P1</v>
      </c>
    </row>
    <row r="212" spans="1:13" ht="18" x14ac:dyDescent="0.25">
      <c r="A212" s="65" t="s">
        <v>254</v>
      </c>
      <c r="B212" s="66">
        <v>4124608</v>
      </c>
      <c r="C212" s="43">
        <v>0</v>
      </c>
      <c r="D212" s="42">
        <v>0</v>
      </c>
      <c r="E212" s="44">
        <v>863</v>
      </c>
      <c r="F212" s="44">
        <v>6587</v>
      </c>
      <c r="G212" s="44">
        <v>0.13101563686048276</v>
      </c>
      <c r="H212" s="42">
        <v>76.148247255639461</v>
      </c>
      <c r="I212" s="67">
        <v>11.23</v>
      </c>
      <c r="J212" s="44">
        <v>60.182207931404072</v>
      </c>
      <c r="K212" s="41">
        <f t="shared" si="6"/>
        <v>45.44348506234784</v>
      </c>
      <c r="L212" s="130">
        <f t="shared" si="7"/>
        <v>30.935228989568923</v>
      </c>
      <c r="M212" s="1" t="str">
        <f>VLOOKUP(A212,CI!A$2:C$400,3,FALSE)</f>
        <v>P1</v>
      </c>
    </row>
    <row r="213" spans="1:13" ht="18" x14ac:dyDescent="0.25">
      <c r="A213" s="65" t="s">
        <v>223</v>
      </c>
      <c r="B213" s="66">
        <v>4117222</v>
      </c>
      <c r="C213" s="43">
        <v>0</v>
      </c>
      <c r="D213" s="42">
        <v>0</v>
      </c>
      <c r="E213" s="44">
        <v>1060</v>
      </c>
      <c r="F213" s="44">
        <v>8322</v>
      </c>
      <c r="G213" s="44">
        <v>0.12737322758952174</v>
      </c>
      <c r="H213" s="42">
        <v>74.031224521423894</v>
      </c>
      <c r="I213" s="67">
        <v>11.66</v>
      </c>
      <c r="J213" s="44">
        <v>62.486602357984999</v>
      </c>
      <c r="K213" s="41">
        <f t="shared" si="6"/>
        <v>45.505942293136293</v>
      </c>
      <c r="L213" s="130">
        <f t="shared" si="7"/>
        <v>31.052204343630514</v>
      </c>
      <c r="M213" s="1" t="str">
        <f>VLOOKUP(A213,CI!A$2:C$400,3,FALSE)</f>
        <v>P1</v>
      </c>
    </row>
    <row r="214" spans="1:13" ht="18" x14ac:dyDescent="0.25">
      <c r="A214" s="65" t="s">
        <v>249</v>
      </c>
      <c r="B214" s="66">
        <v>4117453</v>
      </c>
      <c r="C214" s="43">
        <v>27.03</v>
      </c>
      <c r="D214" s="42">
        <v>48.650107991360692</v>
      </c>
      <c r="E214" s="44">
        <v>920</v>
      </c>
      <c r="F214" s="44">
        <v>6785</v>
      </c>
      <c r="G214" s="44">
        <v>0.13559322033898305</v>
      </c>
      <c r="H214" s="42">
        <v>78.808807223190243</v>
      </c>
      <c r="I214" s="67">
        <v>12.82</v>
      </c>
      <c r="J214" s="44">
        <v>68.703108252947487</v>
      </c>
      <c r="K214" s="41">
        <f t="shared" si="6"/>
        <v>65.3873411558328</v>
      </c>
      <c r="L214" s="130">
        <f t="shared" si="7"/>
        <v>68.28782369218473</v>
      </c>
      <c r="M214" s="1" t="str">
        <f>VLOOKUP(A214,CI!A$2:C$400,3,FALSE)</f>
        <v>P1</v>
      </c>
    </row>
    <row r="215" spans="1:13" ht="18" x14ac:dyDescent="0.25">
      <c r="A215" s="65" t="s">
        <v>262</v>
      </c>
      <c r="B215" s="66">
        <v>4115309</v>
      </c>
      <c r="C215" s="43">
        <v>11.9</v>
      </c>
      <c r="D215" s="42">
        <v>21.418286537077034</v>
      </c>
      <c r="E215" s="44">
        <v>829</v>
      </c>
      <c r="F215" s="44">
        <v>6371</v>
      </c>
      <c r="G215" s="44">
        <v>0.13012086014754357</v>
      </c>
      <c r="H215" s="42">
        <v>75.628189650240515</v>
      </c>
      <c r="I215" s="67">
        <v>14.44</v>
      </c>
      <c r="J215" s="44">
        <v>77.384780278670945</v>
      </c>
      <c r="K215" s="41">
        <f t="shared" si="6"/>
        <v>58.143752155329501</v>
      </c>
      <c r="L215" s="130">
        <f t="shared" si="7"/>
        <v>54.721397878647515</v>
      </c>
      <c r="M215" s="1" t="str">
        <f>VLOOKUP(A215,CI!A$2:C$400,3,FALSE)</f>
        <v>P1</v>
      </c>
    </row>
    <row r="216" spans="1:13" ht="18" x14ac:dyDescent="0.25">
      <c r="A216" s="65" t="s">
        <v>229</v>
      </c>
      <c r="B216" s="66">
        <v>4127908</v>
      </c>
      <c r="C216" s="43">
        <v>11.11</v>
      </c>
      <c r="D216" s="42">
        <v>19.996400287976961</v>
      </c>
      <c r="E216" s="44">
        <v>1049</v>
      </c>
      <c r="F216" s="44">
        <v>8067</v>
      </c>
      <c r="G216" s="44">
        <v>0.13003594892773027</v>
      </c>
      <c r="H216" s="42">
        <v>75.578837979584549</v>
      </c>
      <c r="I216" s="67">
        <v>11.03</v>
      </c>
      <c r="J216" s="44">
        <v>59.11039657020364</v>
      </c>
      <c r="K216" s="41">
        <f t="shared" si="6"/>
        <v>51.561878279255048</v>
      </c>
      <c r="L216" s="130">
        <f t="shared" si="7"/>
        <v>42.394289914954605</v>
      </c>
      <c r="M216" s="1" t="str">
        <f>VLOOKUP(A216,CI!A$2:C$400,3,FALSE)</f>
        <v>P1</v>
      </c>
    </row>
    <row r="217" spans="1:13" ht="18" x14ac:dyDescent="0.25">
      <c r="A217" s="65" t="s">
        <v>284</v>
      </c>
      <c r="B217" s="66">
        <v>4118451</v>
      </c>
      <c r="C217" s="43">
        <v>0</v>
      </c>
      <c r="D217" s="42">
        <v>0</v>
      </c>
      <c r="E217" s="44">
        <v>738</v>
      </c>
      <c r="F217" s="44">
        <v>5733</v>
      </c>
      <c r="G217" s="44">
        <v>0.12872841444270017</v>
      </c>
      <c r="H217" s="42">
        <v>74.818879384967516</v>
      </c>
      <c r="I217" s="67">
        <v>10.47</v>
      </c>
      <c r="J217" s="44">
        <v>56.109324758842448</v>
      </c>
      <c r="K217" s="41">
        <f t="shared" si="6"/>
        <v>43.642734714603328</v>
      </c>
      <c r="L217" s="130">
        <f t="shared" si="7"/>
        <v>27.562626540744201</v>
      </c>
      <c r="M217" s="1" t="str">
        <f>VLOOKUP(A217,CI!A$2:C$400,3,FALSE)</f>
        <v>P1</v>
      </c>
    </row>
    <row r="218" spans="1:13" ht="18" x14ac:dyDescent="0.25">
      <c r="A218" s="65" t="s">
        <v>213</v>
      </c>
      <c r="B218" s="66">
        <v>4112405</v>
      </c>
      <c r="C218" s="43">
        <v>21.74</v>
      </c>
      <c r="D218" s="42">
        <v>39.128869690424764</v>
      </c>
      <c r="E218" s="44">
        <v>1015</v>
      </c>
      <c r="F218" s="44">
        <v>9144</v>
      </c>
      <c r="G218" s="44">
        <v>0.11100174978127735</v>
      </c>
      <c r="H218" s="42">
        <v>64.515876812127459</v>
      </c>
      <c r="I218" s="67">
        <v>9.08</v>
      </c>
      <c r="J218" s="44">
        <v>48.660235798499464</v>
      </c>
      <c r="K218" s="41">
        <f t="shared" si="6"/>
        <v>50.768327433683901</v>
      </c>
      <c r="L218" s="130">
        <f t="shared" si="7"/>
        <v>40.908058617877607</v>
      </c>
      <c r="M218" s="1" t="str">
        <f>VLOOKUP(A218,CI!A$2:C$400,3,FALSE)</f>
        <v>P1</v>
      </c>
    </row>
    <row r="219" spans="1:13" ht="18" x14ac:dyDescent="0.25">
      <c r="A219" s="65" t="s">
        <v>201</v>
      </c>
      <c r="B219" s="66">
        <v>4115101</v>
      </c>
      <c r="C219" s="43">
        <v>13.7</v>
      </c>
      <c r="D219" s="42">
        <v>24.658027357811374</v>
      </c>
      <c r="E219" s="44">
        <v>1386</v>
      </c>
      <c r="F219" s="44">
        <v>9847</v>
      </c>
      <c r="G219" s="44">
        <v>0.14075352899360211</v>
      </c>
      <c r="H219" s="42">
        <v>81.808055776748745</v>
      </c>
      <c r="I219" s="67">
        <v>11.58</v>
      </c>
      <c r="J219" s="44">
        <v>62.057877813504824</v>
      </c>
      <c r="K219" s="41">
        <f t="shared" si="6"/>
        <v>56.17465364935498</v>
      </c>
      <c r="L219" s="130">
        <f t="shared" si="7"/>
        <v>51.033498303037398</v>
      </c>
      <c r="M219" s="1" t="str">
        <f>VLOOKUP(A219,CI!A$2:C$400,3,FALSE)</f>
        <v>P1</v>
      </c>
    </row>
    <row r="220" spans="1:13" ht="18" x14ac:dyDescent="0.25">
      <c r="A220" s="65" t="s">
        <v>240</v>
      </c>
      <c r="B220" s="66">
        <v>4115002</v>
      </c>
      <c r="C220" s="43">
        <v>12.82</v>
      </c>
      <c r="D220" s="42">
        <v>23.074154067674584</v>
      </c>
      <c r="E220" s="44">
        <v>957</v>
      </c>
      <c r="F220" s="44">
        <v>7253</v>
      </c>
      <c r="G220" s="44">
        <v>0.13194540190266096</v>
      </c>
      <c r="H220" s="42">
        <v>76.688640601182115</v>
      </c>
      <c r="I220" s="67">
        <v>12.68</v>
      </c>
      <c r="J220" s="44">
        <v>67.952840300107169</v>
      </c>
      <c r="K220" s="41">
        <f t="shared" si="6"/>
        <v>55.905211656321285</v>
      </c>
      <c r="L220" s="130">
        <f t="shared" si="7"/>
        <v>50.528863817385428</v>
      </c>
      <c r="M220" s="1" t="str">
        <f>VLOOKUP(A220,CI!A$2:C$400,3,FALSE)</f>
        <v>P1</v>
      </c>
    </row>
    <row r="221" spans="1:13" ht="18" x14ac:dyDescent="0.25">
      <c r="A221" s="65" t="s">
        <v>259</v>
      </c>
      <c r="B221" s="66">
        <v>4121752</v>
      </c>
      <c r="C221" s="43">
        <v>9.8000000000000007</v>
      </c>
      <c r="D221" s="42">
        <v>17.63858891288697</v>
      </c>
      <c r="E221" s="44">
        <v>1082</v>
      </c>
      <c r="F221" s="44">
        <v>6553</v>
      </c>
      <c r="G221" s="44">
        <v>0.16511521440561575</v>
      </c>
      <c r="H221" s="42">
        <v>95.967431625095728</v>
      </c>
      <c r="I221" s="67">
        <v>14.34</v>
      </c>
      <c r="J221" s="44">
        <v>76.848874598070736</v>
      </c>
      <c r="K221" s="41">
        <f t="shared" si="6"/>
        <v>63.484965045351146</v>
      </c>
      <c r="L221" s="130">
        <f t="shared" si="7"/>
        <v>64.724887643424694</v>
      </c>
      <c r="M221" s="1" t="str">
        <f>VLOOKUP(A221,CI!A$2:C$400,3,FALSE)</f>
        <v>P1</v>
      </c>
    </row>
    <row r="222" spans="1:13" ht="18" x14ac:dyDescent="0.25">
      <c r="A222" s="65" t="s">
        <v>253</v>
      </c>
      <c r="B222" s="66">
        <v>4108908</v>
      </c>
      <c r="C222" s="43">
        <v>38.46</v>
      </c>
      <c r="D222" s="42">
        <v>69.222462203023767</v>
      </c>
      <c r="E222" s="44">
        <v>888</v>
      </c>
      <c r="F222" s="44">
        <v>6587</v>
      </c>
      <c r="G222" s="44">
        <v>0.13481099134659177</v>
      </c>
      <c r="H222" s="42">
        <v>78.35416403593031</v>
      </c>
      <c r="I222" s="67">
        <v>15.03</v>
      </c>
      <c r="J222" s="44">
        <v>80.546623794212209</v>
      </c>
      <c r="K222" s="41">
        <f t="shared" si="6"/>
        <v>76.041083344388767</v>
      </c>
      <c r="L222" s="130">
        <f t="shared" si="7"/>
        <v>88.241082087650497</v>
      </c>
      <c r="M222" s="1" t="str">
        <f>VLOOKUP(A222,CI!A$2:C$400,3,FALSE)</f>
        <v>P1</v>
      </c>
    </row>
    <row r="223" spans="1:13" ht="18" x14ac:dyDescent="0.25">
      <c r="A223" s="65" t="s">
        <v>238</v>
      </c>
      <c r="B223" s="66">
        <v>4104105</v>
      </c>
      <c r="C223" s="43">
        <v>18.02</v>
      </c>
      <c r="D223" s="42">
        <v>32.433405327573794</v>
      </c>
      <c r="E223" s="44">
        <v>1215</v>
      </c>
      <c r="F223" s="44">
        <v>7508</v>
      </c>
      <c r="G223" s="44">
        <v>0.16182738412360148</v>
      </c>
      <c r="H223" s="42">
        <v>94.056495501371757</v>
      </c>
      <c r="I223" s="67">
        <v>15.45</v>
      </c>
      <c r="J223" s="44">
        <v>82.79742765273312</v>
      </c>
      <c r="K223" s="41">
        <f t="shared" si="6"/>
        <v>69.762442827226224</v>
      </c>
      <c r="L223" s="130">
        <f t="shared" si="7"/>
        <v>76.481896029463584</v>
      </c>
      <c r="M223" s="1" t="str">
        <f>VLOOKUP(A223,CI!A$2:C$400,3,FALSE)</f>
        <v>P1</v>
      </c>
    </row>
    <row r="224" spans="1:13" ht="18" x14ac:dyDescent="0.25">
      <c r="A224" s="65" t="s">
        <v>241</v>
      </c>
      <c r="B224" s="66">
        <v>4100103</v>
      </c>
      <c r="C224" s="43">
        <v>0</v>
      </c>
      <c r="D224" s="42">
        <v>0</v>
      </c>
      <c r="E224" s="44">
        <v>914</v>
      </c>
      <c r="F224" s="44">
        <v>7241</v>
      </c>
      <c r="G224" s="44">
        <v>0.12622565943930397</v>
      </c>
      <c r="H224" s="42">
        <v>73.364240752619764</v>
      </c>
      <c r="I224" s="67">
        <v>11.19</v>
      </c>
      <c r="J224" s="44">
        <v>59.967845659163984</v>
      </c>
      <c r="K224" s="41">
        <f t="shared" si="6"/>
        <v>44.444028803927914</v>
      </c>
      <c r="L224" s="130">
        <f t="shared" si="7"/>
        <v>29.063360060673695</v>
      </c>
      <c r="M224" s="1" t="str">
        <f>VLOOKUP(A224,CI!A$2:C$400,3,FALSE)</f>
        <v>P1</v>
      </c>
    </row>
    <row r="225" spans="1:13" ht="18" x14ac:dyDescent="0.25">
      <c r="A225" s="65" t="s">
        <v>268</v>
      </c>
      <c r="B225" s="66">
        <v>4127882</v>
      </c>
      <c r="C225" s="43">
        <v>8.5500000000000007</v>
      </c>
      <c r="D225" s="42">
        <v>15.388768898488122</v>
      </c>
      <c r="E225" s="44">
        <v>1070</v>
      </c>
      <c r="F225" s="44">
        <v>6219</v>
      </c>
      <c r="G225" s="44">
        <v>0.1720533847885512</v>
      </c>
      <c r="H225" s="42">
        <v>100</v>
      </c>
      <c r="I225" s="67">
        <v>16.559999999999999</v>
      </c>
      <c r="J225" s="44">
        <v>88.745980707395489</v>
      </c>
      <c r="K225" s="41">
        <f t="shared" si="6"/>
        <v>68.044916535294533</v>
      </c>
      <c r="L225" s="130">
        <f t="shared" si="7"/>
        <v>73.265162857458392</v>
      </c>
      <c r="M225" s="1" t="str">
        <f>VLOOKUP(A225,CI!A$2:C$400,3,FALSE)</f>
        <v>P1</v>
      </c>
    </row>
    <row r="226" spans="1:13" ht="18" x14ac:dyDescent="0.25">
      <c r="A226" s="65" t="s">
        <v>243</v>
      </c>
      <c r="B226" s="66">
        <v>4118857</v>
      </c>
      <c r="C226" s="43">
        <v>0</v>
      </c>
      <c r="D226" s="42">
        <v>0</v>
      </c>
      <c r="E226" s="44">
        <v>903</v>
      </c>
      <c r="F226" s="44">
        <v>7189</v>
      </c>
      <c r="G226" s="44">
        <v>0.12560856864654332</v>
      </c>
      <c r="H226" s="42">
        <v>73.005578356341402</v>
      </c>
      <c r="I226" s="67">
        <v>14.05</v>
      </c>
      <c r="J226" s="44">
        <v>75.294748124330127</v>
      </c>
      <c r="K226" s="41">
        <f t="shared" si="6"/>
        <v>49.433442160223841</v>
      </c>
      <c r="L226" s="130">
        <f t="shared" si="7"/>
        <v>38.40796894814055</v>
      </c>
      <c r="M226" s="1" t="str">
        <f>VLOOKUP(A226,CI!A$2:C$400,3,FALSE)</f>
        <v>P1</v>
      </c>
    </row>
    <row r="227" spans="1:13" ht="18" x14ac:dyDescent="0.25">
      <c r="A227" s="65" t="s">
        <v>226</v>
      </c>
      <c r="B227" s="66">
        <v>4108320</v>
      </c>
      <c r="C227" s="43">
        <v>25.64</v>
      </c>
      <c r="D227" s="42">
        <v>46.148308135349168</v>
      </c>
      <c r="E227" s="44">
        <v>1120</v>
      </c>
      <c r="F227" s="44">
        <v>8116</v>
      </c>
      <c r="G227" s="44">
        <v>0.13799901429275505</v>
      </c>
      <c r="H227" s="42">
        <v>80.207090643611551</v>
      </c>
      <c r="I227" s="67">
        <v>14.91</v>
      </c>
      <c r="J227" s="44">
        <v>79.903536977491967</v>
      </c>
      <c r="K227" s="41">
        <f t="shared" si="6"/>
        <v>68.752978585484229</v>
      </c>
      <c r="L227" s="130">
        <f t="shared" si="7"/>
        <v>74.591283275749944</v>
      </c>
      <c r="M227" s="1" t="str">
        <f>VLOOKUP(A227,CI!A$2:C$400,3,FALSE)</f>
        <v>P1</v>
      </c>
    </row>
    <row r="228" spans="1:13" ht="18" x14ac:dyDescent="0.25">
      <c r="A228" s="65" t="s">
        <v>288</v>
      </c>
      <c r="B228" s="66">
        <v>4108700</v>
      </c>
      <c r="C228" s="43">
        <v>23.81</v>
      </c>
      <c r="D228" s="42">
        <v>42.854571634269256</v>
      </c>
      <c r="E228" s="44">
        <v>701</v>
      </c>
      <c r="F228" s="44">
        <v>5641</v>
      </c>
      <c r="G228" s="44">
        <v>0.12426874667612126</v>
      </c>
      <c r="H228" s="42">
        <v>72.226853792411035</v>
      </c>
      <c r="I228" s="67">
        <v>13.3</v>
      </c>
      <c r="J228" s="44">
        <v>71.275455519828512</v>
      </c>
      <c r="K228" s="41">
        <f t="shared" si="6"/>
        <v>62.118960315502932</v>
      </c>
      <c r="L228" s="130">
        <f t="shared" si="7"/>
        <v>62.166514739172527</v>
      </c>
      <c r="M228" s="1" t="str">
        <f>VLOOKUP(A228,CI!A$2:C$400,3,FALSE)</f>
        <v>P1</v>
      </c>
    </row>
    <row r="229" spans="1:13" ht="18" x14ac:dyDescent="0.25">
      <c r="A229" s="65" t="s">
        <v>121</v>
      </c>
      <c r="B229" s="66">
        <v>4126504</v>
      </c>
      <c r="C229" s="43">
        <v>12.27</v>
      </c>
      <c r="D229" s="42">
        <v>22.084233261339094</v>
      </c>
      <c r="E229" s="44">
        <v>1912</v>
      </c>
      <c r="F229" s="44">
        <v>15930</v>
      </c>
      <c r="G229" s="44">
        <v>0.12002510985561833</v>
      </c>
      <c r="H229" s="42">
        <v>69.760388616083219</v>
      </c>
      <c r="I229" s="67">
        <v>10.55</v>
      </c>
      <c r="J229" s="44">
        <v>56.538049303322623</v>
      </c>
      <c r="K229" s="41">
        <f t="shared" si="6"/>
        <v>49.460890393581643</v>
      </c>
      <c r="L229" s="130">
        <f t="shared" si="7"/>
        <v>38.459376395682845</v>
      </c>
      <c r="M229" s="1" t="str">
        <f>VLOOKUP(A229,CI!A$2:C$400,3,FALSE)</f>
        <v>P1</v>
      </c>
    </row>
    <row r="230" spans="1:13" ht="18" x14ac:dyDescent="0.25">
      <c r="A230" s="65" t="s">
        <v>248</v>
      </c>
      <c r="B230" s="66">
        <v>4116802</v>
      </c>
      <c r="C230" s="43">
        <v>10.75</v>
      </c>
      <c r="D230" s="42">
        <v>19.348452123830093</v>
      </c>
      <c r="E230" s="44">
        <v>879</v>
      </c>
      <c r="F230" s="44">
        <v>6790</v>
      </c>
      <c r="G230" s="44">
        <v>0.12945508100147277</v>
      </c>
      <c r="H230" s="42">
        <v>75.241228854968142</v>
      </c>
      <c r="I230" s="67">
        <v>14.73</v>
      </c>
      <c r="J230" s="44">
        <v>78.938906752411569</v>
      </c>
      <c r="K230" s="41">
        <f t="shared" si="6"/>
        <v>57.842862577069944</v>
      </c>
      <c r="L230" s="130">
        <f t="shared" si="7"/>
        <v>54.157865610148967</v>
      </c>
      <c r="M230" s="1" t="str">
        <f>VLOOKUP(A230,CI!A$2:C$400,3,FALSE)</f>
        <v>P1</v>
      </c>
    </row>
    <row r="231" spans="1:13" ht="18" x14ac:dyDescent="0.25">
      <c r="A231" s="65" t="s">
        <v>281</v>
      </c>
      <c r="B231" s="66">
        <v>4125753</v>
      </c>
      <c r="C231" s="43">
        <v>22.73</v>
      </c>
      <c r="D231" s="42">
        <v>40.910727141828652</v>
      </c>
      <c r="E231" s="44">
        <v>718</v>
      </c>
      <c r="F231" s="44">
        <v>5784</v>
      </c>
      <c r="G231" s="44">
        <v>0.12413554633471646</v>
      </c>
      <c r="H231" s="42">
        <v>72.149435762205769</v>
      </c>
      <c r="I231" s="67">
        <v>11.76</v>
      </c>
      <c r="J231" s="44">
        <v>63.022508038585215</v>
      </c>
      <c r="K231" s="41">
        <f t="shared" si="6"/>
        <v>58.694223647539879</v>
      </c>
      <c r="L231" s="130">
        <f t="shared" si="7"/>
        <v>55.752368942994259</v>
      </c>
      <c r="M231" s="1" t="str">
        <f>VLOOKUP(A231,CI!A$2:C$400,3,FALSE)</f>
        <v>P1</v>
      </c>
    </row>
    <row r="232" spans="1:13" ht="18" x14ac:dyDescent="0.25">
      <c r="A232" s="65" t="s">
        <v>233</v>
      </c>
      <c r="B232" s="66">
        <v>4103057</v>
      </c>
      <c r="C232" s="43">
        <v>0</v>
      </c>
      <c r="D232" s="42">
        <v>0</v>
      </c>
      <c r="E232" s="44">
        <v>1119</v>
      </c>
      <c r="F232" s="44">
        <v>7924</v>
      </c>
      <c r="G232" s="44">
        <v>0.1412165572942958</v>
      </c>
      <c r="H232" s="42">
        <v>82.077174748899594</v>
      </c>
      <c r="I232" s="67">
        <v>13.38</v>
      </c>
      <c r="J232" s="44">
        <v>71.704180064308687</v>
      </c>
      <c r="K232" s="41">
        <f t="shared" si="6"/>
        <v>51.26045160440276</v>
      </c>
      <c r="L232" s="130">
        <f t="shared" si="7"/>
        <v>41.82975172507102</v>
      </c>
      <c r="M232" s="1" t="str">
        <f>VLOOKUP(A232,CI!A$2:C$400,3,FALSE)</f>
        <v>P1</v>
      </c>
    </row>
    <row r="233" spans="1:13" ht="18" x14ac:dyDescent="0.25">
      <c r="A233" s="65" t="s">
        <v>193</v>
      </c>
      <c r="B233" s="66">
        <v>4112751</v>
      </c>
      <c r="C233" s="43">
        <v>9.6199999999999992</v>
      </c>
      <c r="D233" s="42">
        <v>17.314614830813532</v>
      </c>
      <c r="E233" s="44">
        <v>1356</v>
      </c>
      <c r="F233" s="44">
        <v>10506</v>
      </c>
      <c r="G233" s="44">
        <v>0.12906910336950314</v>
      </c>
      <c r="H233" s="42">
        <v>75.016892883639258</v>
      </c>
      <c r="I233" s="67">
        <v>9.23</v>
      </c>
      <c r="J233" s="44">
        <v>49.464094319399784</v>
      </c>
      <c r="K233" s="41">
        <f t="shared" si="6"/>
        <v>47.265200677950851</v>
      </c>
      <c r="L233" s="130">
        <f t="shared" si="7"/>
        <v>34.347097022214527</v>
      </c>
      <c r="M233" s="1" t="str">
        <f>VLOOKUP(A233,CI!A$2:C$400,3,FALSE)</f>
        <v>P1</v>
      </c>
    </row>
    <row r="234" spans="1:13" ht="18" x14ac:dyDescent="0.25">
      <c r="A234" s="65" t="s">
        <v>199</v>
      </c>
      <c r="B234" s="66">
        <v>4120507</v>
      </c>
      <c r="C234" s="43">
        <v>0</v>
      </c>
      <c r="D234" s="42">
        <v>0</v>
      </c>
      <c r="E234" s="44">
        <v>1089</v>
      </c>
      <c r="F234" s="44">
        <v>10082</v>
      </c>
      <c r="G234" s="44">
        <v>0.10801428288038088</v>
      </c>
      <c r="H234" s="42">
        <v>62.779516376924185</v>
      </c>
      <c r="I234" s="67">
        <v>9.92</v>
      </c>
      <c r="J234" s="44">
        <v>53.161843515541264</v>
      </c>
      <c r="K234" s="41">
        <f t="shared" si="6"/>
        <v>38.647119964155145</v>
      </c>
      <c r="L234" s="130">
        <f t="shared" si="7"/>
        <v>18.206403140954613</v>
      </c>
      <c r="M234" s="1" t="str">
        <f>VLOOKUP(A234,CI!A$2:C$400,3,FALSE)</f>
        <v>P1</v>
      </c>
    </row>
    <row r="235" spans="1:13" ht="18" x14ac:dyDescent="0.25">
      <c r="A235" s="65" t="s">
        <v>260</v>
      </c>
      <c r="B235" s="66">
        <v>4125357</v>
      </c>
      <c r="C235" s="43">
        <v>11.36</v>
      </c>
      <c r="D235" s="42">
        <v>20.446364290856732</v>
      </c>
      <c r="E235" s="44">
        <v>733</v>
      </c>
      <c r="F235" s="44">
        <v>6504</v>
      </c>
      <c r="G235" s="44">
        <v>0.11269987699876999</v>
      </c>
      <c r="H235" s="42">
        <v>65.502853743490704</v>
      </c>
      <c r="I235" s="67">
        <v>10.3</v>
      </c>
      <c r="J235" s="44">
        <v>55.198285101822087</v>
      </c>
      <c r="K235" s="41">
        <f t="shared" si="6"/>
        <v>47.049167712056509</v>
      </c>
      <c r="L235" s="130">
        <f t="shared" si="7"/>
        <v>33.942491624961811</v>
      </c>
      <c r="M235" s="1" t="str">
        <f>VLOOKUP(A235,CI!A$2:C$400,3,FALSE)</f>
        <v>P1</v>
      </c>
    </row>
    <row r="236" spans="1:13" ht="18" x14ac:dyDescent="0.25">
      <c r="A236" s="65" t="s">
        <v>269</v>
      </c>
      <c r="B236" s="66">
        <v>4109757</v>
      </c>
      <c r="C236" s="43">
        <v>0</v>
      </c>
      <c r="D236" s="42">
        <v>0</v>
      </c>
      <c r="E236" s="44">
        <v>879</v>
      </c>
      <c r="F236" s="44">
        <v>6218</v>
      </c>
      <c r="G236" s="44">
        <v>0.14136378256674173</v>
      </c>
      <c r="H236" s="42">
        <v>82.162744278744569</v>
      </c>
      <c r="I236" s="67">
        <v>13.35</v>
      </c>
      <c r="J236" s="44">
        <v>71.543408360128609</v>
      </c>
      <c r="K236" s="41">
        <f t="shared" si="6"/>
        <v>51.235384212957719</v>
      </c>
      <c r="L236" s="130">
        <f t="shared" si="7"/>
        <v>41.782803326099952</v>
      </c>
      <c r="M236" s="1" t="str">
        <f>VLOOKUP(A236,CI!A$2:C$400,3,FALSE)</f>
        <v>P1</v>
      </c>
    </row>
    <row r="237" spans="1:13" ht="18" x14ac:dyDescent="0.25">
      <c r="A237" s="65" t="s">
        <v>228</v>
      </c>
      <c r="B237" s="66">
        <v>4127957</v>
      </c>
      <c r="C237" s="43">
        <v>0</v>
      </c>
      <c r="D237" s="42">
        <v>0</v>
      </c>
      <c r="E237" s="44">
        <v>962</v>
      </c>
      <c r="F237" s="44">
        <v>8077</v>
      </c>
      <c r="G237" s="44">
        <v>0.11910362758449919</v>
      </c>
      <c r="H237" s="42">
        <v>69.224809340934627</v>
      </c>
      <c r="I237" s="67">
        <v>10.029999999999999</v>
      </c>
      <c r="J237" s="44">
        <v>53.751339764201504</v>
      </c>
      <c r="K237" s="41">
        <f t="shared" si="6"/>
        <v>40.992049701712041</v>
      </c>
      <c r="L237" s="130">
        <f t="shared" si="7"/>
        <v>22.598192255482303</v>
      </c>
      <c r="M237" s="1" t="str">
        <f>VLOOKUP(A237,CI!A$2:C$400,3,FALSE)</f>
        <v>P1</v>
      </c>
    </row>
    <row r="238" spans="1:13" ht="18" x14ac:dyDescent="0.25">
      <c r="A238" s="65" t="s">
        <v>270</v>
      </c>
      <c r="B238" s="66">
        <v>4124509</v>
      </c>
      <c r="C238" s="43">
        <v>11.11</v>
      </c>
      <c r="D238" s="42">
        <v>19.996400287976961</v>
      </c>
      <c r="E238" s="44">
        <v>845</v>
      </c>
      <c r="F238" s="44">
        <v>6181</v>
      </c>
      <c r="G238" s="44">
        <v>0.13670927034460442</v>
      </c>
      <c r="H238" s="42">
        <v>79.457472175055614</v>
      </c>
      <c r="I238" s="67">
        <v>14.72</v>
      </c>
      <c r="J238" s="44">
        <v>78.885316184351566</v>
      </c>
      <c r="K238" s="41">
        <f t="shared" si="6"/>
        <v>59.446396215794721</v>
      </c>
      <c r="L238" s="130">
        <f t="shared" si="7"/>
        <v>57.161103390172045</v>
      </c>
      <c r="M238" s="1" t="str">
        <f>VLOOKUP(A238,CI!A$2:C$400,3,FALSE)</f>
        <v>P1</v>
      </c>
    </row>
    <row r="239" spans="1:13" ht="18" x14ac:dyDescent="0.25">
      <c r="A239" s="65" t="s">
        <v>235</v>
      </c>
      <c r="B239" s="66">
        <v>4112959</v>
      </c>
      <c r="C239" s="43">
        <v>0</v>
      </c>
      <c r="D239" s="42">
        <v>0</v>
      </c>
      <c r="E239" s="44">
        <v>952</v>
      </c>
      <c r="F239" s="44">
        <v>7771</v>
      </c>
      <c r="G239" s="44">
        <v>0.12250675588727319</v>
      </c>
      <c r="H239" s="42">
        <v>71.202758398406729</v>
      </c>
      <c r="I239" s="67">
        <v>11.45</v>
      </c>
      <c r="J239" s="44">
        <v>61.361200428724537</v>
      </c>
      <c r="K239" s="41">
        <f t="shared" si="6"/>
        <v>44.187986275710422</v>
      </c>
      <c r="L239" s="130">
        <f t="shared" si="7"/>
        <v>28.583821262443731</v>
      </c>
      <c r="M239" s="1" t="str">
        <f>VLOOKUP(A239,CI!A$2:C$400,3,FALSE)</f>
        <v>P1</v>
      </c>
    </row>
    <row r="240" spans="1:13" ht="18" x14ac:dyDescent="0.25">
      <c r="A240" s="65" t="s">
        <v>216</v>
      </c>
      <c r="B240" s="66">
        <v>4123709</v>
      </c>
      <c r="C240" s="43">
        <v>39.6</v>
      </c>
      <c r="D240" s="42">
        <v>71.274298056155502</v>
      </c>
      <c r="E240" s="44">
        <v>1088</v>
      </c>
      <c r="F240" s="44">
        <v>8912</v>
      </c>
      <c r="G240" s="44">
        <v>0.12208258527827648</v>
      </c>
      <c r="H240" s="42">
        <v>70.956224097719769</v>
      </c>
      <c r="I240" s="67">
        <v>10.55</v>
      </c>
      <c r="J240" s="44">
        <v>56.538049303322623</v>
      </c>
      <c r="K240" s="41">
        <f t="shared" si="6"/>
        <v>66.256190485732631</v>
      </c>
      <c r="L240" s="130">
        <f t="shared" si="7"/>
        <v>69.91508056393829</v>
      </c>
      <c r="M240" s="1" t="str">
        <f>VLOOKUP(A240,CI!A$2:C$400,3,FALSE)</f>
        <v>P1</v>
      </c>
    </row>
    <row r="241" spans="1:13" ht="18" x14ac:dyDescent="0.25">
      <c r="A241" s="65" t="s">
        <v>188</v>
      </c>
      <c r="B241" s="66">
        <v>4102505</v>
      </c>
      <c r="C241" s="43">
        <v>0</v>
      </c>
      <c r="D241" s="42">
        <v>0</v>
      </c>
      <c r="E241" s="44">
        <v>1274</v>
      </c>
      <c r="F241" s="44">
        <v>10795</v>
      </c>
      <c r="G241" s="44">
        <v>0.11801760074108383</v>
      </c>
      <c r="H241" s="42">
        <v>68.593594299887897</v>
      </c>
      <c r="I241" s="67">
        <v>10.56</v>
      </c>
      <c r="J241" s="44">
        <v>56.59163987138264</v>
      </c>
      <c r="K241" s="41">
        <f t="shared" si="6"/>
        <v>41.72841139042351</v>
      </c>
      <c r="L241" s="130">
        <f t="shared" si="7"/>
        <v>23.977314707231155</v>
      </c>
      <c r="M241" s="1" t="str">
        <f>VLOOKUP(A241,CI!A$2:C$400,3,FALSE)</f>
        <v>P1</v>
      </c>
    </row>
    <row r="242" spans="1:13" ht="18" x14ac:dyDescent="0.25">
      <c r="A242" s="65" t="s">
        <v>225</v>
      </c>
      <c r="B242" s="66">
        <v>4128559</v>
      </c>
      <c r="C242" s="43">
        <v>0</v>
      </c>
      <c r="D242" s="42">
        <v>0</v>
      </c>
      <c r="E242" s="44">
        <v>1030</v>
      </c>
      <c r="F242" s="44">
        <v>8215</v>
      </c>
      <c r="G242" s="44">
        <v>0.12538040170419965</v>
      </c>
      <c r="H242" s="42">
        <v>72.872964317609117</v>
      </c>
      <c r="I242" s="67">
        <v>11.44</v>
      </c>
      <c r="J242" s="44">
        <v>61.307609860664527</v>
      </c>
      <c r="K242" s="41">
        <f t="shared" si="6"/>
        <v>44.726858059424551</v>
      </c>
      <c r="L242" s="130">
        <f t="shared" si="7"/>
        <v>29.593067380115269</v>
      </c>
      <c r="M242" s="1" t="str">
        <f>VLOOKUP(A242,CI!A$2:C$400,3,FALSE)</f>
        <v>P1</v>
      </c>
    </row>
    <row r="243" spans="1:13" ht="18" x14ac:dyDescent="0.25">
      <c r="A243" s="65" t="s">
        <v>261</v>
      </c>
      <c r="B243" s="66">
        <v>4103040</v>
      </c>
      <c r="C243" s="43">
        <v>23.26</v>
      </c>
      <c r="D243" s="42">
        <v>41.864650827933765</v>
      </c>
      <c r="E243" s="44">
        <v>878</v>
      </c>
      <c r="F243" s="44">
        <v>6378</v>
      </c>
      <c r="G243" s="44">
        <v>0.1376607086861085</v>
      </c>
      <c r="H243" s="42">
        <v>80.010462366253151</v>
      </c>
      <c r="I243" s="67">
        <v>10.66</v>
      </c>
      <c r="J243" s="44">
        <v>57.127545551982848</v>
      </c>
      <c r="K243" s="41">
        <f t="shared" si="6"/>
        <v>59.667552915389926</v>
      </c>
      <c r="L243" s="130">
        <f t="shared" si="7"/>
        <v>57.5753049631791</v>
      </c>
      <c r="M243" s="1" t="str">
        <f>VLOOKUP(A243,CI!A$2:C$400,3,FALSE)</f>
        <v>P1</v>
      </c>
    </row>
    <row r="244" spans="1:13" ht="18" x14ac:dyDescent="0.25">
      <c r="A244" s="65" t="s">
        <v>256</v>
      </c>
      <c r="B244" s="66">
        <v>4108650</v>
      </c>
      <c r="C244" s="43">
        <v>18.52</v>
      </c>
      <c r="D244" s="42">
        <v>33.333333333333329</v>
      </c>
      <c r="E244" s="44">
        <v>936</v>
      </c>
      <c r="F244" s="44">
        <v>6566</v>
      </c>
      <c r="G244" s="44">
        <v>0.14255254340542187</v>
      </c>
      <c r="H244" s="42">
        <v>82.853669854048476</v>
      </c>
      <c r="I244" s="67">
        <v>15.53</v>
      </c>
      <c r="J244" s="44">
        <v>83.226152197213281</v>
      </c>
      <c r="K244" s="41">
        <f t="shared" si="6"/>
        <v>66.471051794865033</v>
      </c>
      <c r="L244" s="130">
        <f t="shared" si="7"/>
        <v>70.317491580126784</v>
      </c>
      <c r="M244" s="1" t="str">
        <f>VLOOKUP(A244,CI!A$2:C$400,3,FALSE)</f>
        <v>P1</v>
      </c>
    </row>
    <row r="245" spans="1:13" ht="18" x14ac:dyDescent="0.25">
      <c r="A245" s="65" t="s">
        <v>245</v>
      </c>
      <c r="B245" s="66">
        <v>4117271</v>
      </c>
      <c r="C245" s="43">
        <v>11.63</v>
      </c>
      <c r="D245" s="42">
        <v>20.932325413966883</v>
      </c>
      <c r="E245" s="44">
        <v>890</v>
      </c>
      <c r="F245" s="44">
        <v>6848</v>
      </c>
      <c r="G245" s="44">
        <v>0.12996495327102803</v>
      </c>
      <c r="H245" s="42">
        <v>75.53757424229191</v>
      </c>
      <c r="I245" s="67">
        <v>13</v>
      </c>
      <c r="J245" s="44">
        <v>69.667738478027857</v>
      </c>
      <c r="K245" s="41">
        <f t="shared" si="6"/>
        <v>55.379212711428885</v>
      </c>
      <c r="L245" s="130">
        <f t="shared" si="7"/>
        <v>49.543727076001318</v>
      </c>
      <c r="M245" s="1" t="str">
        <f>VLOOKUP(A245,CI!A$2:C$400,3,FALSE)</f>
        <v>P1</v>
      </c>
    </row>
    <row r="246" spans="1:13" ht="18" x14ac:dyDescent="0.25">
      <c r="A246" s="65" t="s">
        <v>232</v>
      </c>
      <c r="B246" s="66">
        <v>4128609</v>
      </c>
      <c r="C246" s="43">
        <v>11.49</v>
      </c>
      <c r="D246" s="42">
        <v>20.680345572354213</v>
      </c>
      <c r="E246" s="44">
        <v>978</v>
      </c>
      <c r="F246" s="44">
        <v>7932</v>
      </c>
      <c r="G246" s="44">
        <v>0.12329803328290469</v>
      </c>
      <c r="H246" s="42">
        <v>71.662660652933113</v>
      </c>
      <c r="I246" s="67">
        <v>12.73</v>
      </c>
      <c r="J246" s="44">
        <v>68.220793140407281</v>
      </c>
      <c r="K246" s="41">
        <f t="shared" si="6"/>
        <v>53.521266455231533</v>
      </c>
      <c r="L246" s="130">
        <f t="shared" si="7"/>
        <v>46.064003136875392</v>
      </c>
      <c r="M246" s="1" t="str">
        <f>VLOOKUP(A246,CI!A$2:C$400,3,FALSE)</f>
        <v>P1</v>
      </c>
    </row>
    <row r="247" spans="1:13" ht="18" x14ac:dyDescent="0.25">
      <c r="A247" s="65" t="s">
        <v>296</v>
      </c>
      <c r="B247" s="66">
        <v>4110003</v>
      </c>
      <c r="C247" s="43">
        <v>0</v>
      </c>
      <c r="D247" s="42">
        <v>0</v>
      </c>
      <c r="E247" s="44">
        <v>727</v>
      </c>
      <c r="F247" s="44">
        <v>5338</v>
      </c>
      <c r="G247" s="44">
        <v>0.13619333083551893</v>
      </c>
      <c r="H247" s="42">
        <v>79.157600417391805</v>
      </c>
      <c r="I247" s="67">
        <v>8.06</v>
      </c>
      <c r="J247" s="44">
        <v>43.19399785637728</v>
      </c>
      <c r="K247" s="41">
        <f t="shared" si="6"/>
        <v>40.783866091256364</v>
      </c>
      <c r="L247" s="130">
        <f t="shared" si="7"/>
        <v>22.208287816309259</v>
      </c>
      <c r="M247" s="1" t="str">
        <f>VLOOKUP(A247,CI!A$2:C$400,3,FALSE)</f>
        <v>P1</v>
      </c>
    </row>
    <row r="248" spans="1:13" ht="18" x14ac:dyDescent="0.25">
      <c r="A248" s="65" t="s">
        <v>227</v>
      </c>
      <c r="B248" s="66">
        <v>4120705</v>
      </c>
      <c r="C248" s="43">
        <v>0</v>
      </c>
      <c r="D248" s="42">
        <v>0</v>
      </c>
      <c r="E248" s="44">
        <v>995</v>
      </c>
      <c r="F248" s="44">
        <v>8099</v>
      </c>
      <c r="G248" s="44">
        <v>0.12285467341647117</v>
      </c>
      <c r="H248" s="42">
        <v>71.404973268881704</v>
      </c>
      <c r="I248" s="67">
        <v>13.33</v>
      </c>
      <c r="J248" s="44">
        <v>71.436227224008576</v>
      </c>
      <c r="K248" s="41">
        <f t="shared" si="6"/>
        <v>47.613733497630086</v>
      </c>
      <c r="L248" s="130">
        <f t="shared" si="7"/>
        <v>34.999859712288846</v>
      </c>
      <c r="M248" s="1" t="str">
        <f>VLOOKUP(A248,CI!A$2:C$400,3,FALSE)</f>
        <v>P1</v>
      </c>
    </row>
    <row r="249" spans="1:13" ht="18" x14ac:dyDescent="0.25">
      <c r="A249" s="65" t="s">
        <v>224</v>
      </c>
      <c r="B249" s="66">
        <v>4106001</v>
      </c>
      <c r="C249" s="43">
        <v>0</v>
      </c>
      <c r="D249" s="42">
        <v>0</v>
      </c>
      <c r="E249" s="44">
        <v>1170</v>
      </c>
      <c r="F249" s="44">
        <v>8320</v>
      </c>
      <c r="G249" s="44">
        <v>0.140625</v>
      </c>
      <c r="H249" s="42">
        <v>81.733352803738327</v>
      </c>
      <c r="I249" s="67">
        <v>13.82</v>
      </c>
      <c r="J249" s="44">
        <v>74.062165058949631</v>
      </c>
      <c r="K249" s="41">
        <f t="shared" si="6"/>
        <v>51.93183928756266</v>
      </c>
      <c r="L249" s="130">
        <f t="shared" si="7"/>
        <v>43.087185187278571</v>
      </c>
      <c r="M249" s="1" t="str">
        <f>VLOOKUP(A249,CI!A$2:C$400,3,FALSE)</f>
        <v>P1</v>
      </c>
    </row>
    <row r="250" spans="1:13" ht="18" x14ac:dyDescent="0.25">
      <c r="A250" s="65" t="s">
        <v>186</v>
      </c>
      <c r="B250" s="66">
        <v>4105102</v>
      </c>
      <c r="C250" s="43">
        <v>0</v>
      </c>
      <c r="D250" s="42">
        <v>0</v>
      </c>
      <c r="E250" s="44">
        <v>1339</v>
      </c>
      <c r="F250" s="44">
        <v>10832</v>
      </c>
      <c r="G250" s="44">
        <v>0.12361521418020679</v>
      </c>
      <c r="H250" s="42">
        <v>71.847010933337017</v>
      </c>
      <c r="I250" s="67">
        <v>9.69</v>
      </c>
      <c r="J250" s="44">
        <v>51.929260450160761</v>
      </c>
      <c r="K250" s="41">
        <f t="shared" si="6"/>
        <v>41.258757127832588</v>
      </c>
      <c r="L250" s="130">
        <f t="shared" si="7"/>
        <v>23.097705205503686</v>
      </c>
      <c r="M250" s="1" t="str">
        <f>VLOOKUP(A250,CI!A$2:C$400,3,FALSE)</f>
        <v>P1</v>
      </c>
    </row>
    <row r="251" spans="1:13" ht="18" x14ac:dyDescent="0.25">
      <c r="A251" s="65" t="s">
        <v>251</v>
      </c>
      <c r="B251" s="66">
        <v>4113007</v>
      </c>
      <c r="C251" s="43">
        <v>0</v>
      </c>
      <c r="D251" s="42">
        <v>0</v>
      </c>
      <c r="E251" s="44">
        <v>875</v>
      </c>
      <c r="F251" s="44">
        <v>6690</v>
      </c>
      <c r="G251" s="44">
        <v>0.13079222720478326</v>
      </c>
      <c r="H251" s="42">
        <v>76.018398223041785</v>
      </c>
      <c r="I251" s="67">
        <v>9.57</v>
      </c>
      <c r="J251" s="44">
        <v>51.286173633440512</v>
      </c>
      <c r="K251" s="41">
        <f t="shared" si="6"/>
        <v>42.434857285494097</v>
      </c>
      <c r="L251" s="130">
        <f t="shared" si="7"/>
        <v>25.300408249132428</v>
      </c>
      <c r="M251" s="1" t="str">
        <f>VLOOKUP(A251,CI!A$2:C$400,3,FALSE)</f>
        <v>P1</v>
      </c>
    </row>
    <row r="252" spans="1:13" ht="18" x14ac:dyDescent="0.25">
      <c r="A252" s="65" t="s">
        <v>246</v>
      </c>
      <c r="B252" s="66">
        <v>4121604</v>
      </c>
      <c r="C252" s="43">
        <v>0</v>
      </c>
      <c r="D252" s="42">
        <v>0</v>
      </c>
      <c r="E252" s="44">
        <v>903</v>
      </c>
      <c r="F252" s="44">
        <v>6845</v>
      </c>
      <c r="G252" s="44">
        <v>0.13192111029948866</v>
      </c>
      <c r="H252" s="42">
        <v>76.67452195817944</v>
      </c>
      <c r="I252" s="67">
        <v>12.71</v>
      </c>
      <c r="J252" s="44">
        <v>68.113612004287248</v>
      </c>
      <c r="K252" s="41">
        <f t="shared" si="6"/>
        <v>48.262711320822234</v>
      </c>
      <c r="L252" s="130">
        <f t="shared" si="7"/>
        <v>36.21532203246678</v>
      </c>
      <c r="M252" s="1" t="str">
        <f>VLOOKUP(A252,CI!A$2:C$400,3,FALSE)</f>
        <v>P1</v>
      </c>
    </row>
    <row r="253" spans="1:13" ht="18" x14ac:dyDescent="0.25">
      <c r="A253" s="65" t="s">
        <v>272</v>
      </c>
      <c r="B253" s="66">
        <v>4126272</v>
      </c>
      <c r="C253" s="43">
        <v>23.81</v>
      </c>
      <c r="D253" s="42">
        <v>42.854571634269256</v>
      </c>
      <c r="E253" s="44">
        <v>957</v>
      </c>
      <c r="F253" s="44">
        <v>6108</v>
      </c>
      <c r="G253" s="44">
        <v>0.15667976424361493</v>
      </c>
      <c r="H253" s="42">
        <v>91.064621853368351</v>
      </c>
      <c r="I253" s="67">
        <v>15.55</v>
      </c>
      <c r="J253" s="44">
        <v>83.333333333333343</v>
      </c>
      <c r="K253" s="41">
        <f t="shared" si="6"/>
        <v>72.417508940323657</v>
      </c>
      <c r="L253" s="130">
        <f t="shared" si="7"/>
        <v>81.454535621642293</v>
      </c>
      <c r="M253" s="1" t="str">
        <f>VLOOKUP(A253,CI!A$2:C$400,3,FALSE)</f>
        <v>P1</v>
      </c>
    </row>
    <row r="254" spans="1:13" ht="18" x14ac:dyDescent="0.25">
      <c r="A254" s="65" t="s">
        <v>250</v>
      </c>
      <c r="B254" s="66">
        <v>4126207</v>
      </c>
      <c r="C254" s="43">
        <v>0</v>
      </c>
      <c r="D254" s="42">
        <v>0</v>
      </c>
      <c r="E254" s="44">
        <v>835</v>
      </c>
      <c r="F254" s="44">
        <v>6695</v>
      </c>
      <c r="G254" s="44">
        <v>0.12471994025392083</v>
      </c>
      <c r="H254" s="42">
        <v>72.489094246648008</v>
      </c>
      <c r="I254" s="67">
        <v>13.29</v>
      </c>
      <c r="J254" s="44">
        <v>71.221864951768481</v>
      </c>
      <c r="K254" s="41">
        <f t="shared" si="6"/>
        <v>47.903653066138837</v>
      </c>
      <c r="L254" s="130">
        <f t="shared" si="7"/>
        <v>35.542846388892578</v>
      </c>
      <c r="M254" s="1" t="str">
        <f>VLOOKUP(A254,CI!A$2:C$400,3,FALSE)</f>
        <v>P1</v>
      </c>
    </row>
    <row r="255" spans="1:13" ht="18" x14ac:dyDescent="0.25">
      <c r="A255" s="65" t="s">
        <v>290</v>
      </c>
      <c r="B255" s="66">
        <v>4113254</v>
      </c>
      <c r="C255" s="43">
        <v>10.87</v>
      </c>
      <c r="D255" s="42">
        <v>19.564434845212382</v>
      </c>
      <c r="E255" s="44">
        <v>846</v>
      </c>
      <c r="F255" s="44">
        <v>5600</v>
      </c>
      <c r="G255" s="44">
        <v>0.15107142857142858</v>
      </c>
      <c r="H255" s="42">
        <v>87.804973297730314</v>
      </c>
      <c r="I255" s="67">
        <v>15.71</v>
      </c>
      <c r="J255" s="44">
        <v>84.19078242229368</v>
      </c>
      <c r="K255" s="41">
        <f t="shared" si="6"/>
        <v>63.853396855078792</v>
      </c>
      <c r="L255" s="130">
        <f t="shared" si="7"/>
        <v>65.414918899155793</v>
      </c>
      <c r="M255" s="1" t="str">
        <f>VLOOKUP(A255,CI!A$2:C$400,3,FALSE)</f>
        <v>P1</v>
      </c>
    </row>
    <row r="256" spans="1:13" ht="18" x14ac:dyDescent="0.25">
      <c r="A256" s="65" t="s">
        <v>222</v>
      </c>
      <c r="B256" s="66">
        <v>4127809</v>
      </c>
      <c r="C256" s="43">
        <v>25.32</v>
      </c>
      <c r="D256" s="42">
        <v>45.572354211663061</v>
      </c>
      <c r="E256" s="44">
        <v>1011</v>
      </c>
      <c r="F256" s="44">
        <v>8426</v>
      </c>
      <c r="G256" s="44">
        <v>0.11998575836695941</v>
      </c>
      <c r="H256" s="42">
        <v>69.737516942441175</v>
      </c>
      <c r="I256" s="67">
        <v>9.14</v>
      </c>
      <c r="J256" s="44">
        <v>48.981779206859592</v>
      </c>
      <c r="K256" s="41">
        <f t="shared" si="6"/>
        <v>54.763883453654607</v>
      </c>
      <c r="L256" s="130">
        <f t="shared" si="7"/>
        <v>48.391284726509426</v>
      </c>
      <c r="M256" s="1" t="str">
        <f>VLOOKUP(A256,CI!A$2:C$400,3,FALSE)</f>
        <v>P1</v>
      </c>
    </row>
    <row r="257" spans="1:13" ht="18" x14ac:dyDescent="0.25">
      <c r="A257" s="65" t="s">
        <v>242</v>
      </c>
      <c r="B257" s="66">
        <v>4117008</v>
      </c>
      <c r="C257" s="43">
        <v>15.15</v>
      </c>
      <c r="D257" s="42">
        <v>27.267818574514042</v>
      </c>
      <c r="E257" s="44">
        <v>926</v>
      </c>
      <c r="F257" s="44">
        <v>7225</v>
      </c>
      <c r="G257" s="44">
        <v>0.12816608996539791</v>
      </c>
      <c r="H257" s="42">
        <v>74.492047990169127</v>
      </c>
      <c r="I257" s="67">
        <v>10.1</v>
      </c>
      <c r="J257" s="44">
        <v>54.126473740621648</v>
      </c>
      <c r="K257" s="41">
        <f t="shared" si="6"/>
        <v>51.962113435101607</v>
      </c>
      <c r="L257" s="130">
        <f t="shared" si="7"/>
        <v>43.143885253589161</v>
      </c>
      <c r="M257" s="1" t="str">
        <f>VLOOKUP(A257,CI!A$2:C$400,3,FALSE)</f>
        <v>P1</v>
      </c>
    </row>
    <row r="258" spans="1:13" ht="18" x14ac:dyDescent="0.25">
      <c r="A258" s="65" t="s">
        <v>220</v>
      </c>
      <c r="B258" s="66">
        <v>4114906</v>
      </c>
      <c r="C258" s="43">
        <v>8</v>
      </c>
      <c r="D258" s="42">
        <v>14.398848092152628</v>
      </c>
      <c r="E258" s="44">
        <v>1164</v>
      </c>
      <c r="F258" s="44">
        <v>8677</v>
      </c>
      <c r="G258" s="44">
        <v>0.13414774691713727</v>
      </c>
      <c r="H258" s="42">
        <v>77.968676455857647</v>
      </c>
      <c r="I258" s="67">
        <v>11.76</v>
      </c>
      <c r="J258" s="44">
        <v>63.022508038585215</v>
      </c>
      <c r="K258" s="41">
        <f t="shared" ref="K258:K321" si="8">(D258+H258+J258)/3</f>
        <v>51.796677528865168</v>
      </c>
      <c r="L258" s="130">
        <f t="shared" si="7"/>
        <v>42.834042446564084</v>
      </c>
      <c r="M258" s="1" t="str">
        <f>VLOOKUP(A258,CI!A$2:C$400,3,FALSE)</f>
        <v>P1</v>
      </c>
    </row>
    <row r="259" spans="1:13" ht="18" x14ac:dyDescent="0.25">
      <c r="A259" s="65" t="s">
        <v>247</v>
      </c>
      <c r="B259" s="66">
        <v>4111555</v>
      </c>
      <c r="C259" s="43">
        <v>22.73</v>
      </c>
      <c r="D259" s="42">
        <v>40.910727141828652</v>
      </c>
      <c r="E259" s="44">
        <v>900</v>
      </c>
      <c r="F259" s="44">
        <v>6831</v>
      </c>
      <c r="G259" s="44">
        <v>0.13175230566534915</v>
      </c>
      <c r="H259" s="42">
        <v>76.576410180636117</v>
      </c>
      <c r="I259" s="67">
        <v>10.25</v>
      </c>
      <c r="J259" s="44">
        <v>54.930332261521976</v>
      </c>
      <c r="K259" s="41">
        <f t="shared" si="8"/>
        <v>57.472489861328917</v>
      </c>
      <c r="L259" s="130">
        <f t="shared" ref="L259:L322" si="9">(K259-K$401)/(K$402-K$401)*100</f>
        <v>53.46419925620345</v>
      </c>
      <c r="M259" s="1" t="str">
        <f>VLOOKUP(A259,CI!A$2:C$400,3,FALSE)</f>
        <v>P1</v>
      </c>
    </row>
    <row r="260" spans="1:13" ht="18" x14ac:dyDescent="0.25">
      <c r="A260" s="65" t="s">
        <v>271</v>
      </c>
      <c r="B260" s="66">
        <v>4111100</v>
      </c>
      <c r="C260" s="43">
        <v>14.08</v>
      </c>
      <c r="D260" s="42">
        <v>25.341972642188626</v>
      </c>
      <c r="E260" s="44">
        <v>696</v>
      </c>
      <c r="F260" s="44">
        <v>6111</v>
      </c>
      <c r="G260" s="44">
        <v>0.11389297987236131</v>
      </c>
      <c r="H260" s="42">
        <v>66.196302974412617</v>
      </c>
      <c r="I260" s="67">
        <v>9.33</v>
      </c>
      <c r="J260" s="44">
        <v>50</v>
      </c>
      <c r="K260" s="41">
        <f t="shared" si="8"/>
        <v>47.179425205533754</v>
      </c>
      <c r="L260" s="130">
        <f t="shared" si="9"/>
        <v>34.186449229651082</v>
      </c>
      <c r="M260" s="1" t="str">
        <f>VLOOKUP(A260,CI!A$2:C$400,3,FALSE)</f>
        <v>P1</v>
      </c>
    </row>
    <row r="261" spans="1:13" ht="18" x14ac:dyDescent="0.25">
      <c r="A261" s="65" t="s">
        <v>285</v>
      </c>
      <c r="B261" s="66">
        <v>4128633</v>
      </c>
      <c r="C261" s="43">
        <v>0</v>
      </c>
      <c r="D261" s="42">
        <v>0</v>
      </c>
      <c r="E261" s="44">
        <v>784</v>
      </c>
      <c r="F261" s="44">
        <v>5697</v>
      </c>
      <c r="G261" s="44">
        <v>0.13761628927505704</v>
      </c>
      <c r="H261" s="42">
        <v>79.98464514033455</v>
      </c>
      <c r="I261" s="67">
        <v>12.29</v>
      </c>
      <c r="J261" s="44">
        <v>65.862808145766337</v>
      </c>
      <c r="K261" s="41">
        <f t="shared" si="8"/>
        <v>48.615817762033629</v>
      </c>
      <c r="L261" s="130">
        <f t="shared" si="9"/>
        <v>36.876650600203533</v>
      </c>
      <c r="M261" s="1" t="str">
        <f>VLOOKUP(A261,CI!A$2:C$400,3,FALSE)</f>
        <v>P1</v>
      </c>
    </row>
    <row r="262" spans="1:13" ht="18" x14ac:dyDescent="0.25">
      <c r="A262" s="65" t="s">
        <v>303</v>
      </c>
      <c r="B262" s="66">
        <v>4121109</v>
      </c>
      <c r="C262" s="43">
        <v>17.54</v>
      </c>
      <c r="D262" s="42">
        <v>31.56947444204463</v>
      </c>
      <c r="E262" s="44">
        <v>640</v>
      </c>
      <c r="F262" s="44">
        <v>5001</v>
      </c>
      <c r="G262" s="44">
        <v>0.1279744051189762</v>
      </c>
      <c r="H262" s="42">
        <v>74.380637891113366</v>
      </c>
      <c r="I262" s="67">
        <v>11</v>
      </c>
      <c r="J262" s="44">
        <v>58.949624866023576</v>
      </c>
      <c r="K262" s="41">
        <f t="shared" si="8"/>
        <v>54.966579066393855</v>
      </c>
      <c r="L262" s="130">
        <f t="shared" si="9"/>
        <v>48.77091076448113</v>
      </c>
      <c r="M262" s="1" t="str">
        <f>VLOOKUP(A262,CI!A$2:C$400,3,FALSE)</f>
        <v>P1</v>
      </c>
    </row>
    <row r="263" spans="1:13" ht="18" x14ac:dyDescent="0.25">
      <c r="A263" s="65" t="s">
        <v>196</v>
      </c>
      <c r="B263" s="66">
        <v>4128401</v>
      </c>
      <c r="C263" s="43">
        <v>0</v>
      </c>
      <c r="D263" s="42">
        <v>0</v>
      </c>
      <c r="E263" s="44">
        <v>1212</v>
      </c>
      <c r="F263" s="44">
        <v>10406</v>
      </c>
      <c r="G263" s="44">
        <v>0.11647126657697482</v>
      </c>
      <c r="H263" s="42">
        <v>67.694841760953878</v>
      </c>
      <c r="I263" s="67">
        <v>8.4600000000000009</v>
      </c>
      <c r="J263" s="44">
        <v>45.337620578778136</v>
      </c>
      <c r="K263" s="41">
        <f t="shared" si="8"/>
        <v>37.677487446577338</v>
      </c>
      <c r="L263" s="130">
        <f t="shared" si="9"/>
        <v>16.390390717389636</v>
      </c>
      <c r="M263" s="1" t="str">
        <f>VLOOKUP(A263,CI!A$2:C$400,3,FALSE)</f>
        <v>P1</v>
      </c>
    </row>
    <row r="264" spans="1:13" ht="18" x14ac:dyDescent="0.25">
      <c r="A264" s="65" t="s">
        <v>331</v>
      </c>
      <c r="B264" s="66">
        <v>4121257</v>
      </c>
      <c r="C264" s="43">
        <v>16.95</v>
      </c>
      <c r="D264" s="42">
        <v>30.507559395248379</v>
      </c>
      <c r="E264" s="44">
        <v>590</v>
      </c>
      <c r="F264" s="44">
        <v>4221</v>
      </c>
      <c r="G264" s="44">
        <v>0.13977730395640844</v>
      </c>
      <c r="H264" s="42">
        <v>81.24065918737422</v>
      </c>
      <c r="I264" s="67">
        <v>12.79</v>
      </c>
      <c r="J264" s="44">
        <v>68.542336548767409</v>
      </c>
      <c r="K264" s="41">
        <f t="shared" si="8"/>
        <v>60.096851710463341</v>
      </c>
      <c r="L264" s="130">
        <f t="shared" si="9"/>
        <v>58.379333222485322</v>
      </c>
      <c r="M264" s="1" t="str">
        <f>VLOOKUP(A264,CI!A$2:C$400,3,FALSE)</f>
        <v>P1</v>
      </c>
    </row>
    <row r="265" spans="1:13" ht="18" x14ac:dyDescent="0.25">
      <c r="A265" s="65" t="s">
        <v>257</v>
      </c>
      <c r="B265" s="66">
        <v>4119202</v>
      </c>
      <c r="C265" s="43">
        <v>0</v>
      </c>
      <c r="D265" s="42">
        <v>0</v>
      </c>
      <c r="E265" s="44">
        <v>821</v>
      </c>
      <c r="F265" s="44">
        <v>6566</v>
      </c>
      <c r="G265" s="44">
        <v>0.12503807493146513</v>
      </c>
      <c r="H265" s="42">
        <v>72.673998878390805</v>
      </c>
      <c r="I265" s="67">
        <v>10.81</v>
      </c>
      <c r="J265" s="44">
        <v>57.931404072883176</v>
      </c>
      <c r="K265" s="41">
        <f t="shared" si="8"/>
        <v>43.535134317091327</v>
      </c>
      <c r="L265" s="130">
        <f t="shared" si="9"/>
        <v>27.361103123243257</v>
      </c>
      <c r="M265" s="1" t="str">
        <f>VLOOKUP(A265,CI!A$2:C$400,3,FALSE)</f>
        <v>P1</v>
      </c>
    </row>
    <row r="266" spans="1:13" ht="18" x14ac:dyDescent="0.25">
      <c r="A266" s="65" t="s">
        <v>326</v>
      </c>
      <c r="B266" s="66">
        <v>4120853</v>
      </c>
      <c r="C266" s="43">
        <v>21.74</v>
      </c>
      <c r="D266" s="42">
        <v>39.128869690424764</v>
      </c>
      <c r="E266" s="44">
        <v>522</v>
      </c>
      <c r="F266" s="44">
        <v>4480</v>
      </c>
      <c r="G266" s="44">
        <v>0.11651785714285715</v>
      </c>
      <c r="H266" s="42">
        <v>67.72192089452605</v>
      </c>
      <c r="I266" s="67">
        <v>10.71</v>
      </c>
      <c r="J266" s="44">
        <v>57.39549839228296</v>
      </c>
      <c r="K266" s="41">
        <f t="shared" si="8"/>
        <v>54.748762992411258</v>
      </c>
      <c r="L266" s="130">
        <f t="shared" si="9"/>
        <v>48.362965806743254</v>
      </c>
      <c r="M266" s="1" t="str">
        <f>VLOOKUP(A266,CI!A$2:C$400,3,FALSE)</f>
        <v>P1</v>
      </c>
    </row>
    <row r="267" spans="1:13" ht="18" x14ac:dyDescent="0.25">
      <c r="A267" s="65" t="s">
        <v>306</v>
      </c>
      <c r="B267" s="66">
        <v>4108452</v>
      </c>
      <c r="C267" s="43">
        <v>0</v>
      </c>
      <c r="D267" s="42">
        <v>0</v>
      </c>
      <c r="E267" s="44">
        <v>726</v>
      </c>
      <c r="F267" s="44">
        <v>4926</v>
      </c>
      <c r="G267" s="44">
        <v>0.14738124238733252</v>
      </c>
      <c r="H267" s="42">
        <v>85.660181907179535</v>
      </c>
      <c r="I267" s="67">
        <v>15.23</v>
      </c>
      <c r="J267" s="44">
        <v>81.618435155412655</v>
      </c>
      <c r="K267" s="41">
        <f t="shared" si="8"/>
        <v>55.759539020864061</v>
      </c>
      <c r="L267" s="130">
        <f t="shared" si="9"/>
        <v>50.25603538912209</v>
      </c>
      <c r="M267" s="1" t="str">
        <f>VLOOKUP(A267,CI!A$2:C$400,3,FALSE)</f>
        <v>P1</v>
      </c>
    </row>
    <row r="268" spans="1:13" ht="18" x14ac:dyDescent="0.25">
      <c r="A268" s="65" t="s">
        <v>266</v>
      </c>
      <c r="B268" s="66">
        <v>4107736</v>
      </c>
      <c r="C268" s="43">
        <v>0</v>
      </c>
      <c r="D268" s="42">
        <v>0</v>
      </c>
      <c r="E268" s="44">
        <v>940</v>
      </c>
      <c r="F268" s="44">
        <v>6255</v>
      </c>
      <c r="G268" s="44">
        <v>0.15027977617905675</v>
      </c>
      <c r="H268" s="42">
        <v>87.344853089491025</v>
      </c>
      <c r="I268" s="67">
        <v>9.91</v>
      </c>
      <c r="J268" s="44">
        <v>53.10825294748124</v>
      </c>
      <c r="K268" s="41">
        <f t="shared" si="8"/>
        <v>46.817702012324084</v>
      </c>
      <c r="L268" s="130">
        <f t="shared" si="9"/>
        <v>33.508982456567495</v>
      </c>
      <c r="M268" s="1" t="str">
        <f>VLOOKUP(A268,CI!A$2:C$400,3,FALSE)</f>
        <v>P1</v>
      </c>
    </row>
    <row r="269" spans="1:13" ht="18" x14ac:dyDescent="0.25">
      <c r="A269" s="65" t="s">
        <v>231</v>
      </c>
      <c r="B269" s="66">
        <v>4107751</v>
      </c>
      <c r="C269" s="43">
        <v>0</v>
      </c>
      <c r="D269" s="42">
        <v>0</v>
      </c>
      <c r="E269" s="44">
        <v>991</v>
      </c>
      <c r="F269" s="44">
        <v>8062</v>
      </c>
      <c r="G269" s="44">
        <v>0.12292235177375341</v>
      </c>
      <c r="H269" s="42">
        <v>71.444308942146961</v>
      </c>
      <c r="I269" s="67">
        <v>10.3</v>
      </c>
      <c r="J269" s="44">
        <v>55.198285101822087</v>
      </c>
      <c r="K269" s="41">
        <f t="shared" si="8"/>
        <v>42.214198014656347</v>
      </c>
      <c r="L269" s="130">
        <f t="shared" si="9"/>
        <v>24.887138304125671</v>
      </c>
      <c r="M269" s="1" t="str">
        <f>VLOOKUP(A269,CI!A$2:C$400,3,FALSE)</f>
        <v>P1</v>
      </c>
    </row>
    <row r="270" spans="1:13" ht="18" x14ac:dyDescent="0.25">
      <c r="A270" s="65" t="s">
        <v>264</v>
      </c>
      <c r="B270" s="66">
        <v>4107306</v>
      </c>
      <c r="C270" s="43">
        <v>33.33</v>
      </c>
      <c r="D270" s="42">
        <v>59.989200863930883</v>
      </c>
      <c r="E270" s="44">
        <v>689</v>
      </c>
      <c r="F270" s="44">
        <v>6327</v>
      </c>
      <c r="G270" s="44">
        <v>0.10889837205626679</v>
      </c>
      <c r="H270" s="42">
        <v>63.293362225974136</v>
      </c>
      <c r="I270" s="67">
        <v>9.17</v>
      </c>
      <c r="J270" s="44">
        <v>49.142550911039656</v>
      </c>
      <c r="K270" s="41">
        <f t="shared" si="8"/>
        <v>57.475038000314889</v>
      </c>
      <c r="L270" s="130">
        <f t="shared" si="9"/>
        <v>53.468971633337681</v>
      </c>
      <c r="M270" s="1" t="str">
        <f>VLOOKUP(A270,CI!A$2:C$400,3,FALSE)</f>
        <v>P1</v>
      </c>
    </row>
    <row r="271" spans="1:13" ht="18" x14ac:dyDescent="0.25">
      <c r="A271" s="65" t="s">
        <v>280</v>
      </c>
      <c r="B271" s="66">
        <v>4128807</v>
      </c>
      <c r="C271" s="43">
        <v>0</v>
      </c>
      <c r="D271" s="42">
        <v>0</v>
      </c>
      <c r="E271" s="44">
        <v>724</v>
      </c>
      <c r="F271" s="44">
        <v>5798</v>
      </c>
      <c r="G271" s="44">
        <v>0.12487064505001724</v>
      </c>
      <c r="H271" s="42">
        <v>72.576686127668907</v>
      </c>
      <c r="I271" s="67">
        <v>11.9</v>
      </c>
      <c r="J271" s="44">
        <v>63.772775991425512</v>
      </c>
      <c r="K271" s="41">
        <f t="shared" si="8"/>
        <v>45.449820706364811</v>
      </c>
      <c r="L271" s="130">
        <f t="shared" si="9"/>
        <v>30.947094936757708</v>
      </c>
      <c r="M271" s="1" t="str">
        <f>VLOOKUP(A271,CI!A$2:C$400,3,FALSE)</f>
        <v>P1</v>
      </c>
    </row>
    <row r="272" spans="1:13" ht="18" x14ac:dyDescent="0.25">
      <c r="A272" s="65" t="s">
        <v>299</v>
      </c>
      <c r="B272" s="66">
        <v>4113452</v>
      </c>
      <c r="C272" s="43">
        <v>31.25</v>
      </c>
      <c r="D272" s="42">
        <v>56.245500359971203</v>
      </c>
      <c r="E272" s="44">
        <v>700</v>
      </c>
      <c r="F272" s="44">
        <v>5175</v>
      </c>
      <c r="G272" s="44">
        <v>0.13526570048309178</v>
      </c>
      <c r="H272" s="42">
        <v>78.618447785453071</v>
      </c>
      <c r="I272" s="67">
        <v>16.62</v>
      </c>
      <c r="J272" s="44">
        <v>89.067524115755631</v>
      </c>
      <c r="K272" s="41">
        <f t="shared" si="8"/>
        <v>74.643824087059969</v>
      </c>
      <c r="L272" s="130">
        <f t="shared" si="9"/>
        <v>85.624172975950188</v>
      </c>
      <c r="M272" s="1" t="str">
        <f>VLOOKUP(A272,CI!A$2:C$400,3,FALSE)</f>
        <v>P1</v>
      </c>
    </row>
    <row r="273" spans="1:13" ht="18" x14ac:dyDescent="0.25">
      <c r="A273" s="65" t="s">
        <v>252</v>
      </c>
      <c r="B273" s="66">
        <v>4113734</v>
      </c>
      <c r="C273" s="43">
        <v>0</v>
      </c>
      <c r="D273" s="42">
        <v>0</v>
      </c>
      <c r="E273" s="44">
        <v>981</v>
      </c>
      <c r="F273" s="44">
        <v>6690</v>
      </c>
      <c r="G273" s="44">
        <v>0.14663677130044844</v>
      </c>
      <c r="H273" s="42">
        <v>85.227484179204566</v>
      </c>
      <c r="I273" s="67">
        <v>11.96</v>
      </c>
      <c r="J273" s="44">
        <v>64.094319399785633</v>
      </c>
      <c r="K273" s="41">
        <f t="shared" si="8"/>
        <v>49.773934526330066</v>
      </c>
      <c r="L273" s="130">
        <f t="shared" si="9"/>
        <v>39.045672774867185</v>
      </c>
      <c r="M273" s="1" t="str">
        <f>VLOOKUP(A273,CI!A$2:C$400,3,FALSE)</f>
        <v>P1</v>
      </c>
    </row>
    <row r="274" spans="1:13" ht="18" x14ac:dyDescent="0.25">
      <c r="A274" s="65" t="s">
        <v>324</v>
      </c>
      <c r="B274" s="66">
        <v>4107702</v>
      </c>
      <c r="C274" s="43">
        <v>18.52</v>
      </c>
      <c r="D274" s="42">
        <v>33.333333333333329</v>
      </c>
      <c r="E274" s="44">
        <v>506</v>
      </c>
      <c r="F274" s="44">
        <v>4492</v>
      </c>
      <c r="G274" s="44">
        <v>0.11264470169189671</v>
      </c>
      <c r="H274" s="42">
        <v>65.470785030084642</v>
      </c>
      <c r="I274" s="67">
        <v>14.47</v>
      </c>
      <c r="J274" s="44">
        <v>77.545551982851023</v>
      </c>
      <c r="K274" s="41">
        <f t="shared" si="8"/>
        <v>58.783223448756331</v>
      </c>
      <c r="L274" s="130">
        <f t="shared" si="9"/>
        <v>55.919055540002816</v>
      </c>
      <c r="M274" s="1" t="str">
        <f>VLOOKUP(A274,CI!A$2:C$400,3,FALSE)</f>
        <v>P1</v>
      </c>
    </row>
    <row r="275" spans="1:13" ht="18" x14ac:dyDescent="0.25">
      <c r="A275" s="65" t="s">
        <v>283</v>
      </c>
      <c r="B275" s="66">
        <v>4120358</v>
      </c>
      <c r="C275" s="43">
        <v>15.15</v>
      </c>
      <c r="D275" s="42">
        <v>27.267818574514042</v>
      </c>
      <c r="E275" s="44">
        <v>701</v>
      </c>
      <c r="F275" s="44">
        <v>5737</v>
      </c>
      <c r="G275" s="44">
        <v>0.12218929754226948</v>
      </c>
      <c r="H275" s="42">
        <v>71.018246861249906</v>
      </c>
      <c r="I275" s="67">
        <v>12.03</v>
      </c>
      <c r="J275" s="44">
        <v>64.469453376205792</v>
      </c>
      <c r="K275" s="41">
        <f t="shared" si="8"/>
        <v>54.251839603989914</v>
      </c>
      <c r="L275" s="130">
        <f t="shared" si="9"/>
        <v>47.432284305686082</v>
      </c>
      <c r="M275" s="1" t="str">
        <f>VLOOKUP(A275,CI!A$2:C$400,3,FALSE)</f>
        <v>P1</v>
      </c>
    </row>
    <row r="276" spans="1:13" ht="18" x14ac:dyDescent="0.25">
      <c r="A276" s="65" t="s">
        <v>318</v>
      </c>
      <c r="B276" s="66">
        <v>4113106</v>
      </c>
      <c r="C276" s="43">
        <v>20</v>
      </c>
      <c r="D276" s="42">
        <v>35.997120230381569</v>
      </c>
      <c r="E276" s="44">
        <v>515</v>
      </c>
      <c r="F276" s="44">
        <v>4582</v>
      </c>
      <c r="G276" s="44">
        <v>0.1123963334788302</v>
      </c>
      <c r="H276" s="42">
        <v>65.32642971073318</v>
      </c>
      <c r="I276" s="67">
        <v>9.6</v>
      </c>
      <c r="J276" s="44">
        <v>51.446945337620576</v>
      </c>
      <c r="K276" s="41">
        <f t="shared" si="8"/>
        <v>50.923498426245111</v>
      </c>
      <c r="L276" s="130">
        <f t="shared" si="9"/>
        <v>41.198676398489994</v>
      </c>
      <c r="M276" s="1" t="str">
        <f>VLOOKUP(A276,CI!A$2:C$400,3,FALSE)</f>
        <v>P1</v>
      </c>
    </row>
    <row r="277" spans="1:13" ht="18" x14ac:dyDescent="0.25">
      <c r="A277" s="65" t="s">
        <v>310</v>
      </c>
      <c r="B277" s="66">
        <v>4113809</v>
      </c>
      <c r="C277" s="43">
        <v>44.44</v>
      </c>
      <c r="D277" s="42">
        <v>79.985601151907844</v>
      </c>
      <c r="E277" s="44">
        <v>605</v>
      </c>
      <c r="F277" s="44">
        <v>4813</v>
      </c>
      <c r="G277" s="44">
        <v>0.12570122584666529</v>
      </c>
      <c r="H277" s="42">
        <v>73.059432106580516</v>
      </c>
      <c r="I277" s="67">
        <v>10.18</v>
      </c>
      <c r="J277" s="44">
        <v>54.555198285101824</v>
      </c>
      <c r="K277" s="41">
        <f t="shared" si="8"/>
        <v>69.200077181196733</v>
      </c>
      <c r="L277" s="130">
        <f t="shared" si="9"/>
        <v>75.428648555537208</v>
      </c>
      <c r="M277" s="1" t="str">
        <f>VLOOKUP(A277,CI!A$2:C$400,3,FALSE)</f>
        <v>P1</v>
      </c>
    </row>
    <row r="278" spans="1:13" ht="18" x14ac:dyDescent="0.25">
      <c r="A278" s="65" t="s">
        <v>286</v>
      </c>
      <c r="B278" s="66">
        <v>4118600</v>
      </c>
      <c r="C278" s="43">
        <v>36.36</v>
      </c>
      <c r="D278" s="42">
        <v>65.442764578833689</v>
      </c>
      <c r="E278" s="44">
        <v>729</v>
      </c>
      <c r="F278" s="44">
        <v>5666</v>
      </c>
      <c r="G278" s="44">
        <v>0.12866219555241792</v>
      </c>
      <c r="H278" s="42">
        <v>74.780391975746468</v>
      </c>
      <c r="I278" s="67">
        <v>11.12</v>
      </c>
      <c r="J278" s="44">
        <v>59.59271168274384</v>
      </c>
      <c r="K278" s="41">
        <f t="shared" si="8"/>
        <v>66.605289412441337</v>
      </c>
      <c r="L278" s="130">
        <f t="shared" si="9"/>
        <v>70.568903508676058</v>
      </c>
      <c r="M278" s="1" t="str">
        <f>VLOOKUP(A278,CI!A$2:C$400,3,FALSE)</f>
        <v>P1</v>
      </c>
    </row>
    <row r="279" spans="1:13" ht="18" x14ac:dyDescent="0.25">
      <c r="A279" s="65" t="s">
        <v>309</v>
      </c>
      <c r="B279" s="66">
        <v>4103354</v>
      </c>
      <c r="C279" s="43">
        <v>0</v>
      </c>
      <c r="D279" s="42">
        <v>0</v>
      </c>
      <c r="E279" s="44">
        <v>580</v>
      </c>
      <c r="F279" s="44">
        <v>4854</v>
      </c>
      <c r="G279" s="44">
        <v>0.11948908117016893</v>
      </c>
      <c r="H279" s="42">
        <v>69.448840728717826</v>
      </c>
      <c r="I279" s="67">
        <v>11.74</v>
      </c>
      <c r="J279" s="44">
        <v>62.915326902465161</v>
      </c>
      <c r="K279" s="41">
        <f t="shared" si="8"/>
        <v>44.121389210394334</v>
      </c>
      <c r="L279" s="130">
        <f t="shared" si="9"/>
        <v>28.459092464889473</v>
      </c>
      <c r="M279" s="1" t="str">
        <f>VLOOKUP(A279,CI!A$2:C$400,3,FALSE)</f>
        <v>P1</v>
      </c>
    </row>
    <row r="280" spans="1:13" ht="18" x14ac:dyDescent="0.25">
      <c r="A280" s="65" t="s">
        <v>294</v>
      </c>
      <c r="B280" s="66">
        <v>4122651</v>
      </c>
      <c r="C280" s="43">
        <v>0</v>
      </c>
      <c r="D280" s="42">
        <v>0</v>
      </c>
      <c r="E280" s="44">
        <v>699</v>
      </c>
      <c r="F280" s="44">
        <v>5435</v>
      </c>
      <c r="G280" s="44">
        <v>0.12861085556577737</v>
      </c>
      <c r="H280" s="42">
        <v>74.750552407810233</v>
      </c>
      <c r="I280" s="67">
        <v>10.67</v>
      </c>
      <c r="J280" s="44">
        <v>57.181136120042872</v>
      </c>
      <c r="K280" s="41">
        <f t="shared" si="8"/>
        <v>43.977229509284371</v>
      </c>
      <c r="L280" s="130">
        <f t="shared" si="9"/>
        <v>28.189097592144197</v>
      </c>
      <c r="M280" s="1" t="str">
        <f>VLOOKUP(A280,CI!A$2:C$400,3,FALSE)</f>
        <v>P1</v>
      </c>
    </row>
    <row r="281" spans="1:13" ht="18" x14ac:dyDescent="0.25">
      <c r="A281" s="65" t="s">
        <v>293</v>
      </c>
      <c r="B281" s="66">
        <v>4124004</v>
      </c>
      <c r="C281" s="43">
        <v>0</v>
      </c>
      <c r="D281" s="42">
        <v>0</v>
      </c>
      <c r="E281" s="44">
        <v>685</v>
      </c>
      <c r="F281" s="44">
        <v>5514</v>
      </c>
      <c r="G281" s="44">
        <v>0.12422923467537178</v>
      </c>
      <c r="H281" s="42">
        <v>72.203888826741789</v>
      </c>
      <c r="I281" s="67">
        <v>8.52</v>
      </c>
      <c r="J281" s="44">
        <v>45.659163987138264</v>
      </c>
      <c r="K281" s="41">
        <f t="shared" si="8"/>
        <v>39.287684271293351</v>
      </c>
      <c r="L281" s="130">
        <f t="shared" si="9"/>
        <v>19.406107893803863</v>
      </c>
      <c r="M281" s="1" t="str">
        <f>VLOOKUP(A281,CI!A$2:C$400,3,FALSE)</f>
        <v>P1</v>
      </c>
    </row>
    <row r="282" spans="1:13" ht="18" x14ac:dyDescent="0.25">
      <c r="A282" s="65" t="s">
        <v>279</v>
      </c>
      <c r="B282" s="66">
        <v>4117206</v>
      </c>
      <c r="C282" s="43">
        <v>14.93</v>
      </c>
      <c r="D282" s="42">
        <v>26.87185025197984</v>
      </c>
      <c r="E282" s="44">
        <v>730</v>
      </c>
      <c r="F282" s="44">
        <v>5833</v>
      </c>
      <c r="G282" s="44">
        <v>0.12515000857191841</v>
      </c>
      <c r="H282" s="42">
        <v>72.739056383996328</v>
      </c>
      <c r="I282" s="67">
        <v>10.46</v>
      </c>
      <c r="J282" s="44">
        <v>56.055734190782424</v>
      </c>
      <c r="K282" s="41">
        <f t="shared" si="8"/>
        <v>51.888880275586196</v>
      </c>
      <c r="L282" s="130">
        <f t="shared" si="9"/>
        <v>43.006727799516639</v>
      </c>
      <c r="M282" s="1" t="str">
        <f>VLOOKUP(A282,CI!A$2:C$400,3,FALSE)</f>
        <v>P1</v>
      </c>
    </row>
    <row r="283" spans="1:13" ht="18" x14ac:dyDescent="0.25">
      <c r="A283" s="65" t="s">
        <v>333</v>
      </c>
      <c r="B283" s="66">
        <v>4117214</v>
      </c>
      <c r="C283" s="43">
        <v>40.82</v>
      </c>
      <c r="D283" s="42">
        <v>73.470122390208786</v>
      </c>
      <c r="E283" s="44">
        <v>539</v>
      </c>
      <c r="F283" s="44">
        <v>4184</v>
      </c>
      <c r="G283" s="44">
        <v>0.12882409177820267</v>
      </c>
      <c r="H283" s="42">
        <v>74.874488483050698</v>
      </c>
      <c r="I283" s="67">
        <v>12.67</v>
      </c>
      <c r="J283" s="44">
        <v>67.899249732047167</v>
      </c>
      <c r="K283" s="41">
        <f t="shared" si="8"/>
        <v>72.081286868435555</v>
      </c>
      <c r="L283" s="130">
        <f t="shared" si="9"/>
        <v>80.824829574705234</v>
      </c>
      <c r="M283" s="1" t="str">
        <f>VLOOKUP(A283,CI!A$2:C$400,3,FALSE)</f>
        <v>P1</v>
      </c>
    </row>
    <row r="284" spans="1:13" ht="18" x14ac:dyDescent="0.25">
      <c r="A284" s="65" t="s">
        <v>319</v>
      </c>
      <c r="B284" s="66">
        <v>4107538</v>
      </c>
      <c r="C284" s="43">
        <v>0</v>
      </c>
      <c r="D284" s="42">
        <v>0</v>
      </c>
      <c r="E284" s="44">
        <v>576</v>
      </c>
      <c r="F284" s="44">
        <v>4575</v>
      </c>
      <c r="G284" s="44">
        <v>0.12590163934426229</v>
      </c>
      <c r="H284" s="42">
        <v>73.175915428221245</v>
      </c>
      <c r="I284" s="67">
        <v>16.170000000000002</v>
      </c>
      <c r="J284" s="44">
        <v>86.655948553054671</v>
      </c>
      <c r="K284" s="41">
        <f t="shared" si="8"/>
        <v>53.277287993758641</v>
      </c>
      <c r="L284" s="130">
        <f t="shared" si="9"/>
        <v>45.607058975984579</v>
      </c>
      <c r="M284" s="1" t="str">
        <f>VLOOKUP(A284,CI!A$2:C$400,3,FALSE)</f>
        <v>P1</v>
      </c>
    </row>
    <row r="285" spans="1:13" ht="18" x14ac:dyDescent="0.25">
      <c r="A285" s="65" t="s">
        <v>267</v>
      </c>
      <c r="B285" s="66">
        <v>4119004</v>
      </c>
      <c r="C285" s="43">
        <v>0</v>
      </c>
      <c r="D285" s="42">
        <v>0</v>
      </c>
      <c r="E285" s="44">
        <v>676</v>
      </c>
      <c r="F285" s="44">
        <v>6221</v>
      </c>
      <c r="G285" s="44">
        <v>0.10866420189680116</v>
      </c>
      <c r="H285" s="42">
        <v>63.157259027682841</v>
      </c>
      <c r="I285" s="67">
        <v>13.98</v>
      </c>
      <c r="J285" s="44">
        <v>74.919614147909968</v>
      </c>
      <c r="K285" s="41">
        <f t="shared" si="8"/>
        <v>46.025624391864277</v>
      </c>
      <c r="L285" s="130">
        <f t="shared" si="9"/>
        <v>32.02551034408507</v>
      </c>
      <c r="M285" s="1" t="str">
        <f>VLOOKUP(A285,CI!A$2:C$400,3,FALSE)</f>
        <v>P1</v>
      </c>
    </row>
    <row r="286" spans="1:13" ht="18" x14ac:dyDescent="0.25">
      <c r="A286" s="65" t="s">
        <v>265</v>
      </c>
      <c r="B286" s="66">
        <v>4100202</v>
      </c>
      <c r="C286" s="43">
        <v>0</v>
      </c>
      <c r="D286" s="42">
        <v>0</v>
      </c>
      <c r="E286" s="44">
        <v>913</v>
      </c>
      <c r="F286" s="44">
        <v>6256</v>
      </c>
      <c r="G286" s="44">
        <v>0.14593989769820973</v>
      </c>
      <c r="H286" s="42">
        <v>84.822450821043589</v>
      </c>
      <c r="I286" s="67">
        <v>11.19</v>
      </c>
      <c r="J286" s="44">
        <v>59.967845659163984</v>
      </c>
      <c r="K286" s="41">
        <f t="shared" si="8"/>
        <v>48.263432160069193</v>
      </c>
      <c r="L286" s="130">
        <f t="shared" si="9"/>
        <v>36.216672083134576</v>
      </c>
      <c r="M286" s="1" t="str">
        <f>VLOOKUP(A286,CI!A$2:C$400,3,FALSE)</f>
        <v>P1</v>
      </c>
    </row>
    <row r="287" spans="1:13" ht="18" x14ac:dyDescent="0.25">
      <c r="A287" s="65" t="s">
        <v>350</v>
      </c>
      <c r="B287" s="66">
        <v>4120333</v>
      </c>
      <c r="C287" s="43">
        <v>52.63</v>
      </c>
      <c r="D287" s="42">
        <v>94.726421886249099</v>
      </c>
      <c r="E287" s="44">
        <v>492</v>
      </c>
      <c r="F287" s="44">
        <v>3709</v>
      </c>
      <c r="G287" s="44">
        <v>0.13265031005661904</v>
      </c>
      <c r="H287" s="42">
        <v>77.098343760945227</v>
      </c>
      <c r="I287" s="67">
        <v>14.02</v>
      </c>
      <c r="J287" s="44">
        <v>75.133976420150049</v>
      </c>
      <c r="K287" s="41">
        <f t="shared" si="8"/>
        <v>82.319580689114801</v>
      </c>
      <c r="L287" s="130">
        <f t="shared" si="9"/>
        <v>100</v>
      </c>
      <c r="M287" s="1" t="str">
        <f>VLOOKUP(A287,CI!A$2:C$400,3,FALSE)</f>
        <v>P1</v>
      </c>
    </row>
    <row r="288" spans="1:13" ht="18" x14ac:dyDescent="0.25">
      <c r="A288" s="65" t="s">
        <v>236</v>
      </c>
      <c r="B288" s="66">
        <v>4103305</v>
      </c>
      <c r="C288" s="43">
        <v>12.66</v>
      </c>
      <c r="D288" s="42">
        <v>22.786177105831531</v>
      </c>
      <c r="E288" s="44">
        <v>921</v>
      </c>
      <c r="F288" s="44">
        <v>7735</v>
      </c>
      <c r="G288" s="44">
        <v>0.11906916612798965</v>
      </c>
      <c r="H288" s="42">
        <v>69.204779827099784</v>
      </c>
      <c r="I288" s="67">
        <v>10.86</v>
      </c>
      <c r="J288" s="44">
        <v>58.199356913183273</v>
      </c>
      <c r="K288" s="41">
        <f t="shared" si="8"/>
        <v>50.063437948704859</v>
      </c>
      <c r="L288" s="130">
        <f t="shared" si="9"/>
        <v>39.587880056663522</v>
      </c>
      <c r="M288" s="1" t="str">
        <f>VLOOKUP(A288,CI!A$2:C$400,3,FALSE)</f>
        <v>P1</v>
      </c>
    </row>
    <row r="289" spans="1:13" ht="18" x14ac:dyDescent="0.25">
      <c r="A289" s="65" t="s">
        <v>230</v>
      </c>
      <c r="B289" s="66">
        <v>4126009</v>
      </c>
      <c r="C289" s="43">
        <v>0</v>
      </c>
      <c r="D289" s="42">
        <v>0</v>
      </c>
      <c r="E289" s="44">
        <v>1058</v>
      </c>
      <c r="F289" s="44">
        <v>8063</v>
      </c>
      <c r="G289" s="44">
        <v>0.13121666873372195</v>
      </c>
      <c r="H289" s="42">
        <v>76.265089986450178</v>
      </c>
      <c r="I289" s="67">
        <v>11.16</v>
      </c>
      <c r="J289" s="44">
        <v>59.807073954983927</v>
      </c>
      <c r="K289" s="41">
        <f t="shared" si="8"/>
        <v>45.35738798047803</v>
      </c>
      <c r="L289" s="130">
        <f t="shared" si="9"/>
        <v>30.773978858747359</v>
      </c>
      <c r="M289" s="1" t="str">
        <f>VLOOKUP(A289,CI!A$2:C$400,3,FALSE)</f>
        <v>P1</v>
      </c>
    </row>
    <row r="290" spans="1:13" ht="18" x14ac:dyDescent="0.25">
      <c r="A290" s="65" t="s">
        <v>332</v>
      </c>
      <c r="B290" s="66">
        <v>4120655</v>
      </c>
      <c r="C290" s="43">
        <v>0</v>
      </c>
      <c r="D290" s="42">
        <v>0</v>
      </c>
      <c r="E290" s="44">
        <v>521</v>
      </c>
      <c r="F290" s="44">
        <v>4201</v>
      </c>
      <c r="G290" s="44">
        <v>0.12401809093073078</v>
      </c>
      <c r="H290" s="42">
        <v>72.081168925066805</v>
      </c>
      <c r="I290" s="67">
        <v>10.47</v>
      </c>
      <c r="J290" s="44">
        <v>56.109324758842448</v>
      </c>
      <c r="K290" s="41">
        <f t="shared" si="8"/>
        <v>42.730164561303091</v>
      </c>
      <c r="L290" s="130">
        <f t="shared" si="9"/>
        <v>25.853485494291164</v>
      </c>
      <c r="M290" s="1" t="str">
        <f>VLOOKUP(A290,CI!A$2:C$400,3,FALSE)</f>
        <v>P1</v>
      </c>
    </row>
    <row r="291" spans="1:13" ht="18" x14ac:dyDescent="0.25">
      <c r="A291" s="65" t="s">
        <v>276</v>
      </c>
      <c r="B291" s="66">
        <v>4111001</v>
      </c>
      <c r="C291" s="43">
        <v>0</v>
      </c>
      <c r="D291" s="42">
        <v>0</v>
      </c>
      <c r="E291" s="44">
        <v>699</v>
      </c>
      <c r="F291" s="44">
        <v>5908</v>
      </c>
      <c r="G291" s="44">
        <v>0.11831415030467163</v>
      </c>
      <c r="H291" s="42">
        <v>68.765953340631114</v>
      </c>
      <c r="I291" s="67">
        <v>9.82</v>
      </c>
      <c r="J291" s="44">
        <v>52.625937834941048</v>
      </c>
      <c r="K291" s="41">
        <f t="shared" si="8"/>
        <v>40.463963725190723</v>
      </c>
      <c r="L291" s="130">
        <f t="shared" si="9"/>
        <v>21.609146739074895</v>
      </c>
      <c r="M291" s="1" t="str">
        <f>VLOOKUP(A291,CI!A$2:C$400,3,FALSE)</f>
        <v>P1</v>
      </c>
    </row>
    <row r="292" spans="1:13" ht="18" x14ac:dyDescent="0.25">
      <c r="A292" s="65" t="s">
        <v>337</v>
      </c>
      <c r="B292" s="66">
        <v>4119707</v>
      </c>
      <c r="C292" s="43">
        <v>37.04</v>
      </c>
      <c r="D292" s="42">
        <v>66.666666666666657</v>
      </c>
      <c r="E292" s="44">
        <v>519</v>
      </c>
      <c r="F292" s="44">
        <v>4070</v>
      </c>
      <c r="G292" s="44">
        <v>0.12751842751842751</v>
      </c>
      <c r="H292" s="42">
        <v>74.115616891317828</v>
      </c>
      <c r="I292" s="67">
        <v>16.22</v>
      </c>
      <c r="J292" s="44">
        <v>86.923901393354768</v>
      </c>
      <c r="K292" s="41">
        <f t="shared" si="8"/>
        <v>75.902061650446413</v>
      </c>
      <c r="L292" s="130">
        <f t="shared" si="9"/>
        <v>87.980710123254099</v>
      </c>
      <c r="M292" s="1" t="str">
        <f>VLOOKUP(A292,CI!A$2:C$400,3,FALSE)</f>
        <v>P1</v>
      </c>
    </row>
    <row r="293" spans="1:13" ht="18" x14ac:dyDescent="0.25">
      <c r="A293" s="65" t="s">
        <v>313</v>
      </c>
      <c r="B293" s="66">
        <v>4100905</v>
      </c>
      <c r="C293" s="43">
        <v>0</v>
      </c>
      <c r="D293" s="42">
        <v>0</v>
      </c>
      <c r="E293" s="44">
        <v>658</v>
      </c>
      <c r="F293" s="44">
        <v>4762</v>
      </c>
      <c r="G293" s="44">
        <v>0.13817723645527089</v>
      </c>
      <c r="H293" s="42">
        <v>80.310676029470059</v>
      </c>
      <c r="I293" s="67">
        <v>11.34</v>
      </c>
      <c r="J293" s="44">
        <v>60.771704180064312</v>
      </c>
      <c r="K293" s="41">
        <f t="shared" si="8"/>
        <v>47.027460069844786</v>
      </c>
      <c r="L293" s="130">
        <f t="shared" si="9"/>
        <v>33.90183565764621</v>
      </c>
      <c r="M293" s="1" t="str">
        <f>VLOOKUP(A293,CI!A$2:C$400,3,FALSE)</f>
        <v>P1</v>
      </c>
    </row>
    <row r="294" spans="1:13" ht="18" x14ac:dyDescent="0.25">
      <c r="A294" s="65" t="s">
        <v>275</v>
      </c>
      <c r="B294" s="66">
        <v>4115853</v>
      </c>
      <c r="C294" s="43">
        <v>0</v>
      </c>
      <c r="D294" s="42">
        <v>0</v>
      </c>
      <c r="E294" s="44">
        <v>817</v>
      </c>
      <c r="F294" s="44">
        <v>5931</v>
      </c>
      <c r="G294" s="44">
        <v>0.13775080087674929</v>
      </c>
      <c r="H294" s="42">
        <v>80.062825294626535</v>
      </c>
      <c r="I294" s="67">
        <v>9.9499999999999993</v>
      </c>
      <c r="J294" s="44">
        <v>53.322615219721328</v>
      </c>
      <c r="K294" s="41">
        <f t="shared" si="8"/>
        <v>44.461813504782619</v>
      </c>
      <c r="L294" s="130">
        <f t="shared" si="9"/>
        <v>29.096668800960384</v>
      </c>
      <c r="M294" s="1" t="str">
        <f>VLOOKUP(A294,CI!A$2:C$400,3,FALSE)</f>
        <v>P1</v>
      </c>
    </row>
    <row r="295" spans="1:13" ht="18" x14ac:dyDescent="0.25">
      <c r="A295" s="65" t="s">
        <v>234</v>
      </c>
      <c r="B295" s="66">
        <v>4108957</v>
      </c>
      <c r="C295" s="43">
        <v>28.17</v>
      </c>
      <c r="D295" s="42">
        <v>50.701943844492433</v>
      </c>
      <c r="E295" s="44">
        <v>1096</v>
      </c>
      <c r="F295" s="44">
        <v>7856</v>
      </c>
      <c r="G295" s="44">
        <v>0.1395112016293279</v>
      </c>
      <c r="H295" s="42">
        <v>81.085996535774797</v>
      </c>
      <c r="I295" s="67">
        <v>12.98</v>
      </c>
      <c r="J295" s="44">
        <v>69.560557341907824</v>
      </c>
      <c r="K295" s="41">
        <f t="shared" si="8"/>
        <v>67.116165907391689</v>
      </c>
      <c r="L295" s="130">
        <f t="shared" si="9"/>
        <v>71.525717605685472</v>
      </c>
      <c r="M295" s="1" t="str">
        <f>VLOOKUP(A295,CI!A$2:C$400,3,FALSE)</f>
        <v>P1</v>
      </c>
    </row>
    <row r="296" spans="1:13" ht="18" x14ac:dyDescent="0.25">
      <c r="A296" s="65" t="s">
        <v>328</v>
      </c>
      <c r="B296" s="66">
        <v>4110409</v>
      </c>
      <c r="C296" s="43">
        <v>0</v>
      </c>
      <c r="D296" s="42">
        <v>0</v>
      </c>
      <c r="E296" s="44">
        <v>558</v>
      </c>
      <c r="F296" s="44">
        <v>4448</v>
      </c>
      <c r="G296" s="44">
        <v>0.12544964028776978</v>
      </c>
      <c r="H296" s="42">
        <v>72.913206817723392</v>
      </c>
      <c r="I296" s="67">
        <v>10.34</v>
      </c>
      <c r="J296" s="44">
        <v>55.412647374062161</v>
      </c>
      <c r="K296" s="41">
        <f t="shared" si="8"/>
        <v>42.775284730595182</v>
      </c>
      <c r="L296" s="130">
        <f t="shared" si="9"/>
        <v>25.937990486133305</v>
      </c>
      <c r="M296" s="1" t="str">
        <f>VLOOKUP(A296,CI!A$2:C$400,3,FALSE)</f>
        <v>P1</v>
      </c>
    </row>
    <row r="297" spans="1:13" ht="18" x14ac:dyDescent="0.25">
      <c r="A297" s="65" t="s">
        <v>355</v>
      </c>
      <c r="B297" s="66">
        <v>4111308</v>
      </c>
      <c r="C297" s="43">
        <v>22.22</v>
      </c>
      <c r="D297" s="42">
        <v>39.992800575953922</v>
      </c>
      <c r="E297" s="44">
        <v>479</v>
      </c>
      <c r="F297" s="44">
        <v>3572</v>
      </c>
      <c r="G297" s="44">
        <v>0.13409854423292272</v>
      </c>
      <c r="H297" s="42">
        <v>77.940079120051081</v>
      </c>
      <c r="I297" s="67">
        <v>11.2</v>
      </c>
      <c r="J297" s="44">
        <v>60.021436227224001</v>
      </c>
      <c r="K297" s="41">
        <f t="shared" si="8"/>
        <v>59.318105307742997</v>
      </c>
      <c r="L297" s="130">
        <f t="shared" si="9"/>
        <v>56.920828978341916</v>
      </c>
      <c r="M297" s="1" t="str">
        <f>VLOOKUP(A297,CI!A$2:C$400,3,FALSE)</f>
        <v>P1</v>
      </c>
    </row>
    <row r="298" spans="1:13" ht="18" x14ac:dyDescent="0.25">
      <c r="A298" s="65" t="s">
        <v>323</v>
      </c>
      <c r="B298" s="66">
        <v>4106704</v>
      </c>
      <c r="C298" s="43">
        <v>45.45</v>
      </c>
      <c r="D298" s="42">
        <v>81.803455723542115</v>
      </c>
      <c r="E298" s="44">
        <v>559</v>
      </c>
      <c r="F298" s="44">
        <v>4494</v>
      </c>
      <c r="G298" s="44">
        <v>0.12438807298620383</v>
      </c>
      <c r="H298" s="42">
        <v>72.296208028149692</v>
      </c>
      <c r="I298" s="67">
        <v>10.24</v>
      </c>
      <c r="J298" s="44">
        <v>54.876741693461952</v>
      </c>
      <c r="K298" s="41">
        <f t="shared" si="8"/>
        <v>69.658801815051262</v>
      </c>
      <c r="L298" s="130">
        <f t="shared" si="9"/>
        <v>76.287788094458747</v>
      </c>
      <c r="M298" s="1" t="str">
        <f>VLOOKUP(A298,CI!A$2:C$400,3,FALSE)</f>
        <v>P1</v>
      </c>
    </row>
    <row r="299" spans="1:13" ht="18" x14ac:dyDescent="0.25">
      <c r="A299" s="65" t="s">
        <v>304</v>
      </c>
      <c r="B299" s="66">
        <v>4112306</v>
      </c>
      <c r="C299" s="43">
        <v>36.36</v>
      </c>
      <c r="D299" s="42">
        <v>65.442764578833689</v>
      </c>
      <c r="E299" s="44">
        <v>653</v>
      </c>
      <c r="F299" s="44">
        <v>4972</v>
      </c>
      <c r="G299" s="44">
        <v>0.13133547868061143</v>
      </c>
      <c r="H299" s="42">
        <v>76.334144104179686</v>
      </c>
      <c r="I299" s="67">
        <v>9.65</v>
      </c>
      <c r="J299" s="44">
        <v>51.714898177920688</v>
      </c>
      <c r="K299" s="41">
        <f t="shared" si="8"/>
        <v>64.497268953644678</v>
      </c>
      <c r="L299" s="130">
        <f t="shared" si="9"/>
        <v>66.620818772546428</v>
      </c>
      <c r="M299" s="1" t="str">
        <f>VLOOKUP(A299,CI!A$2:C$400,3,FALSE)</f>
        <v>P1</v>
      </c>
    </row>
    <row r="300" spans="1:13" ht="18" x14ac:dyDescent="0.25">
      <c r="A300" s="65" t="s">
        <v>339</v>
      </c>
      <c r="B300" s="66">
        <v>4104055</v>
      </c>
      <c r="C300" s="43">
        <v>0</v>
      </c>
      <c r="D300" s="42">
        <v>0</v>
      </c>
      <c r="E300" s="44">
        <v>528</v>
      </c>
      <c r="F300" s="44">
        <v>4027</v>
      </c>
      <c r="G300" s="44">
        <v>0.1311149739259995</v>
      </c>
      <c r="H300" s="42">
        <v>76.205983443531863</v>
      </c>
      <c r="I300" s="67">
        <v>14.15</v>
      </c>
      <c r="J300" s="44">
        <v>75.830653804930336</v>
      </c>
      <c r="K300" s="41">
        <f t="shared" si="8"/>
        <v>50.678879082820735</v>
      </c>
      <c r="L300" s="130">
        <f t="shared" si="9"/>
        <v>40.740531937934271</v>
      </c>
      <c r="M300" s="1" t="str">
        <f>VLOOKUP(A300,CI!A$2:C$400,3,FALSE)</f>
        <v>P1</v>
      </c>
    </row>
    <row r="301" spans="1:13" ht="18" x14ac:dyDescent="0.25">
      <c r="A301" s="65" t="s">
        <v>315</v>
      </c>
      <c r="B301" s="66">
        <v>4115507</v>
      </c>
      <c r="C301" s="43">
        <v>21.28</v>
      </c>
      <c r="D301" s="42">
        <v>38.300935925125991</v>
      </c>
      <c r="E301" s="44">
        <v>597</v>
      </c>
      <c r="F301" s="44">
        <v>4699</v>
      </c>
      <c r="G301" s="44">
        <v>0.12704830815067036</v>
      </c>
      <c r="H301" s="42">
        <v>73.842376484955054</v>
      </c>
      <c r="I301" s="67">
        <v>13.41</v>
      </c>
      <c r="J301" s="44">
        <v>71.864951768488751</v>
      </c>
      <c r="K301" s="41">
        <f t="shared" si="8"/>
        <v>61.336088059523263</v>
      </c>
      <c r="L301" s="130">
        <f t="shared" si="9"/>
        <v>60.70028323687626</v>
      </c>
      <c r="M301" s="1" t="str">
        <f>VLOOKUP(A301,CI!A$2:C$400,3,FALSE)</f>
        <v>P1</v>
      </c>
    </row>
    <row r="302" spans="1:13" ht="18" x14ac:dyDescent="0.25">
      <c r="A302" s="65" t="s">
        <v>258</v>
      </c>
      <c r="B302" s="66">
        <v>4115358</v>
      </c>
      <c r="C302" s="43">
        <v>13.16</v>
      </c>
      <c r="D302" s="42">
        <v>23.686105111591072</v>
      </c>
      <c r="E302" s="44">
        <v>967</v>
      </c>
      <c r="F302" s="44">
        <v>6555</v>
      </c>
      <c r="G302" s="44">
        <v>0.1475209763539283</v>
      </c>
      <c r="H302" s="42">
        <v>85.74139737804488</v>
      </c>
      <c r="I302" s="67">
        <v>11.14</v>
      </c>
      <c r="J302" s="44">
        <v>59.699892818863887</v>
      </c>
      <c r="K302" s="41">
        <f t="shared" si="8"/>
        <v>56.375798436166612</v>
      </c>
      <c r="L302" s="130">
        <f t="shared" si="9"/>
        <v>51.410219818831592</v>
      </c>
      <c r="M302" s="1" t="str">
        <f>VLOOKUP(A302,CI!A$2:C$400,3,FALSE)</f>
        <v>P1</v>
      </c>
    </row>
    <row r="303" spans="1:13" ht="18" x14ac:dyDescent="0.25">
      <c r="A303" s="65" t="s">
        <v>316</v>
      </c>
      <c r="B303" s="66">
        <v>4109005</v>
      </c>
      <c r="C303" s="43">
        <v>0</v>
      </c>
      <c r="D303" s="42">
        <v>0</v>
      </c>
      <c r="E303" s="44">
        <v>681</v>
      </c>
      <c r="F303" s="44">
        <v>4626</v>
      </c>
      <c r="G303" s="44">
        <v>0.14721141374837873</v>
      </c>
      <c r="H303" s="42">
        <v>85.561474962725924</v>
      </c>
      <c r="I303" s="67">
        <v>15.35</v>
      </c>
      <c r="J303" s="44">
        <v>82.261521972132897</v>
      </c>
      <c r="K303" s="41">
        <f t="shared" si="8"/>
        <v>55.940998978286274</v>
      </c>
      <c r="L303" s="130">
        <f t="shared" si="9"/>
        <v>50.595889438036934</v>
      </c>
      <c r="M303" s="1" t="str">
        <f>VLOOKUP(A303,CI!A$2:C$400,3,FALSE)</f>
        <v>P1</v>
      </c>
    </row>
    <row r="304" spans="1:13" ht="18" x14ac:dyDescent="0.25">
      <c r="A304" s="65" t="s">
        <v>278</v>
      </c>
      <c r="B304" s="66">
        <v>4114708</v>
      </c>
      <c r="C304" s="43">
        <v>0</v>
      </c>
      <c r="D304" s="42">
        <v>0</v>
      </c>
      <c r="E304" s="44">
        <v>691</v>
      </c>
      <c r="F304" s="44">
        <v>5865</v>
      </c>
      <c r="G304" s="44">
        <v>0.11781756180733163</v>
      </c>
      <c r="H304" s="42">
        <v>68.477328680354717</v>
      </c>
      <c r="I304" s="67">
        <v>10.74</v>
      </c>
      <c r="J304" s="44">
        <v>57.556270096463024</v>
      </c>
      <c r="K304" s="41">
        <f t="shared" si="8"/>
        <v>42.011199592272582</v>
      </c>
      <c r="L304" s="130">
        <f t="shared" si="9"/>
        <v>24.506945137817766</v>
      </c>
      <c r="M304" s="1" t="str">
        <f>VLOOKUP(A304,CI!A$2:C$400,3,FALSE)</f>
        <v>P1</v>
      </c>
    </row>
    <row r="305" spans="1:13" ht="18" x14ac:dyDescent="0.25">
      <c r="A305" s="65" t="s">
        <v>289</v>
      </c>
      <c r="B305" s="66">
        <v>4126405</v>
      </c>
      <c r="C305" s="43">
        <v>0</v>
      </c>
      <c r="D305" s="42">
        <v>0</v>
      </c>
      <c r="E305" s="44">
        <v>658</v>
      </c>
      <c r="F305" s="44">
        <v>5616</v>
      </c>
      <c r="G305" s="44">
        <v>0.11716524216524217</v>
      </c>
      <c r="H305" s="42">
        <v>68.098190750059914</v>
      </c>
      <c r="I305" s="67">
        <v>9.26</v>
      </c>
      <c r="J305" s="44">
        <v>49.624866023579848</v>
      </c>
      <c r="K305" s="41">
        <f t="shared" si="8"/>
        <v>39.241018924546587</v>
      </c>
      <c r="L305" s="130">
        <f t="shared" si="9"/>
        <v>19.318708958737421</v>
      </c>
      <c r="M305" s="1" t="str">
        <f>VLOOKUP(A305,CI!A$2:C$400,3,FALSE)</f>
        <v>P1</v>
      </c>
    </row>
    <row r="306" spans="1:13" ht="18" x14ac:dyDescent="0.25">
      <c r="A306" s="65" t="s">
        <v>273</v>
      </c>
      <c r="B306" s="66">
        <v>4125407</v>
      </c>
      <c r="C306" s="43">
        <v>30.77</v>
      </c>
      <c r="D306" s="42">
        <v>55.381569474442038</v>
      </c>
      <c r="E306" s="44">
        <v>749</v>
      </c>
      <c r="F306" s="44">
        <v>6040</v>
      </c>
      <c r="G306" s="44">
        <v>0.12400662251655629</v>
      </c>
      <c r="H306" s="42">
        <v>72.074503311258283</v>
      </c>
      <c r="I306" s="67">
        <v>10.93</v>
      </c>
      <c r="J306" s="44">
        <v>58.574490889603425</v>
      </c>
      <c r="K306" s="41">
        <f t="shared" si="8"/>
        <v>62.010187891767913</v>
      </c>
      <c r="L306" s="130">
        <f t="shared" si="9"/>
        <v>61.962796248648388</v>
      </c>
      <c r="M306" s="1" t="str">
        <f>VLOOKUP(A306,CI!A$2:C$400,3,FALSE)</f>
        <v>P1</v>
      </c>
    </row>
    <row r="307" spans="1:13" ht="18" x14ac:dyDescent="0.25">
      <c r="A307" s="65" t="s">
        <v>341</v>
      </c>
      <c r="B307" s="66">
        <v>4103156</v>
      </c>
      <c r="C307" s="43">
        <v>0</v>
      </c>
      <c r="D307" s="42">
        <v>0</v>
      </c>
      <c r="E307" s="44">
        <v>546</v>
      </c>
      <c r="F307" s="44">
        <v>3980</v>
      </c>
      <c r="G307" s="44">
        <v>0.13718592964824119</v>
      </c>
      <c r="H307" s="42">
        <v>79.734513689945047</v>
      </c>
      <c r="I307" s="67">
        <v>10.3</v>
      </c>
      <c r="J307" s="44">
        <v>55.198285101822087</v>
      </c>
      <c r="K307" s="41">
        <f t="shared" si="8"/>
        <v>44.977599597255711</v>
      </c>
      <c r="L307" s="130">
        <f t="shared" si="9"/>
        <v>30.062678020796607</v>
      </c>
      <c r="M307" s="1" t="str">
        <f>VLOOKUP(A307,CI!A$2:C$400,3,FALSE)</f>
        <v>P1</v>
      </c>
    </row>
    <row r="308" spans="1:13" ht="18" x14ac:dyDescent="0.25">
      <c r="A308" s="65" t="s">
        <v>312</v>
      </c>
      <c r="B308" s="66">
        <v>4107801</v>
      </c>
      <c r="C308" s="43">
        <v>0</v>
      </c>
      <c r="D308" s="42">
        <v>0</v>
      </c>
      <c r="E308" s="44">
        <v>530</v>
      </c>
      <c r="F308" s="44">
        <v>4792</v>
      </c>
      <c r="G308" s="44">
        <v>0.11060100166944908</v>
      </c>
      <c r="H308" s="42">
        <v>64.282956017037748</v>
      </c>
      <c r="I308" s="67">
        <v>9.39</v>
      </c>
      <c r="J308" s="44">
        <v>50.321543408360135</v>
      </c>
      <c r="K308" s="41">
        <f t="shared" si="8"/>
        <v>38.201499808465961</v>
      </c>
      <c r="L308" s="130">
        <f t="shared" si="9"/>
        <v>17.371806812704328</v>
      </c>
      <c r="M308" s="1" t="str">
        <f>VLOOKUP(A308,CI!A$2:C$400,3,FALSE)</f>
        <v>P1</v>
      </c>
    </row>
    <row r="309" spans="1:13" ht="18" x14ac:dyDescent="0.25">
      <c r="A309" s="65" t="s">
        <v>298</v>
      </c>
      <c r="B309" s="66">
        <v>4122909</v>
      </c>
      <c r="C309" s="43">
        <v>0</v>
      </c>
      <c r="D309" s="42">
        <v>0</v>
      </c>
      <c r="E309" s="44">
        <v>633</v>
      </c>
      <c r="F309" s="44">
        <v>5192</v>
      </c>
      <c r="G309" s="44">
        <v>0.12191833590138675</v>
      </c>
      <c r="H309" s="42">
        <v>70.860759903805999</v>
      </c>
      <c r="I309" s="67">
        <v>9.44</v>
      </c>
      <c r="J309" s="44">
        <v>50.58949624866024</v>
      </c>
      <c r="K309" s="41">
        <f t="shared" si="8"/>
        <v>40.483418717488746</v>
      </c>
      <c r="L309" s="130">
        <f t="shared" si="9"/>
        <v>21.645583746985714</v>
      </c>
      <c r="M309" s="1" t="str">
        <f>VLOOKUP(A309,CI!A$2:C$400,3,FALSE)</f>
        <v>P1</v>
      </c>
    </row>
    <row r="310" spans="1:13" ht="18" x14ac:dyDescent="0.25">
      <c r="A310" s="65" t="s">
        <v>277</v>
      </c>
      <c r="B310" s="66">
        <v>4112207</v>
      </c>
      <c r="C310" s="43">
        <v>0</v>
      </c>
      <c r="D310" s="42">
        <v>0</v>
      </c>
      <c r="E310" s="44">
        <v>667</v>
      </c>
      <c r="F310" s="44">
        <v>5870</v>
      </c>
      <c r="G310" s="44">
        <v>0.11362862010221465</v>
      </c>
      <c r="H310" s="42">
        <v>66.04265312296009</v>
      </c>
      <c r="I310" s="67">
        <v>11.07</v>
      </c>
      <c r="J310" s="44">
        <v>59.324758842443728</v>
      </c>
      <c r="K310" s="41">
        <f t="shared" si="8"/>
        <v>41.78913732180127</v>
      </c>
      <c r="L310" s="130">
        <f t="shared" si="9"/>
        <v>24.091047532621594</v>
      </c>
      <c r="M310" s="1" t="str">
        <f>VLOOKUP(A310,CI!A$2:C$400,3,FALSE)</f>
        <v>P1</v>
      </c>
    </row>
    <row r="311" spans="1:13" ht="18" x14ac:dyDescent="0.25">
      <c r="A311" s="65" t="s">
        <v>330</v>
      </c>
      <c r="B311" s="66">
        <v>4120408</v>
      </c>
      <c r="C311" s="43">
        <v>39.22</v>
      </c>
      <c r="D311" s="42">
        <v>70.590352771778257</v>
      </c>
      <c r="E311" s="44">
        <v>523</v>
      </c>
      <c r="F311" s="44">
        <v>4336</v>
      </c>
      <c r="G311" s="44">
        <v>0.12061808118081181</v>
      </c>
      <c r="H311" s="42">
        <v>70.105032417146603</v>
      </c>
      <c r="I311" s="67">
        <v>8.5299999999999994</v>
      </c>
      <c r="J311" s="44">
        <v>45.712754555198281</v>
      </c>
      <c r="K311" s="41">
        <f t="shared" si="8"/>
        <v>62.13604658137438</v>
      </c>
      <c r="L311" s="130">
        <f t="shared" si="9"/>
        <v>62.198515389452268</v>
      </c>
      <c r="M311" s="1" t="str">
        <f>VLOOKUP(A311,CI!A$2:C$400,3,FALSE)</f>
        <v>P1</v>
      </c>
    </row>
    <row r="312" spans="1:13" ht="18" x14ac:dyDescent="0.25">
      <c r="A312" s="65" t="s">
        <v>349</v>
      </c>
      <c r="B312" s="66">
        <v>4113403</v>
      </c>
      <c r="C312" s="43">
        <v>46.51</v>
      </c>
      <c r="D312" s="42">
        <v>83.711303095752328</v>
      </c>
      <c r="E312" s="44">
        <v>463</v>
      </c>
      <c r="F312" s="44">
        <v>3752</v>
      </c>
      <c r="G312" s="44">
        <v>0.12340085287846482</v>
      </c>
      <c r="H312" s="42">
        <v>71.722420939361939</v>
      </c>
      <c r="I312" s="67">
        <v>10.130000000000001</v>
      </c>
      <c r="J312" s="44">
        <v>54.287245444801727</v>
      </c>
      <c r="K312" s="41">
        <f t="shared" si="8"/>
        <v>69.906989826638664</v>
      </c>
      <c r="L312" s="130">
        <f t="shared" si="9"/>
        <v>76.752616268279183</v>
      </c>
      <c r="M312" s="1" t="str">
        <f>VLOOKUP(A312,CI!A$2:C$400,3,FALSE)</f>
        <v>P1</v>
      </c>
    </row>
    <row r="313" spans="1:13" ht="18" x14ac:dyDescent="0.25">
      <c r="A313" s="65" t="s">
        <v>311</v>
      </c>
      <c r="B313" s="66">
        <v>4107546</v>
      </c>
      <c r="C313" s="43">
        <v>0</v>
      </c>
      <c r="D313" s="42">
        <v>0</v>
      </c>
      <c r="E313" s="44">
        <v>734</v>
      </c>
      <c r="F313" s="44">
        <v>4797</v>
      </c>
      <c r="G313" s="44">
        <v>0.15301229935376276</v>
      </c>
      <c r="H313" s="42">
        <v>88.933036418789783</v>
      </c>
      <c r="I313" s="67">
        <v>11.88</v>
      </c>
      <c r="J313" s="44">
        <v>63.665594855305471</v>
      </c>
      <c r="K313" s="41">
        <f t="shared" si="8"/>
        <v>50.866210424698416</v>
      </c>
      <c r="L313" s="130">
        <f t="shared" si="9"/>
        <v>41.091382428203296</v>
      </c>
      <c r="M313" s="1" t="str">
        <f>VLOOKUP(A313,CI!A$2:C$400,3,FALSE)</f>
        <v>P1</v>
      </c>
    </row>
    <row r="314" spans="1:13" ht="18" x14ac:dyDescent="0.25">
      <c r="A314" s="65" t="s">
        <v>336</v>
      </c>
      <c r="B314" s="66">
        <v>4122800</v>
      </c>
      <c r="C314" s="43">
        <v>0</v>
      </c>
      <c r="D314" s="42">
        <v>0</v>
      </c>
      <c r="E314" s="44">
        <v>505</v>
      </c>
      <c r="F314" s="44">
        <v>4075</v>
      </c>
      <c r="G314" s="44">
        <v>0.12392638036809817</v>
      </c>
      <c r="H314" s="42">
        <v>72.027865374691828</v>
      </c>
      <c r="I314" s="67">
        <v>13.01</v>
      </c>
      <c r="J314" s="44">
        <v>69.721329046087888</v>
      </c>
      <c r="K314" s="41">
        <f t="shared" si="8"/>
        <v>47.249731473593236</v>
      </c>
      <c r="L314" s="130">
        <f t="shared" si="9"/>
        <v>34.318124945900216</v>
      </c>
      <c r="M314" s="1" t="str">
        <f>VLOOKUP(A314,CI!A$2:C$400,3,FALSE)</f>
        <v>P1</v>
      </c>
    </row>
    <row r="315" spans="1:13" ht="18" x14ac:dyDescent="0.25">
      <c r="A315" s="65" t="s">
        <v>320</v>
      </c>
      <c r="B315" s="66">
        <v>4103008</v>
      </c>
      <c r="C315" s="43">
        <v>0</v>
      </c>
      <c r="D315" s="42">
        <v>0</v>
      </c>
      <c r="E315" s="44">
        <v>530</v>
      </c>
      <c r="F315" s="44">
        <v>4558</v>
      </c>
      <c r="G315" s="44">
        <v>0.11627906976744186</v>
      </c>
      <c r="H315" s="42">
        <v>67.58313410128234</v>
      </c>
      <c r="I315" s="67">
        <v>9.2100000000000009</v>
      </c>
      <c r="J315" s="44">
        <v>49.356913183279751</v>
      </c>
      <c r="K315" s="41">
        <f t="shared" si="8"/>
        <v>38.980015761520697</v>
      </c>
      <c r="L315" s="130">
        <f t="shared" si="9"/>
        <v>18.829879450596739</v>
      </c>
      <c r="M315" s="1" t="str">
        <f>VLOOKUP(A315,CI!A$2:C$400,3,FALSE)</f>
        <v>P1</v>
      </c>
    </row>
    <row r="316" spans="1:13" ht="18" x14ac:dyDescent="0.25">
      <c r="A316" s="65" t="s">
        <v>297</v>
      </c>
      <c r="B316" s="66">
        <v>4126108</v>
      </c>
      <c r="C316" s="43">
        <v>0</v>
      </c>
      <c r="D316" s="42">
        <v>0</v>
      </c>
      <c r="E316" s="44">
        <v>693</v>
      </c>
      <c r="F316" s="44">
        <v>5232</v>
      </c>
      <c r="G316" s="44">
        <v>0.13245412844036697</v>
      </c>
      <c r="H316" s="42">
        <v>76.984320072022641</v>
      </c>
      <c r="I316" s="67">
        <v>10.51</v>
      </c>
      <c r="J316" s="44">
        <v>56.323687031082528</v>
      </c>
      <c r="K316" s="41">
        <f t="shared" si="8"/>
        <v>44.436002367701725</v>
      </c>
      <c r="L316" s="130">
        <f t="shared" si="9"/>
        <v>29.048327450236776</v>
      </c>
      <c r="M316" s="1" t="str">
        <f>VLOOKUP(A316,CI!A$2:C$400,3,FALSE)</f>
        <v>P1</v>
      </c>
    </row>
    <row r="317" spans="1:13" ht="18" x14ac:dyDescent="0.25">
      <c r="A317" s="65" t="s">
        <v>317</v>
      </c>
      <c r="B317" s="66">
        <v>4113601</v>
      </c>
      <c r="C317" s="43">
        <v>20.83</v>
      </c>
      <c r="D317" s="42">
        <v>37.491000719942406</v>
      </c>
      <c r="E317" s="44">
        <v>563</v>
      </c>
      <c r="F317" s="44">
        <v>4601</v>
      </c>
      <c r="G317" s="44">
        <v>0.12236470332536405</v>
      </c>
      <c r="H317" s="42">
        <v>71.120195325274679</v>
      </c>
      <c r="I317" s="67">
        <v>8.48</v>
      </c>
      <c r="J317" s="44">
        <v>45.444801714898183</v>
      </c>
      <c r="K317" s="41">
        <f t="shared" si="8"/>
        <v>51.351999253371758</v>
      </c>
      <c r="L317" s="130">
        <f t="shared" si="9"/>
        <v>42.001210153766436</v>
      </c>
      <c r="M317" s="1" t="str">
        <f>VLOOKUP(A317,CI!A$2:C$400,3,FALSE)</f>
        <v>P1</v>
      </c>
    </row>
    <row r="318" spans="1:13" ht="18" x14ac:dyDescent="0.25">
      <c r="A318" s="65" t="s">
        <v>282</v>
      </c>
      <c r="B318" s="66">
        <v>4126900</v>
      </c>
      <c r="C318" s="43">
        <v>0</v>
      </c>
      <c r="D318" s="42">
        <v>0</v>
      </c>
      <c r="E318" s="44">
        <v>690</v>
      </c>
      <c r="F318" s="44">
        <v>5745</v>
      </c>
      <c r="G318" s="44">
        <v>0.12010443864229765</v>
      </c>
      <c r="H318" s="42">
        <v>69.806495693126095</v>
      </c>
      <c r="I318" s="67">
        <v>11.31</v>
      </c>
      <c r="J318" s="44">
        <v>60.610932475884248</v>
      </c>
      <c r="K318" s="41">
        <f t="shared" si="8"/>
        <v>43.472476056336781</v>
      </c>
      <c r="L318" s="130">
        <f t="shared" si="9"/>
        <v>27.243751262712134</v>
      </c>
      <c r="M318" s="1" t="str">
        <f>VLOOKUP(A318,CI!A$2:C$400,3,FALSE)</f>
        <v>P1</v>
      </c>
    </row>
    <row r="319" spans="1:13" ht="18" x14ac:dyDescent="0.25">
      <c r="A319" s="65" t="s">
        <v>325</v>
      </c>
      <c r="B319" s="66">
        <v>4110904</v>
      </c>
      <c r="C319" s="43">
        <v>0</v>
      </c>
      <c r="D319" s="42">
        <v>0</v>
      </c>
      <c r="E319" s="44">
        <v>632</v>
      </c>
      <c r="F319" s="44">
        <v>4481</v>
      </c>
      <c r="G319" s="44">
        <v>0.14103994644052667</v>
      </c>
      <c r="H319" s="42">
        <v>81.974525879779009</v>
      </c>
      <c r="I319" s="67">
        <v>12.72</v>
      </c>
      <c r="J319" s="44">
        <v>68.167202572347279</v>
      </c>
      <c r="K319" s="41">
        <f t="shared" si="8"/>
        <v>50.047242817375434</v>
      </c>
      <c r="L319" s="130">
        <f t="shared" si="9"/>
        <v>39.557548400946189</v>
      </c>
      <c r="M319" s="1" t="str">
        <f>VLOOKUP(A319,CI!A$2:C$400,3,FALSE)</f>
        <v>P1</v>
      </c>
    </row>
    <row r="320" spans="1:13" ht="18" x14ac:dyDescent="0.25">
      <c r="A320" s="65" t="s">
        <v>351</v>
      </c>
      <c r="B320" s="66">
        <v>4103370</v>
      </c>
      <c r="C320" s="43">
        <v>23.81</v>
      </c>
      <c r="D320" s="42">
        <v>42.854571634269256</v>
      </c>
      <c r="E320" s="44">
        <v>470</v>
      </c>
      <c r="F320" s="44">
        <v>3708</v>
      </c>
      <c r="G320" s="44">
        <v>0.12675296655879181</v>
      </c>
      <c r="H320" s="42">
        <v>73.670719535432369</v>
      </c>
      <c r="I320" s="67">
        <v>11.6</v>
      </c>
      <c r="J320" s="44">
        <v>62.165058949624864</v>
      </c>
      <c r="K320" s="41">
        <f t="shared" si="8"/>
        <v>59.563450039775496</v>
      </c>
      <c r="L320" s="130">
        <f t="shared" si="9"/>
        <v>57.380332010006164</v>
      </c>
      <c r="M320" s="1" t="str">
        <f>VLOOKUP(A320,CI!A$2:C$400,3,FALSE)</f>
        <v>P1</v>
      </c>
    </row>
    <row r="321" spans="1:13" ht="18" x14ac:dyDescent="0.25">
      <c r="A321" s="65" t="s">
        <v>295</v>
      </c>
      <c r="B321" s="66">
        <v>4111704</v>
      </c>
      <c r="C321" s="43">
        <v>0</v>
      </c>
      <c r="D321" s="42">
        <v>0</v>
      </c>
      <c r="E321" s="44">
        <v>723</v>
      </c>
      <c r="F321" s="44">
        <v>5427</v>
      </c>
      <c r="G321" s="44">
        <v>0.13322277501381979</v>
      </c>
      <c r="H321" s="42">
        <v>77.431068954293963</v>
      </c>
      <c r="I321" s="67">
        <v>14</v>
      </c>
      <c r="J321" s="44">
        <v>75.026795284030015</v>
      </c>
      <c r="K321" s="41">
        <f t="shared" si="8"/>
        <v>50.819288079441321</v>
      </c>
      <c r="L321" s="130">
        <f t="shared" si="9"/>
        <v>41.003502163891874</v>
      </c>
      <c r="M321" s="1" t="str">
        <f>VLOOKUP(A321,CI!A$2:C$400,3,FALSE)</f>
        <v>P1</v>
      </c>
    </row>
    <row r="322" spans="1:13" ht="18" x14ac:dyDescent="0.25">
      <c r="A322" s="65" t="s">
        <v>291</v>
      </c>
      <c r="B322" s="66">
        <v>4116950</v>
      </c>
      <c r="C322" s="43">
        <v>27.03</v>
      </c>
      <c r="D322" s="42">
        <v>48.650107991360692</v>
      </c>
      <c r="E322" s="44">
        <v>754</v>
      </c>
      <c r="F322" s="44">
        <v>5597</v>
      </c>
      <c r="G322" s="44">
        <v>0.13471502590673576</v>
      </c>
      <c r="H322" s="42">
        <v>78.29838748728875</v>
      </c>
      <c r="I322" s="67">
        <v>14.29</v>
      </c>
      <c r="J322" s="44">
        <v>76.580921757770625</v>
      </c>
      <c r="K322" s="41">
        <f t="shared" ref="K322:K385" si="10">(D322+H322+J322)/3</f>
        <v>67.843139078806686</v>
      </c>
      <c r="L322" s="130">
        <f t="shared" si="9"/>
        <v>72.887256422665303</v>
      </c>
      <c r="M322" s="1" t="str">
        <f>VLOOKUP(A322,CI!A$2:C$400,3,FALSE)</f>
        <v>P1</v>
      </c>
    </row>
    <row r="323" spans="1:13" ht="18" x14ac:dyDescent="0.25">
      <c r="A323" s="65" t="s">
        <v>307</v>
      </c>
      <c r="B323" s="66">
        <v>4126702</v>
      </c>
      <c r="C323" s="43">
        <v>0</v>
      </c>
      <c r="D323" s="42">
        <v>0</v>
      </c>
      <c r="E323" s="44">
        <v>615</v>
      </c>
      <c r="F323" s="44">
        <v>4880</v>
      </c>
      <c r="G323" s="44">
        <v>0.12602459016393441</v>
      </c>
      <c r="H323" s="42">
        <v>73.247376283131601</v>
      </c>
      <c r="I323" s="67">
        <v>11.07</v>
      </c>
      <c r="J323" s="44">
        <v>59.324758842443728</v>
      </c>
      <c r="K323" s="41">
        <f t="shared" si="10"/>
        <v>44.190711708525107</v>
      </c>
      <c r="L323" s="130">
        <f t="shared" ref="L323:L386" si="11">(K323-K$401)/(K$402-K$401)*100</f>
        <v>28.588925690937344</v>
      </c>
      <c r="M323" s="1" t="str">
        <f>VLOOKUP(A323,CI!A$2:C$400,3,FALSE)</f>
        <v>P1</v>
      </c>
    </row>
    <row r="324" spans="1:13" ht="18" x14ac:dyDescent="0.25">
      <c r="A324" s="65" t="s">
        <v>327</v>
      </c>
      <c r="B324" s="66">
        <v>4103479</v>
      </c>
      <c r="C324" s="43">
        <v>15.38</v>
      </c>
      <c r="D324" s="42">
        <v>27.681785457163429</v>
      </c>
      <c r="E324" s="44">
        <v>523</v>
      </c>
      <c r="F324" s="44">
        <v>4473</v>
      </c>
      <c r="G324" s="44">
        <v>0.11692376481108875</v>
      </c>
      <c r="H324" s="42">
        <v>67.957840500949629</v>
      </c>
      <c r="I324" s="67">
        <v>11.18</v>
      </c>
      <c r="J324" s="44">
        <v>59.914255091103961</v>
      </c>
      <c r="K324" s="41">
        <f t="shared" si="10"/>
        <v>51.851293683072335</v>
      </c>
      <c r="L324" s="130">
        <f t="shared" si="11"/>
        <v>42.936332347912817</v>
      </c>
      <c r="M324" s="1" t="str">
        <f>VLOOKUP(A324,CI!A$2:C$400,3,FALSE)</f>
        <v>P1</v>
      </c>
    </row>
    <row r="325" spans="1:13" ht="18" x14ac:dyDescent="0.25">
      <c r="A325" s="65" t="s">
        <v>301</v>
      </c>
      <c r="B325" s="66">
        <v>4107108</v>
      </c>
      <c r="C325" s="43">
        <v>0</v>
      </c>
      <c r="D325" s="42">
        <v>0</v>
      </c>
      <c r="E325" s="44">
        <v>591</v>
      </c>
      <c r="F325" s="44">
        <v>5142</v>
      </c>
      <c r="G325" s="44">
        <v>0.11493582263710618</v>
      </c>
      <c r="H325" s="42">
        <v>66.802418783192834</v>
      </c>
      <c r="I325" s="67">
        <v>8.17</v>
      </c>
      <c r="J325" s="44">
        <v>43.783494105037512</v>
      </c>
      <c r="K325" s="41">
        <f t="shared" si="10"/>
        <v>36.861970962743449</v>
      </c>
      <c r="L325" s="130">
        <f t="shared" si="11"/>
        <v>14.863020255470765</v>
      </c>
      <c r="M325" s="1" t="str">
        <f>VLOOKUP(A325,CI!A$2:C$400,3,FALSE)</f>
        <v>P1</v>
      </c>
    </row>
    <row r="326" spans="1:13" ht="18" x14ac:dyDescent="0.25">
      <c r="A326" s="65" t="s">
        <v>305</v>
      </c>
      <c r="B326" s="66">
        <v>4109658</v>
      </c>
      <c r="C326" s="43">
        <v>13.7</v>
      </c>
      <c r="D326" s="42">
        <v>24.658027357811374</v>
      </c>
      <c r="E326" s="44">
        <v>692</v>
      </c>
      <c r="F326" s="44">
        <v>4941</v>
      </c>
      <c r="G326" s="44">
        <v>0.14005262092693788</v>
      </c>
      <c r="H326" s="42">
        <v>81.400677527535208</v>
      </c>
      <c r="I326" s="67">
        <v>12.75</v>
      </c>
      <c r="J326" s="44">
        <v>68.327974276527328</v>
      </c>
      <c r="K326" s="41">
        <f t="shared" si="10"/>
        <v>58.128893053957974</v>
      </c>
      <c r="L326" s="130">
        <f t="shared" si="11"/>
        <v>54.69356845646486</v>
      </c>
      <c r="M326" s="1" t="str">
        <f>VLOOKUP(A326,CI!A$2:C$400,3,FALSE)</f>
        <v>P1</v>
      </c>
    </row>
    <row r="327" spans="1:13" ht="18" x14ac:dyDescent="0.25">
      <c r="A327" s="65" t="s">
        <v>343</v>
      </c>
      <c r="B327" s="66">
        <v>4116307</v>
      </c>
      <c r="C327" s="43">
        <v>0</v>
      </c>
      <c r="D327" s="42">
        <v>0</v>
      </c>
      <c r="E327" s="44">
        <v>479</v>
      </c>
      <c r="F327" s="44">
        <v>3951</v>
      </c>
      <c r="G327" s="44">
        <v>0.12123513034674765</v>
      </c>
      <c r="H327" s="42">
        <v>70.463670619291946</v>
      </c>
      <c r="I327" s="67">
        <v>11.64</v>
      </c>
      <c r="J327" s="44">
        <v>62.379421221864952</v>
      </c>
      <c r="K327" s="41">
        <f t="shared" si="10"/>
        <v>44.281030613718968</v>
      </c>
      <c r="L327" s="130">
        <f t="shared" si="11"/>
        <v>28.758082821026765</v>
      </c>
      <c r="M327" s="1" t="str">
        <f>VLOOKUP(A327,CI!A$2:C$400,3,FALSE)</f>
        <v>P1</v>
      </c>
    </row>
    <row r="328" spans="1:13" ht="18" x14ac:dyDescent="0.25">
      <c r="A328" s="65" t="s">
        <v>334</v>
      </c>
      <c r="B328" s="66">
        <v>4106571</v>
      </c>
      <c r="C328" s="43">
        <v>23.26</v>
      </c>
      <c r="D328" s="42">
        <v>41.864650827933765</v>
      </c>
      <c r="E328" s="44">
        <v>561</v>
      </c>
      <c r="F328" s="44">
        <v>4133</v>
      </c>
      <c r="G328" s="44">
        <v>0.13573675296394871</v>
      </c>
      <c r="H328" s="42">
        <v>78.892230531102541</v>
      </c>
      <c r="I328" s="67">
        <v>8.4700000000000006</v>
      </c>
      <c r="J328" s="44">
        <v>45.39121114683816</v>
      </c>
      <c r="K328" s="41">
        <f t="shared" si="10"/>
        <v>55.382697501958148</v>
      </c>
      <c r="L328" s="130">
        <f t="shared" si="11"/>
        <v>49.55025369591138</v>
      </c>
      <c r="M328" s="1" t="str">
        <f>VLOOKUP(A328,CI!A$2:C$400,3,FALSE)</f>
        <v>P1</v>
      </c>
    </row>
    <row r="329" spans="1:13" ht="18" x14ac:dyDescent="0.25">
      <c r="A329" s="65" t="s">
        <v>371</v>
      </c>
      <c r="B329" s="66">
        <v>4120200</v>
      </c>
      <c r="C329" s="43">
        <v>29.41</v>
      </c>
      <c r="D329" s="42">
        <v>52.933765298776095</v>
      </c>
      <c r="E329" s="44">
        <v>427</v>
      </c>
      <c r="F329" s="44">
        <v>3182</v>
      </c>
      <c r="G329" s="44">
        <v>0.13419233186675047</v>
      </c>
      <c r="H329" s="42">
        <v>77.994589895263672</v>
      </c>
      <c r="I329" s="67">
        <v>8.8000000000000007</v>
      </c>
      <c r="J329" s="44">
        <v>47.159699892818871</v>
      </c>
      <c r="K329" s="41">
        <f t="shared" si="10"/>
        <v>59.362685028952882</v>
      </c>
      <c r="L329" s="130">
        <f t="shared" si="11"/>
        <v>57.004321771836977</v>
      </c>
      <c r="M329" s="1" t="str">
        <f>VLOOKUP(A329,CI!A$2:C$400,3,FALSE)</f>
        <v>P1</v>
      </c>
    </row>
    <row r="330" spans="1:13" ht="18" x14ac:dyDescent="0.25">
      <c r="A330" s="65" t="s">
        <v>361</v>
      </c>
      <c r="B330" s="66">
        <v>4123105</v>
      </c>
      <c r="C330" s="43">
        <v>26.32</v>
      </c>
      <c r="D330" s="42">
        <v>47.372210223182144</v>
      </c>
      <c r="E330" s="44">
        <v>453</v>
      </c>
      <c r="F330" s="44">
        <v>3394</v>
      </c>
      <c r="G330" s="44">
        <v>0.13347083087802003</v>
      </c>
      <c r="H330" s="42">
        <v>77.575242731813717</v>
      </c>
      <c r="I330" s="67">
        <v>11.49</v>
      </c>
      <c r="J330" s="44">
        <v>61.575562700964625</v>
      </c>
      <c r="K330" s="41">
        <f t="shared" si="10"/>
        <v>62.174338551986828</v>
      </c>
      <c r="L330" s="130">
        <f t="shared" si="11"/>
        <v>62.270231934735534</v>
      </c>
      <c r="M330" s="1" t="str">
        <f>VLOOKUP(A330,CI!A$2:C$400,3,FALSE)</f>
        <v>P1</v>
      </c>
    </row>
    <row r="331" spans="1:13" ht="18" x14ac:dyDescent="0.25">
      <c r="A331" s="65" t="s">
        <v>367</v>
      </c>
      <c r="B331" s="66">
        <v>4101150</v>
      </c>
      <c r="C331" s="43">
        <v>0</v>
      </c>
      <c r="D331" s="42">
        <v>0</v>
      </c>
      <c r="E331" s="44">
        <v>441</v>
      </c>
      <c r="F331" s="44">
        <v>3235</v>
      </c>
      <c r="G331" s="44">
        <v>0.13632148377125194</v>
      </c>
      <c r="H331" s="42">
        <v>79.232084819945413</v>
      </c>
      <c r="I331" s="67">
        <v>13.6</v>
      </c>
      <c r="J331" s="44">
        <v>72.883172561629152</v>
      </c>
      <c r="K331" s="41">
        <f t="shared" si="10"/>
        <v>50.705085793858188</v>
      </c>
      <c r="L331" s="130">
        <f t="shared" si="11"/>
        <v>40.789614154095581</v>
      </c>
      <c r="M331" s="1" t="str">
        <f>VLOOKUP(A331,CI!A$2:C$400,3,FALSE)</f>
        <v>P1</v>
      </c>
    </row>
    <row r="332" spans="1:13" ht="18" x14ac:dyDescent="0.25">
      <c r="A332" s="65" t="s">
        <v>342</v>
      </c>
      <c r="B332" s="66">
        <v>4125456</v>
      </c>
      <c r="C332" s="43">
        <v>17.86</v>
      </c>
      <c r="D332" s="42">
        <v>32.145428365730737</v>
      </c>
      <c r="E332" s="44">
        <v>563</v>
      </c>
      <c r="F332" s="44">
        <v>3957</v>
      </c>
      <c r="G332" s="44">
        <v>0.14227950467525904</v>
      </c>
      <c r="H332" s="42">
        <v>82.694975661255711</v>
      </c>
      <c r="I332" s="67">
        <v>13.65</v>
      </c>
      <c r="J332" s="44">
        <v>73.151125401929264</v>
      </c>
      <c r="K332" s="41">
        <f t="shared" si="10"/>
        <v>62.663843142971906</v>
      </c>
      <c r="L332" s="130">
        <f t="shared" si="11"/>
        <v>63.187018864325751</v>
      </c>
      <c r="M332" s="1" t="str">
        <f>VLOOKUP(A332,CI!A$2:C$400,3,FALSE)</f>
        <v>P1</v>
      </c>
    </row>
    <row r="333" spans="1:13" ht="18" x14ac:dyDescent="0.25">
      <c r="A333" s="65" t="s">
        <v>300</v>
      </c>
      <c r="B333" s="66">
        <v>4125308</v>
      </c>
      <c r="C333" s="43">
        <v>0</v>
      </c>
      <c r="D333" s="42">
        <v>0</v>
      </c>
      <c r="E333" s="44">
        <v>580</v>
      </c>
      <c r="F333" s="44">
        <v>5168</v>
      </c>
      <c r="G333" s="44">
        <v>0.11222910216718267</v>
      </c>
      <c r="H333" s="42">
        <v>65.229232371748509</v>
      </c>
      <c r="I333" s="67">
        <v>8.1300000000000008</v>
      </c>
      <c r="J333" s="44">
        <v>43.569131832797432</v>
      </c>
      <c r="K333" s="41">
        <f t="shared" si="10"/>
        <v>36.266121401515313</v>
      </c>
      <c r="L333" s="130">
        <f t="shared" si="11"/>
        <v>13.747061182162144</v>
      </c>
      <c r="M333" s="1" t="str">
        <f>VLOOKUP(A333,CI!A$2:C$400,3,FALSE)</f>
        <v>P1</v>
      </c>
    </row>
    <row r="334" spans="1:13" ht="18" x14ac:dyDescent="0.25">
      <c r="A334" s="65" t="s">
        <v>321</v>
      </c>
      <c r="B334" s="66">
        <v>4107157</v>
      </c>
      <c r="C334" s="43">
        <v>40.82</v>
      </c>
      <c r="D334" s="42">
        <v>73.470122390208786</v>
      </c>
      <c r="E334" s="44">
        <v>686</v>
      </c>
      <c r="F334" s="44">
        <v>4557</v>
      </c>
      <c r="G334" s="44">
        <v>0.15053763440860216</v>
      </c>
      <c r="H334" s="42">
        <v>87.49472414832681</v>
      </c>
      <c r="I334" s="67">
        <v>12.07</v>
      </c>
      <c r="J334" s="44">
        <v>64.683815648445872</v>
      </c>
      <c r="K334" s="41">
        <f t="shared" si="10"/>
        <v>75.216220728993832</v>
      </c>
      <c r="L334" s="130">
        <f t="shared" si="11"/>
        <v>86.696207374668006</v>
      </c>
      <c r="M334" s="1" t="str">
        <f>VLOOKUP(A334,CI!A$2:C$400,3,FALSE)</f>
        <v>P1</v>
      </c>
    </row>
    <row r="335" spans="1:13" ht="18" x14ac:dyDescent="0.25">
      <c r="A335" s="65" t="s">
        <v>302</v>
      </c>
      <c r="B335" s="66">
        <v>4126355</v>
      </c>
      <c r="C335" s="43">
        <v>21.74</v>
      </c>
      <c r="D335" s="42">
        <v>39.128869690424764</v>
      </c>
      <c r="E335" s="44">
        <v>607</v>
      </c>
      <c r="F335" s="44">
        <v>5007</v>
      </c>
      <c r="G335" s="44">
        <v>0.12123027761134411</v>
      </c>
      <c r="H335" s="42">
        <v>70.460850136911134</v>
      </c>
      <c r="I335" s="67">
        <v>13.38</v>
      </c>
      <c r="J335" s="44">
        <v>71.704180064308687</v>
      </c>
      <c r="K335" s="41">
        <f t="shared" si="10"/>
        <v>60.431299963881521</v>
      </c>
      <c r="L335" s="130">
        <f t="shared" si="11"/>
        <v>59.005717107345376</v>
      </c>
      <c r="M335" s="1" t="str">
        <f>VLOOKUP(A335,CI!A$2:C$400,3,FALSE)</f>
        <v>P1</v>
      </c>
    </row>
    <row r="336" spans="1:13" ht="18" x14ac:dyDescent="0.25">
      <c r="A336" s="65" t="s">
        <v>366</v>
      </c>
      <c r="B336" s="66">
        <v>4115739</v>
      </c>
      <c r="C336" s="43">
        <v>54.05</v>
      </c>
      <c r="D336" s="42">
        <v>97.28221742260618</v>
      </c>
      <c r="E336" s="44">
        <v>394</v>
      </c>
      <c r="F336" s="44">
        <v>3267</v>
      </c>
      <c r="G336" s="44">
        <v>0.12059993878175697</v>
      </c>
      <c r="H336" s="42">
        <v>70.094487783527725</v>
      </c>
      <c r="I336" s="67">
        <v>8.8800000000000008</v>
      </c>
      <c r="J336" s="44">
        <v>47.588424437299039</v>
      </c>
      <c r="K336" s="41">
        <f t="shared" si="10"/>
        <v>71.655043214477658</v>
      </c>
      <c r="L336" s="130">
        <f t="shared" si="11"/>
        <v>80.026523250380492</v>
      </c>
      <c r="M336" s="1" t="str">
        <f>VLOOKUP(A336,CI!A$2:C$400,3,FALSE)</f>
        <v>P1</v>
      </c>
    </row>
    <row r="337" spans="1:13" ht="18" x14ac:dyDescent="0.25">
      <c r="A337" s="65" t="s">
        <v>308</v>
      </c>
      <c r="B337" s="66">
        <v>4113759</v>
      </c>
      <c r="C337" s="43">
        <v>0</v>
      </c>
      <c r="D337" s="42">
        <v>0</v>
      </c>
      <c r="E337" s="44">
        <v>573</v>
      </c>
      <c r="F337" s="44">
        <v>4872</v>
      </c>
      <c r="G337" s="44">
        <v>0.11761083743842364</v>
      </c>
      <c r="H337" s="42">
        <v>68.357177385939877</v>
      </c>
      <c r="I337" s="67">
        <v>9.0299999999999994</v>
      </c>
      <c r="J337" s="44">
        <v>48.392282958199353</v>
      </c>
      <c r="K337" s="41">
        <f t="shared" si="10"/>
        <v>38.916486781379746</v>
      </c>
      <c r="L337" s="130">
        <f t="shared" si="11"/>
        <v>18.710896830788791</v>
      </c>
      <c r="M337" s="1" t="str">
        <f>VLOOKUP(A337,CI!A$2:C$400,3,FALSE)</f>
        <v>P1</v>
      </c>
    </row>
    <row r="338" spans="1:13" ht="18" x14ac:dyDescent="0.25">
      <c r="A338" s="65" t="s">
        <v>386</v>
      </c>
      <c r="B338" s="66">
        <v>4108106</v>
      </c>
      <c r="C338" s="43">
        <v>0</v>
      </c>
      <c r="D338" s="42">
        <v>0</v>
      </c>
      <c r="E338" s="44">
        <v>342</v>
      </c>
      <c r="F338" s="44">
        <v>2652</v>
      </c>
      <c r="G338" s="44">
        <v>0.12895927601809956</v>
      </c>
      <c r="H338" s="42">
        <v>74.953059584725352</v>
      </c>
      <c r="I338" s="67">
        <v>13.95</v>
      </c>
      <c r="J338" s="44">
        <v>74.758842443729904</v>
      </c>
      <c r="K338" s="41">
        <f t="shared" si="10"/>
        <v>49.903967342818419</v>
      </c>
      <c r="L338" s="130">
        <f t="shared" si="11"/>
        <v>39.28920958487835</v>
      </c>
      <c r="M338" s="1" t="str">
        <f>VLOOKUP(A338,CI!A$2:C$400,3,FALSE)</f>
        <v>P1</v>
      </c>
    </row>
    <row r="339" spans="1:13" ht="18" x14ac:dyDescent="0.25">
      <c r="A339" s="65" t="s">
        <v>263</v>
      </c>
      <c r="B339" s="66">
        <v>4118709</v>
      </c>
      <c r="C339" s="43">
        <v>15.15</v>
      </c>
      <c r="D339" s="42">
        <v>27.267818574514042</v>
      </c>
      <c r="E339" s="44">
        <v>747</v>
      </c>
      <c r="F339" s="44">
        <v>6343</v>
      </c>
      <c r="G339" s="44">
        <v>0.11776761784644491</v>
      </c>
      <c r="H339" s="42">
        <v>68.448300503461766</v>
      </c>
      <c r="I339" s="67">
        <v>13.24</v>
      </c>
      <c r="J339" s="44">
        <v>70.953912111468384</v>
      </c>
      <c r="K339" s="41">
        <f t="shared" si="10"/>
        <v>55.556677063148065</v>
      </c>
      <c r="L339" s="130">
        <f t="shared" si="11"/>
        <v>49.87609780575675</v>
      </c>
      <c r="M339" s="1" t="str">
        <f>VLOOKUP(A339,CI!A$2:C$400,3,FALSE)</f>
        <v>P1</v>
      </c>
    </row>
    <row r="340" spans="1:13" ht="18" x14ac:dyDescent="0.25">
      <c r="A340" s="65" t="s">
        <v>314</v>
      </c>
      <c r="B340" s="66">
        <v>4109203</v>
      </c>
      <c r="C340" s="43">
        <v>0</v>
      </c>
      <c r="D340" s="42">
        <v>0</v>
      </c>
      <c r="E340" s="44">
        <v>568</v>
      </c>
      <c r="F340" s="44">
        <v>4748</v>
      </c>
      <c r="G340" s="44">
        <v>0.11962931760741365</v>
      </c>
      <c r="H340" s="42">
        <v>69.530348243037892</v>
      </c>
      <c r="I340" s="67">
        <v>11.58</v>
      </c>
      <c r="J340" s="44">
        <v>62.057877813504824</v>
      </c>
      <c r="K340" s="41">
        <f t="shared" si="10"/>
        <v>43.86274201884757</v>
      </c>
      <c r="L340" s="130">
        <f t="shared" si="11"/>
        <v>27.974675425800825</v>
      </c>
      <c r="M340" s="1" t="str">
        <f>VLOOKUP(A340,CI!A$2:C$400,3,FALSE)</f>
        <v>P1</v>
      </c>
    </row>
    <row r="341" spans="1:13" ht="18" x14ac:dyDescent="0.25">
      <c r="A341" s="65" t="s">
        <v>362</v>
      </c>
      <c r="B341" s="66">
        <v>4123204</v>
      </c>
      <c r="C341" s="43">
        <v>29.41</v>
      </c>
      <c r="D341" s="42">
        <v>52.933765298776095</v>
      </c>
      <c r="E341" s="44">
        <v>424</v>
      </c>
      <c r="F341" s="44">
        <v>3365</v>
      </c>
      <c r="G341" s="44">
        <v>0.12600297176820208</v>
      </c>
      <c r="H341" s="42">
        <v>73.234811348266234</v>
      </c>
      <c r="I341" s="67">
        <v>15.75</v>
      </c>
      <c r="J341" s="44">
        <v>84.40514469453376</v>
      </c>
      <c r="K341" s="41">
        <f t="shared" si="10"/>
        <v>70.19124044719203</v>
      </c>
      <c r="L341" s="130">
        <f t="shared" si="11"/>
        <v>77.28498564427791</v>
      </c>
      <c r="M341" s="1" t="str">
        <f>VLOOKUP(A341,CI!A$2:C$400,3,FALSE)</f>
        <v>P1</v>
      </c>
    </row>
    <row r="342" spans="1:13" ht="18" x14ac:dyDescent="0.25">
      <c r="A342" s="65" t="s">
        <v>329</v>
      </c>
      <c r="B342" s="66">
        <v>4107850</v>
      </c>
      <c r="C342" s="43">
        <v>13.33</v>
      </c>
      <c r="D342" s="42">
        <v>23.992080633549314</v>
      </c>
      <c r="E342" s="44">
        <v>570</v>
      </c>
      <c r="F342" s="44">
        <v>4364</v>
      </c>
      <c r="G342" s="44">
        <v>0.1306141154903758</v>
      </c>
      <c r="H342" s="42">
        <v>75.914877031275438</v>
      </c>
      <c r="I342" s="67">
        <v>15.35</v>
      </c>
      <c r="J342" s="44">
        <v>82.261521972132897</v>
      </c>
      <c r="K342" s="41">
        <f t="shared" si="10"/>
        <v>60.722826545652545</v>
      </c>
      <c r="L342" s="130">
        <f t="shared" si="11"/>
        <v>59.551713538671876</v>
      </c>
      <c r="M342" s="1" t="str">
        <f>VLOOKUP(A342,CI!A$2:C$400,3,FALSE)</f>
        <v>P1</v>
      </c>
    </row>
    <row r="343" spans="1:13" ht="18" x14ac:dyDescent="0.25">
      <c r="A343" s="65" t="s">
        <v>348</v>
      </c>
      <c r="B343" s="66">
        <v>4106555</v>
      </c>
      <c r="C343" s="43">
        <v>0</v>
      </c>
      <c r="D343" s="42">
        <v>0</v>
      </c>
      <c r="E343" s="44">
        <v>460</v>
      </c>
      <c r="F343" s="44">
        <v>3760</v>
      </c>
      <c r="G343" s="44">
        <v>0.12234042553191489</v>
      </c>
      <c r="H343" s="42">
        <v>71.106084708689593</v>
      </c>
      <c r="I343" s="67">
        <v>10.37</v>
      </c>
      <c r="J343" s="44">
        <v>55.573419078242225</v>
      </c>
      <c r="K343" s="41">
        <f t="shared" si="10"/>
        <v>42.226501262310606</v>
      </c>
      <c r="L343" s="130">
        <f t="shared" si="11"/>
        <v>24.910180900351861</v>
      </c>
      <c r="M343" s="1" t="str">
        <f>VLOOKUP(A343,CI!A$2:C$400,3,FALSE)</f>
        <v>P1</v>
      </c>
    </row>
    <row r="344" spans="1:13" ht="18" x14ac:dyDescent="0.25">
      <c r="A344" s="65" t="s">
        <v>244</v>
      </c>
      <c r="B344" s="66">
        <v>4101309</v>
      </c>
      <c r="C344" s="43">
        <v>13.33</v>
      </c>
      <c r="D344" s="42">
        <v>23.992080633549314</v>
      </c>
      <c r="E344" s="44">
        <v>883</v>
      </c>
      <c r="F344" s="44">
        <v>7018</v>
      </c>
      <c r="G344" s="44">
        <v>0.12581932174408664</v>
      </c>
      <c r="H344" s="42">
        <v>73.128071208081764</v>
      </c>
      <c r="I344" s="67">
        <v>7.55</v>
      </c>
      <c r="J344" s="44">
        <v>40.460878885316184</v>
      </c>
      <c r="K344" s="41">
        <f t="shared" si="10"/>
        <v>45.86034357564909</v>
      </c>
      <c r="L344" s="130">
        <f t="shared" si="11"/>
        <v>31.715958003190469</v>
      </c>
      <c r="M344" s="1" t="str">
        <f>VLOOKUP(A344,CI!A$2:C$400,3,FALSE)</f>
        <v>P1</v>
      </c>
    </row>
    <row r="345" spans="1:13" ht="18" x14ac:dyDescent="0.25">
      <c r="A345" s="65" t="s">
        <v>363</v>
      </c>
      <c r="B345" s="66">
        <v>4123956</v>
      </c>
      <c r="C345" s="43">
        <v>25.64</v>
      </c>
      <c r="D345" s="42">
        <v>46.148308135349168</v>
      </c>
      <c r="E345" s="44">
        <v>493</v>
      </c>
      <c r="F345" s="44">
        <v>3356</v>
      </c>
      <c r="G345" s="44">
        <v>0.1469010727056019</v>
      </c>
      <c r="H345" s="42">
        <v>85.381100108050305</v>
      </c>
      <c r="I345" s="67">
        <v>10.43</v>
      </c>
      <c r="J345" s="44">
        <v>55.894962486602353</v>
      </c>
      <c r="K345" s="41">
        <f t="shared" si="10"/>
        <v>62.474790243333949</v>
      </c>
      <c r="L345" s="130">
        <f t="shared" si="11"/>
        <v>62.832944090398868</v>
      </c>
      <c r="M345" s="1" t="str">
        <f>VLOOKUP(A345,CI!A$2:C$400,3,FALSE)</f>
        <v>P1</v>
      </c>
    </row>
    <row r="346" spans="1:13" ht="18" x14ac:dyDescent="0.25">
      <c r="A346" s="65" t="s">
        <v>375</v>
      </c>
      <c r="B346" s="66">
        <v>4128625</v>
      </c>
      <c r="C346" s="43">
        <v>30.3</v>
      </c>
      <c r="D346" s="42">
        <v>54.535637149028084</v>
      </c>
      <c r="E346" s="44">
        <v>436</v>
      </c>
      <c r="F346" s="44">
        <v>3055</v>
      </c>
      <c r="G346" s="44">
        <v>0.14271685761047465</v>
      </c>
      <c r="H346" s="42">
        <v>82.949171727059991</v>
      </c>
      <c r="I346" s="67">
        <v>18.66</v>
      </c>
      <c r="J346" s="44">
        <v>100</v>
      </c>
      <c r="K346" s="41">
        <f t="shared" si="10"/>
        <v>79.161602958696022</v>
      </c>
      <c r="L346" s="130">
        <f t="shared" si="11"/>
        <v>94.085463628934193</v>
      </c>
      <c r="M346" s="1" t="str">
        <f>VLOOKUP(A346,CI!A$2:C$400,3,FALSE)</f>
        <v>P1</v>
      </c>
    </row>
    <row r="347" spans="1:13" ht="18" x14ac:dyDescent="0.25">
      <c r="A347" s="65" t="s">
        <v>322</v>
      </c>
      <c r="B347" s="66">
        <v>4115457</v>
      </c>
      <c r="C347" s="43">
        <v>0</v>
      </c>
      <c r="D347" s="42">
        <v>0</v>
      </c>
      <c r="E347" s="44">
        <v>649</v>
      </c>
      <c r="F347" s="44">
        <v>4504</v>
      </c>
      <c r="G347" s="44">
        <v>0.14409413854351688</v>
      </c>
      <c r="H347" s="42">
        <v>83.749668000199208</v>
      </c>
      <c r="I347" s="67">
        <v>11.55</v>
      </c>
      <c r="J347" s="44">
        <v>61.89710610932476</v>
      </c>
      <c r="K347" s="41">
        <f t="shared" si="10"/>
        <v>48.548924703174656</v>
      </c>
      <c r="L347" s="130">
        <f t="shared" si="11"/>
        <v>36.75136744010323</v>
      </c>
      <c r="M347" s="1" t="str">
        <f>VLOOKUP(A347,CI!A$2:C$400,3,FALSE)</f>
        <v>P1</v>
      </c>
    </row>
    <row r="348" spans="1:13" ht="18" x14ac:dyDescent="0.25">
      <c r="A348" s="65" t="s">
        <v>274</v>
      </c>
      <c r="B348" s="66">
        <v>4107405</v>
      </c>
      <c r="C348" s="43">
        <v>0</v>
      </c>
      <c r="D348" s="42">
        <v>0</v>
      </c>
      <c r="E348" s="44">
        <v>782</v>
      </c>
      <c r="F348" s="44">
        <v>5999</v>
      </c>
      <c r="G348" s="44">
        <v>0.13035505917652943</v>
      </c>
      <c r="H348" s="42">
        <v>75.764309627928654</v>
      </c>
      <c r="I348" s="67">
        <v>14.67</v>
      </c>
      <c r="J348" s="44">
        <v>78.617363344051455</v>
      </c>
      <c r="K348" s="41">
        <f t="shared" si="10"/>
        <v>51.460557657326696</v>
      </c>
      <c r="L348" s="130">
        <f t="shared" si="11"/>
        <v>42.204527809363448</v>
      </c>
      <c r="M348" s="1" t="str">
        <f>VLOOKUP(A348,CI!A$2:C$400,3,FALSE)</f>
        <v>P1</v>
      </c>
    </row>
    <row r="349" spans="1:13" ht="18" x14ac:dyDescent="0.25">
      <c r="A349" s="65" t="s">
        <v>352</v>
      </c>
      <c r="B349" s="66">
        <v>4116406</v>
      </c>
      <c r="C349" s="43">
        <v>0</v>
      </c>
      <c r="D349" s="42">
        <v>0</v>
      </c>
      <c r="E349" s="44">
        <v>472</v>
      </c>
      <c r="F349" s="44">
        <v>3669</v>
      </c>
      <c r="G349" s="44">
        <v>0.12864540746797493</v>
      </c>
      <c r="H349" s="42">
        <v>74.770634490031412</v>
      </c>
      <c r="I349" s="67">
        <v>15.26</v>
      </c>
      <c r="J349" s="44">
        <v>81.779206859592719</v>
      </c>
      <c r="K349" s="41">
        <f t="shared" si="10"/>
        <v>52.183280449874708</v>
      </c>
      <c r="L349" s="130">
        <f t="shared" si="11"/>
        <v>43.558106145761855</v>
      </c>
      <c r="M349" s="1" t="str">
        <f>VLOOKUP(A349,CI!A$2:C$400,3,FALSE)</f>
        <v>P1</v>
      </c>
    </row>
    <row r="350" spans="1:13" ht="18" x14ac:dyDescent="0.25">
      <c r="A350" s="65" t="s">
        <v>368</v>
      </c>
      <c r="B350" s="66">
        <v>4103222</v>
      </c>
      <c r="C350" s="43">
        <v>0</v>
      </c>
      <c r="D350" s="42">
        <v>0</v>
      </c>
      <c r="E350" s="44">
        <v>412</v>
      </c>
      <c r="F350" s="44">
        <v>3202</v>
      </c>
      <c r="G350" s="44">
        <v>0.12866958151155528</v>
      </c>
      <c r="H350" s="42">
        <v>74.784684805641348</v>
      </c>
      <c r="I350" s="67">
        <v>12.49</v>
      </c>
      <c r="J350" s="44">
        <v>66.934619506966769</v>
      </c>
      <c r="K350" s="41">
        <f t="shared" si="10"/>
        <v>47.23976810420271</v>
      </c>
      <c r="L350" s="130">
        <f t="shared" si="11"/>
        <v>34.299464677947405</v>
      </c>
      <c r="M350" s="1" t="str">
        <f>VLOOKUP(A350,CI!A$2:C$400,3,FALSE)</f>
        <v>P1</v>
      </c>
    </row>
    <row r="351" spans="1:13" ht="18" x14ac:dyDescent="0.25">
      <c r="A351" s="65" t="s">
        <v>395</v>
      </c>
      <c r="B351" s="66">
        <v>4115903</v>
      </c>
      <c r="C351" s="43">
        <v>0</v>
      </c>
      <c r="D351" s="42">
        <v>0</v>
      </c>
      <c r="E351" s="44">
        <v>320</v>
      </c>
      <c r="F351" s="44">
        <v>2238</v>
      </c>
      <c r="G351" s="44">
        <v>0.14298480786416443</v>
      </c>
      <c r="H351" s="42">
        <v>83.104908421237255</v>
      </c>
      <c r="I351" s="67">
        <v>12.96</v>
      </c>
      <c r="J351" s="44">
        <v>69.453376205787791</v>
      </c>
      <c r="K351" s="41">
        <f t="shared" si="10"/>
        <v>50.852761542341682</v>
      </c>
      <c r="L351" s="130">
        <f t="shared" si="11"/>
        <v>41.066194187297448</v>
      </c>
      <c r="M351" s="1" t="str">
        <f>VLOOKUP(A351,CI!A$2:C$400,3,FALSE)</f>
        <v>P1</v>
      </c>
    </row>
    <row r="352" spans="1:13" ht="18" x14ac:dyDescent="0.25">
      <c r="A352" s="65" t="s">
        <v>340</v>
      </c>
      <c r="B352" s="66">
        <v>4102208</v>
      </c>
      <c r="C352" s="43">
        <v>0</v>
      </c>
      <c r="D352" s="42">
        <v>0</v>
      </c>
      <c r="E352" s="44">
        <v>421</v>
      </c>
      <c r="F352" s="44">
        <v>3980</v>
      </c>
      <c r="G352" s="44">
        <v>0.10577889447236181</v>
      </c>
      <c r="H352" s="42">
        <v>61.480275207814785</v>
      </c>
      <c r="I352" s="67">
        <v>8.5399999999999991</v>
      </c>
      <c r="J352" s="44">
        <v>45.766345123258304</v>
      </c>
      <c r="K352" s="41">
        <f t="shared" si="10"/>
        <v>35.748873443691032</v>
      </c>
      <c r="L352" s="130">
        <f t="shared" si="11"/>
        <v>12.778314053281809</v>
      </c>
      <c r="M352" s="1" t="str">
        <f>VLOOKUP(A352,CI!A$2:C$400,3,FALSE)</f>
        <v>P1</v>
      </c>
    </row>
    <row r="353" spans="1:13" ht="18" x14ac:dyDescent="0.25">
      <c r="A353" s="65" t="s">
        <v>345</v>
      </c>
      <c r="B353" s="66">
        <v>4103958</v>
      </c>
      <c r="C353" s="43">
        <v>0</v>
      </c>
      <c r="D353" s="42">
        <v>0</v>
      </c>
      <c r="E353" s="44">
        <v>557</v>
      </c>
      <c r="F353" s="44">
        <v>3936</v>
      </c>
      <c r="G353" s="44">
        <v>0.14151422764227642</v>
      </c>
      <c r="H353" s="42">
        <v>82.25018520629132</v>
      </c>
      <c r="I353" s="67">
        <v>17.78</v>
      </c>
      <c r="J353" s="44">
        <v>95.284030010718126</v>
      </c>
      <c r="K353" s="41">
        <f t="shared" si="10"/>
        <v>59.178071739003144</v>
      </c>
      <c r="L353" s="130">
        <f t="shared" si="11"/>
        <v>56.658561886492556</v>
      </c>
      <c r="M353" s="1" t="str">
        <f>VLOOKUP(A353,CI!A$2:C$400,3,FALSE)</f>
        <v>P1</v>
      </c>
    </row>
    <row r="354" spans="1:13" ht="18" x14ac:dyDescent="0.25">
      <c r="A354" s="65" t="s">
        <v>365</v>
      </c>
      <c r="B354" s="66">
        <v>4116604</v>
      </c>
      <c r="C354" s="43">
        <v>0</v>
      </c>
      <c r="D354" s="42">
        <v>0</v>
      </c>
      <c r="E354" s="44">
        <v>402</v>
      </c>
      <c r="F354" s="44">
        <v>3280</v>
      </c>
      <c r="G354" s="44">
        <v>0.1225609756097561</v>
      </c>
      <c r="H354" s="42">
        <v>71.234271711876005</v>
      </c>
      <c r="I354" s="67">
        <v>13.41</v>
      </c>
      <c r="J354" s="44">
        <v>71.864951768488751</v>
      </c>
      <c r="K354" s="41">
        <f t="shared" si="10"/>
        <v>47.699741160121583</v>
      </c>
      <c r="L354" s="130">
        <f t="shared" si="11"/>
        <v>35.160942370692787</v>
      </c>
      <c r="M354" s="1" t="str">
        <f>VLOOKUP(A354,CI!A$2:C$400,3,FALSE)</f>
        <v>P1</v>
      </c>
    </row>
    <row r="355" spans="1:13" ht="18" x14ac:dyDescent="0.25">
      <c r="A355" s="65" t="s">
        <v>379</v>
      </c>
      <c r="B355" s="66">
        <v>4101051</v>
      </c>
      <c r="C355" s="43">
        <v>0</v>
      </c>
      <c r="D355" s="42">
        <v>0</v>
      </c>
      <c r="E355" s="44">
        <v>366</v>
      </c>
      <c r="F355" s="44">
        <v>2918</v>
      </c>
      <c r="G355" s="44">
        <v>0.12542837559972583</v>
      </c>
      <c r="H355" s="42">
        <v>72.900847463055612</v>
      </c>
      <c r="I355" s="67">
        <v>11.31</v>
      </c>
      <c r="J355" s="44">
        <v>60.610932475884248</v>
      </c>
      <c r="K355" s="41">
        <f t="shared" si="10"/>
        <v>44.503926646313289</v>
      </c>
      <c r="L355" s="130">
        <f t="shared" si="11"/>
        <v>29.175541968710672</v>
      </c>
      <c r="M355" s="1" t="str">
        <f>VLOOKUP(A355,CI!A$2:C$400,3,FALSE)</f>
        <v>P1</v>
      </c>
    </row>
    <row r="356" spans="1:13" ht="18" x14ac:dyDescent="0.25">
      <c r="A356" s="65" t="s">
        <v>346</v>
      </c>
      <c r="B356" s="66">
        <v>4128658</v>
      </c>
      <c r="C356" s="43">
        <v>19.23</v>
      </c>
      <c r="D356" s="42">
        <v>34.611231101511883</v>
      </c>
      <c r="E356" s="44">
        <v>521</v>
      </c>
      <c r="F356" s="44">
        <v>3811</v>
      </c>
      <c r="G356" s="44">
        <v>0.13670952505903963</v>
      </c>
      <c r="H356" s="42">
        <v>79.457620218894164</v>
      </c>
      <c r="I356" s="67">
        <v>14.17</v>
      </c>
      <c r="J356" s="44">
        <v>75.937834941050369</v>
      </c>
      <c r="K356" s="41">
        <f t="shared" si="10"/>
        <v>63.335562087152141</v>
      </c>
      <c r="L356" s="130">
        <f t="shared" si="11"/>
        <v>64.445072741089831</v>
      </c>
      <c r="M356" s="1" t="str">
        <f>VLOOKUP(A356,CI!A$2:C$400,3,FALSE)</f>
        <v>P1</v>
      </c>
    </row>
    <row r="357" spans="1:13" ht="18" x14ac:dyDescent="0.25">
      <c r="A357" s="65" t="s">
        <v>359</v>
      </c>
      <c r="B357" s="66">
        <v>4106100</v>
      </c>
      <c r="C357" s="43">
        <v>0</v>
      </c>
      <c r="D357" s="42">
        <v>0</v>
      </c>
      <c r="E357" s="44">
        <v>450</v>
      </c>
      <c r="F357" s="44">
        <v>3461</v>
      </c>
      <c r="G357" s="44">
        <v>0.13002022536839064</v>
      </c>
      <c r="H357" s="42">
        <v>75.569699211777703</v>
      </c>
      <c r="I357" s="67">
        <v>13</v>
      </c>
      <c r="J357" s="44">
        <v>69.667738478027857</v>
      </c>
      <c r="K357" s="41">
        <f t="shared" si="10"/>
        <v>48.412479229935194</v>
      </c>
      <c r="L357" s="130">
        <f t="shared" si="11"/>
        <v>36.495820446731919</v>
      </c>
      <c r="M357" s="1" t="str">
        <f>VLOOKUP(A357,CI!A$2:C$400,3,FALSE)</f>
        <v>P1</v>
      </c>
    </row>
    <row r="358" spans="1:13" ht="18" x14ac:dyDescent="0.25">
      <c r="A358" s="65" t="s">
        <v>347</v>
      </c>
      <c r="B358" s="66">
        <v>4122172</v>
      </c>
      <c r="C358" s="43">
        <v>0</v>
      </c>
      <c r="D358" s="42">
        <v>0</v>
      </c>
      <c r="E358" s="44">
        <v>587</v>
      </c>
      <c r="F358" s="44">
        <v>3808</v>
      </c>
      <c r="G358" s="44">
        <v>0.15414915966386555</v>
      </c>
      <c r="H358" s="42">
        <v>89.593796630801876</v>
      </c>
      <c r="I358" s="67">
        <v>12.08</v>
      </c>
      <c r="J358" s="44">
        <v>64.737406216505903</v>
      </c>
      <c r="K358" s="41">
        <f t="shared" si="10"/>
        <v>51.443734282435933</v>
      </c>
      <c r="L358" s="130">
        <f t="shared" si="11"/>
        <v>42.173019524261548</v>
      </c>
      <c r="M358" s="1" t="str">
        <f>VLOOKUP(A358,CI!A$2:C$400,3,FALSE)</f>
        <v>P1</v>
      </c>
    </row>
    <row r="359" spans="1:13" ht="18" x14ac:dyDescent="0.25">
      <c r="A359" s="65" t="s">
        <v>389</v>
      </c>
      <c r="B359" s="66">
        <v>4110300</v>
      </c>
      <c r="C359" s="43">
        <v>0</v>
      </c>
      <c r="D359" s="42">
        <v>0</v>
      </c>
      <c r="E359" s="44">
        <v>334</v>
      </c>
      <c r="F359" s="44">
        <v>2536</v>
      </c>
      <c r="G359" s="44">
        <v>0.13170347003154576</v>
      </c>
      <c r="H359" s="42">
        <v>76.548026180017118</v>
      </c>
      <c r="I359" s="67">
        <v>12.22</v>
      </c>
      <c r="J359" s="44">
        <v>65.487674169346207</v>
      </c>
      <c r="K359" s="41">
        <f t="shared" si="10"/>
        <v>47.34523344978777</v>
      </c>
      <c r="L359" s="130">
        <f t="shared" si="11"/>
        <v>34.496989383818956</v>
      </c>
      <c r="M359" s="1" t="str">
        <f>VLOOKUP(A359,CI!A$2:C$400,3,FALSE)</f>
        <v>P1</v>
      </c>
    </row>
    <row r="360" spans="1:13" ht="18" x14ac:dyDescent="0.25">
      <c r="A360" s="65" t="s">
        <v>357</v>
      </c>
      <c r="B360" s="66">
        <v>4101655</v>
      </c>
      <c r="C360" s="43">
        <v>0</v>
      </c>
      <c r="D360" s="42">
        <v>0</v>
      </c>
      <c r="E360" s="44">
        <v>433</v>
      </c>
      <c r="F360" s="44">
        <v>3527</v>
      </c>
      <c r="G360" s="44">
        <v>0.12276722426991778</v>
      </c>
      <c r="H360" s="42">
        <v>71.35414651725408</v>
      </c>
      <c r="I360" s="67">
        <v>13.33</v>
      </c>
      <c r="J360" s="44">
        <v>71.436227224008576</v>
      </c>
      <c r="K360" s="41">
        <f t="shared" si="10"/>
        <v>47.596791247087559</v>
      </c>
      <c r="L360" s="130">
        <f t="shared" si="11"/>
        <v>34.968128786488997</v>
      </c>
      <c r="M360" s="1" t="str">
        <f>VLOOKUP(A360,CI!A$2:C$400,3,FALSE)</f>
        <v>P1</v>
      </c>
    </row>
    <row r="361" spans="1:13" ht="18" x14ac:dyDescent="0.25">
      <c r="A361" s="65" t="s">
        <v>356</v>
      </c>
      <c r="B361" s="66">
        <v>4120309</v>
      </c>
      <c r="C361" s="43">
        <v>0</v>
      </c>
      <c r="D361" s="42">
        <v>0</v>
      </c>
      <c r="E361" s="44">
        <v>497</v>
      </c>
      <c r="F361" s="44">
        <v>3562</v>
      </c>
      <c r="G361" s="44">
        <v>0.13952835485682202</v>
      </c>
      <c r="H361" s="42">
        <v>81.09596624809123</v>
      </c>
      <c r="I361" s="67">
        <v>14.32</v>
      </c>
      <c r="J361" s="44">
        <v>76.741693461950703</v>
      </c>
      <c r="K361" s="41">
        <f t="shared" si="10"/>
        <v>52.61255323668064</v>
      </c>
      <c r="L361" s="130">
        <f t="shared" si="11"/>
        <v>44.362085694514327</v>
      </c>
      <c r="M361" s="1" t="str">
        <f>VLOOKUP(A361,CI!A$2:C$400,3,FALSE)</f>
        <v>P1</v>
      </c>
    </row>
    <row r="362" spans="1:13" ht="18" x14ac:dyDescent="0.25">
      <c r="A362" s="65" t="s">
        <v>364</v>
      </c>
      <c r="B362" s="66">
        <v>4112900</v>
      </c>
      <c r="C362" s="43">
        <v>23.26</v>
      </c>
      <c r="D362" s="42">
        <v>41.864650827933765</v>
      </c>
      <c r="E362" s="44">
        <v>413</v>
      </c>
      <c r="F362" s="44">
        <v>3333</v>
      </c>
      <c r="G362" s="44">
        <v>0.12391239123912391</v>
      </c>
      <c r="H362" s="42">
        <v>72.019734683748766</v>
      </c>
      <c r="I362" s="67">
        <v>10.199999999999999</v>
      </c>
      <c r="J362" s="44">
        <v>54.662379421221864</v>
      </c>
      <c r="K362" s="41">
        <f t="shared" si="10"/>
        <v>56.182254977634791</v>
      </c>
      <c r="L362" s="130">
        <f t="shared" si="11"/>
        <v>51.04773473420228</v>
      </c>
      <c r="M362" s="1" t="str">
        <f>VLOOKUP(A362,CI!A$2:C$400,3,FALSE)</f>
        <v>P1</v>
      </c>
    </row>
    <row r="363" spans="1:13" ht="18" x14ac:dyDescent="0.25">
      <c r="A363" s="65" t="s">
        <v>353</v>
      </c>
      <c r="B363" s="66">
        <v>4123824</v>
      </c>
      <c r="C363" s="43">
        <v>0</v>
      </c>
      <c r="D363" s="42">
        <v>0</v>
      </c>
      <c r="E363" s="44">
        <v>475</v>
      </c>
      <c r="F363" s="44">
        <v>3644</v>
      </c>
      <c r="G363" s="44">
        <v>0.13035126234906697</v>
      </c>
      <c r="H363" s="42">
        <v>75.762102855032481</v>
      </c>
      <c r="I363" s="67">
        <v>15.64</v>
      </c>
      <c r="J363" s="44">
        <v>83.815648445873521</v>
      </c>
      <c r="K363" s="41">
        <f t="shared" si="10"/>
        <v>53.192583766968674</v>
      </c>
      <c r="L363" s="130">
        <f t="shared" si="11"/>
        <v>45.448417505746654</v>
      </c>
      <c r="M363" s="1" t="str">
        <f>VLOOKUP(A363,CI!A$2:C$400,3,FALSE)</f>
        <v>P1</v>
      </c>
    </row>
    <row r="364" spans="1:13" ht="18" x14ac:dyDescent="0.25">
      <c r="A364" s="65" t="s">
        <v>370</v>
      </c>
      <c r="B364" s="66">
        <v>4117404</v>
      </c>
      <c r="C364" s="43">
        <v>0</v>
      </c>
      <c r="D364" s="42">
        <v>0</v>
      </c>
      <c r="E364" s="44">
        <v>388</v>
      </c>
      <c r="F364" s="44">
        <v>3187</v>
      </c>
      <c r="G364" s="44">
        <v>0.12174458738625667</v>
      </c>
      <c r="H364" s="42">
        <v>70.75977466870377</v>
      </c>
      <c r="I364" s="67">
        <v>11.92</v>
      </c>
      <c r="J364" s="44">
        <v>63.879957127545552</v>
      </c>
      <c r="K364" s="41">
        <f t="shared" si="10"/>
        <v>44.879910598749774</v>
      </c>
      <c r="L364" s="130">
        <f t="shared" si="11"/>
        <v>29.879717536575669</v>
      </c>
      <c r="M364" s="1" t="str">
        <f>VLOOKUP(A364,CI!A$2:C$400,3,FALSE)</f>
        <v>P1</v>
      </c>
    </row>
    <row r="365" spans="1:13" ht="18" x14ac:dyDescent="0.25">
      <c r="A365" s="65" t="s">
        <v>354</v>
      </c>
      <c r="B365" s="66">
        <v>4100459</v>
      </c>
      <c r="C365" s="43">
        <v>19.23</v>
      </c>
      <c r="D365" s="42">
        <v>34.611231101511883</v>
      </c>
      <c r="E365" s="44">
        <v>467</v>
      </c>
      <c r="F365" s="44">
        <v>3590</v>
      </c>
      <c r="G365" s="44">
        <v>0.13008356545961003</v>
      </c>
      <c r="H365" s="42">
        <v>75.606513419935965</v>
      </c>
      <c r="I365" s="67">
        <v>11.98</v>
      </c>
      <c r="J365" s="44">
        <v>64.20150053590568</v>
      </c>
      <c r="K365" s="41">
        <f t="shared" si="10"/>
        <v>58.139748352451171</v>
      </c>
      <c r="L365" s="130">
        <f t="shared" si="11"/>
        <v>54.713899207102635</v>
      </c>
      <c r="M365" s="1" t="str">
        <f>VLOOKUP(A365,CI!A$2:C$400,3,FALSE)</f>
        <v>P1</v>
      </c>
    </row>
    <row r="366" spans="1:13" ht="18" x14ac:dyDescent="0.25">
      <c r="A366" s="65" t="s">
        <v>376</v>
      </c>
      <c r="B366" s="66">
        <v>4119657</v>
      </c>
      <c r="C366" s="43">
        <v>0</v>
      </c>
      <c r="D366" s="42">
        <v>0</v>
      </c>
      <c r="E366" s="44">
        <v>405</v>
      </c>
      <c r="F366" s="44">
        <v>3046</v>
      </c>
      <c r="G366" s="44">
        <v>0.1329612606697308</v>
      </c>
      <c r="H366" s="42">
        <v>77.279072907014566</v>
      </c>
      <c r="I366" s="67">
        <v>9.52</v>
      </c>
      <c r="J366" s="44">
        <v>51.018220793140401</v>
      </c>
      <c r="K366" s="41">
        <f t="shared" si="10"/>
        <v>42.765764566718325</v>
      </c>
      <c r="L366" s="130">
        <f t="shared" si="11"/>
        <v>25.920160292156382</v>
      </c>
      <c r="M366" s="1" t="str">
        <f>VLOOKUP(A366,CI!A$2:C$400,3,FALSE)</f>
        <v>P1</v>
      </c>
    </row>
    <row r="367" spans="1:13" ht="18" x14ac:dyDescent="0.25">
      <c r="A367" s="65" t="s">
        <v>358</v>
      </c>
      <c r="B367" s="66">
        <v>4121307</v>
      </c>
      <c r="C367" s="43">
        <v>0</v>
      </c>
      <c r="D367" s="42">
        <v>0</v>
      </c>
      <c r="E367" s="44">
        <v>366</v>
      </c>
      <c r="F367" s="44">
        <v>3512</v>
      </c>
      <c r="G367" s="49">
        <v>0.10421412300683372</v>
      </c>
      <c r="H367" s="42">
        <v>60.570806633598032</v>
      </c>
      <c r="I367" s="67">
        <v>11.39</v>
      </c>
      <c r="J367" s="44">
        <v>61.039657020364423</v>
      </c>
      <c r="K367" s="41">
        <f t="shared" si="10"/>
        <v>40.536821217987487</v>
      </c>
      <c r="L367" s="130">
        <f t="shared" si="11"/>
        <v>21.745600611722686</v>
      </c>
      <c r="M367" s="1" t="str">
        <f>VLOOKUP(A367,CI!A$2:C$400,3,FALSE)</f>
        <v>P1</v>
      </c>
    </row>
    <row r="368" spans="1:13" ht="18" x14ac:dyDescent="0.25">
      <c r="A368" s="65" t="s">
        <v>344</v>
      </c>
      <c r="B368" s="66">
        <v>4113429</v>
      </c>
      <c r="C368" s="43">
        <v>0</v>
      </c>
      <c r="D368" s="42">
        <v>0</v>
      </c>
      <c r="E368" s="44">
        <v>486</v>
      </c>
      <c r="F368" s="44">
        <v>3938</v>
      </c>
      <c r="G368" s="44">
        <v>0.1234128999492128</v>
      </c>
      <c r="H368" s="42">
        <v>71.729422877023779</v>
      </c>
      <c r="I368" s="67">
        <v>7.11</v>
      </c>
      <c r="J368" s="44">
        <v>38.10289389067524</v>
      </c>
      <c r="K368" s="41">
        <f t="shared" si="10"/>
        <v>36.610772255899668</v>
      </c>
      <c r="L368" s="130">
        <f t="shared" si="11"/>
        <v>14.392553388753749</v>
      </c>
      <c r="M368" s="1" t="str">
        <f>VLOOKUP(A368,CI!A$2:C$400,3,FALSE)</f>
        <v>P1</v>
      </c>
    </row>
    <row r="369" spans="1:13" ht="18" x14ac:dyDescent="0.25">
      <c r="A369" s="65" t="s">
        <v>391</v>
      </c>
      <c r="B369" s="66">
        <v>4103024</v>
      </c>
      <c r="C369" s="43">
        <v>0</v>
      </c>
      <c r="D369" s="42">
        <v>0</v>
      </c>
      <c r="E369" s="44">
        <v>340</v>
      </c>
      <c r="F369" s="44">
        <v>2455</v>
      </c>
      <c r="G369" s="44">
        <v>0.1384928716904277</v>
      </c>
      <c r="H369" s="42">
        <v>80.494127947922422</v>
      </c>
      <c r="I369" s="67">
        <v>11.41</v>
      </c>
      <c r="J369" s="44">
        <v>61.146838156484463</v>
      </c>
      <c r="K369" s="41">
        <f t="shared" si="10"/>
        <v>47.213655368135626</v>
      </c>
      <c r="L369" s="130">
        <f t="shared" si="11"/>
        <v>34.250558466314203</v>
      </c>
      <c r="M369" s="1" t="str">
        <f>VLOOKUP(A369,CI!A$2:C$400,3,FALSE)</f>
        <v>P1</v>
      </c>
    </row>
    <row r="370" spans="1:13" ht="18" x14ac:dyDescent="0.25">
      <c r="A370" s="65" t="s">
        <v>385</v>
      </c>
      <c r="B370" s="66">
        <v>4125902</v>
      </c>
      <c r="C370" s="43">
        <v>33.33</v>
      </c>
      <c r="D370" s="42">
        <v>59.989200863930883</v>
      </c>
      <c r="E370" s="44">
        <v>331</v>
      </c>
      <c r="F370" s="44">
        <v>2661</v>
      </c>
      <c r="G370" s="44">
        <v>0.12438932732055619</v>
      </c>
      <c r="H370" s="42">
        <v>72.296937066031688</v>
      </c>
      <c r="I370" s="67">
        <v>12.03</v>
      </c>
      <c r="J370" s="44">
        <v>64.469453376205792</v>
      </c>
      <c r="K370" s="41">
        <f t="shared" si="10"/>
        <v>65.585197102056114</v>
      </c>
      <c r="L370" s="130">
        <f t="shared" si="11"/>
        <v>68.658385580223836</v>
      </c>
      <c r="M370" s="1" t="str">
        <f>VLOOKUP(A370,CI!A$2:C$400,3,FALSE)</f>
        <v>P1</v>
      </c>
    </row>
    <row r="371" spans="1:13" ht="18" x14ac:dyDescent="0.25">
      <c r="A371" s="65" t="s">
        <v>390</v>
      </c>
      <c r="B371" s="66">
        <v>4124202</v>
      </c>
      <c r="C371" s="43">
        <v>0</v>
      </c>
      <c r="D371" s="42">
        <v>0</v>
      </c>
      <c r="E371" s="44">
        <v>288</v>
      </c>
      <c r="F371" s="44">
        <v>2493</v>
      </c>
      <c r="G371" s="44">
        <v>0.11552346570397112</v>
      </c>
      <c r="H371" s="42">
        <v>67.143965720840797</v>
      </c>
      <c r="I371" s="67">
        <v>11.23</v>
      </c>
      <c r="J371" s="44">
        <v>60.182207931404072</v>
      </c>
      <c r="K371" s="41">
        <f t="shared" si="10"/>
        <v>42.442057884081628</v>
      </c>
      <c r="L371" s="130">
        <f t="shared" si="11"/>
        <v>25.313894158747672</v>
      </c>
      <c r="M371" s="1" t="str">
        <f>VLOOKUP(A371,CI!A$2:C$400,3,FALSE)</f>
        <v>P1</v>
      </c>
    </row>
    <row r="372" spans="1:13" ht="18" x14ac:dyDescent="0.25">
      <c r="A372" s="65" t="s">
        <v>372</v>
      </c>
      <c r="B372" s="66">
        <v>4107124</v>
      </c>
      <c r="C372" s="43">
        <v>51.28</v>
      </c>
      <c r="D372" s="42">
        <v>92.296616270698337</v>
      </c>
      <c r="E372" s="44">
        <v>407</v>
      </c>
      <c r="F372" s="44">
        <v>3171</v>
      </c>
      <c r="G372" s="44">
        <v>0.12835067801955219</v>
      </c>
      <c r="H372" s="42">
        <v>74.599333327438799</v>
      </c>
      <c r="I372" s="67">
        <v>11.67</v>
      </c>
      <c r="J372" s="44">
        <v>62.540192926045016</v>
      </c>
      <c r="K372" s="41">
        <f t="shared" si="10"/>
        <v>76.478714174727386</v>
      </c>
      <c r="L372" s="130">
        <f t="shared" si="11"/>
        <v>89.060715309951348</v>
      </c>
      <c r="M372" s="1" t="str">
        <f>VLOOKUP(A372,CI!A$2:C$400,3,FALSE)</f>
        <v>P1</v>
      </c>
    </row>
    <row r="373" spans="1:13" ht="18" x14ac:dyDescent="0.25">
      <c r="A373" s="65" t="s">
        <v>338</v>
      </c>
      <c r="B373" s="66">
        <v>4102752</v>
      </c>
      <c r="C373" s="43">
        <v>25</v>
      </c>
      <c r="D373" s="42">
        <v>44.996400287976961</v>
      </c>
      <c r="E373" s="44">
        <v>517</v>
      </c>
      <c r="F373" s="44">
        <v>4031</v>
      </c>
      <c r="G373" s="44">
        <v>0.12825601587695362</v>
      </c>
      <c r="H373" s="42">
        <v>74.544314274651839</v>
      </c>
      <c r="I373" s="67">
        <v>11.66</v>
      </c>
      <c r="J373" s="44">
        <v>62.486602357984999</v>
      </c>
      <c r="K373" s="41">
        <f t="shared" si="10"/>
        <v>60.675772306871266</v>
      </c>
      <c r="L373" s="130">
        <f t="shared" si="11"/>
        <v>59.463586252654629</v>
      </c>
      <c r="M373" s="1" t="str">
        <f>VLOOKUP(A373,CI!A$2:C$400,3,FALSE)</f>
        <v>P1</v>
      </c>
    </row>
    <row r="374" spans="1:13" ht="18" x14ac:dyDescent="0.25">
      <c r="A374" s="65" t="s">
        <v>381</v>
      </c>
      <c r="B374" s="66">
        <v>4102703</v>
      </c>
      <c r="C374" s="43">
        <v>0</v>
      </c>
      <c r="D374" s="42">
        <v>0</v>
      </c>
      <c r="E374" s="44">
        <v>319</v>
      </c>
      <c r="F374" s="44">
        <v>2814</v>
      </c>
      <c r="G374" s="44">
        <v>0.11336176261549395</v>
      </c>
      <c r="H374" s="42">
        <v>65.88755156128569</v>
      </c>
      <c r="I374" s="67">
        <v>10.31</v>
      </c>
      <c r="J374" s="44">
        <v>55.251875669882097</v>
      </c>
      <c r="K374" s="41">
        <f t="shared" si="10"/>
        <v>40.379809077055931</v>
      </c>
      <c r="L374" s="130">
        <f t="shared" si="11"/>
        <v>21.451534567718173</v>
      </c>
      <c r="M374" s="1" t="str">
        <f>VLOOKUP(A374,CI!A$2:C$400,3,FALSE)</f>
        <v>P1</v>
      </c>
    </row>
    <row r="375" spans="1:13" ht="18" x14ac:dyDescent="0.25">
      <c r="A375" s="65" t="s">
        <v>335</v>
      </c>
      <c r="B375" s="66">
        <v>4120101</v>
      </c>
      <c r="C375" s="43">
        <v>0</v>
      </c>
      <c r="D375" s="42">
        <v>0</v>
      </c>
      <c r="E375" s="44">
        <v>566</v>
      </c>
      <c r="F375" s="44">
        <v>4098</v>
      </c>
      <c r="G375" s="44">
        <v>0.1381161542215715</v>
      </c>
      <c r="H375" s="42">
        <v>80.275174121864794</v>
      </c>
      <c r="I375" s="67">
        <v>13.42</v>
      </c>
      <c r="J375" s="44">
        <v>71.918542336548768</v>
      </c>
      <c r="K375" s="41">
        <f t="shared" si="10"/>
        <v>50.731238819471194</v>
      </c>
      <c r="L375" s="130">
        <f t="shared" si="11"/>
        <v>40.83859582350749</v>
      </c>
      <c r="M375" s="1" t="str">
        <f>VLOOKUP(A375,CI!A$2:C$400,3,FALSE)</f>
        <v>P1</v>
      </c>
    </row>
    <row r="376" spans="1:13" ht="18" x14ac:dyDescent="0.25">
      <c r="A376" s="65" t="s">
        <v>373</v>
      </c>
      <c r="B376" s="66">
        <v>4117297</v>
      </c>
      <c r="C376" s="43">
        <v>47.62</v>
      </c>
      <c r="D376" s="42">
        <v>85.709143268538512</v>
      </c>
      <c r="E376" s="44">
        <v>348</v>
      </c>
      <c r="F376" s="44">
        <v>3125</v>
      </c>
      <c r="G376" s="44">
        <v>0.11136</v>
      </c>
      <c r="H376" s="42">
        <v>64.724097196261681</v>
      </c>
      <c r="I376" s="67">
        <v>11.84</v>
      </c>
      <c r="J376" s="44">
        <v>63.451232583065377</v>
      </c>
      <c r="K376" s="41">
        <f t="shared" si="10"/>
        <v>71.294824349288518</v>
      </c>
      <c r="L376" s="130">
        <f t="shared" si="11"/>
        <v>79.351873914134956</v>
      </c>
      <c r="M376" s="1" t="str">
        <f>VLOOKUP(A376,CI!A$2:C$400,3,FALSE)</f>
        <v>P1</v>
      </c>
    </row>
    <row r="377" spans="1:13" ht="18" x14ac:dyDescent="0.25">
      <c r="A377" s="65" t="s">
        <v>396</v>
      </c>
      <c r="B377" s="66">
        <v>4109104</v>
      </c>
      <c r="C377" s="43">
        <v>55.56</v>
      </c>
      <c r="D377" s="42">
        <v>100</v>
      </c>
      <c r="E377" s="44">
        <v>260</v>
      </c>
      <c r="F377" s="44">
        <v>2191</v>
      </c>
      <c r="G377" s="44">
        <v>0.11866727521679599</v>
      </c>
      <c r="H377" s="42">
        <v>68.971194819930304</v>
      </c>
      <c r="I377" s="67">
        <v>11.87</v>
      </c>
      <c r="J377" s="44">
        <v>63.612004287245441</v>
      </c>
      <c r="K377" s="41">
        <f t="shared" si="10"/>
        <v>77.527733035725248</v>
      </c>
      <c r="L377" s="130">
        <f t="shared" si="11"/>
        <v>91.025409407551322</v>
      </c>
      <c r="M377" s="1" t="str">
        <f>VLOOKUP(A377,CI!A$2:C$400,3,FALSE)</f>
        <v>P1</v>
      </c>
    </row>
    <row r="378" spans="1:13" ht="18" x14ac:dyDescent="0.25">
      <c r="A378" s="65" t="s">
        <v>380</v>
      </c>
      <c r="B378" s="66">
        <v>4106852</v>
      </c>
      <c r="C378" s="43">
        <v>0</v>
      </c>
      <c r="D378" s="42">
        <v>0</v>
      </c>
      <c r="E378" s="44">
        <v>367</v>
      </c>
      <c r="F378" s="44">
        <v>2892</v>
      </c>
      <c r="G378" s="44">
        <v>0.12690179806362378</v>
      </c>
      <c r="H378" s="42">
        <v>73.757222631558534</v>
      </c>
      <c r="I378" s="67">
        <v>12.79</v>
      </c>
      <c r="J378" s="44">
        <v>68.542336548767409</v>
      </c>
      <c r="K378" s="41">
        <f t="shared" si="10"/>
        <v>47.433186393441986</v>
      </c>
      <c r="L378" s="130">
        <f t="shared" si="11"/>
        <v>34.66171533459891</v>
      </c>
      <c r="M378" s="1" t="str">
        <f>VLOOKUP(A378,CI!A$2:C$400,3,FALSE)</f>
        <v>P1</v>
      </c>
    </row>
    <row r="379" spans="1:13" ht="18" x14ac:dyDescent="0.25">
      <c r="A379" s="65" t="s">
        <v>383</v>
      </c>
      <c r="B379" s="66">
        <v>4119251</v>
      </c>
      <c r="C379" s="43">
        <v>0</v>
      </c>
      <c r="D379" s="42">
        <v>0</v>
      </c>
      <c r="E379" s="44">
        <v>352</v>
      </c>
      <c r="F379" s="44">
        <v>2761</v>
      </c>
      <c r="G379" s="44">
        <v>0.12749003984063745</v>
      </c>
      <c r="H379" s="42">
        <v>74.099117548497603</v>
      </c>
      <c r="I379" s="67">
        <v>9.0500000000000007</v>
      </c>
      <c r="J379" s="44">
        <v>48.499464094319407</v>
      </c>
      <c r="K379" s="41">
        <f t="shared" si="10"/>
        <v>40.866193880939001</v>
      </c>
      <c r="L379" s="130">
        <f t="shared" si="11"/>
        <v>22.362478487680093</v>
      </c>
      <c r="M379" s="1" t="str">
        <f>VLOOKUP(A379,CI!A$2:C$400,3,FALSE)</f>
        <v>P1</v>
      </c>
    </row>
    <row r="380" spans="1:13" ht="18" x14ac:dyDescent="0.25">
      <c r="A380" s="65" t="s">
        <v>374</v>
      </c>
      <c r="B380" s="66">
        <v>4120150</v>
      </c>
      <c r="C380" s="43">
        <v>19.61</v>
      </c>
      <c r="D380" s="42">
        <v>35.295176385889128</v>
      </c>
      <c r="E380" s="44">
        <v>397</v>
      </c>
      <c r="F380" s="44">
        <v>3110</v>
      </c>
      <c r="G380" s="44">
        <v>0.12765273311897107</v>
      </c>
      <c r="H380" s="42">
        <v>74.193677314661784</v>
      </c>
      <c r="I380" s="67">
        <v>13.5</v>
      </c>
      <c r="J380" s="44">
        <v>72.347266881028943</v>
      </c>
      <c r="K380" s="41">
        <f t="shared" si="10"/>
        <v>60.612040193859947</v>
      </c>
      <c r="L380" s="130">
        <f t="shared" si="11"/>
        <v>59.344223187874455</v>
      </c>
      <c r="M380" s="1" t="str">
        <f>VLOOKUP(A380,CI!A$2:C$400,3,FALSE)</f>
        <v>P1</v>
      </c>
    </row>
    <row r="381" spans="1:13" ht="18" x14ac:dyDescent="0.25">
      <c r="A381" s="65" t="s">
        <v>384</v>
      </c>
      <c r="B381" s="66">
        <v>4111605</v>
      </c>
      <c r="C381" s="43">
        <v>29.41</v>
      </c>
      <c r="D381" s="42">
        <v>52.933765298776095</v>
      </c>
      <c r="E381" s="44">
        <v>318</v>
      </c>
      <c r="F381" s="44">
        <v>2708</v>
      </c>
      <c r="G381" s="44">
        <v>0.11742983751846381</v>
      </c>
      <c r="H381" s="42">
        <v>68.251977525918363</v>
      </c>
      <c r="I381" s="67">
        <v>10.34</v>
      </c>
      <c r="J381" s="44">
        <v>55.412647374062161</v>
      </c>
      <c r="K381" s="41">
        <f t="shared" si="10"/>
        <v>58.866130066252204</v>
      </c>
      <c r="L381" s="130">
        <f t="shared" si="11"/>
        <v>56.074330290631401</v>
      </c>
      <c r="M381" s="1" t="str">
        <f>VLOOKUP(A381,CI!A$2:C$400,3,FALSE)</f>
        <v>P1</v>
      </c>
    </row>
    <row r="382" spans="1:13" ht="18" x14ac:dyDescent="0.25">
      <c r="A382" s="65" t="s">
        <v>392</v>
      </c>
      <c r="B382" s="66">
        <v>4118303</v>
      </c>
      <c r="C382" s="43">
        <v>0</v>
      </c>
      <c r="D382" s="42">
        <v>0</v>
      </c>
      <c r="E382" s="44">
        <v>362</v>
      </c>
      <c r="F382" s="44">
        <v>2398</v>
      </c>
      <c r="G382" s="44">
        <v>0.15095913261050875</v>
      </c>
      <c r="H382" s="42">
        <v>87.739705206051781</v>
      </c>
      <c r="I382" s="67">
        <v>12.51</v>
      </c>
      <c r="J382" s="44">
        <v>67.041800643086816</v>
      </c>
      <c r="K382" s="41">
        <f t="shared" si="10"/>
        <v>51.593835283046197</v>
      </c>
      <c r="L382" s="130">
        <f t="shared" si="11"/>
        <v>42.454141781360249</v>
      </c>
      <c r="M382" s="1" t="str">
        <f>VLOOKUP(A382,CI!A$2:C$400,3,FALSE)</f>
        <v>P1</v>
      </c>
    </row>
    <row r="383" spans="1:13" ht="18" x14ac:dyDescent="0.25">
      <c r="A383" s="65" t="s">
        <v>397</v>
      </c>
      <c r="B383" s="66">
        <v>4110052</v>
      </c>
      <c r="C383" s="43">
        <v>0</v>
      </c>
      <c r="D383" s="42">
        <v>0</v>
      </c>
      <c r="E383" s="44">
        <v>243</v>
      </c>
      <c r="F383" s="44">
        <v>2144</v>
      </c>
      <c r="G383" s="44">
        <v>0.11333955223880597</v>
      </c>
      <c r="H383" s="42">
        <v>65.874642558236857</v>
      </c>
      <c r="I383" s="67">
        <v>7.93</v>
      </c>
      <c r="J383" s="44">
        <v>42.497320471596993</v>
      </c>
      <c r="K383" s="41">
        <f t="shared" si="10"/>
        <v>36.123987676611286</v>
      </c>
      <c r="L383" s="130">
        <f t="shared" si="11"/>
        <v>13.480860734514129</v>
      </c>
      <c r="M383" s="1" t="str">
        <f>VLOOKUP(A383,CI!A$2:C$400,3,FALSE)</f>
        <v>P1</v>
      </c>
    </row>
    <row r="384" spans="1:13" ht="18" x14ac:dyDescent="0.25">
      <c r="A384" s="65" t="s">
        <v>393</v>
      </c>
      <c r="B384" s="66">
        <v>4110656</v>
      </c>
      <c r="C384" s="43">
        <v>0</v>
      </c>
      <c r="D384" s="42">
        <v>0</v>
      </c>
      <c r="E384" s="44">
        <v>272</v>
      </c>
      <c r="F384" s="44">
        <v>2343</v>
      </c>
      <c r="G384" s="44">
        <v>0.11609048228766539</v>
      </c>
      <c r="H384" s="42">
        <v>67.473524238036546</v>
      </c>
      <c r="I384" s="67">
        <v>11.52</v>
      </c>
      <c r="J384" s="44">
        <v>61.736334405144689</v>
      </c>
      <c r="K384" s="41">
        <f t="shared" si="10"/>
        <v>43.069952881060409</v>
      </c>
      <c r="L384" s="130">
        <f t="shared" si="11"/>
        <v>26.489870721555413</v>
      </c>
      <c r="M384" s="1" t="str">
        <f>VLOOKUP(A384,CI!A$2:C$400,3,FALSE)</f>
        <v>P1</v>
      </c>
    </row>
    <row r="385" spans="1:13" ht="18" x14ac:dyDescent="0.25">
      <c r="A385" s="65" t="s">
        <v>398</v>
      </c>
      <c r="B385" s="66">
        <v>4125555</v>
      </c>
      <c r="C385" s="43">
        <v>0</v>
      </c>
      <c r="D385" s="42">
        <v>0</v>
      </c>
      <c r="E385" s="44">
        <v>248</v>
      </c>
      <c r="F385" s="44">
        <v>2138</v>
      </c>
      <c r="G385" s="44">
        <v>0.11599625818521983</v>
      </c>
      <c r="H385" s="42">
        <v>67.41875978073665</v>
      </c>
      <c r="I385" s="67">
        <v>11.69</v>
      </c>
      <c r="J385" s="44">
        <v>62.647374062165049</v>
      </c>
      <c r="K385" s="41">
        <f t="shared" si="10"/>
        <v>43.355377947633905</v>
      </c>
      <c r="L385" s="130">
        <f t="shared" si="11"/>
        <v>27.024439702584598</v>
      </c>
      <c r="M385" s="1" t="str">
        <f>VLOOKUP(A385,CI!A$2:C$400,3,FALSE)</f>
        <v>P1</v>
      </c>
    </row>
    <row r="386" spans="1:13" ht="18" x14ac:dyDescent="0.25">
      <c r="A386" s="65" t="s">
        <v>388</v>
      </c>
      <c r="B386" s="66">
        <v>4121356</v>
      </c>
      <c r="C386" s="43">
        <v>0</v>
      </c>
      <c r="D386" s="42">
        <v>0</v>
      </c>
      <c r="E386" s="44">
        <v>341</v>
      </c>
      <c r="F386" s="44">
        <v>2618</v>
      </c>
      <c r="G386" s="44">
        <v>0.13025210084033614</v>
      </c>
      <c r="H386" s="42">
        <v>75.704468703369216</v>
      </c>
      <c r="I386" s="67">
        <v>8.7899999999999991</v>
      </c>
      <c r="J386" s="44">
        <v>47.10610932475884</v>
      </c>
      <c r="K386" s="41">
        <f t="shared" ref="K386:K400" si="12">(D386+H386+J386)/3</f>
        <v>40.936859342709347</v>
      </c>
      <c r="L386" s="130">
        <f t="shared" si="11"/>
        <v>22.49482693326696</v>
      </c>
      <c r="M386" s="1" t="str">
        <f>VLOOKUP(A386,CI!A$2:C$400,3,FALSE)</f>
        <v>P1</v>
      </c>
    </row>
    <row r="387" spans="1:13" ht="18" x14ac:dyDescent="0.25">
      <c r="A387" s="65" t="s">
        <v>399</v>
      </c>
      <c r="B387" s="66">
        <v>4128302</v>
      </c>
      <c r="C387" s="43">
        <v>0</v>
      </c>
      <c r="D387" s="42">
        <v>0</v>
      </c>
      <c r="E387" s="44">
        <v>268</v>
      </c>
      <c r="F387" s="44">
        <v>2136</v>
      </c>
      <c r="G387" s="44">
        <v>0.12546816479400749</v>
      </c>
      <c r="H387" s="42">
        <v>72.923973537750726</v>
      </c>
      <c r="I387" s="67">
        <v>8.43</v>
      </c>
      <c r="J387" s="44">
        <v>45.176848874598072</v>
      </c>
      <c r="K387" s="41">
        <f t="shared" si="12"/>
        <v>39.366940804116268</v>
      </c>
      <c r="L387" s="130">
        <f t="shared" ref="L387:L400" si="13">(K387-K$401)/(K$402-K$401)*100</f>
        <v>19.554546447220623</v>
      </c>
      <c r="M387" s="1" t="str">
        <f>VLOOKUP(A387,CI!A$2:C$400,3,FALSE)</f>
        <v>P1</v>
      </c>
    </row>
    <row r="388" spans="1:13" ht="18" x14ac:dyDescent="0.25">
      <c r="A388" s="65" t="s">
        <v>377</v>
      </c>
      <c r="B388" s="66">
        <v>4107553</v>
      </c>
      <c r="C388" s="43">
        <v>0</v>
      </c>
      <c r="D388" s="42">
        <v>0</v>
      </c>
      <c r="E388" s="44">
        <v>397</v>
      </c>
      <c r="F388" s="44">
        <v>3039</v>
      </c>
      <c r="G388" s="44">
        <v>0.13063507732806845</v>
      </c>
      <c r="H388" s="42">
        <v>75.927060364790449</v>
      </c>
      <c r="I388" s="67">
        <v>9.2100000000000009</v>
      </c>
      <c r="J388" s="44">
        <v>49.356913183279751</v>
      </c>
      <c r="K388" s="41">
        <f t="shared" si="12"/>
        <v>41.7613245160234</v>
      </c>
      <c r="L388" s="130">
        <f t="shared" si="13"/>
        <v>24.038957282025432</v>
      </c>
      <c r="M388" s="1" t="str">
        <f>VLOOKUP(A388,CI!A$2:C$400,3,FALSE)</f>
        <v>P1</v>
      </c>
    </row>
    <row r="389" spans="1:13" ht="18" x14ac:dyDescent="0.25">
      <c r="A389" s="65" t="s">
        <v>382</v>
      </c>
      <c r="B389" s="66">
        <v>4114351</v>
      </c>
      <c r="C389" s="43">
        <v>0</v>
      </c>
      <c r="D389" s="42">
        <v>0</v>
      </c>
      <c r="E389" s="44">
        <v>365</v>
      </c>
      <c r="F389" s="44">
        <v>2770</v>
      </c>
      <c r="G389" s="44">
        <v>0.13176895306859207</v>
      </c>
      <c r="H389" s="42">
        <v>76.586085900334027</v>
      </c>
      <c r="I389" s="67">
        <v>13.72</v>
      </c>
      <c r="J389" s="44">
        <v>73.526259378349408</v>
      </c>
      <c r="K389" s="41">
        <f t="shared" si="12"/>
        <v>50.037448426227819</v>
      </c>
      <c r="L389" s="130">
        <f t="shared" si="13"/>
        <v>39.539204610197757</v>
      </c>
      <c r="M389" s="1" t="str">
        <f>VLOOKUP(A389,CI!A$2:C$400,3,FALSE)</f>
        <v>P1</v>
      </c>
    </row>
    <row r="390" spans="1:13" ht="18" x14ac:dyDescent="0.25">
      <c r="A390" s="65" t="s">
        <v>387</v>
      </c>
      <c r="B390" s="66">
        <v>4103404</v>
      </c>
      <c r="C390" s="43">
        <v>0</v>
      </c>
      <c r="D390" s="42">
        <v>0</v>
      </c>
      <c r="E390" s="44">
        <v>309</v>
      </c>
      <c r="F390" s="44">
        <v>2627</v>
      </c>
      <c r="G390" s="44">
        <v>0.11762466692044157</v>
      </c>
      <c r="H390" s="42">
        <v>68.365215287684691</v>
      </c>
      <c r="I390" s="67">
        <v>8.76</v>
      </c>
      <c r="J390" s="44">
        <v>46.945337620578776</v>
      </c>
      <c r="K390" s="41">
        <f t="shared" si="12"/>
        <v>38.436850969421158</v>
      </c>
      <c r="L390" s="130">
        <f t="shared" si="13"/>
        <v>17.812593012060297</v>
      </c>
      <c r="M390" s="1" t="str">
        <f>VLOOKUP(A390,CI!A$2:C$400,3,FALSE)</f>
        <v>P1</v>
      </c>
    </row>
    <row r="391" spans="1:13" ht="18" x14ac:dyDescent="0.25">
      <c r="A391" s="65" t="s">
        <v>400</v>
      </c>
      <c r="B391" s="66">
        <v>4124301</v>
      </c>
      <c r="C391" s="43">
        <v>0</v>
      </c>
      <c r="D391" s="42">
        <v>0</v>
      </c>
      <c r="E391" s="44">
        <v>252</v>
      </c>
      <c r="F391" s="44">
        <v>2125</v>
      </c>
      <c r="G391" s="44">
        <v>0.11858823529411765</v>
      </c>
      <c r="H391" s="42">
        <v>68.925255634964273</v>
      </c>
      <c r="I391" s="67">
        <v>12.24</v>
      </c>
      <c r="J391" s="44">
        <v>65.59485530546624</v>
      </c>
      <c r="K391" s="41">
        <f t="shared" si="12"/>
        <v>44.840036980143509</v>
      </c>
      <c r="L391" s="130">
        <f t="shared" si="13"/>
        <v>29.805038742858692</v>
      </c>
      <c r="M391" s="1" t="str">
        <f>VLOOKUP(A391,CI!A$2:C$400,3,FALSE)</f>
        <v>P1</v>
      </c>
    </row>
    <row r="392" spans="1:13" ht="18" x14ac:dyDescent="0.25">
      <c r="A392" s="65" t="s">
        <v>403</v>
      </c>
      <c r="B392" s="66">
        <v>4123600</v>
      </c>
      <c r="C392" s="43">
        <v>0</v>
      </c>
      <c r="D392" s="42">
        <v>0</v>
      </c>
      <c r="E392" s="44">
        <v>199</v>
      </c>
      <c r="F392" s="44">
        <v>1748</v>
      </c>
      <c r="G392" s="44">
        <v>0.11384439359267734</v>
      </c>
      <c r="H392" s="42">
        <v>66.168063902136481</v>
      </c>
      <c r="I392" s="67">
        <v>14.3</v>
      </c>
      <c r="J392" s="44">
        <v>76.634512325830656</v>
      </c>
      <c r="K392" s="41">
        <f t="shared" si="12"/>
        <v>47.60085874265571</v>
      </c>
      <c r="L392" s="130">
        <f t="shared" si="13"/>
        <v>34.975746747263464</v>
      </c>
      <c r="M392" s="1" t="str">
        <f>VLOOKUP(A392,CI!A$2:C$400,3,FALSE)</f>
        <v>P1</v>
      </c>
    </row>
    <row r="393" spans="1:13" ht="18" x14ac:dyDescent="0.25">
      <c r="A393" s="65" t="s">
        <v>402</v>
      </c>
      <c r="B393" s="66">
        <v>4107520</v>
      </c>
      <c r="C393" s="43">
        <v>0</v>
      </c>
      <c r="D393" s="42">
        <v>0</v>
      </c>
      <c r="E393" s="44">
        <v>224</v>
      </c>
      <c r="F393" s="44">
        <v>1849</v>
      </c>
      <c r="G393" s="44">
        <v>0.12114656571119524</v>
      </c>
      <c r="H393" s="42">
        <v>70.412195528777872</v>
      </c>
      <c r="I393" s="67">
        <v>6.49</v>
      </c>
      <c r="J393" s="44">
        <v>34.780278670953912</v>
      </c>
      <c r="K393" s="41">
        <f t="shared" si="12"/>
        <v>35.064158066577257</v>
      </c>
      <c r="L393" s="130">
        <f t="shared" si="13"/>
        <v>11.495919322388497</v>
      </c>
      <c r="M393" s="1" t="str">
        <f>VLOOKUP(A393,CI!A$2:C$400,3,FALSE)</f>
        <v>P1</v>
      </c>
    </row>
    <row r="394" spans="1:13" ht="18" x14ac:dyDescent="0.25">
      <c r="A394" s="65" t="s">
        <v>369</v>
      </c>
      <c r="B394" s="66">
        <v>4122107</v>
      </c>
      <c r="C394" s="43">
        <v>0</v>
      </c>
      <c r="D394" s="42">
        <v>0</v>
      </c>
      <c r="E394" s="44">
        <v>372</v>
      </c>
      <c r="F394" s="44">
        <v>3197</v>
      </c>
      <c r="G394" s="44">
        <v>0.1163590866437285</v>
      </c>
      <c r="H394" s="42">
        <v>67.629641106294173</v>
      </c>
      <c r="I394" s="67">
        <v>12.51</v>
      </c>
      <c r="J394" s="44">
        <v>67.041800643086816</v>
      </c>
      <c r="K394" s="41">
        <f t="shared" si="12"/>
        <v>44.890480583126994</v>
      </c>
      <c r="L394" s="130">
        <f t="shared" si="13"/>
        <v>29.89951392603038</v>
      </c>
      <c r="M394" s="1" t="str">
        <f>VLOOKUP(A394,CI!A$2:C$400,3,FALSE)</f>
        <v>P1</v>
      </c>
    </row>
    <row r="395" spans="1:13" ht="18" x14ac:dyDescent="0.25">
      <c r="A395" s="65" t="s">
        <v>394</v>
      </c>
      <c r="B395" s="66">
        <v>4101853</v>
      </c>
      <c r="C395" s="43">
        <v>0</v>
      </c>
      <c r="D395" s="42">
        <v>0</v>
      </c>
      <c r="E395" s="44">
        <v>295</v>
      </c>
      <c r="F395" s="44">
        <v>2329</v>
      </c>
      <c r="G395" s="44">
        <v>0.12666380420781451</v>
      </c>
      <c r="H395" s="42">
        <v>73.618897043775561</v>
      </c>
      <c r="I395" s="67">
        <v>11.16</v>
      </c>
      <c r="J395" s="44">
        <v>59.807073954983927</v>
      </c>
      <c r="K395" s="41">
        <f t="shared" si="12"/>
        <v>44.475323666253161</v>
      </c>
      <c r="L395" s="130">
        <f t="shared" si="13"/>
        <v>29.121971810739964</v>
      </c>
      <c r="M395" s="1" t="str">
        <f>VLOOKUP(A395,CI!A$2:C$400,3,FALSE)</f>
        <v>P1</v>
      </c>
    </row>
    <row r="396" spans="1:13" ht="18" x14ac:dyDescent="0.25">
      <c r="A396" s="65" t="s">
        <v>378</v>
      </c>
      <c r="B396" s="66">
        <v>4108551</v>
      </c>
      <c r="C396" s="43">
        <v>0</v>
      </c>
      <c r="D396" s="42">
        <v>0</v>
      </c>
      <c r="E396" s="44">
        <v>369</v>
      </c>
      <c r="F396" s="44">
        <v>2977</v>
      </c>
      <c r="G396" s="44">
        <v>0.12395028552233793</v>
      </c>
      <c r="H396" s="42">
        <v>72.041759407796221</v>
      </c>
      <c r="I396" s="67">
        <v>10.75</v>
      </c>
      <c r="J396" s="44">
        <v>57.60986066452304</v>
      </c>
      <c r="K396" s="41">
        <f t="shared" si="12"/>
        <v>43.217206690773082</v>
      </c>
      <c r="L396" s="130">
        <f t="shared" si="13"/>
        <v>26.765660510993893</v>
      </c>
      <c r="M396" s="1" t="str">
        <f>VLOOKUP(A396,CI!A$2:C$400,3,FALSE)</f>
        <v>P1</v>
      </c>
    </row>
    <row r="397" spans="1:13" ht="18" x14ac:dyDescent="0.25">
      <c r="A397" s="65" t="s">
        <v>405</v>
      </c>
      <c r="B397" s="66">
        <v>4116505</v>
      </c>
      <c r="C397" s="43">
        <v>0</v>
      </c>
      <c r="D397" s="42">
        <v>0</v>
      </c>
      <c r="E397" s="44">
        <v>176</v>
      </c>
      <c r="F397" s="44">
        <v>1323</v>
      </c>
      <c r="G397" s="44">
        <v>0.13303099017384731</v>
      </c>
      <c r="H397" s="42">
        <v>77.319600737491271</v>
      </c>
      <c r="I397" s="67">
        <v>12.09</v>
      </c>
      <c r="J397" s="44">
        <v>64.79099678456592</v>
      </c>
      <c r="K397" s="41">
        <f t="shared" si="12"/>
        <v>47.370199174019064</v>
      </c>
      <c r="L397" s="130">
        <f t="shared" si="13"/>
        <v>34.543747371557011</v>
      </c>
      <c r="M397" s="1" t="str">
        <f>VLOOKUP(A397,CI!A$2:C$400,3,FALSE)</f>
        <v>P1</v>
      </c>
    </row>
    <row r="398" spans="1:13" ht="18" x14ac:dyDescent="0.25">
      <c r="A398" s="65" t="s">
        <v>401</v>
      </c>
      <c r="B398" s="66">
        <v>4116000</v>
      </c>
      <c r="C398" s="43">
        <v>0</v>
      </c>
      <c r="D398" s="42">
        <v>0</v>
      </c>
      <c r="E398" s="44">
        <v>229</v>
      </c>
      <c r="F398" s="44">
        <v>1966</v>
      </c>
      <c r="G398" s="44">
        <v>0.11648016276703968</v>
      </c>
      <c r="H398" s="42">
        <v>67.700012359646706</v>
      </c>
      <c r="I398" s="67">
        <v>3.56</v>
      </c>
      <c r="J398" s="44">
        <v>19.078242229367632</v>
      </c>
      <c r="K398" s="41">
        <f t="shared" si="12"/>
        <v>28.926084863004778</v>
      </c>
      <c r="L398" s="130">
        <f t="shared" si="13"/>
        <v>0</v>
      </c>
      <c r="M398" s="1" t="str">
        <f>VLOOKUP(A398,CI!A$2:C$400,3,FALSE)</f>
        <v>P1</v>
      </c>
    </row>
    <row r="399" spans="1:13" ht="18" x14ac:dyDescent="0.25">
      <c r="A399" s="65" t="s">
        <v>404</v>
      </c>
      <c r="B399" s="66">
        <v>4112603</v>
      </c>
      <c r="C399" s="43">
        <v>0</v>
      </c>
      <c r="D399" s="42">
        <v>0</v>
      </c>
      <c r="E399" s="44">
        <v>211</v>
      </c>
      <c r="F399" s="44">
        <v>1343</v>
      </c>
      <c r="G399" s="44">
        <v>0.15711094564408043</v>
      </c>
      <c r="H399" s="42">
        <v>91.315230930891246</v>
      </c>
      <c r="I399" s="67">
        <v>10.42</v>
      </c>
      <c r="J399" s="44">
        <v>55.841371918542336</v>
      </c>
      <c r="K399" s="41">
        <f t="shared" si="12"/>
        <v>49.052200949811187</v>
      </c>
      <c r="L399" s="130">
        <f t="shared" si="13"/>
        <v>37.693947128602332</v>
      </c>
      <c r="M399" s="1" t="str">
        <f>VLOOKUP(A399,CI!A$2:C$400,3,FALSE)</f>
        <v>P1</v>
      </c>
    </row>
    <row r="400" spans="1:13" ht="18" x14ac:dyDescent="0.25">
      <c r="A400" s="65" t="s">
        <v>360</v>
      </c>
      <c r="B400" s="66">
        <v>4126652</v>
      </c>
      <c r="C400" s="43">
        <v>0</v>
      </c>
      <c r="D400" s="42">
        <v>0</v>
      </c>
      <c r="E400" s="44">
        <v>415</v>
      </c>
      <c r="F400" s="44">
        <v>3440</v>
      </c>
      <c r="G400" s="44">
        <v>0.12063953488372094</v>
      </c>
      <c r="H400" s="42">
        <v>70.117501630080426</v>
      </c>
      <c r="I400" s="67">
        <v>12.79</v>
      </c>
      <c r="J400" s="44">
        <v>68.542336548767409</v>
      </c>
      <c r="K400" s="41">
        <f t="shared" si="12"/>
        <v>46.21994605961595</v>
      </c>
      <c r="L400" s="130">
        <f t="shared" si="13"/>
        <v>32.389452926875556</v>
      </c>
      <c r="M400" s="1" t="str">
        <f>VLOOKUP(A400,CI!A$2:C$400,3,FALSE)</f>
        <v>P1</v>
      </c>
    </row>
    <row r="401" spans="3:13" x14ac:dyDescent="0.25">
      <c r="C401" s="46">
        <v>0</v>
      </c>
      <c r="D401" s="46">
        <v>0</v>
      </c>
      <c r="E401" s="46">
        <v>176</v>
      </c>
      <c r="F401" s="46">
        <v>1323</v>
      </c>
      <c r="G401" s="50">
        <v>0.10421412300683372</v>
      </c>
      <c r="H401" s="50">
        <v>60.570806633598032</v>
      </c>
      <c r="I401" s="49">
        <v>3.56</v>
      </c>
      <c r="J401" s="49">
        <v>19.078242229367632</v>
      </c>
      <c r="K401" s="50">
        <f t="shared" ref="K401" si="14">QUARTILE(K2:K400,0)</f>
        <v>28.926084863004778</v>
      </c>
      <c r="L401" s="130"/>
      <c r="M401" s="1" t="e">
        <f>VLOOKUP(A401,CI!A$2:C$400,3,FALSE)</f>
        <v>#N/A</v>
      </c>
    </row>
    <row r="402" spans="3:13" x14ac:dyDescent="0.25">
      <c r="C402" s="46">
        <v>55.56</v>
      </c>
      <c r="D402" s="46">
        <v>100</v>
      </c>
      <c r="E402" s="46">
        <v>202402</v>
      </c>
      <c r="F402" s="46">
        <v>1773718</v>
      </c>
      <c r="G402" s="46">
        <v>0.1720533847885512</v>
      </c>
      <c r="H402" s="46">
        <v>100</v>
      </c>
      <c r="I402" s="44">
        <v>18.66</v>
      </c>
      <c r="J402" s="44">
        <v>100</v>
      </c>
      <c r="K402" s="46">
        <f t="shared" ref="K402" si="15">QUARTILE(K2:K400,4)</f>
        <v>82.319580689114801</v>
      </c>
      <c r="L402" s="130"/>
      <c r="M402" s="1" t="e">
        <f>VLOOKUP(A402,CI!A$2:C$400,3,FALSE)</f>
        <v>#N/A</v>
      </c>
    </row>
    <row r="405" spans="3:13" x14ac:dyDescent="0.25">
      <c r="E405" s="38">
        <f>SUM(E$2:E$400)</f>
        <v>1497164</v>
      </c>
    </row>
  </sheetData>
  <autoFilter ref="A1:K1" xr:uid="{FBD63426-0313-4D9D-A048-FFCC4AE2C85F}"/>
  <conditionalFormatting sqref="K2:L2 K3:K400 L3:L4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A132-B639-4CFA-933D-AC4E34B89389}">
  <sheetPr>
    <tabColor rgb="FF92D050"/>
  </sheetPr>
  <dimension ref="A1:O403"/>
  <sheetViews>
    <sheetView workbookViewId="0">
      <selection activeCell="M2" sqref="M2:M400"/>
    </sheetView>
  </sheetViews>
  <sheetFormatPr defaultRowHeight="15" x14ac:dyDescent="0.25"/>
  <cols>
    <col min="1" max="1" width="24.5703125" bestFit="1" customWidth="1"/>
    <col min="3" max="3" width="0" hidden="1" customWidth="1"/>
    <col min="4" max="4" width="10" bestFit="1" customWidth="1"/>
    <col min="5" max="5" width="13.140625" customWidth="1"/>
    <col min="6" max="6" width="9.85546875" bestFit="1" customWidth="1"/>
    <col min="7" max="7" width="15.5703125" style="1" bestFit="1" customWidth="1"/>
    <col min="8" max="8" width="10" bestFit="1" customWidth="1"/>
    <col min="9" max="9" width="22.140625" bestFit="1" customWidth="1"/>
    <col min="10" max="10" width="14" bestFit="1" customWidth="1"/>
    <col min="11" max="11" width="14" customWidth="1"/>
    <col min="12" max="12" width="17.85546875" customWidth="1"/>
    <col min="13" max="13" width="10.5703125" bestFit="1" customWidth="1"/>
  </cols>
  <sheetData>
    <row r="1" spans="1:13" ht="72" x14ac:dyDescent="0.25">
      <c r="A1" s="78"/>
      <c r="B1" s="79" t="s">
        <v>451</v>
      </c>
      <c r="C1" s="18" t="s">
        <v>452</v>
      </c>
      <c r="D1" s="82" t="s">
        <v>424</v>
      </c>
      <c r="E1" s="68" t="s">
        <v>440</v>
      </c>
      <c r="F1" s="82" t="s">
        <v>457</v>
      </c>
      <c r="G1" s="82" t="s">
        <v>433</v>
      </c>
      <c r="H1" s="82" t="s">
        <v>424</v>
      </c>
      <c r="I1" s="69" t="s">
        <v>459</v>
      </c>
      <c r="J1" s="82" t="s">
        <v>458</v>
      </c>
      <c r="K1" s="68" t="s">
        <v>439</v>
      </c>
      <c r="L1" s="70" t="s">
        <v>446</v>
      </c>
    </row>
    <row r="2" spans="1:13" ht="18" x14ac:dyDescent="0.25">
      <c r="A2" s="80" t="s">
        <v>7</v>
      </c>
      <c r="B2" s="81">
        <v>410690</v>
      </c>
      <c r="C2" s="51">
        <v>2</v>
      </c>
      <c r="D2" s="57">
        <v>3.952118563556907E-2</v>
      </c>
      <c r="E2" s="56">
        <v>3.9521185635569069</v>
      </c>
      <c r="F2" s="17">
        <v>23579</v>
      </c>
      <c r="G2" s="17">
        <v>185447</v>
      </c>
      <c r="H2" s="58">
        <v>0.12714683979789373</v>
      </c>
      <c r="I2" s="56">
        <v>16.666236721262447</v>
      </c>
      <c r="J2" s="57">
        <v>0.83316572474837647</v>
      </c>
      <c r="K2" s="56">
        <v>0</v>
      </c>
      <c r="L2" s="41">
        <f>(K2+I2+E2)/3</f>
        <v>6.8727850949397853</v>
      </c>
      <c r="M2" s="131">
        <f>(L2-L$402)/(L$403-L$402)*100</f>
        <v>0</v>
      </c>
    </row>
    <row r="3" spans="1:13" ht="18" x14ac:dyDescent="0.25">
      <c r="A3" s="80" t="s">
        <v>13</v>
      </c>
      <c r="B3" s="81">
        <v>410830</v>
      </c>
      <c r="C3" s="51">
        <v>4</v>
      </c>
      <c r="D3" s="57">
        <v>3.8194444444444448E-2</v>
      </c>
      <c r="E3" s="56">
        <v>3.8194444444444446</v>
      </c>
      <c r="F3" s="17">
        <v>9447</v>
      </c>
      <c r="G3" s="17">
        <v>38190</v>
      </c>
      <c r="H3" s="58">
        <v>0.24736842105263157</v>
      </c>
      <c r="I3" s="56">
        <v>37.344134366520962</v>
      </c>
      <c r="J3" s="57">
        <v>0.5994202099601269</v>
      </c>
      <c r="K3" s="56">
        <v>38.905251957824319</v>
      </c>
      <c r="L3" s="41">
        <f t="shared" ref="L3:L66" si="0">(K3+I3+E3)/3</f>
        <v>26.68961025626324</v>
      </c>
      <c r="M3" s="131">
        <f t="shared" ref="M3:M66" si="1">(L3-L$402)/(L$403-L$402)*100</f>
        <v>30.757392976440158</v>
      </c>
    </row>
    <row r="4" spans="1:13" ht="18" x14ac:dyDescent="0.25">
      <c r="A4" s="80" t="s">
        <v>9</v>
      </c>
      <c r="B4" s="81">
        <v>411520</v>
      </c>
      <c r="C4" s="51">
        <v>0</v>
      </c>
      <c r="D4" s="57">
        <v>3.7075180226570546E-2</v>
      </c>
      <c r="E4" s="56">
        <v>3.7075180226570548</v>
      </c>
      <c r="F4" s="17">
        <v>5145</v>
      </c>
      <c r="G4" s="17">
        <v>44828</v>
      </c>
      <c r="H4" s="58">
        <v>0.11477201748906933</v>
      </c>
      <c r="I4" s="56">
        <v>14.537789345928593</v>
      </c>
      <c r="J4" s="57">
        <v>0.67167541036744671</v>
      </c>
      <c r="K4" s="56">
        <v>26.878895945575472</v>
      </c>
      <c r="L4" s="41">
        <f t="shared" si="0"/>
        <v>15.041401104720373</v>
      </c>
      <c r="M4" s="131">
        <f t="shared" si="1"/>
        <v>12.678384687816605</v>
      </c>
    </row>
    <row r="5" spans="1:13" ht="18" x14ac:dyDescent="0.25">
      <c r="A5" s="80" t="s">
        <v>11</v>
      </c>
      <c r="B5" s="81">
        <v>410480</v>
      </c>
      <c r="C5" s="51">
        <v>8</v>
      </c>
      <c r="D5" s="57">
        <v>2.4749868351764088E-2</v>
      </c>
      <c r="E5" s="56">
        <v>2.4749868351764088</v>
      </c>
      <c r="F5" s="17">
        <v>6125</v>
      </c>
      <c r="G5" s="17">
        <v>46503</v>
      </c>
      <c r="H5" s="58">
        <v>0.13171193256349054</v>
      </c>
      <c r="I5" s="56">
        <v>17.451424538315891</v>
      </c>
      <c r="J5" s="57">
        <v>0.68869660029732638</v>
      </c>
      <c r="K5" s="56">
        <v>24.045841872029499</v>
      </c>
      <c r="L5" s="41">
        <f t="shared" si="0"/>
        <v>14.657417748507266</v>
      </c>
      <c r="M5" s="131">
        <f t="shared" si="1"/>
        <v>12.082409959911693</v>
      </c>
    </row>
    <row r="6" spans="1:13" ht="18" x14ac:dyDescent="0.25">
      <c r="A6" s="80" t="s">
        <v>8</v>
      </c>
      <c r="B6" s="81">
        <v>411370</v>
      </c>
      <c r="C6" s="51">
        <v>0</v>
      </c>
      <c r="D6" s="57">
        <v>4.80859010270775E-2</v>
      </c>
      <c r="E6" s="56">
        <v>4.8085901027077504</v>
      </c>
      <c r="F6" s="17">
        <v>12581</v>
      </c>
      <c r="G6" s="17">
        <v>63953</v>
      </c>
      <c r="H6" s="58">
        <v>0.19672259315434773</v>
      </c>
      <c r="I6" s="56">
        <v>28.633142259196475</v>
      </c>
      <c r="J6" s="57">
        <v>0.62865828403003354</v>
      </c>
      <c r="K6" s="56">
        <v>34.038785794904683</v>
      </c>
      <c r="L6" s="41">
        <f t="shared" si="0"/>
        <v>22.493506052269638</v>
      </c>
      <c r="M6" s="131">
        <f t="shared" si="1"/>
        <v>24.244683451999634</v>
      </c>
    </row>
    <row r="7" spans="1:13" ht="18" x14ac:dyDescent="0.25">
      <c r="A7" s="80" t="s">
        <v>10</v>
      </c>
      <c r="B7" s="81">
        <v>411990</v>
      </c>
      <c r="C7" s="51">
        <v>5</v>
      </c>
      <c r="D7" s="57">
        <v>2.1359223300970873E-2</v>
      </c>
      <c r="E7" s="56">
        <v>2.1359223300970873</v>
      </c>
      <c r="F7" s="17">
        <v>8465</v>
      </c>
      <c r="G7" s="17">
        <v>48349</v>
      </c>
      <c r="H7" s="58">
        <v>0.17508118058284555</v>
      </c>
      <c r="I7" s="56">
        <v>24.910857879122261</v>
      </c>
      <c r="J7" s="57">
        <v>0.59499453895117604</v>
      </c>
      <c r="K7" s="56">
        <v>39.641872918622866</v>
      </c>
      <c r="L7" s="41">
        <f t="shared" si="0"/>
        <v>22.229551042614073</v>
      </c>
      <c r="M7" s="131">
        <f t="shared" si="1"/>
        <v>23.835002895503568</v>
      </c>
    </row>
    <row r="8" spans="1:13" ht="18" x14ac:dyDescent="0.25">
      <c r="A8" s="80" t="s">
        <v>12</v>
      </c>
      <c r="B8" s="81">
        <v>412550</v>
      </c>
      <c r="C8" s="51">
        <v>6</v>
      </c>
      <c r="D8" s="57">
        <v>6.5654493229380384E-2</v>
      </c>
      <c r="E8" s="56">
        <v>6.5654493229380382</v>
      </c>
      <c r="F8" s="17">
        <v>6404</v>
      </c>
      <c r="G8" s="17">
        <v>45199</v>
      </c>
      <c r="H8" s="58">
        <v>0.1416845505431536</v>
      </c>
      <c r="I8" s="56">
        <v>19.166697051674312</v>
      </c>
      <c r="J8" s="57">
        <v>0.6941604083470263</v>
      </c>
      <c r="K8" s="56">
        <v>23.136430502081577</v>
      </c>
      <c r="L8" s="41">
        <f t="shared" si="0"/>
        <v>16.289525625564639</v>
      </c>
      <c r="M8" s="131">
        <f t="shared" si="1"/>
        <v>14.615579776264079</v>
      </c>
    </row>
    <row r="9" spans="1:13" ht="18" x14ac:dyDescent="0.25">
      <c r="A9" s="80" t="s">
        <v>14</v>
      </c>
      <c r="B9" s="81">
        <v>410580</v>
      </c>
      <c r="C9" s="51">
        <v>5</v>
      </c>
      <c r="D9" s="57">
        <v>5.6998556998557E-2</v>
      </c>
      <c r="E9" s="56">
        <v>5.6998556998557</v>
      </c>
      <c r="F9" s="17">
        <v>6643</v>
      </c>
      <c r="G9" s="17">
        <v>31809</v>
      </c>
      <c r="H9" s="58">
        <v>0.20884026533371058</v>
      </c>
      <c r="I9" s="56">
        <v>30.717360270709165</v>
      </c>
      <c r="J9" s="57">
        <v>0.49567604945517524</v>
      </c>
      <c r="K9" s="56">
        <v>56.172717848044741</v>
      </c>
      <c r="L9" s="41">
        <f t="shared" si="0"/>
        <v>30.863311272869868</v>
      </c>
      <c r="M9" s="131">
        <f t="shared" si="1"/>
        <v>37.23533085442488</v>
      </c>
    </row>
    <row r="10" spans="1:13" ht="18" x14ac:dyDescent="0.25">
      <c r="A10" s="80" t="s">
        <v>16</v>
      </c>
      <c r="B10" s="81">
        <v>410180</v>
      </c>
      <c r="C10" s="51">
        <v>4</v>
      </c>
      <c r="D10" s="57">
        <v>3.4263959390862943E-2</v>
      </c>
      <c r="E10" s="56">
        <v>3.4263959390862944</v>
      </c>
      <c r="F10" s="17">
        <v>3496</v>
      </c>
      <c r="G10" s="17">
        <v>21525</v>
      </c>
      <c r="H10" s="58">
        <v>0.1624157955865273</v>
      </c>
      <c r="I10" s="56">
        <v>22.732434239553463</v>
      </c>
      <c r="J10" s="57">
        <v>0.67840838849459584</v>
      </c>
      <c r="K10" s="56">
        <v>25.758240386898517</v>
      </c>
      <c r="L10" s="41">
        <f t="shared" si="0"/>
        <v>17.305690188512756</v>
      </c>
      <c r="M10" s="131">
        <f t="shared" si="1"/>
        <v>16.192753341499312</v>
      </c>
    </row>
    <row r="11" spans="1:13" ht="18" x14ac:dyDescent="0.25">
      <c r="A11" s="80" t="s">
        <v>15</v>
      </c>
      <c r="B11" s="81">
        <v>410940</v>
      </c>
      <c r="C11" s="51">
        <v>1</v>
      </c>
      <c r="D11" s="57">
        <v>6.4459930313588848E-2</v>
      </c>
      <c r="E11" s="56">
        <v>6.4459930313588849</v>
      </c>
      <c r="F11" s="17">
        <v>6158</v>
      </c>
      <c r="G11" s="17">
        <v>25977</v>
      </c>
      <c r="H11" s="58">
        <v>0.23705585710436156</v>
      </c>
      <c r="I11" s="56">
        <v>35.570391752616473</v>
      </c>
      <c r="J11" s="57">
        <v>0.63210580895735213</v>
      </c>
      <c r="K11" s="56">
        <v>33.464970181588143</v>
      </c>
      <c r="L11" s="41">
        <f t="shared" si="0"/>
        <v>25.160451655187831</v>
      </c>
      <c r="M11" s="131">
        <f t="shared" si="1"/>
        <v>28.3840091657794</v>
      </c>
    </row>
    <row r="12" spans="1:13" ht="18" x14ac:dyDescent="0.25">
      <c r="A12" s="80" t="s">
        <v>18</v>
      </c>
      <c r="B12" s="81">
        <v>410765</v>
      </c>
      <c r="C12" s="51">
        <v>2</v>
      </c>
      <c r="D12" s="57">
        <v>5.4669703872437359E-2</v>
      </c>
      <c r="E12" s="56">
        <v>5.4669703872437356</v>
      </c>
      <c r="F12" s="17">
        <v>3274</v>
      </c>
      <c r="G12" s="17">
        <v>23587</v>
      </c>
      <c r="H12" s="58">
        <v>0.13880527409166066</v>
      </c>
      <c r="I12" s="56">
        <v>18.671466635180117</v>
      </c>
      <c r="J12" s="57">
        <v>0.53134106942940418</v>
      </c>
      <c r="K12" s="56">
        <v>50.236532978635786</v>
      </c>
      <c r="L12" s="41">
        <f t="shared" si="0"/>
        <v>24.791656667019879</v>
      </c>
      <c r="M12" s="131">
        <f t="shared" si="1"/>
        <v>27.811608072946335</v>
      </c>
    </row>
    <row r="13" spans="1:13" ht="18" x14ac:dyDescent="0.25">
      <c r="A13" s="80" t="s">
        <v>17</v>
      </c>
      <c r="B13" s="81">
        <v>412770</v>
      </c>
      <c r="C13" s="51">
        <v>0</v>
      </c>
      <c r="D13" s="57">
        <v>3.5890218156228011E-2</v>
      </c>
      <c r="E13" s="56">
        <v>3.5890218156228011</v>
      </c>
      <c r="F13" s="17">
        <v>1500</v>
      </c>
      <c r="G13" s="17">
        <v>19622</v>
      </c>
      <c r="H13" s="58">
        <v>7.6444806849454691E-2</v>
      </c>
      <c r="I13" s="56">
        <v>7.9455774455133996</v>
      </c>
      <c r="J13" s="57">
        <v>0.69373053620178626</v>
      </c>
      <c r="K13" s="56">
        <v>23.207979614522792</v>
      </c>
      <c r="L13" s="41">
        <f t="shared" si="0"/>
        <v>11.580859625219665</v>
      </c>
      <c r="M13" s="131">
        <f t="shared" si="1"/>
        <v>7.3073308822852958</v>
      </c>
    </row>
    <row r="14" spans="1:13" ht="18" x14ac:dyDescent="0.25">
      <c r="A14" s="80" t="s">
        <v>19</v>
      </c>
      <c r="B14" s="81">
        <v>411820</v>
      </c>
      <c r="C14" s="51">
        <v>4</v>
      </c>
      <c r="D14" s="57">
        <v>3.4104750304506701E-2</v>
      </c>
      <c r="E14" s="56">
        <v>3.4104750304506699</v>
      </c>
      <c r="F14" s="17">
        <v>4679</v>
      </c>
      <c r="G14" s="17">
        <v>20803</v>
      </c>
      <c r="H14" s="58">
        <v>0.22491948276690862</v>
      </c>
      <c r="I14" s="56">
        <v>33.482957003254413</v>
      </c>
      <c r="J14" s="57">
        <v>0.61147872707682727</v>
      </c>
      <c r="K14" s="56">
        <v>36.898198915168251</v>
      </c>
      <c r="L14" s="41">
        <f t="shared" si="0"/>
        <v>24.597210316291111</v>
      </c>
      <c r="M14" s="131">
        <f t="shared" si="1"/>
        <v>27.509810848945399</v>
      </c>
    </row>
    <row r="15" spans="1:13" ht="18" x14ac:dyDescent="0.25">
      <c r="A15" s="80" t="s">
        <v>21</v>
      </c>
      <c r="B15" s="81">
        <v>410140</v>
      </c>
      <c r="C15" s="51">
        <v>8</v>
      </c>
      <c r="D15" s="57">
        <v>5.8458813108945969E-2</v>
      </c>
      <c r="E15" s="56">
        <v>5.8458813108945966</v>
      </c>
      <c r="F15" s="17">
        <v>2629</v>
      </c>
      <c r="G15" s="17">
        <v>16342</v>
      </c>
      <c r="H15" s="58">
        <v>0.1608738220536042</v>
      </c>
      <c r="I15" s="56">
        <v>22.467217540914973</v>
      </c>
      <c r="J15" s="57">
        <v>0.52250303610222759</v>
      </c>
      <c r="K15" s="56">
        <v>51.707559764826492</v>
      </c>
      <c r="L15" s="41">
        <f t="shared" si="0"/>
        <v>26.673552872212017</v>
      </c>
      <c r="M15" s="131">
        <f t="shared" si="1"/>
        <v>30.732470554840507</v>
      </c>
    </row>
    <row r="16" spans="1:13" ht="18" x14ac:dyDescent="0.25">
      <c r="A16" s="80" t="s">
        <v>20</v>
      </c>
      <c r="B16" s="81">
        <v>410420</v>
      </c>
      <c r="C16" s="51">
        <v>4</v>
      </c>
      <c r="D16" s="57">
        <v>4.0126715945089757E-2</v>
      </c>
      <c r="E16" s="56">
        <v>4.0126715945089755</v>
      </c>
      <c r="F16" s="17">
        <v>2739</v>
      </c>
      <c r="G16" s="17">
        <v>17585</v>
      </c>
      <c r="H16" s="58">
        <v>0.15575774808075063</v>
      </c>
      <c r="I16" s="56">
        <v>21.587261938500465</v>
      </c>
      <c r="J16" s="57">
        <v>0.55549642506227204</v>
      </c>
      <c r="K16" s="56">
        <v>46.216048573281888</v>
      </c>
      <c r="L16" s="41">
        <f t="shared" si="0"/>
        <v>23.93866070209711</v>
      </c>
      <c r="M16" s="131">
        <f t="shared" si="1"/>
        <v>26.48768600738499</v>
      </c>
    </row>
    <row r="17" spans="1:13" ht="18" x14ac:dyDescent="0.25">
      <c r="A17" s="80" t="s">
        <v>22</v>
      </c>
      <c r="B17" s="81">
        <v>411915</v>
      </c>
      <c r="C17" s="51">
        <v>2</v>
      </c>
      <c r="D17" s="57">
        <v>3.783783783783784E-2</v>
      </c>
      <c r="E17" s="56">
        <v>3.7837837837837842</v>
      </c>
      <c r="F17" s="17">
        <v>2807</v>
      </c>
      <c r="G17" s="17">
        <v>15256</v>
      </c>
      <c r="H17" s="58">
        <v>0.18399318300996328</v>
      </c>
      <c r="I17" s="56">
        <v>26.443706408304074</v>
      </c>
      <c r="J17" s="57">
        <v>0.60486986404668064</v>
      </c>
      <c r="K17" s="56">
        <v>37.998196412769566</v>
      </c>
      <c r="L17" s="41">
        <f t="shared" si="0"/>
        <v>22.741895534952477</v>
      </c>
      <c r="M17" s="131">
        <f t="shared" si="1"/>
        <v>24.630204990787867</v>
      </c>
    </row>
    <row r="18" spans="1:13" ht="18" x14ac:dyDescent="0.25">
      <c r="A18" s="80" t="s">
        <v>25</v>
      </c>
      <c r="B18" s="81">
        <v>411950</v>
      </c>
      <c r="C18" s="51">
        <v>9</v>
      </c>
      <c r="D18" s="57">
        <v>6.0240963855421686E-2</v>
      </c>
      <c r="E18" s="56">
        <v>6.024096385542169</v>
      </c>
      <c r="F18" s="17">
        <v>4118</v>
      </c>
      <c r="G18" s="17">
        <v>17143</v>
      </c>
      <c r="H18" s="58">
        <v>0.24021466487779269</v>
      </c>
      <c r="I18" s="56">
        <v>36.113701058136705</v>
      </c>
      <c r="J18" s="57">
        <v>0.43321065968045636</v>
      </c>
      <c r="K18" s="56">
        <v>66.569630618887388</v>
      </c>
      <c r="L18" s="41">
        <f t="shared" si="0"/>
        <v>36.235809354188753</v>
      </c>
      <c r="M18" s="131">
        <f t="shared" si="1"/>
        <v>45.573903426322161</v>
      </c>
    </row>
    <row r="19" spans="1:13" ht="18" x14ac:dyDescent="0.25">
      <c r="A19" s="80" t="s">
        <v>26</v>
      </c>
      <c r="B19" s="81">
        <v>412625</v>
      </c>
      <c r="C19" s="51">
        <v>6</v>
      </c>
      <c r="D19" s="57">
        <v>2.6595744680851064E-2</v>
      </c>
      <c r="E19" s="56">
        <v>2.6595744680851063</v>
      </c>
      <c r="F19" s="17">
        <v>1025</v>
      </c>
      <c r="G19" s="17">
        <v>17398</v>
      </c>
      <c r="H19" s="58">
        <v>5.8914817795148865E-2</v>
      </c>
      <c r="I19" s="56">
        <v>4.9304505805674852</v>
      </c>
      <c r="J19" s="57">
        <v>0.45157106730684771</v>
      </c>
      <c r="K19" s="56">
        <v>63.513673436563636</v>
      </c>
      <c r="L19" s="41">
        <f t="shared" si="0"/>
        <v>23.701232828405409</v>
      </c>
      <c r="M19" s="131">
        <f t="shared" si="1"/>
        <v>26.119177815217618</v>
      </c>
    </row>
    <row r="20" spans="1:13" ht="18" x14ac:dyDescent="0.25">
      <c r="A20" s="80" t="s">
        <v>23</v>
      </c>
      <c r="B20" s="81">
        <v>410040</v>
      </c>
      <c r="C20" s="51">
        <v>0</v>
      </c>
      <c r="D20" s="57">
        <v>2.9713114754098359E-2</v>
      </c>
      <c r="E20" s="56">
        <v>2.971311475409836</v>
      </c>
      <c r="F20" s="17">
        <v>3173</v>
      </c>
      <c r="G20" s="17">
        <v>18188</v>
      </c>
      <c r="H20" s="58">
        <v>0.1744556850670772</v>
      </c>
      <c r="I20" s="56">
        <v>24.803273765541022</v>
      </c>
      <c r="J20" s="57">
        <v>0.42542018905881746</v>
      </c>
      <c r="K20" s="56">
        <v>67.866298162131827</v>
      </c>
      <c r="L20" s="41">
        <f t="shared" si="0"/>
        <v>31.880294467694227</v>
      </c>
      <c r="M20" s="131">
        <f t="shared" si="1"/>
        <v>38.813775005746209</v>
      </c>
    </row>
    <row r="21" spans="1:13" ht="18" x14ac:dyDescent="0.25">
      <c r="A21" s="80" t="s">
        <v>24</v>
      </c>
      <c r="B21" s="81">
        <v>410150</v>
      </c>
      <c r="C21" s="51">
        <v>7</v>
      </c>
      <c r="D21" s="57">
        <v>2.3622047244094488E-2</v>
      </c>
      <c r="E21" s="56">
        <v>2.3622047244094486</v>
      </c>
      <c r="F21" s="17">
        <v>1985</v>
      </c>
      <c r="G21" s="17">
        <v>15056</v>
      </c>
      <c r="H21" s="58">
        <v>0.13184112646121149</v>
      </c>
      <c r="I21" s="56">
        <v>17.47364565839753</v>
      </c>
      <c r="J21" s="57">
        <v>0.56047044450471184</v>
      </c>
      <c r="K21" s="56">
        <v>45.388158977939092</v>
      </c>
      <c r="L21" s="41">
        <f t="shared" si="0"/>
        <v>21.741336453582022</v>
      </c>
      <c r="M21" s="131">
        <f t="shared" si="1"/>
        <v>23.0772524561952</v>
      </c>
    </row>
    <row r="22" spans="1:13" ht="18" x14ac:dyDescent="0.25">
      <c r="A22" s="80" t="s">
        <v>27</v>
      </c>
      <c r="B22" s="81">
        <v>412810</v>
      </c>
      <c r="C22" s="51">
        <v>4</v>
      </c>
      <c r="D22" s="57">
        <v>1.9498607242339833E-2</v>
      </c>
      <c r="E22" s="56">
        <v>1.9498607242339834</v>
      </c>
      <c r="F22" s="17">
        <v>2318</v>
      </c>
      <c r="G22" s="17">
        <v>15111</v>
      </c>
      <c r="H22" s="58">
        <v>0.15339818675137318</v>
      </c>
      <c r="I22" s="56">
        <v>21.181421596464084</v>
      </c>
      <c r="J22" s="57">
        <v>0.54299762993636957</v>
      </c>
      <c r="K22" s="56">
        <v>48.29638270924584</v>
      </c>
      <c r="L22" s="41">
        <f t="shared" si="0"/>
        <v>23.809221676647969</v>
      </c>
      <c r="M22" s="131">
        <f t="shared" si="1"/>
        <v>26.286785664377639</v>
      </c>
    </row>
    <row r="23" spans="1:13" ht="18" x14ac:dyDescent="0.25">
      <c r="A23" s="80" t="s">
        <v>30</v>
      </c>
      <c r="B23" s="81">
        <v>410840</v>
      </c>
      <c r="C23" s="51">
        <v>3</v>
      </c>
      <c r="D23" s="57">
        <v>4.5045045045045043E-2</v>
      </c>
      <c r="E23" s="56">
        <v>4.5045045045045047</v>
      </c>
      <c r="F23" s="17">
        <v>1665</v>
      </c>
      <c r="G23" s="17">
        <v>12580</v>
      </c>
      <c r="H23" s="58">
        <v>0.13235294117647059</v>
      </c>
      <c r="I23" s="56">
        <v>17.561676876960856</v>
      </c>
      <c r="J23" s="57">
        <v>0.61733054856708991</v>
      </c>
      <c r="K23" s="56">
        <v>35.924205511713545</v>
      </c>
      <c r="L23" s="41">
        <f t="shared" si="0"/>
        <v>19.330128964392966</v>
      </c>
      <c r="M23" s="131">
        <f t="shared" si="1"/>
        <v>19.334853979699254</v>
      </c>
    </row>
    <row r="24" spans="1:13" ht="18" x14ac:dyDescent="0.25">
      <c r="A24" s="80" t="s">
        <v>29</v>
      </c>
      <c r="B24" s="81">
        <v>410430</v>
      </c>
      <c r="C24" s="51">
        <v>3</v>
      </c>
      <c r="D24" s="57">
        <v>8.1081081081081086E-2</v>
      </c>
      <c r="E24" s="56">
        <v>8.1081081081081088</v>
      </c>
      <c r="F24" s="17">
        <v>2409</v>
      </c>
      <c r="G24" s="17">
        <v>12915</v>
      </c>
      <c r="H24" s="58">
        <v>0.186527293844367</v>
      </c>
      <c r="I24" s="56">
        <v>26.879568954018801</v>
      </c>
      <c r="J24" s="57">
        <v>0.62592017210914774</v>
      </c>
      <c r="K24" s="56">
        <v>34.49452473931732</v>
      </c>
      <c r="L24" s="41">
        <f t="shared" si="0"/>
        <v>23.160733933814743</v>
      </c>
      <c r="M24" s="131">
        <f t="shared" si="1"/>
        <v>25.280277700344406</v>
      </c>
    </row>
    <row r="25" spans="1:13" ht="18" x14ac:dyDescent="0.25">
      <c r="A25" s="80" t="s">
        <v>28</v>
      </c>
      <c r="B25" s="81">
        <v>410370</v>
      </c>
      <c r="C25" s="51">
        <v>1</v>
      </c>
      <c r="D25" s="57">
        <v>5.5555555555555552E-2</v>
      </c>
      <c r="E25" s="56">
        <v>5.5555555555555554</v>
      </c>
      <c r="F25" s="17">
        <v>2072</v>
      </c>
      <c r="G25" s="17">
        <v>13122</v>
      </c>
      <c r="H25" s="58">
        <v>0.157902758725804</v>
      </c>
      <c r="I25" s="56">
        <v>21.956199945333204</v>
      </c>
      <c r="J25" s="57">
        <v>0.55140377399695217</v>
      </c>
      <c r="K25" s="56">
        <v>46.897240770770551</v>
      </c>
      <c r="L25" s="41">
        <f t="shared" si="0"/>
        <v>24.802998757219772</v>
      </c>
      <c r="M25" s="131">
        <f t="shared" si="1"/>
        <v>27.829211958665283</v>
      </c>
    </row>
    <row r="26" spans="1:13" ht="18" x14ac:dyDescent="0.25">
      <c r="A26" s="80" t="s">
        <v>32</v>
      </c>
      <c r="B26" s="81">
        <v>411850</v>
      </c>
      <c r="C26" s="51">
        <v>1</v>
      </c>
      <c r="D26" s="57">
        <v>2.2151898734177215E-2</v>
      </c>
      <c r="E26" s="56">
        <v>2.2151898734177213</v>
      </c>
      <c r="F26" s="17">
        <v>1474</v>
      </c>
      <c r="G26" s="17">
        <v>12042</v>
      </c>
      <c r="H26" s="58">
        <v>0.12240491612688922</v>
      </c>
      <c r="I26" s="56">
        <v>15.850634303732312</v>
      </c>
      <c r="J26" s="57">
        <v>0.68707965762719325</v>
      </c>
      <c r="K26" s="56">
        <v>24.314970295904818</v>
      </c>
      <c r="L26" s="41">
        <f t="shared" si="0"/>
        <v>14.126931491018283</v>
      </c>
      <c r="M26" s="131">
        <f t="shared" si="1"/>
        <v>11.259050306820823</v>
      </c>
    </row>
    <row r="27" spans="1:13" ht="18" x14ac:dyDescent="0.25">
      <c r="A27" s="80" t="s">
        <v>33</v>
      </c>
      <c r="B27" s="81">
        <v>410550</v>
      </c>
      <c r="C27" s="51">
        <v>8</v>
      </c>
      <c r="D27" s="57">
        <v>3.9735099337748346E-2</v>
      </c>
      <c r="E27" s="56">
        <v>3.9735099337748347</v>
      </c>
      <c r="F27" s="17">
        <v>1201</v>
      </c>
      <c r="G27" s="17">
        <v>10202</v>
      </c>
      <c r="H27" s="58">
        <v>0.11772201529111939</v>
      </c>
      <c r="I27" s="56">
        <v>15.045183708636866</v>
      </c>
      <c r="J27" s="57">
        <v>0.56867080279877291</v>
      </c>
      <c r="K27" s="56">
        <v>44.02326859335183</v>
      </c>
      <c r="L27" s="41">
        <f t="shared" si="0"/>
        <v>21.013987411921178</v>
      </c>
      <c r="M27" s="131">
        <f t="shared" si="1"/>
        <v>21.948345069503311</v>
      </c>
    </row>
    <row r="28" spans="1:13" ht="18" x14ac:dyDescent="0.25">
      <c r="A28" s="80" t="s">
        <v>43</v>
      </c>
      <c r="B28" s="81">
        <v>411760</v>
      </c>
      <c r="C28" s="51">
        <v>2</v>
      </c>
      <c r="D28" s="57">
        <v>3.4782608695652174E-2</v>
      </c>
      <c r="E28" s="56">
        <v>3.4782608695652173</v>
      </c>
      <c r="F28" s="17">
        <v>2032</v>
      </c>
      <c r="G28" s="17">
        <v>7693</v>
      </c>
      <c r="H28" s="58">
        <v>0.26413622773950346</v>
      </c>
      <c r="I28" s="56">
        <v>40.228167223083929</v>
      </c>
      <c r="J28" s="57">
        <v>0.52865274596808587</v>
      </c>
      <c r="K28" s="56">
        <v>50.683984993710673</v>
      </c>
      <c r="L28" s="41">
        <f t="shared" si="0"/>
        <v>31.463471028786604</v>
      </c>
      <c r="M28" s="131">
        <f t="shared" si="1"/>
        <v>38.166829684893578</v>
      </c>
    </row>
    <row r="29" spans="1:13" ht="18" x14ac:dyDescent="0.25">
      <c r="A29" s="80" t="s">
        <v>31</v>
      </c>
      <c r="B29" s="81">
        <v>411840</v>
      </c>
      <c r="C29" s="51">
        <v>2</v>
      </c>
      <c r="D29" s="57">
        <v>3.021978021978022E-2</v>
      </c>
      <c r="E29" s="56">
        <v>3.0219780219780219</v>
      </c>
      <c r="F29" s="17">
        <v>2205</v>
      </c>
      <c r="G29" s="17">
        <v>11779</v>
      </c>
      <c r="H29" s="58">
        <v>0.18719755497071058</v>
      </c>
      <c r="I29" s="56">
        <v>26.994852672811039</v>
      </c>
      <c r="J29" s="57">
        <v>0.57190465249326639</v>
      </c>
      <c r="K29" s="56">
        <v>43.485017678582508</v>
      </c>
      <c r="L29" s="41">
        <f t="shared" si="0"/>
        <v>24.500616124457185</v>
      </c>
      <c r="M29" s="131">
        <f t="shared" si="1"/>
        <v>27.359888472717529</v>
      </c>
    </row>
    <row r="30" spans="1:13" ht="18" x14ac:dyDescent="0.25">
      <c r="A30" s="80" t="s">
        <v>35</v>
      </c>
      <c r="B30" s="81">
        <v>410490</v>
      </c>
      <c r="C30" s="51">
        <v>7</v>
      </c>
      <c r="D30" s="57">
        <v>4.3918918918918921E-2</v>
      </c>
      <c r="E30" s="56">
        <v>4.3918918918918921</v>
      </c>
      <c r="F30" s="17">
        <v>2993</v>
      </c>
      <c r="G30" s="17">
        <v>10845</v>
      </c>
      <c r="H30" s="58">
        <v>0.27597971415398803</v>
      </c>
      <c r="I30" s="56">
        <v>42.265225771854851</v>
      </c>
      <c r="J30" s="57">
        <v>0.61328279614184933</v>
      </c>
      <c r="K30" s="56">
        <v>36.597924654985839</v>
      </c>
      <c r="L30" s="41">
        <f t="shared" si="0"/>
        <v>27.751680772910859</v>
      </c>
      <c r="M30" s="131">
        <f t="shared" si="1"/>
        <v>32.405816474315941</v>
      </c>
    </row>
    <row r="31" spans="1:13" ht="18" x14ac:dyDescent="0.25">
      <c r="A31" s="80" t="s">
        <v>34</v>
      </c>
      <c r="B31" s="81">
        <v>412710</v>
      </c>
      <c r="C31" s="51">
        <v>6</v>
      </c>
      <c r="D31" s="57">
        <v>2.9411764705882353E-2</v>
      </c>
      <c r="E31" s="56">
        <v>2.9411764705882351</v>
      </c>
      <c r="F31" s="17">
        <v>984</v>
      </c>
      <c r="G31" s="17">
        <v>10714</v>
      </c>
      <c r="H31" s="58">
        <v>9.1842449131976853E-2</v>
      </c>
      <c r="I31" s="56">
        <v>10.593944467251855</v>
      </c>
      <c r="J31" s="57">
        <v>0.60730612615350532</v>
      </c>
      <c r="K31" s="56">
        <v>37.592698188826404</v>
      </c>
      <c r="L31" s="41">
        <f t="shared" si="0"/>
        <v>17.042606375555497</v>
      </c>
      <c r="M31" s="131">
        <f t="shared" si="1"/>
        <v>15.78442495615031</v>
      </c>
    </row>
    <row r="32" spans="1:13" ht="18" x14ac:dyDescent="0.25">
      <c r="A32" s="80" t="s">
        <v>36</v>
      </c>
      <c r="B32" s="81">
        <v>412240</v>
      </c>
      <c r="C32" s="51">
        <v>4</v>
      </c>
      <c r="D32" s="57">
        <v>3.8235294117647062E-2</v>
      </c>
      <c r="E32" s="56">
        <v>3.8235294117647061</v>
      </c>
      <c r="F32" s="17">
        <v>1368</v>
      </c>
      <c r="G32" s="17">
        <v>9839</v>
      </c>
      <c r="H32" s="58">
        <v>0.13903852017481452</v>
      </c>
      <c r="I32" s="56">
        <v>18.711584545652396</v>
      </c>
      <c r="J32" s="57">
        <v>0.60285433910674024</v>
      </c>
      <c r="K32" s="56">
        <v>38.33366597541206</v>
      </c>
      <c r="L32" s="41">
        <f t="shared" si="0"/>
        <v>20.289593310943054</v>
      </c>
      <c r="M32" s="131">
        <f t="shared" si="1"/>
        <v>20.824024001308992</v>
      </c>
    </row>
    <row r="33" spans="1:13" ht="18" x14ac:dyDescent="0.25">
      <c r="A33" s="80" t="s">
        <v>41</v>
      </c>
      <c r="B33" s="81">
        <v>410980</v>
      </c>
      <c r="C33" s="51">
        <v>7</v>
      </c>
      <c r="D33" s="57">
        <v>4.7619047619047616E-2</v>
      </c>
      <c r="E33" s="56">
        <v>4.7619047619047619</v>
      </c>
      <c r="F33" s="17">
        <v>1507</v>
      </c>
      <c r="G33" s="17">
        <v>6408</v>
      </c>
      <c r="H33" s="58">
        <v>0.23517478152309612</v>
      </c>
      <c r="I33" s="56">
        <v>35.246850106212868</v>
      </c>
      <c r="J33" s="57">
        <v>0.54764851390071856</v>
      </c>
      <c r="K33" s="56">
        <v>47.522276679346106</v>
      </c>
      <c r="L33" s="41">
        <f t="shared" si="0"/>
        <v>29.177010515821241</v>
      </c>
      <c r="M33" s="131">
        <f t="shared" si="1"/>
        <v>34.618049093154632</v>
      </c>
    </row>
    <row r="34" spans="1:13" ht="18" x14ac:dyDescent="0.25">
      <c r="A34" s="80" t="s">
        <v>45</v>
      </c>
      <c r="B34" s="81">
        <v>411750</v>
      </c>
      <c r="C34" s="51">
        <v>3</v>
      </c>
      <c r="D34" s="57">
        <v>2.3121387283236993E-2</v>
      </c>
      <c r="E34" s="56">
        <v>2.3121387283236992</v>
      </c>
      <c r="F34" s="17">
        <v>1305</v>
      </c>
      <c r="G34" s="17">
        <v>6689</v>
      </c>
      <c r="H34" s="58">
        <v>0.19509642696965165</v>
      </c>
      <c r="I34" s="56">
        <v>28.35344457455135</v>
      </c>
      <c r="J34" s="57">
        <v>0.43068889776087893</v>
      </c>
      <c r="K34" s="56">
        <v>66.989359668865873</v>
      </c>
      <c r="L34" s="41">
        <f t="shared" si="0"/>
        <v>32.551647657246974</v>
      </c>
      <c r="M34" s="131">
        <f t="shared" si="1"/>
        <v>39.855772081915667</v>
      </c>
    </row>
    <row r="35" spans="1:13" ht="18" x14ac:dyDescent="0.25">
      <c r="A35" s="80" t="s">
        <v>40</v>
      </c>
      <c r="B35" s="81">
        <v>411580</v>
      </c>
      <c r="C35" s="51">
        <v>4</v>
      </c>
      <c r="D35" s="57">
        <v>1.5600624024960999E-2</v>
      </c>
      <c r="E35" s="56">
        <v>1.5600624024960998</v>
      </c>
      <c r="F35" s="17">
        <v>763</v>
      </c>
      <c r="G35" s="17">
        <v>7219</v>
      </c>
      <c r="H35" s="58">
        <v>0.10569330932262086</v>
      </c>
      <c r="I35" s="56">
        <v>12.976267726784227</v>
      </c>
      <c r="J35" s="57">
        <v>0.69664178584911818</v>
      </c>
      <c r="K35" s="56">
        <v>22.723423146587223</v>
      </c>
      <c r="L35" s="41">
        <f t="shared" si="0"/>
        <v>12.419917758622518</v>
      </c>
      <c r="M35" s="131">
        <f t="shared" si="1"/>
        <v>8.6096202514985816</v>
      </c>
    </row>
    <row r="36" spans="1:13" ht="18" x14ac:dyDescent="0.25">
      <c r="A36" s="80" t="s">
        <v>38</v>
      </c>
      <c r="B36" s="81">
        <v>411460</v>
      </c>
      <c r="C36" s="51">
        <v>9</v>
      </c>
      <c r="D36" s="57">
        <v>3.0054644808743168E-2</v>
      </c>
      <c r="E36" s="56">
        <v>3.0054644808743167</v>
      </c>
      <c r="F36" s="17">
        <v>721</v>
      </c>
      <c r="G36" s="17">
        <v>7234</v>
      </c>
      <c r="H36" s="58">
        <v>9.9668233342549067E-2</v>
      </c>
      <c r="I36" s="56">
        <v>11.939965399693344</v>
      </c>
      <c r="J36" s="57">
        <v>0.63693171398198889</v>
      </c>
      <c r="K36" s="56">
        <v>32.661733160855967</v>
      </c>
      <c r="L36" s="41">
        <f t="shared" si="0"/>
        <v>15.869054347141208</v>
      </c>
      <c r="M36" s="131">
        <f t="shared" si="1"/>
        <v>13.962972699172022</v>
      </c>
    </row>
    <row r="37" spans="1:13" ht="18" x14ac:dyDescent="0.25">
      <c r="A37" s="80" t="s">
        <v>39</v>
      </c>
      <c r="B37" s="81">
        <v>412820</v>
      </c>
      <c r="C37" s="51">
        <v>3</v>
      </c>
      <c r="D37" s="57">
        <v>2.7777777777777776E-2</v>
      </c>
      <c r="E37" s="56">
        <v>2.7777777777777777</v>
      </c>
      <c r="F37" s="17">
        <v>1442</v>
      </c>
      <c r="G37" s="17">
        <v>7187</v>
      </c>
      <c r="H37" s="58">
        <v>0.2006400445248365</v>
      </c>
      <c r="I37" s="56">
        <v>29.306936910903836</v>
      </c>
      <c r="J37" s="57">
        <v>0.51933166257566898</v>
      </c>
      <c r="K37" s="56">
        <v>52.235411972878097</v>
      </c>
      <c r="L37" s="41">
        <f t="shared" si="0"/>
        <v>28.106708887186567</v>
      </c>
      <c r="M37" s="131">
        <f t="shared" si="1"/>
        <v>32.956850211535091</v>
      </c>
    </row>
    <row r="38" spans="1:13" ht="18" x14ac:dyDescent="0.25">
      <c r="A38" s="80" t="s">
        <v>51</v>
      </c>
      <c r="B38" s="81">
        <v>410960</v>
      </c>
      <c r="C38" s="51">
        <v>9</v>
      </c>
      <c r="D38" s="57">
        <v>3.0716723549488054E-2</v>
      </c>
      <c r="E38" s="56">
        <v>3.0716723549488054</v>
      </c>
      <c r="F38" s="17">
        <v>1799</v>
      </c>
      <c r="G38" s="17">
        <v>5732</v>
      </c>
      <c r="H38" s="58">
        <v>0.3138520586182833</v>
      </c>
      <c r="I38" s="56">
        <v>48.779201501048718</v>
      </c>
      <c r="J38" s="57">
        <v>0.47722450058489968</v>
      </c>
      <c r="K38" s="56">
        <v>59.243844831852279</v>
      </c>
      <c r="L38" s="41">
        <f t="shared" si="0"/>
        <v>37.031572895949935</v>
      </c>
      <c r="M38" s="131">
        <f t="shared" si="1"/>
        <v>46.808995918233613</v>
      </c>
    </row>
    <row r="39" spans="1:13" ht="18" x14ac:dyDescent="0.25">
      <c r="A39" s="80" t="s">
        <v>48</v>
      </c>
      <c r="B39" s="81">
        <v>410720</v>
      </c>
      <c r="C39" s="51">
        <v>7</v>
      </c>
      <c r="D39" s="57">
        <v>3.1914893617021274E-2</v>
      </c>
      <c r="E39" s="56">
        <v>3.1914893617021276</v>
      </c>
      <c r="F39" s="17">
        <v>828</v>
      </c>
      <c r="G39" s="17">
        <v>6119</v>
      </c>
      <c r="H39" s="58">
        <v>0.13531622814185323</v>
      </c>
      <c r="I39" s="56">
        <v>18.07135695207047</v>
      </c>
      <c r="J39" s="57">
        <v>0.62605902491639132</v>
      </c>
      <c r="K39" s="56">
        <v>34.471413692862555</v>
      </c>
      <c r="L39" s="41">
        <f t="shared" si="0"/>
        <v>18.578086668878385</v>
      </c>
      <c r="M39" s="131">
        <f t="shared" si="1"/>
        <v>18.167620569213771</v>
      </c>
    </row>
    <row r="40" spans="1:13" ht="18" x14ac:dyDescent="0.25">
      <c r="A40" s="80" t="s">
        <v>53</v>
      </c>
      <c r="B40" s="81">
        <v>411180</v>
      </c>
      <c r="C40" s="51">
        <v>3</v>
      </c>
      <c r="D40" s="57">
        <v>3.5460992907801421E-2</v>
      </c>
      <c r="E40" s="56">
        <v>3.5460992907801421</v>
      </c>
      <c r="F40" s="17">
        <v>1555</v>
      </c>
      <c r="G40" s="17">
        <v>5423</v>
      </c>
      <c r="H40" s="58">
        <v>0.28674165591001288</v>
      </c>
      <c r="I40" s="56">
        <v>44.116260567544217</v>
      </c>
      <c r="J40" s="57">
        <v>0.56818281443719543</v>
      </c>
      <c r="K40" s="56">
        <v>44.104490730071149</v>
      </c>
      <c r="L40" s="41">
        <f t="shared" si="0"/>
        <v>30.588950196131837</v>
      </c>
      <c r="M40" s="131">
        <f t="shared" si="1"/>
        <v>36.809499199456219</v>
      </c>
    </row>
    <row r="41" spans="1:13" ht="18" x14ac:dyDescent="0.25">
      <c r="A41" s="80" t="s">
        <v>44</v>
      </c>
      <c r="B41" s="81">
        <v>410400</v>
      </c>
      <c r="C41" s="51">
        <v>6</v>
      </c>
      <c r="D41" s="57">
        <v>2.8901734104046242E-2</v>
      </c>
      <c r="E41" s="56">
        <v>2.8901734104046244</v>
      </c>
      <c r="F41" s="17">
        <v>1465</v>
      </c>
      <c r="G41" s="17">
        <v>6784</v>
      </c>
      <c r="H41" s="58">
        <v>0.21594929245283018</v>
      </c>
      <c r="I41" s="56">
        <v>31.940100261252496</v>
      </c>
      <c r="J41" s="57">
        <v>0.53971747853909979</v>
      </c>
      <c r="K41" s="56">
        <v>48.842340207879332</v>
      </c>
      <c r="L41" s="41">
        <f t="shared" si="0"/>
        <v>27.890871293178819</v>
      </c>
      <c r="M41" s="131">
        <f t="shared" si="1"/>
        <v>32.621851964139623</v>
      </c>
    </row>
    <row r="42" spans="1:13" ht="18" x14ac:dyDescent="0.25">
      <c r="A42" s="80" t="s">
        <v>37</v>
      </c>
      <c r="B42" s="81">
        <v>411070</v>
      </c>
      <c r="C42" s="51">
        <v>6</v>
      </c>
      <c r="D42" s="57">
        <v>3.6866359447004608E-2</v>
      </c>
      <c r="E42" s="56">
        <v>3.6866359447004609</v>
      </c>
      <c r="F42" s="17">
        <v>1796</v>
      </c>
      <c r="G42" s="17">
        <v>7341</v>
      </c>
      <c r="H42" s="58">
        <v>0.24465331698678655</v>
      </c>
      <c r="I42" s="56">
        <v>36.877141307672339</v>
      </c>
      <c r="J42" s="57">
        <v>0.48422803692876543</v>
      </c>
      <c r="K42" s="56">
        <v>58.078156812979657</v>
      </c>
      <c r="L42" s="41">
        <f t="shared" si="0"/>
        <v>32.880644688450822</v>
      </c>
      <c r="M42" s="131">
        <f t="shared" si="1"/>
        <v>40.36640337095627</v>
      </c>
    </row>
    <row r="43" spans="1:13" ht="18" x14ac:dyDescent="0.25">
      <c r="A43" s="80" t="s">
        <v>42</v>
      </c>
      <c r="B43" s="81">
        <v>412060</v>
      </c>
      <c r="C43" s="51">
        <v>6</v>
      </c>
      <c r="D43" s="57">
        <v>3.7470725995316159E-2</v>
      </c>
      <c r="E43" s="56">
        <v>3.7470725995316161</v>
      </c>
      <c r="F43" s="17">
        <v>1691</v>
      </c>
      <c r="G43" s="17">
        <v>6333</v>
      </c>
      <c r="H43" s="58">
        <v>0.26701405337123008</v>
      </c>
      <c r="I43" s="56">
        <v>40.723148101164831</v>
      </c>
      <c r="J43" s="57">
        <v>0.44480310824361946</v>
      </c>
      <c r="K43" s="56">
        <v>64.640151319288634</v>
      </c>
      <c r="L43" s="41">
        <f t="shared" si="0"/>
        <v>36.370124006661698</v>
      </c>
      <c r="M43" s="131">
        <f t="shared" si="1"/>
        <v>45.78237115588901</v>
      </c>
    </row>
    <row r="44" spans="1:13" ht="18" x14ac:dyDescent="0.25">
      <c r="A44" s="80" t="s">
        <v>63</v>
      </c>
      <c r="B44" s="81">
        <v>411330</v>
      </c>
      <c r="C44" s="51">
        <v>4</v>
      </c>
      <c r="D44" s="57">
        <v>2.553191489361702E-2</v>
      </c>
      <c r="E44" s="56">
        <v>2.5531914893617018</v>
      </c>
      <c r="F44" s="17">
        <v>701</v>
      </c>
      <c r="G44" s="17">
        <v>4547</v>
      </c>
      <c r="H44" s="58">
        <v>0.15416758302177261</v>
      </c>
      <c r="I44" s="56">
        <v>21.31375638329618</v>
      </c>
      <c r="J44" s="57">
        <v>0.47675243585115962</v>
      </c>
      <c r="K44" s="56">
        <v>59.322416595777675</v>
      </c>
      <c r="L44" s="41">
        <f t="shared" si="0"/>
        <v>27.729788156145187</v>
      </c>
      <c r="M44" s="131">
        <f t="shared" si="1"/>
        <v>32.371837276757162</v>
      </c>
    </row>
    <row r="45" spans="1:13" ht="18" x14ac:dyDescent="0.25">
      <c r="A45" s="80" t="s">
        <v>50</v>
      </c>
      <c r="B45" s="81">
        <v>412560</v>
      </c>
      <c r="C45" s="51">
        <v>5</v>
      </c>
      <c r="D45" s="57">
        <v>1.9867549668874173E-2</v>
      </c>
      <c r="E45" s="56">
        <v>1.9867549668874174</v>
      </c>
      <c r="F45" s="17">
        <v>1198</v>
      </c>
      <c r="G45" s="17">
        <v>5578</v>
      </c>
      <c r="H45" s="58">
        <v>0.2147723198278953</v>
      </c>
      <c r="I45" s="56">
        <v>31.737663068065803</v>
      </c>
      <c r="J45" s="57">
        <v>0.52705075871706741</v>
      </c>
      <c r="K45" s="56">
        <v>50.950624196137959</v>
      </c>
      <c r="L45" s="41">
        <f t="shared" si="0"/>
        <v>28.225014077030394</v>
      </c>
      <c r="M45" s="131">
        <f t="shared" si="1"/>
        <v>33.140469897612789</v>
      </c>
    </row>
    <row r="46" spans="1:13" ht="18" x14ac:dyDescent="0.25">
      <c r="A46" s="80" t="s">
        <v>65</v>
      </c>
      <c r="B46" s="81">
        <v>411410</v>
      </c>
      <c r="C46" s="51">
        <v>4</v>
      </c>
      <c r="D46" s="57">
        <v>1.8518518518518517E-2</v>
      </c>
      <c r="E46" s="56">
        <v>1.8518518518518516</v>
      </c>
      <c r="F46" s="17">
        <v>549</v>
      </c>
      <c r="G46" s="17">
        <v>4538</v>
      </c>
      <c r="H46" s="58">
        <v>0.12097840458351697</v>
      </c>
      <c r="I46" s="56">
        <v>15.605276861451383</v>
      </c>
      <c r="J46" s="57">
        <v>0.46749113449398794</v>
      </c>
      <c r="K46" s="56">
        <v>60.863893287146539</v>
      </c>
      <c r="L46" s="41">
        <f t="shared" si="0"/>
        <v>26.107007333483256</v>
      </c>
      <c r="M46" s="131">
        <f t="shared" si="1"/>
        <v>29.853143839694489</v>
      </c>
    </row>
    <row r="47" spans="1:13" ht="18" x14ac:dyDescent="0.25">
      <c r="A47" s="80" t="s">
        <v>64</v>
      </c>
      <c r="B47" s="81">
        <v>410880</v>
      </c>
      <c r="C47" s="51">
        <v>9</v>
      </c>
      <c r="D47" s="57">
        <v>3.0973451327433628E-2</v>
      </c>
      <c r="E47" s="56">
        <v>3.0973451327433628</v>
      </c>
      <c r="F47" s="17">
        <v>772</v>
      </c>
      <c r="G47" s="17">
        <v>4536</v>
      </c>
      <c r="H47" s="58">
        <v>0.17019400352733685</v>
      </c>
      <c r="I47" s="56">
        <v>24.070272138414563</v>
      </c>
      <c r="J47" s="57">
        <v>0.46248192224784246</v>
      </c>
      <c r="K47" s="56">
        <v>61.697640470372939</v>
      </c>
      <c r="L47" s="41">
        <f t="shared" si="0"/>
        <v>29.621752580510286</v>
      </c>
      <c r="M47" s="131">
        <f t="shared" si="1"/>
        <v>35.308326488521267</v>
      </c>
    </row>
    <row r="48" spans="1:13" ht="18" x14ac:dyDescent="0.25">
      <c r="A48" s="80" t="s">
        <v>55</v>
      </c>
      <c r="B48" s="81">
        <v>412220</v>
      </c>
      <c r="C48" s="51">
        <v>6</v>
      </c>
      <c r="D48" s="57">
        <v>2.8938906752411574E-2</v>
      </c>
      <c r="E48" s="56">
        <v>2.8938906752411575</v>
      </c>
      <c r="F48" s="17">
        <v>1696</v>
      </c>
      <c r="G48" s="17">
        <v>5464</v>
      </c>
      <c r="H48" s="58">
        <v>0.31039531478770133</v>
      </c>
      <c r="I48" s="56">
        <v>48.184647724857761</v>
      </c>
      <c r="J48" s="57">
        <v>0.47507288021276978</v>
      </c>
      <c r="K48" s="56">
        <v>59.6019664957958</v>
      </c>
      <c r="L48" s="41">
        <f t="shared" si="0"/>
        <v>36.893501631964902</v>
      </c>
      <c r="M48" s="131">
        <f t="shared" si="1"/>
        <v>46.594697609066017</v>
      </c>
    </row>
    <row r="49" spans="1:13" ht="18" x14ac:dyDescent="0.25">
      <c r="A49" s="80" t="s">
        <v>49</v>
      </c>
      <c r="B49" s="81">
        <v>412410</v>
      </c>
      <c r="C49" s="51">
        <v>3</v>
      </c>
      <c r="D49" s="57">
        <v>2.3904382470119521E-2</v>
      </c>
      <c r="E49" s="56">
        <v>2.3904382470119523</v>
      </c>
      <c r="F49" s="17">
        <v>1391</v>
      </c>
      <c r="G49" s="17">
        <v>5691</v>
      </c>
      <c r="H49" s="58">
        <v>0.24442101563872781</v>
      </c>
      <c r="I49" s="56">
        <v>36.83718588995216</v>
      </c>
      <c r="J49" s="57">
        <v>0.45739720770104347</v>
      </c>
      <c r="K49" s="56">
        <v>62.543954465984953</v>
      </c>
      <c r="L49" s="41">
        <f t="shared" si="0"/>
        <v>33.923859534316357</v>
      </c>
      <c r="M49" s="131">
        <f t="shared" si="1"/>
        <v>41.985561268951258</v>
      </c>
    </row>
    <row r="50" spans="1:13" ht="18" x14ac:dyDescent="0.25">
      <c r="A50" s="80" t="s">
        <v>59</v>
      </c>
      <c r="B50" s="81">
        <v>411790</v>
      </c>
      <c r="C50" s="51">
        <v>9</v>
      </c>
      <c r="D50" s="57">
        <v>2.4229074889867842E-2</v>
      </c>
      <c r="E50" s="56">
        <v>2.4229074889867843</v>
      </c>
      <c r="F50" s="17">
        <v>483</v>
      </c>
      <c r="G50" s="17">
        <v>4889</v>
      </c>
      <c r="H50" s="58">
        <v>9.8793209245244429E-2</v>
      </c>
      <c r="I50" s="56">
        <v>11.789462814946425</v>
      </c>
      <c r="J50" s="57">
        <v>0.7233745524701366</v>
      </c>
      <c r="K50" s="56">
        <v>18.273947305895195</v>
      </c>
      <c r="L50" s="41">
        <f t="shared" si="0"/>
        <v>10.828772536609469</v>
      </c>
      <c r="M50" s="131">
        <f t="shared" si="1"/>
        <v>6.1400279491172816</v>
      </c>
    </row>
    <row r="51" spans="1:13" ht="18" x14ac:dyDescent="0.25">
      <c r="A51" s="80" t="s">
        <v>73</v>
      </c>
      <c r="B51" s="81">
        <v>411930</v>
      </c>
      <c r="C51" s="51">
        <v>1</v>
      </c>
      <c r="D51" s="57">
        <v>0.10679611650485436</v>
      </c>
      <c r="E51" s="56">
        <v>10.679611650485436</v>
      </c>
      <c r="F51" s="17">
        <v>1604</v>
      </c>
      <c r="G51" s="17">
        <v>4813</v>
      </c>
      <c r="H51" s="58">
        <v>0.33326407645958861</v>
      </c>
      <c r="I51" s="56">
        <v>52.118033962085121</v>
      </c>
      <c r="J51" s="57">
        <v>0.43149184228412829</v>
      </c>
      <c r="K51" s="56">
        <v>66.85571535482002</v>
      </c>
      <c r="L51" s="41">
        <f t="shared" si="0"/>
        <v>43.21778698913019</v>
      </c>
      <c r="M51" s="131">
        <f t="shared" si="1"/>
        <v>56.410524737879832</v>
      </c>
    </row>
    <row r="52" spans="1:13" ht="18" x14ac:dyDescent="0.25">
      <c r="A52" s="80" t="s">
        <v>52</v>
      </c>
      <c r="B52" s="81">
        <v>411480</v>
      </c>
      <c r="C52" s="51">
        <v>7</v>
      </c>
      <c r="D52" s="57">
        <v>5.2816901408450703E-2</v>
      </c>
      <c r="E52" s="56">
        <v>5.28169014084507</v>
      </c>
      <c r="F52" s="17">
        <v>901</v>
      </c>
      <c r="G52" s="17">
        <v>5410</v>
      </c>
      <c r="H52" s="58">
        <v>0.166543438077634</v>
      </c>
      <c r="I52" s="56">
        <v>23.44238138927922</v>
      </c>
      <c r="J52" s="57">
        <v>0.55804095069628601</v>
      </c>
      <c r="K52" s="56">
        <v>45.792530667519564</v>
      </c>
      <c r="L52" s="41">
        <f t="shared" si="0"/>
        <v>24.838867399214617</v>
      </c>
      <c r="M52" s="131">
        <f t="shared" si="1"/>
        <v>27.884883132447445</v>
      </c>
    </row>
    <row r="53" spans="1:13" ht="18" x14ac:dyDescent="0.25">
      <c r="A53" s="80" t="s">
        <v>69</v>
      </c>
      <c r="B53" s="81">
        <v>412090</v>
      </c>
      <c r="C53" s="51">
        <v>3</v>
      </c>
      <c r="D53" s="57">
        <v>5.3030303030303032E-2</v>
      </c>
      <c r="E53" s="56">
        <v>5.3030303030303028</v>
      </c>
      <c r="F53" s="17">
        <v>1522</v>
      </c>
      <c r="G53" s="17">
        <v>4473</v>
      </c>
      <c r="H53" s="58">
        <v>0.34026380505253745</v>
      </c>
      <c r="I53" s="56">
        <v>53.321974800984052</v>
      </c>
      <c r="J53" s="57">
        <v>0.45294824310246601</v>
      </c>
      <c r="K53" s="56">
        <v>63.28445247646399</v>
      </c>
      <c r="L53" s="41">
        <f t="shared" si="0"/>
        <v>40.636485860159446</v>
      </c>
      <c r="M53" s="131">
        <f t="shared" si="1"/>
        <v>52.404126509709791</v>
      </c>
    </row>
    <row r="54" spans="1:13" ht="18" x14ac:dyDescent="0.25">
      <c r="A54" s="80" t="s">
        <v>57</v>
      </c>
      <c r="B54" s="81">
        <v>411420</v>
      </c>
      <c r="C54" s="51">
        <v>3</v>
      </c>
      <c r="D54" s="57">
        <v>0</v>
      </c>
      <c r="E54" s="56">
        <v>0</v>
      </c>
      <c r="F54" s="17">
        <v>408</v>
      </c>
      <c r="G54" s="17">
        <v>4580</v>
      </c>
      <c r="H54" s="58">
        <v>8.9082969432314404E-2</v>
      </c>
      <c r="I54" s="56">
        <v>10.119318878499337</v>
      </c>
      <c r="J54" s="57">
        <v>0.59473516744184529</v>
      </c>
      <c r="K54" s="56">
        <v>39.685043432206136</v>
      </c>
      <c r="L54" s="41">
        <f t="shared" si="0"/>
        <v>16.601454103568489</v>
      </c>
      <c r="M54" s="131">
        <f t="shared" si="1"/>
        <v>15.09971922344617</v>
      </c>
    </row>
    <row r="55" spans="1:13" ht="18" x14ac:dyDescent="0.25">
      <c r="A55" s="80" t="s">
        <v>60</v>
      </c>
      <c r="B55" s="81">
        <v>411770</v>
      </c>
      <c r="C55" s="51">
        <v>1</v>
      </c>
      <c r="D55" s="57">
        <v>2.9411764705882353E-2</v>
      </c>
      <c r="E55" s="56">
        <v>2.9411764705882351</v>
      </c>
      <c r="F55" s="17">
        <v>592</v>
      </c>
      <c r="G55" s="17">
        <v>4436</v>
      </c>
      <c r="H55" s="58">
        <v>0.13345356176735798</v>
      </c>
      <c r="I55" s="56">
        <v>17.750981656411483</v>
      </c>
      <c r="J55" s="57">
        <v>0.53842096049895183</v>
      </c>
      <c r="K55" s="56">
        <v>49.058136267390957</v>
      </c>
      <c r="L55" s="41">
        <f t="shared" si="0"/>
        <v>23.250098131463556</v>
      </c>
      <c r="M55" s="131">
        <f t="shared" si="1"/>
        <v>25.418978512544804</v>
      </c>
    </row>
    <row r="56" spans="1:13" ht="18" x14ac:dyDescent="0.25">
      <c r="A56" s="80" t="s">
        <v>72</v>
      </c>
      <c r="B56" s="81">
        <v>411010</v>
      </c>
      <c r="C56" s="51">
        <v>2</v>
      </c>
      <c r="D56" s="57">
        <v>3.8690476190476192E-2</v>
      </c>
      <c r="E56" s="56">
        <v>3.8690476190476191</v>
      </c>
      <c r="F56" s="17">
        <v>941</v>
      </c>
      <c r="G56" s="17">
        <v>4402</v>
      </c>
      <c r="H56" s="58">
        <v>0.21376646978646069</v>
      </c>
      <c r="I56" s="56">
        <v>31.5646586541645</v>
      </c>
      <c r="J56" s="57">
        <v>0.49800759598468403</v>
      </c>
      <c r="K56" s="56">
        <v>55.784648775300795</v>
      </c>
      <c r="L56" s="41">
        <f t="shared" si="0"/>
        <v>30.406118349504307</v>
      </c>
      <c r="M56" s="131">
        <f t="shared" si="1"/>
        <v>36.525728670647887</v>
      </c>
    </row>
    <row r="57" spans="1:13" ht="18" x14ac:dyDescent="0.25">
      <c r="A57" s="80" t="s">
        <v>68</v>
      </c>
      <c r="B57" s="81">
        <v>411125</v>
      </c>
      <c r="C57" s="51">
        <v>8</v>
      </c>
      <c r="D57" s="57">
        <v>3.0456852791878174E-2</v>
      </c>
      <c r="E57" s="56">
        <v>3.0456852791878175</v>
      </c>
      <c r="F57" s="17">
        <v>1825</v>
      </c>
      <c r="G57" s="17">
        <v>4942</v>
      </c>
      <c r="H57" s="58">
        <v>0.36928369081343587</v>
      </c>
      <c r="I57" s="56">
        <v>58.313343415321796</v>
      </c>
      <c r="J57" s="57">
        <v>0.34894041114093099</v>
      </c>
      <c r="K57" s="56">
        <v>80.595804575417674</v>
      </c>
      <c r="L57" s="41">
        <f t="shared" si="0"/>
        <v>47.318277756642431</v>
      </c>
      <c r="M57" s="131">
        <f t="shared" si="1"/>
        <v>62.774834101560764</v>
      </c>
    </row>
    <row r="58" spans="1:13" ht="18" x14ac:dyDescent="0.25">
      <c r="A58" s="80" t="s">
        <v>54</v>
      </c>
      <c r="B58" s="81">
        <v>411570</v>
      </c>
      <c r="C58" s="51">
        <v>5</v>
      </c>
      <c r="D58" s="57">
        <v>3.4482758620689655E-2</v>
      </c>
      <c r="E58" s="56">
        <v>3.4482758620689653</v>
      </c>
      <c r="F58" s="17">
        <v>1057</v>
      </c>
      <c r="G58" s="17">
        <v>4865</v>
      </c>
      <c r="H58" s="58">
        <v>0.21726618705035972</v>
      </c>
      <c r="I58" s="56">
        <v>32.166603784273128</v>
      </c>
      <c r="J58" s="57">
        <v>0.45494103457006585</v>
      </c>
      <c r="K58" s="56">
        <v>62.952766736026966</v>
      </c>
      <c r="L58" s="41">
        <f t="shared" si="0"/>
        <v>32.855882127456354</v>
      </c>
      <c r="M58" s="131">
        <f t="shared" si="1"/>
        <v>40.32796977660351</v>
      </c>
    </row>
    <row r="59" spans="1:13" ht="18" x14ac:dyDescent="0.25">
      <c r="A59" s="80" t="s">
        <v>56</v>
      </c>
      <c r="B59" s="81">
        <v>410200</v>
      </c>
      <c r="C59" s="51">
        <v>0</v>
      </c>
      <c r="D59" s="57">
        <v>1.4204545454545454E-2</v>
      </c>
      <c r="E59" s="56">
        <v>1.4204545454545454</v>
      </c>
      <c r="F59" s="17">
        <v>683</v>
      </c>
      <c r="G59" s="17">
        <v>4485</v>
      </c>
      <c r="H59" s="58">
        <v>0.15228539576365663</v>
      </c>
      <c r="I59" s="56">
        <v>20.990023530456181</v>
      </c>
      <c r="J59" s="57">
        <v>0.46979130390139712</v>
      </c>
      <c r="K59" s="56">
        <v>60.48104670965391</v>
      </c>
      <c r="L59" s="41">
        <f t="shared" si="0"/>
        <v>27.630508261854882</v>
      </c>
      <c r="M59" s="131">
        <f t="shared" si="1"/>
        <v>32.217746462588501</v>
      </c>
    </row>
    <row r="60" spans="1:13" ht="18" x14ac:dyDescent="0.25">
      <c r="A60" s="80" t="s">
        <v>75</v>
      </c>
      <c r="B60" s="81">
        <v>410970</v>
      </c>
      <c r="C60" s="51">
        <v>8</v>
      </c>
      <c r="D60" s="57">
        <v>2.8446389496717725E-2</v>
      </c>
      <c r="E60" s="56">
        <v>2.8446389496717726</v>
      </c>
      <c r="F60" s="17">
        <v>694</v>
      </c>
      <c r="G60" s="17">
        <v>3685</v>
      </c>
      <c r="H60" s="58">
        <v>0.18833107191316145</v>
      </c>
      <c r="I60" s="56">
        <v>27.189815566083087</v>
      </c>
      <c r="J60" s="57">
        <v>0.44954025393525943</v>
      </c>
      <c r="K60" s="56">
        <v>63.851687648184054</v>
      </c>
      <c r="L60" s="41">
        <f t="shared" si="0"/>
        <v>31.29538072131297</v>
      </c>
      <c r="M60" s="131">
        <f t="shared" si="1"/>
        <v>37.905939274829933</v>
      </c>
    </row>
    <row r="61" spans="1:13" ht="18" x14ac:dyDescent="0.25">
      <c r="A61" s="80" t="s">
        <v>77</v>
      </c>
      <c r="B61" s="81">
        <v>411430</v>
      </c>
      <c r="C61" s="51">
        <v>2</v>
      </c>
      <c r="D61" s="57">
        <v>0.16923076923076924</v>
      </c>
      <c r="E61" s="56">
        <v>16.923076923076923</v>
      </c>
      <c r="F61" s="17">
        <v>802</v>
      </c>
      <c r="G61" s="17">
        <v>3729</v>
      </c>
      <c r="H61" s="58">
        <v>0.21507106462858674</v>
      </c>
      <c r="I61" s="56">
        <v>31.789046641183699</v>
      </c>
      <c r="J61" s="57">
        <v>0.4623089919331464</v>
      </c>
      <c r="K61" s="56">
        <v>61.726423471708777</v>
      </c>
      <c r="L61" s="41">
        <f t="shared" si="0"/>
        <v>36.812849011989798</v>
      </c>
      <c r="M61" s="131">
        <f t="shared" si="1"/>
        <v>46.469517904095149</v>
      </c>
    </row>
    <row r="62" spans="1:13" ht="18" x14ac:dyDescent="0.25">
      <c r="A62" s="80" t="s">
        <v>74</v>
      </c>
      <c r="B62" s="81">
        <v>412570</v>
      </c>
      <c r="C62" s="51">
        <v>4</v>
      </c>
      <c r="D62" s="57">
        <v>3.4482758620689655E-2</v>
      </c>
      <c r="E62" s="56">
        <v>3.4482758620689653</v>
      </c>
      <c r="F62" s="17">
        <v>689</v>
      </c>
      <c r="G62" s="17">
        <v>4109</v>
      </c>
      <c r="H62" s="58">
        <v>0.16768070090046239</v>
      </c>
      <c r="I62" s="56">
        <v>23.63798856729807</v>
      </c>
      <c r="J62" s="57">
        <v>0.55746446808417816</v>
      </c>
      <c r="K62" s="56">
        <v>45.888482032805342</v>
      </c>
      <c r="L62" s="41">
        <f t="shared" si="0"/>
        <v>24.324915487390793</v>
      </c>
      <c r="M62" s="131">
        <f t="shared" si="1"/>
        <v>27.087186185824013</v>
      </c>
    </row>
    <row r="63" spans="1:13" ht="18" x14ac:dyDescent="0.25">
      <c r="A63" s="80" t="s">
        <v>80</v>
      </c>
      <c r="B63" s="81">
        <v>412350</v>
      </c>
      <c r="C63" s="51">
        <v>1</v>
      </c>
      <c r="D63" s="57">
        <v>3.2000000000000001E-2</v>
      </c>
      <c r="E63" s="56">
        <v>3.2</v>
      </c>
      <c r="F63" s="17">
        <v>516</v>
      </c>
      <c r="G63" s="17">
        <v>3396</v>
      </c>
      <c r="H63" s="58">
        <v>0.1519434628975265</v>
      </c>
      <c r="I63" s="56">
        <v>20.931211687078353</v>
      </c>
      <c r="J63" s="57">
        <v>0.541305306181732</v>
      </c>
      <c r="K63" s="56">
        <v>48.578057769954619</v>
      </c>
      <c r="L63" s="41">
        <f t="shared" si="0"/>
        <v>24.236423152344326</v>
      </c>
      <c r="M63" s="131">
        <f t="shared" si="1"/>
        <v>26.949838578310221</v>
      </c>
    </row>
    <row r="64" spans="1:13" ht="18" x14ac:dyDescent="0.25">
      <c r="A64" s="80" t="s">
        <v>47</v>
      </c>
      <c r="B64" s="81">
        <v>411320</v>
      </c>
      <c r="C64" s="51">
        <v>5</v>
      </c>
      <c r="D64" s="57">
        <v>4.1237113402061855E-2</v>
      </c>
      <c r="E64" s="56">
        <v>4.1237113402061851</v>
      </c>
      <c r="F64" s="17">
        <v>1121</v>
      </c>
      <c r="G64" s="17">
        <v>5429</v>
      </c>
      <c r="H64" s="58">
        <v>0.20648369865536931</v>
      </c>
      <c r="I64" s="56">
        <v>30.312035003312161</v>
      </c>
      <c r="J64" s="57">
        <v>0.52223835279899089</v>
      </c>
      <c r="K64" s="56">
        <v>51.751614388123897</v>
      </c>
      <c r="L64" s="41">
        <f t="shared" si="0"/>
        <v>28.729120243880747</v>
      </c>
      <c r="M64" s="131">
        <f t="shared" si="1"/>
        <v>33.922885413188133</v>
      </c>
    </row>
    <row r="65" spans="1:13" ht="18" x14ac:dyDescent="0.25">
      <c r="A65" s="80" t="s">
        <v>85</v>
      </c>
      <c r="B65" s="81">
        <v>411730</v>
      </c>
      <c r="C65" s="51">
        <v>5</v>
      </c>
      <c r="D65" s="57">
        <v>3.4375000000000003E-2</v>
      </c>
      <c r="E65" s="56">
        <v>3.4375000000000004</v>
      </c>
      <c r="F65" s="17">
        <v>1357</v>
      </c>
      <c r="G65" s="17">
        <v>3549</v>
      </c>
      <c r="H65" s="58">
        <v>0.38236122851507465</v>
      </c>
      <c r="I65" s="56">
        <v>60.562656585421514</v>
      </c>
      <c r="J65" s="57">
        <v>0.67350889755948962</v>
      </c>
      <c r="K65" s="56">
        <v>26.573725250717462</v>
      </c>
      <c r="L65" s="41">
        <f t="shared" si="0"/>
        <v>30.191293945379659</v>
      </c>
      <c r="M65" s="131">
        <f t="shared" si="1"/>
        <v>36.192302979862298</v>
      </c>
    </row>
    <row r="66" spans="1:13" ht="18" x14ac:dyDescent="0.25">
      <c r="A66" s="80" t="s">
        <v>76</v>
      </c>
      <c r="B66" s="81">
        <v>410860</v>
      </c>
      <c r="C66" s="51">
        <v>1</v>
      </c>
      <c r="D66" s="57">
        <v>1.7543859649122806E-2</v>
      </c>
      <c r="E66" s="56">
        <v>1.7543859649122806</v>
      </c>
      <c r="F66" s="17">
        <v>972</v>
      </c>
      <c r="G66" s="17">
        <v>3526</v>
      </c>
      <c r="H66" s="58">
        <v>0.27566647759500851</v>
      </c>
      <c r="I66" s="56">
        <v>42.211349642147269</v>
      </c>
      <c r="J66" s="57">
        <v>0.47610969200049597</v>
      </c>
      <c r="K66" s="56">
        <v>59.429396665436187</v>
      </c>
      <c r="L66" s="41">
        <f t="shared" si="0"/>
        <v>34.46504409083191</v>
      </c>
      <c r="M66" s="131">
        <f t="shared" si="1"/>
        <v>42.825525589271166</v>
      </c>
    </row>
    <row r="67" spans="1:13" ht="18" x14ac:dyDescent="0.25">
      <c r="A67" s="80" t="s">
        <v>46</v>
      </c>
      <c r="B67" s="81">
        <v>410640</v>
      </c>
      <c r="C67" s="51">
        <v>7</v>
      </c>
      <c r="D67" s="57">
        <v>5.5555555555555552E-2</v>
      </c>
      <c r="E67" s="56">
        <v>5.5555555555555554</v>
      </c>
      <c r="F67" s="17">
        <v>637</v>
      </c>
      <c r="G67" s="17">
        <v>4773</v>
      </c>
      <c r="H67" s="58">
        <v>0.13345904043578463</v>
      </c>
      <c r="I67" s="56">
        <v>17.751923977613519</v>
      </c>
      <c r="J67" s="57">
        <v>0.57726043607080757</v>
      </c>
      <c r="K67" s="56">
        <v>42.593586201471268</v>
      </c>
      <c r="L67" s="41">
        <f t="shared" ref="L67:L130" si="2">(K67+I67+E67)/3</f>
        <v>21.96702191154678</v>
      </c>
      <c r="M67" s="131">
        <f t="shared" ref="M67:M130" si="3">(L67-L$402)/(L$403-L$402)*100</f>
        <v>23.427535423480879</v>
      </c>
    </row>
    <row r="68" spans="1:13" ht="18" x14ac:dyDescent="0.25">
      <c r="A68" s="80" t="s">
        <v>71</v>
      </c>
      <c r="B68" s="81">
        <v>410425</v>
      </c>
      <c r="C68" s="51">
        <v>3</v>
      </c>
      <c r="D68" s="57">
        <v>6.6929133858267723E-2</v>
      </c>
      <c r="E68" s="56">
        <v>6.6929133858267722</v>
      </c>
      <c r="F68" s="17">
        <v>836</v>
      </c>
      <c r="G68" s="17">
        <v>3983</v>
      </c>
      <c r="H68" s="58">
        <v>0.20989204117499372</v>
      </c>
      <c r="I68" s="56">
        <v>30.898263840308083</v>
      </c>
      <c r="J68" s="57">
        <v>0.441871734359986</v>
      </c>
      <c r="K68" s="56">
        <v>65.128057320944592</v>
      </c>
      <c r="L68" s="41">
        <f t="shared" si="2"/>
        <v>34.239744849026479</v>
      </c>
      <c r="M68" s="131">
        <f t="shared" si="3"/>
        <v>42.47584206221314</v>
      </c>
    </row>
    <row r="69" spans="1:13" ht="18" x14ac:dyDescent="0.25">
      <c r="A69" s="80" t="s">
        <v>58</v>
      </c>
      <c r="B69" s="81">
        <v>411200</v>
      </c>
      <c r="C69" s="51">
        <v>9</v>
      </c>
      <c r="D69" s="57">
        <v>0.04</v>
      </c>
      <c r="E69" s="56">
        <v>4</v>
      </c>
      <c r="F69" s="17">
        <v>1123</v>
      </c>
      <c r="G69" s="17">
        <v>5191</v>
      </c>
      <c r="H69" s="58">
        <v>0.2163359660951647</v>
      </c>
      <c r="I69" s="56">
        <v>32.006607438373806</v>
      </c>
      <c r="J69" s="57">
        <v>0.56046895698292798</v>
      </c>
      <c r="K69" s="56">
        <v>45.388406565191609</v>
      </c>
      <c r="L69" s="41">
        <f t="shared" si="2"/>
        <v>27.131671334521808</v>
      </c>
      <c r="M69" s="131">
        <f t="shared" si="3"/>
        <v>31.443509253538078</v>
      </c>
    </row>
    <row r="70" spans="1:13" ht="18" x14ac:dyDescent="0.25">
      <c r="A70" s="80" t="s">
        <v>61</v>
      </c>
      <c r="B70" s="81">
        <v>411960</v>
      </c>
      <c r="C70" s="51">
        <v>8</v>
      </c>
      <c r="D70" s="57">
        <v>2.7906976744186046E-2</v>
      </c>
      <c r="E70" s="56">
        <v>2.7906976744186047</v>
      </c>
      <c r="F70" s="17">
        <v>1297</v>
      </c>
      <c r="G70" s="17">
        <v>4472</v>
      </c>
      <c r="H70" s="58">
        <v>0.29002683363148479</v>
      </c>
      <c r="I70" s="56">
        <v>44.681305278835623</v>
      </c>
      <c r="J70" s="57">
        <v>0.50736361515509665</v>
      </c>
      <c r="K70" s="56">
        <v>54.227406988321981</v>
      </c>
      <c r="L70" s="41">
        <f t="shared" si="2"/>
        <v>33.899803313858733</v>
      </c>
      <c r="M70" s="131">
        <f t="shared" si="3"/>
        <v>41.948223975004346</v>
      </c>
    </row>
    <row r="71" spans="1:13" ht="18" x14ac:dyDescent="0.25">
      <c r="A71" s="80" t="s">
        <v>66</v>
      </c>
      <c r="B71" s="81">
        <v>412230</v>
      </c>
      <c r="C71" s="51">
        <v>5</v>
      </c>
      <c r="D71" s="57">
        <v>4.8192771084337352E-2</v>
      </c>
      <c r="E71" s="56">
        <v>4.8192771084337354</v>
      </c>
      <c r="F71" s="17">
        <v>533</v>
      </c>
      <c r="G71" s="17">
        <v>4030</v>
      </c>
      <c r="H71" s="58">
        <v>0.13225806451612904</v>
      </c>
      <c r="I71" s="56">
        <v>17.545358260527845</v>
      </c>
      <c r="J71" s="57">
        <v>0.50872299912014163</v>
      </c>
      <c r="K71" s="56">
        <v>54.001147349862556</v>
      </c>
      <c r="L71" s="41">
        <f t="shared" si="2"/>
        <v>25.455260906274713</v>
      </c>
      <c r="M71" s="131">
        <f t="shared" si="3"/>
        <v>28.841578121197468</v>
      </c>
    </row>
    <row r="72" spans="1:13" ht="18" x14ac:dyDescent="0.25">
      <c r="A72" s="80" t="s">
        <v>67</v>
      </c>
      <c r="B72" s="81">
        <v>410240</v>
      </c>
      <c r="C72" s="51">
        <v>6</v>
      </c>
      <c r="D72" s="57">
        <v>2.4489795918367346E-2</v>
      </c>
      <c r="E72" s="56">
        <v>2.4489795918367347</v>
      </c>
      <c r="F72" s="17">
        <v>852</v>
      </c>
      <c r="G72" s="17">
        <v>3780</v>
      </c>
      <c r="H72" s="58">
        <v>0.2253968253968254</v>
      </c>
      <c r="I72" s="56">
        <v>33.565059084595561</v>
      </c>
      <c r="J72" s="57">
        <v>0.47821662013538607</v>
      </c>
      <c r="K72" s="56">
        <v>59.078713701447818</v>
      </c>
      <c r="L72" s="41">
        <f t="shared" si="2"/>
        <v>31.697584125960034</v>
      </c>
      <c r="M72" s="131">
        <f t="shared" si="3"/>
        <v>38.530193062835082</v>
      </c>
    </row>
    <row r="73" spans="1:13" ht="18" x14ac:dyDescent="0.25">
      <c r="A73" s="80" t="s">
        <v>62</v>
      </c>
      <c r="B73" s="81">
        <v>411150</v>
      </c>
      <c r="C73" s="51">
        <v>6</v>
      </c>
      <c r="D73" s="57">
        <v>5.2631578947368418E-2</v>
      </c>
      <c r="E73" s="56">
        <v>5.2631578947368416</v>
      </c>
      <c r="F73" s="17">
        <v>423</v>
      </c>
      <c r="G73" s="17">
        <v>3701</v>
      </c>
      <c r="H73" s="58">
        <v>0.11429343420697109</v>
      </c>
      <c r="I73" s="56">
        <v>14.455473874624063</v>
      </c>
      <c r="J73" s="57">
        <v>0.46064046610278053</v>
      </c>
      <c r="K73" s="56">
        <v>62.004137539879579</v>
      </c>
      <c r="L73" s="41">
        <f t="shared" si="2"/>
        <v>27.24092310308016</v>
      </c>
      <c r="M73" s="131">
        <f t="shared" si="3"/>
        <v>31.613077262114881</v>
      </c>
    </row>
    <row r="74" spans="1:13" ht="18" x14ac:dyDescent="0.25">
      <c r="A74" s="80" t="s">
        <v>70</v>
      </c>
      <c r="B74" s="81">
        <v>411995</v>
      </c>
      <c r="C74" s="51">
        <v>4</v>
      </c>
      <c r="D74" s="57">
        <v>4.9586776859504134E-2</v>
      </c>
      <c r="E74" s="56">
        <v>4.9586776859504136</v>
      </c>
      <c r="F74" s="17">
        <v>868</v>
      </c>
      <c r="G74" s="17">
        <v>3711</v>
      </c>
      <c r="H74" s="58">
        <v>0.23389921853947723</v>
      </c>
      <c r="I74" s="56">
        <v>35.027455547099038</v>
      </c>
      <c r="J74" s="57">
        <v>0.44784653481718761</v>
      </c>
      <c r="K74" s="56">
        <v>64.133594957053958</v>
      </c>
      <c r="L74" s="41">
        <f t="shared" si="2"/>
        <v>34.706576063367805</v>
      </c>
      <c r="M74" s="131">
        <f t="shared" si="3"/>
        <v>43.200403690843167</v>
      </c>
    </row>
    <row r="75" spans="1:13" ht="18" x14ac:dyDescent="0.25">
      <c r="A75" s="80" t="s">
        <v>83</v>
      </c>
      <c r="B75" s="81">
        <v>412170</v>
      </c>
      <c r="C75" s="51">
        <v>3</v>
      </c>
      <c r="D75" s="57">
        <v>2.0618556701030927E-2</v>
      </c>
      <c r="E75" s="56">
        <v>2.0618556701030926</v>
      </c>
      <c r="F75" s="17">
        <v>1266</v>
      </c>
      <c r="G75" s="17">
        <v>3414</v>
      </c>
      <c r="H75" s="58">
        <v>0.37082601054481545</v>
      </c>
      <c r="I75" s="56">
        <v>58.578619659477603</v>
      </c>
      <c r="J75" s="57">
        <v>0.41107133434454596</v>
      </c>
      <c r="K75" s="56">
        <v>70.254561348574853</v>
      </c>
      <c r="L75" s="41">
        <f t="shared" si="2"/>
        <v>43.631678892718519</v>
      </c>
      <c r="M75" s="131">
        <f t="shared" si="3"/>
        <v>57.052920067343535</v>
      </c>
    </row>
    <row r="76" spans="1:13" ht="18" x14ac:dyDescent="0.25">
      <c r="A76" s="80" t="s">
        <v>92</v>
      </c>
      <c r="B76" s="81">
        <v>411350</v>
      </c>
      <c r="C76" s="51">
        <v>2</v>
      </c>
      <c r="D76" s="57">
        <v>4.0404040404040407E-2</v>
      </c>
      <c r="E76" s="56">
        <v>4.0404040404040407</v>
      </c>
      <c r="F76" s="17">
        <v>552</v>
      </c>
      <c r="G76" s="17">
        <v>3069</v>
      </c>
      <c r="H76" s="58">
        <v>0.1798631476050831</v>
      </c>
      <c r="I76" s="56">
        <v>25.733347681675351</v>
      </c>
      <c r="J76" s="57">
        <v>0.48825422849992295</v>
      </c>
      <c r="K76" s="56">
        <v>57.408026318076885</v>
      </c>
      <c r="L76" s="41">
        <f t="shared" si="2"/>
        <v>29.060592680052093</v>
      </c>
      <c r="M76" s="131">
        <f t="shared" si="3"/>
        <v>34.437358740635055</v>
      </c>
    </row>
    <row r="77" spans="1:13" ht="18" x14ac:dyDescent="0.25">
      <c r="A77" s="80" t="s">
        <v>82</v>
      </c>
      <c r="B77" s="81">
        <v>412800</v>
      </c>
      <c r="C77" s="51">
        <v>5</v>
      </c>
      <c r="D77" s="57">
        <v>3.8461538461538464E-2</v>
      </c>
      <c r="E77" s="56">
        <v>3.8461538461538463</v>
      </c>
      <c r="F77" s="17">
        <v>626</v>
      </c>
      <c r="G77" s="17">
        <v>3128</v>
      </c>
      <c r="H77" s="58">
        <v>0.20012787723785166</v>
      </c>
      <c r="I77" s="56">
        <v>29.218845050632247</v>
      </c>
      <c r="J77" s="57">
        <v>0.62021569613436811</v>
      </c>
      <c r="K77" s="56">
        <v>35.443993546396705</v>
      </c>
      <c r="L77" s="41">
        <f t="shared" si="2"/>
        <v>22.836330814394262</v>
      </c>
      <c r="M77" s="131">
        <f t="shared" si="3"/>
        <v>24.776776551922687</v>
      </c>
    </row>
    <row r="78" spans="1:13" ht="18" x14ac:dyDescent="0.25">
      <c r="A78" s="80" t="s">
        <v>81</v>
      </c>
      <c r="B78" s="81">
        <v>410210</v>
      </c>
      <c r="C78" s="51">
        <v>9</v>
      </c>
      <c r="D78" s="57">
        <v>1.6853932584269662E-2</v>
      </c>
      <c r="E78" s="56">
        <v>1.6853932584269662</v>
      </c>
      <c r="F78" s="17">
        <v>494</v>
      </c>
      <c r="G78" s="17">
        <v>3088</v>
      </c>
      <c r="H78" s="58">
        <v>0.15997409326424872</v>
      </c>
      <c r="I78" s="56">
        <v>22.312465793178728</v>
      </c>
      <c r="J78" s="57">
        <v>0.46551613075704529</v>
      </c>
      <c r="K78" s="56">
        <v>61.192618388344769</v>
      </c>
      <c r="L78" s="41">
        <f t="shared" si="2"/>
        <v>28.396825813316823</v>
      </c>
      <c r="M78" s="131">
        <f t="shared" si="3"/>
        <v>33.407136280744631</v>
      </c>
    </row>
    <row r="79" spans="1:13" ht="18" x14ac:dyDescent="0.25">
      <c r="A79" s="80" t="s">
        <v>88</v>
      </c>
      <c r="B79" s="81">
        <v>412440</v>
      </c>
      <c r="C79" s="51">
        <v>0</v>
      </c>
      <c r="D79" s="57">
        <v>5.1094890510948905E-2</v>
      </c>
      <c r="E79" s="56">
        <v>5.1094890510948909</v>
      </c>
      <c r="F79" s="17">
        <v>522</v>
      </c>
      <c r="G79" s="17">
        <v>3189</v>
      </c>
      <c r="H79" s="58">
        <v>0.1636876763875823</v>
      </c>
      <c r="I79" s="56">
        <v>22.9511954698309</v>
      </c>
      <c r="J79" s="57">
        <v>0.47228252833656215</v>
      </c>
      <c r="K79" s="56">
        <v>60.066400403300676</v>
      </c>
      <c r="L79" s="41">
        <f t="shared" si="2"/>
        <v>29.375694974742157</v>
      </c>
      <c r="M79" s="131">
        <f t="shared" si="3"/>
        <v>34.926424220431265</v>
      </c>
    </row>
    <row r="80" spans="1:13" ht="18" x14ac:dyDescent="0.25">
      <c r="A80" s="80" t="s">
        <v>105</v>
      </c>
      <c r="B80" s="81">
        <v>410345</v>
      </c>
      <c r="C80" s="51">
        <v>3</v>
      </c>
      <c r="D80" s="57">
        <v>2.8846153846153848E-2</v>
      </c>
      <c r="E80" s="56">
        <v>2.8846153846153846</v>
      </c>
      <c r="F80" s="17">
        <v>394</v>
      </c>
      <c r="G80" s="17">
        <v>2790</v>
      </c>
      <c r="H80" s="58">
        <v>0.14121863799283155</v>
      </c>
      <c r="I80" s="56">
        <v>19.086560923645955</v>
      </c>
      <c r="J80" s="57">
        <v>0.65985804548092852</v>
      </c>
      <c r="K80" s="56">
        <v>28.845810942015216</v>
      </c>
      <c r="L80" s="41">
        <f t="shared" si="2"/>
        <v>16.938995750092186</v>
      </c>
      <c r="M80" s="131">
        <f t="shared" si="3"/>
        <v>15.623612479985891</v>
      </c>
    </row>
    <row r="81" spans="1:13" ht="18" x14ac:dyDescent="0.25">
      <c r="A81" s="80" t="s">
        <v>95</v>
      </c>
      <c r="B81" s="81">
        <v>412660</v>
      </c>
      <c r="C81" s="51">
        <v>3</v>
      </c>
      <c r="D81" s="57">
        <v>8.6419753086419748E-2</v>
      </c>
      <c r="E81" s="56">
        <v>8.6419753086419746</v>
      </c>
      <c r="F81" s="17">
        <v>521</v>
      </c>
      <c r="G81" s="17">
        <v>2959</v>
      </c>
      <c r="H81" s="58">
        <v>0.17607299763433593</v>
      </c>
      <c r="I81" s="56">
        <v>25.081448643771115</v>
      </c>
      <c r="J81" s="57">
        <v>0.50631568286442241</v>
      </c>
      <c r="K81" s="56">
        <v>54.401827746043708</v>
      </c>
      <c r="L81" s="41">
        <f t="shared" si="2"/>
        <v>29.375083899485599</v>
      </c>
      <c r="M81" s="131">
        <f t="shared" si="3"/>
        <v>34.92547577981825</v>
      </c>
    </row>
    <row r="82" spans="1:13" ht="18" x14ac:dyDescent="0.25">
      <c r="A82" s="80" t="s">
        <v>86</v>
      </c>
      <c r="B82" s="81">
        <v>412080</v>
      </c>
      <c r="C82" s="51">
        <v>4</v>
      </c>
      <c r="D82" s="57">
        <v>2.336448598130841E-2</v>
      </c>
      <c r="E82" s="56">
        <v>2.3364485981308412</v>
      </c>
      <c r="F82" s="17">
        <v>492</v>
      </c>
      <c r="G82" s="17">
        <v>3188</v>
      </c>
      <c r="H82" s="58">
        <v>0.15432873274780426</v>
      </c>
      <c r="I82" s="56">
        <v>21.341473848876532</v>
      </c>
      <c r="J82" s="57">
        <v>0.72059466756637469</v>
      </c>
      <c r="K82" s="56">
        <v>18.736639061467848</v>
      </c>
      <c r="L82" s="41">
        <f t="shared" si="2"/>
        <v>14.138187169491742</v>
      </c>
      <c r="M82" s="131">
        <f t="shared" si="3"/>
        <v>11.276520074213249</v>
      </c>
    </row>
    <row r="83" spans="1:13" ht="18" x14ac:dyDescent="0.25">
      <c r="A83" s="80" t="s">
        <v>154</v>
      </c>
      <c r="B83" s="81">
        <v>410230</v>
      </c>
      <c r="C83" s="51">
        <v>7</v>
      </c>
      <c r="D83" s="57">
        <v>9.3457943925233638E-3</v>
      </c>
      <c r="E83" s="56">
        <v>0.93457943925233633</v>
      </c>
      <c r="F83" s="17">
        <v>434</v>
      </c>
      <c r="G83" s="17">
        <v>1820</v>
      </c>
      <c r="H83" s="58">
        <v>0.23846153846153847</v>
      </c>
      <c r="I83" s="56">
        <v>35.812166440007772</v>
      </c>
      <c r="J83" s="57">
        <v>0.59445205792449829</v>
      </c>
      <c r="K83" s="56">
        <v>39.73216496569961</v>
      </c>
      <c r="L83" s="41">
        <f t="shared" si="2"/>
        <v>25.492970281653239</v>
      </c>
      <c r="M83" s="131">
        <f t="shared" si="3"/>
        <v>28.900106269272218</v>
      </c>
    </row>
    <row r="84" spans="1:13" ht="18" x14ac:dyDescent="0.25">
      <c r="A84" s="80" t="s">
        <v>98</v>
      </c>
      <c r="B84" s="81">
        <v>410450</v>
      </c>
      <c r="C84" s="51">
        <v>1</v>
      </c>
      <c r="D84" s="57">
        <v>1.3605442176870748E-2</v>
      </c>
      <c r="E84" s="56">
        <v>1.3605442176870748</v>
      </c>
      <c r="F84" s="17">
        <v>291</v>
      </c>
      <c r="G84" s="17">
        <v>2562</v>
      </c>
      <c r="H84" s="58">
        <v>0.11358313817330211</v>
      </c>
      <c r="I84" s="56">
        <v>14.333304223145941</v>
      </c>
      <c r="J84" s="57">
        <v>0.52874342165872257</v>
      </c>
      <c r="K84" s="56">
        <v>50.668892680200969</v>
      </c>
      <c r="L84" s="41">
        <f t="shared" si="2"/>
        <v>22.120913707011329</v>
      </c>
      <c r="M84" s="131">
        <f t="shared" si="3"/>
        <v>23.666388538973422</v>
      </c>
    </row>
    <row r="85" spans="1:13" ht="18" x14ac:dyDescent="0.25">
      <c r="A85" s="80" t="s">
        <v>107</v>
      </c>
      <c r="B85" s="81">
        <v>411560</v>
      </c>
      <c r="C85" s="51">
        <v>6</v>
      </c>
      <c r="D85" s="57">
        <v>2.0618556701030927E-2</v>
      </c>
      <c r="E85" s="56">
        <v>2.0618556701030926</v>
      </c>
      <c r="F85" s="17">
        <v>193</v>
      </c>
      <c r="G85" s="17">
        <v>2680</v>
      </c>
      <c r="H85" s="58">
        <v>7.2014925373134323E-2</v>
      </c>
      <c r="I85" s="56">
        <v>7.1836457291613529</v>
      </c>
      <c r="J85" s="57">
        <v>0.63977395833460715</v>
      </c>
      <c r="K85" s="56">
        <v>32.188662125612829</v>
      </c>
      <c r="L85" s="41">
        <f t="shared" si="2"/>
        <v>13.811387841625759</v>
      </c>
      <c r="M85" s="131">
        <f t="shared" si="3"/>
        <v>10.769299807102648</v>
      </c>
    </row>
    <row r="86" spans="1:13" ht="18" x14ac:dyDescent="0.25">
      <c r="A86" s="80" t="s">
        <v>97</v>
      </c>
      <c r="B86" s="81">
        <v>410540</v>
      </c>
      <c r="C86" s="51">
        <v>9</v>
      </c>
      <c r="D86" s="57">
        <v>2.7906976744186046E-2</v>
      </c>
      <c r="E86" s="56">
        <v>2.7906976744186047</v>
      </c>
      <c r="F86" s="17">
        <v>604</v>
      </c>
      <c r="G86" s="17">
        <v>2826</v>
      </c>
      <c r="H86" s="58">
        <v>0.21372965322009907</v>
      </c>
      <c r="I86" s="56">
        <v>31.558326270386733</v>
      </c>
      <c r="J86" s="57">
        <v>0.50511076587344739</v>
      </c>
      <c r="K86" s="56">
        <v>54.602377472803653</v>
      </c>
      <c r="L86" s="41">
        <f t="shared" si="2"/>
        <v>29.650467139202998</v>
      </c>
      <c r="M86" s="131">
        <f t="shared" si="3"/>
        <v>35.352893918403048</v>
      </c>
    </row>
    <row r="87" spans="1:13" ht="18" x14ac:dyDescent="0.25">
      <c r="A87" s="80" t="s">
        <v>79</v>
      </c>
      <c r="B87" s="81">
        <v>410160</v>
      </c>
      <c r="C87" s="51">
        <v>6</v>
      </c>
      <c r="D87" s="57">
        <v>3.5087719298245612E-2</v>
      </c>
      <c r="E87" s="56">
        <v>3.5087719298245612</v>
      </c>
      <c r="F87" s="17">
        <v>887</v>
      </c>
      <c r="G87" s="17">
        <v>3698</v>
      </c>
      <c r="H87" s="58">
        <v>0.2398593834505138</v>
      </c>
      <c r="I87" s="56">
        <v>36.052593286039055</v>
      </c>
      <c r="J87" s="57">
        <v>0.5512473116252089</v>
      </c>
      <c r="K87" s="56">
        <v>46.923282801994574</v>
      </c>
      <c r="L87" s="41">
        <f t="shared" si="2"/>
        <v>28.828216005952729</v>
      </c>
      <c r="M87" s="131">
        <f t="shared" si="3"/>
        <v>34.076690438540844</v>
      </c>
    </row>
    <row r="88" spans="1:13" ht="18" x14ac:dyDescent="0.25">
      <c r="A88" s="80" t="s">
        <v>87</v>
      </c>
      <c r="B88" s="81">
        <v>410660</v>
      </c>
      <c r="C88" s="51">
        <v>5</v>
      </c>
      <c r="D88" s="57">
        <v>0</v>
      </c>
      <c r="E88" s="56">
        <v>0</v>
      </c>
      <c r="F88" s="17">
        <v>556</v>
      </c>
      <c r="G88" s="17">
        <v>2858</v>
      </c>
      <c r="H88" s="58">
        <v>0.19454163750874737</v>
      </c>
      <c r="I88" s="56">
        <v>28.258021776352248</v>
      </c>
      <c r="J88" s="57">
        <v>0.47838679110937005</v>
      </c>
      <c r="K88" s="56">
        <v>59.050389972435305</v>
      </c>
      <c r="L88" s="41">
        <f t="shared" si="2"/>
        <v>29.102803916262516</v>
      </c>
      <c r="M88" s="131">
        <f t="shared" si="3"/>
        <v>34.502874158446744</v>
      </c>
    </row>
    <row r="89" spans="1:13" ht="18" x14ac:dyDescent="0.25">
      <c r="A89" s="80" t="s">
        <v>99</v>
      </c>
      <c r="B89" s="81">
        <v>412750</v>
      </c>
      <c r="C89" s="51">
        <v>2</v>
      </c>
      <c r="D89" s="57">
        <v>4.2918454935622317E-2</v>
      </c>
      <c r="E89" s="56">
        <v>4.2918454935622314</v>
      </c>
      <c r="F89" s="17">
        <v>1171</v>
      </c>
      <c r="G89" s="17">
        <v>2947</v>
      </c>
      <c r="H89" s="58">
        <v>0.39735324058364441</v>
      </c>
      <c r="I89" s="56">
        <v>63.141255933516092</v>
      </c>
      <c r="J89" s="57">
        <v>0.56040908836169256</v>
      </c>
      <c r="K89" s="56">
        <v>45.398371264602595</v>
      </c>
      <c r="L89" s="41">
        <f t="shared" si="2"/>
        <v>37.610490897226974</v>
      </c>
      <c r="M89" s="131">
        <f t="shared" si="3"/>
        <v>47.707525744351528</v>
      </c>
    </row>
    <row r="90" spans="1:13" ht="18" x14ac:dyDescent="0.25">
      <c r="A90" s="80" t="s">
        <v>114</v>
      </c>
      <c r="B90" s="81">
        <v>410630</v>
      </c>
      <c r="C90" s="51">
        <v>8</v>
      </c>
      <c r="D90" s="57">
        <v>3.0567685589519649E-2</v>
      </c>
      <c r="E90" s="56">
        <v>3.0567685589519651</v>
      </c>
      <c r="F90" s="17">
        <v>451</v>
      </c>
      <c r="G90" s="17">
        <v>2332</v>
      </c>
      <c r="H90" s="58">
        <v>0.19339622641509435</v>
      </c>
      <c r="I90" s="56">
        <v>28.061013110278267</v>
      </c>
      <c r="J90" s="57">
        <v>0.48783454543148191</v>
      </c>
      <c r="K90" s="56">
        <v>57.477879532308286</v>
      </c>
      <c r="L90" s="41">
        <f t="shared" si="2"/>
        <v>29.5318870671795</v>
      </c>
      <c r="M90" s="131">
        <f t="shared" si="3"/>
        <v>35.168847591874439</v>
      </c>
    </row>
    <row r="91" spans="1:13" ht="18" x14ac:dyDescent="0.25">
      <c r="A91" s="80" t="s">
        <v>78</v>
      </c>
      <c r="B91" s="81">
        <v>411690</v>
      </c>
      <c r="C91" s="51">
        <v>1</v>
      </c>
      <c r="D91" s="57">
        <v>1.1299435028248588E-2</v>
      </c>
      <c r="E91" s="56">
        <v>1.1299435028248588</v>
      </c>
      <c r="F91" s="17">
        <v>734</v>
      </c>
      <c r="G91" s="17">
        <v>3123</v>
      </c>
      <c r="H91" s="58">
        <v>0.23503041946845982</v>
      </c>
      <c r="I91" s="56">
        <v>35.22202009018352</v>
      </c>
      <c r="J91" s="57">
        <v>0.46811277175911475</v>
      </c>
      <c r="K91" s="56">
        <v>60.760426256140441</v>
      </c>
      <c r="L91" s="41">
        <f t="shared" si="2"/>
        <v>32.37079661638294</v>
      </c>
      <c r="M91" s="131">
        <f t="shared" si="3"/>
        <v>39.575075931610534</v>
      </c>
    </row>
    <row r="92" spans="1:13" ht="18" x14ac:dyDescent="0.25">
      <c r="A92" s="80" t="s">
        <v>84</v>
      </c>
      <c r="B92" s="81">
        <v>412405</v>
      </c>
      <c r="C92" s="51">
        <v>3</v>
      </c>
      <c r="D92" s="57">
        <v>5.8823529411764705E-2</v>
      </c>
      <c r="E92" s="56">
        <v>5.8823529411764701</v>
      </c>
      <c r="F92" s="17">
        <v>479</v>
      </c>
      <c r="G92" s="17">
        <v>3193</v>
      </c>
      <c r="H92" s="58">
        <v>0.15001565925461949</v>
      </c>
      <c r="I92" s="56">
        <v>20.599632897379003</v>
      </c>
      <c r="J92" s="57">
        <v>0.44390151239056991</v>
      </c>
      <c r="K92" s="56">
        <v>64.790215434353257</v>
      </c>
      <c r="L92" s="41">
        <f t="shared" si="2"/>
        <v>30.424067090969572</v>
      </c>
      <c r="M92" s="131">
        <f t="shared" si="3"/>
        <v>36.553586639327804</v>
      </c>
    </row>
    <row r="93" spans="1:13" ht="18" x14ac:dyDescent="0.25">
      <c r="A93" s="80" t="s">
        <v>131</v>
      </c>
      <c r="B93" s="81">
        <v>410442</v>
      </c>
      <c r="C93" s="51">
        <v>8</v>
      </c>
      <c r="D93" s="57">
        <v>8.1395348837209308E-2</v>
      </c>
      <c r="E93" s="56">
        <v>8.1395348837209305</v>
      </c>
      <c r="F93" s="17">
        <v>628</v>
      </c>
      <c r="G93" s="17">
        <v>2250</v>
      </c>
      <c r="H93" s="58">
        <v>0.27911111111111109</v>
      </c>
      <c r="I93" s="56">
        <v>42.803820465837987</v>
      </c>
      <c r="J93" s="57">
        <v>0.53364889500316082</v>
      </c>
      <c r="K93" s="56">
        <v>49.852412087575907</v>
      </c>
      <c r="L93" s="41">
        <f t="shared" si="2"/>
        <v>33.598589145711607</v>
      </c>
      <c r="M93" s="131">
        <f t="shared" si="3"/>
        <v>41.48071404521729</v>
      </c>
    </row>
    <row r="94" spans="1:13" ht="18" x14ac:dyDescent="0.25">
      <c r="A94" s="80" t="s">
        <v>117</v>
      </c>
      <c r="B94" s="81">
        <v>411440</v>
      </c>
      <c r="C94" s="51">
        <v>1</v>
      </c>
      <c r="D94" s="57">
        <v>1.5384615384615385E-2</v>
      </c>
      <c r="E94" s="56">
        <v>1.5384615384615385</v>
      </c>
      <c r="F94" s="17">
        <v>638</v>
      </c>
      <c r="G94" s="17">
        <v>2422</v>
      </c>
      <c r="H94" s="58">
        <v>0.26341866226259292</v>
      </c>
      <c r="I94" s="56">
        <v>40.104747240328194</v>
      </c>
      <c r="J94" s="57">
        <v>0.48875527624966064</v>
      </c>
      <c r="K94" s="56">
        <v>57.324630540561742</v>
      </c>
      <c r="L94" s="41">
        <f t="shared" si="2"/>
        <v>32.989279773117154</v>
      </c>
      <c r="M94" s="131">
        <f t="shared" si="3"/>
        <v>40.535014233842247</v>
      </c>
    </row>
    <row r="95" spans="1:13" ht="18" x14ac:dyDescent="0.25">
      <c r="A95" s="80" t="s">
        <v>90</v>
      </c>
      <c r="B95" s="81">
        <v>410650</v>
      </c>
      <c r="C95" s="51">
        <v>6</v>
      </c>
      <c r="D95" s="57">
        <v>1.953125E-2</v>
      </c>
      <c r="E95" s="56">
        <v>1.953125</v>
      </c>
      <c r="F95" s="17">
        <v>576</v>
      </c>
      <c r="G95" s="17">
        <v>3078</v>
      </c>
      <c r="H95" s="58">
        <v>0.1871345029239766</v>
      </c>
      <c r="I95" s="56">
        <v>26.984007833181721</v>
      </c>
      <c r="J95" s="57">
        <v>0.51529932455570604</v>
      </c>
      <c r="K95" s="56">
        <v>52.906565499772043</v>
      </c>
      <c r="L95" s="41">
        <f t="shared" si="2"/>
        <v>27.281232777651255</v>
      </c>
      <c r="M95" s="131">
        <f t="shared" si="3"/>
        <v>31.675641295023411</v>
      </c>
    </row>
    <row r="96" spans="1:13" ht="18" x14ac:dyDescent="0.25">
      <c r="A96" s="80" t="s">
        <v>110</v>
      </c>
      <c r="B96" s="81">
        <v>412740</v>
      </c>
      <c r="C96" s="51">
        <v>3</v>
      </c>
      <c r="D96" s="57">
        <v>7.9207920792079209E-2</v>
      </c>
      <c r="E96" s="56">
        <v>7.9207920792079207</v>
      </c>
      <c r="F96" s="17">
        <v>323</v>
      </c>
      <c r="G96" s="17">
        <v>2433</v>
      </c>
      <c r="H96" s="58">
        <v>0.13275791204274559</v>
      </c>
      <c r="I96" s="56">
        <v>17.631331143979708</v>
      </c>
      <c r="J96" s="57">
        <v>0.47246380617134076</v>
      </c>
      <c r="K96" s="56">
        <v>60.036228017563907</v>
      </c>
      <c r="L96" s="41">
        <f t="shared" si="2"/>
        <v>28.529450413583845</v>
      </c>
      <c r="M96" s="131">
        <f t="shared" si="3"/>
        <v>33.612980905983463</v>
      </c>
    </row>
    <row r="97" spans="1:13" ht="18" x14ac:dyDescent="0.25">
      <c r="A97" s="80" t="s">
        <v>119</v>
      </c>
      <c r="B97" s="81">
        <v>410520</v>
      </c>
      <c r="C97" s="51">
        <v>1</v>
      </c>
      <c r="D97" s="57">
        <v>3.2520325203252036E-2</v>
      </c>
      <c r="E97" s="56">
        <v>3.2520325203252036</v>
      </c>
      <c r="F97" s="17">
        <v>1054</v>
      </c>
      <c r="G97" s="17">
        <v>2271</v>
      </c>
      <c r="H97" s="58">
        <v>0.46411272567151035</v>
      </c>
      <c r="I97" s="56">
        <v>74.623768350084831</v>
      </c>
      <c r="J97" s="57">
        <v>0.36728914917428584</v>
      </c>
      <c r="K97" s="56">
        <v>77.541789712533671</v>
      </c>
      <c r="L97" s="41">
        <f t="shared" si="2"/>
        <v>51.805863527647908</v>
      </c>
      <c r="M97" s="131">
        <f t="shared" si="3"/>
        <v>69.739947733570958</v>
      </c>
    </row>
    <row r="98" spans="1:13" ht="18" x14ac:dyDescent="0.25">
      <c r="A98" s="80" t="s">
        <v>91</v>
      </c>
      <c r="B98" s="81">
        <v>410465</v>
      </c>
      <c r="C98" s="51">
        <v>9</v>
      </c>
      <c r="D98" s="57">
        <v>3.8834951456310676E-2</v>
      </c>
      <c r="E98" s="56">
        <v>3.8834951456310676</v>
      </c>
      <c r="F98" s="17">
        <v>795</v>
      </c>
      <c r="G98" s="17">
        <v>3699</v>
      </c>
      <c r="H98" s="58">
        <v>0.21492295214922952</v>
      </c>
      <c r="I98" s="56">
        <v>31.763571558788588</v>
      </c>
      <c r="J98" s="57">
        <v>0.70316633379770732</v>
      </c>
      <c r="K98" s="56">
        <v>21.637459285074332</v>
      </c>
      <c r="L98" s="41">
        <f t="shared" si="2"/>
        <v>19.094841996497994</v>
      </c>
      <c r="M98" s="131">
        <f t="shared" si="3"/>
        <v>18.969668654862012</v>
      </c>
    </row>
    <row r="99" spans="1:13" ht="18" x14ac:dyDescent="0.25">
      <c r="A99" s="80" t="s">
        <v>102</v>
      </c>
      <c r="B99" s="81">
        <v>412140</v>
      </c>
      <c r="C99" s="51">
        <v>6</v>
      </c>
      <c r="D99" s="57">
        <v>0</v>
      </c>
      <c r="E99" s="56">
        <v>0</v>
      </c>
      <c r="F99" s="17">
        <v>292</v>
      </c>
      <c r="G99" s="17">
        <v>2353</v>
      </c>
      <c r="H99" s="58">
        <v>0.12409689757756057</v>
      </c>
      <c r="I99" s="56">
        <v>16.14165209678999</v>
      </c>
      <c r="J99" s="57">
        <v>0.48712999875092922</v>
      </c>
      <c r="K99" s="56">
        <v>57.595146236432136</v>
      </c>
      <c r="L99" s="41">
        <f t="shared" si="2"/>
        <v>24.578932777740707</v>
      </c>
      <c r="M99" s="131">
        <f t="shared" si="3"/>
        <v>27.481442559309677</v>
      </c>
    </row>
    <row r="100" spans="1:13" ht="18" x14ac:dyDescent="0.25">
      <c r="A100" s="80" t="s">
        <v>89</v>
      </c>
      <c r="B100" s="81">
        <v>411940</v>
      </c>
      <c r="C100" s="51">
        <v>0</v>
      </c>
      <c r="D100" s="57">
        <v>3.0612244897959183E-2</v>
      </c>
      <c r="E100" s="56">
        <v>3.0612244897959182</v>
      </c>
      <c r="F100" s="17">
        <v>840</v>
      </c>
      <c r="G100" s="17">
        <v>3346</v>
      </c>
      <c r="H100" s="58">
        <v>0.2510460251046025</v>
      </c>
      <c r="I100" s="56">
        <v>37.976675707042098</v>
      </c>
      <c r="J100" s="57">
        <v>0.50834813735101758</v>
      </c>
      <c r="K100" s="56">
        <v>54.063540382688615</v>
      </c>
      <c r="L100" s="41">
        <f t="shared" si="2"/>
        <v>31.70048019317554</v>
      </c>
      <c r="M100" s="131">
        <f t="shared" si="3"/>
        <v>38.534688004719477</v>
      </c>
    </row>
    <row r="101" spans="1:13" ht="18" x14ac:dyDescent="0.25">
      <c r="A101" s="80" t="s">
        <v>115</v>
      </c>
      <c r="B101" s="81">
        <v>412630</v>
      </c>
      <c r="C101" s="51">
        <v>6</v>
      </c>
      <c r="D101" s="57">
        <v>2.6373626373626374E-2</v>
      </c>
      <c r="E101" s="56">
        <v>2.6373626373626373</v>
      </c>
      <c r="F101" s="17">
        <v>587</v>
      </c>
      <c r="G101" s="17">
        <v>2516</v>
      </c>
      <c r="H101" s="58">
        <v>0.23330683624801271</v>
      </c>
      <c r="I101" s="56">
        <v>34.925566849063927</v>
      </c>
      <c r="J101" s="57">
        <v>0.53197622823625135</v>
      </c>
      <c r="K101" s="56">
        <v>50.130815384713159</v>
      </c>
      <c r="L101" s="41">
        <f t="shared" si="2"/>
        <v>29.231248290379909</v>
      </c>
      <c r="M101" s="131">
        <f t="shared" si="3"/>
        <v>34.702230718247854</v>
      </c>
    </row>
    <row r="102" spans="1:13" ht="18" x14ac:dyDescent="0.25">
      <c r="A102" s="80" t="s">
        <v>118</v>
      </c>
      <c r="B102" s="81">
        <v>410760</v>
      </c>
      <c r="C102" s="51">
        <v>3</v>
      </c>
      <c r="D102" s="57">
        <v>0.1111111111111111</v>
      </c>
      <c r="E102" s="56">
        <v>11.111111111111111</v>
      </c>
      <c r="F102" s="17">
        <v>779</v>
      </c>
      <c r="G102" s="17">
        <v>2316</v>
      </c>
      <c r="H102" s="58">
        <v>0.33635578583765113</v>
      </c>
      <c r="I102" s="56">
        <v>52.649802463224702</v>
      </c>
      <c r="J102" s="57">
        <v>0.42372631306167913</v>
      </c>
      <c r="K102" s="56">
        <v>68.148231582388803</v>
      </c>
      <c r="L102" s="41">
        <f t="shared" si="2"/>
        <v>43.969715052241533</v>
      </c>
      <c r="M102" s="131">
        <f t="shared" si="3"/>
        <v>57.577580849989396</v>
      </c>
    </row>
    <row r="103" spans="1:13" ht="18" x14ac:dyDescent="0.25">
      <c r="A103" s="80" t="s">
        <v>112</v>
      </c>
      <c r="B103" s="81">
        <v>412760</v>
      </c>
      <c r="C103" s="51">
        <v>1</v>
      </c>
      <c r="D103" s="57">
        <v>2.9045643153526972E-2</v>
      </c>
      <c r="E103" s="56">
        <v>2.904564315352697</v>
      </c>
      <c r="F103" s="17">
        <v>818</v>
      </c>
      <c r="G103" s="17">
        <v>2495</v>
      </c>
      <c r="H103" s="58">
        <v>0.3278557114228457</v>
      </c>
      <c r="I103" s="56">
        <v>51.187804817776993</v>
      </c>
      <c r="J103" s="57">
        <v>0.41736271964028726</v>
      </c>
      <c r="K103" s="56">
        <v>69.207405725861392</v>
      </c>
      <c r="L103" s="41">
        <f t="shared" si="2"/>
        <v>41.099924952997029</v>
      </c>
      <c r="M103" s="131">
        <f t="shared" si="3"/>
        <v>53.123423278138183</v>
      </c>
    </row>
    <row r="104" spans="1:13" ht="18" x14ac:dyDescent="0.25">
      <c r="A104" s="80" t="s">
        <v>113</v>
      </c>
      <c r="B104" s="81">
        <v>412720</v>
      </c>
      <c r="C104" s="51">
        <v>5</v>
      </c>
      <c r="D104" s="57">
        <v>2.7586206896551724E-2</v>
      </c>
      <c r="E104" s="56">
        <v>2.7586206896551726</v>
      </c>
      <c r="F104" s="17">
        <v>269</v>
      </c>
      <c r="G104" s="17">
        <v>2268</v>
      </c>
      <c r="H104" s="58">
        <v>0.11860670194003527</v>
      </c>
      <c r="I104" s="56">
        <v>15.197348235034561</v>
      </c>
      <c r="J104" s="57">
        <v>0.49664509279761471</v>
      </c>
      <c r="K104" s="56">
        <v>56.01142758572756</v>
      </c>
      <c r="L104" s="41">
        <f t="shared" si="2"/>
        <v>24.655798836805769</v>
      </c>
      <c r="M104" s="131">
        <f t="shared" si="3"/>
        <v>27.60074520067468</v>
      </c>
    </row>
    <row r="105" spans="1:13" ht="18" x14ac:dyDescent="0.25">
      <c r="A105" s="80" t="s">
        <v>130</v>
      </c>
      <c r="B105" s="81">
        <v>410570</v>
      </c>
      <c r="C105" s="51">
        <v>6</v>
      </c>
      <c r="D105" s="57">
        <v>5.2631578947368418E-2</v>
      </c>
      <c r="E105" s="56">
        <v>5.2631578947368416</v>
      </c>
      <c r="F105" s="17">
        <v>631</v>
      </c>
      <c r="G105" s="17">
        <v>2205</v>
      </c>
      <c r="H105" s="58">
        <v>0.28616780045351475</v>
      </c>
      <c r="I105" s="56">
        <v>44.017558452093759</v>
      </c>
      <c r="J105" s="57">
        <v>0.4882965992546407</v>
      </c>
      <c r="K105" s="56">
        <v>57.40097401211316</v>
      </c>
      <c r="L105" s="41">
        <f t="shared" si="2"/>
        <v>35.560563452981249</v>
      </c>
      <c r="M105" s="131">
        <f t="shared" si="3"/>
        <v>44.525864531590216</v>
      </c>
    </row>
    <row r="106" spans="1:13" ht="18" x14ac:dyDescent="0.25">
      <c r="A106" s="80" t="s">
        <v>103</v>
      </c>
      <c r="B106" s="81">
        <v>412850</v>
      </c>
      <c r="C106" s="51">
        <v>0</v>
      </c>
      <c r="D106" s="57">
        <v>8.6092715231788075E-2</v>
      </c>
      <c r="E106" s="56">
        <v>8.6092715231788084</v>
      </c>
      <c r="F106" s="17">
        <v>648</v>
      </c>
      <c r="G106" s="17">
        <v>2637</v>
      </c>
      <c r="H106" s="58">
        <v>0.24573378839590443</v>
      </c>
      <c r="I106" s="56">
        <v>37.062980463780484</v>
      </c>
      <c r="J106" s="57">
        <v>0.49219719853492311</v>
      </c>
      <c r="K106" s="56">
        <v>56.751747446532342</v>
      </c>
      <c r="L106" s="41">
        <f t="shared" si="2"/>
        <v>34.14133314449721</v>
      </c>
      <c r="M106" s="131">
        <f t="shared" si="3"/>
        <v>42.323098752169933</v>
      </c>
    </row>
    <row r="107" spans="1:13" ht="18" x14ac:dyDescent="0.25">
      <c r="A107" s="80" t="s">
        <v>159</v>
      </c>
      <c r="B107" s="81">
        <v>412402</v>
      </c>
      <c r="C107" s="51">
        <v>0</v>
      </c>
      <c r="D107" s="57">
        <v>3.5714285714285712E-2</v>
      </c>
      <c r="E107" s="56">
        <v>3.5714285714285712</v>
      </c>
      <c r="F107" s="17">
        <v>491</v>
      </c>
      <c r="G107" s="17">
        <v>2063</v>
      </c>
      <c r="H107" s="58">
        <v>0.23800290838584587</v>
      </c>
      <c r="I107" s="56">
        <v>35.733282884632516</v>
      </c>
      <c r="J107" s="57">
        <v>0.54500221871454502</v>
      </c>
      <c r="K107" s="56">
        <v>47.962733391707516</v>
      </c>
      <c r="L107" s="41">
        <f t="shared" si="2"/>
        <v>29.089148282589534</v>
      </c>
      <c r="M107" s="131">
        <f t="shared" si="3"/>
        <v>34.481679457085498</v>
      </c>
    </row>
    <row r="108" spans="1:13" ht="18" x14ac:dyDescent="0.25">
      <c r="A108" s="80" t="s">
        <v>174</v>
      </c>
      <c r="B108" s="81">
        <v>411095</v>
      </c>
      <c r="C108" s="51">
        <v>3</v>
      </c>
      <c r="D108" s="57">
        <v>1.4492753623188406E-2</v>
      </c>
      <c r="E108" s="56">
        <v>1.4492753623188406</v>
      </c>
      <c r="F108" s="17">
        <v>235</v>
      </c>
      <c r="G108" s="17">
        <v>1662</v>
      </c>
      <c r="H108" s="58">
        <v>0.14139590854392298</v>
      </c>
      <c r="I108" s="56">
        <v>19.117051142396452</v>
      </c>
      <c r="J108" s="57">
        <v>0.63363945360379714</v>
      </c>
      <c r="K108" s="56">
        <v>33.20970611186786</v>
      </c>
      <c r="L108" s="41">
        <f t="shared" si="2"/>
        <v>17.925344205527718</v>
      </c>
      <c r="M108" s="131">
        <f t="shared" si="3"/>
        <v>17.154508918167384</v>
      </c>
    </row>
    <row r="109" spans="1:13" ht="18" x14ac:dyDescent="0.25">
      <c r="A109" s="80" t="s">
        <v>100</v>
      </c>
      <c r="B109" s="81">
        <v>410110</v>
      </c>
      <c r="C109" s="51">
        <v>1</v>
      </c>
      <c r="D109" s="57">
        <v>3.2467532467532464E-2</v>
      </c>
      <c r="E109" s="56">
        <v>3.2467532467532463</v>
      </c>
      <c r="F109" s="17">
        <v>673</v>
      </c>
      <c r="G109" s="17">
        <v>2283</v>
      </c>
      <c r="H109" s="58">
        <v>0.29478756022777047</v>
      </c>
      <c r="I109" s="56">
        <v>45.500141765992339</v>
      </c>
      <c r="J109" s="57">
        <v>0.48931614776209936</v>
      </c>
      <c r="K109" s="56">
        <v>57.231277530014509</v>
      </c>
      <c r="L109" s="41">
        <f t="shared" si="2"/>
        <v>35.326057514253364</v>
      </c>
      <c r="M109" s="131">
        <f t="shared" si="3"/>
        <v>44.161891430246023</v>
      </c>
    </row>
    <row r="110" spans="1:13" ht="18" x14ac:dyDescent="0.25">
      <c r="A110" s="80" t="s">
        <v>167</v>
      </c>
      <c r="B110" s="81">
        <v>411705</v>
      </c>
      <c r="C110" s="51">
        <v>7</v>
      </c>
      <c r="D110" s="57">
        <v>2.7272727272727271E-2</v>
      </c>
      <c r="E110" s="56">
        <v>2.7272727272727271</v>
      </c>
      <c r="F110" s="17">
        <v>807</v>
      </c>
      <c r="G110" s="17">
        <v>1974</v>
      </c>
      <c r="H110" s="58">
        <v>0.40881458966565348</v>
      </c>
      <c r="I110" s="56">
        <v>65.112587542374143</v>
      </c>
      <c r="J110" s="57">
        <v>0.4303585388980119</v>
      </c>
      <c r="K110" s="56">
        <v>67.044345514510823</v>
      </c>
      <c r="L110" s="41">
        <f t="shared" si="2"/>
        <v>44.96140192805256</v>
      </c>
      <c r="M110" s="131">
        <f t="shared" si="3"/>
        <v>59.116762969253799</v>
      </c>
    </row>
    <row r="111" spans="1:13" ht="18" x14ac:dyDescent="0.25">
      <c r="A111" s="80" t="s">
        <v>150</v>
      </c>
      <c r="B111" s="81">
        <v>411910</v>
      </c>
      <c r="C111" s="51">
        <v>3</v>
      </c>
      <c r="D111" s="57">
        <v>5.263157894736842E-3</v>
      </c>
      <c r="E111" s="56">
        <v>0.52631578947368418</v>
      </c>
      <c r="F111" s="17">
        <v>322</v>
      </c>
      <c r="G111" s="17">
        <v>2024</v>
      </c>
      <c r="H111" s="58">
        <v>0.15909090909090909</v>
      </c>
      <c r="I111" s="56">
        <v>22.160559689901543</v>
      </c>
      <c r="J111" s="57">
        <v>0.57188700929247072</v>
      </c>
      <c r="K111" s="56">
        <v>43.487954261870193</v>
      </c>
      <c r="L111" s="41">
        <f t="shared" si="2"/>
        <v>22.058276580415139</v>
      </c>
      <c r="M111" s="131">
        <f t="shared" si="3"/>
        <v>23.569170407312548</v>
      </c>
    </row>
    <row r="112" spans="1:13" ht="18" x14ac:dyDescent="0.25">
      <c r="A112" s="80" t="s">
        <v>93</v>
      </c>
      <c r="B112" s="81">
        <v>410360</v>
      </c>
      <c r="C112" s="51">
        <v>2</v>
      </c>
      <c r="D112" s="57">
        <v>3.7037037037037035E-2</v>
      </c>
      <c r="E112" s="56">
        <v>3.7037037037037033</v>
      </c>
      <c r="F112" s="17">
        <v>830</v>
      </c>
      <c r="G112" s="17">
        <v>2900</v>
      </c>
      <c r="H112" s="58">
        <v>0.28620689655172415</v>
      </c>
      <c r="I112" s="56">
        <v>44.024282911285404</v>
      </c>
      <c r="J112" s="57">
        <v>0.47022321969609876</v>
      </c>
      <c r="K112" s="56">
        <v>60.409157446526642</v>
      </c>
      <c r="L112" s="41">
        <f t="shared" si="2"/>
        <v>36.045714687171916</v>
      </c>
      <c r="M112" s="131">
        <f t="shared" si="3"/>
        <v>45.278860384434019</v>
      </c>
    </row>
    <row r="113" spans="1:13" ht="18" x14ac:dyDescent="0.25">
      <c r="A113" s="80" t="s">
        <v>126</v>
      </c>
      <c r="B113" s="81">
        <v>410290</v>
      </c>
      <c r="C113" s="51">
        <v>1</v>
      </c>
      <c r="D113" s="57">
        <v>5.5900621118012424E-2</v>
      </c>
      <c r="E113" s="56">
        <v>5.5900621118012426</v>
      </c>
      <c r="F113" s="17">
        <v>703</v>
      </c>
      <c r="G113" s="17">
        <v>2346</v>
      </c>
      <c r="H113" s="58">
        <v>0.29965899403239554</v>
      </c>
      <c r="I113" s="56">
        <v>46.33801969561506</v>
      </c>
      <c r="J113" s="57">
        <v>0.47806034479726528</v>
      </c>
      <c r="K113" s="56">
        <v>59.104724602276839</v>
      </c>
      <c r="L113" s="41">
        <f t="shared" si="2"/>
        <v>37.01093546989771</v>
      </c>
      <c r="M113" s="131">
        <f t="shared" si="3"/>
        <v>46.776964883093363</v>
      </c>
    </row>
    <row r="114" spans="1:13" ht="18" x14ac:dyDescent="0.25">
      <c r="A114" s="80" t="s">
        <v>157</v>
      </c>
      <c r="B114" s="81">
        <v>411800</v>
      </c>
      <c r="C114" s="51">
        <v>6</v>
      </c>
      <c r="D114" s="57">
        <v>7.0921985815602835E-3</v>
      </c>
      <c r="E114" s="56">
        <v>0.70921985815602839</v>
      </c>
      <c r="F114" s="17">
        <v>190</v>
      </c>
      <c r="G114" s="17">
        <v>1798</v>
      </c>
      <c r="H114" s="58">
        <v>0.10567296996662959</v>
      </c>
      <c r="I114" s="56">
        <v>12.972769393814652</v>
      </c>
      <c r="J114" s="57">
        <v>0.57743655966730223</v>
      </c>
      <c r="K114" s="56">
        <v>42.564271701453798</v>
      </c>
      <c r="L114" s="41">
        <f t="shared" si="2"/>
        <v>18.748753651141492</v>
      </c>
      <c r="M114" s="131">
        <f t="shared" si="3"/>
        <v>18.432510197034404</v>
      </c>
    </row>
    <row r="115" spans="1:13" ht="18" x14ac:dyDescent="0.25">
      <c r="A115" s="80" t="s">
        <v>139</v>
      </c>
      <c r="B115" s="81">
        <v>411450</v>
      </c>
      <c r="C115" s="51">
        <v>0</v>
      </c>
      <c r="D115" s="57">
        <v>3.8461538461538464E-2</v>
      </c>
      <c r="E115" s="56">
        <v>3.8461538461538463</v>
      </c>
      <c r="F115" s="17">
        <v>600</v>
      </c>
      <c r="G115" s="17">
        <v>2085</v>
      </c>
      <c r="H115" s="58">
        <v>0.28776978417266186</v>
      </c>
      <c r="I115" s="56">
        <v>44.293096795776862</v>
      </c>
      <c r="J115" s="57">
        <v>0.4674241476668809</v>
      </c>
      <c r="K115" s="56">
        <v>60.875042760490729</v>
      </c>
      <c r="L115" s="41">
        <f t="shared" si="2"/>
        <v>36.338097800807141</v>
      </c>
      <c r="M115" s="131">
        <f t="shared" si="3"/>
        <v>45.732663768807882</v>
      </c>
    </row>
    <row r="116" spans="1:13" ht="18" x14ac:dyDescent="0.25">
      <c r="A116" s="80" t="s">
        <v>101</v>
      </c>
      <c r="B116" s="81">
        <v>410100</v>
      </c>
      <c r="C116" s="51">
        <v>2</v>
      </c>
      <c r="D116" s="57">
        <v>9.9750623441396506E-3</v>
      </c>
      <c r="E116" s="56">
        <v>0.99750623441396502</v>
      </c>
      <c r="F116" s="17">
        <v>277</v>
      </c>
      <c r="G116" s="17">
        <v>2663</v>
      </c>
      <c r="H116" s="58">
        <v>0.10401802478407811</v>
      </c>
      <c r="I116" s="56">
        <v>12.688121772845479</v>
      </c>
      <c r="J116" s="57">
        <v>0.51480443624980776</v>
      </c>
      <c r="K116" s="56">
        <v>52.988936082366514</v>
      </c>
      <c r="L116" s="41">
        <f t="shared" si="2"/>
        <v>22.224854696541986</v>
      </c>
      <c r="M116" s="131">
        <f t="shared" si="3"/>
        <v>23.827713768182885</v>
      </c>
    </row>
    <row r="117" spans="1:13" ht="18" x14ac:dyDescent="0.25">
      <c r="A117" s="80" t="s">
        <v>96</v>
      </c>
      <c r="B117" s="81">
        <v>411210</v>
      </c>
      <c r="C117" s="51">
        <v>8</v>
      </c>
      <c r="D117" s="57">
        <v>1.6393442622950821E-2</v>
      </c>
      <c r="E117" s="56">
        <v>1.639344262295082</v>
      </c>
      <c r="F117" s="17">
        <v>531</v>
      </c>
      <c r="G117" s="17">
        <v>2443</v>
      </c>
      <c r="H117" s="58">
        <v>0.21735571019238642</v>
      </c>
      <c r="I117" s="56">
        <v>32.182001605100226</v>
      </c>
      <c r="J117" s="57">
        <v>0.52460736895194537</v>
      </c>
      <c r="K117" s="56">
        <v>51.357308767302278</v>
      </c>
      <c r="L117" s="41">
        <f t="shared" si="2"/>
        <v>28.392884878232525</v>
      </c>
      <c r="M117" s="131">
        <f t="shared" si="3"/>
        <v>33.40101961533049</v>
      </c>
    </row>
    <row r="118" spans="1:13" ht="18" x14ac:dyDescent="0.25">
      <c r="A118" s="80" t="s">
        <v>145</v>
      </c>
      <c r="B118" s="81">
        <v>410060</v>
      </c>
      <c r="C118" s="51">
        <v>8</v>
      </c>
      <c r="D118" s="57">
        <v>8.6206896551724137E-3</v>
      </c>
      <c r="E118" s="56">
        <v>0.86206896551724133</v>
      </c>
      <c r="F118" s="17">
        <v>562</v>
      </c>
      <c r="G118" s="17">
        <v>1897</v>
      </c>
      <c r="H118" s="58">
        <v>0.29625724828676858</v>
      </c>
      <c r="I118" s="56">
        <v>45.752925491985991</v>
      </c>
      <c r="J118" s="57">
        <v>0.40340381531492064</v>
      </c>
      <c r="K118" s="56">
        <v>71.530764487741919</v>
      </c>
      <c r="L118" s="41">
        <f t="shared" si="2"/>
        <v>39.38191964841505</v>
      </c>
      <c r="M118" s="131">
        <f t="shared" si="3"/>
        <v>50.456933370775658</v>
      </c>
    </row>
    <row r="119" spans="1:13" ht="18" x14ac:dyDescent="0.25">
      <c r="A119" s="80" t="s">
        <v>123</v>
      </c>
      <c r="B119" s="81">
        <v>412680</v>
      </c>
      <c r="C119" s="51">
        <v>1</v>
      </c>
      <c r="D119" s="57">
        <v>2.9585798816568046E-2</v>
      </c>
      <c r="E119" s="56">
        <v>2.9585798816568047</v>
      </c>
      <c r="F119" s="17">
        <v>339</v>
      </c>
      <c r="G119" s="17">
        <v>2073</v>
      </c>
      <c r="H119" s="58">
        <v>0.16353111432706222</v>
      </c>
      <c r="I119" s="56">
        <v>22.924267074539664</v>
      </c>
      <c r="J119" s="57">
        <v>0.54160416520597876</v>
      </c>
      <c r="K119" s="56">
        <v>48.528314844839151</v>
      </c>
      <c r="L119" s="41">
        <f t="shared" si="2"/>
        <v>24.803720600345205</v>
      </c>
      <c r="M119" s="131">
        <f t="shared" si="3"/>
        <v>27.83033232040313</v>
      </c>
    </row>
    <row r="120" spans="1:13" ht="18" x14ac:dyDescent="0.25">
      <c r="A120" s="80" t="s">
        <v>147</v>
      </c>
      <c r="B120" s="81">
        <v>411670</v>
      </c>
      <c r="C120" s="51">
        <v>3</v>
      </c>
      <c r="D120" s="57">
        <v>1.8181818181818181E-2</v>
      </c>
      <c r="E120" s="56">
        <v>1.8181818181818181</v>
      </c>
      <c r="F120" s="17">
        <v>259</v>
      </c>
      <c r="G120" s="17">
        <v>1861</v>
      </c>
      <c r="H120" s="58">
        <v>0.13917248790972594</v>
      </c>
      <c r="I120" s="56">
        <v>18.734626757220017</v>
      </c>
      <c r="J120" s="57">
        <v>0.51201707028725119</v>
      </c>
      <c r="K120" s="56">
        <v>53.452873006119539</v>
      </c>
      <c r="L120" s="41">
        <f t="shared" si="2"/>
        <v>24.668560527173792</v>
      </c>
      <c r="M120" s="131">
        <f t="shared" si="3"/>
        <v>27.620552426226585</v>
      </c>
    </row>
    <row r="121" spans="1:13" ht="18" x14ac:dyDescent="0.25">
      <c r="A121" s="80" t="s">
        <v>134</v>
      </c>
      <c r="B121" s="81">
        <v>410460</v>
      </c>
      <c r="C121" s="51">
        <v>0</v>
      </c>
      <c r="D121" s="57">
        <v>0</v>
      </c>
      <c r="E121" s="56">
        <v>0</v>
      </c>
      <c r="F121" s="17">
        <v>554</v>
      </c>
      <c r="G121" s="17">
        <v>1955</v>
      </c>
      <c r="H121" s="58">
        <v>0.28337595907928387</v>
      </c>
      <c r="I121" s="56">
        <v>43.537366713009732</v>
      </c>
      <c r="J121" s="57">
        <v>0.45148052932690608</v>
      </c>
      <c r="K121" s="56">
        <v>63.528742829123196</v>
      </c>
      <c r="L121" s="41">
        <f t="shared" si="2"/>
        <v>35.688703180710974</v>
      </c>
      <c r="M121" s="131">
        <f t="shared" si="3"/>
        <v>44.724748254365814</v>
      </c>
    </row>
    <row r="122" spans="1:13" ht="18" x14ac:dyDescent="0.25">
      <c r="A122" s="80" t="s">
        <v>94</v>
      </c>
      <c r="B122" s="81">
        <v>410590</v>
      </c>
      <c r="C122" s="51">
        <v>4</v>
      </c>
      <c r="D122" s="57">
        <v>0</v>
      </c>
      <c r="E122" s="56">
        <v>0</v>
      </c>
      <c r="F122" s="17">
        <v>340</v>
      </c>
      <c r="G122" s="17">
        <v>2591</v>
      </c>
      <c r="H122" s="58">
        <v>0.13122346584330374</v>
      </c>
      <c r="I122" s="56">
        <v>17.367409133280287</v>
      </c>
      <c r="J122" s="57">
        <v>0.532216889610719</v>
      </c>
      <c r="K122" s="56">
        <v>50.090759037883728</v>
      </c>
      <c r="L122" s="41">
        <f t="shared" si="2"/>
        <v>22.486056057054672</v>
      </c>
      <c r="M122" s="131">
        <f t="shared" si="3"/>
        <v>24.233120427719314</v>
      </c>
    </row>
    <row r="123" spans="1:13" ht="18" x14ac:dyDescent="0.25">
      <c r="A123" s="80" t="s">
        <v>125</v>
      </c>
      <c r="B123" s="81">
        <v>410390</v>
      </c>
      <c r="C123" s="51">
        <v>9</v>
      </c>
      <c r="D123" s="57">
        <v>5.6701030927835051E-2</v>
      </c>
      <c r="E123" s="56">
        <v>5.6701030927835054</v>
      </c>
      <c r="F123" s="17">
        <v>617</v>
      </c>
      <c r="G123" s="17">
        <v>2063</v>
      </c>
      <c r="H123" s="58">
        <v>0.29907901114881241</v>
      </c>
      <c r="I123" s="56">
        <v>46.238263673629938</v>
      </c>
      <c r="J123" s="57">
        <v>0.3936425382805292</v>
      </c>
      <c r="K123" s="56">
        <v>73.155458517901835</v>
      </c>
      <c r="L123" s="41">
        <f t="shared" si="2"/>
        <v>41.687941761438424</v>
      </c>
      <c r="M123" s="131">
        <f t="shared" si="3"/>
        <v>54.036075224489423</v>
      </c>
    </row>
    <row r="124" spans="1:13" ht="18" x14ac:dyDescent="0.25">
      <c r="A124" s="80" t="s">
        <v>169</v>
      </c>
      <c r="B124" s="81">
        <v>411280</v>
      </c>
      <c r="C124" s="51">
        <v>1</v>
      </c>
      <c r="D124" s="57">
        <v>4.3478260869565216E-2</v>
      </c>
      <c r="E124" s="56">
        <v>4.3478260869565215</v>
      </c>
      <c r="F124" s="17">
        <v>295</v>
      </c>
      <c r="G124" s="17">
        <v>1668</v>
      </c>
      <c r="H124" s="58">
        <v>0.17685851318944845</v>
      </c>
      <c r="I124" s="56">
        <v>25.216555918836463</v>
      </c>
      <c r="J124" s="57">
        <v>0.6472846067094199</v>
      </c>
      <c r="K124" s="56">
        <v>30.938568973436531</v>
      </c>
      <c r="L124" s="41">
        <f t="shared" si="2"/>
        <v>20.167650326409838</v>
      </c>
      <c r="M124" s="131">
        <f t="shared" si="3"/>
        <v>20.634758149414196</v>
      </c>
    </row>
    <row r="125" spans="1:13" ht="18" x14ac:dyDescent="0.25">
      <c r="A125" s="80" t="s">
        <v>128</v>
      </c>
      <c r="B125" s="81">
        <v>412300</v>
      </c>
      <c r="C125" s="51">
        <v>6</v>
      </c>
      <c r="D125" s="57">
        <v>1.2779552715654952E-2</v>
      </c>
      <c r="E125" s="56">
        <v>1.2779552715654952</v>
      </c>
      <c r="F125" s="17">
        <v>350</v>
      </c>
      <c r="G125" s="17">
        <v>2019</v>
      </c>
      <c r="H125" s="58">
        <v>0.1733531451213472</v>
      </c>
      <c r="I125" s="56">
        <v>24.613638860479284</v>
      </c>
      <c r="J125" s="57">
        <v>0.39554786497812766</v>
      </c>
      <c r="K125" s="56">
        <v>72.838330656435943</v>
      </c>
      <c r="L125" s="41">
        <f t="shared" si="2"/>
        <v>32.909974929493572</v>
      </c>
      <c r="M125" s="131">
        <f t="shared" si="3"/>
        <v>40.411926392050802</v>
      </c>
    </row>
    <row r="126" spans="1:13" ht="18" x14ac:dyDescent="0.25">
      <c r="A126" s="80" t="s">
        <v>156</v>
      </c>
      <c r="B126" s="81">
        <v>410310</v>
      </c>
      <c r="C126" s="51">
        <v>7</v>
      </c>
      <c r="D126" s="57">
        <v>6.0606060606060608E-2</v>
      </c>
      <c r="E126" s="56">
        <v>6.0606060606060606</v>
      </c>
      <c r="F126" s="17">
        <v>770</v>
      </c>
      <c r="G126" s="17">
        <v>1997</v>
      </c>
      <c r="H126" s="58">
        <v>0.38557836755132702</v>
      </c>
      <c r="I126" s="56">
        <v>61.115998764154256</v>
      </c>
      <c r="J126" s="57">
        <v>0.47582947628728195</v>
      </c>
      <c r="K126" s="56">
        <v>59.476036546141522</v>
      </c>
      <c r="L126" s="41">
        <f t="shared" si="2"/>
        <v>42.217547123633949</v>
      </c>
      <c r="M126" s="131">
        <f t="shared" si="3"/>
        <v>54.858067653391188</v>
      </c>
    </row>
    <row r="127" spans="1:13" ht="18" x14ac:dyDescent="0.25">
      <c r="A127" s="80" t="s">
        <v>140</v>
      </c>
      <c r="B127" s="81">
        <v>412796</v>
      </c>
      <c r="C127" s="51">
        <v>5</v>
      </c>
      <c r="D127" s="57">
        <v>3.111111111111111E-2</v>
      </c>
      <c r="E127" s="56">
        <v>3.1111111111111112</v>
      </c>
      <c r="F127" s="17">
        <v>474</v>
      </c>
      <c r="G127" s="17">
        <v>2030</v>
      </c>
      <c r="H127" s="58">
        <v>0.23349753694581279</v>
      </c>
      <c r="I127" s="56">
        <v>34.958367029105098</v>
      </c>
      <c r="J127" s="57">
        <v>0.47992488139153033</v>
      </c>
      <c r="K127" s="56">
        <v>58.794385958773113</v>
      </c>
      <c r="L127" s="41">
        <f t="shared" si="2"/>
        <v>32.287954699663111</v>
      </c>
      <c r="M127" s="131">
        <f t="shared" si="3"/>
        <v>39.446498252455036</v>
      </c>
    </row>
    <row r="128" spans="1:13" ht="18" x14ac:dyDescent="0.25">
      <c r="A128" s="80" t="s">
        <v>124</v>
      </c>
      <c r="B128" s="81">
        <v>411060</v>
      </c>
      <c r="C128" s="51">
        <v>7</v>
      </c>
      <c r="D128" s="57">
        <v>0</v>
      </c>
      <c r="E128" s="56">
        <v>0</v>
      </c>
      <c r="F128" s="17">
        <v>441</v>
      </c>
      <c r="G128" s="17">
        <v>2080</v>
      </c>
      <c r="H128" s="58">
        <v>0.21201923076923077</v>
      </c>
      <c r="I128" s="56">
        <v>31.264136658171722</v>
      </c>
      <c r="J128" s="57">
        <v>0.48403769606030445</v>
      </c>
      <c r="K128" s="56">
        <v>58.10983767518595</v>
      </c>
      <c r="L128" s="41">
        <f t="shared" si="2"/>
        <v>29.791324777785889</v>
      </c>
      <c r="M128" s="131">
        <f t="shared" si="3"/>
        <v>35.571516917211298</v>
      </c>
    </row>
    <row r="129" spans="1:13" ht="18" x14ac:dyDescent="0.25">
      <c r="A129" s="80" t="s">
        <v>116</v>
      </c>
      <c r="B129" s="81">
        <v>410470</v>
      </c>
      <c r="C129" s="51">
        <v>9</v>
      </c>
      <c r="D129" s="57">
        <v>5.0632911392405063E-2</v>
      </c>
      <c r="E129" s="56">
        <v>5.0632911392405067</v>
      </c>
      <c r="F129" s="17">
        <v>554</v>
      </c>
      <c r="G129" s="17">
        <v>2248</v>
      </c>
      <c r="H129" s="58">
        <v>0.24644128113879005</v>
      </c>
      <c r="I129" s="56">
        <v>37.184667954241569</v>
      </c>
      <c r="J129" s="57">
        <v>0.42647170013372682</v>
      </c>
      <c r="K129" s="56">
        <v>67.69128174163346</v>
      </c>
      <c r="L129" s="41">
        <f t="shared" si="2"/>
        <v>36.646413611705178</v>
      </c>
      <c r="M129" s="131">
        <f t="shared" si="3"/>
        <v>46.211196050313234</v>
      </c>
    </row>
    <row r="130" spans="1:13" ht="18" x14ac:dyDescent="0.25">
      <c r="A130" s="80" t="s">
        <v>109</v>
      </c>
      <c r="B130" s="81">
        <v>411620</v>
      </c>
      <c r="C130" s="51">
        <v>8</v>
      </c>
      <c r="D130" s="57">
        <v>3.0303030303030304E-2</v>
      </c>
      <c r="E130" s="56">
        <v>3.0303030303030303</v>
      </c>
      <c r="F130" s="17">
        <v>716</v>
      </c>
      <c r="G130" s="17">
        <v>2419</v>
      </c>
      <c r="H130" s="58">
        <v>0.29599007854485326</v>
      </c>
      <c r="I130" s="56">
        <v>45.70697277268571</v>
      </c>
      <c r="J130" s="57">
        <v>0.39175501706334803</v>
      </c>
      <c r="K130" s="56">
        <v>73.469622785809591</v>
      </c>
      <c r="L130" s="41">
        <f t="shared" si="2"/>
        <v>40.735632862932782</v>
      </c>
      <c r="M130" s="131">
        <f t="shared" si="3"/>
        <v>52.558011064975865</v>
      </c>
    </row>
    <row r="131" spans="1:13" ht="18" x14ac:dyDescent="0.25">
      <c r="A131" s="80" t="s">
        <v>155</v>
      </c>
      <c r="B131" s="81">
        <v>411880</v>
      </c>
      <c r="C131" s="51">
        <v>8</v>
      </c>
      <c r="D131" s="57">
        <v>5.5555555555555552E-2</v>
      </c>
      <c r="E131" s="56">
        <v>5.5555555555555554</v>
      </c>
      <c r="F131" s="17">
        <v>448</v>
      </c>
      <c r="G131" s="17">
        <v>1765</v>
      </c>
      <c r="H131" s="58">
        <v>0.25382436260623231</v>
      </c>
      <c r="I131" s="56">
        <v>38.454544804113397</v>
      </c>
      <c r="J131" s="57">
        <v>0.43350541213799232</v>
      </c>
      <c r="K131" s="56">
        <v>66.520571202128025</v>
      </c>
      <c r="L131" s="41">
        <f t="shared" ref="L131:L194" si="4">(K131+I131+E131)/3</f>
        <v>36.84355718726566</v>
      </c>
      <c r="M131" s="131">
        <f t="shared" ref="M131:M194" si="5">(L131-L$402)/(L$403-L$402)*100</f>
        <v>46.51717959595851</v>
      </c>
    </row>
    <row r="132" spans="1:13" ht="18" x14ac:dyDescent="0.25">
      <c r="A132" s="80" t="s">
        <v>122</v>
      </c>
      <c r="B132" s="81">
        <v>411540</v>
      </c>
      <c r="C132" s="51">
        <v>8</v>
      </c>
      <c r="D132" s="57">
        <v>4.1825095057034217E-2</v>
      </c>
      <c r="E132" s="56">
        <v>4.1825095057034218</v>
      </c>
      <c r="F132" s="17">
        <v>543</v>
      </c>
      <c r="G132" s="17">
        <v>2199</v>
      </c>
      <c r="H132" s="58">
        <v>0.24693042291950887</v>
      </c>
      <c r="I132" s="56">
        <v>37.268799468485192</v>
      </c>
      <c r="J132" s="57">
        <v>0.52409164742579906</v>
      </c>
      <c r="K132" s="56">
        <v>51.443146888872107</v>
      </c>
      <c r="L132" s="41">
        <f t="shared" si="4"/>
        <v>30.964818621020243</v>
      </c>
      <c r="M132" s="131">
        <f t="shared" si="5"/>
        <v>37.392878865856638</v>
      </c>
    </row>
    <row r="133" spans="1:13" ht="18" x14ac:dyDescent="0.25">
      <c r="A133" s="80" t="s">
        <v>162</v>
      </c>
      <c r="B133" s="81">
        <v>411710</v>
      </c>
      <c r="C133" s="51">
        <v>7</v>
      </c>
      <c r="D133" s="57">
        <v>3.2786885245901641E-2</v>
      </c>
      <c r="E133" s="56">
        <v>3.278688524590164</v>
      </c>
      <c r="F133" s="17">
        <v>362</v>
      </c>
      <c r="G133" s="17">
        <v>1699</v>
      </c>
      <c r="H133" s="58">
        <v>0.21306650971159505</v>
      </c>
      <c r="I133" s="56">
        <v>31.444266769173652</v>
      </c>
      <c r="J133" s="57">
        <v>0.51751916706353551</v>
      </c>
      <c r="K133" s="56">
        <v>52.537088754295105</v>
      </c>
      <c r="L133" s="41">
        <f t="shared" si="4"/>
        <v>29.086681349352972</v>
      </c>
      <c r="M133" s="131">
        <f t="shared" si="5"/>
        <v>34.477850567523937</v>
      </c>
    </row>
    <row r="134" spans="1:13" ht="18" x14ac:dyDescent="0.25">
      <c r="A134" s="80" t="s">
        <v>148</v>
      </c>
      <c r="B134" s="81">
        <v>410930</v>
      </c>
      <c r="C134" s="51">
        <v>2</v>
      </c>
      <c r="D134" s="57">
        <v>1.9801980198019802E-2</v>
      </c>
      <c r="E134" s="56">
        <v>1.9801980198019802</v>
      </c>
      <c r="F134" s="17">
        <v>300</v>
      </c>
      <c r="G134" s="17">
        <v>1810</v>
      </c>
      <c r="H134" s="58">
        <v>0.16574585635359115</v>
      </c>
      <c r="I134" s="56">
        <v>23.305198754669377</v>
      </c>
      <c r="J134" s="57">
        <v>0.47725146105970506</v>
      </c>
      <c r="K134" s="56">
        <v>59.239357455629658</v>
      </c>
      <c r="L134" s="41">
        <f t="shared" si="4"/>
        <v>28.174918076700337</v>
      </c>
      <c r="M134" s="131">
        <f t="shared" si="5"/>
        <v>33.06271665731542</v>
      </c>
    </row>
    <row r="135" spans="1:13" ht="18" x14ac:dyDescent="0.25">
      <c r="A135" s="80" t="s">
        <v>138</v>
      </c>
      <c r="B135" s="81">
        <v>411007</v>
      </c>
      <c r="C135" s="51">
        <v>8</v>
      </c>
      <c r="D135" s="57">
        <v>4.2857142857142858E-2</v>
      </c>
      <c r="E135" s="56">
        <v>4.2857142857142856</v>
      </c>
      <c r="F135" s="17">
        <v>542</v>
      </c>
      <c r="G135" s="17">
        <v>2355</v>
      </c>
      <c r="H135" s="58">
        <v>0.23014861995753716</v>
      </c>
      <c r="I135" s="56">
        <v>34.382359277557555</v>
      </c>
      <c r="J135" s="57">
        <v>0.41689558832320456</v>
      </c>
      <c r="K135" s="56">
        <v>69.285156358231632</v>
      </c>
      <c r="L135" s="41">
        <f t="shared" si="4"/>
        <v>35.984409973834495</v>
      </c>
      <c r="M135" s="131">
        <f t="shared" si="5"/>
        <v>45.183710271129932</v>
      </c>
    </row>
    <row r="136" spans="1:13" ht="18" x14ac:dyDescent="0.25">
      <c r="A136" s="80" t="s">
        <v>163</v>
      </c>
      <c r="B136" s="81">
        <v>411725</v>
      </c>
      <c r="C136" s="51">
        <v>5</v>
      </c>
      <c r="D136" s="57">
        <v>0</v>
      </c>
      <c r="E136" s="56">
        <v>0</v>
      </c>
      <c r="F136" s="17">
        <v>252</v>
      </c>
      <c r="G136" s="17">
        <v>1746</v>
      </c>
      <c r="H136" s="58">
        <v>0.14432989690721648</v>
      </c>
      <c r="I136" s="56">
        <v>19.621691910180161</v>
      </c>
      <c r="J136" s="57">
        <v>0.45106315701486882</v>
      </c>
      <c r="K136" s="56">
        <v>63.598211434648043</v>
      </c>
      <c r="L136" s="41">
        <f t="shared" si="4"/>
        <v>27.739967781609398</v>
      </c>
      <c r="M136" s="131">
        <f t="shared" si="5"/>
        <v>32.387636918637583</v>
      </c>
    </row>
    <row r="137" spans="1:13" ht="18" x14ac:dyDescent="0.25">
      <c r="A137" s="80" t="s">
        <v>104</v>
      </c>
      <c r="B137" s="81">
        <v>410620</v>
      </c>
      <c r="C137" s="51">
        <v>9</v>
      </c>
      <c r="D137" s="57">
        <v>3.5211267605633804E-2</v>
      </c>
      <c r="E137" s="56">
        <v>3.5211267605633805</v>
      </c>
      <c r="F137" s="17">
        <v>545</v>
      </c>
      <c r="G137" s="17">
        <v>2623</v>
      </c>
      <c r="H137" s="58">
        <v>0.20777735417460921</v>
      </c>
      <c r="I137" s="56">
        <v>30.534541446297521</v>
      </c>
      <c r="J137" s="57">
        <v>0.4582118165841374</v>
      </c>
      <c r="K137" s="56">
        <v>62.408368703526321</v>
      </c>
      <c r="L137" s="41">
        <f t="shared" si="4"/>
        <v>32.154678970129076</v>
      </c>
      <c r="M137" s="131">
        <f t="shared" si="5"/>
        <v>39.239643019382662</v>
      </c>
    </row>
    <row r="138" spans="1:13" ht="18" x14ac:dyDescent="0.25">
      <c r="A138" s="80" t="s">
        <v>144</v>
      </c>
      <c r="B138" s="81">
        <v>412215</v>
      </c>
      <c r="C138" s="51">
        <v>6</v>
      </c>
      <c r="D138" s="57">
        <v>3.6900369003690037E-2</v>
      </c>
      <c r="E138" s="56">
        <v>3.6900369003690034</v>
      </c>
      <c r="F138" s="17">
        <v>886</v>
      </c>
      <c r="G138" s="17">
        <v>2069</v>
      </c>
      <c r="H138" s="58">
        <v>0.42822619623006281</v>
      </c>
      <c r="I138" s="56">
        <v>68.451349264517646</v>
      </c>
      <c r="J138" s="57">
        <v>0.41390472969544306</v>
      </c>
      <c r="K138" s="56">
        <v>69.782963165727836</v>
      </c>
      <c r="L138" s="41">
        <f t="shared" si="4"/>
        <v>47.308116443538161</v>
      </c>
      <c r="M138" s="131">
        <f t="shared" si="5"/>
        <v>62.759062882015741</v>
      </c>
    </row>
    <row r="139" spans="1:13" ht="18" x14ac:dyDescent="0.25">
      <c r="A139" s="80" t="s">
        <v>194</v>
      </c>
      <c r="B139" s="81">
        <v>410790</v>
      </c>
      <c r="C139" s="51">
        <v>0</v>
      </c>
      <c r="D139" s="57">
        <v>3.125E-2</v>
      </c>
      <c r="E139" s="56">
        <v>3.125</v>
      </c>
      <c r="F139" s="17">
        <v>162</v>
      </c>
      <c r="G139" s="17">
        <v>1533</v>
      </c>
      <c r="H139" s="58">
        <v>0.10567514677103718</v>
      </c>
      <c r="I139" s="56">
        <v>12.973143800291956</v>
      </c>
      <c r="J139" s="57">
        <v>0.43777256512818424</v>
      </c>
      <c r="K139" s="56">
        <v>65.81033442014575</v>
      </c>
      <c r="L139" s="41">
        <f t="shared" si="4"/>
        <v>27.302826073479235</v>
      </c>
      <c r="M139" s="131">
        <f t="shared" si="5"/>
        <v>31.709155921106603</v>
      </c>
    </row>
    <row r="140" spans="1:13" ht="18" x14ac:dyDescent="0.25">
      <c r="A140" s="80" t="s">
        <v>132</v>
      </c>
      <c r="B140" s="81">
        <v>412730</v>
      </c>
      <c r="C140" s="51">
        <v>4</v>
      </c>
      <c r="D140" s="57">
        <v>3.9735099337748346E-2</v>
      </c>
      <c r="E140" s="56">
        <v>3.9735099337748347</v>
      </c>
      <c r="F140" s="17">
        <v>432</v>
      </c>
      <c r="G140" s="17">
        <v>1865</v>
      </c>
      <c r="H140" s="58">
        <v>0.23163538873994638</v>
      </c>
      <c r="I140" s="56">
        <v>34.638080857526475</v>
      </c>
      <c r="J140" s="57">
        <v>0.42539426575617501</v>
      </c>
      <c r="K140" s="56">
        <v>67.870612908542256</v>
      </c>
      <c r="L140" s="41">
        <f t="shared" si="4"/>
        <v>35.494067899947858</v>
      </c>
      <c r="M140" s="131">
        <f t="shared" si="5"/>
        <v>44.422657794931638</v>
      </c>
    </row>
    <row r="141" spans="1:13" ht="18" x14ac:dyDescent="0.25">
      <c r="A141" s="80" t="s">
        <v>129</v>
      </c>
      <c r="B141" s="81">
        <v>411190</v>
      </c>
      <c r="C141" s="51">
        <v>2</v>
      </c>
      <c r="D141" s="57">
        <v>0</v>
      </c>
      <c r="E141" s="56">
        <v>0</v>
      </c>
      <c r="F141" s="17">
        <v>368</v>
      </c>
      <c r="G141" s="17">
        <v>2126</v>
      </c>
      <c r="H141" s="58">
        <v>0.17309501411100658</v>
      </c>
      <c r="I141" s="56">
        <v>24.569240786895634</v>
      </c>
      <c r="J141" s="57">
        <v>0.68587741211117326</v>
      </c>
      <c r="K141" s="56">
        <v>24.515075374961821</v>
      </c>
      <c r="L141" s="41">
        <f t="shared" si="4"/>
        <v>16.361438720619152</v>
      </c>
      <c r="M141" s="131">
        <f t="shared" si="5"/>
        <v>14.72719499750853</v>
      </c>
    </row>
    <row r="142" spans="1:13" ht="18" x14ac:dyDescent="0.25">
      <c r="A142" s="80" t="s">
        <v>164</v>
      </c>
      <c r="B142" s="81">
        <v>410750</v>
      </c>
      <c r="C142" s="51">
        <v>4</v>
      </c>
      <c r="D142" s="57">
        <v>1.3888888888888888E-2</v>
      </c>
      <c r="E142" s="56">
        <v>1.3888888888888888</v>
      </c>
      <c r="F142" s="17">
        <v>427</v>
      </c>
      <c r="G142" s="17">
        <v>1398</v>
      </c>
      <c r="H142" s="58">
        <v>0.3054363376251788</v>
      </c>
      <c r="I142" s="56">
        <v>47.331712493748626</v>
      </c>
      <c r="J142" s="57">
        <v>0.43922318534822241</v>
      </c>
      <c r="K142" s="56">
        <v>65.568889166289964</v>
      </c>
      <c r="L142" s="41">
        <f t="shared" si="4"/>
        <v>38.096496849642492</v>
      </c>
      <c r="M142" s="131">
        <f t="shared" si="5"/>
        <v>48.461848192354338</v>
      </c>
    </row>
    <row r="143" spans="1:13" ht="18" x14ac:dyDescent="0.25">
      <c r="A143" s="80" t="s">
        <v>108</v>
      </c>
      <c r="B143" s="81">
        <v>412120</v>
      </c>
      <c r="C143" s="51">
        <v>8</v>
      </c>
      <c r="D143" s="57">
        <v>2.7522935779816515E-2</v>
      </c>
      <c r="E143" s="56">
        <v>2.7522935779816518</v>
      </c>
      <c r="F143" s="17">
        <v>450</v>
      </c>
      <c r="G143" s="17">
        <v>2357</v>
      </c>
      <c r="H143" s="58">
        <v>0.19092066185829445</v>
      </c>
      <c r="I143" s="56">
        <v>27.635220419935326</v>
      </c>
      <c r="J143" s="57">
        <v>0.43027673519693077</v>
      </c>
      <c r="K143" s="56">
        <v>67.057961149465456</v>
      </c>
      <c r="L143" s="41">
        <f t="shared" si="4"/>
        <v>32.481825049127472</v>
      </c>
      <c r="M143" s="131">
        <f t="shared" si="5"/>
        <v>39.747401473652801</v>
      </c>
    </row>
    <row r="144" spans="1:13" ht="18" x14ac:dyDescent="0.25">
      <c r="A144" s="80" t="s">
        <v>185</v>
      </c>
      <c r="B144" s="81">
        <v>410445</v>
      </c>
      <c r="C144" s="51">
        <v>1</v>
      </c>
      <c r="D144" s="57">
        <v>9.0909090909090912E-2</v>
      </c>
      <c r="E144" s="56">
        <v>9.0909090909090917</v>
      </c>
      <c r="F144" s="17">
        <v>472</v>
      </c>
      <c r="G144" s="17">
        <v>1577</v>
      </c>
      <c r="H144" s="58">
        <v>0.29930247305009511</v>
      </c>
      <c r="I144" s="56">
        <v>46.276698722263568</v>
      </c>
      <c r="J144" s="57">
        <v>0.37596339246526955</v>
      </c>
      <c r="K144" s="56">
        <v>76.098024594367004</v>
      </c>
      <c r="L144" s="41">
        <f t="shared" si="4"/>
        <v>43.821877469179888</v>
      </c>
      <c r="M144" s="131">
        <f t="shared" si="5"/>
        <v>57.348124385500384</v>
      </c>
    </row>
    <row r="145" spans="1:13" ht="18" x14ac:dyDescent="0.25">
      <c r="A145" s="80" t="s">
        <v>170</v>
      </c>
      <c r="B145" s="81">
        <v>412480</v>
      </c>
      <c r="C145" s="51">
        <v>6</v>
      </c>
      <c r="D145" s="57">
        <v>2.7272727272727271E-2</v>
      </c>
      <c r="E145" s="56">
        <v>2.7272727272727271</v>
      </c>
      <c r="F145" s="17">
        <v>234</v>
      </c>
      <c r="G145" s="17">
        <v>1565</v>
      </c>
      <c r="H145" s="58">
        <v>0.14952076677316295</v>
      </c>
      <c r="I145" s="56">
        <v>20.514512272860824</v>
      </c>
      <c r="J145" s="57">
        <v>0.55407090280863347</v>
      </c>
      <c r="K145" s="56">
        <v>46.45331645198123</v>
      </c>
      <c r="L145" s="41">
        <f t="shared" si="4"/>
        <v>23.23170048403826</v>
      </c>
      <c r="M145" s="131">
        <f t="shared" si="5"/>
        <v>25.39042380375087</v>
      </c>
    </row>
    <row r="146" spans="1:13" ht="18" x14ac:dyDescent="0.25">
      <c r="A146" s="80" t="s">
        <v>143</v>
      </c>
      <c r="B146" s="81">
        <v>412200</v>
      </c>
      <c r="C146" s="51">
        <v>8</v>
      </c>
      <c r="D146" s="57">
        <v>4.0935672514619881E-2</v>
      </c>
      <c r="E146" s="56">
        <v>4.0935672514619883</v>
      </c>
      <c r="F146" s="17">
        <v>321</v>
      </c>
      <c r="G146" s="17">
        <v>1829</v>
      </c>
      <c r="H146" s="58">
        <v>0.17550574084199017</v>
      </c>
      <c r="I146" s="56">
        <v>24.983881486790796</v>
      </c>
      <c r="J146" s="57">
        <v>0.4681970684093763</v>
      </c>
      <c r="K146" s="56">
        <v>60.746395687808054</v>
      </c>
      <c r="L146" s="41">
        <f t="shared" si="4"/>
        <v>29.941281475353616</v>
      </c>
      <c r="M146" s="131">
        <f t="shared" si="5"/>
        <v>35.804262427099616</v>
      </c>
    </row>
    <row r="147" spans="1:13" ht="18" x14ac:dyDescent="0.25">
      <c r="A147" s="80" t="s">
        <v>142</v>
      </c>
      <c r="B147" s="81">
        <v>412380</v>
      </c>
      <c r="C147" s="51">
        <v>8</v>
      </c>
      <c r="D147" s="57">
        <v>6.0606060606060608E-2</v>
      </c>
      <c r="E147" s="56">
        <v>6.0606060606060606</v>
      </c>
      <c r="F147" s="17">
        <v>228</v>
      </c>
      <c r="G147" s="17">
        <v>1821</v>
      </c>
      <c r="H147" s="58">
        <v>0.12520593080724876</v>
      </c>
      <c r="I147" s="56">
        <v>16.332403835116331</v>
      </c>
      <c r="J147" s="57">
        <v>0.43651249717801116</v>
      </c>
      <c r="K147" s="56">
        <v>66.020063625559047</v>
      </c>
      <c r="L147" s="41">
        <f t="shared" si="4"/>
        <v>29.471024507093812</v>
      </c>
      <c r="M147" s="131">
        <f t="shared" si="5"/>
        <v>35.074383737908505</v>
      </c>
    </row>
    <row r="148" spans="1:13" ht="18" x14ac:dyDescent="0.25">
      <c r="A148" s="80" t="s">
        <v>176</v>
      </c>
      <c r="B148" s="81">
        <v>410800</v>
      </c>
      <c r="C148" s="51">
        <v>7</v>
      </c>
      <c r="D148" s="57">
        <v>2.1582733812949641E-2</v>
      </c>
      <c r="E148" s="56">
        <v>2.1582733812949639</v>
      </c>
      <c r="F148" s="17">
        <v>641</v>
      </c>
      <c r="G148" s="17">
        <v>1475</v>
      </c>
      <c r="H148" s="58">
        <v>0.43457627118644065</v>
      </c>
      <c r="I148" s="56">
        <v>69.543550836126286</v>
      </c>
      <c r="J148" s="57">
        <v>0.48959757247154573</v>
      </c>
      <c r="K148" s="56">
        <v>57.184436420622156</v>
      </c>
      <c r="L148" s="41">
        <f t="shared" si="4"/>
        <v>42.962086879347801</v>
      </c>
      <c r="M148" s="131">
        <f t="shared" si="5"/>
        <v>56.013656485943827</v>
      </c>
    </row>
    <row r="149" spans="1:13" ht="18" x14ac:dyDescent="0.25">
      <c r="A149" s="80" t="s">
        <v>206</v>
      </c>
      <c r="B149" s="81">
        <v>411020</v>
      </c>
      <c r="C149" s="51">
        <v>1</v>
      </c>
      <c r="D149" s="57">
        <v>8.0645161290322578E-3</v>
      </c>
      <c r="E149" s="56">
        <v>0.80645161290322576</v>
      </c>
      <c r="F149" s="17">
        <v>649</v>
      </c>
      <c r="G149" s="17">
        <v>1428</v>
      </c>
      <c r="H149" s="58">
        <v>0.45448179271708683</v>
      </c>
      <c r="I149" s="56">
        <v>72.967265051912904</v>
      </c>
      <c r="J149" s="57">
        <v>0.4137635562575816</v>
      </c>
      <c r="K149" s="56">
        <v>69.80646046438072</v>
      </c>
      <c r="L149" s="41">
        <f t="shared" si="4"/>
        <v>47.860059043065611</v>
      </c>
      <c r="M149" s="131">
        <f t="shared" si="5"/>
        <v>63.615724597295767</v>
      </c>
    </row>
    <row r="150" spans="1:13" ht="18" x14ac:dyDescent="0.25">
      <c r="A150" s="80" t="s">
        <v>120</v>
      </c>
      <c r="B150" s="81">
        <v>410680</v>
      </c>
      <c r="C150" s="51">
        <v>3</v>
      </c>
      <c r="D150" s="57">
        <v>1.5151515151515152E-2</v>
      </c>
      <c r="E150" s="56">
        <v>1.5151515151515151</v>
      </c>
      <c r="F150" s="17">
        <v>396</v>
      </c>
      <c r="G150" s="17">
        <v>1916</v>
      </c>
      <c r="H150" s="58">
        <v>0.20668058455114824</v>
      </c>
      <c r="I150" s="56">
        <v>30.345899026378742</v>
      </c>
      <c r="J150" s="57">
        <v>0.36582975384832112</v>
      </c>
      <c r="K150" s="56">
        <v>77.784695519364504</v>
      </c>
      <c r="L150" s="41">
        <f t="shared" si="4"/>
        <v>36.548582020298255</v>
      </c>
      <c r="M150" s="131">
        <f t="shared" si="5"/>
        <v>46.059353125025382</v>
      </c>
    </row>
    <row r="151" spans="1:13" ht="18" x14ac:dyDescent="0.25">
      <c r="A151" s="80" t="s">
        <v>161</v>
      </c>
      <c r="B151" s="81">
        <v>411780</v>
      </c>
      <c r="C151" s="51">
        <v>0</v>
      </c>
      <c r="D151" s="57">
        <v>3.2258064516129031E-2</v>
      </c>
      <c r="E151" s="56">
        <v>3.225806451612903</v>
      </c>
      <c r="F151" s="17">
        <v>733</v>
      </c>
      <c r="G151" s="17">
        <v>1832</v>
      </c>
      <c r="H151" s="58">
        <v>0.40010917030567683</v>
      </c>
      <c r="I151" s="56">
        <v>63.615270932445135</v>
      </c>
      <c r="J151" s="57">
        <v>0.39247601389639553</v>
      </c>
      <c r="K151" s="56">
        <v>73.349618072667099</v>
      </c>
      <c r="L151" s="41">
        <f t="shared" si="4"/>
        <v>46.730231818908379</v>
      </c>
      <c r="M151" s="131">
        <f t="shared" si="5"/>
        <v>61.862136944077363</v>
      </c>
    </row>
    <row r="152" spans="1:13" ht="18" x14ac:dyDescent="0.25">
      <c r="A152" s="80" t="s">
        <v>177</v>
      </c>
      <c r="B152" s="81">
        <v>412340</v>
      </c>
      <c r="C152" s="51">
        <v>2</v>
      </c>
      <c r="D152" s="57">
        <v>0</v>
      </c>
      <c r="E152" s="56">
        <v>0</v>
      </c>
      <c r="F152" s="17">
        <v>193</v>
      </c>
      <c r="G152" s="17">
        <v>1343</v>
      </c>
      <c r="H152" s="58">
        <v>0.14370811615785556</v>
      </c>
      <c r="I152" s="56">
        <v>19.514746729798325</v>
      </c>
      <c r="J152" s="57">
        <v>0.46049201102111825</v>
      </c>
      <c r="K152" s="56">
        <v>62.028846815528027</v>
      </c>
      <c r="L152" s="41">
        <f t="shared" si="4"/>
        <v>27.181197848442121</v>
      </c>
      <c r="M152" s="131">
        <f t="shared" si="5"/>
        <v>31.520378602639127</v>
      </c>
    </row>
    <row r="153" spans="1:13" ht="18" x14ac:dyDescent="0.25">
      <c r="A153" s="80" t="s">
        <v>175</v>
      </c>
      <c r="B153" s="81">
        <v>410560</v>
      </c>
      <c r="C153" s="51">
        <v>7</v>
      </c>
      <c r="D153" s="57">
        <v>0</v>
      </c>
      <c r="E153" s="56">
        <v>0</v>
      </c>
      <c r="F153" s="17">
        <v>269</v>
      </c>
      <c r="G153" s="17">
        <v>1572</v>
      </c>
      <c r="H153" s="58">
        <v>0.17111959287531806</v>
      </c>
      <c r="I153" s="56">
        <v>24.229471856130328</v>
      </c>
      <c r="J153" s="57">
        <v>0.50962799915131185</v>
      </c>
      <c r="K153" s="56">
        <v>53.850516633947379</v>
      </c>
      <c r="L153" s="41">
        <f t="shared" si="4"/>
        <v>26.026662830025902</v>
      </c>
      <c r="M153" s="131">
        <f t="shared" si="5"/>
        <v>29.728442357685264</v>
      </c>
    </row>
    <row r="154" spans="1:13" ht="18" x14ac:dyDescent="0.25">
      <c r="A154" s="80" t="s">
        <v>158</v>
      </c>
      <c r="B154" s="81">
        <v>411140</v>
      </c>
      <c r="C154" s="51">
        <v>7</v>
      </c>
      <c r="D154" s="57">
        <v>0</v>
      </c>
      <c r="E154" s="56">
        <v>0</v>
      </c>
      <c r="F154" s="17">
        <v>692</v>
      </c>
      <c r="G154" s="17">
        <v>1881</v>
      </c>
      <c r="H154" s="58">
        <v>0.36788942052099949</v>
      </c>
      <c r="I154" s="56">
        <v>58.073531410722254</v>
      </c>
      <c r="J154" s="57">
        <v>0.40349106590346434</v>
      </c>
      <c r="K154" s="56">
        <v>71.516242257726788</v>
      </c>
      <c r="L154" s="41">
        <f t="shared" si="4"/>
        <v>43.196591222816345</v>
      </c>
      <c r="M154" s="131">
        <f t="shared" si="5"/>
        <v>56.377627111310261</v>
      </c>
    </row>
    <row r="155" spans="1:13" ht="18" x14ac:dyDescent="0.25">
      <c r="A155" s="80" t="s">
        <v>189</v>
      </c>
      <c r="B155" s="81">
        <v>412667</v>
      </c>
      <c r="C155" s="51">
        <v>8</v>
      </c>
      <c r="D155" s="57">
        <v>2.7522935779816515E-2</v>
      </c>
      <c r="E155" s="56">
        <v>2.7522935779816518</v>
      </c>
      <c r="F155" s="17">
        <v>382</v>
      </c>
      <c r="G155" s="17">
        <v>1562</v>
      </c>
      <c r="H155" s="58">
        <v>0.24455825864276567</v>
      </c>
      <c r="I155" s="56">
        <v>36.860791441970392</v>
      </c>
      <c r="J155" s="57">
        <v>0.4247112090776381</v>
      </c>
      <c r="K155" s="56">
        <v>67.984302757111223</v>
      </c>
      <c r="L155" s="41">
        <f t="shared" si="4"/>
        <v>35.865795925687756</v>
      </c>
      <c r="M155" s="131">
        <f t="shared" si="5"/>
        <v>44.999611210777125</v>
      </c>
    </row>
    <row r="156" spans="1:13" ht="18" x14ac:dyDescent="0.25">
      <c r="A156" s="80" t="s">
        <v>137</v>
      </c>
      <c r="B156" s="81">
        <v>411980</v>
      </c>
      <c r="C156" s="51">
        <v>6</v>
      </c>
      <c r="D156" s="57">
        <v>1.7241379310344827E-2</v>
      </c>
      <c r="E156" s="56">
        <v>1.7241379310344827</v>
      </c>
      <c r="F156" s="17">
        <v>305</v>
      </c>
      <c r="G156" s="17">
        <v>1696</v>
      </c>
      <c r="H156" s="58">
        <v>0.17983490566037735</v>
      </c>
      <c r="I156" s="56">
        <v>25.728490117535589</v>
      </c>
      <c r="J156" s="57">
        <v>0.47481894011426296</v>
      </c>
      <c r="K156" s="56">
        <v>59.644232990293254</v>
      </c>
      <c r="L156" s="41">
        <f t="shared" si="4"/>
        <v>29.032287012954441</v>
      </c>
      <c r="M156" s="131">
        <f t="shared" si="5"/>
        <v>34.393425945179914</v>
      </c>
    </row>
    <row r="157" spans="1:13" ht="18" x14ac:dyDescent="0.25">
      <c r="A157" s="80" t="s">
        <v>166</v>
      </c>
      <c r="B157" s="81">
        <v>411120</v>
      </c>
      <c r="C157" s="51">
        <v>9</v>
      </c>
      <c r="D157" s="57">
        <v>1.9230769230769232E-2</v>
      </c>
      <c r="E157" s="56">
        <v>1.9230769230769231</v>
      </c>
      <c r="F157" s="17">
        <v>387</v>
      </c>
      <c r="G157" s="17">
        <v>1690</v>
      </c>
      <c r="H157" s="58">
        <v>0.22899408284023667</v>
      </c>
      <c r="I157" s="56">
        <v>34.183780951686053</v>
      </c>
      <c r="J157" s="57">
        <v>0.52610784017786616</v>
      </c>
      <c r="K157" s="56">
        <v>51.107566173726539</v>
      </c>
      <c r="L157" s="41">
        <f t="shared" si="4"/>
        <v>29.071474682829834</v>
      </c>
      <c r="M157" s="131">
        <f t="shared" si="5"/>
        <v>34.454248531662678</v>
      </c>
    </row>
    <row r="158" spans="1:13" ht="18" x14ac:dyDescent="0.25">
      <c r="A158" s="80" t="s">
        <v>205</v>
      </c>
      <c r="B158" s="81">
        <v>412853</v>
      </c>
      <c r="C158" s="51">
        <v>4</v>
      </c>
      <c r="D158" s="57">
        <v>0</v>
      </c>
      <c r="E158" s="56">
        <v>0</v>
      </c>
      <c r="F158" s="17">
        <v>302</v>
      </c>
      <c r="G158" s="17">
        <v>1364</v>
      </c>
      <c r="H158" s="58">
        <v>0.22140762463343108</v>
      </c>
      <c r="I158" s="56">
        <v>32.878923665222977</v>
      </c>
      <c r="J158" s="57">
        <v>0.46824224344545823</v>
      </c>
      <c r="K158" s="56">
        <v>60.738876629474191</v>
      </c>
      <c r="L158" s="41">
        <f t="shared" si="4"/>
        <v>31.205933431565722</v>
      </c>
      <c r="M158" s="131">
        <f t="shared" si="5"/>
        <v>37.767109496647144</v>
      </c>
    </row>
    <row r="159" spans="1:13" ht="18" x14ac:dyDescent="0.25">
      <c r="A159" s="80" t="s">
        <v>127</v>
      </c>
      <c r="B159" s="81">
        <v>410440</v>
      </c>
      <c r="C159" s="51">
        <v>2</v>
      </c>
      <c r="D159" s="57">
        <v>2.9126213592233011E-2</v>
      </c>
      <c r="E159" s="56">
        <v>2.912621359223301</v>
      </c>
      <c r="F159" s="17">
        <v>658</v>
      </c>
      <c r="G159" s="17">
        <v>1981</v>
      </c>
      <c r="H159" s="58">
        <v>0.33215547703180209</v>
      </c>
      <c r="I159" s="56">
        <v>51.927356836912487</v>
      </c>
      <c r="J159" s="57">
        <v>0.25878331485935552</v>
      </c>
      <c r="K159" s="56">
        <v>95.601801801922932</v>
      </c>
      <c r="L159" s="41">
        <f t="shared" si="4"/>
        <v>50.147259999352904</v>
      </c>
      <c r="M159" s="131">
        <f t="shared" si="5"/>
        <v>67.165654419854675</v>
      </c>
    </row>
    <row r="160" spans="1:13" ht="18" x14ac:dyDescent="0.25">
      <c r="A160" s="80" t="s">
        <v>202</v>
      </c>
      <c r="B160" s="81">
        <v>410260</v>
      </c>
      <c r="C160" s="51">
        <v>4</v>
      </c>
      <c r="D160" s="57">
        <v>1.0752688172043012E-2</v>
      </c>
      <c r="E160" s="56">
        <v>1.0752688172043012</v>
      </c>
      <c r="F160" s="17">
        <v>377</v>
      </c>
      <c r="G160" s="17">
        <v>1361</v>
      </c>
      <c r="H160" s="58">
        <v>0.27700220426157235</v>
      </c>
      <c r="I160" s="56">
        <v>42.441092247468063</v>
      </c>
      <c r="J160" s="57">
        <v>0.43255258774846517</v>
      </c>
      <c r="K160" s="56">
        <v>66.679161936926505</v>
      </c>
      <c r="L160" s="41">
        <f t="shared" si="4"/>
        <v>36.73184100053296</v>
      </c>
      <c r="M160" s="131">
        <f t="shared" si="5"/>
        <v>46.343786601409953</v>
      </c>
    </row>
    <row r="161" spans="1:13" ht="18" x14ac:dyDescent="0.25">
      <c r="A161" s="80" t="s">
        <v>135</v>
      </c>
      <c r="B161" s="81">
        <v>412150</v>
      </c>
      <c r="C161" s="51">
        <v>5</v>
      </c>
      <c r="D161" s="57">
        <v>1.8450184501845018E-2</v>
      </c>
      <c r="E161" s="56">
        <v>1.8450184501845017</v>
      </c>
      <c r="F161" s="17">
        <v>660</v>
      </c>
      <c r="G161" s="17">
        <v>1934</v>
      </c>
      <c r="H161" s="58">
        <v>0.34126163391933817</v>
      </c>
      <c r="I161" s="56">
        <v>53.493599587148445</v>
      </c>
      <c r="J161" s="57">
        <v>0.40654514355663429</v>
      </c>
      <c r="K161" s="56">
        <v>71.007913100254058</v>
      </c>
      <c r="L161" s="41">
        <f t="shared" si="4"/>
        <v>42.115510379195669</v>
      </c>
      <c r="M161" s="131">
        <f t="shared" si="5"/>
        <v>54.699697974031544</v>
      </c>
    </row>
    <row r="162" spans="1:13" ht="18" x14ac:dyDescent="0.25">
      <c r="A162" s="80" t="s">
        <v>181</v>
      </c>
      <c r="B162" s="81">
        <v>410530</v>
      </c>
      <c r="C162" s="51">
        <v>0</v>
      </c>
      <c r="D162" s="57">
        <v>2.5000000000000001E-2</v>
      </c>
      <c r="E162" s="56">
        <v>2.5</v>
      </c>
      <c r="F162" s="17">
        <v>138</v>
      </c>
      <c r="G162" s="17">
        <v>1337</v>
      </c>
      <c r="H162" s="58">
        <v>0.10321615557217652</v>
      </c>
      <c r="I162" s="56">
        <v>12.550201697967642</v>
      </c>
      <c r="J162" s="57">
        <v>0.52335259621347252</v>
      </c>
      <c r="K162" s="56">
        <v>51.566156622989766</v>
      </c>
      <c r="L162" s="41">
        <f t="shared" si="4"/>
        <v>22.205452773652468</v>
      </c>
      <c r="M162" s="131">
        <f t="shared" si="5"/>
        <v>23.797600338713057</v>
      </c>
    </row>
    <row r="163" spans="1:13" ht="18" x14ac:dyDescent="0.25">
      <c r="A163" s="80" t="s">
        <v>141</v>
      </c>
      <c r="B163" s="81">
        <v>411050</v>
      </c>
      <c r="C163" s="51">
        <v>8</v>
      </c>
      <c r="D163" s="57">
        <v>1.9801980198019802E-2</v>
      </c>
      <c r="E163" s="56">
        <v>1.9801980198019802</v>
      </c>
      <c r="F163" s="17">
        <v>412</v>
      </c>
      <c r="G163" s="17">
        <v>1994</v>
      </c>
      <c r="H163" s="58">
        <v>0.20661985957873621</v>
      </c>
      <c r="I163" s="56">
        <v>30.335454439384119</v>
      </c>
      <c r="J163" s="57">
        <v>0.42737409102304813</v>
      </c>
      <c r="K163" s="56">
        <v>67.541085298526099</v>
      </c>
      <c r="L163" s="41">
        <f t="shared" si="4"/>
        <v>33.285579252570734</v>
      </c>
      <c r="M163" s="131">
        <f t="shared" si="5"/>
        <v>40.994896150046209</v>
      </c>
    </row>
    <row r="164" spans="1:13" ht="18" x14ac:dyDescent="0.25">
      <c r="A164" s="80" t="s">
        <v>180</v>
      </c>
      <c r="B164" s="81">
        <v>412785</v>
      </c>
      <c r="C164" s="51">
        <v>8</v>
      </c>
      <c r="D164" s="57">
        <v>2.8985507246376812E-2</v>
      </c>
      <c r="E164" s="56">
        <v>2.8985507246376812</v>
      </c>
      <c r="F164" s="17">
        <v>521</v>
      </c>
      <c r="G164" s="17">
        <v>1511</v>
      </c>
      <c r="H164" s="58">
        <v>0.34480476505625413</v>
      </c>
      <c r="I164" s="56">
        <v>54.103011826017898</v>
      </c>
      <c r="J164" s="57">
        <v>0.44776749993310783</v>
      </c>
      <c r="K164" s="56">
        <v>64.146749742425442</v>
      </c>
      <c r="L164" s="41">
        <f t="shared" si="4"/>
        <v>40.382770764360345</v>
      </c>
      <c r="M164" s="131">
        <f t="shared" si="5"/>
        <v>52.010339167790946</v>
      </c>
    </row>
    <row r="165" spans="1:13" ht="18" x14ac:dyDescent="0.25">
      <c r="A165" s="80" t="s">
        <v>218</v>
      </c>
      <c r="B165" s="81">
        <v>410350</v>
      </c>
      <c r="C165" s="51">
        <v>3</v>
      </c>
      <c r="D165" s="57">
        <v>0.02</v>
      </c>
      <c r="E165" s="56">
        <v>2</v>
      </c>
      <c r="F165" s="17">
        <v>360</v>
      </c>
      <c r="G165" s="17">
        <v>1180</v>
      </c>
      <c r="H165" s="58">
        <v>0.30508474576271188</v>
      </c>
      <c r="I165" s="56">
        <v>47.271239320220886</v>
      </c>
      <c r="J165" s="57">
        <v>0.46082503248537443</v>
      </c>
      <c r="K165" s="56">
        <v>61.973417799121066</v>
      </c>
      <c r="L165" s="41">
        <f t="shared" si="4"/>
        <v>37.081552373113986</v>
      </c>
      <c r="M165" s="131">
        <f t="shared" si="5"/>
        <v>46.886568304697008</v>
      </c>
    </row>
    <row r="166" spans="1:13" ht="18" x14ac:dyDescent="0.25">
      <c r="A166" s="80" t="s">
        <v>146</v>
      </c>
      <c r="B166" s="81">
        <v>410190</v>
      </c>
      <c r="C166" s="51">
        <v>3</v>
      </c>
      <c r="D166" s="57">
        <v>2.3255813953488372E-2</v>
      </c>
      <c r="E166" s="56">
        <v>2.3255813953488373</v>
      </c>
      <c r="F166" s="17">
        <v>382</v>
      </c>
      <c r="G166" s="17">
        <v>1526</v>
      </c>
      <c r="H166" s="58">
        <v>0.25032765399737877</v>
      </c>
      <c r="I166" s="56">
        <v>37.853117157308773</v>
      </c>
      <c r="J166" s="57">
        <v>0.40930898755644191</v>
      </c>
      <c r="K166" s="56">
        <v>70.547891237237579</v>
      </c>
      <c r="L166" s="41">
        <f t="shared" si="4"/>
        <v>36.908863263298393</v>
      </c>
      <c r="M166" s="131">
        <f t="shared" si="5"/>
        <v>46.618540163452863</v>
      </c>
    </row>
    <row r="167" spans="1:13" ht="18" x14ac:dyDescent="0.25">
      <c r="A167" s="80" t="s">
        <v>200</v>
      </c>
      <c r="B167" s="81">
        <v>412385</v>
      </c>
      <c r="C167" s="51">
        <v>7</v>
      </c>
      <c r="D167" s="57">
        <v>2.564102564102564E-2</v>
      </c>
      <c r="E167" s="56">
        <v>2.5641025641025639</v>
      </c>
      <c r="F167" s="17">
        <v>588</v>
      </c>
      <c r="G167" s="17">
        <v>1344</v>
      </c>
      <c r="H167" s="58">
        <v>0.4375</v>
      </c>
      <c r="I167" s="56">
        <v>70.046426979646412</v>
      </c>
      <c r="J167" s="57">
        <v>0.40216879298191066</v>
      </c>
      <c r="K167" s="56">
        <v>71.73632503115094</v>
      </c>
      <c r="L167" s="41">
        <f t="shared" si="4"/>
        <v>48.11561819163331</v>
      </c>
      <c r="M167" s="131">
        <f t="shared" si="5"/>
        <v>64.012374065474049</v>
      </c>
    </row>
    <row r="168" spans="1:13" ht="18" x14ac:dyDescent="0.25">
      <c r="A168" s="80" t="s">
        <v>190</v>
      </c>
      <c r="B168" s="81">
        <v>412100</v>
      </c>
      <c r="C168" s="51">
        <v>0</v>
      </c>
      <c r="D168" s="57">
        <v>0</v>
      </c>
      <c r="E168" s="56">
        <v>0</v>
      </c>
      <c r="F168" s="17">
        <v>481</v>
      </c>
      <c r="G168" s="17">
        <v>1529</v>
      </c>
      <c r="H168" s="58">
        <v>0.31458469587965993</v>
      </c>
      <c r="I168" s="56">
        <v>48.905213803862708</v>
      </c>
      <c r="J168" s="57">
        <v>0.41112511982346944</v>
      </c>
      <c r="K168" s="56">
        <v>70.245609144246629</v>
      </c>
      <c r="L168" s="41">
        <f t="shared" si="4"/>
        <v>39.716940982703115</v>
      </c>
      <c r="M168" s="131">
        <f t="shared" si="5"/>
        <v>50.976914889021096</v>
      </c>
    </row>
    <row r="169" spans="1:13" ht="18" x14ac:dyDescent="0.25">
      <c r="A169" s="80" t="s">
        <v>172</v>
      </c>
      <c r="B169" s="81">
        <v>411270</v>
      </c>
      <c r="C169" s="51">
        <v>2</v>
      </c>
      <c r="D169" s="57">
        <v>2.3255813953488372E-2</v>
      </c>
      <c r="E169" s="56">
        <v>2.3255813953488373</v>
      </c>
      <c r="F169" s="17">
        <v>408</v>
      </c>
      <c r="G169" s="17">
        <v>1577</v>
      </c>
      <c r="H169" s="58">
        <v>0.25871908687381101</v>
      </c>
      <c r="I169" s="56">
        <v>39.296428651842</v>
      </c>
      <c r="J169" s="57">
        <v>0.41448900433071073</v>
      </c>
      <c r="K169" s="56">
        <v>69.685714874490046</v>
      </c>
      <c r="L169" s="41">
        <f t="shared" si="4"/>
        <v>37.102574973893624</v>
      </c>
      <c r="M169" s="131">
        <f t="shared" si="5"/>
        <v>46.919197163674284</v>
      </c>
    </row>
    <row r="170" spans="1:13" ht="18" x14ac:dyDescent="0.25">
      <c r="A170" s="80" t="s">
        <v>184</v>
      </c>
      <c r="B170" s="81">
        <v>410850</v>
      </c>
      <c r="C170" s="51">
        <v>2</v>
      </c>
      <c r="D170" s="57">
        <v>3.482587064676617E-2</v>
      </c>
      <c r="E170" s="56">
        <v>3.4825870646766171</v>
      </c>
      <c r="F170" s="17">
        <v>818</v>
      </c>
      <c r="G170" s="17">
        <v>1752</v>
      </c>
      <c r="H170" s="58">
        <v>0.46689497716894979</v>
      </c>
      <c r="I170" s="56">
        <v>75.102310647457514</v>
      </c>
      <c r="J170" s="57">
        <v>0.44065254266268283</v>
      </c>
      <c r="K170" s="56">
        <v>65.330982969427893</v>
      </c>
      <c r="L170" s="41">
        <f t="shared" si="4"/>
        <v>47.971960227187338</v>
      </c>
      <c r="M170" s="131">
        <f t="shared" si="5"/>
        <v>63.789404723478548</v>
      </c>
    </row>
    <row r="171" spans="1:13" ht="18" x14ac:dyDescent="0.25">
      <c r="A171" s="80" t="s">
        <v>192</v>
      </c>
      <c r="B171" s="81">
        <v>412500</v>
      </c>
      <c r="C171" s="51">
        <v>1</v>
      </c>
      <c r="D171" s="57">
        <v>0</v>
      </c>
      <c r="E171" s="56">
        <v>0</v>
      </c>
      <c r="F171" s="17">
        <v>345</v>
      </c>
      <c r="G171" s="17">
        <v>1176</v>
      </c>
      <c r="H171" s="58">
        <v>0.29336734693877553</v>
      </c>
      <c r="I171" s="56">
        <v>45.255867612235804</v>
      </c>
      <c r="J171" s="57">
        <v>0.42674242514966554</v>
      </c>
      <c r="K171" s="56">
        <v>67.646221518912498</v>
      </c>
      <c r="L171" s="41">
        <f t="shared" si="4"/>
        <v>37.634029710382769</v>
      </c>
      <c r="M171" s="131">
        <f t="shared" si="5"/>
        <v>47.744059978293549</v>
      </c>
    </row>
    <row r="172" spans="1:13" ht="18" x14ac:dyDescent="0.25">
      <c r="A172" s="80" t="s">
        <v>203</v>
      </c>
      <c r="B172" s="81">
        <v>410070</v>
      </c>
      <c r="C172" s="51">
        <v>7</v>
      </c>
      <c r="D172" s="57">
        <v>4.1666666666666664E-2</v>
      </c>
      <c r="E172" s="56">
        <v>4.1666666666666661</v>
      </c>
      <c r="F172" s="17">
        <v>354</v>
      </c>
      <c r="G172" s="17">
        <v>1263</v>
      </c>
      <c r="H172" s="58">
        <v>0.28028503562945367</v>
      </c>
      <c r="I172" s="56">
        <v>43.005733390124959</v>
      </c>
      <c r="J172" s="57">
        <v>0.45795583868880585</v>
      </c>
      <c r="K172" s="56">
        <v>62.450974374580703</v>
      </c>
      <c r="L172" s="41">
        <f t="shared" si="4"/>
        <v>36.541124810457447</v>
      </c>
      <c r="M172" s="131">
        <f t="shared" si="5"/>
        <v>46.047778903034001</v>
      </c>
    </row>
    <row r="173" spans="1:13" ht="18" x14ac:dyDescent="0.25">
      <c r="A173" s="80" t="s">
        <v>136</v>
      </c>
      <c r="B173" s="81">
        <v>410170</v>
      </c>
      <c r="C173" s="51">
        <v>5</v>
      </c>
      <c r="D173" s="57">
        <v>6.3829787234042548E-2</v>
      </c>
      <c r="E173" s="56">
        <v>6.3829787234042552</v>
      </c>
      <c r="F173" s="17">
        <v>382</v>
      </c>
      <c r="G173" s="17">
        <v>1842</v>
      </c>
      <c r="H173" s="58">
        <v>0.20738327904451684</v>
      </c>
      <c r="I173" s="56">
        <v>30.466761226477203</v>
      </c>
      <c r="J173" s="57">
        <v>0.49759707134398601</v>
      </c>
      <c r="K173" s="56">
        <v>55.852977635410561</v>
      </c>
      <c r="L173" s="41">
        <f t="shared" si="4"/>
        <v>30.900905861764006</v>
      </c>
      <c r="M173" s="131">
        <f t="shared" si="5"/>
        <v>37.293680844142777</v>
      </c>
    </row>
    <row r="174" spans="1:13" ht="18" x14ac:dyDescent="0.25">
      <c r="A174" s="80" t="s">
        <v>191</v>
      </c>
      <c r="B174" s="81">
        <v>411080</v>
      </c>
      <c r="C174" s="51">
        <v>5</v>
      </c>
      <c r="D174" s="57">
        <v>2.2900763358778626E-2</v>
      </c>
      <c r="E174" s="56">
        <v>2.2900763358778624</v>
      </c>
      <c r="F174" s="17">
        <v>409</v>
      </c>
      <c r="G174" s="17">
        <v>1368</v>
      </c>
      <c r="H174" s="58">
        <v>0.29897660818713451</v>
      </c>
      <c r="I174" s="56">
        <v>46.220650546784931</v>
      </c>
      <c r="J174" s="57">
        <v>0.448052814537788</v>
      </c>
      <c r="K174" s="56">
        <v>64.099261188078685</v>
      </c>
      <c r="L174" s="41">
        <f t="shared" si="4"/>
        <v>37.536662690247155</v>
      </c>
      <c r="M174" s="131">
        <f t="shared" si="5"/>
        <v>47.592938107011115</v>
      </c>
    </row>
    <row r="175" spans="1:13" ht="18" x14ac:dyDescent="0.25">
      <c r="A175" s="80" t="s">
        <v>149</v>
      </c>
      <c r="B175" s="81">
        <v>412510</v>
      </c>
      <c r="C175" s="51">
        <v>0</v>
      </c>
      <c r="D175" s="57">
        <v>3.90625E-2</v>
      </c>
      <c r="E175" s="56">
        <v>3.90625</v>
      </c>
      <c r="F175" s="17">
        <v>360</v>
      </c>
      <c r="G175" s="17">
        <v>1814</v>
      </c>
      <c r="H175" s="58">
        <v>0.19845644983461963</v>
      </c>
      <c r="I175" s="56">
        <v>28.931362517090452</v>
      </c>
      <c r="J175" s="57">
        <v>0.42347802208545965</v>
      </c>
      <c r="K175" s="56">
        <v>68.189557821300482</v>
      </c>
      <c r="L175" s="41">
        <f t="shared" si="4"/>
        <v>33.675723446130313</v>
      </c>
      <c r="M175" s="131">
        <f t="shared" si="5"/>
        <v>41.60043301990811</v>
      </c>
    </row>
    <row r="176" spans="1:13" ht="18" x14ac:dyDescent="0.25">
      <c r="A176" s="80" t="s">
        <v>179</v>
      </c>
      <c r="B176" s="81">
        <v>411610</v>
      </c>
      <c r="C176" s="51">
        <v>9</v>
      </c>
      <c r="D176" s="57">
        <v>3.0303030303030304E-2</v>
      </c>
      <c r="E176" s="56">
        <v>3.0303030303030303</v>
      </c>
      <c r="F176" s="17">
        <v>411</v>
      </c>
      <c r="G176" s="17">
        <v>1268</v>
      </c>
      <c r="H176" s="58">
        <v>0.32413249211356465</v>
      </c>
      <c r="I176" s="56">
        <v>50.547417734321208</v>
      </c>
      <c r="J176" s="57">
        <v>0.42655626933417029</v>
      </c>
      <c r="K176" s="56">
        <v>67.677205809292644</v>
      </c>
      <c r="L176" s="41">
        <f t="shared" si="4"/>
        <v>40.418308857972299</v>
      </c>
      <c r="M176" s="131">
        <f t="shared" si="5"/>
        <v>52.065497302454702</v>
      </c>
    </row>
    <row r="177" spans="1:13" ht="18" x14ac:dyDescent="0.25">
      <c r="A177" s="80" t="s">
        <v>183</v>
      </c>
      <c r="B177" s="81">
        <v>411605</v>
      </c>
      <c r="C177" s="51">
        <v>9</v>
      </c>
      <c r="D177" s="57">
        <v>2.3809523809523808E-2</v>
      </c>
      <c r="E177" s="56">
        <v>2.3809523809523809</v>
      </c>
      <c r="F177" s="17">
        <v>305</v>
      </c>
      <c r="G177" s="17">
        <v>1296</v>
      </c>
      <c r="H177" s="58">
        <v>0.2353395061728395</v>
      </c>
      <c r="I177" s="56">
        <v>35.275182452298282</v>
      </c>
      <c r="J177" s="57">
        <v>0.48800040427375241</v>
      </c>
      <c r="K177" s="56">
        <v>57.450273526461224</v>
      </c>
      <c r="L177" s="41">
        <f t="shared" si="4"/>
        <v>31.702136119903958</v>
      </c>
      <c r="M177" s="131">
        <f t="shared" si="5"/>
        <v>38.537258143412814</v>
      </c>
    </row>
    <row r="178" spans="1:13" ht="18" x14ac:dyDescent="0.25">
      <c r="A178" s="80" t="s">
        <v>204</v>
      </c>
      <c r="B178" s="81">
        <v>412870</v>
      </c>
      <c r="C178" s="51">
        <v>8</v>
      </c>
      <c r="D178" s="57">
        <v>6.7796610169491525E-2</v>
      </c>
      <c r="E178" s="56">
        <v>6.7796610169491522</v>
      </c>
      <c r="F178" s="17">
        <v>288</v>
      </c>
      <c r="G178" s="17">
        <v>1709</v>
      </c>
      <c r="H178" s="58">
        <v>0.16851960210649503</v>
      </c>
      <c r="I178" s="56">
        <v>23.782278079145954</v>
      </c>
      <c r="J178" s="57">
        <v>0.55158033152097152</v>
      </c>
      <c r="K178" s="56">
        <v>46.867854046652042</v>
      </c>
      <c r="L178" s="41">
        <f t="shared" si="4"/>
        <v>25.809931047582381</v>
      </c>
      <c r="M178" s="131">
        <f t="shared" si="5"/>
        <v>29.392056254016651</v>
      </c>
    </row>
    <row r="179" spans="1:13" ht="18" x14ac:dyDescent="0.25">
      <c r="A179" s="80" t="s">
        <v>219</v>
      </c>
      <c r="B179" s="81">
        <v>412580</v>
      </c>
      <c r="C179" s="51">
        <v>3</v>
      </c>
      <c r="D179" s="57">
        <v>2.097902097902098E-2</v>
      </c>
      <c r="E179" s="56">
        <v>2.0979020979020979</v>
      </c>
      <c r="F179" s="17">
        <v>303</v>
      </c>
      <c r="G179" s="17">
        <v>1004</v>
      </c>
      <c r="H179" s="58">
        <v>0.30179282868525897</v>
      </c>
      <c r="I179" s="56">
        <v>46.705035451715645</v>
      </c>
      <c r="J179" s="57">
        <v>0.48037788945197762</v>
      </c>
      <c r="K179" s="56">
        <v>58.718986040419196</v>
      </c>
      <c r="L179" s="41">
        <f t="shared" si="4"/>
        <v>35.84064119667898</v>
      </c>
      <c r="M179" s="131">
        <f t="shared" si="5"/>
        <v>44.96056893841309</v>
      </c>
    </row>
    <row r="180" spans="1:13" ht="18" x14ac:dyDescent="0.25">
      <c r="A180" s="80" t="s">
        <v>209</v>
      </c>
      <c r="B180" s="81">
        <v>410380</v>
      </c>
      <c r="C180" s="51">
        <v>0</v>
      </c>
      <c r="D180" s="57">
        <v>2.4E-2</v>
      </c>
      <c r="E180" s="56">
        <v>2.4</v>
      </c>
      <c r="F180" s="17">
        <v>250</v>
      </c>
      <c r="G180" s="17">
        <v>1239</v>
      </c>
      <c r="H180" s="58">
        <v>0.20177562550443906</v>
      </c>
      <c r="I180" s="56">
        <v>29.502254814886225</v>
      </c>
      <c r="J180" s="57">
        <v>0.5123298967592117</v>
      </c>
      <c r="K180" s="56">
        <v>53.400805300256913</v>
      </c>
      <c r="L180" s="41">
        <f t="shared" si="4"/>
        <v>28.43435337171438</v>
      </c>
      <c r="M180" s="131">
        <f t="shared" si="5"/>
        <v>33.465382233448132</v>
      </c>
    </row>
    <row r="181" spans="1:13" ht="18" x14ac:dyDescent="0.25">
      <c r="A181" s="80" t="s">
        <v>210</v>
      </c>
      <c r="B181" s="81">
        <v>411575</v>
      </c>
      <c r="C181" s="51">
        <v>4</v>
      </c>
      <c r="D181" s="57">
        <v>0</v>
      </c>
      <c r="E181" s="56">
        <v>0</v>
      </c>
      <c r="F181" s="17">
        <v>489</v>
      </c>
      <c r="G181" s="17">
        <v>1503</v>
      </c>
      <c r="H181" s="58">
        <v>0.32534930139720558</v>
      </c>
      <c r="I181" s="56">
        <v>50.756706761784699</v>
      </c>
      <c r="J181" s="57">
        <v>0.44008530804003931</v>
      </c>
      <c r="K181" s="56">
        <v>65.42539507369068</v>
      </c>
      <c r="L181" s="41">
        <f t="shared" si="4"/>
        <v>38.727367278491791</v>
      </c>
      <c r="M181" s="131">
        <f t="shared" si="5"/>
        <v>49.441012591261376</v>
      </c>
    </row>
    <row r="182" spans="1:13" ht="18" x14ac:dyDescent="0.25">
      <c r="A182" s="80" t="s">
        <v>160</v>
      </c>
      <c r="B182" s="81">
        <v>412190</v>
      </c>
      <c r="C182" s="51">
        <v>1</v>
      </c>
      <c r="D182" s="57">
        <v>7.6923076923076927E-2</v>
      </c>
      <c r="E182" s="56">
        <v>7.6923076923076925</v>
      </c>
      <c r="F182" s="17">
        <v>568</v>
      </c>
      <c r="G182" s="17">
        <v>1662</v>
      </c>
      <c r="H182" s="58">
        <v>0.3417569193742479</v>
      </c>
      <c r="I182" s="56">
        <v>53.578787802399987</v>
      </c>
      <c r="J182" s="57">
        <v>0.28258997866516233</v>
      </c>
      <c r="K182" s="56">
        <v>91.639354631635285</v>
      </c>
      <c r="L182" s="41">
        <f t="shared" si="4"/>
        <v>50.970150042114312</v>
      </c>
      <c r="M182" s="131">
        <f t="shared" si="5"/>
        <v>68.442849541453157</v>
      </c>
    </row>
    <row r="183" spans="1:13" ht="18" x14ac:dyDescent="0.25">
      <c r="A183" s="80" t="s">
        <v>168</v>
      </c>
      <c r="B183" s="81">
        <v>411250</v>
      </c>
      <c r="C183" s="51">
        <v>4</v>
      </c>
      <c r="D183" s="57">
        <v>3.3333333333333333E-2</v>
      </c>
      <c r="E183" s="56">
        <v>3.3333333333333335</v>
      </c>
      <c r="F183" s="17">
        <v>366</v>
      </c>
      <c r="G183" s="17">
        <v>1381</v>
      </c>
      <c r="H183" s="58">
        <v>0.26502534395365679</v>
      </c>
      <c r="I183" s="56">
        <v>40.381093626805459</v>
      </c>
      <c r="J183" s="57">
        <v>0.40015772572788888</v>
      </c>
      <c r="K183" s="56">
        <v>72.071052644182259</v>
      </c>
      <c r="L183" s="41">
        <f t="shared" si="4"/>
        <v>38.595159868107018</v>
      </c>
      <c r="M183" s="131">
        <f t="shared" si="5"/>
        <v>49.235815480094544</v>
      </c>
    </row>
    <row r="184" spans="1:13" ht="18" x14ac:dyDescent="0.25">
      <c r="A184" s="80" t="s">
        <v>212</v>
      </c>
      <c r="B184" s="81">
        <v>410725</v>
      </c>
      <c r="C184" s="51">
        <v>6</v>
      </c>
      <c r="D184" s="57">
        <v>9.0909090909090912E-2</v>
      </c>
      <c r="E184" s="56">
        <v>9.0909090909090917</v>
      </c>
      <c r="F184" s="17">
        <v>168</v>
      </c>
      <c r="G184" s="17">
        <v>1199</v>
      </c>
      <c r="H184" s="58">
        <v>0.14011676396997497</v>
      </c>
      <c r="I184" s="56">
        <v>18.897040556131248</v>
      </c>
      <c r="J184" s="57">
        <v>0.61699033519152591</v>
      </c>
      <c r="K184" s="56">
        <v>35.980831569790986</v>
      </c>
      <c r="L184" s="41">
        <f t="shared" si="4"/>
        <v>21.32292707227711</v>
      </c>
      <c r="M184" s="131">
        <f t="shared" si="5"/>
        <v>22.427845618265319</v>
      </c>
    </row>
    <row r="185" spans="1:13" ht="18" x14ac:dyDescent="0.25">
      <c r="A185" s="80" t="s">
        <v>182</v>
      </c>
      <c r="B185" s="81">
        <v>412390</v>
      </c>
      <c r="C185" s="51">
        <v>7</v>
      </c>
      <c r="D185" s="57">
        <v>0</v>
      </c>
      <c r="E185" s="56">
        <v>0</v>
      </c>
      <c r="F185" s="17">
        <v>506</v>
      </c>
      <c r="G185" s="17">
        <v>1283</v>
      </c>
      <c r="H185" s="58">
        <v>0.39438815276695244</v>
      </c>
      <c r="I185" s="56">
        <v>62.631266115191821</v>
      </c>
      <c r="J185" s="57">
        <v>0.43952394625253982</v>
      </c>
      <c r="K185" s="56">
        <v>65.518829686979174</v>
      </c>
      <c r="L185" s="41">
        <f t="shared" si="4"/>
        <v>42.716698600723667</v>
      </c>
      <c r="M185" s="131">
        <f t="shared" si="5"/>
        <v>55.632793070335509</v>
      </c>
    </row>
    <row r="186" spans="1:13" ht="18" x14ac:dyDescent="0.25">
      <c r="A186" s="80" t="s">
        <v>152</v>
      </c>
      <c r="B186" s="81">
        <v>411400</v>
      </c>
      <c r="C186" s="51">
        <v>5</v>
      </c>
      <c r="D186" s="57">
        <v>0.15</v>
      </c>
      <c r="E186" s="56">
        <v>15</v>
      </c>
      <c r="F186" s="17">
        <v>507</v>
      </c>
      <c r="G186" s="17">
        <v>1623</v>
      </c>
      <c r="H186" s="58">
        <v>0.3123844731977819</v>
      </c>
      <c r="I186" s="56">
        <v>48.526779425127927</v>
      </c>
      <c r="J186" s="57">
        <v>0.37942849056467676</v>
      </c>
      <c r="K186" s="56">
        <v>75.521284053535055</v>
      </c>
      <c r="L186" s="41">
        <f t="shared" si="4"/>
        <v>46.349354492887663</v>
      </c>
      <c r="M186" s="131">
        <f t="shared" si="5"/>
        <v>61.270983038400352</v>
      </c>
    </row>
    <row r="187" spans="1:13" ht="18" x14ac:dyDescent="0.25">
      <c r="A187" s="80" t="s">
        <v>111</v>
      </c>
      <c r="B187" s="81">
        <v>410120</v>
      </c>
      <c r="C187" s="51">
        <v>0</v>
      </c>
      <c r="D187" s="57">
        <v>5.6818181818181816E-2</v>
      </c>
      <c r="E187" s="56">
        <v>5.6818181818181817</v>
      </c>
      <c r="F187" s="17">
        <v>959</v>
      </c>
      <c r="G187" s="17">
        <v>2348</v>
      </c>
      <c r="H187" s="58">
        <v>0.40843270868824533</v>
      </c>
      <c r="I187" s="56">
        <v>65.046904695075824</v>
      </c>
      <c r="J187" s="57">
        <v>0.39346274262975434</v>
      </c>
      <c r="K187" s="56">
        <v>73.18538420482102</v>
      </c>
      <c r="L187" s="41">
        <f t="shared" si="4"/>
        <v>47.971369027238346</v>
      </c>
      <c r="M187" s="131">
        <f t="shared" si="5"/>
        <v>63.788487131028162</v>
      </c>
    </row>
    <row r="188" spans="1:13" ht="18" x14ac:dyDescent="0.25">
      <c r="A188" s="80" t="s">
        <v>171</v>
      </c>
      <c r="B188" s="81">
        <v>411890</v>
      </c>
      <c r="C188" s="51">
        <v>7</v>
      </c>
      <c r="D188" s="57">
        <v>0</v>
      </c>
      <c r="E188" s="56">
        <v>0</v>
      </c>
      <c r="F188" s="17">
        <v>207</v>
      </c>
      <c r="G188" s="17">
        <v>1494</v>
      </c>
      <c r="H188" s="58">
        <v>0.13855421686746988</v>
      </c>
      <c r="I188" s="56">
        <v>18.628285240203123</v>
      </c>
      <c r="J188" s="57">
        <v>0.43102161598035565</v>
      </c>
      <c r="K188" s="56">
        <v>66.933981125361299</v>
      </c>
      <c r="L188" s="41">
        <f t="shared" si="4"/>
        <v>28.520755455188141</v>
      </c>
      <c r="M188" s="131">
        <f t="shared" si="5"/>
        <v>33.599485593282594</v>
      </c>
    </row>
    <row r="189" spans="1:13" ht="18" x14ac:dyDescent="0.25">
      <c r="A189" s="80" t="s">
        <v>221</v>
      </c>
      <c r="B189" s="81">
        <v>412330</v>
      </c>
      <c r="C189" s="51">
        <v>3</v>
      </c>
      <c r="D189" s="57">
        <v>3.8461538461538464E-2</v>
      </c>
      <c r="E189" s="56">
        <v>3.8461538461538463</v>
      </c>
      <c r="F189" s="17">
        <v>327</v>
      </c>
      <c r="G189" s="17">
        <v>1095</v>
      </c>
      <c r="H189" s="58">
        <v>0.29863013698630136</v>
      </c>
      <c r="I189" s="56">
        <v>46.161058117929102</v>
      </c>
      <c r="J189" s="57">
        <v>0.39828918472604524</v>
      </c>
      <c r="K189" s="56">
        <v>72.382057792392715</v>
      </c>
      <c r="L189" s="41">
        <f t="shared" si="4"/>
        <v>40.796423252158554</v>
      </c>
      <c r="M189" s="131">
        <f t="shared" si="5"/>
        <v>52.652362903647628</v>
      </c>
    </row>
    <row r="190" spans="1:13" ht="18" x14ac:dyDescent="0.25">
      <c r="A190" s="80" t="s">
        <v>178</v>
      </c>
      <c r="B190" s="81">
        <v>412250</v>
      </c>
      <c r="C190" s="51">
        <v>3</v>
      </c>
      <c r="D190" s="57">
        <v>9.0090090090090089E-3</v>
      </c>
      <c r="E190" s="56">
        <v>0.90090090090090091</v>
      </c>
      <c r="F190" s="17">
        <v>379</v>
      </c>
      <c r="G190" s="17">
        <v>1484</v>
      </c>
      <c r="H190" s="58">
        <v>0.25539083557951481</v>
      </c>
      <c r="I190" s="56">
        <v>38.723975362816205</v>
      </c>
      <c r="J190" s="57">
        <v>0.45056736978132339</v>
      </c>
      <c r="K190" s="56">
        <v>63.680731637253999</v>
      </c>
      <c r="L190" s="41">
        <f t="shared" si="4"/>
        <v>34.435202633657035</v>
      </c>
      <c r="M190" s="131">
        <f t="shared" si="5"/>
        <v>42.779209117392078</v>
      </c>
    </row>
    <row r="191" spans="1:13" ht="18" x14ac:dyDescent="0.25">
      <c r="A191" s="80" t="s">
        <v>197</v>
      </c>
      <c r="B191" s="81">
        <v>410080</v>
      </c>
      <c r="C191" s="51">
        <v>6</v>
      </c>
      <c r="D191" s="57">
        <v>1.6393442622950821E-2</v>
      </c>
      <c r="E191" s="56">
        <v>1.639344262295082</v>
      </c>
      <c r="F191" s="17">
        <v>308</v>
      </c>
      <c r="G191" s="17">
        <v>1191</v>
      </c>
      <c r="H191" s="58">
        <v>0.2586062132661629</v>
      </c>
      <c r="I191" s="56">
        <v>39.277014592557137</v>
      </c>
      <c r="J191" s="57">
        <v>0.40941085934594595</v>
      </c>
      <c r="K191" s="56">
        <v>70.530935413971235</v>
      </c>
      <c r="L191" s="41">
        <f t="shared" si="4"/>
        <v>37.149098089607818</v>
      </c>
      <c r="M191" s="131">
        <f t="shared" si="5"/>
        <v>46.991404984092597</v>
      </c>
    </row>
    <row r="192" spans="1:13" ht="18" x14ac:dyDescent="0.25">
      <c r="A192" s="80" t="s">
        <v>217</v>
      </c>
      <c r="B192" s="81">
        <v>412270</v>
      </c>
      <c r="C192" s="51">
        <v>1</v>
      </c>
      <c r="D192" s="57">
        <v>0.11538461538461539</v>
      </c>
      <c r="E192" s="56">
        <v>11.538461538461538</v>
      </c>
      <c r="F192" s="17">
        <v>166</v>
      </c>
      <c r="G192" s="17">
        <v>1201</v>
      </c>
      <c r="H192" s="58">
        <v>0.13821815154038303</v>
      </c>
      <c r="I192" s="56">
        <v>18.570482603080112</v>
      </c>
      <c r="J192" s="57">
        <v>0.64742558396121297</v>
      </c>
      <c r="K192" s="56">
        <v>30.915104328537147</v>
      </c>
      <c r="L192" s="41">
        <f t="shared" si="4"/>
        <v>20.341349490026268</v>
      </c>
      <c r="M192" s="131">
        <f t="shared" si="5"/>
        <v>20.904353979802632</v>
      </c>
    </row>
    <row r="193" spans="1:13" ht="18" x14ac:dyDescent="0.25">
      <c r="A193" s="80" t="s">
        <v>106</v>
      </c>
      <c r="B193" s="81">
        <v>410050</v>
      </c>
      <c r="C193" s="51">
        <v>9</v>
      </c>
      <c r="D193" s="57">
        <v>0</v>
      </c>
      <c r="E193" s="56">
        <v>0</v>
      </c>
      <c r="F193" s="17">
        <v>398</v>
      </c>
      <c r="G193" s="17">
        <v>2207</v>
      </c>
      <c r="H193" s="58">
        <v>0.18033529678296331</v>
      </c>
      <c r="I193" s="56">
        <v>25.814556498525075</v>
      </c>
      <c r="J193" s="57">
        <v>0.40104356045213241</v>
      </c>
      <c r="K193" s="56">
        <v>71.923611855121962</v>
      </c>
      <c r="L193" s="41">
        <f t="shared" si="4"/>
        <v>32.579389451215683</v>
      </c>
      <c r="M193" s="131">
        <f t="shared" si="5"/>
        <v>39.898829698462251</v>
      </c>
    </row>
    <row r="194" spans="1:13" ht="18" x14ac:dyDescent="0.25">
      <c r="A194" s="80" t="s">
        <v>198</v>
      </c>
      <c r="B194" s="81">
        <v>410030</v>
      </c>
      <c r="C194" s="51">
        <v>1</v>
      </c>
      <c r="D194" s="57">
        <v>7.1428571428571425E-2</v>
      </c>
      <c r="E194" s="56">
        <v>7.1428571428571423</v>
      </c>
      <c r="F194" s="17">
        <v>501</v>
      </c>
      <c r="G194" s="17">
        <v>1461</v>
      </c>
      <c r="H194" s="58">
        <v>0.34291581108829566</v>
      </c>
      <c r="I194" s="56">
        <v>53.778115111148658</v>
      </c>
      <c r="J194" s="57">
        <v>0.38104275981488595</v>
      </c>
      <c r="K194" s="56">
        <v>75.252600601088702</v>
      </c>
      <c r="L194" s="41">
        <f t="shared" si="4"/>
        <v>45.391190951698171</v>
      </c>
      <c r="M194" s="131">
        <f t="shared" si="5"/>
        <v>59.783831977009314</v>
      </c>
    </row>
    <row r="195" spans="1:13" ht="18" x14ac:dyDescent="0.25">
      <c r="A195" s="80" t="s">
        <v>208</v>
      </c>
      <c r="B195" s="81">
        <v>412700</v>
      </c>
      <c r="C195" s="51">
        <v>7</v>
      </c>
      <c r="D195" s="57">
        <v>3.125E-2</v>
      </c>
      <c r="E195" s="56">
        <v>3.125</v>
      </c>
      <c r="F195" s="17">
        <v>485</v>
      </c>
      <c r="G195" s="17">
        <v>1301</v>
      </c>
      <c r="H195" s="58">
        <v>0.37279016141429672</v>
      </c>
      <c r="I195" s="56">
        <v>58.916450107348027</v>
      </c>
      <c r="J195" s="57">
        <v>0.4437511055781449</v>
      </c>
      <c r="K195" s="56">
        <v>64.815249561484507</v>
      </c>
      <c r="L195" s="41">
        <f t="shared" ref="L195:L258" si="6">(K195+I195+E195)/3</f>
        <v>42.285566556277509</v>
      </c>
      <c r="M195" s="131">
        <f t="shared" ref="M195:M258" si="7">(L195-L$402)/(L$403-L$402)*100</f>
        <v>54.963639580418914</v>
      </c>
    </row>
    <row r="196" spans="1:13" ht="18" x14ac:dyDescent="0.25">
      <c r="A196" s="80" t="s">
        <v>215</v>
      </c>
      <c r="B196" s="81">
        <v>410990</v>
      </c>
      <c r="C196" s="51">
        <v>6</v>
      </c>
      <c r="D196" s="57">
        <v>1.9607843137254902E-2</v>
      </c>
      <c r="E196" s="56">
        <v>1.9607843137254901</v>
      </c>
      <c r="F196" s="17">
        <v>363</v>
      </c>
      <c r="G196" s="17">
        <v>1123</v>
      </c>
      <c r="H196" s="58">
        <v>0.3232413178984862</v>
      </c>
      <c r="I196" s="56">
        <v>50.39413735810956</v>
      </c>
      <c r="J196" s="57">
        <v>0.40644178257936048</v>
      </c>
      <c r="K196" s="56">
        <v>71.025116788064238</v>
      </c>
      <c r="L196" s="41">
        <f t="shared" si="6"/>
        <v>41.126679486633094</v>
      </c>
      <c r="M196" s="131">
        <f t="shared" si="7"/>
        <v>53.164948582935843</v>
      </c>
    </row>
    <row r="197" spans="1:13" ht="18" x14ac:dyDescent="0.25">
      <c r="A197" s="80" t="s">
        <v>237</v>
      </c>
      <c r="B197" s="81">
        <v>410820</v>
      </c>
      <c r="C197" s="51">
        <v>5</v>
      </c>
      <c r="D197" s="57">
        <v>0.33333333333333331</v>
      </c>
      <c r="E197" s="56">
        <v>33.333333333333329</v>
      </c>
      <c r="F197" s="17">
        <v>135</v>
      </c>
      <c r="G197" s="17">
        <v>888</v>
      </c>
      <c r="H197" s="58">
        <v>0.15202702702702703</v>
      </c>
      <c r="I197" s="56">
        <v>20.945584568374645</v>
      </c>
      <c r="J197" s="57">
        <v>0.43138480160640691</v>
      </c>
      <c r="K197" s="56">
        <v>66.873531502181223</v>
      </c>
      <c r="L197" s="41">
        <f t="shared" si="6"/>
        <v>40.384149801296395</v>
      </c>
      <c r="M197" s="131">
        <f t="shared" si="7"/>
        <v>52.012479550048226</v>
      </c>
    </row>
    <row r="198" spans="1:13" ht="18" x14ac:dyDescent="0.25">
      <c r="A198" s="80" t="s">
        <v>165</v>
      </c>
      <c r="B198" s="81">
        <v>412180</v>
      </c>
      <c r="C198" s="51">
        <v>2</v>
      </c>
      <c r="D198" s="57">
        <v>3.7037037037037035E-2</v>
      </c>
      <c r="E198" s="56">
        <v>3.7037037037037033</v>
      </c>
      <c r="F198" s="17">
        <v>369</v>
      </c>
      <c r="G198" s="17">
        <v>1550</v>
      </c>
      <c r="H198" s="58">
        <v>0.23806451612903226</v>
      </c>
      <c r="I198" s="56">
        <v>35.743879306626539</v>
      </c>
      <c r="J198" s="57">
        <v>0.46378366995834264</v>
      </c>
      <c r="K198" s="56">
        <v>61.480973970019306</v>
      </c>
      <c r="L198" s="41">
        <f t="shared" si="6"/>
        <v>33.642852326783185</v>
      </c>
      <c r="M198" s="131">
        <f t="shared" si="7"/>
        <v>41.549414255443843</v>
      </c>
    </row>
    <row r="199" spans="1:13" ht="18" x14ac:dyDescent="0.25">
      <c r="A199" s="80" t="s">
        <v>214</v>
      </c>
      <c r="B199" s="81">
        <v>412260</v>
      </c>
      <c r="C199" s="51">
        <v>2</v>
      </c>
      <c r="D199" s="57">
        <v>0</v>
      </c>
      <c r="E199" s="56">
        <v>0</v>
      </c>
      <c r="F199" s="17">
        <v>253</v>
      </c>
      <c r="G199" s="17">
        <v>1144</v>
      </c>
      <c r="H199" s="58">
        <v>0.22115384615384615</v>
      </c>
      <c r="I199" s="56">
        <v>32.835274219169627</v>
      </c>
      <c r="J199" s="57">
        <v>0.51961602206714186</v>
      </c>
      <c r="K199" s="56">
        <v>52.188082390223336</v>
      </c>
      <c r="L199" s="41">
        <f t="shared" si="6"/>
        <v>28.341118869797654</v>
      </c>
      <c r="M199" s="131">
        <f t="shared" si="7"/>
        <v>33.32067438084961</v>
      </c>
    </row>
    <row r="200" spans="1:13" ht="18" x14ac:dyDescent="0.25">
      <c r="A200" s="80" t="s">
        <v>287</v>
      </c>
      <c r="B200" s="81">
        <v>410645</v>
      </c>
      <c r="C200" s="51">
        <v>6</v>
      </c>
      <c r="D200" s="57">
        <v>2.3809523809523808E-2</v>
      </c>
      <c r="E200" s="56">
        <v>2.3809523809523809</v>
      </c>
      <c r="F200" s="17">
        <v>419</v>
      </c>
      <c r="G200" s="17">
        <v>903</v>
      </c>
      <c r="H200" s="58">
        <v>0.46400885935769659</v>
      </c>
      <c r="I200" s="56">
        <v>74.605903529281306</v>
      </c>
      <c r="J200" s="57">
        <v>0.45867992301450272</v>
      </c>
      <c r="K200" s="56">
        <v>62.330455770596082</v>
      </c>
      <c r="L200" s="41">
        <f t="shared" si="6"/>
        <v>46.439103893609918</v>
      </c>
      <c r="M200" s="131">
        <f t="shared" si="7"/>
        <v>61.410281718433211</v>
      </c>
    </row>
    <row r="201" spans="1:13" ht="18" x14ac:dyDescent="0.25">
      <c r="A201" s="80" t="s">
        <v>207</v>
      </c>
      <c r="B201" s="81">
        <v>411810</v>
      </c>
      <c r="C201" s="51">
        <v>5</v>
      </c>
      <c r="D201" s="57">
        <v>2.0202020202020204E-2</v>
      </c>
      <c r="E201" s="56">
        <v>2.0202020202020203</v>
      </c>
      <c r="F201" s="17">
        <v>273</v>
      </c>
      <c r="G201" s="17">
        <v>1218</v>
      </c>
      <c r="H201" s="58">
        <v>0.22413793103448276</v>
      </c>
      <c r="I201" s="56">
        <v>33.348531498624482</v>
      </c>
      <c r="J201" s="57">
        <v>0.5026638971801769</v>
      </c>
      <c r="K201" s="56">
        <v>55.009641086420537</v>
      </c>
      <c r="L201" s="41">
        <f t="shared" si="6"/>
        <v>30.126124868415683</v>
      </c>
      <c r="M201" s="131">
        <f t="shared" si="7"/>
        <v>36.091155046539207</v>
      </c>
    </row>
    <row r="202" spans="1:13" ht="18" x14ac:dyDescent="0.25">
      <c r="A202" s="80" t="s">
        <v>173</v>
      </c>
      <c r="B202" s="81">
        <v>412000</v>
      </c>
      <c r="C202" s="51">
        <v>2</v>
      </c>
      <c r="D202" s="57">
        <v>4.0540540540540543E-2</v>
      </c>
      <c r="E202" s="56">
        <v>4.0540540540540544</v>
      </c>
      <c r="F202" s="17">
        <v>339</v>
      </c>
      <c r="G202" s="17">
        <v>1261</v>
      </c>
      <c r="H202" s="58">
        <v>0.26883425852498016</v>
      </c>
      <c r="I202" s="56">
        <v>41.036220142555344</v>
      </c>
      <c r="J202" s="57">
        <v>0.36886748093254745</v>
      </c>
      <c r="K202" s="56">
        <v>77.279087795947888</v>
      </c>
      <c r="L202" s="41">
        <f t="shared" si="6"/>
        <v>40.789787330852427</v>
      </c>
      <c r="M202" s="131">
        <f t="shared" si="7"/>
        <v>52.642063391101516</v>
      </c>
    </row>
    <row r="203" spans="1:13" ht="18" x14ac:dyDescent="0.25">
      <c r="A203" s="80" t="s">
        <v>211</v>
      </c>
      <c r="B203" s="81">
        <v>412520</v>
      </c>
      <c r="C203" s="51">
        <v>9</v>
      </c>
      <c r="D203" s="57">
        <v>2.0202020202020204E-2</v>
      </c>
      <c r="E203" s="56">
        <v>2.0202020202020203</v>
      </c>
      <c r="F203" s="17">
        <v>170</v>
      </c>
      <c r="G203" s="17">
        <v>1150</v>
      </c>
      <c r="H203" s="58">
        <v>0.14782608695652175</v>
      </c>
      <c r="I203" s="56">
        <v>20.223030365666965</v>
      </c>
      <c r="J203" s="57">
        <v>0.50113519067814827</v>
      </c>
      <c r="K203" s="56">
        <v>55.264083237684339</v>
      </c>
      <c r="L203" s="41">
        <f t="shared" si="6"/>
        <v>25.835771874517775</v>
      </c>
      <c r="M203" s="131">
        <f t="shared" si="7"/>
        <v>29.432163408539026</v>
      </c>
    </row>
    <row r="204" spans="1:13" ht="18" x14ac:dyDescent="0.25">
      <c r="A204" s="80" t="s">
        <v>153</v>
      </c>
      <c r="B204" s="81">
        <v>411390</v>
      </c>
      <c r="C204" s="51">
        <v>8</v>
      </c>
      <c r="D204" s="57">
        <v>8.4745762711864406E-3</v>
      </c>
      <c r="E204" s="56">
        <v>0.84745762711864403</v>
      </c>
      <c r="F204" s="17">
        <v>258</v>
      </c>
      <c r="G204" s="17">
        <v>1645</v>
      </c>
      <c r="H204" s="58">
        <v>0.15683890577507598</v>
      </c>
      <c r="I204" s="56">
        <v>21.773219134440787</v>
      </c>
      <c r="J204" s="57">
        <v>0.53625280952930976</v>
      </c>
      <c r="K204" s="56">
        <v>49.419009329844968</v>
      </c>
      <c r="L204" s="41">
        <f t="shared" si="6"/>
        <v>24.013228697134803</v>
      </c>
      <c r="M204" s="131">
        <f t="shared" si="7"/>
        <v>26.603421858520012</v>
      </c>
    </row>
    <row r="205" spans="1:13" ht="18" x14ac:dyDescent="0.25">
      <c r="A205" s="80" t="s">
        <v>292</v>
      </c>
      <c r="B205" s="81">
        <v>412490</v>
      </c>
      <c r="C205" s="51">
        <v>5</v>
      </c>
      <c r="D205" s="57">
        <v>1.0309278350515464E-2</v>
      </c>
      <c r="E205" s="56">
        <v>1.0309278350515463</v>
      </c>
      <c r="F205" s="17">
        <v>292</v>
      </c>
      <c r="G205" s="17">
        <v>746</v>
      </c>
      <c r="H205" s="58">
        <v>0.39142091152815012</v>
      </c>
      <c r="I205" s="56">
        <v>62.120905912103687</v>
      </c>
      <c r="J205" s="57">
        <v>0.38550964982545965</v>
      </c>
      <c r="K205" s="56">
        <v>74.509119035306824</v>
      </c>
      <c r="L205" s="41">
        <f t="shared" si="6"/>
        <v>45.886984260820689</v>
      </c>
      <c r="M205" s="131">
        <f t="shared" si="7"/>
        <v>60.553345232519739</v>
      </c>
    </row>
    <row r="206" spans="1:13" ht="18" x14ac:dyDescent="0.25">
      <c r="A206" s="80" t="s">
        <v>187</v>
      </c>
      <c r="B206" s="81">
        <v>412470</v>
      </c>
      <c r="C206" s="51">
        <v>7</v>
      </c>
      <c r="D206" s="57">
        <v>9.0909090909090912E-2</v>
      </c>
      <c r="E206" s="56">
        <v>9.0909090909090917</v>
      </c>
      <c r="F206" s="17">
        <v>407</v>
      </c>
      <c r="G206" s="17">
        <v>1484</v>
      </c>
      <c r="H206" s="58">
        <v>0.27425876010781669</v>
      </c>
      <c r="I206" s="56">
        <v>41.969224744023407</v>
      </c>
      <c r="J206" s="57">
        <v>0.35616300064565604</v>
      </c>
      <c r="K206" s="56">
        <v>79.393656740735921</v>
      </c>
      <c r="L206" s="41">
        <f t="shared" si="6"/>
        <v>43.484596858556138</v>
      </c>
      <c r="M206" s="131">
        <f t="shared" si="7"/>
        <v>56.824636278811369</v>
      </c>
    </row>
    <row r="207" spans="1:13" ht="18" x14ac:dyDescent="0.25">
      <c r="A207" s="80" t="s">
        <v>239</v>
      </c>
      <c r="B207" s="81">
        <v>410950</v>
      </c>
      <c r="C207" s="51">
        <v>0</v>
      </c>
      <c r="D207" s="57">
        <v>1.4492753623188406E-2</v>
      </c>
      <c r="E207" s="56">
        <v>1.4492753623188406</v>
      </c>
      <c r="F207" s="17">
        <v>630</v>
      </c>
      <c r="G207" s="17">
        <v>1030</v>
      </c>
      <c r="H207" s="58">
        <v>0.61165048543689315</v>
      </c>
      <c r="I207" s="56">
        <v>100</v>
      </c>
      <c r="J207" s="57">
        <v>0.33676785336338383</v>
      </c>
      <c r="K207" s="56">
        <v>82.621838862046275</v>
      </c>
      <c r="L207" s="41">
        <f t="shared" si="6"/>
        <v>61.35703807478837</v>
      </c>
      <c r="M207" s="131">
        <f t="shared" si="7"/>
        <v>84.564180502517331</v>
      </c>
    </row>
    <row r="208" spans="1:13" ht="18" x14ac:dyDescent="0.25">
      <c r="A208" s="80" t="s">
        <v>195</v>
      </c>
      <c r="B208" s="81">
        <v>410500</v>
      </c>
      <c r="C208" s="51">
        <v>3</v>
      </c>
      <c r="D208" s="57">
        <v>4.6728971962616821E-2</v>
      </c>
      <c r="E208" s="56">
        <v>4.6728971962616823</v>
      </c>
      <c r="F208" s="17">
        <v>303</v>
      </c>
      <c r="G208" s="17">
        <v>1426</v>
      </c>
      <c r="H208" s="58">
        <v>0.21248246844319776</v>
      </c>
      <c r="I208" s="56">
        <v>31.343812712235763</v>
      </c>
      <c r="J208" s="57">
        <v>0.43080535576489137</v>
      </c>
      <c r="K208" s="56">
        <v>66.969976075590452</v>
      </c>
      <c r="L208" s="41">
        <f t="shared" si="6"/>
        <v>34.328895328029297</v>
      </c>
      <c r="M208" s="131">
        <f t="shared" si="7"/>
        <v>42.614211164953133</v>
      </c>
    </row>
    <row r="209" spans="1:13" ht="18" x14ac:dyDescent="0.25">
      <c r="A209" s="80" t="s">
        <v>255</v>
      </c>
      <c r="B209" s="81">
        <v>410320</v>
      </c>
      <c r="C209" s="51">
        <v>6</v>
      </c>
      <c r="D209" s="57">
        <v>0.14285714285714285</v>
      </c>
      <c r="E209" s="56">
        <v>14.285714285714285</v>
      </c>
      <c r="F209" s="17">
        <v>160</v>
      </c>
      <c r="G209" s="17">
        <v>924</v>
      </c>
      <c r="H209" s="58">
        <v>0.17316017316017315</v>
      </c>
      <c r="I209" s="56">
        <v>24.580448027186996</v>
      </c>
      <c r="J209" s="57">
        <v>0.36868845799950928</v>
      </c>
      <c r="K209" s="56">
        <v>77.308884869583252</v>
      </c>
      <c r="L209" s="41">
        <f t="shared" si="6"/>
        <v>38.725015727494842</v>
      </c>
      <c r="M209" s="131">
        <f t="shared" si="7"/>
        <v>49.437362784719291</v>
      </c>
    </row>
    <row r="210" spans="1:13" ht="18" x14ac:dyDescent="0.25">
      <c r="A210" s="80" t="s">
        <v>133</v>
      </c>
      <c r="B210" s="81">
        <v>410280</v>
      </c>
      <c r="C210" s="51">
        <v>2</v>
      </c>
      <c r="D210" s="57">
        <v>0.15384615384615385</v>
      </c>
      <c r="E210" s="56">
        <v>15.384615384615385</v>
      </c>
      <c r="F210" s="17">
        <v>428</v>
      </c>
      <c r="G210" s="17">
        <v>1749</v>
      </c>
      <c r="H210" s="58">
        <v>0.2447112635791881</v>
      </c>
      <c r="I210" s="56">
        <v>36.887108018258452</v>
      </c>
      <c r="J210" s="57">
        <v>0.41790932170783635</v>
      </c>
      <c r="K210" s="56">
        <v>69.116427761309097</v>
      </c>
      <c r="L210" s="41">
        <f t="shared" si="6"/>
        <v>40.462717054727648</v>
      </c>
      <c r="M210" s="131">
        <f t="shared" si="7"/>
        <v>52.13442258931876</v>
      </c>
    </row>
    <row r="211" spans="1:13" ht="18" x14ac:dyDescent="0.25">
      <c r="A211" s="80" t="s">
        <v>151</v>
      </c>
      <c r="B211" s="81">
        <v>410700</v>
      </c>
      <c r="C211" s="51">
        <v>9</v>
      </c>
      <c r="D211" s="57">
        <v>0</v>
      </c>
      <c r="E211" s="56">
        <v>0</v>
      </c>
      <c r="F211" s="17">
        <v>567</v>
      </c>
      <c r="G211" s="17">
        <v>1805</v>
      </c>
      <c r="H211" s="58">
        <v>0.31412742382271469</v>
      </c>
      <c r="I211" s="56">
        <v>48.826563825290933</v>
      </c>
      <c r="J211" s="57">
        <v>0.37274511468739396</v>
      </c>
      <c r="K211" s="56">
        <v>76.633683676133529</v>
      </c>
      <c r="L211" s="41">
        <f t="shared" si="6"/>
        <v>41.820082500474818</v>
      </c>
      <c r="M211" s="131">
        <f t="shared" si="7"/>
        <v>54.241168856070331</v>
      </c>
    </row>
    <row r="212" spans="1:13" ht="18" x14ac:dyDescent="0.25">
      <c r="A212" s="80" t="s">
        <v>254</v>
      </c>
      <c r="B212" s="81">
        <v>412460</v>
      </c>
      <c r="C212" s="51">
        <v>8</v>
      </c>
      <c r="D212" s="57">
        <v>0</v>
      </c>
      <c r="E212" s="56">
        <v>0</v>
      </c>
      <c r="F212" s="17">
        <v>281</v>
      </c>
      <c r="G212" s="17">
        <v>878</v>
      </c>
      <c r="H212" s="58">
        <v>0.32004555808656038</v>
      </c>
      <c r="I212" s="56">
        <v>49.84447236784618</v>
      </c>
      <c r="J212" s="57">
        <v>0.53127943315228265</v>
      </c>
      <c r="K212" s="56">
        <v>50.24679189159643</v>
      </c>
      <c r="L212" s="41">
        <f t="shared" si="6"/>
        <v>33.363754753147539</v>
      </c>
      <c r="M212" s="131">
        <f t="shared" si="7"/>
        <v>41.116231155668785</v>
      </c>
    </row>
    <row r="213" spans="1:13" ht="18" x14ac:dyDescent="0.25">
      <c r="A213" s="80" t="s">
        <v>223</v>
      </c>
      <c r="B213" s="81">
        <v>411722</v>
      </c>
      <c r="C213" s="51">
        <v>2</v>
      </c>
      <c r="D213" s="57">
        <v>4.7619047619047616E-2</v>
      </c>
      <c r="E213" s="56">
        <v>4.7619047619047619</v>
      </c>
      <c r="F213" s="17">
        <v>145</v>
      </c>
      <c r="G213" s="17">
        <v>1074</v>
      </c>
      <c r="H213" s="58">
        <v>0.13500931098696461</v>
      </c>
      <c r="I213" s="56">
        <v>18.018567748600308</v>
      </c>
      <c r="J213" s="57">
        <v>0.51119639718983323</v>
      </c>
      <c r="K213" s="56">
        <v>53.589468113234119</v>
      </c>
      <c r="L213" s="41">
        <f t="shared" si="6"/>
        <v>25.456646874579729</v>
      </c>
      <c r="M213" s="131">
        <f t="shared" si="7"/>
        <v>28.843729261527123</v>
      </c>
    </row>
    <row r="214" spans="1:13" ht="18" x14ac:dyDescent="0.25">
      <c r="A214" s="80" t="s">
        <v>249</v>
      </c>
      <c r="B214" s="81">
        <v>411745</v>
      </c>
      <c r="C214" s="51">
        <v>3</v>
      </c>
      <c r="D214" s="57">
        <v>0</v>
      </c>
      <c r="E214" s="56">
        <v>0</v>
      </c>
      <c r="F214" s="17">
        <v>121</v>
      </c>
      <c r="G214" s="17">
        <v>933</v>
      </c>
      <c r="H214" s="58">
        <v>0.12968917470525188</v>
      </c>
      <c r="I214" s="56">
        <v>17.103513792863499</v>
      </c>
      <c r="J214" s="57">
        <v>0.47547720410186561</v>
      </c>
      <c r="K214" s="56">
        <v>59.534669705985344</v>
      </c>
      <c r="L214" s="41">
        <f t="shared" si="6"/>
        <v>25.54606116628295</v>
      </c>
      <c r="M214" s="131">
        <f t="shared" si="7"/>
        <v>28.982507823947586</v>
      </c>
    </row>
    <row r="215" spans="1:13" ht="18" x14ac:dyDescent="0.25">
      <c r="A215" s="80" t="s">
        <v>262</v>
      </c>
      <c r="B215" s="81">
        <v>411530</v>
      </c>
      <c r="C215" s="51">
        <v>9</v>
      </c>
      <c r="D215" s="57">
        <v>0.17647058823529413</v>
      </c>
      <c r="E215" s="56">
        <v>17.647058823529413</v>
      </c>
      <c r="F215" s="17">
        <v>146</v>
      </c>
      <c r="G215" s="17">
        <v>861</v>
      </c>
      <c r="H215" s="58">
        <v>0.16957026713124274</v>
      </c>
      <c r="I215" s="56">
        <v>23.962990590281137</v>
      </c>
      <c r="J215" s="57">
        <v>0.47998686106324628</v>
      </c>
      <c r="K215" s="56">
        <v>58.784069890263481</v>
      </c>
      <c r="L215" s="41">
        <f t="shared" si="6"/>
        <v>33.464706434691344</v>
      </c>
      <c r="M215" s="131">
        <f t="shared" si="7"/>
        <v>41.272916725410568</v>
      </c>
    </row>
    <row r="216" spans="1:13" ht="18" x14ac:dyDescent="0.25">
      <c r="A216" s="80" t="s">
        <v>229</v>
      </c>
      <c r="B216" s="81">
        <v>412790</v>
      </c>
      <c r="C216" s="51">
        <v>8</v>
      </c>
      <c r="D216" s="57">
        <v>0</v>
      </c>
      <c r="E216" s="56">
        <v>0</v>
      </c>
      <c r="F216" s="17">
        <v>195</v>
      </c>
      <c r="G216" s="17">
        <v>1026</v>
      </c>
      <c r="H216" s="58">
        <v>0.19005847953216373</v>
      </c>
      <c r="I216" s="56">
        <v>27.486926596936058</v>
      </c>
      <c r="J216" s="57">
        <v>0.3352836547004035</v>
      </c>
      <c r="K216" s="56">
        <v>82.868873005101477</v>
      </c>
      <c r="L216" s="41">
        <f t="shared" si="6"/>
        <v>36.785266534012514</v>
      </c>
      <c r="M216" s="131">
        <f t="shared" si="7"/>
        <v>46.426707559476114</v>
      </c>
    </row>
    <row r="217" spans="1:13" ht="18" x14ac:dyDescent="0.25">
      <c r="A217" s="80" t="s">
        <v>284</v>
      </c>
      <c r="B217" s="81">
        <v>411845</v>
      </c>
      <c r="C217" s="51">
        <v>1</v>
      </c>
      <c r="D217" s="57">
        <v>0</v>
      </c>
      <c r="E217" s="56">
        <v>0</v>
      </c>
      <c r="F217" s="17">
        <v>118</v>
      </c>
      <c r="G217" s="17">
        <v>779</v>
      </c>
      <c r="H217" s="58">
        <v>0.1514762516046213</v>
      </c>
      <c r="I217" s="56">
        <v>20.850852177641091</v>
      </c>
      <c r="J217" s="57">
        <v>0.5182891145071441</v>
      </c>
      <c r="K217" s="56">
        <v>52.408936565727927</v>
      </c>
      <c r="L217" s="41">
        <f t="shared" si="6"/>
        <v>24.419929581123004</v>
      </c>
      <c r="M217" s="131">
        <f t="shared" si="7"/>
        <v>27.234656115816918</v>
      </c>
    </row>
    <row r="218" spans="1:13" ht="18" x14ac:dyDescent="0.25">
      <c r="A218" s="80" t="s">
        <v>213</v>
      </c>
      <c r="B218" s="81">
        <v>411240</v>
      </c>
      <c r="C218" s="51">
        <v>5</v>
      </c>
      <c r="D218" s="57">
        <v>3.9215686274509803E-2</v>
      </c>
      <c r="E218" s="56">
        <v>3.9215686274509802</v>
      </c>
      <c r="F218" s="17">
        <v>243</v>
      </c>
      <c r="G218" s="17">
        <v>956</v>
      </c>
      <c r="H218" s="58">
        <v>0.25418410041841005</v>
      </c>
      <c r="I218" s="56">
        <v>38.516419066468828</v>
      </c>
      <c r="J218" s="57">
        <v>0.50765071394827888</v>
      </c>
      <c r="K218" s="56">
        <v>54.17962146869111</v>
      </c>
      <c r="L218" s="41">
        <f t="shared" si="6"/>
        <v>32.205869720870304</v>
      </c>
      <c r="M218" s="131">
        <f t="shared" si="7"/>
        <v>39.319095405145234</v>
      </c>
    </row>
    <row r="219" spans="1:13" ht="18" x14ac:dyDescent="0.25">
      <c r="A219" s="80" t="s">
        <v>201</v>
      </c>
      <c r="B219" s="81">
        <v>411510</v>
      </c>
      <c r="C219" s="51">
        <v>1</v>
      </c>
      <c r="D219" s="57">
        <v>2.9411764705882353E-2</v>
      </c>
      <c r="E219" s="56">
        <v>2.9411764705882351</v>
      </c>
      <c r="F219" s="17">
        <v>441</v>
      </c>
      <c r="G219" s="17">
        <v>1350</v>
      </c>
      <c r="H219" s="58">
        <v>0.32666666666666666</v>
      </c>
      <c r="I219" s="56">
        <v>50.983291239538453</v>
      </c>
      <c r="J219" s="57">
        <v>0.40625276791828835</v>
      </c>
      <c r="K219" s="56">
        <v>71.056576912633446</v>
      </c>
      <c r="L219" s="41">
        <f t="shared" si="6"/>
        <v>41.660348207586708</v>
      </c>
      <c r="M219" s="131">
        <f t="shared" si="7"/>
        <v>53.993247689174119</v>
      </c>
    </row>
    <row r="220" spans="1:13" ht="18" x14ac:dyDescent="0.25">
      <c r="A220" s="80" t="s">
        <v>240</v>
      </c>
      <c r="B220" s="81">
        <v>411500</v>
      </c>
      <c r="C220" s="51">
        <v>2</v>
      </c>
      <c r="D220" s="57">
        <v>3.2258064516129031E-2</v>
      </c>
      <c r="E220" s="56">
        <v>3.225806451612903</v>
      </c>
      <c r="F220" s="17">
        <v>187</v>
      </c>
      <c r="G220" s="17">
        <v>925</v>
      </c>
      <c r="H220" s="58">
        <v>0.20216216216216215</v>
      </c>
      <c r="I220" s="56">
        <v>29.568738430898584</v>
      </c>
      <c r="J220" s="57">
        <v>0.39796400245270774</v>
      </c>
      <c r="K220" s="56">
        <v>72.436182032115028</v>
      </c>
      <c r="L220" s="41">
        <f t="shared" si="6"/>
        <v>35.076908971542167</v>
      </c>
      <c r="M220" s="131">
        <f t="shared" si="7"/>
        <v>43.775191765930877</v>
      </c>
    </row>
    <row r="221" spans="1:13" ht="18" x14ac:dyDescent="0.25">
      <c r="A221" s="80" t="s">
        <v>259</v>
      </c>
      <c r="B221" s="81">
        <v>412175</v>
      </c>
      <c r="C221" s="51">
        <v>2</v>
      </c>
      <c r="D221" s="57">
        <v>0</v>
      </c>
      <c r="E221" s="56">
        <v>0</v>
      </c>
      <c r="F221" s="17">
        <v>383</v>
      </c>
      <c r="G221" s="17">
        <v>1123</v>
      </c>
      <c r="H221" s="58">
        <v>0.3410507569011576</v>
      </c>
      <c r="I221" s="56">
        <v>53.457329115972094</v>
      </c>
      <c r="J221" s="57">
        <v>0.43852562453357641</v>
      </c>
      <c r="K221" s="56">
        <v>65.684993123511532</v>
      </c>
      <c r="L221" s="41">
        <f t="shared" si="6"/>
        <v>39.714107413161209</v>
      </c>
      <c r="M221" s="131">
        <f t="shared" si="7"/>
        <v>50.972516948825486</v>
      </c>
    </row>
    <row r="222" spans="1:13" ht="18" x14ac:dyDescent="0.25">
      <c r="A222" s="80" t="s">
        <v>253</v>
      </c>
      <c r="B222" s="81">
        <v>410890</v>
      </c>
      <c r="C222" s="51">
        <v>8</v>
      </c>
      <c r="D222" s="57">
        <v>2.5510204081632654E-2</v>
      </c>
      <c r="E222" s="56">
        <v>2.5510204081632653</v>
      </c>
      <c r="F222" s="17">
        <v>233</v>
      </c>
      <c r="G222" s="17">
        <v>906</v>
      </c>
      <c r="H222" s="58">
        <v>0.25717439293598232</v>
      </c>
      <c r="I222" s="56">
        <v>39.030744048409659</v>
      </c>
      <c r="J222" s="57">
        <v>0.45253906648768377</v>
      </c>
      <c r="K222" s="56">
        <v>63.352556967400517</v>
      </c>
      <c r="L222" s="41">
        <f t="shared" si="6"/>
        <v>34.978107141324479</v>
      </c>
      <c r="M222" s="131">
        <f t="shared" si="7"/>
        <v>43.621842947739353</v>
      </c>
    </row>
    <row r="223" spans="1:13" ht="18" x14ac:dyDescent="0.25">
      <c r="A223" s="80" t="s">
        <v>238</v>
      </c>
      <c r="B223" s="81">
        <v>410410</v>
      </c>
      <c r="C223" s="51">
        <v>5</v>
      </c>
      <c r="D223" s="57">
        <v>2.3076923076923078E-2</v>
      </c>
      <c r="E223" s="56">
        <v>2.3076923076923079</v>
      </c>
      <c r="F223" s="17">
        <v>449</v>
      </c>
      <c r="G223" s="17">
        <v>1182</v>
      </c>
      <c r="H223" s="58">
        <v>0.37986463620981387</v>
      </c>
      <c r="I223" s="56">
        <v>60.133247159831484</v>
      </c>
      <c r="J223" s="57">
        <v>0.44491732765631664</v>
      </c>
      <c r="K223" s="56">
        <v>64.621140323362226</v>
      </c>
      <c r="L223" s="41">
        <f t="shared" si="6"/>
        <v>42.354026596962008</v>
      </c>
      <c r="M223" s="131">
        <f t="shared" si="7"/>
        <v>55.069895368486613</v>
      </c>
    </row>
    <row r="224" spans="1:13" ht="18" x14ac:dyDescent="0.25">
      <c r="A224" s="80" t="s">
        <v>241</v>
      </c>
      <c r="B224" s="81">
        <v>410010</v>
      </c>
      <c r="C224" s="51">
        <v>3</v>
      </c>
      <c r="D224" s="57">
        <v>4.5454545454545456E-2</v>
      </c>
      <c r="E224" s="56">
        <v>4.5454545454545459</v>
      </c>
      <c r="F224" s="17">
        <v>280</v>
      </c>
      <c r="G224" s="17">
        <v>944</v>
      </c>
      <c r="H224" s="58">
        <v>0.29661016949152541</v>
      </c>
      <c r="I224" s="56">
        <v>45.813627310017644</v>
      </c>
      <c r="J224" s="57">
        <v>0.41007672130977268</v>
      </c>
      <c r="K224" s="56">
        <v>70.420107501421654</v>
      </c>
      <c r="L224" s="41">
        <f t="shared" si="6"/>
        <v>40.259729785631279</v>
      </c>
      <c r="M224" s="131">
        <f t="shared" si="7"/>
        <v>51.819369135802077</v>
      </c>
    </row>
    <row r="225" spans="1:13" ht="18" x14ac:dyDescent="0.25">
      <c r="A225" s="80" t="s">
        <v>268</v>
      </c>
      <c r="B225" s="81">
        <v>412788</v>
      </c>
      <c r="C225" s="51">
        <v>2</v>
      </c>
      <c r="D225" s="57">
        <v>6.25E-2</v>
      </c>
      <c r="E225" s="56">
        <v>6.25</v>
      </c>
      <c r="F225" s="17">
        <v>486</v>
      </c>
      <c r="G225" s="17">
        <v>1079</v>
      </c>
      <c r="H225" s="58">
        <v>0.45041705282669137</v>
      </c>
      <c r="I225" s="56">
        <v>72.268137037366969</v>
      </c>
      <c r="J225" s="57">
        <v>0.48760015070143353</v>
      </c>
      <c r="K225" s="56">
        <v>57.516892841455117</v>
      </c>
      <c r="L225" s="41">
        <f t="shared" si="6"/>
        <v>45.34500995960736</v>
      </c>
      <c r="M225" s="131">
        <f t="shared" si="7"/>
        <v>59.712155161464139</v>
      </c>
    </row>
    <row r="226" spans="1:13" ht="18" x14ac:dyDescent="0.25">
      <c r="A226" s="80" t="s">
        <v>243</v>
      </c>
      <c r="B226" s="81">
        <v>411885</v>
      </c>
      <c r="C226" s="51">
        <v>7</v>
      </c>
      <c r="D226" s="57">
        <v>1.7857142857142856E-2</v>
      </c>
      <c r="E226" s="56">
        <v>1.7857142857142856</v>
      </c>
      <c r="F226" s="17">
        <v>202</v>
      </c>
      <c r="G226" s="17">
        <v>945</v>
      </c>
      <c r="H226" s="58">
        <v>0.21375661375661376</v>
      </c>
      <c r="I226" s="56">
        <v>31.562963434602121</v>
      </c>
      <c r="J226" s="57">
        <v>0.45840152196092232</v>
      </c>
      <c r="K226" s="56">
        <v>62.376793614317613</v>
      </c>
      <c r="L226" s="41">
        <f t="shared" si="6"/>
        <v>31.908490444878009</v>
      </c>
      <c r="M226" s="131">
        <f t="shared" si="7"/>
        <v>38.857537553154103</v>
      </c>
    </row>
    <row r="227" spans="1:13" ht="18" x14ac:dyDescent="0.25">
      <c r="A227" s="80" t="s">
        <v>226</v>
      </c>
      <c r="B227" s="81">
        <v>410832</v>
      </c>
      <c r="C227" s="51">
        <v>0</v>
      </c>
      <c r="D227" s="57">
        <v>1.6666666666666666E-2</v>
      </c>
      <c r="E227" s="56">
        <v>1.6666666666666667</v>
      </c>
      <c r="F227" s="17">
        <v>270</v>
      </c>
      <c r="G227" s="17">
        <v>1152</v>
      </c>
      <c r="H227" s="58">
        <v>0.234375</v>
      </c>
      <c r="I227" s="56">
        <v>35.109289110087651</v>
      </c>
      <c r="J227" s="57">
        <v>0.38302844113292156</v>
      </c>
      <c r="K227" s="56">
        <v>74.922098293670729</v>
      </c>
      <c r="L227" s="41">
        <f t="shared" si="6"/>
        <v>37.232684690141681</v>
      </c>
      <c r="M227" s="131">
        <f t="shared" si="7"/>
        <v>47.121138475671373</v>
      </c>
    </row>
    <row r="228" spans="1:13" ht="18" x14ac:dyDescent="0.25">
      <c r="A228" s="80" t="s">
        <v>288</v>
      </c>
      <c r="B228" s="81">
        <v>410870</v>
      </c>
      <c r="C228" s="51">
        <v>0</v>
      </c>
      <c r="D228" s="57">
        <v>2.6315789473684209E-2</v>
      </c>
      <c r="E228" s="56">
        <v>2.6315789473684208</v>
      </c>
      <c r="F228" s="17">
        <v>328</v>
      </c>
      <c r="G228" s="17">
        <v>731</v>
      </c>
      <c r="H228" s="58">
        <v>0.44870041039671682</v>
      </c>
      <c r="I228" s="56">
        <v>71.972877599834646</v>
      </c>
      <c r="J228" s="57">
        <v>0.3596436251634374</v>
      </c>
      <c r="K228" s="56">
        <v>78.814331939755093</v>
      </c>
      <c r="L228" s="41">
        <f t="shared" si="6"/>
        <v>51.139596162319386</v>
      </c>
      <c r="M228" s="131">
        <f t="shared" si="7"/>
        <v>68.705844287839284</v>
      </c>
    </row>
    <row r="229" spans="1:13" ht="18" x14ac:dyDescent="0.25">
      <c r="A229" s="80" t="s">
        <v>121</v>
      </c>
      <c r="B229" s="81">
        <v>412650</v>
      </c>
      <c r="C229" s="51">
        <v>4</v>
      </c>
      <c r="D229" s="57">
        <v>1.4925373134328358E-2</v>
      </c>
      <c r="E229" s="56">
        <v>1.4925373134328357</v>
      </c>
      <c r="F229" s="17">
        <v>327</v>
      </c>
      <c r="G229" s="17">
        <v>1864</v>
      </c>
      <c r="H229" s="58">
        <v>0.17542918454935622</v>
      </c>
      <c r="I229" s="56">
        <v>24.970713940942012</v>
      </c>
      <c r="J229" s="57">
        <v>0.50042578968907936</v>
      </c>
      <c r="K229" s="56">
        <v>55.382157906384869</v>
      </c>
      <c r="L229" s="41">
        <f t="shared" si="6"/>
        <v>27.281803053586572</v>
      </c>
      <c r="M229" s="131">
        <f t="shared" si="7"/>
        <v>31.676526411630373</v>
      </c>
    </row>
    <row r="230" spans="1:13" ht="18" x14ac:dyDescent="0.25">
      <c r="A230" s="80" t="s">
        <v>248</v>
      </c>
      <c r="B230" s="81">
        <v>411680</v>
      </c>
      <c r="C230" s="51">
        <v>2</v>
      </c>
      <c r="D230" s="57">
        <v>0</v>
      </c>
      <c r="E230" s="56">
        <v>0</v>
      </c>
      <c r="F230" s="17">
        <v>322</v>
      </c>
      <c r="G230" s="17">
        <v>859</v>
      </c>
      <c r="H230" s="58">
        <v>0.37485448195576254</v>
      </c>
      <c r="I230" s="56">
        <v>59.271509560217709</v>
      </c>
      <c r="J230" s="57">
        <v>0.41628790537790322</v>
      </c>
      <c r="K230" s="56">
        <v>69.386300793532726</v>
      </c>
      <c r="L230" s="41">
        <f t="shared" si="6"/>
        <v>42.885936784583485</v>
      </c>
      <c r="M230" s="131">
        <f t="shared" si="7"/>
        <v>55.895465081882264</v>
      </c>
    </row>
    <row r="231" spans="1:13" ht="18" x14ac:dyDescent="0.25">
      <c r="A231" s="80" t="s">
        <v>281</v>
      </c>
      <c r="B231" s="81">
        <v>412575</v>
      </c>
      <c r="C231" s="51">
        <v>3</v>
      </c>
      <c r="D231" s="57">
        <v>0</v>
      </c>
      <c r="E231" s="56">
        <v>0</v>
      </c>
      <c r="F231" s="17">
        <v>269</v>
      </c>
      <c r="G231" s="17">
        <v>754</v>
      </c>
      <c r="H231" s="58">
        <v>0.35676392572944299</v>
      </c>
      <c r="I231" s="56">
        <v>56.159966141062355</v>
      </c>
      <c r="J231" s="57">
        <v>0.42718908253924148</v>
      </c>
      <c r="K231" s="56">
        <v>67.57187862383698</v>
      </c>
      <c r="L231" s="41">
        <f t="shared" si="6"/>
        <v>41.243948254966448</v>
      </c>
      <c r="M231" s="131">
        <f t="shared" si="7"/>
        <v>53.346959654948101</v>
      </c>
    </row>
    <row r="232" spans="1:13" ht="18" x14ac:dyDescent="0.25">
      <c r="A232" s="80" t="s">
        <v>233</v>
      </c>
      <c r="B232" s="81">
        <v>410305</v>
      </c>
      <c r="C232" s="51">
        <v>7</v>
      </c>
      <c r="D232" s="57">
        <v>1.9417475728155338E-2</v>
      </c>
      <c r="E232" s="56">
        <v>1.9417475728155338</v>
      </c>
      <c r="F232" s="17">
        <v>410</v>
      </c>
      <c r="G232" s="17">
        <v>1093</v>
      </c>
      <c r="H232" s="58">
        <v>0.37511436413540716</v>
      </c>
      <c r="I232" s="56">
        <v>59.316208831799663</v>
      </c>
      <c r="J232" s="57">
        <v>0.37263815337465295</v>
      </c>
      <c r="K232" s="56">
        <v>76.651486613767204</v>
      </c>
      <c r="L232" s="41">
        <f t="shared" si="6"/>
        <v>45.969814339460804</v>
      </c>
      <c r="M232" s="131">
        <f t="shared" si="7"/>
        <v>60.681904537971739</v>
      </c>
    </row>
    <row r="233" spans="1:13" ht="18" x14ac:dyDescent="0.25">
      <c r="A233" s="80" t="s">
        <v>193</v>
      </c>
      <c r="B233" s="81">
        <v>411275</v>
      </c>
      <c r="C233" s="51">
        <v>1</v>
      </c>
      <c r="D233" s="57">
        <v>6.6666666666666666E-2</v>
      </c>
      <c r="E233" s="56">
        <v>6.666666666666667</v>
      </c>
      <c r="F233" s="17">
        <v>267</v>
      </c>
      <c r="G233" s="17">
        <v>1200</v>
      </c>
      <c r="H233" s="58">
        <v>0.2225</v>
      </c>
      <c r="I233" s="56">
        <v>33.066810280790378</v>
      </c>
      <c r="J233" s="57">
        <v>0.42909572482161934</v>
      </c>
      <c r="K233" s="56">
        <v>67.254531792790615</v>
      </c>
      <c r="L233" s="41">
        <f t="shared" si="6"/>
        <v>35.662669580082557</v>
      </c>
      <c r="M233" s="131">
        <f t="shared" si="7"/>
        <v>44.684341898726025</v>
      </c>
    </row>
    <row r="234" spans="1:13" ht="18" x14ac:dyDescent="0.25">
      <c r="A234" s="80" t="s">
        <v>199</v>
      </c>
      <c r="B234" s="81">
        <v>412050</v>
      </c>
      <c r="C234" s="51">
        <v>7</v>
      </c>
      <c r="D234" s="57">
        <v>0</v>
      </c>
      <c r="E234" s="56">
        <v>0</v>
      </c>
      <c r="F234" s="17">
        <v>273</v>
      </c>
      <c r="G234" s="17">
        <v>1045</v>
      </c>
      <c r="H234" s="58">
        <v>0.261244019138756</v>
      </c>
      <c r="I234" s="56">
        <v>39.73071249997335</v>
      </c>
      <c r="J234" s="57">
        <v>0.41520850671243675</v>
      </c>
      <c r="K234" s="56">
        <v>69.565958901971541</v>
      </c>
      <c r="L234" s="41">
        <f t="shared" si="6"/>
        <v>36.432223800648295</v>
      </c>
      <c r="M234" s="131">
        <f t="shared" si="7"/>
        <v>45.878755301777808</v>
      </c>
    </row>
    <row r="235" spans="1:13" ht="18" x14ac:dyDescent="0.25">
      <c r="A235" s="80" t="s">
        <v>260</v>
      </c>
      <c r="B235" s="81">
        <v>412535</v>
      </c>
      <c r="C235" s="51">
        <v>7</v>
      </c>
      <c r="D235" s="57">
        <v>3.5714285714285712E-2</v>
      </c>
      <c r="E235" s="56">
        <v>3.5714285714285712</v>
      </c>
      <c r="F235" s="17">
        <v>108</v>
      </c>
      <c r="G235" s="17">
        <v>801</v>
      </c>
      <c r="H235" s="58">
        <v>0.1348314606741573</v>
      </c>
      <c r="I235" s="56">
        <v>17.98797781186828</v>
      </c>
      <c r="J235" s="57">
        <v>0.29059139087233665</v>
      </c>
      <c r="K235" s="56">
        <v>90.307577385682421</v>
      </c>
      <c r="L235" s="41">
        <f t="shared" si="6"/>
        <v>37.288994589659758</v>
      </c>
      <c r="M235" s="131">
        <f t="shared" si="7"/>
        <v>47.208536214403082</v>
      </c>
    </row>
    <row r="236" spans="1:13" ht="18" x14ac:dyDescent="0.25">
      <c r="A236" s="80" t="s">
        <v>269</v>
      </c>
      <c r="B236" s="81">
        <v>410975</v>
      </c>
      <c r="C236" s="51">
        <v>7</v>
      </c>
      <c r="D236" s="57">
        <v>7.6923076923076927E-2</v>
      </c>
      <c r="E236" s="56">
        <v>7.6923076923076925</v>
      </c>
      <c r="F236" s="17">
        <v>312</v>
      </c>
      <c r="G236" s="17">
        <v>909</v>
      </c>
      <c r="H236" s="58">
        <v>0.34323432343234322</v>
      </c>
      <c r="I236" s="56">
        <v>53.832898666482301</v>
      </c>
      <c r="J236" s="57">
        <v>0.43130731140717177</v>
      </c>
      <c r="K236" s="56">
        <v>66.886429185921742</v>
      </c>
      <c r="L236" s="41">
        <f t="shared" si="6"/>
        <v>42.803878514903907</v>
      </c>
      <c r="M236" s="131">
        <f t="shared" si="7"/>
        <v>55.768103689380943</v>
      </c>
    </row>
    <row r="237" spans="1:13" ht="18" x14ac:dyDescent="0.25">
      <c r="A237" s="80" t="s">
        <v>228</v>
      </c>
      <c r="B237" s="81">
        <v>412795</v>
      </c>
      <c r="C237" s="51">
        <v>7</v>
      </c>
      <c r="D237" s="57">
        <v>0</v>
      </c>
      <c r="E237" s="56">
        <v>0</v>
      </c>
      <c r="F237" s="17">
        <v>118</v>
      </c>
      <c r="G237" s="17">
        <v>925</v>
      </c>
      <c r="H237" s="58">
        <v>0.12756756756756757</v>
      </c>
      <c r="I237" s="56">
        <v>16.738601147574556</v>
      </c>
      <c r="J237" s="57">
        <v>0.48951387949530872</v>
      </c>
      <c r="K237" s="56">
        <v>57.198366511775134</v>
      </c>
      <c r="L237" s="41">
        <f t="shared" si="6"/>
        <v>24.645655886449898</v>
      </c>
      <c r="M237" s="131">
        <f t="shared" si="7"/>
        <v>27.585002481672198</v>
      </c>
    </row>
    <row r="238" spans="1:13" ht="18" x14ac:dyDescent="0.25">
      <c r="A238" s="80" t="s">
        <v>270</v>
      </c>
      <c r="B238" s="81">
        <v>412450</v>
      </c>
      <c r="C238" s="51">
        <v>9</v>
      </c>
      <c r="D238" s="57">
        <v>3.5211267605633804E-2</v>
      </c>
      <c r="E238" s="56">
        <v>3.5211267605633805</v>
      </c>
      <c r="F238" s="17">
        <v>67</v>
      </c>
      <c r="G238" s="17">
        <v>879</v>
      </c>
      <c r="H238" s="58">
        <v>7.6222980659840733E-2</v>
      </c>
      <c r="I238" s="56">
        <v>7.9074237363706459</v>
      </c>
      <c r="J238" s="57">
        <v>0.70762100202393496</v>
      </c>
      <c r="K238" s="56">
        <v>20.896011946985716</v>
      </c>
      <c r="L238" s="41">
        <f t="shared" si="6"/>
        <v>10.774854147973249</v>
      </c>
      <c r="M238" s="131">
        <f t="shared" si="7"/>
        <v>6.0563420380573554</v>
      </c>
    </row>
    <row r="239" spans="1:13" ht="18" x14ac:dyDescent="0.25">
      <c r="A239" s="80" t="s">
        <v>235</v>
      </c>
      <c r="B239" s="81">
        <v>411295</v>
      </c>
      <c r="C239" s="51">
        <v>9</v>
      </c>
      <c r="D239" s="57">
        <v>4.6511627906976744E-2</v>
      </c>
      <c r="E239" s="56">
        <v>4.6511627906976747</v>
      </c>
      <c r="F239" s="17">
        <v>254</v>
      </c>
      <c r="G239" s="17">
        <v>1002</v>
      </c>
      <c r="H239" s="58">
        <v>0.25349301397205587</v>
      </c>
      <c r="I239" s="56">
        <v>38.39755342976207</v>
      </c>
      <c r="J239" s="57">
        <v>0.43268521637131718</v>
      </c>
      <c r="K239" s="56">
        <v>66.657086860989537</v>
      </c>
      <c r="L239" s="41">
        <f t="shared" si="6"/>
        <v>36.568601027149761</v>
      </c>
      <c r="M239" s="131">
        <f t="shared" si="7"/>
        <v>46.090424321128552</v>
      </c>
    </row>
    <row r="240" spans="1:13" ht="18" x14ac:dyDescent="0.25">
      <c r="A240" s="80" t="s">
        <v>216</v>
      </c>
      <c r="B240" s="81">
        <v>412370</v>
      </c>
      <c r="C240" s="51">
        <v>9</v>
      </c>
      <c r="D240" s="57">
        <v>0</v>
      </c>
      <c r="E240" s="56">
        <v>0</v>
      </c>
      <c r="F240" s="17">
        <v>143</v>
      </c>
      <c r="G240" s="17">
        <v>1077</v>
      </c>
      <c r="H240" s="58">
        <v>0.13277623026926649</v>
      </c>
      <c r="I240" s="56">
        <v>17.634481846283645</v>
      </c>
      <c r="J240" s="57">
        <v>0.39290897331115826</v>
      </c>
      <c r="K240" s="56">
        <v>73.277555106521561</v>
      </c>
      <c r="L240" s="41">
        <f t="shared" si="6"/>
        <v>30.304012317601735</v>
      </c>
      <c r="M240" s="131">
        <f t="shared" si="7"/>
        <v>36.367251451268579</v>
      </c>
    </row>
    <row r="241" spans="1:13" ht="18" x14ac:dyDescent="0.25">
      <c r="A241" s="80" t="s">
        <v>188</v>
      </c>
      <c r="B241" s="81">
        <v>410250</v>
      </c>
      <c r="C241" s="51">
        <v>5</v>
      </c>
      <c r="D241" s="57">
        <v>4.8387096774193547E-2</v>
      </c>
      <c r="E241" s="56">
        <v>4.838709677419355</v>
      </c>
      <c r="F241" s="17">
        <v>402</v>
      </c>
      <c r="G241" s="17">
        <v>1203</v>
      </c>
      <c r="H241" s="58">
        <v>0.33416458852867831</v>
      </c>
      <c r="I241" s="56">
        <v>52.272920432539216</v>
      </c>
      <c r="J241" s="57">
        <v>0.39940530804745644</v>
      </c>
      <c r="K241" s="56">
        <v>72.196287130333843</v>
      </c>
      <c r="L241" s="41">
        <f t="shared" si="6"/>
        <v>43.102639080097475</v>
      </c>
      <c r="M241" s="131">
        <f t="shared" si="7"/>
        <v>56.23180541933597</v>
      </c>
    </row>
    <row r="242" spans="1:13" ht="18" x14ac:dyDescent="0.25">
      <c r="A242" s="80" t="s">
        <v>225</v>
      </c>
      <c r="B242" s="81">
        <v>412855</v>
      </c>
      <c r="C242" s="51">
        <v>9</v>
      </c>
      <c r="D242" s="57">
        <v>3.125E-2</v>
      </c>
      <c r="E242" s="56">
        <v>3.125</v>
      </c>
      <c r="F242" s="17">
        <v>174</v>
      </c>
      <c r="G242" s="17">
        <v>1019</v>
      </c>
      <c r="H242" s="58">
        <v>0.17075564278704614</v>
      </c>
      <c r="I242" s="56">
        <v>24.166873089796319</v>
      </c>
      <c r="J242" s="57">
        <v>0.38167275303682802</v>
      </c>
      <c r="K242" s="56">
        <v>75.147742781448486</v>
      </c>
      <c r="L242" s="41">
        <f t="shared" si="6"/>
        <v>34.146538623748263</v>
      </c>
      <c r="M242" s="131">
        <f t="shared" si="7"/>
        <v>42.331178097355256</v>
      </c>
    </row>
    <row r="243" spans="1:13" ht="18" x14ac:dyDescent="0.25">
      <c r="A243" s="80" t="s">
        <v>261</v>
      </c>
      <c r="B243" s="81">
        <v>410304</v>
      </c>
      <c r="C243" s="51">
        <v>0</v>
      </c>
      <c r="D243" s="57">
        <v>0</v>
      </c>
      <c r="E243" s="56">
        <v>0</v>
      </c>
      <c r="F243" s="17">
        <v>347</v>
      </c>
      <c r="G243" s="17">
        <v>888</v>
      </c>
      <c r="H243" s="58">
        <v>0.39076576576576577</v>
      </c>
      <c r="I243" s="56">
        <v>62.008222008964843</v>
      </c>
      <c r="J243" s="57">
        <v>0.47880504601269158</v>
      </c>
      <c r="K243" s="56">
        <v>58.98077446596853</v>
      </c>
      <c r="L243" s="41">
        <f t="shared" si="6"/>
        <v>40.329665491644455</v>
      </c>
      <c r="M243" s="131">
        <f t="shared" si="7"/>
        <v>51.927915281585825</v>
      </c>
    </row>
    <row r="244" spans="1:13" ht="18" x14ac:dyDescent="0.25">
      <c r="A244" s="80" t="s">
        <v>256</v>
      </c>
      <c r="B244" s="81">
        <v>410865</v>
      </c>
      <c r="C244" s="51">
        <v>0</v>
      </c>
      <c r="D244" s="57">
        <v>1.8518518518518517E-2</v>
      </c>
      <c r="E244" s="56">
        <v>1.8518518518518516</v>
      </c>
      <c r="F244" s="17">
        <v>446</v>
      </c>
      <c r="G244" s="17">
        <v>946</v>
      </c>
      <c r="H244" s="58">
        <v>0.47145877378435519</v>
      </c>
      <c r="I244" s="56">
        <v>75.887275528988809</v>
      </c>
      <c r="J244" s="57">
        <v>0.40406125421357603</v>
      </c>
      <c r="K244" s="56">
        <v>71.421338533527418</v>
      </c>
      <c r="L244" s="41">
        <f t="shared" si="6"/>
        <v>49.720155304789358</v>
      </c>
      <c r="M244" s="131">
        <f t="shared" si="7"/>
        <v>66.502751718446575</v>
      </c>
    </row>
    <row r="245" spans="1:13" ht="18" x14ac:dyDescent="0.25">
      <c r="A245" s="80" t="s">
        <v>245</v>
      </c>
      <c r="B245" s="81">
        <v>411727</v>
      </c>
      <c r="C245" s="51">
        <v>1</v>
      </c>
      <c r="D245" s="57">
        <v>5.1948051948051951E-2</v>
      </c>
      <c r="E245" s="56">
        <v>5.1948051948051948</v>
      </c>
      <c r="F245" s="17">
        <v>215</v>
      </c>
      <c r="G245" s="17">
        <v>813</v>
      </c>
      <c r="H245" s="58">
        <v>0.26445264452644529</v>
      </c>
      <c r="I245" s="56">
        <v>40.28259034633134</v>
      </c>
      <c r="J245" s="57">
        <v>0.36202978347681525</v>
      </c>
      <c r="K245" s="56">
        <v>78.41717313019538</v>
      </c>
      <c r="L245" s="41">
        <f t="shared" si="6"/>
        <v>41.298189557110639</v>
      </c>
      <c r="M245" s="131">
        <f t="shared" si="7"/>
        <v>53.431146755153179</v>
      </c>
    </row>
    <row r="246" spans="1:13" ht="18" x14ac:dyDescent="0.25">
      <c r="A246" s="80" t="s">
        <v>232</v>
      </c>
      <c r="B246" s="81">
        <v>412860</v>
      </c>
      <c r="C246" s="51">
        <v>9</v>
      </c>
      <c r="D246" s="57">
        <v>1.2987012987012988E-2</v>
      </c>
      <c r="E246" s="56">
        <v>1.2987012987012987</v>
      </c>
      <c r="F246" s="17">
        <v>139</v>
      </c>
      <c r="G246" s="17">
        <v>949</v>
      </c>
      <c r="H246" s="58">
        <v>0.14646996838777659</v>
      </c>
      <c r="I246" s="56">
        <v>19.989780389525585</v>
      </c>
      <c r="J246" s="57">
        <v>0.4856259457221121</v>
      </c>
      <c r="K246" s="56">
        <v>57.845484995218875</v>
      </c>
      <c r="L246" s="41">
        <f t="shared" si="6"/>
        <v>26.37798889448192</v>
      </c>
      <c r="M246" s="131">
        <f t="shared" si="7"/>
        <v>30.273730199676706</v>
      </c>
    </row>
    <row r="247" spans="1:13" ht="18" x14ac:dyDescent="0.25">
      <c r="A247" s="80" t="s">
        <v>296</v>
      </c>
      <c r="B247" s="81">
        <v>411000</v>
      </c>
      <c r="C247" s="51">
        <v>3</v>
      </c>
      <c r="D247" s="57">
        <v>0</v>
      </c>
      <c r="E247" s="56">
        <v>0</v>
      </c>
      <c r="F247" s="17">
        <v>146</v>
      </c>
      <c r="G247" s="17">
        <v>735</v>
      </c>
      <c r="H247" s="58">
        <v>0.19863945578231293</v>
      </c>
      <c r="I247" s="56">
        <v>28.962839213831426</v>
      </c>
      <c r="J247" s="57">
        <v>0.57439243284031094</v>
      </c>
      <c r="K247" s="56">
        <v>43.070944615810923</v>
      </c>
      <c r="L247" s="41">
        <f t="shared" si="6"/>
        <v>24.011261276547447</v>
      </c>
      <c r="M247" s="131">
        <f t="shared" si="7"/>
        <v>26.600368254945135</v>
      </c>
    </row>
    <row r="248" spans="1:13" ht="18" x14ac:dyDescent="0.25">
      <c r="A248" s="80" t="s">
        <v>227</v>
      </c>
      <c r="B248" s="81">
        <v>412070</v>
      </c>
      <c r="C248" s="51">
        <v>5</v>
      </c>
      <c r="D248" s="57">
        <v>3.125E-2</v>
      </c>
      <c r="E248" s="56">
        <v>3.125</v>
      </c>
      <c r="F248" s="17">
        <v>244</v>
      </c>
      <c r="G248" s="17">
        <v>973</v>
      </c>
      <c r="H248" s="58">
        <v>0.25077081192189105</v>
      </c>
      <c r="I248" s="56">
        <v>37.929339530264699</v>
      </c>
      <c r="J248" s="57">
        <v>0.44768087724967187</v>
      </c>
      <c r="K248" s="56">
        <v>64.161167462172443</v>
      </c>
      <c r="L248" s="41">
        <f t="shared" si="6"/>
        <v>35.071835664145716</v>
      </c>
      <c r="M248" s="131">
        <f t="shared" si="7"/>
        <v>43.767317562671138</v>
      </c>
    </row>
    <row r="249" spans="1:13" ht="18" x14ac:dyDescent="0.25">
      <c r="A249" s="80" t="s">
        <v>224</v>
      </c>
      <c r="B249" s="81">
        <v>410600</v>
      </c>
      <c r="C249" s="51">
        <v>1</v>
      </c>
      <c r="D249" s="57">
        <v>0</v>
      </c>
      <c r="E249" s="56">
        <v>0</v>
      </c>
      <c r="F249" s="17">
        <v>427</v>
      </c>
      <c r="G249" s="17">
        <v>1117</v>
      </c>
      <c r="H249" s="58">
        <v>0.38227394807520143</v>
      </c>
      <c r="I249" s="56">
        <v>60.547644505366534</v>
      </c>
      <c r="J249" s="57">
        <v>0.39471389492093029</v>
      </c>
      <c r="K249" s="56">
        <v>72.977138946425754</v>
      </c>
      <c r="L249" s="41">
        <f t="shared" si="6"/>
        <v>44.508261150597434</v>
      </c>
      <c r="M249" s="131">
        <f t="shared" si="7"/>
        <v>58.413450059523001</v>
      </c>
    </row>
    <row r="250" spans="1:13" ht="18" x14ac:dyDescent="0.25">
      <c r="A250" s="80" t="s">
        <v>186</v>
      </c>
      <c r="B250" s="81">
        <v>410510</v>
      </c>
      <c r="C250" s="51">
        <v>2</v>
      </c>
      <c r="D250" s="57">
        <v>0</v>
      </c>
      <c r="E250" s="56">
        <v>0</v>
      </c>
      <c r="F250" s="17">
        <v>326</v>
      </c>
      <c r="G250" s="17">
        <v>1366</v>
      </c>
      <c r="H250" s="58">
        <v>0.23865300146412885</v>
      </c>
      <c r="I250" s="56">
        <v>35.845097735113839</v>
      </c>
      <c r="J250" s="57">
        <v>0.51911051283448073</v>
      </c>
      <c r="K250" s="56">
        <v>52.272220749333684</v>
      </c>
      <c r="L250" s="41">
        <f t="shared" si="6"/>
        <v>29.37243949481584</v>
      </c>
      <c r="M250" s="131">
        <f t="shared" si="7"/>
        <v>34.921371439544039</v>
      </c>
    </row>
    <row r="251" spans="1:13" ht="18" x14ac:dyDescent="0.25">
      <c r="A251" s="80" t="s">
        <v>251</v>
      </c>
      <c r="B251" s="81">
        <v>411300</v>
      </c>
      <c r="C251" s="51">
        <v>7</v>
      </c>
      <c r="D251" s="57">
        <v>0</v>
      </c>
      <c r="E251" s="56">
        <v>0</v>
      </c>
      <c r="F251" s="17">
        <v>119</v>
      </c>
      <c r="G251" s="17">
        <v>817</v>
      </c>
      <c r="H251" s="58">
        <v>0.14565483476132191</v>
      </c>
      <c r="I251" s="56">
        <v>19.849578858992363</v>
      </c>
      <c r="J251" s="57">
        <v>0.59667315439305191</v>
      </c>
      <c r="K251" s="56">
        <v>39.362479507520895</v>
      </c>
      <c r="L251" s="41">
        <f t="shared" si="6"/>
        <v>19.737352788837754</v>
      </c>
      <c r="M251" s="131">
        <f t="shared" si="7"/>
        <v>19.966899884926423</v>
      </c>
    </row>
    <row r="252" spans="1:13" ht="18" x14ac:dyDescent="0.25">
      <c r="A252" s="80" t="s">
        <v>246</v>
      </c>
      <c r="B252" s="81">
        <v>412160</v>
      </c>
      <c r="C252" s="51">
        <v>4</v>
      </c>
      <c r="D252" s="57">
        <v>0</v>
      </c>
      <c r="E252" s="56">
        <v>0</v>
      </c>
      <c r="F252" s="17">
        <v>80</v>
      </c>
      <c r="G252" s="17">
        <v>912</v>
      </c>
      <c r="H252" s="58">
        <v>8.771929824561403E-2</v>
      </c>
      <c r="I252" s="56">
        <v>9.8847698655344338</v>
      </c>
      <c r="J252" s="57">
        <v>0.48108464922290661</v>
      </c>
      <c r="K252" s="56">
        <v>58.601350983393374</v>
      </c>
      <c r="L252" s="41">
        <f t="shared" si="6"/>
        <v>22.828706949642605</v>
      </c>
      <c r="M252" s="131">
        <f t="shared" si="7"/>
        <v>24.764943667378517</v>
      </c>
    </row>
    <row r="253" spans="1:13" ht="18" x14ac:dyDescent="0.25">
      <c r="A253" s="80" t="s">
        <v>272</v>
      </c>
      <c r="B253" s="81">
        <v>412627</v>
      </c>
      <c r="C253" s="51">
        <v>2</v>
      </c>
      <c r="D253" s="57">
        <v>0</v>
      </c>
      <c r="E253" s="56">
        <v>0</v>
      </c>
      <c r="F253" s="17">
        <v>223</v>
      </c>
      <c r="G253" s="17">
        <v>902</v>
      </c>
      <c r="H253" s="58">
        <v>0.24722838137472283</v>
      </c>
      <c r="I253" s="56">
        <v>37.320047791582844</v>
      </c>
      <c r="J253" s="57">
        <v>0.63705954797094799</v>
      </c>
      <c r="K253" s="56">
        <v>32.640456117085805</v>
      </c>
      <c r="L253" s="41">
        <f t="shared" si="6"/>
        <v>23.320167969556213</v>
      </c>
      <c r="M253" s="131">
        <f t="shared" si="7"/>
        <v>25.52773284268935</v>
      </c>
    </row>
    <row r="254" spans="1:13" ht="18" x14ac:dyDescent="0.25">
      <c r="A254" s="80" t="s">
        <v>250</v>
      </c>
      <c r="B254" s="81">
        <v>412620</v>
      </c>
      <c r="C254" s="51">
        <v>7</v>
      </c>
      <c r="D254" s="57">
        <v>3.125E-2</v>
      </c>
      <c r="E254" s="56">
        <v>3.125</v>
      </c>
      <c r="F254" s="17">
        <v>307</v>
      </c>
      <c r="G254" s="17">
        <v>835</v>
      </c>
      <c r="H254" s="58">
        <v>0.36766467065868264</v>
      </c>
      <c r="I254" s="56">
        <v>58.03487483508691</v>
      </c>
      <c r="J254" s="57">
        <v>0.39729222383317891</v>
      </c>
      <c r="K254" s="56">
        <v>72.547994729254157</v>
      </c>
      <c r="L254" s="41">
        <f t="shared" si="6"/>
        <v>44.569289854780358</v>
      </c>
      <c r="M254" s="131">
        <f t="shared" si="7"/>
        <v>58.50817178321568</v>
      </c>
    </row>
    <row r="255" spans="1:13" ht="18" x14ac:dyDescent="0.25">
      <c r="A255" s="80" t="s">
        <v>290</v>
      </c>
      <c r="B255" s="81">
        <v>411325</v>
      </c>
      <c r="C255" s="51">
        <v>4</v>
      </c>
      <c r="D255" s="57">
        <v>7.8947368421052627E-2</v>
      </c>
      <c r="E255" s="56">
        <v>7.8947368421052628</v>
      </c>
      <c r="F255" s="17">
        <v>397</v>
      </c>
      <c r="G255" s="17">
        <v>861</v>
      </c>
      <c r="H255" s="58">
        <v>0.46109175377468059</v>
      </c>
      <c r="I255" s="56">
        <v>74.104166569606775</v>
      </c>
      <c r="J255" s="57">
        <v>0.31986662621791667</v>
      </c>
      <c r="K255" s="56">
        <v>85.434925996943761</v>
      </c>
      <c r="L255" s="41">
        <f t="shared" si="6"/>
        <v>55.811276469551935</v>
      </c>
      <c r="M255" s="131">
        <f t="shared" si="7"/>
        <v>75.956688249983415</v>
      </c>
    </row>
    <row r="256" spans="1:13" ht="18" x14ac:dyDescent="0.25">
      <c r="A256" s="80" t="s">
        <v>222</v>
      </c>
      <c r="B256" s="81">
        <v>412780</v>
      </c>
      <c r="C256" s="51">
        <v>9</v>
      </c>
      <c r="D256" s="57">
        <v>4.1666666666666664E-2</v>
      </c>
      <c r="E256" s="56">
        <v>4.1666666666666661</v>
      </c>
      <c r="F256" s="17">
        <v>256</v>
      </c>
      <c r="G256" s="17">
        <v>1004</v>
      </c>
      <c r="H256" s="58">
        <v>0.2549800796812749</v>
      </c>
      <c r="I256" s="56">
        <v>38.653326080612921</v>
      </c>
      <c r="J256" s="57">
        <v>0.40001939388188867</v>
      </c>
      <c r="K256" s="56">
        <v>72.094076980402363</v>
      </c>
      <c r="L256" s="41">
        <f t="shared" si="6"/>
        <v>38.304689909227321</v>
      </c>
      <c r="M256" s="131">
        <f t="shared" si="7"/>
        <v>48.784981474123192</v>
      </c>
    </row>
    <row r="257" spans="1:13" ht="18" x14ac:dyDescent="0.25">
      <c r="A257" s="80" t="s">
        <v>242</v>
      </c>
      <c r="B257" s="81">
        <v>411700</v>
      </c>
      <c r="C257" s="51">
        <v>8</v>
      </c>
      <c r="D257" s="57">
        <v>0.16666666666666666</v>
      </c>
      <c r="E257" s="56">
        <v>16.666666666666664</v>
      </c>
      <c r="F257" s="17">
        <v>194</v>
      </c>
      <c r="G257" s="17">
        <v>801</v>
      </c>
      <c r="H257" s="58">
        <v>0.2421972534332085</v>
      </c>
      <c r="I257" s="56">
        <v>36.454702755117239</v>
      </c>
      <c r="J257" s="57">
        <v>0.42048790161776561</v>
      </c>
      <c r="K257" s="56">
        <v>68.687241767387192</v>
      </c>
      <c r="L257" s="41">
        <f t="shared" si="6"/>
        <v>40.602870396390365</v>
      </c>
      <c r="M257" s="131">
        <f t="shared" si="7"/>
        <v>52.351952459587537</v>
      </c>
    </row>
    <row r="258" spans="1:13" ht="18" x14ac:dyDescent="0.25">
      <c r="A258" s="80" t="s">
        <v>220</v>
      </c>
      <c r="B258" s="81">
        <v>411490</v>
      </c>
      <c r="C258" s="51">
        <v>6</v>
      </c>
      <c r="D258" s="57">
        <v>0</v>
      </c>
      <c r="E258" s="56">
        <v>0</v>
      </c>
      <c r="F258" s="17">
        <v>394</v>
      </c>
      <c r="G258" s="17">
        <v>1162</v>
      </c>
      <c r="H258" s="58">
        <v>0.33907056798623064</v>
      </c>
      <c r="I258" s="56">
        <v>53.116740152877576</v>
      </c>
      <c r="J258" s="57">
        <v>0.43762753592760228</v>
      </c>
      <c r="K258" s="56">
        <v>65.834473482642821</v>
      </c>
      <c r="L258" s="41">
        <f t="shared" si="6"/>
        <v>39.650404545173465</v>
      </c>
      <c r="M258" s="131">
        <f t="shared" si="7"/>
        <v>50.873644696157619</v>
      </c>
    </row>
    <row r="259" spans="1:13" ht="18" x14ac:dyDescent="0.25">
      <c r="A259" s="80" t="s">
        <v>247</v>
      </c>
      <c r="B259" s="81">
        <v>411155</v>
      </c>
      <c r="C259" s="51">
        <v>5</v>
      </c>
      <c r="D259" s="57">
        <v>6.25E-2</v>
      </c>
      <c r="E259" s="56">
        <v>6.25</v>
      </c>
      <c r="F259" s="17">
        <v>213</v>
      </c>
      <c r="G259" s="17">
        <v>842</v>
      </c>
      <c r="H259" s="58">
        <v>0.25296912114014253</v>
      </c>
      <c r="I259" s="56">
        <v>38.307444796667035</v>
      </c>
      <c r="J259" s="57">
        <v>0.49868429357356858</v>
      </c>
      <c r="K259" s="56">
        <v>55.672017351255491</v>
      </c>
      <c r="L259" s="41">
        <f t="shared" ref="L259:L322" si="8">(K259+I259+E259)/3</f>
        <v>33.409820715974178</v>
      </c>
      <c r="M259" s="131">
        <f t="shared" ref="M259:M322" si="9">(L259-L$402)/(L$403-L$402)*100</f>
        <v>41.187729436042289</v>
      </c>
    </row>
    <row r="260" spans="1:13" ht="18" x14ac:dyDescent="0.25">
      <c r="A260" s="80" t="s">
        <v>271</v>
      </c>
      <c r="B260" s="81">
        <v>411110</v>
      </c>
      <c r="C260" s="51">
        <v>0</v>
      </c>
      <c r="D260" s="57">
        <v>0</v>
      </c>
      <c r="E260" s="56">
        <v>0</v>
      </c>
      <c r="F260" s="17">
        <v>32</v>
      </c>
      <c r="G260" s="17">
        <v>661</v>
      </c>
      <c r="H260" s="58">
        <v>4.8411497730711045E-2</v>
      </c>
      <c r="I260" s="56">
        <v>3.1238982547613716</v>
      </c>
      <c r="J260" s="57">
        <v>0.4139017379556339</v>
      </c>
      <c r="K260" s="56">
        <v>69.783461119201604</v>
      </c>
      <c r="L260" s="41">
        <f t="shared" si="8"/>
        <v>24.302453124654324</v>
      </c>
      <c r="M260" s="131">
        <f t="shared" si="9"/>
        <v>27.052322694208147</v>
      </c>
    </row>
    <row r="261" spans="1:13" ht="18" x14ac:dyDescent="0.25">
      <c r="A261" s="80" t="s">
        <v>285</v>
      </c>
      <c r="B261" s="81">
        <v>412863</v>
      </c>
      <c r="C261" s="51">
        <v>3</v>
      </c>
      <c r="D261" s="57">
        <v>5.5555555555555552E-2</v>
      </c>
      <c r="E261" s="56">
        <v>5.5555555555555554</v>
      </c>
      <c r="F261" s="17">
        <v>386</v>
      </c>
      <c r="G261" s="17">
        <v>779</v>
      </c>
      <c r="H261" s="58">
        <v>0.49550706033376124</v>
      </c>
      <c r="I261" s="56">
        <v>80.023537942297139</v>
      </c>
      <c r="J261" s="57">
        <v>0.36976031245244984</v>
      </c>
      <c r="K261" s="56">
        <v>77.130482440807029</v>
      </c>
      <c r="L261" s="41">
        <f t="shared" si="8"/>
        <v>54.236525312886577</v>
      </c>
      <c r="M261" s="131">
        <f t="shared" si="9"/>
        <v>73.512540927122075</v>
      </c>
    </row>
    <row r="262" spans="1:13" ht="18" x14ac:dyDescent="0.25">
      <c r="A262" s="80" t="s">
        <v>303</v>
      </c>
      <c r="B262" s="81">
        <v>412110</v>
      </c>
      <c r="C262" s="51">
        <v>9</v>
      </c>
      <c r="D262" s="57">
        <v>0</v>
      </c>
      <c r="E262" s="56">
        <v>0</v>
      </c>
      <c r="F262" s="17">
        <v>162</v>
      </c>
      <c r="G262" s="17">
        <v>623</v>
      </c>
      <c r="H262" s="58">
        <v>0.26003210272873195</v>
      </c>
      <c r="I262" s="56">
        <v>39.522265038048957</v>
      </c>
      <c r="J262" s="57">
        <v>0.43438773689899302</v>
      </c>
      <c r="K262" s="56">
        <v>66.373714621087515</v>
      </c>
      <c r="L262" s="41">
        <f t="shared" si="8"/>
        <v>35.298659886378822</v>
      </c>
      <c r="M262" s="131">
        <f t="shared" si="9"/>
        <v>44.119367988660422</v>
      </c>
    </row>
    <row r="263" spans="1:13" ht="18" x14ac:dyDescent="0.25">
      <c r="A263" s="80" t="s">
        <v>196</v>
      </c>
      <c r="B263" s="81">
        <v>412840</v>
      </c>
      <c r="C263" s="51">
        <v>1</v>
      </c>
      <c r="D263" s="57">
        <v>0</v>
      </c>
      <c r="E263" s="56">
        <v>0</v>
      </c>
      <c r="F263" s="17">
        <v>339</v>
      </c>
      <c r="G263" s="17">
        <v>1099</v>
      </c>
      <c r="H263" s="58">
        <v>0.30846223839854414</v>
      </c>
      <c r="I263" s="56">
        <v>47.852162032203609</v>
      </c>
      <c r="J263" s="57">
        <v>0.40736872346510067</v>
      </c>
      <c r="K263" s="56">
        <v>70.870834175444259</v>
      </c>
      <c r="L263" s="41">
        <f t="shared" si="8"/>
        <v>39.574332069215956</v>
      </c>
      <c r="M263" s="131">
        <f t="shared" si="9"/>
        <v>50.75557376306574</v>
      </c>
    </row>
    <row r="264" spans="1:13" ht="18" x14ac:dyDescent="0.25">
      <c r="A264" s="80" t="s">
        <v>331</v>
      </c>
      <c r="B264" s="81">
        <v>412125</v>
      </c>
      <c r="C264" s="51">
        <v>7</v>
      </c>
      <c r="D264" s="57">
        <v>0</v>
      </c>
      <c r="E264" s="56">
        <v>0</v>
      </c>
      <c r="F264" s="17">
        <v>106</v>
      </c>
      <c r="G264" s="17">
        <v>636</v>
      </c>
      <c r="H264" s="58">
        <v>0.16666666666666666</v>
      </c>
      <c r="I264" s="56">
        <v>23.463576486901403</v>
      </c>
      <c r="J264" s="57">
        <v>0.39998289702343243</v>
      </c>
      <c r="K264" s="56">
        <v>72.100151618776479</v>
      </c>
      <c r="L264" s="41">
        <f t="shared" si="8"/>
        <v>31.854576035225961</v>
      </c>
      <c r="M264" s="131">
        <f t="shared" si="9"/>
        <v>38.773857817814999</v>
      </c>
    </row>
    <row r="265" spans="1:13" ht="18" x14ac:dyDescent="0.25">
      <c r="A265" s="80" t="s">
        <v>257</v>
      </c>
      <c r="B265" s="81">
        <v>411920</v>
      </c>
      <c r="C265" s="51">
        <v>2</v>
      </c>
      <c r="D265" s="57">
        <v>4.0540540540540543E-2</v>
      </c>
      <c r="E265" s="56">
        <v>4.0540540540540544</v>
      </c>
      <c r="F265" s="17">
        <v>277</v>
      </c>
      <c r="G265" s="17">
        <v>793</v>
      </c>
      <c r="H265" s="58">
        <v>0.34930643127364441</v>
      </c>
      <c r="I265" s="56">
        <v>54.877290389856427</v>
      </c>
      <c r="J265" s="57">
        <v>0.39047606921704281</v>
      </c>
      <c r="K265" s="56">
        <v>73.682494413513311</v>
      </c>
      <c r="L265" s="41">
        <f t="shared" si="8"/>
        <v>44.204612952474598</v>
      </c>
      <c r="M265" s="131">
        <f t="shared" si="9"/>
        <v>57.942162308825175</v>
      </c>
    </row>
    <row r="266" spans="1:13" ht="18" x14ac:dyDescent="0.25">
      <c r="A266" s="80" t="s">
        <v>326</v>
      </c>
      <c r="B266" s="81">
        <v>412085</v>
      </c>
      <c r="C266" s="51">
        <v>3</v>
      </c>
      <c r="D266" s="57">
        <v>0</v>
      </c>
      <c r="E266" s="56">
        <v>0</v>
      </c>
      <c r="F266" s="17">
        <v>17</v>
      </c>
      <c r="G266" s="17">
        <v>562</v>
      </c>
      <c r="H266" s="58">
        <v>3.0249110320284697E-2</v>
      </c>
      <c r="I266" s="56">
        <v>0</v>
      </c>
      <c r="J266" s="57">
        <v>0.59561547713367657</v>
      </c>
      <c r="K266" s="56">
        <v>39.538522244868545</v>
      </c>
      <c r="L266" s="41">
        <f t="shared" si="8"/>
        <v>13.179507414956182</v>
      </c>
      <c r="M266" s="131">
        <f t="shared" si="9"/>
        <v>9.7885678059378911</v>
      </c>
    </row>
    <row r="267" spans="1:13" ht="18" x14ac:dyDescent="0.25">
      <c r="A267" s="80" t="s">
        <v>306</v>
      </c>
      <c r="B267" s="81">
        <v>410845</v>
      </c>
      <c r="C267" s="51">
        <v>2</v>
      </c>
      <c r="D267" s="57">
        <v>0</v>
      </c>
      <c r="E267" s="56">
        <v>0</v>
      </c>
      <c r="F267" s="17">
        <v>275</v>
      </c>
      <c r="G267" s="17">
        <v>730</v>
      </c>
      <c r="H267" s="58">
        <v>0.37671232876712329</v>
      </c>
      <c r="I267" s="56">
        <v>59.591055899609856</v>
      </c>
      <c r="J267" s="57">
        <v>0.4444041796249677</v>
      </c>
      <c r="K267" s="56">
        <v>64.706550105318371</v>
      </c>
      <c r="L267" s="41">
        <f t="shared" si="8"/>
        <v>41.432535334976073</v>
      </c>
      <c r="M267" s="131">
        <f t="shared" si="9"/>
        <v>53.639662793968377</v>
      </c>
    </row>
    <row r="268" spans="1:13" ht="18" x14ac:dyDescent="0.25">
      <c r="A268" s="80" t="s">
        <v>266</v>
      </c>
      <c r="B268" s="81">
        <v>410773</v>
      </c>
      <c r="C268" s="51">
        <v>6</v>
      </c>
      <c r="D268" s="57">
        <v>4.3859649122807015E-2</v>
      </c>
      <c r="E268" s="56">
        <v>4.3859649122807012</v>
      </c>
      <c r="F268" s="17">
        <v>371</v>
      </c>
      <c r="G268" s="17">
        <v>849</v>
      </c>
      <c r="H268" s="58">
        <v>0.43698468786808009</v>
      </c>
      <c r="I268" s="56">
        <v>69.957794211652597</v>
      </c>
      <c r="J268" s="57">
        <v>0.42738388386982656</v>
      </c>
      <c r="K268" s="56">
        <v>67.53945534994017</v>
      </c>
      <c r="L268" s="41">
        <f t="shared" si="8"/>
        <v>47.294404824624486</v>
      </c>
      <c r="M268" s="131">
        <f t="shared" si="9"/>
        <v>62.737781286813785</v>
      </c>
    </row>
    <row r="269" spans="1:13" ht="18" x14ac:dyDescent="0.25">
      <c r="A269" s="80" t="s">
        <v>231</v>
      </c>
      <c r="B269" s="81">
        <v>410775</v>
      </c>
      <c r="C269" s="51">
        <v>1</v>
      </c>
      <c r="D269" s="57">
        <v>3.2967032967032968E-2</v>
      </c>
      <c r="E269" s="56">
        <v>3.296703296703297</v>
      </c>
      <c r="F269" s="17">
        <v>343</v>
      </c>
      <c r="G269" s="17">
        <v>927</v>
      </c>
      <c r="H269" s="58">
        <v>0.37001078748651567</v>
      </c>
      <c r="I269" s="56">
        <v>58.438402746826455</v>
      </c>
      <c r="J269" s="57">
        <v>0.45774566195452115</v>
      </c>
      <c r="K269" s="56">
        <v>62.485956773325022</v>
      </c>
      <c r="L269" s="41">
        <f t="shared" si="8"/>
        <v>41.407020938951597</v>
      </c>
      <c r="M269" s="131">
        <f t="shared" si="9"/>
        <v>53.600062287898773</v>
      </c>
    </row>
    <row r="270" spans="1:13" ht="18" x14ac:dyDescent="0.25">
      <c r="A270" s="80" t="s">
        <v>264</v>
      </c>
      <c r="B270" s="81">
        <v>410730</v>
      </c>
      <c r="C270" s="51">
        <v>6</v>
      </c>
      <c r="D270" s="57">
        <v>0</v>
      </c>
      <c r="E270" s="56">
        <v>0</v>
      </c>
      <c r="F270" s="17">
        <v>148</v>
      </c>
      <c r="G270" s="17">
        <v>706</v>
      </c>
      <c r="H270" s="58">
        <v>0.20963172804532579</v>
      </c>
      <c r="I270" s="56">
        <v>30.853490446090415</v>
      </c>
      <c r="J270" s="57">
        <v>0.39280616531959778</v>
      </c>
      <c r="K270" s="56">
        <v>73.294666753855466</v>
      </c>
      <c r="L270" s="41">
        <f t="shared" si="8"/>
        <v>34.716052399981962</v>
      </c>
      <c r="M270" s="131">
        <f t="shared" si="9"/>
        <v>43.215111768794394</v>
      </c>
    </row>
    <row r="271" spans="1:13" ht="18" x14ac:dyDescent="0.25">
      <c r="A271" s="80" t="s">
        <v>280</v>
      </c>
      <c r="B271" s="81">
        <v>412880</v>
      </c>
      <c r="C271" s="51">
        <v>7</v>
      </c>
      <c r="D271" s="57">
        <v>0</v>
      </c>
      <c r="E271" s="56">
        <v>0</v>
      </c>
      <c r="F271" s="17">
        <v>179</v>
      </c>
      <c r="G271" s="17">
        <v>731</v>
      </c>
      <c r="H271" s="58">
        <v>0.24487004103967169</v>
      </c>
      <c r="I271" s="56">
        <v>36.914417458393807</v>
      </c>
      <c r="J271" s="57">
        <v>0.33651760765021099</v>
      </c>
      <c r="K271" s="56">
        <v>82.663490452799465</v>
      </c>
      <c r="L271" s="41">
        <f t="shared" si="8"/>
        <v>39.859302637064424</v>
      </c>
      <c r="M271" s="131">
        <f t="shared" si="9"/>
        <v>51.197872247847307</v>
      </c>
    </row>
    <row r="272" spans="1:13" ht="18" x14ac:dyDescent="0.25">
      <c r="A272" s="80" t="s">
        <v>299</v>
      </c>
      <c r="B272" s="81">
        <v>411345</v>
      </c>
      <c r="C272" s="51">
        <v>2</v>
      </c>
      <c r="D272" s="57">
        <v>0</v>
      </c>
      <c r="E272" s="56">
        <v>0</v>
      </c>
      <c r="F272" s="17">
        <v>273</v>
      </c>
      <c r="G272" s="17">
        <v>729</v>
      </c>
      <c r="H272" s="58">
        <v>0.37448559670781895</v>
      </c>
      <c r="I272" s="56">
        <v>59.208061955218561</v>
      </c>
      <c r="J272" s="57">
        <v>0.44178966317646984</v>
      </c>
      <c r="K272" s="56">
        <v>65.141717476417796</v>
      </c>
      <c r="L272" s="41">
        <f t="shared" si="8"/>
        <v>41.449926477212124</v>
      </c>
      <c r="M272" s="131">
        <f t="shared" si="9"/>
        <v>53.666655321364111</v>
      </c>
    </row>
    <row r="273" spans="1:13" ht="18" x14ac:dyDescent="0.25">
      <c r="A273" s="80" t="s">
        <v>252</v>
      </c>
      <c r="B273" s="81">
        <v>411373</v>
      </c>
      <c r="C273" s="51">
        <v>4</v>
      </c>
      <c r="D273" s="57">
        <v>3.5555555555555556E-2</v>
      </c>
      <c r="E273" s="56">
        <v>3.5555555555555554</v>
      </c>
      <c r="F273" s="17">
        <v>329</v>
      </c>
      <c r="G273" s="17">
        <v>919</v>
      </c>
      <c r="H273" s="58">
        <v>0.35799782372143635</v>
      </c>
      <c r="I273" s="56">
        <v>56.372194395896791</v>
      </c>
      <c r="J273" s="57">
        <v>0.48213184735748954</v>
      </c>
      <c r="K273" s="56">
        <v>58.427052420648238</v>
      </c>
      <c r="L273" s="41">
        <f t="shared" si="8"/>
        <v>39.451600790700198</v>
      </c>
      <c r="M273" s="131">
        <f t="shared" si="9"/>
        <v>50.565084412068309</v>
      </c>
    </row>
    <row r="274" spans="1:13" ht="18" x14ac:dyDescent="0.25">
      <c r="A274" s="80" t="s">
        <v>324</v>
      </c>
      <c r="B274" s="81">
        <v>410770</v>
      </c>
      <c r="C274" s="51">
        <v>2</v>
      </c>
      <c r="D274" s="57">
        <v>0</v>
      </c>
      <c r="E274" s="56">
        <v>0</v>
      </c>
      <c r="F274" s="17">
        <v>215</v>
      </c>
      <c r="G274" s="17">
        <v>543</v>
      </c>
      <c r="H274" s="58">
        <v>0.39594843462246776</v>
      </c>
      <c r="I274" s="56">
        <v>62.899631812676184</v>
      </c>
      <c r="J274" s="57">
        <v>0.41227904185818082</v>
      </c>
      <c r="K274" s="56">
        <v>70.053547159481695</v>
      </c>
      <c r="L274" s="41">
        <f t="shared" si="8"/>
        <v>44.317726324052622</v>
      </c>
      <c r="M274" s="131">
        <f t="shared" si="9"/>
        <v>58.117723852725035</v>
      </c>
    </row>
    <row r="275" spans="1:13" ht="18" x14ac:dyDescent="0.25">
      <c r="A275" s="80" t="s">
        <v>283</v>
      </c>
      <c r="B275" s="81">
        <v>412035</v>
      </c>
      <c r="C275" s="51">
        <v>8</v>
      </c>
      <c r="D275" s="57">
        <v>0</v>
      </c>
      <c r="E275" s="56">
        <v>0</v>
      </c>
      <c r="F275" s="17">
        <v>141</v>
      </c>
      <c r="G275" s="17">
        <v>716</v>
      </c>
      <c r="H275" s="58">
        <v>0.19692737430167598</v>
      </c>
      <c r="I275" s="56">
        <v>28.668364251453919</v>
      </c>
      <c r="J275" s="57">
        <v>0.50023412443763371</v>
      </c>
      <c r="K275" s="56">
        <v>55.414059202569341</v>
      </c>
      <c r="L275" s="41">
        <f t="shared" si="8"/>
        <v>28.027474484674418</v>
      </c>
      <c r="M275" s="131">
        <f t="shared" si="9"/>
        <v>32.833871700321495</v>
      </c>
    </row>
    <row r="276" spans="1:13" ht="18" x14ac:dyDescent="0.25">
      <c r="A276" s="80" t="s">
        <v>318</v>
      </c>
      <c r="B276" s="81">
        <v>411310</v>
      </c>
      <c r="C276" s="51">
        <v>6</v>
      </c>
      <c r="D276" s="57">
        <v>5.6603773584905662E-2</v>
      </c>
      <c r="E276" s="56">
        <v>5.6603773584905666</v>
      </c>
      <c r="F276" s="17">
        <v>153</v>
      </c>
      <c r="G276" s="17">
        <v>510</v>
      </c>
      <c r="H276" s="58">
        <v>0.3</v>
      </c>
      <c r="I276" s="56">
        <v>46.396672114098941</v>
      </c>
      <c r="J276" s="57">
        <v>0.39997718056376014</v>
      </c>
      <c r="K276" s="56">
        <v>72.101103082183414</v>
      </c>
      <c r="L276" s="41">
        <f t="shared" si="8"/>
        <v>41.386050851590973</v>
      </c>
      <c r="M276" s="131">
        <f t="shared" si="9"/>
        <v>53.567514934200574</v>
      </c>
    </row>
    <row r="277" spans="1:13" ht="18" x14ac:dyDescent="0.25">
      <c r="A277" s="80" t="s">
        <v>310</v>
      </c>
      <c r="B277" s="81">
        <v>411380</v>
      </c>
      <c r="C277" s="51">
        <v>9</v>
      </c>
      <c r="D277" s="57">
        <v>3.125E-2</v>
      </c>
      <c r="E277" s="56">
        <v>3.125</v>
      </c>
      <c r="F277" s="17">
        <v>171</v>
      </c>
      <c r="G277" s="17">
        <v>566</v>
      </c>
      <c r="H277" s="58">
        <v>0.30212014134275617</v>
      </c>
      <c r="I277" s="56">
        <v>46.761332645273455</v>
      </c>
      <c r="J277" s="57">
        <v>0.41357468049911983</v>
      </c>
      <c r="K277" s="56">
        <v>69.837897469614106</v>
      </c>
      <c r="L277" s="41">
        <f t="shared" si="8"/>
        <v>39.908076704962518</v>
      </c>
      <c r="M277" s="131">
        <f t="shared" si="9"/>
        <v>51.273573736919801</v>
      </c>
    </row>
    <row r="278" spans="1:13" ht="18" x14ac:dyDescent="0.25">
      <c r="A278" s="80" t="s">
        <v>286</v>
      </c>
      <c r="B278" s="81">
        <v>411860</v>
      </c>
      <c r="C278" s="51">
        <v>0</v>
      </c>
      <c r="D278" s="57">
        <v>1.3157894736842105E-2</v>
      </c>
      <c r="E278" s="56">
        <v>1.3157894736842104</v>
      </c>
      <c r="F278" s="17">
        <v>128</v>
      </c>
      <c r="G278" s="17">
        <v>706</v>
      </c>
      <c r="H278" s="58">
        <v>0.18130311614730879</v>
      </c>
      <c r="I278" s="56">
        <v>25.981019703767995</v>
      </c>
      <c r="J278" s="57">
        <v>0.4266695030201445</v>
      </c>
      <c r="K278" s="56">
        <v>67.658358880456689</v>
      </c>
      <c r="L278" s="41">
        <f t="shared" si="8"/>
        <v>31.651722685969631</v>
      </c>
      <c r="M278" s="131">
        <f t="shared" si="9"/>
        <v>38.459012219245494</v>
      </c>
    </row>
    <row r="279" spans="1:13" ht="18" x14ac:dyDescent="0.25">
      <c r="A279" s="80" t="s">
        <v>309</v>
      </c>
      <c r="B279" s="81">
        <v>410335</v>
      </c>
      <c r="C279" s="51">
        <v>4</v>
      </c>
      <c r="D279" s="57">
        <v>0</v>
      </c>
      <c r="E279" s="56">
        <v>0</v>
      </c>
      <c r="F279" s="17">
        <v>161</v>
      </c>
      <c r="G279" s="17">
        <v>569</v>
      </c>
      <c r="H279" s="58">
        <v>0.28295254833040423</v>
      </c>
      <c r="I279" s="56">
        <v>43.464540819057433</v>
      </c>
      <c r="J279" s="57">
        <v>0.41838691290180019</v>
      </c>
      <c r="K279" s="56">
        <v>69.036936158012097</v>
      </c>
      <c r="L279" s="41">
        <f t="shared" si="8"/>
        <v>37.500492325689841</v>
      </c>
      <c r="M279" s="131">
        <f t="shared" si="9"/>
        <v>47.53679863422807</v>
      </c>
    </row>
    <row r="280" spans="1:13" ht="18" x14ac:dyDescent="0.25">
      <c r="A280" s="80" t="s">
        <v>294</v>
      </c>
      <c r="B280" s="81">
        <v>412265</v>
      </c>
      <c r="C280" s="51">
        <v>1</v>
      </c>
      <c r="D280" s="57">
        <v>2.6315789473684209E-2</v>
      </c>
      <c r="E280" s="56">
        <v>2.6315789473684208</v>
      </c>
      <c r="F280" s="17">
        <v>212</v>
      </c>
      <c r="G280" s="17">
        <v>619</v>
      </c>
      <c r="H280" s="58">
        <v>0.34248788368336025</v>
      </c>
      <c r="I280" s="56">
        <v>53.704512360407044</v>
      </c>
      <c r="J280" s="57">
        <v>0.3468983292843999</v>
      </c>
      <c r="K280" s="56">
        <v>80.93569434493395</v>
      </c>
      <c r="L280" s="41">
        <f t="shared" si="8"/>
        <v>45.75726188423647</v>
      </c>
      <c r="M280" s="131">
        <f t="shared" si="9"/>
        <v>60.352005104524572</v>
      </c>
    </row>
    <row r="281" spans="1:13" ht="18" x14ac:dyDescent="0.25">
      <c r="A281" s="80" t="s">
        <v>293</v>
      </c>
      <c r="B281" s="81">
        <v>412400</v>
      </c>
      <c r="C281" s="51">
        <v>4</v>
      </c>
      <c r="D281" s="57">
        <v>0</v>
      </c>
      <c r="E281" s="56">
        <v>0</v>
      </c>
      <c r="F281" s="17">
        <v>180</v>
      </c>
      <c r="G281" s="17">
        <v>695</v>
      </c>
      <c r="H281" s="58">
        <v>0.25899280575539568</v>
      </c>
      <c r="I281" s="56">
        <v>39.343507811489623</v>
      </c>
      <c r="J281" s="57">
        <v>0.37947181336731095</v>
      </c>
      <c r="K281" s="56">
        <v>75.514073286074861</v>
      </c>
      <c r="L281" s="41">
        <f t="shared" si="8"/>
        <v>38.28586036585483</v>
      </c>
      <c r="M281" s="131">
        <f t="shared" si="9"/>
        <v>48.755756426197507</v>
      </c>
    </row>
    <row r="282" spans="1:13" ht="18" x14ac:dyDescent="0.25">
      <c r="A282" s="80" t="s">
        <v>279</v>
      </c>
      <c r="B282" s="81">
        <v>411720</v>
      </c>
      <c r="C282" s="51">
        <v>6</v>
      </c>
      <c r="D282" s="57">
        <v>0</v>
      </c>
      <c r="E282" s="56">
        <v>0</v>
      </c>
      <c r="F282" s="17">
        <v>156</v>
      </c>
      <c r="G282" s="17">
        <v>686</v>
      </c>
      <c r="H282" s="58">
        <v>0.22740524781341107</v>
      </c>
      <c r="I282" s="56">
        <v>33.910504159640809</v>
      </c>
      <c r="J282" s="57">
        <v>0.43147615754082491</v>
      </c>
      <c r="K282" s="56">
        <v>66.858325967009364</v>
      </c>
      <c r="L282" s="41">
        <f t="shared" si="8"/>
        <v>33.589610042216727</v>
      </c>
      <c r="M282" s="131">
        <f t="shared" si="9"/>
        <v>41.466777715229014</v>
      </c>
    </row>
    <row r="283" spans="1:13" ht="18" x14ac:dyDescent="0.25">
      <c r="A283" s="80" t="s">
        <v>333</v>
      </c>
      <c r="B283" s="81">
        <v>411721</v>
      </c>
      <c r="C283" s="51">
        <v>4</v>
      </c>
      <c r="D283" s="57">
        <v>7.9365079365079361E-2</v>
      </c>
      <c r="E283" s="56">
        <v>7.9365079365079358</v>
      </c>
      <c r="F283" s="17">
        <v>201</v>
      </c>
      <c r="G283" s="17">
        <v>560</v>
      </c>
      <c r="H283" s="58">
        <v>0.35892857142857143</v>
      </c>
      <c r="I283" s="56">
        <v>56.532281342190714</v>
      </c>
      <c r="J283" s="57">
        <v>0.38698726584521348</v>
      </c>
      <c r="K283" s="56">
        <v>74.263180525652345</v>
      </c>
      <c r="L283" s="41">
        <f t="shared" si="8"/>
        <v>46.243989934783663</v>
      </c>
      <c r="M283" s="131">
        <f t="shared" si="9"/>
        <v>61.107448310056547</v>
      </c>
    </row>
    <row r="284" spans="1:13" ht="18" x14ac:dyDescent="0.25">
      <c r="A284" s="80" t="s">
        <v>319</v>
      </c>
      <c r="B284" s="81">
        <v>410753</v>
      </c>
      <c r="C284" s="51">
        <v>8</v>
      </c>
      <c r="D284" s="57">
        <v>1.1904761904761904E-2</v>
      </c>
      <c r="E284" s="56">
        <v>1.1904761904761905</v>
      </c>
      <c r="F284" s="17">
        <v>63</v>
      </c>
      <c r="G284" s="17">
        <v>593</v>
      </c>
      <c r="H284" s="58">
        <v>0.10623946037099494</v>
      </c>
      <c r="I284" s="56">
        <v>13.070204733428653</v>
      </c>
      <c r="J284" s="57">
        <v>0.54000508230691868</v>
      </c>
      <c r="K284" s="56">
        <v>48.794470638868994</v>
      </c>
      <c r="L284" s="41">
        <f t="shared" si="8"/>
        <v>21.018383854257944</v>
      </c>
      <c r="M284" s="131">
        <f t="shared" si="9"/>
        <v>21.955168720797065</v>
      </c>
    </row>
    <row r="285" spans="1:13" ht="18" x14ac:dyDescent="0.25">
      <c r="A285" s="80" t="s">
        <v>267</v>
      </c>
      <c r="B285" s="81">
        <v>411900</v>
      </c>
      <c r="C285" s="51">
        <v>4</v>
      </c>
      <c r="D285" s="57">
        <v>0</v>
      </c>
      <c r="E285" s="56">
        <v>0</v>
      </c>
      <c r="F285" s="17">
        <v>113</v>
      </c>
      <c r="G285" s="17">
        <v>703</v>
      </c>
      <c r="H285" s="58">
        <v>0.16073968705547653</v>
      </c>
      <c r="I285" s="56">
        <v>22.444146560372349</v>
      </c>
      <c r="J285" s="57">
        <v>0.31256253675879986</v>
      </c>
      <c r="K285" s="56">
        <v>86.650638910138525</v>
      </c>
      <c r="L285" s="41">
        <f t="shared" si="8"/>
        <v>36.364928490170293</v>
      </c>
      <c r="M285" s="131">
        <f t="shared" si="9"/>
        <v>45.77430727375144</v>
      </c>
    </row>
    <row r="286" spans="1:13" ht="18" x14ac:dyDescent="0.25">
      <c r="A286" s="80" t="s">
        <v>265</v>
      </c>
      <c r="B286" s="81">
        <v>410020</v>
      </c>
      <c r="C286" s="51">
        <v>2</v>
      </c>
      <c r="D286" s="57">
        <v>2.4390243902439025E-2</v>
      </c>
      <c r="E286" s="56">
        <v>2.4390243902439024</v>
      </c>
      <c r="F286" s="17">
        <v>241</v>
      </c>
      <c r="G286" s="17">
        <v>826</v>
      </c>
      <c r="H286" s="58">
        <v>0.29176755447941888</v>
      </c>
      <c r="I286" s="56">
        <v>44.980706161330083</v>
      </c>
      <c r="J286" s="57">
        <v>0.53345403716246764</v>
      </c>
      <c r="K286" s="56">
        <v>49.884844767171884</v>
      </c>
      <c r="L286" s="41">
        <f t="shared" si="8"/>
        <v>32.434858439581951</v>
      </c>
      <c r="M286" s="131">
        <f t="shared" si="9"/>
        <v>39.674505313203149</v>
      </c>
    </row>
    <row r="287" spans="1:13" ht="18" x14ac:dyDescent="0.25">
      <c r="A287" s="80" t="s">
        <v>350</v>
      </c>
      <c r="B287" s="81">
        <v>412033</v>
      </c>
      <c r="C287" s="51">
        <v>3</v>
      </c>
      <c r="D287" s="57">
        <v>0</v>
      </c>
      <c r="E287" s="56">
        <v>0</v>
      </c>
      <c r="F287" s="17">
        <v>128</v>
      </c>
      <c r="G287" s="17">
        <v>499</v>
      </c>
      <c r="H287" s="58">
        <v>0.25651302605210419</v>
      </c>
      <c r="I287" s="56">
        <v>38.916990123464871</v>
      </c>
      <c r="J287" s="57">
        <v>0.52716661588912483</v>
      </c>
      <c r="K287" s="56">
        <v>50.93134060700001</v>
      </c>
      <c r="L287" s="41">
        <f t="shared" si="8"/>
        <v>29.949443576821626</v>
      </c>
      <c r="M287" s="131">
        <f t="shared" si="9"/>
        <v>35.816930700666212</v>
      </c>
    </row>
    <row r="288" spans="1:13" ht="18" x14ac:dyDescent="0.25">
      <c r="A288" s="80" t="s">
        <v>236</v>
      </c>
      <c r="B288" s="81">
        <v>410330</v>
      </c>
      <c r="C288" s="51">
        <v>5</v>
      </c>
      <c r="D288" s="57">
        <v>0.04</v>
      </c>
      <c r="E288" s="56">
        <v>4</v>
      </c>
      <c r="F288" s="17">
        <v>228</v>
      </c>
      <c r="G288" s="17">
        <v>818</v>
      </c>
      <c r="H288" s="58">
        <v>0.27872860635696822</v>
      </c>
      <c r="I288" s="56">
        <v>42.73803033005337</v>
      </c>
      <c r="J288" s="57">
        <v>0.3960488029842863</v>
      </c>
      <c r="K288" s="56">
        <v>72.754953144946555</v>
      </c>
      <c r="L288" s="41">
        <f t="shared" si="8"/>
        <v>39.830994491666644</v>
      </c>
      <c r="M288" s="131">
        <f t="shared" si="9"/>
        <v>51.153935605860227</v>
      </c>
    </row>
    <row r="289" spans="1:13" ht="18" x14ac:dyDescent="0.25">
      <c r="A289" s="80" t="s">
        <v>230</v>
      </c>
      <c r="B289" s="81">
        <v>412600</v>
      </c>
      <c r="C289" s="51">
        <v>9</v>
      </c>
      <c r="D289" s="57">
        <v>5.5555555555555552E-2</v>
      </c>
      <c r="E289" s="56">
        <v>5.5555555555555554</v>
      </c>
      <c r="F289" s="17">
        <v>349</v>
      </c>
      <c r="G289" s="17">
        <v>986</v>
      </c>
      <c r="H289" s="58">
        <v>0.3539553752535497</v>
      </c>
      <c r="I289" s="56">
        <v>55.676900466281317</v>
      </c>
      <c r="J289" s="57">
        <v>0.35364729502352965</v>
      </c>
      <c r="K289" s="56">
        <v>79.812377763764772</v>
      </c>
      <c r="L289" s="41">
        <f t="shared" si="8"/>
        <v>47.014944595200546</v>
      </c>
      <c r="M289" s="131">
        <f t="shared" si="9"/>
        <v>62.304035314504659</v>
      </c>
    </row>
    <row r="290" spans="1:13" ht="18" x14ac:dyDescent="0.25">
      <c r="A290" s="80" t="s">
        <v>332</v>
      </c>
      <c r="B290" s="81">
        <v>412065</v>
      </c>
      <c r="C290" s="51">
        <v>5</v>
      </c>
      <c r="D290" s="57">
        <v>3.5087719298245612E-2</v>
      </c>
      <c r="E290" s="56">
        <v>3.5087719298245612</v>
      </c>
      <c r="F290" s="17">
        <v>109</v>
      </c>
      <c r="G290" s="17">
        <v>541</v>
      </c>
      <c r="H290" s="58">
        <v>0.20147874306839186</v>
      </c>
      <c r="I290" s="56">
        <v>29.45119156516693</v>
      </c>
      <c r="J290" s="57">
        <v>0.49676425884941527</v>
      </c>
      <c r="K290" s="56">
        <v>55.991593257465389</v>
      </c>
      <c r="L290" s="41">
        <f t="shared" si="8"/>
        <v>29.650518917485627</v>
      </c>
      <c r="M290" s="131">
        <f t="shared" si="9"/>
        <v>35.352974282688123</v>
      </c>
    </row>
    <row r="291" spans="1:13" ht="18" x14ac:dyDescent="0.25">
      <c r="A291" s="80" t="s">
        <v>276</v>
      </c>
      <c r="B291" s="81">
        <v>411100</v>
      </c>
      <c r="C291" s="51">
        <v>1</v>
      </c>
      <c r="D291" s="57">
        <v>0</v>
      </c>
      <c r="E291" s="56">
        <v>0</v>
      </c>
      <c r="F291" s="17">
        <v>227</v>
      </c>
      <c r="G291" s="17">
        <v>663</v>
      </c>
      <c r="H291" s="58">
        <v>0.34238310708898945</v>
      </c>
      <c r="I291" s="56">
        <v>53.68649097297056</v>
      </c>
      <c r="J291" s="57">
        <v>0.39917042761239885</v>
      </c>
      <c r="K291" s="56">
        <v>72.235381281569886</v>
      </c>
      <c r="L291" s="41">
        <f t="shared" si="8"/>
        <v>41.973957418180149</v>
      </c>
      <c r="M291" s="131">
        <f t="shared" si="9"/>
        <v>54.479995775849446</v>
      </c>
    </row>
    <row r="292" spans="1:13" ht="18" x14ac:dyDescent="0.25">
      <c r="A292" s="80" t="s">
        <v>337</v>
      </c>
      <c r="B292" s="81">
        <v>411970</v>
      </c>
      <c r="C292" s="51">
        <v>7</v>
      </c>
      <c r="D292" s="57">
        <v>2.0833333333333332E-2</v>
      </c>
      <c r="E292" s="56">
        <v>2.083333333333333</v>
      </c>
      <c r="F292" s="17">
        <v>209</v>
      </c>
      <c r="G292" s="17">
        <v>542</v>
      </c>
      <c r="H292" s="58">
        <v>0.38560885608856088</v>
      </c>
      <c r="I292" s="56">
        <v>61.121242738203641</v>
      </c>
      <c r="J292" s="57">
        <v>0.42306562404300951</v>
      </c>
      <c r="K292" s="56">
        <v>68.258198495595224</v>
      </c>
      <c r="L292" s="41">
        <f t="shared" si="8"/>
        <v>43.820924855710736</v>
      </c>
      <c r="M292" s="131">
        <f t="shared" si="9"/>
        <v>57.346645848621399</v>
      </c>
    </row>
    <row r="293" spans="1:13" ht="18" x14ac:dyDescent="0.25">
      <c r="A293" s="80" t="s">
        <v>313</v>
      </c>
      <c r="B293" s="81">
        <v>410090</v>
      </c>
      <c r="C293" s="51">
        <v>5</v>
      </c>
      <c r="D293" s="57">
        <v>1.7857142857142856E-2</v>
      </c>
      <c r="E293" s="56">
        <v>1.7857142857142856</v>
      </c>
      <c r="F293" s="17">
        <v>292</v>
      </c>
      <c r="G293" s="17">
        <v>616</v>
      </c>
      <c r="H293" s="58">
        <v>0.47402597402597402</v>
      </c>
      <c r="I293" s="56">
        <v>76.328829393752883</v>
      </c>
      <c r="J293" s="57">
        <v>0.43144540590649444</v>
      </c>
      <c r="K293" s="56">
        <v>66.863444354341112</v>
      </c>
      <c r="L293" s="41">
        <f t="shared" si="8"/>
        <v>48.325996011269432</v>
      </c>
      <c r="M293" s="131">
        <f t="shared" si="9"/>
        <v>64.338898280094654</v>
      </c>
    </row>
    <row r="294" spans="1:13" ht="18" x14ac:dyDescent="0.25">
      <c r="A294" s="80" t="s">
        <v>275</v>
      </c>
      <c r="B294" s="81">
        <v>411585</v>
      </c>
      <c r="C294" s="51">
        <v>3</v>
      </c>
      <c r="D294" s="57">
        <v>0</v>
      </c>
      <c r="E294" s="56">
        <v>0</v>
      </c>
      <c r="F294" s="17">
        <v>64</v>
      </c>
      <c r="G294" s="17">
        <v>725</v>
      </c>
      <c r="H294" s="58">
        <v>8.827586206896551E-2</v>
      </c>
      <c r="I294" s="56">
        <v>9.9804978509111208</v>
      </c>
      <c r="J294" s="57">
        <v>0.51162069192362569</v>
      </c>
      <c r="K294" s="56">
        <v>53.518847320627557</v>
      </c>
      <c r="L294" s="41">
        <f t="shared" si="8"/>
        <v>21.166448390512894</v>
      </c>
      <c r="M294" s="131">
        <f t="shared" si="9"/>
        <v>22.184977435886104</v>
      </c>
    </row>
    <row r="295" spans="1:13" ht="18" x14ac:dyDescent="0.25">
      <c r="A295" s="80" t="s">
        <v>234</v>
      </c>
      <c r="B295" s="81">
        <v>410895</v>
      </c>
      <c r="C295" s="51">
        <v>7</v>
      </c>
      <c r="D295" s="57">
        <v>5.2631578947368418E-2</v>
      </c>
      <c r="E295" s="56">
        <v>5.2631578947368416</v>
      </c>
      <c r="F295" s="17">
        <v>276</v>
      </c>
      <c r="G295" s="17">
        <v>1043</v>
      </c>
      <c r="H295" s="58">
        <v>0.26462128475551294</v>
      </c>
      <c r="I295" s="56">
        <v>40.311596165079841</v>
      </c>
      <c r="J295" s="57">
        <v>0.40741931980246265</v>
      </c>
      <c r="K295" s="56">
        <v>70.862412780685119</v>
      </c>
      <c r="L295" s="41">
        <f t="shared" si="8"/>
        <v>38.812388946833934</v>
      </c>
      <c r="M295" s="131">
        <f t="shared" si="9"/>
        <v>49.572973429762172</v>
      </c>
    </row>
    <row r="296" spans="1:13" ht="18" x14ac:dyDescent="0.25">
      <c r="A296" s="80" t="s">
        <v>328</v>
      </c>
      <c r="B296" s="81">
        <v>411040</v>
      </c>
      <c r="C296" s="51">
        <v>9</v>
      </c>
      <c r="D296" s="57">
        <v>2.3809523809523808E-2</v>
      </c>
      <c r="E296" s="56">
        <v>2.3809523809523809</v>
      </c>
      <c r="F296" s="17">
        <v>91</v>
      </c>
      <c r="G296" s="17">
        <v>547</v>
      </c>
      <c r="H296" s="58">
        <v>0.1663619744058501</v>
      </c>
      <c r="I296" s="56">
        <v>23.411169961245097</v>
      </c>
      <c r="J296" s="57">
        <v>0.50928199515740435</v>
      </c>
      <c r="K296" s="56">
        <v>53.90810649860672</v>
      </c>
      <c r="L296" s="41">
        <f t="shared" si="8"/>
        <v>26.566742946934735</v>
      </c>
      <c r="M296" s="131">
        <f t="shared" si="9"/>
        <v>30.566692494086894</v>
      </c>
    </row>
    <row r="297" spans="1:13" ht="18" x14ac:dyDescent="0.25">
      <c r="A297" s="80" t="s">
        <v>355</v>
      </c>
      <c r="B297" s="81">
        <v>411130</v>
      </c>
      <c r="C297" s="51">
        <v>8</v>
      </c>
      <c r="D297" s="57">
        <v>0</v>
      </c>
      <c r="E297" s="56">
        <v>0</v>
      </c>
      <c r="F297" s="17">
        <v>162</v>
      </c>
      <c r="G297" s="17">
        <v>448</v>
      </c>
      <c r="H297" s="58">
        <v>0.36160714285714285</v>
      </c>
      <c r="I297" s="56">
        <v>56.99299085255852</v>
      </c>
      <c r="J297" s="57">
        <v>0.40274961802130627</v>
      </c>
      <c r="K297" s="56">
        <v>71.639650900220246</v>
      </c>
      <c r="L297" s="41">
        <f t="shared" si="8"/>
        <v>42.877547250926256</v>
      </c>
      <c r="M297" s="131">
        <f t="shared" si="9"/>
        <v>55.882443814273365</v>
      </c>
    </row>
    <row r="298" spans="1:13" ht="18" x14ac:dyDescent="0.25">
      <c r="A298" s="80" t="s">
        <v>323</v>
      </c>
      <c r="B298" s="81">
        <v>410670</v>
      </c>
      <c r="C298" s="51">
        <v>4</v>
      </c>
      <c r="D298" s="57">
        <v>0</v>
      </c>
      <c r="E298" s="56">
        <v>0</v>
      </c>
      <c r="F298" s="17">
        <v>141</v>
      </c>
      <c r="G298" s="17">
        <v>532</v>
      </c>
      <c r="H298" s="58">
        <v>0.26503759398496241</v>
      </c>
      <c r="I298" s="56">
        <v>40.38320061035072</v>
      </c>
      <c r="J298" s="57">
        <v>0.3770356354040299</v>
      </c>
      <c r="K298" s="56">
        <v>75.919557504933181</v>
      </c>
      <c r="L298" s="41">
        <f t="shared" si="8"/>
        <v>38.767586038427964</v>
      </c>
      <c r="M298" s="131">
        <f t="shared" si="9"/>
        <v>49.503435516947597</v>
      </c>
    </row>
    <row r="299" spans="1:13" ht="18" x14ac:dyDescent="0.25">
      <c r="A299" s="80" t="s">
        <v>304</v>
      </c>
      <c r="B299" s="81">
        <v>411230</v>
      </c>
      <c r="C299" s="51">
        <v>6</v>
      </c>
      <c r="D299" s="57">
        <v>4.8387096774193547E-2</v>
      </c>
      <c r="E299" s="56">
        <v>4.838709677419355</v>
      </c>
      <c r="F299" s="17">
        <v>183</v>
      </c>
      <c r="G299" s="17">
        <v>647</v>
      </c>
      <c r="H299" s="58">
        <v>0.28284389489953632</v>
      </c>
      <c r="I299" s="56">
        <v>43.445852622655053</v>
      </c>
      <c r="J299" s="57">
        <v>0.37662262625943305</v>
      </c>
      <c r="K299" s="56">
        <v>75.988299892764587</v>
      </c>
      <c r="L299" s="41">
        <f t="shared" si="8"/>
        <v>41.424287397613</v>
      </c>
      <c r="M299" s="131">
        <f t="shared" si="9"/>
        <v>53.626861295814365</v>
      </c>
    </row>
    <row r="300" spans="1:13" ht="18" x14ac:dyDescent="0.25">
      <c r="A300" s="80" t="s">
        <v>339</v>
      </c>
      <c r="B300" s="81">
        <v>410405</v>
      </c>
      <c r="C300" s="51">
        <v>5</v>
      </c>
      <c r="D300" s="57">
        <v>3.3333333333333333E-2</v>
      </c>
      <c r="E300" s="56">
        <v>3.3333333333333335</v>
      </c>
      <c r="F300" s="17">
        <v>173</v>
      </c>
      <c r="G300" s="17">
        <v>526</v>
      </c>
      <c r="H300" s="58">
        <v>0.32889733840304181</v>
      </c>
      <c r="I300" s="56">
        <v>51.366962801362284</v>
      </c>
      <c r="J300" s="57">
        <v>0.41352017469510088</v>
      </c>
      <c r="K300" s="56">
        <v>69.846969566849609</v>
      </c>
      <c r="L300" s="41">
        <f t="shared" si="8"/>
        <v>41.515755233848402</v>
      </c>
      <c r="M300" s="131">
        <f t="shared" si="9"/>
        <v>53.768827133474772</v>
      </c>
    </row>
    <row r="301" spans="1:13" ht="18" x14ac:dyDescent="0.25">
      <c r="A301" s="80" t="s">
        <v>315</v>
      </c>
      <c r="B301" s="81">
        <v>411550</v>
      </c>
      <c r="C301" s="51">
        <v>7</v>
      </c>
      <c r="D301" s="57">
        <v>0</v>
      </c>
      <c r="E301" s="56">
        <v>0</v>
      </c>
      <c r="F301" s="17">
        <v>133</v>
      </c>
      <c r="G301" s="17">
        <v>578</v>
      </c>
      <c r="H301" s="58">
        <v>0.2301038062283737</v>
      </c>
      <c r="I301" s="56">
        <v>34.374651396035183</v>
      </c>
      <c r="J301" s="57">
        <v>0.42660860426194325</v>
      </c>
      <c r="K301" s="56">
        <v>67.66849503872217</v>
      </c>
      <c r="L301" s="41">
        <f t="shared" si="8"/>
        <v>34.014382144919118</v>
      </c>
      <c r="M301" s="131">
        <f t="shared" si="9"/>
        <v>42.126060036281373</v>
      </c>
    </row>
    <row r="302" spans="1:13" ht="18" x14ac:dyDescent="0.25">
      <c r="A302" s="80" t="s">
        <v>258</v>
      </c>
      <c r="B302" s="81">
        <v>411535</v>
      </c>
      <c r="C302" s="51">
        <v>8</v>
      </c>
      <c r="D302" s="57">
        <v>0</v>
      </c>
      <c r="E302" s="56">
        <v>0</v>
      </c>
      <c r="F302" s="17">
        <v>89</v>
      </c>
      <c r="G302" s="17">
        <v>827</v>
      </c>
      <c r="H302" s="58">
        <v>0.10761789600967352</v>
      </c>
      <c r="I302" s="56">
        <v>13.307293205811799</v>
      </c>
      <c r="J302" s="57">
        <v>0.50687367860631949</v>
      </c>
      <c r="K302" s="56">
        <v>54.308953386723637</v>
      </c>
      <c r="L302" s="41">
        <f t="shared" si="8"/>
        <v>22.538748864178476</v>
      </c>
      <c r="M302" s="131">
        <f t="shared" si="9"/>
        <v>24.314904132351362</v>
      </c>
    </row>
    <row r="303" spans="1:13" ht="18" x14ac:dyDescent="0.25">
      <c r="A303" s="80" t="s">
        <v>316</v>
      </c>
      <c r="B303" s="81">
        <v>410900</v>
      </c>
      <c r="C303" s="51">
        <v>5</v>
      </c>
      <c r="D303" s="57">
        <v>0</v>
      </c>
      <c r="E303" s="56">
        <v>0</v>
      </c>
      <c r="F303" s="17">
        <v>133</v>
      </c>
      <c r="G303" s="17">
        <v>645</v>
      </c>
      <c r="H303" s="58">
        <v>0.20620155038759691</v>
      </c>
      <c r="I303" s="56">
        <v>30.263506004268116</v>
      </c>
      <c r="J303" s="57">
        <v>0.43212029801771096</v>
      </c>
      <c r="K303" s="56">
        <v>66.751113439007767</v>
      </c>
      <c r="L303" s="41">
        <f t="shared" si="8"/>
        <v>32.338206481091959</v>
      </c>
      <c r="M303" s="131">
        <f t="shared" si="9"/>
        <v>39.524493278226863</v>
      </c>
    </row>
    <row r="304" spans="1:13" ht="18" x14ac:dyDescent="0.25">
      <c r="A304" s="80" t="s">
        <v>278</v>
      </c>
      <c r="B304" s="81">
        <v>411470</v>
      </c>
      <c r="C304" s="51">
        <v>8</v>
      </c>
      <c r="D304" s="57">
        <v>0</v>
      </c>
      <c r="E304" s="56">
        <v>0</v>
      </c>
      <c r="F304" s="17">
        <v>189</v>
      </c>
      <c r="G304" s="17">
        <v>689</v>
      </c>
      <c r="H304" s="58">
        <v>0.27431059506531202</v>
      </c>
      <c r="I304" s="56">
        <v>41.978140264301445</v>
      </c>
      <c r="J304" s="57">
        <v>0.41409381851185667</v>
      </c>
      <c r="K304" s="56">
        <v>69.75149069853785</v>
      </c>
      <c r="L304" s="41">
        <f t="shared" si="8"/>
        <v>37.243210320946432</v>
      </c>
      <c r="M304" s="131">
        <f t="shared" si="9"/>
        <v>47.137475147179103</v>
      </c>
    </row>
    <row r="305" spans="1:13" ht="18" x14ac:dyDescent="0.25">
      <c r="A305" s="80" t="s">
        <v>289</v>
      </c>
      <c r="B305" s="81">
        <v>412640</v>
      </c>
      <c r="C305" s="51">
        <v>5</v>
      </c>
      <c r="D305" s="57">
        <v>3.0303030303030304E-2</v>
      </c>
      <c r="E305" s="56">
        <v>3.0303030303030303</v>
      </c>
      <c r="F305" s="17">
        <v>102</v>
      </c>
      <c r="G305" s="17">
        <v>590</v>
      </c>
      <c r="H305" s="58">
        <v>0.17288135593220338</v>
      </c>
      <c r="I305" s="56">
        <v>24.532491961050436</v>
      </c>
      <c r="J305" s="57">
        <v>0.48567541522275359</v>
      </c>
      <c r="K305" s="56">
        <v>57.83725115428966</v>
      </c>
      <c r="L305" s="41">
        <f t="shared" si="8"/>
        <v>28.46668204854771</v>
      </c>
      <c r="M305" s="131">
        <f t="shared" si="9"/>
        <v>33.515559081135713</v>
      </c>
    </row>
    <row r="306" spans="1:13" ht="18" x14ac:dyDescent="0.25">
      <c r="A306" s="80" t="s">
        <v>273</v>
      </c>
      <c r="B306" s="81">
        <v>412540</v>
      </c>
      <c r="C306" s="51">
        <v>7</v>
      </c>
      <c r="D306" s="57">
        <v>2.0408163265306121E-2</v>
      </c>
      <c r="E306" s="56">
        <v>2.0408163265306123</v>
      </c>
      <c r="F306" s="17">
        <v>241</v>
      </c>
      <c r="G306" s="17">
        <v>787</v>
      </c>
      <c r="H306" s="58">
        <v>0.3062261753494282</v>
      </c>
      <c r="I306" s="56">
        <v>47.467563174199974</v>
      </c>
      <c r="J306" s="57">
        <v>0.36626397246278036</v>
      </c>
      <c r="K306" s="56">
        <v>77.712422968528116</v>
      </c>
      <c r="L306" s="41">
        <f t="shared" si="8"/>
        <v>42.406934156419574</v>
      </c>
      <c r="M306" s="131">
        <f t="shared" si="9"/>
        <v>55.152012386950119</v>
      </c>
    </row>
    <row r="307" spans="1:13" ht="18" x14ac:dyDescent="0.25">
      <c r="A307" s="80" t="s">
        <v>341</v>
      </c>
      <c r="B307" s="81">
        <v>410315</v>
      </c>
      <c r="C307" s="51">
        <v>6</v>
      </c>
      <c r="D307" s="57">
        <v>6.6666666666666666E-2</v>
      </c>
      <c r="E307" s="56">
        <v>6.666666666666667</v>
      </c>
      <c r="F307" s="17">
        <v>147</v>
      </c>
      <c r="G307" s="17">
        <v>527</v>
      </c>
      <c r="H307" s="58">
        <v>0.27893738140417457</v>
      </c>
      <c r="I307" s="56">
        <v>42.773939265969538</v>
      </c>
      <c r="J307" s="57">
        <v>0.41318653061951049</v>
      </c>
      <c r="K307" s="56">
        <v>69.902502212414333</v>
      </c>
      <c r="L307" s="41">
        <f t="shared" si="8"/>
        <v>39.781036048350181</v>
      </c>
      <c r="M307" s="131">
        <f t="shared" si="9"/>
        <v>51.07639586571181</v>
      </c>
    </row>
    <row r="308" spans="1:13" ht="18" x14ac:dyDescent="0.25">
      <c r="A308" s="80" t="s">
        <v>312</v>
      </c>
      <c r="B308" s="81">
        <v>410780</v>
      </c>
      <c r="C308" s="51">
        <v>1</v>
      </c>
      <c r="D308" s="57">
        <v>0</v>
      </c>
      <c r="E308" s="56">
        <v>0</v>
      </c>
      <c r="F308" s="17">
        <v>90</v>
      </c>
      <c r="G308" s="17">
        <v>516</v>
      </c>
      <c r="H308" s="58">
        <v>0.1744186046511628</v>
      </c>
      <c r="I308" s="56">
        <v>24.796896000110564</v>
      </c>
      <c r="J308" s="57">
        <v>0.41351014791564256</v>
      </c>
      <c r="K308" s="56">
        <v>69.84863845183979</v>
      </c>
      <c r="L308" s="41">
        <f t="shared" si="8"/>
        <v>31.54851148398345</v>
      </c>
      <c r="M308" s="131">
        <f t="shared" si="9"/>
        <v>38.298819682185858</v>
      </c>
    </row>
    <row r="309" spans="1:13" ht="18" x14ac:dyDescent="0.25">
      <c r="A309" s="80" t="s">
        <v>298</v>
      </c>
      <c r="B309" s="81">
        <v>412290</v>
      </c>
      <c r="C309" s="51">
        <v>9</v>
      </c>
      <c r="D309" s="57">
        <v>6.9767441860465115E-2</v>
      </c>
      <c r="E309" s="56">
        <v>6.9767441860465116</v>
      </c>
      <c r="F309" s="17">
        <v>163</v>
      </c>
      <c r="G309" s="17">
        <v>645</v>
      </c>
      <c r="H309" s="58">
        <v>0.25271317829457363</v>
      </c>
      <c r="I309" s="56">
        <v>38.263423083523065</v>
      </c>
      <c r="J309" s="57">
        <v>0.34519071042287636</v>
      </c>
      <c r="K309" s="56">
        <v>81.21991516566581</v>
      </c>
      <c r="L309" s="41">
        <f t="shared" si="8"/>
        <v>42.153360811745131</v>
      </c>
      <c r="M309" s="131">
        <f t="shared" si="9"/>
        <v>54.758445054796233</v>
      </c>
    </row>
    <row r="310" spans="1:13" ht="18" x14ac:dyDescent="0.25">
      <c r="A310" s="80" t="s">
        <v>277</v>
      </c>
      <c r="B310" s="81">
        <v>411220</v>
      </c>
      <c r="C310" s="51">
        <v>7</v>
      </c>
      <c r="D310" s="57">
        <v>5.8823529411764705E-2</v>
      </c>
      <c r="E310" s="56">
        <v>5.8823529411764701</v>
      </c>
      <c r="F310" s="17">
        <v>125</v>
      </c>
      <c r="G310" s="17">
        <v>644</v>
      </c>
      <c r="H310" s="58">
        <v>0.19409937888198758</v>
      </c>
      <c r="I310" s="56">
        <v>28.181954081006484</v>
      </c>
      <c r="J310" s="57">
        <v>0.41589879779988964</v>
      </c>
      <c r="K310" s="56">
        <v>69.451064938312285</v>
      </c>
      <c r="L310" s="41">
        <f t="shared" si="8"/>
        <v>34.505123986831741</v>
      </c>
      <c r="M310" s="131">
        <f t="shared" si="9"/>
        <v>42.887732986353491</v>
      </c>
    </row>
    <row r="311" spans="1:13" ht="18" x14ac:dyDescent="0.25">
      <c r="A311" s="80" t="s">
        <v>330</v>
      </c>
      <c r="B311" s="81">
        <v>412040</v>
      </c>
      <c r="C311" s="51">
        <v>8</v>
      </c>
      <c r="D311" s="57">
        <v>6.8965517241379309E-2</v>
      </c>
      <c r="E311" s="56">
        <v>6.8965517241379306</v>
      </c>
      <c r="F311" s="17">
        <v>75</v>
      </c>
      <c r="G311" s="17">
        <v>535</v>
      </c>
      <c r="H311" s="58">
        <v>0.14018691588785046</v>
      </c>
      <c r="I311" s="56">
        <v>18.909106560939271</v>
      </c>
      <c r="J311" s="57">
        <v>0.39818231771630369</v>
      </c>
      <c r="K311" s="56">
        <v>72.399845033973548</v>
      </c>
      <c r="L311" s="41">
        <f t="shared" si="8"/>
        <v>32.735167773016919</v>
      </c>
      <c r="M311" s="131">
        <f t="shared" si="9"/>
        <v>40.140610862793366</v>
      </c>
    </row>
    <row r="312" spans="1:13" ht="18" x14ac:dyDescent="0.25">
      <c r="A312" s="80" t="s">
        <v>349</v>
      </c>
      <c r="B312" s="81">
        <v>411340</v>
      </c>
      <c r="C312" s="51">
        <v>3</v>
      </c>
      <c r="D312" s="57">
        <v>0</v>
      </c>
      <c r="E312" s="56">
        <v>0</v>
      </c>
      <c r="F312" s="17">
        <v>92</v>
      </c>
      <c r="G312" s="17">
        <v>436</v>
      </c>
      <c r="H312" s="58">
        <v>0.21100917431192662</v>
      </c>
      <c r="I312" s="56">
        <v>31.090408748240034</v>
      </c>
      <c r="J312" s="57">
        <v>0.44523227867191495</v>
      </c>
      <c r="K312" s="56">
        <v>64.568719002562432</v>
      </c>
      <c r="L312" s="41">
        <f t="shared" si="8"/>
        <v>31.886375916934156</v>
      </c>
      <c r="M312" s="131">
        <f t="shared" si="9"/>
        <v>38.823213930630295</v>
      </c>
    </row>
    <row r="313" spans="1:13" ht="18" x14ac:dyDescent="0.25">
      <c r="A313" s="80" t="s">
        <v>311</v>
      </c>
      <c r="B313" s="81">
        <v>410754</v>
      </c>
      <c r="C313" s="51">
        <v>6</v>
      </c>
      <c r="D313" s="57">
        <v>4.7619047619047616E-2</v>
      </c>
      <c r="E313" s="56">
        <v>4.7619047619047619</v>
      </c>
      <c r="F313" s="17">
        <v>325</v>
      </c>
      <c r="G313" s="17">
        <v>737</v>
      </c>
      <c r="H313" s="58">
        <v>0.44097693351424694</v>
      </c>
      <c r="I313" s="56">
        <v>70.644453345433661</v>
      </c>
      <c r="J313" s="57">
        <v>0.36290025842970247</v>
      </c>
      <c r="K313" s="56">
        <v>78.272288864092005</v>
      </c>
      <c r="L313" s="41">
        <f t="shared" si="8"/>
        <v>51.226215657143477</v>
      </c>
      <c r="M313" s="131">
        <f t="shared" si="9"/>
        <v>68.840285088524396</v>
      </c>
    </row>
    <row r="314" spans="1:13" ht="18" x14ac:dyDescent="0.25">
      <c r="A314" s="80" t="s">
        <v>336</v>
      </c>
      <c r="B314" s="81">
        <v>412280</v>
      </c>
      <c r="C314" s="51">
        <v>0</v>
      </c>
      <c r="D314" s="57">
        <v>0</v>
      </c>
      <c r="E314" s="56">
        <v>0</v>
      </c>
      <c r="F314" s="17">
        <v>77</v>
      </c>
      <c r="G314" s="17">
        <v>526</v>
      </c>
      <c r="H314" s="58">
        <v>0.14638783269961977</v>
      </c>
      <c r="I314" s="56">
        <v>19.97565319759379</v>
      </c>
      <c r="J314" s="57">
        <v>0.40508079758232368</v>
      </c>
      <c r="K314" s="56">
        <v>71.251642906730098</v>
      </c>
      <c r="L314" s="41">
        <f t="shared" si="8"/>
        <v>30.409098701441295</v>
      </c>
      <c r="M314" s="131">
        <f t="shared" si="9"/>
        <v>36.530354429566771</v>
      </c>
    </row>
    <row r="315" spans="1:13" ht="18" x14ac:dyDescent="0.25">
      <c r="A315" s="80" t="s">
        <v>320</v>
      </c>
      <c r="B315" s="81">
        <v>410300</v>
      </c>
      <c r="C315" s="51">
        <v>8</v>
      </c>
      <c r="D315" s="57">
        <v>0</v>
      </c>
      <c r="E315" s="56">
        <v>0</v>
      </c>
      <c r="F315" s="17">
        <v>126</v>
      </c>
      <c r="G315" s="17">
        <v>533</v>
      </c>
      <c r="H315" s="58">
        <v>0.23639774859287055</v>
      </c>
      <c r="I315" s="56">
        <v>35.457198261913248</v>
      </c>
      <c r="J315" s="57">
        <v>0.51340212129340257</v>
      </c>
      <c r="K315" s="56">
        <v>53.222341274130699</v>
      </c>
      <c r="L315" s="41">
        <f t="shared" si="8"/>
        <v>29.559846512014648</v>
      </c>
      <c r="M315" s="131">
        <f t="shared" si="9"/>
        <v>35.212243021020981</v>
      </c>
    </row>
    <row r="316" spans="1:13" ht="18" x14ac:dyDescent="0.25">
      <c r="A316" s="80" t="s">
        <v>297</v>
      </c>
      <c r="B316" s="81">
        <v>412610</v>
      </c>
      <c r="C316" s="51">
        <v>8</v>
      </c>
      <c r="D316" s="57">
        <v>9.0909090909090912E-2</v>
      </c>
      <c r="E316" s="56">
        <v>9.0909090909090917</v>
      </c>
      <c r="F316" s="17">
        <v>132</v>
      </c>
      <c r="G316" s="17">
        <v>659</v>
      </c>
      <c r="H316" s="58">
        <v>0.20030349013657056</v>
      </c>
      <c r="I316" s="56">
        <v>29.249050156129915</v>
      </c>
      <c r="J316" s="57">
        <v>0.44978929832800024</v>
      </c>
      <c r="K316" s="56">
        <v>63.810236008536371</v>
      </c>
      <c r="L316" s="41">
        <f t="shared" si="8"/>
        <v>34.050065085191797</v>
      </c>
      <c r="M316" s="131">
        <f t="shared" si="9"/>
        <v>42.181442985244551</v>
      </c>
    </row>
    <row r="317" spans="1:13" ht="18" x14ac:dyDescent="0.25">
      <c r="A317" s="80" t="s">
        <v>317</v>
      </c>
      <c r="B317" s="81">
        <v>411360</v>
      </c>
      <c r="C317" s="51">
        <v>1</v>
      </c>
      <c r="D317" s="57">
        <v>0</v>
      </c>
      <c r="E317" s="56">
        <v>0</v>
      </c>
      <c r="F317" s="17">
        <v>128</v>
      </c>
      <c r="G317" s="17">
        <v>530</v>
      </c>
      <c r="H317" s="58">
        <v>0.24150943396226415</v>
      </c>
      <c r="I317" s="56">
        <v>36.336399032356624</v>
      </c>
      <c r="J317" s="57">
        <v>0.45420495181816301</v>
      </c>
      <c r="K317" s="56">
        <v>63.07528239135636</v>
      </c>
      <c r="L317" s="41">
        <f t="shared" si="8"/>
        <v>33.137227141237666</v>
      </c>
      <c r="M317" s="131">
        <f t="shared" si="9"/>
        <v>40.764641094051612</v>
      </c>
    </row>
    <row r="318" spans="1:13" ht="18" x14ac:dyDescent="0.25">
      <c r="A318" s="80" t="s">
        <v>282</v>
      </c>
      <c r="B318" s="81">
        <v>412690</v>
      </c>
      <c r="C318" s="51">
        <v>0</v>
      </c>
      <c r="D318" s="57">
        <v>0</v>
      </c>
      <c r="E318" s="56">
        <v>0</v>
      </c>
      <c r="F318" s="17">
        <v>165</v>
      </c>
      <c r="G318" s="17">
        <v>686</v>
      </c>
      <c r="H318" s="58">
        <v>0.24052478134110788</v>
      </c>
      <c r="I318" s="56">
        <v>36.16704053695252</v>
      </c>
      <c r="J318" s="57">
        <v>0.41586505466300072</v>
      </c>
      <c r="K318" s="56">
        <v>69.45668123962912</v>
      </c>
      <c r="L318" s="41">
        <f t="shared" si="8"/>
        <v>35.207907258860551</v>
      </c>
      <c r="M318" s="131">
        <f t="shared" si="9"/>
        <v>43.97851221557363</v>
      </c>
    </row>
    <row r="319" spans="1:13" ht="18" x14ac:dyDescent="0.25">
      <c r="A319" s="80" t="s">
        <v>325</v>
      </c>
      <c r="B319" s="81">
        <v>411090</v>
      </c>
      <c r="C319" s="51">
        <v>4</v>
      </c>
      <c r="D319" s="57">
        <v>0</v>
      </c>
      <c r="E319" s="56">
        <v>0</v>
      </c>
      <c r="F319" s="17">
        <v>124</v>
      </c>
      <c r="G319" s="17">
        <v>616</v>
      </c>
      <c r="H319" s="58">
        <v>0.20129870129870131</v>
      </c>
      <c r="I319" s="56">
        <v>29.420224701757906</v>
      </c>
      <c r="J319" s="57">
        <v>0.3919971141407862</v>
      </c>
      <c r="K319" s="56">
        <v>73.429327476594693</v>
      </c>
      <c r="L319" s="41">
        <f t="shared" si="8"/>
        <v>34.283184059450868</v>
      </c>
      <c r="M319" s="131">
        <f t="shared" si="9"/>
        <v>42.543263400128403</v>
      </c>
    </row>
    <row r="320" spans="1:13" ht="18" x14ac:dyDescent="0.25">
      <c r="A320" s="80" t="s">
        <v>351</v>
      </c>
      <c r="B320" s="81">
        <v>410337</v>
      </c>
      <c r="C320" s="51">
        <v>0</v>
      </c>
      <c r="D320" s="57">
        <v>0</v>
      </c>
      <c r="E320" s="56">
        <v>0</v>
      </c>
      <c r="F320" s="17">
        <v>110</v>
      </c>
      <c r="G320" s="17">
        <v>506</v>
      </c>
      <c r="H320" s="58">
        <v>0.21739130434782608</v>
      </c>
      <c r="I320" s="56">
        <v>32.188123736378735</v>
      </c>
      <c r="J320" s="57">
        <v>0.47110705892819205</v>
      </c>
      <c r="K320" s="56">
        <v>60.262048792715895</v>
      </c>
      <c r="L320" s="41">
        <f t="shared" si="8"/>
        <v>30.816724176364875</v>
      </c>
      <c r="M320" s="131">
        <f t="shared" si="9"/>
        <v>37.163023730394137</v>
      </c>
    </row>
    <row r="321" spans="1:13" ht="18" x14ac:dyDescent="0.25">
      <c r="A321" s="80" t="s">
        <v>295</v>
      </c>
      <c r="B321" s="81">
        <v>411170</v>
      </c>
      <c r="C321" s="51">
        <v>4</v>
      </c>
      <c r="D321" s="57">
        <v>0</v>
      </c>
      <c r="E321" s="56">
        <v>0</v>
      </c>
      <c r="F321" s="17">
        <v>189</v>
      </c>
      <c r="G321" s="17">
        <v>634</v>
      </c>
      <c r="H321" s="58">
        <v>0.29810725552050471</v>
      </c>
      <c r="I321" s="56">
        <v>46.071123438003077</v>
      </c>
      <c r="J321" s="57">
        <v>0.38335700909207965</v>
      </c>
      <c r="K321" s="56">
        <v>74.867410531007579</v>
      </c>
      <c r="L321" s="41">
        <f t="shared" si="8"/>
        <v>40.312844656336885</v>
      </c>
      <c r="M321" s="131">
        <f t="shared" si="9"/>
        <v>51.901807918901078</v>
      </c>
    </row>
    <row r="322" spans="1:13" ht="18" x14ac:dyDescent="0.25">
      <c r="A322" s="80" t="s">
        <v>291</v>
      </c>
      <c r="B322" s="81">
        <v>411695</v>
      </c>
      <c r="C322" s="51">
        <v>0</v>
      </c>
      <c r="D322" s="57">
        <v>9.2592592592592587E-2</v>
      </c>
      <c r="E322" s="56">
        <v>9.2592592592592595</v>
      </c>
      <c r="F322" s="17">
        <v>113</v>
      </c>
      <c r="G322" s="17">
        <v>728</v>
      </c>
      <c r="H322" s="58">
        <v>0.15521978021978022</v>
      </c>
      <c r="I322" s="56">
        <v>21.494732425500516</v>
      </c>
      <c r="J322" s="57">
        <v>0.44944308800314159</v>
      </c>
      <c r="K322" s="56">
        <v>63.867860215491646</v>
      </c>
      <c r="L322" s="41">
        <f t="shared" si="8"/>
        <v>31.540617300083806</v>
      </c>
      <c r="M322" s="131">
        <f t="shared" si="9"/>
        <v>38.286567239402871</v>
      </c>
    </row>
    <row r="323" spans="1:13" ht="18" x14ac:dyDescent="0.25">
      <c r="A323" s="80" t="s">
        <v>307</v>
      </c>
      <c r="B323" s="81">
        <v>412670</v>
      </c>
      <c r="C323" s="51">
        <v>2</v>
      </c>
      <c r="D323" s="57">
        <v>2.564102564102564E-2</v>
      </c>
      <c r="E323" s="56">
        <v>2.5641025641025639</v>
      </c>
      <c r="F323" s="17">
        <v>148</v>
      </c>
      <c r="G323" s="17">
        <v>617</v>
      </c>
      <c r="H323" s="58">
        <v>0.23987034035656402</v>
      </c>
      <c r="I323" s="56">
        <v>36.054477854345755</v>
      </c>
      <c r="J323" s="57">
        <v>0.47054517337407215</v>
      </c>
      <c r="K323" s="56">
        <v>60.35557058317378</v>
      </c>
      <c r="L323" s="41">
        <f t="shared" ref="L323:L386" si="10">(K323+I323+E323)/3</f>
        <v>32.991383667207366</v>
      </c>
      <c r="M323" s="131">
        <f t="shared" ref="M323:M386" si="11">(L323-L$402)/(L$403-L$402)*100</f>
        <v>40.53827965586553</v>
      </c>
    </row>
    <row r="324" spans="1:13" ht="18" x14ac:dyDescent="0.25">
      <c r="A324" s="80" t="s">
        <v>327</v>
      </c>
      <c r="B324" s="81">
        <v>410347</v>
      </c>
      <c r="C324" s="51">
        <v>9</v>
      </c>
      <c r="D324" s="57">
        <v>0</v>
      </c>
      <c r="E324" s="56">
        <v>0</v>
      </c>
      <c r="F324" s="17">
        <v>124</v>
      </c>
      <c r="G324" s="17">
        <v>525</v>
      </c>
      <c r="H324" s="58">
        <v>0.2361904761904762</v>
      </c>
      <c r="I324" s="56">
        <v>35.421547778225836</v>
      </c>
      <c r="J324" s="57">
        <v>0.38189420615017328</v>
      </c>
      <c r="K324" s="56">
        <v>75.110883510889437</v>
      </c>
      <c r="L324" s="41">
        <f t="shared" si="10"/>
        <v>36.844143763038424</v>
      </c>
      <c r="M324" s="131">
        <f t="shared" si="11"/>
        <v>46.5180900112953</v>
      </c>
    </row>
    <row r="325" spans="1:13" ht="18" x14ac:dyDescent="0.25">
      <c r="A325" s="80" t="s">
        <v>301</v>
      </c>
      <c r="B325" s="81">
        <v>410710</v>
      </c>
      <c r="C325" s="51">
        <v>8</v>
      </c>
      <c r="D325" s="57">
        <v>0</v>
      </c>
      <c r="E325" s="56">
        <v>0</v>
      </c>
      <c r="F325" s="17">
        <v>141</v>
      </c>
      <c r="G325" s="17">
        <v>513</v>
      </c>
      <c r="H325" s="58">
        <v>0.27485380116959063</v>
      </c>
      <c r="I325" s="56">
        <v>42.071570745811684</v>
      </c>
      <c r="J325" s="57">
        <v>0.40627333442588182</v>
      </c>
      <c r="K325" s="56">
        <v>71.053153766052262</v>
      </c>
      <c r="L325" s="41">
        <f t="shared" si="10"/>
        <v>37.708241503954646</v>
      </c>
      <c r="M325" s="131">
        <f t="shared" si="11"/>
        <v>47.859242974550256</v>
      </c>
    </row>
    <row r="326" spans="1:13" ht="18" x14ac:dyDescent="0.25">
      <c r="A326" s="80" t="s">
        <v>305</v>
      </c>
      <c r="B326" s="81">
        <v>410965</v>
      </c>
      <c r="C326" s="51">
        <v>8</v>
      </c>
      <c r="D326" s="57">
        <v>3.7037037037037035E-2</v>
      </c>
      <c r="E326" s="56">
        <v>3.7037037037037033</v>
      </c>
      <c r="F326" s="17">
        <v>235</v>
      </c>
      <c r="G326" s="17">
        <v>726</v>
      </c>
      <c r="H326" s="58">
        <v>0.32369146005509641</v>
      </c>
      <c r="I326" s="56">
        <v>50.47156100653487</v>
      </c>
      <c r="J326" s="57">
        <v>0.48399768207308785</v>
      </c>
      <c r="K326" s="56">
        <v>58.116497714228444</v>
      </c>
      <c r="L326" s="41">
        <f t="shared" si="10"/>
        <v>37.430587474822339</v>
      </c>
      <c r="M326" s="131">
        <f t="shared" si="11"/>
        <v>47.428300378246711</v>
      </c>
    </row>
    <row r="327" spans="1:13" ht="18" x14ac:dyDescent="0.25">
      <c r="A327" s="80" t="s">
        <v>343</v>
      </c>
      <c r="B327" s="81">
        <v>411630</v>
      </c>
      <c r="C327" s="51">
        <v>7</v>
      </c>
      <c r="D327" s="57">
        <v>0</v>
      </c>
      <c r="E327" s="56">
        <v>0</v>
      </c>
      <c r="F327" s="17">
        <v>125</v>
      </c>
      <c r="G327" s="17">
        <v>510</v>
      </c>
      <c r="H327" s="58">
        <v>0.24509803921568626</v>
      </c>
      <c r="I327" s="56">
        <v>36.953632738194074</v>
      </c>
      <c r="J327" s="57">
        <v>0.39648491099114336</v>
      </c>
      <c r="K327" s="56">
        <v>72.682366118397752</v>
      </c>
      <c r="L327" s="41">
        <f t="shared" si="10"/>
        <v>36.545332952197278</v>
      </c>
      <c r="M327" s="131">
        <f t="shared" si="11"/>
        <v>46.05431029583476</v>
      </c>
    </row>
    <row r="328" spans="1:13" ht="18" x14ac:dyDescent="0.25">
      <c r="A328" s="80" t="s">
        <v>334</v>
      </c>
      <c r="B328" s="81">
        <v>410657</v>
      </c>
      <c r="C328" s="51">
        <v>1</v>
      </c>
      <c r="D328" s="57">
        <v>0</v>
      </c>
      <c r="E328" s="56">
        <v>0</v>
      </c>
      <c r="F328" s="17">
        <v>108</v>
      </c>
      <c r="G328" s="17">
        <v>541</v>
      </c>
      <c r="H328" s="58">
        <v>0.19963031423290203</v>
      </c>
      <c r="I328" s="56">
        <v>29.133265100834254</v>
      </c>
      <c r="J328" s="57">
        <v>0.47079474948195132</v>
      </c>
      <c r="K328" s="56">
        <v>60.314030443383338</v>
      </c>
      <c r="L328" s="41">
        <f t="shared" si="10"/>
        <v>29.815765181405865</v>
      </c>
      <c r="M328" s="131">
        <f t="shared" si="11"/>
        <v>35.609450496002196</v>
      </c>
    </row>
    <row r="329" spans="1:13" ht="18" x14ac:dyDescent="0.25">
      <c r="A329" s="80" t="s">
        <v>371</v>
      </c>
      <c r="B329" s="81">
        <v>412020</v>
      </c>
      <c r="C329" s="51">
        <v>0</v>
      </c>
      <c r="D329" s="57">
        <v>0</v>
      </c>
      <c r="E329" s="56">
        <v>0</v>
      </c>
      <c r="F329" s="17">
        <v>100</v>
      </c>
      <c r="G329" s="17">
        <v>395</v>
      </c>
      <c r="H329" s="58">
        <v>0.25316455696202533</v>
      </c>
      <c r="I329" s="56">
        <v>38.341059409608668</v>
      </c>
      <c r="J329" s="57">
        <v>0.52594478182520565</v>
      </c>
      <c r="K329" s="56">
        <v>51.134706058313547</v>
      </c>
      <c r="L329" s="41">
        <f t="shared" si="10"/>
        <v>29.825255155974073</v>
      </c>
      <c r="M329" s="131">
        <f t="shared" si="11"/>
        <v>35.624179741214512</v>
      </c>
    </row>
    <row r="330" spans="1:13" ht="18" x14ac:dyDescent="0.25">
      <c r="A330" s="80" t="s">
        <v>361</v>
      </c>
      <c r="B330" s="81">
        <v>412310</v>
      </c>
      <c r="C330" s="51">
        <v>5</v>
      </c>
      <c r="D330" s="57">
        <v>0.14285714285714285</v>
      </c>
      <c r="E330" s="56">
        <v>14.285714285714285</v>
      </c>
      <c r="F330" s="17">
        <v>140</v>
      </c>
      <c r="G330" s="17">
        <v>416</v>
      </c>
      <c r="H330" s="58">
        <v>0.33653846153846156</v>
      </c>
      <c r="I330" s="56">
        <v>52.681222358090587</v>
      </c>
      <c r="J330" s="57">
        <v>0.36381835498575832</v>
      </c>
      <c r="K330" s="56">
        <v>78.119478326241378</v>
      </c>
      <c r="L330" s="41">
        <f t="shared" si="10"/>
        <v>48.362138323348745</v>
      </c>
      <c r="M330" s="131">
        <f t="shared" si="11"/>
        <v>64.394994213053181</v>
      </c>
    </row>
    <row r="331" spans="1:13" ht="18" x14ac:dyDescent="0.25">
      <c r="A331" s="80" t="s">
        <v>367</v>
      </c>
      <c r="B331" s="81">
        <v>410115</v>
      </c>
      <c r="C331" s="51">
        <v>0</v>
      </c>
      <c r="D331" s="57">
        <v>7.1428571428571425E-2</v>
      </c>
      <c r="E331" s="56">
        <v>7.1428571428571423</v>
      </c>
      <c r="F331" s="17">
        <v>100</v>
      </c>
      <c r="G331" s="17">
        <v>444</v>
      </c>
      <c r="H331" s="58">
        <v>0.22522522522522523</v>
      </c>
      <c r="I331" s="56">
        <v>33.535544161008431</v>
      </c>
      <c r="J331" s="57">
        <v>0.44413769968450606</v>
      </c>
      <c r="K331" s="56">
        <v>64.750903765899864</v>
      </c>
      <c r="L331" s="41">
        <f t="shared" si="10"/>
        <v>35.143101689921814</v>
      </c>
      <c r="M331" s="131">
        <f t="shared" si="11"/>
        <v>43.877928477528613</v>
      </c>
    </row>
    <row r="332" spans="1:13" ht="18" x14ac:dyDescent="0.25">
      <c r="A332" s="80" t="s">
        <v>342</v>
      </c>
      <c r="B332" s="81">
        <v>412545</v>
      </c>
      <c r="C332" s="51">
        <v>6</v>
      </c>
      <c r="D332" s="57">
        <v>0</v>
      </c>
      <c r="E332" s="56">
        <v>0</v>
      </c>
      <c r="F332" s="17">
        <v>146</v>
      </c>
      <c r="G332" s="17">
        <v>555</v>
      </c>
      <c r="H332" s="58">
        <v>0.26306306306306304</v>
      </c>
      <c r="I332" s="56">
        <v>40.043584811969893</v>
      </c>
      <c r="J332" s="57">
        <v>0.38530743102202419</v>
      </c>
      <c r="K332" s="56">
        <v>74.542776893963037</v>
      </c>
      <c r="L332" s="41">
        <f t="shared" si="10"/>
        <v>38.195453901977643</v>
      </c>
      <c r="M332" s="131">
        <f t="shared" si="11"/>
        <v>48.615437928433899</v>
      </c>
    </row>
    <row r="333" spans="1:13" ht="18" x14ac:dyDescent="0.25">
      <c r="A333" s="80" t="s">
        <v>300</v>
      </c>
      <c r="B333" s="81">
        <v>412530</v>
      </c>
      <c r="C333" s="51">
        <v>8</v>
      </c>
      <c r="D333" s="57">
        <v>0.10526315789473684</v>
      </c>
      <c r="E333" s="56">
        <v>10.526315789473683</v>
      </c>
      <c r="F333" s="17">
        <v>70</v>
      </c>
      <c r="G333" s="17">
        <v>518</v>
      </c>
      <c r="H333" s="58">
        <v>0.13513513513513514</v>
      </c>
      <c r="I333" s="56">
        <v>18.040209277766849</v>
      </c>
      <c r="J333" s="57">
        <v>0.45182225593105563</v>
      </c>
      <c r="K333" s="56">
        <v>63.471864905081851</v>
      </c>
      <c r="L333" s="41">
        <f t="shared" si="10"/>
        <v>30.679463324107459</v>
      </c>
      <c r="M333" s="131">
        <f t="shared" si="11"/>
        <v>36.94998324894496</v>
      </c>
    </row>
    <row r="334" spans="1:13" ht="18" x14ac:dyDescent="0.25">
      <c r="A334" s="80" t="s">
        <v>321</v>
      </c>
      <c r="B334" s="81">
        <v>410715</v>
      </c>
      <c r="C334" s="51">
        <v>7</v>
      </c>
      <c r="D334" s="57">
        <v>6.5217391304347824E-2</v>
      </c>
      <c r="E334" s="56">
        <v>6.5217391304347823</v>
      </c>
      <c r="F334" s="17">
        <v>165</v>
      </c>
      <c r="G334" s="17">
        <v>621</v>
      </c>
      <c r="H334" s="58">
        <v>0.26570048309178745</v>
      </c>
      <c r="I334" s="56">
        <v>40.497216354928561</v>
      </c>
      <c r="J334" s="57">
        <v>0.3880627620367873</v>
      </c>
      <c r="K334" s="56">
        <v>74.084171955794815</v>
      </c>
      <c r="L334" s="41">
        <f t="shared" si="10"/>
        <v>40.367709147052722</v>
      </c>
      <c r="M334" s="131">
        <f t="shared" si="11"/>
        <v>51.9869622606113</v>
      </c>
    </row>
    <row r="335" spans="1:13" ht="18" x14ac:dyDescent="0.25">
      <c r="A335" s="80" t="s">
        <v>302</v>
      </c>
      <c r="B335" s="81">
        <v>412635</v>
      </c>
      <c r="C335" s="51">
        <v>5</v>
      </c>
      <c r="D335" s="57">
        <v>2.3255813953488372E-2</v>
      </c>
      <c r="E335" s="56">
        <v>2.3255813953488373</v>
      </c>
      <c r="F335" s="17">
        <v>59</v>
      </c>
      <c r="G335" s="17">
        <v>571</v>
      </c>
      <c r="H335" s="58">
        <v>0.10332749562171628</v>
      </c>
      <c r="I335" s="56">
        <v>12.569351987991883</v>
      </c>
      <c r="J335" s="57">
        <v>0.44584856878949586</v>
      </c>
      <c r="K335" s="56">
        <v>64.466141965628381</v>
      </c>
      <c r="L335" s="41">
        <f t="shared" si="10"/>
        <v>26.453691782989697</v>
      </c>
      <c r="M335" s="131">
        <f t="shared" si="11"/>
        <v>30.391227501708201</v>
      </c>
    </row>
    <row r="336" spans="1:13" ht="18" x14ac:dyDescent="0.25">
      <c r="A336" s="80" t="s">
        <v>366</v>
      </c>
      <c r="B336" s="81">
        <v>411573</v>
      </c>
      <c r="C336" s="51">
        <v>9</v>
      </c>
      <c r="D336" s="57">
        <v>3.4482758620689655E-2</v>
      </c>
      <c r="E336" s="56">
        <v>3.4482758620689653</v>
      </c>
      <c r="F336" s="17">
        <v>153</v>
      </c>
      <c r="G336" s="17">
        <v>390</v>
      </c>
      <c r="H336" s="58">
        <v>0.3923076923076923</v>
      </c>
      <c r="I336" s="56">
        <v>62.273430625235704</v>
      </c>
      <c r="J336" s="57">
        <v>0.37707479050933873</v>
      </c>
      <c r="K336" s="56">
        <v>75.913040420578184</v>
      </c>
      <c r="L336" s="41">
        <f t="shared" si="10"/>
        <v>47.211582302627619</v>
      </c>
      <c r="M336" s="131">
        <f t="shared" si="11"/>
        <v>62.609233709912857</v>
      </c>
    </row>
    <row r="337" spans="1:13" ht="18" x14ac:dyDescent="0.25">
      <c r="A337" s="80" t="s">
        <v>308</v>
      </c>
      <c r="B337" s="81">
        <v>411375</v>
      </c>
      <c r="C337" s="51">
        <v>9</v>
      </c>
      <c r="D337" s="57">
        <v>3.7037037037037035E-2</v>
      </c>
      <c r="E337" s="56">
        <v>3.7037037037037033</v>
      </c>
      <c r="F337" s="17">
        <v>180</v>
      </c>
      <c r="G337" s="17">
        <v>522</v>
      </c>
      <c r="H337" s="58">
        <v>0.34482758620689657</v>
      </c>
      <c r="I337" s="56">
        <v>54.106937023242949</v>
      </c>
      <c r="J337" s="57">
        <v>0.39488650605363679</v>
      </c>
      <c r="K337" s="56">
        <v>72.948409070625758</v>
      </c>
      <c r="L337" s="41">
        <f t="shared" si="10"/>
        <v>43.586349932524136</v>
      </c>
      <c r="M337" s="131">
        <f t="shared" si="11"/>
        <v>56.982565677547889</v>
      </c>
    </row>
    <row r="338" spans="1:13" ht="18" x14ac:dyDescent="0.25">
      <c r="A338" s="80" t="s">
        <v>386</v>
      </c>
      <c r="B338" s="81">
        <v>410810</v>
      </c>
      <c r="C338" s="51">
        <v>6</v>
      </c>
      <c r="D338" s="57">
        <v>0</v>
      </c>
      <c r="E338" s="56">
        <v>0</v>
      </c>
      <c r="F338" s="17">
        <v>61</v>
      </c>
      <c r="G338" s="17">
        <v>334</v>
      </c>
      <c r="H338" s="58">
        <v>0.18263473053892215</v>
      </c>
      <c r="I338" s="56">
        <v>26.210055005128652</v>
      </c>
      <c r="J338" s="57">
        <v>0.46801440625068497</v>
      </c>
      <c r="K338" s="56">
        <v>60.77679848425737</v>
      </c>
      <c r="L338" s="41">
        <f t="shared" si="10"/>
        <v>28.995617829795339</v>
      </c>
      <c r="M338" s="131">
        <f t="shared" si="11"/>
        <v>34.336512263630617</v>
      </c>
    </row>
    <row r="339" spans="1:13" ht="18" x14ac:dyDescent="0.25">
      <c r="A339" s="80" t="s">
        <v>263</v>
      </c>
      <c r="B339" s="81">
        <v>411870</v>
      </c>
      <c r="C339" s="51">
        <v>9</v>
      </c>
      <c r="D339" s="57">
        <v>1.282051282051282E-2</v>
      </c>
      <c r="E339" s="56">
        <v>1.2820512820512819</v>
      </c>
      <c r="F339" s="17">
        <v>108</v>
      </c>
      <c r="G339" s="17">
        <v>688</v>
      </c>
      <c r="H339" s="58">
        <v>0.15697674418604651</v>
      </c>
      <c r="I339" s="56">
        <v>21.79692709538995</v>
      </c>
      <c r="J339" s="57">
        <v>0.390718923071943</v>
      </c>
      <c r="K339" s="56">
        <v>73.642073144158132</v>
      </c>
      <c r="L339" s="41">
        <f t="shared" si="10"/>
        <v>32.240350507199786</v>
      </c>
      <c r="M339" s="131">
        <f t="shared" si="11"/>
        <v>39.372612509254438</v>
      </c>
    </row>
    <row r="340" spans="1:13" ht="18" x14ac:dyDescent="0.25">
      <c r="A340" s="80" t="s">
        <v>314</v>
      </c>
      <c r="B340" s="81">
        <v>410920</v>
      </c>
      <c r="C340" s="51">
        <v>3</v>
      </c>
      <c r="D340" s="57">
        <v>0</v>
      </c>
      <c r="E340" s="56">
        <v>0</v>
      </c>
      <c r="F340" s="17">
        <v>129</v>
      </c>
      <c r="G340" s="17">
        <v>560</v>
      </c>
      <c r="H340" s="58">
        <v>0.23035714285714284</v>
      </c>
      <c r="I340" s="56">
        <v>34.418224844535942</v>
      </c>
      <c r="J340" s="57">
        <v>0.31870720660865837</v>
      </c>
      <c r="K340" s="56">
        <v>85.627903013268138</v>
      </c>
      <c r="L340" s="41">
        <f t="shared" si="10"/>
        <v>40.01537595260136</v>
      </c>
      <c r="M340" s="131">
        <f t="shared" si="11"/>
        <v>51.440111267469611</v>
      </c>
    </row>
    <row r="341" spans="1:13" ht="18" x14ac:dyDescent="0.25">
      <c r="A341" s="80" t="s">
        <v>362</v>
      </c>
      <c r="B341" s="81">
        <v>412320</v>
      </c>
      <c r="C341" s="51">
        <v>4</v>
      </c>
      <c r="D341" s="57">
        <v>0</v>
      </c>
      <c r="E341" s="56">
        <v>0</v>
      </c>
      <c r="F341" s="17">
        <v>116</v>
      </c>
      <c r="G341" s="17">
        <v>428</v>
      </c>
      <c r="H341" s="58">
        <v>0.27102803738317754</v>
      </c>
      <c r="I341" s="56">
        <v>41.413546195105077</v>
      </c>
      <c r="J341" s="57">
        <v>0.40211930355244652</v>
      </c>
      <c r="K341" s="56">
        <v>71.744562189088697</v>
      </c>
      <c r="L341" s="41">
        <f t="shared" si="10"/>
        <v>37.719369461397925</v>
      </c>
      <c r="M341" s="131">
        <f t="shared" si="11"/>
        <v>47.87651450807401</v>
      </c>
    </row>
    <row r="342" spans="1:13" ht="18" x14ac:dyDescent="0.25">
      <c r="A342" s="80" t="s">
        <v>329</v>
      </c>
      <c r="B342" s="81">
        <v>410785</v>
      </c>
      <c r="C342" s="51">
        <v>0</v>
      </c>
      <c r="D342" s="57">
        <v>3.3613445378151259E-2</v>
      </c>
      <c r="E342" s="56">
        <v>3.3613445378151261</v>
      </c>
      <c r="F342" s="17">
        <v>176</v>
      </c>
      <c r="G342" s="17">
        <v>578</v>
      </c>
      <c r="H342" s="58">
        <v>0.30449826989619377</v>
      </c>
      <c r="I342" s="56">
        <v>47.170366516746611</v>
      </c>
      <c r="J342" s="57">
        <v>0.41943551387048905</v>
      </c>
      <c r="K342" s="56">
        <v>68.862404103666506</v>
      </c>
      <c r="L342" s="41">
        <f t="shared" si="10"/>
        <v>39.79803838607608</v>
      </c>
      <c r="M342" s="131">
        <f t="shared" si="11"/>
        <v>51.102784935539923</v>
      </c>
    </row>
    <row r="343" spans="1:13" ht="18" x14ac:dyDescent="0.25">
      <c r="A343" s="80" t="s">
        <v>348</v>
      </c>
      <c r="B343" s="81">
        <v>410655</v>
      </c>
      <c r="C343" s="51">
        <v>5</v>
      </c>
      <c r="D343" s="57">
        <v>3.125E-2</v>
      </c>
      <c r="E343" s="56">
        <v>3.125</v>
      </c>
      <c r="F343" s="17">
        <v>121</v>
      </c>
      <c r="G343" s="17">
        <v>432</v>
      </c>
      <c r="H343" s="58">
        <v>0.28009259259259262</v>
      </c>
      <c r="I343" s="56">
        <v>42.972633530871533</v>
      </c>
      <c r="J343" s="57">
        <v>0.40522855450342748</v>
      </c>
      <c r="K343" s="56">
        <v>71.227049834861901</v>
      </c>
      <c r="L343" s="41">
        <f t="shared" si="10"/>
        <v>39.108227788577814</v>
      </c>
      <c r="M343" s="131">
        <f t="shared" si="11"/>
        <v>50.032140397181877</v>
      </c>
    </row>
    <row r="344" spans="1:13" ht="18" x14ac:dyDescent="0.25">
      <c r="A344" s="80" t="s">
        <v>244</v>
      </c>
      <c r="B344" s="81">
        <v>410130</v>
      </c>
      <c r="C344" s="51">
        <v>9</v>
      </c>
      <c r="D344" s="57">
        <v>2.7272727272727271E-2</v>
      </c>
      <c r="E344" s="56">
        <v>2.7272727272727271</v>
      </c>
      <c r="F344" s="17">
        <v>340</v>
      </c>
      <c r="G344" s="17">
        <v>824</v>
      </c>
      <c r="H344" s="58">
        <v>0.41262135922330095</v>
      </c>
      <c r="I344" s="56">
        <v>65.767345119595902</v>
      </c>
      <c r="J344" s="57">
        <v>0.35812301555789183</v>
      </c>
      <c r="K344" s="56">
        <v>79.067426421105154</v>
      </c>
      <c r="L344" s="41">
        <f t="shared" si="10"/>
        <v>49.187348089324594</v>
      </c>
      <c r="M344" s="131">
        <f t="shared" si="11"/>
        <v>65.675789741776541</v>
      </c>
    </row>
    <row r="345" spans="1:13" ht="18" x14ac:dyDescent="0.25">
      <c r="A345" s="80" t="s">
        <v>363</v>
      </c>
      <c r="B345" s="81">
        <v>412395</v>
      </c>
      <c r="C345" s="51">
        <v>6</v>
      </c>
      <c r="D345" s="57">
        <v>4.5454545454545456E-2</v>
      </c>
      <c r="E345" s="56">
        <v>4.5454545454545459</v>
      </c>
      <c r="F345" s="17">
        <v>167</v>
      </c>
      <c r="G345" s="17">
        <v>488</v>
      </c>
      <c r="H345" s="58">
        <v>0.34221311475409838</v>
      </c>
      <c r="I345" s="56">
        <v>53.657252594430958</v>
      </c>
      <c r="J345" s="57">
        <v>0.39689651164689776</v>
      </c>
      <c r="K345" s="56">
        <v>72.613858163356824</v>
      </c>
      <c r="L345" s="41">
        <f t="shared" si="10"/>
        <v>43.60552176774744</v>
      </c>
      <c r="M345" s="131">
        <f t="shared" si="11"/>
        <v>57.012321991449951</v>
      </c>
    </row>
    <row r="346" spans="1:13" ht="18" x14ac:dyDescent="0.25">
      <c r="A346" s="80" t="s">
        <v>375</v>
      </c>
      <c r="B346" s="81">
        <v>412862</v>
      </c>
      <c r="C346" s="51">
        <v>5</v>
      </c>
      <c r="D346" s="57">
        <v>7.407407407407407E-2</v>
      </c>
      <c r="E346" s="56">
        <v>7.4074074074074066</v>
      </c>
      <c r="F346" s="17">
        <v>128</v>
      </c>
      <c r="G346" s="17">
        <v>439</v>
      </c>
      <c r="H346" s="58">
        <v>0.29157175398633256</v>
      </c>
      <c r="I346" s="56">
        <v>44.94702882559158</v>
      </c>
      <c r="J346" s="57">
        <v>0.49395377410227914</v>
      </c>
      <c r="K346" s="56">
        <v>56.459378135861918</v>
      </c>
      <c r="L346" s="41">
        <f t="shared" si="10"/>
        <v>36.271271456286968</v>
      </c>
      <c r="M346" s="131">
        <f t="shared" si="11"/>
        <v>45.628943615713055</v>
      </c>
    </row>
    <row r="347" spans="1:13" ht="18" x14ac:dyDescent="0.25">
      <c r="A347" s="80" t="s">
        <v>322</v>
      </c>
      <c r="B347" s="81">
        <v>411545</v>
      </c>
      <c r="C347" s="51">
        <v>7</v>
      </c>
      <c r="D347" s="57">
        <v>0</v>
      </c>
      <c r="E347" s="56">
        <v>0</v>
      </c>
      <c r="F347" s="17">
        <v>236</v>
      </c>
      <c r="G347" s="17">
        <v>627</v>
      </c>
      <c r="H347" s="58">
        <v>0.37639553429027112</v>
      </c>
      <c r="I347" s="56">
        <v>59.536567814371224</v>
      </c>
      <c r="J347" s="57">
        <v>0.45793668690558054</v>
      </c>
      <c r="K347" s="56">
        <v>62.454162050513219</v>
      </c>
      <c r="L347" s="41">
        <f t="shared" si="10"/>
        <v>40.663576621628145</v>
      </c>
      <c r="M347" s="131">
        <f t="shared" si="11"/>
        <v>52.446173668613426</v>
      </c>
    </row>
    <row r="348" spans="1:13" ht="18" x14ac:dyDescent="0.25">
      <c r="A348" s="80" t="s">
        <v>274</v>
      </c>
      <c r="B348" s="81">
        <v>410740</v>
      </c>
      <c r="C348" s="51">
        <v>5</v>
      </c>
      <c r="D348" s="57">
        <v>0</v>
      </c>
      <c r="E348" s="56">
        <v>0</v>
      </c>
      <c r="F348" s="17">
        <v>180</v>
      </c>
      <c r="G348" s="17">
        <v>753</v>
      </c>
      <c r="H348" s="58">
        <v>0.23904382470119523</v>
      </c>
      <c r="I348" s="56">
        <v>35.912318635131143</v>
      </c>
      <c r="J348" s="57">
        <v>0.46431656554855971</v>
      </c>
      <c r="K348" s="56">
        <v>61.392277349579807</v>
      </c>
      <c r="L348" s="41">
        <f t="shared" si="10"/>
        <v>32.434865328236981</v>
      </c>
      <c r="M348" s="131">
        <f t="shared" si="11"/>
        <v>39.674516004979857</v>
      </c>
    </row>
    <row r="349" spans="1:13" ht="18" x14ac:dyDescent="0.25">
      <c r="A349" s="80" t="s">
        <v>352</v>
      </c>
      <c r="B349" s="81">
        <v>411640</v>
      </c>
      <c r="C349" s="51">
        <v>6</v>
      </c>
      <c r="D349" s="57">
        <v>5.8823529411764705E-2</v>
      </c>
      <c r="E349" s="56">
        <v>5.8823529411764701</v>
      </c>
      <c r="F349" s="17">
        <v>77</v>
      </c>
      <c r="G349" s="17">
        <v>462</v>
      </c>
      <c r="H349" s="58">
        <v>0.16666666666666666</v>
      </c>
      <c r="I349" s="56">
        <v>23.463576486901403</v>
      </c>
      <c r="J349" s="57">
        <v>0.3966473978949982</v>
      </c>
      <c r="K349" s="56">
        <v>72.655321347335317</v>
      </c>
      <c r="L349" s="41">
        <f t="shared" si="10"/>
        <v>34.000416925137728</v>
      </c>
      <c r="M349" s="131">
        <f t="shared" si="11"/>
        <v>42.104384831029186</v>
      </c>
    </row>
    <row r="350" spans="1:13" ht="18" x14ac:dyDescent="0.25">
      <c r="A350" s="80" t="s">
        <v>368</v>
      </c>
      <c r="B350" s="81">
        <v>410322</v>
      </c>
      <c r="C350" s="51">
        <v>2</v>
      </c>
      <c r="D350" s="57">
        <v>0</v>
      </c>
      <c r="E350" s="56">
        <v>0</v>
      </c>
      <c r="F350" s="17">
        <v>77</v>
      </c>
      <c r="G350" s="17">
        <v>421</v>
      </c>
      <c r="H350" s="58">
        <v>0.1828978622327791</v>
      </c>
      <c r="I350" s="56">
        <v>26.255313187361907</v>
      </c>
      <c r="J350" s="57">
        <v>0.49993068536354679</v>
      </c>
      <c r="K350" s="56">
        <v>55.464564443886566</v>
      </c>
      <c r="L350" s="41">
        <f t="shared" si="10"/>
        <v>27.239959210416156</v>
      </c>
      <c r="M350" s="131">
        <f t="shared" si="11"/>
        <v>31.611581218969093</v>
      </c>
    </row>
    <row r="351" spans="1:13" ht="18" x14ac:dyDescent="0.25">
      <c r="A351" s="80" t="s">
        <v>395</v>
      </c>
      <c r="B351" s="81">
        <v>411590</v>
      </c>
      <c r="C351" s="51">
        <v>3</v>
      </c>
      <c r="D351" s="57">
        <v>0</v>
      </c>
      <c r="E351" s="56">
        <v>0</v>
      </c>
      <c r="F351" s="17">
        <v>95</v>
      </c>
      <c r="G351" s="17">
        <v>339</v>
      </c>
      <c r="H351" s="58">
        <v>0.28023598820058998</v>
      </c>
      <c r="I351" s="56">
        <v>42.997297319801966</v>
      </c>
      <c r="J351" s="57">
        <v>0.48362922004020859</v>
      </c>
      <c r="K351" s="56">
        <v>58.177825557199235</v>
      </c>
      <c r="L351" s="41">
        <f t="shared" si="10"/>
        <v>33.725040959000403</v>
      </c>
      <c r="M351" s="131">
        <f t="shared" si="11"/>
        <v>41.676977981657402</v>
      </c>
    </row>
    <row r="352" spans="1:13" ht="18" x14ac:dyDescent="0.25">
      <c r="A352" s="80" t="s">
        <v>340</v>
      </c>
      <c r="B352" s="81">
        <v>410220</v>
      </c>
      <c r="C352" s="51">
        <v>8</v>
      </c>
      <c r="D352" s="57">
        <v>0</v>
      </c>
      <c r="E352" s="56">
        <v>0</v>
      </c>
      <c r="F352" s="17">
        <v>78</v>
      </c>
      <c r="G352" s="17">
        <v>405</v>
      </c>
      <c r="H352" s="58">
        <v>0.19259259259259259</v>
      </c>
      <c r="I352" s="56">
        <v>27.922789525523147</v>
      </c>
      <c r="J352" s="57">
        <v>0.47907025358426392</v>
      </c>
      <c r="K352" s="56">
        <v>58.936632581994871</v>
      </c>
      <c r="L352" s="41">
        <f t="shared" si="10"/>
        <v>28.953140702506005</v>
      </c>
      <c r="M352" s="131">
        <f t="shared" si="11"/>
        <v>34.270584160318784</v>
      </c>
    </row>
    <row r="353" spans="1:13" ht="18" x14ac:dyDescent="0.25">
      <c r="A353" s="80" t="s">
        <v>345</v>
      </c>
      <c r="B353" s="81">
        <v>410395</v>
      </c>
      <c r="C353" s="51">
        <v>8</v>
      </c>
      <c r="D353" s="57">
        <v>0.1</v>
      </c>
      <c r="E353" s="56">
        <v>10</v>
      </c>
      <c r="F353" s="17">
        <v>224</v>
      </c>
      <c r="G353" s="17">
        <v>562</v>
      </c>
      <c r="H353" s="58">
        <v>0.39857651245551601</v>
      </c>
      <c r="I353" s="56">
        <v>63.351656514633781</v>
      </c>
      <c r="J353" s="57">
        <v>0.47950911423491072</v>
      </c>
      <c r="K353" s="56">
        <v>58.863587397777096</v>
      </c>
      <c r="L353" s="41">
        <f t="shared" si="10"/>
        <v>44.071747970803621</v>
      </c>
      <c r="M353" s="131">
        <f t="shared" si="11"/>
        <v>57.735944591264776</v>
      </c>
    </row>
    <row r="354" spans="1:13" ht="18" x14ac:dyDescent="0.25">
      <c r="A354" s="80" t="s">
        <v>365</v>
      </c>
      <c r="B354" s="81">
        <v>411660</v>
      </c>
      <c r="C354" s="51">
        <v>4</v>
      </c>
      <c r="D354" s="57">
        <v>0</v>
      </c>
      <c r="E354" s="56">
        <v>0</v>
      </c>
      <c r="F354" s="17">
        <v>115</v>
      </c>
      <c r="G354" s="17">
        <v>370</v>
      </c>
      <c r="H354" s="58">
        <v>0.3108108108108108</v>
      </c>
      <c r="I354" s="56">
        <v>48.256112300087935</v>
      </c>
      <c r="J354" s="57">
        <v>0.45363669963940217</v>
      </c>
      <c r="K354" s="56">
        <v>63.169863860482302</v>
      </c>
      <c r="L354" s="41">
        <f t="shared" si="10"/>
        <v>37.14199205352341</v>
      </c>
      <c r="M354" s="131">
        <f t="shared" si="11"/>
        <v>46.980375813548186</v>
      </c>
    </row>
    <row r="355" spans="1:13" ht="18" x14ac:dyDescent="0.25">
      <c r="A355" s="80" t="s">
        <v>379</v>
      </c>
      <c r="B355" s="81">
        <v>410105</v>
      </c>
      <c r="C355" s="51">
        <v>1</v>
      </c>
      <c r="D355" s="57">
        <v>0</v>
      </c>
      <c r="E355" s="56">
        <v>0</v>
      </c>
      <c r="F355" s="17">
        <v>76</v>
      </c>
      <c r="G355" s="17">
        <v>342</v>
      </c>
      <c r="H355" s="58">
        <v>0.22222222222222221</v>
      </c>
      <c r="I355" s="56">
        <v>33.019032998233705</v>
      </c>
      <c r="J355" s="57">
        <v>0.39082430826998299</v>
      </c>
      <c r="K355" s="56">
        <v>73.624532539427875</v>
      </c>
      <c r="L355" s="41">
        <f t="shared" si="10"/>
        <v>35.547855179220527</v>
      </c>
      <c r="M355" s="131">
        <f t="shared" si="11"/>
        <v>44.506140213142196</v>
      </c>
    </row>
    <row r="356" spans="1:13" ht="18" x14ac:dyDescent="0.25">
      <c r="A356" s="80" t="s">
        <v>346</v>
      </c>
      <c r="B356" s="81">
        <v>412865</v>
      </c>
      <c r="C356" s="51">
        <v>8</v>
      </c>
      <c r="D356" s="57">
        <v>0</v>
      </c>
      <c r="E356" s="56">
        <v>0</v>
      </c>
      <c r="F356" s="17">
        <v>115</v>
      </c>
      <c r="G356" s="17">
        <v>508</v>
      </c>
      <c r="H356" s="58">
        <v>0.2263779527559055</v>
      </c>
      <c r="I356" s="56">
        <v>33.733811241207384</v>
      </c>
      <c r="J356" s="57">
        <v>0.44555302125655738</v>
      </c>
      <c r="K356" s="56">
        <v>64.515333716943502</v>
      </c>
      <c r="L356" s="41">
        <f t="shared" si="10"/>
        <v>32.749714986050293</v>
      </c>
      <c r="M356" s="131">
        <f t="shared" si="11"/>
        <v>40.163189370921543</v>
      </c>
    </row>
    <row r="357" spans="1:13" ht="18" x14ac:dyDescent="0.25">
      <c r="A357" s="80" t="s">
        <v>359</v>
      </c>
      <c r="B357" s="81">
        <v>410610</v>
      </c>
      <c r="C357" s="51">
        <v>0</v>
      </c>
      <c r="D357" s="57">
        <v>4.4444444444444446E-2</v>
      </c>
      <c r="E357" s="56">
        <v>4.4444444444444446</v>
      </c>
      <c r="F357" s="17">
        <v>147</v>
      </c>
      <c r="G357" s="17">
        <v>441</v>
      </c>
      <c r="H357" s="58">
        <v>0.33333333333333331</v>
      </c>
      <c r="I357" s="56">
        <v>52.129946020898323</v>
      </c>
      <c r="J357" s="57">
        <v>0.40847405039297852</v>
      </c>
      <c r="K357" s="56">
        <v>70.68686049507734</v>
      </c>
      <c r="L357" s="41">
        <f t="shared" si="10"/>
        <v>42.4204169868067</v>
      </c>
      <c r="M357" s="131">
        <f t="shared" si="11"/>
        <v>55.17293888295923</v>
      </c>
    </row>
    <row r="358" spans="1:13" ht="18" x14ac:dyDescent="0.25">
      <c r="A358" s="80" t="s">
        <v>347</v>
      </c>
      <c r="B358" s="81">
        <v>412217</v>
      </c>
      <c r="C358" s="51">
        <v>2</v>
      </c>
      <c r="D358" s="57">
        <v>0.2</v>
      </c>
      <c r="E358" s="56">
        <v>20</v>
      </c>
      <c r="F358" s="17">
        <v>244</v>
      </c>
      <c r="G358" s="17">
        <v>546</v>
      </c>
      <c r="H358" s="58">
        <v>0.44688644688644691</v>
      </c>
      <c r="I358" s="56">
        <v>71.66087910999515</v>
      </c>
      <c r="J358" s="57">
        <v>0.23235862795423656</v>
      </c>
      <c r="K358" s="56">
        <v>100</v>
      </c>
      <c r="L358" s="41">
        <f t="shared" si="10"/>
        <v>63.886959703331719</v>
      </c>
      <c r="M358" s="131">
        <f t="shared" si="11"/>
        <v>88.490833389407229</v>
      </c>
    </row>
    <row r="359" spans="1:13" ht="18" x14ac:dyDescent="0.25">
      <c r="A359" s="80" t="s">
        <v>389</v>
      </c>
      <c r="B359" s="81">
        <v>411030</v>
      </c>
      <c r="C359" s="51">
        <v>0</v>
      </c>
      <c r="D359" s="57">
        <v>0</v>
      </c>
      <c r="E359" s="56">
        <v>0</v>
      </c>
      <c r="F359" s="17">
        <v>106</v>
      </c>
      <c r="G359" s="17">
        <v>312</v>
      </c>
      <c r="H359" s="58">
        <v>0.33974358974358976</v>
      </c>
      <c r="I359" s="56">
        <v>53.232498695282828</v>
      </c>
      <c r="J359" s="57">
        <v>0.36668495014413766</v>
      </c>
      <c r="K359" s="56">
        <v>77.642354275331314</v>
      </c>
      <c r="L359" s="41">
        <f t="shared" si="10"/>
        <v>43.624950990204717</v>
      </c>
      <c r="M359" s="131">
        <f t="shared" si="11"/>
        <v>57.042477792163758</v>
      </c>
    </row>
    <row r="360" spans="1:13" ht="18" x14ac:dyDescent="0.25">
      <c r="A360" s="80" t="s">
        <v>357</v>
      </c>
      <c r="B360" s="81">
        <v>410165</v>
      </c>
      <c r="C360" s="51">
        <v>5</v>
      </c>
      <c r="D360" s="57">
        <v>0.16666666666666666</v>
      </c>
      <c r="E360" s="56">
        <v>16.666666666666664</v>
      </c>
      <c r="F360" s="17">
        <v>158</v>
      </c>
      <c r="G360" s="17">
        <v>396</v>
      </c>
      <c r="H360" s="58">
        <v>0.39898989898989901</v>
      </c>
      <c r="I360" s="56">
        <v>63.422758261563793</v>
      </c>
      <c r="J360" s="57">
        <v>0.42394687330909048</v>
      </c>
      <c r="K360" s="56">
        <v>68.111520922912874</v>
      </c>
      <c r="L360" s="41">
        <f t="shared" si="10"/>
        <v>49.400315283714441</v>
      </c>
      <c r="M360" s="131">
        <f t="shared" si="11"/>
        <v>66.006332885575503</v>
      </c>
    </row>
    <row r="361" spans="1:13" ht="18" x14ac:dyDescent="0.25">
      <c r="A361" s="80" t="s">
        <v>356</v>
      </c>
      <c r="B361" s="81">
        <v>412030</v>
      </c>
      <c r="C361" s="51">
        <v>9</v>
      </c>
      <c r="D361" s="57">
        <v>0</v>
      </c>
      <c r="E361" s="56">
        <v>0</v>
      </c>
      <c r="F361" s="17">
        <v>110</v>
      </c>
      <c r="G361" s="17">
        <v>472</v>
      </c>
      <c r="H361" s="58">
        <v>0.23305084745762711</v>
      </c>
      <c r="I361" s="56">
        <v>34.88153723349339</v>
      </c>
      <c r="J361" s="57">
        <v>0.41244629380304132</v>
      </c>
      <c r="K361" s="56">
        <v>70.025709281774709</v>
      </c>
      <c r="L361" s="41">
        <f t="shared" si="10"/>
        <v>34.969082171756035</v>
      </c>
      <c r="M361" s="131">
        <f t="shared" si="11"/>
        <v>43.607835429715792</v>
      </c>
    </row>
    <row r="362" spans="1:13" ht="18" x14ac:dyDescent="0.25">
      <c r="A362" s="80" t="s">
        <v>364</v>
      </c>
      <c r="B362" s="81">
        <v>411290</v>
      </c>
      <c r="C362" s="51">
        <v>0</v>
      </c>
      <c r="D362" s="57">
        <v>0.13333333333333333</v>
      </c>
      <c r="E362" s="56">
        <v>13.333333333333334</v>
      </c>
      <c r="F362" s="17">
        <v>164</v>
      </c>
      <c r="G362" s="17">
        <v>448</v>
      </c>
      <c r="H362" s="58">
        <v>0.36607142857142855</v>
      </c>
      <c r="I362" s="56">
        <v>57.760840036504867</v>
      </c>
      <c r="J362" s="57">
        <v>0.3996414768403273</v>
      </c>
      <c r="K362" s="56">
        <v>72.156978541249089</v>
      </c>
      <c r="L362" s="41">
        <f t="shared" si="10"/>
        <v>47.750383970362435</v>
      </c>
      <c r="M362" s="131">
        <f t="shared" si="11"/>
        <v>63.445499584792998</v>
      </c>
    </row>
    <row r="363" spans="1:13" ht="18" x14ac:dyDescent="0.25">
      <c r="A363" s="80" t="s">
        <v>353</v>
      </c>
      <c r="B363" s="81">
        <v>412382</v>
      </c>
      <c r="C363" s="51">
        <v>4</v>
      </c>
      <c r="D363" s="57">
        <v>4.6511627906976744E-2</v>
      </c>
      <c r="E363" s="56">
        <v>4.6511627906976747</v>
      </c>
      <c r="F363" s="17">
        <v>88</v>
      </c>
      <c r="G363" s="17">
        <v>447</v>
      </c>
      <c r="H363" s="58">
        <v>0.19686800894854586</v>
      </c>
      <c r="I363" s="56">
        <v>28.658153516551856</v>
      </c>
      <c r="J363" s="57">
        <v>0.42001716662756422</v>
      </c>
      <c r="K363" s="56">
        <v>68.765592205108916</v>
      </c>
      <c r="L363" s="41">
        <f t="shared" si="10"/>
        <v>34.024969504119476</v>
      </c>
      <c r="M363" s="131">
        <f t="shared" si="11"/>
        <v>42.142492515493217</v>
      </c>
    </row>
    <row r="364" spans="1:13" ht="18" x14ac:dyDescent="0.25">
      <c r="A364" s="80" t="s">
        <v>370</v>
      </c>
      <c r="B364" s="81">
        <v>411740</v>
      </c>
      <c r="C364" s="51">
        <v>4</v>
      </c>
      <c r="D364" s="57">
        <v>0</v>
      </c>
      <c r="E364" s="56">
        <v>0</v>
      </c>
      <c r="F364" s="17">
        <v>56</v>
      </c>
      <c r="G364" s="17">
        <v>349</v>
      </c>
      <c r="H364" s="58">
        <v>0.16045845272206305</v>
      </c>
      <c r="I364" s="56">
        <v>22.395774756408677</v>
      </c>
      <c r="J364" s="57">
        <v>0.43253957858422498</v>
      </c>
      <c r="K364" s="56">
        <v>66.681327218313754</v>
      </c>
      <c r="L364" s="41">
        <f t="shared" si="10"/>
        <v>29.69236732490748</v>
      </c>
      <c r="M364" s="131">
        <f t="shared" si="11"/>
        <v>35.417926559454642</v>
      </c>
    </row>
    <row r="365" spans="1:13" ht="18" x14ac:dyDescent="0.25">
      <c r="A365" s="80" t="s">
        <v>354</v>
      </c>
      <c r="B365" s="81">
        <v>410045</v>
      </c>
      <c r="C365" s="51">
        <v>9</v>
      </c>
      <c r="D365" s="57">
        <v>4.7619047619047616E-2</v>
      </c>
      <c r="E365" s="56">
        <v>4.7619047619047619</v>
      </c>
      <c r="F365" s="17">
        <v>139</v>
      </c>
      <c r="G365" s="17">
        <v>455</v>
      </c>
      <c r="H365" s="58">
        <v>0.30549450549450552</v>
      </c>
      <c r="I365" s="56">
        <v>47.341717263571375</v>
      </c>
      <c r="J365" s="57">
        <v>0.39366654048743888</v>
      </c>
      <c r="K365" s="56">
        <v>73.151463523994835</v>
      </c>
      <c r="L365" s="41">
        <f t="shared" si="10"/>
        <v>41.75169518315699</v>
      </c>
      <c r="M365" s="131">
        <f t="shared" si="11"/>
        <v>54.135025940834126</v>
      </c>
    </row>
    <row r="366" spans="1:13" ht="18" x14ac:dyDescent="0.25">
      <c r="A366" s="80" t="s">
        <v>376</v>
      </c>
      <c r="B366" s="81">
        <v>411965</v>
      </c>
      <c r="C366" s="51">
        <v>7</v>
      </c>
      <c r="D366" s="57">
        <v>0</v>
      </c>
      <c r="E366" s="56">
        <v>0</v>
      </c>
      <c r="F366" s="17">
        <v>91</v>
      </c>
      <c r="G366" s="17">
        <v>377</v>
      </c>
      <c r="H366" s="58">
        <v>0.2413793103448276</v>
      </c>
      <c r="I366" s="56">
        <v>36.31401800214141</v>
      </c>
      <c r="J366" s="57">
        <v>0.42911008940460649</v>
      </c>
      <c r="K366" s="56">
        <v>67.252140911746807</v>
      </c>
      <c r="L366" s="41">
        <f t="shared" si="10"/>
        <v>34.52205297129607</v>
      </c>
      <c r="M366" s="131">
        <f t="shared" si="11"/>
        <v>42.914008205699815</v>
      </c>
    </row>
    <row r="367" spans="1:13" ht="18" x14ac:dyDescent="0.25">
      <c r="A367" s="80" t="s">
        <v>358</v>
      </c>
      <c r="B367" s="81">
        <v>412130</v>
      </c>
      <c r="C367" s="51">
        <v>7</v>
      </c>
      <c r="D367" s="57">
        <v>0</v>
      </c>
      <c r="E367" s="56">
        <v>0</v>
      </c>
      <c r="F367" s="17">
        <v>107</v>
      </c>
      <c r="G367" s="17">
        <v>344</v>
      </c>
      <c r="H367" s="58">
        <v>0.31104651162790697</v>
      </c>
      <c r="I367" s="56">
        <v>48.296652420421992</v>
      </c>
      <c r="J367" s="57">
        <v>0.38819158676838639</v>
      </c>
      <c r="K367" s="56">
        <v>74.06273001007105</v>
      </c>
      <c r="L367" s="41">
        <f t="shared" si="10"/>
        <v>40.78646081016435</v>
      </c>
      <c r="M367" s="131">
        <f t="shared" si="11"/>
        <v>52.636900348928272</v>
      </c>
    </row>
    <row r="368" spans="1:13" ht="18" x14ac:dyDescent="0.25">
      <c r="A368" s="80" t="s">
        <v>344</v>
      </c>
      <c r="B368" s="81">
        <v>411342</v>
      </c>
      <c r="C368" s="51">
        <v>9</v>
      </c>
      <c r="D368" s="57">
        <v>2.8571428571428571E-2</v>
      </c>
      <c r="E368" s="56">
        <v>2.8571428571428572</v>
      </c>
      <c r="F368" s="17">
        <v>134</v>
      </c>
      <c r="G368" s="17">
        <v>456</v>
      </c>
      <c r="H368" s="58">
        <v>0.29385964912280704</v>
      </c>
      <c r="I368" s="56">
        <v>45.340542710214848</v>
      </c>
      <c r="J368" s="57">
        <v>0.3719054722467946</v>
      </c>
      <c r="K368" s="56">
        <v>76.773436093353567</v>
      </c>
      <c r="L368" s="41">
        <f t="shared" si="10"/>
        <v>41.657040553570425</v>
      </c>
      <c r="M368" s="131">
        <f t="shared" si="11"/>
        <v>53.988113929675272</v>
      </c>
    </row>
    <row r="369" spans="1:13" ht="18" x14ac:dyDescent="0.25">
      <c r="A369" s="80" t="s">
        <v>391</v>
      </c>
      <c r="B369" s="81">
        <v>410302</v>
      </c>
      <c r="C369" s="51">
        <v>4</v>
      </c>
      <c r="D369" s="57">
        <v>0</v>
      </c>
      <c r="E369" s="56">
        <v>0</v>
      </c>
      <c r="F369" s="17">
        <v>59</v>
      </c>
      <c r="G369" s="17">
        <v>319</v>
      </c>
      <c r="H369" s="58">
        <v>0.18495297805642633</v>
      </c>
      <c r="I369" s="56">
        <v>26.608789445176928</v>
      </c>
      <c r="J369" s="57">
        <v>0.4084300931685424</v>
      </c>
      <c r="K369" s="56">
        <v>70.694176857462324</v>
      </c>
      <c r="L369" s="41">
        <f t="shared" si="10"/>
        <v>32.434322100879747</v>
      </c>
      <c r="M369" s="131">
        <f t="shared" si="11"/>
        <v>39.673672870059612</v>
      </c>
    </row>
    <row r="370" spans="1:13" ht="18" x14ac:dyDescent="0.25">
      <c r="A370" s="80" t="s">
        <v>385</v>
      </c>
      <c r="B370" s="81">
        <v>412590</v>
      </c>
      <c r="C370" s="51">
        <v>2</v>
      </c>
      <c r="D370" s="57">
        <v>0.08</v>
      </c>
      <c r="E370" s="56">
        <v>8</v>
      </c>
      <c r="F370" s="17">
        <v>38</v>
      </c>
      <c r="G370" s="17">
        <v>325</v>
      </c>
      <c r="H370" s="58">
        <v>0.11692307692307692</v>
      </c>
      <c r="I370" s="56">
        <v>14.907767733677701</v>
      </c>
      <c r="J370" s="57">
        <v>0.51436559270336923</v>
      </c>
      <c r="K370" s="56">
        <v>53.061978419712418</v>
      </c>
      <c r="L370" s="41">
        <f t="shared" si="10"/>
        <v>25.323248717796705</v>
      </c>
      <c r="M370" s="131">
        <f t="shared" si="11"/>
        <v>28.636684010983359</v>
      </c>
    </row>
    <row r="371" spans="1:13" ht="18" x14ac:dyDescent="0.25">
      <c r="A371" s="80" t="s">
        <v>390</v>
      </c>
      <c r="B371" s="81">
        <v>412420</v>
      </c>
      <c r="C371" s="51">
        <v>2</v>
      </c>
      <c r="D371" s="57">
        <v>0.125</v>
      </c>
      <c r="E371" s="56">
        <v>12.5</v>
      </c>
      <c r="F371" s="17">
        <v>92</v>
      </c>
      <c r="G371" s="17">
        <v>302</v>
      </c>
      <c r="H371" s="58">
        <v>0.30463576158940397</v>
      </c>
      <c r="I371" s="56">
        <v>47.194014842859119</v>
      </c>
      <c r="J371" s="57">
        <v>0.36974664324461404</v>
      </c>
      <c r="K371" s="56">
        <v>77.132757581681503</v>
      </c>
      <c r="L371" s="41">
        <f t="shared" si="10"/>
        <v>45.60892414151354</v>
      </c>
      <c r="M371" s="131">
        <f t="shared" si="11"/>
        <v>60.121772349831268</v>
      </c>
    </row>
    <row r="372" spans="1:13" ht="18" x14ac:dyDescent="0.25">
      <c r="A372" s="80" t="s">
        <v>372</v>
      </c>
      <c r="B372" s="81">
        <v>410712</v>
      </c>
      <c r="C372" s="51">
        <v>4</v>
      </c>
      <c r="D372" s="57">
        <v>0.125</v>
      </c>
      <c r="E372" s="56">
        <v>12.5</v>
      </c>
      <c r="F372" s="17">
        <v>178</v>
      </c>
      <c r="G372" s="17">
        <v>413</v>
      </c>
      <c r="H372" s="58">
        <v>0.43099273607748184</v>
      </c>
      <c r="I372" s="56">
        <v>68.927189186097507</v>
      </c>
      <c r="J372" s="57">
        <v>0.36196915143113284</v>
      </c>
      <c r="K372" s="56">
        <v>78.427264896089284</v>
      </c>
      <c r="L372" s="41">
        <f t="shared" si="10"/>
        <v>53.284818027395602</v>
      </c>
      <c r="M372" s="131">
        <f t="shared" si="11"/>
        <v>72.035410522019788</v>
      </c>
    </row>
    <row r="373" spans="1:13" ht="18" x14ac:dyDescent="0.25">
      <c r="A373" s="80" t="s">
        <v>338</v>
      </c>
      <c r="B373" s="81">
        <v>410275</v>
      </c>
      <c r="C373" s="51">
        <v>2</v>
      </c>
      <c r="D373" s="57">
        <v>3.2258064516129031E-2</v>
      </c>
      <c r="E373" s="56">
        <v>3.225806451612903</v>
      </c>
      <c r="F373" s="17">
        <v>104</v>
      </c>
      <c r="G373" s="17">
        <v>476</v>
      </c>
      <c r="H373" s="58">
        <v>0.21848739495798319</v>
      </c>
      <c r="I373" s="56">
        <v>32.37664936721977</v>
      </c>
      <c r="J373" s="57">
        <v>0.37125038314311565</v>
      </c>
      <c r="K373" s="56">
        <v>76.882470941173182</v>
      </c>
      <c r="L373" s="41">
        <f t="shared" si="10"/>
        <v>37.494975586668616</v>
      </c>
      <c r="M373" s="131">
        <f t="shared" si="11"/>
        <v>47.528236187486826</v>
      </c>
    </row>
    <row r="374" spans="1:13" ht="18" x14ac:dyDescent="0.25">
      <c r="A374" s="80" t="s">
        <v>381</v>
      </c>
      <c r="B374" s="81">
        <v>410270</v>
      </c>
      <c r="C374" s="51">
        <v>3</v>
      </c>
      <c r="D374" s="57">
        <v>0</v>
      </c>
      <c r="E374" s="56">
        <v>0</v>
      </c>
      <c r="F374" s="17">
        <v>93</v>
      </c>
      <c r="G374" s="17">
        <v>333</v>
      </c>
      <c r="H374" s="58">
        <v>0.27927927927927926</v>
      </c>
      <c r="I374" s="56">
        <v>42.832745090953381</v>
      </c>
      <c r="J374" s="57">
        <v>0.41572167229745544</v>
      </c>
      <c r="K374" s="56">
        <v>69.480546198333897</v>
      </c>
      <c r="L374" s="41">
        <f t="shared" si="10"/>
        <v>37.437763763095759</v>
      </c>
      <c r="M374" s="131">
        <f t="shared" si="11"/>
        <v>47.439438586145343</v>
      </c>
    </row>
    <row r="375" spans="1:13" ht="18" x14ac:dyDescent="0.25">
      <c r="A375" s="80" t="s">
        <v>335</v>
      </c>
      <c r="B375" s="81">
        <v>412010</v>
      </c>
      <c r="C375" s="51">
        <v>1</v>
      </c>
      <c r="D375" s="57">
        <v>0.05</v>
      </c>
      <c r="E375" s="56">
        <v>5</v>
      </c>
      <c r="F375" s="17">
        <v>99</v>
      </c>
      <c r="G375" s="17">
        <v>503</v>
      </c>
      <c r="H375" s="58">
        <v>0.19681908548707752</v>
      </c>
      <c r="I375" s="56">
        <v>28.649738768399853</v>
      </c>
      <c r="J375" s="57">
        <v>0.51992548310602138</v>
      </c>
      <c r="K375" s="56">
        <v>52.136574836379388</v>
      </c>
      <c r="L375" s="41">
        <f t="shared" si="10"/>
        <v>28.595437868259747</v>
      </c>
      <c r="M375" s="131">
        <f t="shared" si="11"/>
        <v>33.715399030908081</v>
      </c>
    </row>
    <row r="376" spans="1:13" ht="18" x14ac:dyDescent="0.25">
      <c r="A376" s="80" t="s">
        <v>373</v>
      </c>
      <c r="B376" s="81">
        <v>411729</v>
      </c>
      <c r="C376" s="51">
        <v>7</v>
      </c>
      <c r="D376" s="57">
        <v>0</v>
      </c>
      <c r="E376" s="56">
        <v>0</v>
      </c>
      <c r="F376" s="17">
        <v>85</v>
      </c>
      <c r="G376" s="17">
        <v>357</v>
      </c>
      <c r="H376" s="58">
        <v>0.23809523809523808</v>
      </c>
      <c r="I376" s="56">
        <v>35.749163430042941</v>
      </c>
      <c r="J376" s="57">
        <v>0.45809237512726586</v>
      </c>
      <c r="K376" s="56">
        <v>62.428248870972546</v>
      </c>
      <c r="L376" s="41">
        <f t="shared" si="10"/>
        <v>32.7258041003385</v>
      </c>
      <c r="M376" s="131">
        <f t="shared" si="11"/>
        <v>40.126077648823511</v>
      </c>
    </row>
    <row r="377" spans="1:13" ht="18" x14ac:dyDescent="0.25">
      <c r="A377" s="80" t="s">
        <v>396</v>
      </c>
      <c r="B377" s="81">
        <v>410910</v>
      </c>
      <c r="C377" s="51">
        <v>4</v>
      </c>
      <c r="D377" s="57">
        <v>6.6666666666666666E-2</v>
      </c>
      <c r="E377" s="56">
        <v>6.666666666666667</v>
      </c>
      <c r="F377" s="17">
        <v>49</v>
      </c>
      <c r="G377" s="17">
        <v>244</v>
      </c>
      <c r="H377" s="58">
        <v>0.20081967213114754</v>
      </c>
      <c r="I377" s="56">
        <v>29.337832538949947</v>
      </c>
      <c r="J377" s="57">
        <v>0.41018132085748504</v>
      </c>
      <c r="K377" s="56">
        <v>70.402697662511542</v>
      </c>
      <c r="L377" s="41">
        <f t="shared" si="10"/>
        <v>35.469065622709387</v>
      </c>
      <c r="M377" s="131">
        <f t="shared" si="11"/>
        <v>44.383852140641949</v>
      </c>
    </row>
    <row r="378" spans="1:13" ht="18" x14ac:dyDescent="0.25">
      <c r="A378" s="80" t="s">
        <v>380</v>
      </c>
      <c r="B378" s="81">
        <v>410685</v>
      </c>
      <c r="C378" s="51">
        <v>2</v>
      </c>
      <c r="D378" s="57">
        <v>1</v>
      </c>
      <c r="E378" s="56">
        <v>100</v>
      </c>
      <c r="F378" s="17">
        <v>108</v>
      </c>
      <c r="G378" s="17">
        <v>352</v>
      </c>
      <c r="H378" s="58">
        <v>0.30681818181818182</v>
      </c>
      <c r="I378" s="56">
        <v>47.569387231398821</v>
      </c>
      <c r="J378" s="57">
        <v>0.43460605656236523</v>
      </c>
      <c r="K378" s="56">
        <v>66.33737689063507</v>
      </c>
      <c r="L378" s="41">
        <f t="shared" si="10"/>
        <v>71.30225470734463</v>
      </c>
      <c r="M378" s="131">
        <f t="shared" si="11"/>
        <v>100</v>
      </c>
    </row>
    <row r="379" spans="1:13" ht="18" x14ac:dyDescent="0.25">
      <c r="A379" s="80" t="s">
        <v>383</v>
      </c>
      <c r="B379" s="81">
        <v>411925</v>
      </c>
      <c r="C379" s="51">
        <v>1</v>
      </c>
      <c r="D379" s="57">
        <v>0</v>
      </c>
      <c r="E379" s="56">
        <v>0</v>
      </c>
      <c r="F379" s="17">
        <v>111</v>
      </c>
      <c r="G379" s="17">
        <v>338</v>
      </c>
      <c r="H379" s="58">
        <v>0.32840236686390534</v>
      </c>
      <c r="I379" s="56">
        <v>51.281828579064104</v>
      </c>
      <c r="J379" s="57">
        <v>0.42064891846857427</v>
      </c>
      <c r="K379" s="56">
        <v>68.660441676032107</v>
      </c>
      <c r="L379" s="41">
        <f t="shared" si="10"/>
        <v>39.980756751698742</v>
      </c>
      <c r="M379" s="131">
        <f t="shared" si="11"/>
        <v>51.386379332206324</v>
      </c>
    </row>
    <row r="380" spans="1:13" ht="18" x14ac:dyDescent="0.25">
      <c r="A380" s="80" t="s">
        <v>374</v>
      </c>
      <c r="B380" s="81">
        <v>412015</v>
      </c>
      <c r="C380" s="51">
        <v>0</v>
      </c>
      <c r="D380" s="57">
        <v>3.4482758620689655E-2</v>
      </c>
      <c r="E380" s="56">
        <v>3.4482758620689653</v>
      </c>
      <c r="F380" s="17">
        <v>136</v>
      </c>
      <c r="G380" s="17">
        <v>418</v>
      </c>
      <c r="H380" s="58">
        <v>0.32535885167464113</v>
      </c>
      <c r="I380" s="56">
        <v>50.75834939247742</v>
      </c>
      <c r="J380" s="57">
        <v>0.53735483729318301</v>
      </c>
      <c r="K380" s="56">
        <v>49.235584771487787</v>
      </c>
      <c r="L380" s="41">
        <f t="shared" si="10"/>
        <v>34.480736675344723</v>
      </c>
      <c r="M380" s="131">
        <f t="shared" si="11"/>
        <v>42.849881811054793</v>
      </c>
    </row>
    <row r="381" spans="1:13" ht="18" x14ac:dyDescent="0.25">
      <c r="A381" s="80" t="s">
        <v>384</v>
      </c>
      <c r="B381" s="81">
        <v>411160</v>
      </c>
      <c r="C381" s="51">
        <v>5</v>
      </c>
      <c r="D381" s="57">
        <v>8.3333333333333329E-2</v>
      </c>
      <c r="E381" s="56">
        <v>8.3333333333333321</v>
      </c>
      <c r="F381" s="17">
        <v>45</v>
      </c>
      <c r="G381" s="17">
        <v>283</v>
      </c>
      <c r="H381" s="58">
        <v>0.15901060070671377</v>
      </c>
      <c r="I381" s="56">
        <v>22.146746790993415</v>
      </c>
      <c r="J381" s="57">
        <v>0.5199681158414281</v>
      </c>
      <c r="K381" s="56">
        <v>52.129478925622976</v>
      </c>
      <c r="L381" s="41">
        <f t="shared" si="10"/>
        <v>27.536519683316573</v>
      </c>
      <c r="M381" s="131">
        <f t="shared" si="11"/>
        <v>32.071868219132945</v>
      </c>
    </row>
    <row r="382" spans="1:13" ht="18" x14ac:dyDescent="0.25">
      <c r="A382" s="80" t="s">
        <v>392</v>
      </c>
      <c r="B382" s="81">
        <v>411830</v>
      </c>
      <c r="C382" s="51">
        <v>3</v>
      </c>
      <c r="D382" s="57">
        <v>8.3333333333333329E-2</v>
      </c>
      <c r="E382" s="56">
        <v>8.3333333333333321</v>
      </c>
      <c r="F382" s="17">
        <v>95</v>
      </c>
      <c r="G382" s="17">
        <v>313</v>
      </c>
      <c r="H382" s="58">
        <v>0.30351437699680511</v>
      </c>
      <c r="I382" s="56">
        <v>47.001138692132102</v>
      </c>
      <c r="J382" s="57">
        <v>0.34467024820818742</v>
      </c>
      <c r="K382" s="56">
        <v>81.306542340588692</v>
      </c>
      <c r="L382" s="41">
        <f t="shared" si="10"/>
        <v>45.54700478868471</v>
      </c>
      <c r="M382" s="131">
        <f t="shared" si="11"/>
        <v>60.025668263919449</v>
      </c>
    </row>
    <row r="383" spans="1:13" ht="18" x14ac:dyDescent="0.25">
      <c r="A383" s="80" t="s">
        <v>397</v>
      </c>
      <c r="B383" s="81">
        <v>411005</v>
      </c>
      <c r="C383" s="51">
        <v>2</v>
      </c>
      <c r="D383" s="57">
        <v>0</v>
      </c>
      <c r="E383" s="56">
        <v>0</v>
      </c>
      <c r="F383" s="17">
        <v>44</v>
      </c>
      <c r="G383" s="17">
        <v>220</v>
      </c>
      <c r="H383" s="58">
        <v>0.2</v>
      </c>
      <c r="I383" s="56">
        <v>29.196850393700785</v>
      </c>
      <c r="J383" s="57">
        <v>0.41757658265108616</v>
      </c>
      <c r="K383" s="56">
        <v>69.171809773027277</v>
      </c>
      <c r="L383" s="41">
        <f t="shared" si="10"/>
        <v>32.789553388909354</v>
      </c>
      <c r="M383" s="131">
        <f t="shared" si="11"/>
        <v>40.225021950172497</v>
      </c>
    </row>
    <row r="384" spans="1:13" ht="18" x14ac:dyDescent="0.25">
      <c r="A384" s="80" t="s">
        <v>393</v>
      </c>
      <c r="B384" s="81">
        <v>411065</v>
      </c>
      <c r="C384" s="51">
        <v>6</v>
      </c>
      <c r="D384" s="57">
        <v>0</v>
      </c>
      <c r="E384" s="56">
        <v>0</v>
      </c>
      <c r="F384" s="17">
        <v>61</v>
      </c>
      <c r="G384" s="17">
        <v>264</v>
      </c>
      <c r="H384" s="58">
        <v>0.23106060606060605</v>
      </c>
      <c r="I384" s="56">
        <v>34.53921926140022</v>
      </c>
      <c r="J384" s="57">
        <v>0.42829195217173721</v>
      </c>
      <c r="K384" s="56">
        <v>67.388313942530701</v>
      </c>
      <c r="L384" s="41">
        <f t="shared" si="10"/>
        <v>33.975844401310304</v>
      </c>
      <c r="M384" s="131">
        <f t="shared" si="11"/>
        <v>42.066246190473478</v>
      </c>
    </row>
    <row r="385" spans="1:13" ht="18" x14ac:dyDescent="0.25">
      <c r="A385" s="80" t="s">
        <v>398</v>
      </c>
      <c r="B385" s="81">
        <v>412555</v>
      </c>
      <c r="C385" s="51">
        <v>5</v>
      </c>
      <c r="D385" s="57">
        <v>0</v>
      </c>
      <c r="E385" s="56">
        <v>0</v>
      </c>
      <c r="F385" s="17">
        <v>35</v>
      </c>
      <c r="G385" s="17">
        <v>233</v>
      </c>
      <c r="H385" s="58">
        <v>0.15021459227467812</v>
      </c>
      <c r="I385" s="56">
        <v>20.633849022172093</v>
      </c>
      <c r="J385" s="57">
        <v>0.45062580637262672</v>
      </c>
      <c r="K385" s="56">
        <v>63.671005288877758</v>
      </c>
      <c r="L385" s="41">
        <f t="shared" si="10"/>
        <v>28.101618103683283</v>
      </c>
      <c r="M385" s="131">
        <f t="shared" si="11"/>
        <v>32.948948883875694</v>
      </c>
    </row>
    <row r="386" spans="1:13" ht="18" x14ac:dyDescent="0.25">
      <c r="A386" s="80" t="s">
        <v>388</v>
      </c>
      <c r="B386" s="81">
        <v>412135</v>
      </c>
      <c r="C386" s="51">
        <v>6</v>
      </c>
      <c r="D386" s="57">
        <v>0</v>
      </c>
      <c r="E386" s="56">
        <v>0</v>
      </c>
      <c r="F386" s="17">
        <v>68</v>
      </c>
      <c r="G386" s="17">
        <v>322</v>
      </c>
      <c r="H386" s="58">
        <v>0.21118012422360249</v>
      </c>
      <c r="I386" s="56">
        <v>31.119811828279463</v>
      </c>
      <c r="J386" s="57">
        <v>0.51977869140021382</v>
      </c>
      <c r="K386" s="56">
        <v>52.161007255135893</v>
      </c>
      <c r="L386" s="41">
        <f t="shared" si="10"/>
        <v>27.760273027805116</v>
      </c>
      <c r="M386" s="131">
        <f t="shared" si="11"/>
        <v>32.419152382474039</v>
      </c>
    </row>
    <row r="387" spans="1:13" ht="18" x14ac:dyDescent="0.25">
      <c r="A387" s="80" t="s">
        <v>399</v>
      </c>
      <c r="B387" s="81">
        <v>412830</v>
      </c>
      <c r="C387" s="51">
        <v>2</v>
      </c>
      <c r="D387" s="57">
        <v>0</v>
      </c>
      <c r="E387" s="56">
        <v>0</v>
      </c>
      <c r="F387" s="17">
        <v>50</v>
      </c>
      <c r="G387" s="17">
        <v>243</v>
      </c>
      <c r="H387" s="58">
        <v>0.20576131687242799</v>
      </c>
      <c r="I387" s="56">
        <v>30.18778662450562</v>
      </c>
      <c r="J387" s="57">
        <v>0.42116446231637139</v>
      </c>
      <c r="K387" s="56">
        <v>68.574633127739645</v>
      </c>
      <c r="L387" s="41">
        <f t="shared" ref="L387:L400" si="12">(K387+I387+E387)/3</f>
        <v>32.920806584081753</v>
      </c>
      <c r="M387" s="131">
        <f t="shared" ref="M387:M400" si="13">(L387-L$402)/(L$403-L$402)*100</f>
        <v>40.428738038419063</v>
      </c>
    </row>
    <row r="388" spans="1:13" ht="18" x14ac:dyDescent="0.25">
      <c r="A388" s="80" t="s">
        <v>377</v>
      </c>
      <c r="B388" s="81">
        <v>410755</v>
      </c>
      <c r="C388" s="51">
        <v>3</v>
      </c>
      <c r="D388" s="57">
        <v>6.0606060606060608E-2</v>
      </c>
      <c r="E388" s="56">
        <v>6.0606060606060606</v>
      </c>
      <c r="F388" s="17">
        <v>91</v>
      </c>
      <c r="G388" s="17">
        <v>372</v>
      </c>
      <c r="H388" s="58">
        <v>0.2446236559139785</v>
      </c>
      <c r="I388" s="56">
        <v>36.872039656028996</v>
      </c>
      <c r="J388" s="57">
        <v>0.46010057848568026</v>
      </c>
      <c r="K388" s="56">
        <v>62.093997932671385</v>
      </c>
      <c r="L388" s="41">
        <f t="shared" si="12"/>
        <v>35.008881216435476</v>
      </c>
      <c r="M388" s="131">
        <f t="shared" si="13"/>
        <v>43.669606921734683</v>
      </c>
    </row>
    <row r="389" spans="1:13" ht="18" x14ac:dyDescent="0.25">
      <c r="A389" s="80" t="s">
        <v>382</v>
      </c>
      <c r="B389" s="81">
        <v>411435</v>
      </c>
      <c r="C389" s="51">
        <v>1</v>
      </c>
      <c r="D389" s="57">
        <v>0</v>
      </c>
      <c r="E389" s="56">
        <v>0</v>
      </c>
      <c r="F389" s="17">
        <v>55</v>
      </c>
      <c r="G389" s="17">
        <v>356</v>
      </c>
      <c r="H389" s="58">
        <v>0.1544943820224719</v>
      </c>
      <c r="I389" s="56">
        <v>21.369965228800499</v>
      </c>
      <c r="J389" s="57">
        <v>0.41485845188368564</v>
      </c>
      <c r="K389" s="56">
        <v>69.624222998820414</v>
      </c>
      <c r="L389" s="41">
        <f t="shared" si="12"/>
        <v>30.331396075873638</v>
      </c>
      <c r="M389" s="131">
        <f t="shared" si="13"/>
        <v>36.409753366054836</v>
      </c>
    </row>
    <row r="390" spans="1:13" ht="18" x14ac:dyDescent="0.25">
      <c r="A390" s="80" t="s">
        <v>387</v>
      </c>
      <c r="B390" s="81">
        <v>410340</v>
      </c>
      <c r="C390" s="51">
        <v>4</v>
      </c>
      <c r="D390" s="57">
        <v>0</v>
      </c>
      <c r="E390" s="56">
        <v>0</v>
      </c>
      <c r="F390" s="17">
        <v>51</v>
      </c>
      <c r="G390" s="17">
        <v>296</v>
      </c>
      <c r="H390" s="58">
        <v>0.17229729729729729</v>
      </c>
      <c r="I390" s="56">
        <v>24.432034917104001</v>
      </c>
      <c r="J390" s="57">
        <v>0.42762255305126967</v>
      </c>
      <c r="K390" s="56">
        <v>67.499730589244649</v>
      </c>
      <c r="L390" s="41">
        <f t="shared" si="12"/>
        <v>30.64392183544955</v>
      </c>
      <c r="M390" s="131">
        <f t="shared" si="13"/>
        <v>36.894819844882001</v>
      </c>
    </row>
    <row r="391" spans="1:13" ht="18" x14ac:dyDescent="0.25">
      <c r="A391" s="80" t="s">
        <v>400</v>
      </c>
      <c r="B391" s="81">
        <v>412430</v>
      </c>
      <c r="C391" s="51">
        <v>1</v>
      </c>
      <c r="D391" s="57">
        <v>5.5555555555555552E-2</v>
      </c>
      <c r="E391" s="56">
        <v>5.5555555555555554</v>
      </c>
      <c r="F391" s="17">
        <v>55</v>
      </c>
      <c r="G391" s="17">
        <v>218</v>
      </c>
      <c r="H391" s="58">
        <v>0.25229357798165136</v>
      </c>
      <c r="I391" s="56">
        <v>38.191252577762199</v>
      </c>
      <c r="J391" s="57">
        <v>0.41931624400165418</v>
      </c>
      <c r="K391" s="56">
        <v>68.882255711523882</v>
      </c>
      <c r="L391" s="41">
        <f t="shared" si="12"/>
        <v>37.543021281613882</v>
      </c>
      <c r="M391" s="131">
        <f t="shared" si="13"/>
        <v>47.60280717997567</v>
      </c>
    </row>
    <row r="392" spans="1:13" ht="18" x14ac:dyDescent="0.25">
      <c r="A392" s="80" t="s">
        <v>403</v>
      </c>
      <c r="B392" s="81">
        <v>412360</v>
      </c>
      <c r="C392" s="51">
        <v>0</v>
      </c>
      <c r="D392" s="57">
        <v>0</v>
      </c>
      <c r="E392" s="56">
        <v>0</v>
      </c>
      <c r="F392" s="17">
        <v>53</v>
      </c>
      <c r="G392" s="17">
        <v>211</v>
      </c>
      <c r="H392" s="58">
        <v>0.25118483412322273</v>
      </c>
      <c r="I392" s="56">
        <v>38.000550610776621</v>
      </c>
      <c r="J392" s="57">
        <v>0.417382813403051</v>
      </c>
      <c r="K392" s="56">
        <v>69.20406126424119</v>
      </c>
      <c r="L392" s="41">
        <f t="shared" si="12"/>
        <v>35.734870625005932</v>
      </c>
      <c r="M392" s="131">
        <f t="shared" si="13"/>
        <v>44.796404042583056</v>
      </c>
    </row>
    <row r="393" spans="1:13" ht="18" x14ac:dyDescent="0.25">
      <c r="A393" s="80" t="s">
        <v>402</v>
      </c>
      <c r="B393" s="81">
        <v>410752</v>
      </c>
      <c r="C393" s="51">
        <v>0</v>
      </c>
      <c r="D393" s="57">
        <v>4.7619047619047616E-2</v>
      </c>
      <c r="E393" s="56">
        <v>4.7619047619047619</v>
      </c>
      <c r="F393" s="17">
        <v>61</v>
      </c>
      <c r="G393" s="17">
        <v>210</v>
      </c>
      <c r="H393" s="58">
        <v>0.2904761904761905</v>
      </c>
      <c r="I393" s="56">
        <v>44.758593855013409</v>
      </c>
      <c r="J393" s="57">
        <v>0.43939623706413333</v>
      </c>
      <c r="K393" s="56">
        <v>65.540085958599121</v>
      </c>
      <c r="L393" s="41">
        <f t="shared" si="12"/>
        <v>38.353528191839096</v>
      </c>
      <c r="M393" s="131">
        <f t="shared" si="13"/>
        <v>48.860782629876262</v>
      </c>
    </row>
    <row r="394" spans="1:13" ht="18" x14ac:dyDescent="0.25">
      <c r="A394" s="80" t="s">
        <v>369</v>
      </c>
      <c r="B394" s="81">
        <v>412210</v>
      </c>
      <c r="C394" s="51">
        <v>7</v>
      </c>
      <c r="D394" s="57">
        <v>0</v>
      </c>
      <c r="E394" s="56">
        <v>0</v>
      </c>
      <c r="F394" s="17">
        <v>101</v>
      </c>
      <c r="G394" s="17">
        <v>348</v>
      </c>
      <c r="H394" s="58">
        <v>0.29022988505747127</v>
      </c>
      <c r="I394" s="56">
        <v>44.716229762106018</v>
      </c>
      <c r="J394" s="57">
        <v>0.38235675317123469</v>
      </c>
      <c r="K394" s="56">
        <v>75.033895901467133</v>
      </c>
      <c r="L394" s="41">
        <f t="shared" si="12"/>
        <v>39.916708554524384</v>
      </c>
      <c r="M394" s="131">
        <f t="shared" si="13"/>
        <v>51.28697109935937</v>
      </c>
    </row>
    <row r="395" spans="1:13" ht="18" x14ac:dyDescent="0.25">
      <c r="A395" s="80" t="s">
        <v>394</v>
      </c>
      <c r="B395" s="81">
        <v>410185</v>
      </c>
      <c r="C395" s="51">
        <v>3</v>
      </c>
      <c r="D395" s="57">
        <v>0.1111111111111111</v>
      </c>
      <c r="E395" s="56">
        <v>11.111111111111111</v>
      </c>
      <c r="F395" s="17">
        <v>84</v>
      </c>
      <c r="G395" s="17">
        <v>249</v>
      </c>
      <c r="H395" s="58">
        <v>0.33734939759036142</v>
      </c>
      <c r="I395" s="56">
        <v>52.820701913283798</v>
      </c>
      <c r="J395" s="57">
        <v>0.43286093751806326</v>
      </c>
      <c r="K395" s="56">
        <v>66.627839345824725</v>
      </c>
      <c r="L395" s="41">
        <f t="shared" si="12"/>
        <v>43.519884123406541</v>
      </c>
      <c r="M395" s="131">
        <f t="shared" si="13"/>
        <v>56.879405105968708</v>
      </c>
    </row>
    <row r="396" spans="1:13" ht="18" x14ac:dyDescent="0.25">
      <c r="A396" s="80" t="s">
        <v>378</v>
      </c>
      <c r="B396" s="81">
        <v>410855</v>
      </c>
      <c r="C396" s="51">
        <v>1</v>
      </c>
      <c r="D396" s="57">
        <v>1.4925373134328358E-2</v>
      </c>
      <c r="E396" s="56">
        <v>1.4925373134328357</v>
      </c>
      <c r="F396" s="17">
        <v>104</v>
      </c>
      <c r="G396" s="17">
        <v>304</v>
      </c>
      <c r="H396" s="58">
        <v>0.34210526315789475</v>
      </c>
      <c r="I396" s="56">
        <v>53.638702312161321</v>
      </c>
      <c r="J396" s="57">
        <v>0.38259798899520459</v>
      </c>
      <c r="K396" s="56">
        <v>74.993743941668868</v>
      </c>
      <c r="L396" s="41">
        <f t="shared" si="12"/>
        <v>43.374994522421012</v>
      </c>
      <c r="M396" s="131">
        <f t="shared" si="13"/>
        <v>56.654524159629773</v>
      </c>
    </row>
    <row r="397" spans="1:13" ht="18" x14ac:dyDescent="0.25">
      <c r="A397" s="80" t="s">
        <v>405</v>
      </c>
      <c r="B397" s="81">
        <v>411650</v>
      </c>
      <c r="C397" s="51">
        <v>5</v>
      </c>
      <c r="D397" s="57">
        <v>0</v>
      </c>
      <c r="E397" s="56">
        <v>0</v>
      </c>
      <c r="F397" s="17">
        <v>37</v>
      </c>
      <c r="G397" s="17">
        <v>164</v>
      </c>
      <c r="H397" s="58">
        <v>0.22560975609756098</v>
      </c>
      <c r="I397" s="56">
        <v>33.601682785510071</v>
      </c>
      <c r="J397" s="57">
        <v>0.4193017631961406</v>
      </c>
      <c r="K397" s="56">
        <v>68.884665936967437</v>
      </c>
      <c r="L397" s="41">
        <f t="shared" si="12"/>
        <v>34.162116240825839</v>
      </c>
      <c r="M397" s="131">
        <f t="shared" si="13"/>
        <v>42.355355879930968</v>
      </c>
    </row>
    <row r="398" spans="1:13" ht="18" x14ac:dyDescent="0.25">
      <c r="A398" s="80" t="s">
        <v>401</v>
      </c>
      <c r="B398" s="81">
        <v>411600</v>
      </c>
      <c r="C398" s="51">
        <v>0</v>
      </c>
      <c r="D398" s="57">
        <v>0</v>
      </c>
      <c r="E398" s="56">
        <v>0</v>
      </c>
      <c r="F398" s="17">
        <v>47</v>
      </c>
      <c r="G398" s="17">
        <v>220</v>
      </c>
      <c r="H398" s="58">
        <v>0.21363636363636362</v>
      </c>
      <c r="I398" s="56">
        <v>31.542280628300535</v>
      </c>
      <c r="J398" s="57">
        <v>0.43117316631501501</v>
      </c>
      <c r="K398" s="56">
        <v>66.90875666721692</v>
      </c>
      <c r="L398" s="41">
        <f t="shared" si="12"/>
        <v>32.817012431839153</v>
      </c>
      <c r="M398" s="131">
        <f t="shared" si="13"/>
        <v>40.267640713131414</v>
      </c>
    </row>
    <row r="399" spans="1:13" ht="18" x14ac:dyDescent="0.25">
      <c r="A399" s="80" t="s">
        <v>404</v>
      </c>
      <c r="B399" s="81">
        <v>411260</v>
      </c>
      <c r="C399" s="51">
        <v>3</v>
      </c>
      <c r="D399" s="57">
        <v>0</v>
      </c>
      <c r="E399" s="56">
        <v>0</v>
      </c>
      <c r="F399" s="17">
        <v>49</v>
      </c>
      <c r="G399" s="17">
        <v>165</v>
      </c>
      <c r="H399" s="58">
        <v>0.29696969696969699</v>
      </c>
      <c r="I399" s="56">
        <v>45.875465395299003</v>
      </c>
      <c r="J399" s="57">
        <v>0.47356947973152663</v>
      </c>
      <c r="K399" s="56">
        <v>59.852196642753974</v>
      </c>
      <c r="L399" s="41">
        <f t="shared" si="12"/>
        <v>35.24255401268433</v>
      </c>
      <c r="M399" s="131">
        <f t="shared" si="13"/>
        <v>44.032286915306855</v>
      </c>
    </row>
    <row r="400" spans="1:13" ht="18" x14ac:dyDescent="0.25">
      <c r="A400" s="80" t="s">
        <v>360</v>
      </c>
      <c r="B400" s="81">
        <v>412665</v>
      </c>
      <c r="C400" s="51">
        <v>2</v>
      </c>
      <c r="D400" s="57">
        <v>0</v>
      </c>
      <c r="E400" s="56">
        <v>0</v>
      </c>
      <c r="F400" s="17">
        <v>75</v>
      </c>
      <c r="G400" s="17">
        <v>412</v>
      </c>
      <c r="H400" s="58">
        <v>0.18203883495145631</v>
      </c>
      <c r="I400" s="56">
        <v>26.107562026444807</v>
      </c>
      <c r="J400" s="57">
        <v>0.45482776349439558</v>
      </c>
      <c r="K400" s="56">
        <v>62.971619888107668</v>
      </c>
      <c r="L400" s="41">
        <f t="shared" si="12"/>
        <v>29.693060638184161</v>
      </c>
      <c r="M400" s="131">
        <f t="shared" si="13"/>
        <v>35.419002640448092</v>
      </c>
    </row>
    <row r="401" spans="4:15" x14ac:dyDescent="0.25">
      <c r="J401" s="59"/>
      <c r="K401" s="61"/>
    </row>
    <row r="402" spans="4:15" x14ac:dyDescent="0.25">
      <c r="D402" s="23">
        <f>QUARTILE(D2:D400,0)</f>
        <v>0</v>
      </c>
      <c r="E402" s="23">
        <f t="shared" ref="E402:O402" si="14">QUARTILE(E2:E400,0)</f>
        <v>0</v>
      </c>
      <c r="F402" s="23">
        <f t="shared" si="14"/>
        <v>17</v>
      </c>
      <c r="G402" s="23">
        <f t="shared" si="14"/>
        <v>164</v>
      </c>
      <c r="H402" s="23">
        <f t="shared" si="14"/>
        <v>3.0249110320284697E-2</v>
      </c>
      <c r="I402" s="23">
        <f t="shared" si="14"/>
        <v>0</v>
      </c>
      <c r="J402" s="60">
        <f t="shared" si="14"/>
        <v>0.23235862795423656</v>
      </c>
      <c r="K402" s="62">
        <f t="shared" si="14"/>
        <v>0</v>
      </c>
      <c r="L402" s="23">
        <f t="shared" si="14"/>
        <v>6.8727850949397853</v>
      </c>
      <c r="M402" s="23">
        <f t="shared" si="14"/>
        <v>0</v>
      </c>
      <c r="N402" s="23" t="e">
        <f t="shared" si="14"/>
        <v>#NUM!</v>
      </c>
      <c r="O402" s="23" t="e">
        <f t="shared" si="14"/>
        <v>#NUM!</v>
      </c>
    </row>
    <row r="403" spans="4:15" x14ac:dyDescent="0.25">
      <c r="D403" s="23">
        <f>QUARTILE(D2:D400,4)</f>
        <v>1</v>
      </c>
      <c r="E403" s="23">
        <f t="shared" ref="E403:O403" si="15">QUARTILE(E2:E400,4)</f>
        <v>100</v>
      </c>
      <c r="F403" s="23">
        <f t="shared" si="15"/>
        <v>23579</v>
      </c>
      <c r="G403" s="23">
        <f t="shared" si="15"/>
        <v>185447</v>
      </c>
      <c r="H403" s="23">
        <f t="shared" si="15"/>
        <v>0.61165048543689315</v>
      </c>
      <c r="I403" s="23">
        <f t="shared" si="15"/>
        <v>100</v>
      </c>
      <c r="J403" s="23">
        <f t="shared" si="15"/>
        <v>0.83316572474837647</v>
      </c>
      <c r="K403" s="23">
        <f t="shared" si="15"/>
        <v>100</v>
      </c>
      <c r="L403" s="23">
        <f t="shared" si="15"/>
        <v>71.30225470734463</v>
      </c>
      <c r="M403" s="23">
        <f t="shared" si="15"/>
        <v>100</v>
      </c>
      <c r="N403" s="23" t="e">
        <f t="shared" si="15"/>
        <v>#NUM!</v>
      </c>
      <c r="O403" s="23" t="e">
        <f t="shared" si="15"/>
        <v>#NUM!</v>
      </c>
    </row>
  </sheetData>
  <conditionalFormatting sqref="L2:L4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0985-8FA3-4172-8C46-56C65ACAD445}">
  <dimension ref="A1:P135"/>
  <sheetViews>
    <sheetView topLeftCell="A10" workbookViewId="0">
      <selection activeCell="I26" sqref="I26"/>
    </sheetView>
  </sheetViews>
  <sheetFormatPr defaultRowHeight="15" x14ac:dyDescent="0.25"/>
  <cols>
    <col min="1" max="1" width="44.140625" bestFit="1" customWidth="1"/>
    <col min="2" max="8" width="10.28515625" customWidth="1"/>
  </cols>
  <sheetData>
    <row r="1" spans="1:16" x14ac:dyDescent="0.25">
      <c r="A1" s="123" t="s">
        <v>0</v>
      </c>
      <c r="B1" s="124" t="s">
        <v>506</v>
      </c>
      <c r="C1" s="124" t="s">
        <v>507</v>
      </c>
      <c r="D1" s="124" t="s">
        <v>508</v>
      </c>
      <c r="E1" s="124" t="s">
        <v>509</v>
      </c>
      <c r="F1" s="124" t="s">
        <v>510</v>
      </c>
      <c r="G1" s="124" t="s">
        <v>511</v>
      </c>
      <c r="H1" s="125" t="s">
        <v>512</v>
      </c>
      <c r="L1" t="s">
        <v>239</v>
      </c>
    </row>
    <row r="2" spans="1:16" x14ac:dyDescent="0.25">
      <c r="A2" s="119" t="s">
        <v>469</v>
      </c>
      <c r="B2" s="113">
        <v>7</v>
      </c>
      <c r="C2" s="113" t="s">
        <v>468</v>
      </c>
      <c r="D2" s="113">
        <f>VLOOKUP(Municipios!A2,CI!A$2:R$400,18,FALSE)</f>
        <v>4</v>
      </c>
      <c r="E2" s="128">
        <f>B2-D2</f>
        <v>3</v>
      </c>
      <c r="F2" s="114">
        <f>VLOOKUP(Municipios!A2,CI!A$2:R$400,9,FALSE)</f>
        <v>0.38982655751032236</v>
      </c>
      <c r="G2" s="115">
        <f>VLOOKUP(A2,[1]CI!$A$2:$P$400,9,FALSE)</f>
        <v>1.7723021283209992</v>
      </c>
      <c r="H2" s="24">
        <f>VLOOKUP(A2,[1]CI!$A$2:$Q$400,17,FALSE)</f>
        <v>332</v>
      </c>
      <c r="L2" t="s">
        <v>372</v>
      </c>
    </row>
    <row r="3" spans="1:16" x14ac:dyDescent="0.25">
      <c r="A3" s="120" t="s">
        <v>479</v>
      </c>
      <c r="B3" s="113">
        <v>1</v>
      </c>
      <c r="C3" s="113" t="s">
        <v>473</v>
      </c>
      <c r="D3" s="113">
        <f>VLOOKUP(Municipios!A3,CI!A$2:R$400,18,FALSE)</f>
        <v>1</v>
      </c>
      <c r="E3" s="128">
        <f t="shared" ref="E3:E35" si="0">B3-D3</f>
        <v>0</v>
      </c>
      <c r="F3" s="114">
        <f>VLOOKUP(Municipios!A3,CI!A$2:R$400,9,FALSE)</f>
        <v>0.44903439064416445</v>
      </c>
      <c r="G3" s="115">
        <f>VLOOKUP(A3,[1]CI!$A$2:$P$400,9,FALSE)</f>
        <v>0.12479175225345336</v>
      </c>
      <c r="H3" s="24">
        <f>VLOOKUP(A3,[1]CI!$A$2:$Q$400,17,FALSE)</f>
        <v>246</v>
      </c>
      <c r="L3" t="s">
        <v>285</v>
      </c>
    </row>
    <row r="4" spans="1:16" x14ac:dyDescent="0.25">
      <c r="A4" s="120" t="s">
        <v>478</v>
      </c>
      <c r="B4" s="113">
        <v>1</v>
      </c>
      <c r="C4" s="113" t="s">
        <v>473</v>
      </c>
      <c r="D4" s="113">
        <f>VLOOKUP(Municipios!A4,CI!A$2:R$400,18,FALSE)</f>
        <v>0</v>
      </c>
      <c r="E4" s="128">
        <f t="shared" si="0"/>
        <v>1</v>
      </c>
      <c r="F4" s="114">
        <f>VLOOKUP(Municipios!A4,CI!A$2:R$400,9,FALSE)</f>
        <v>0.28051615795235707</v>
      </c>
      <c r="G4" s="115">
        <f>VLOOKUP(A4,[1]CI!$A$2:$P$400,9,FALSE)</f>
        <v>1.6536772961505779E-2</v>
      </c>
      <c r="H4" s="24">
        <f>VLOOKUP(A4,[1]CI!$A$2:$Q$400,17,FALSE)</f>
        <v>393</v>
      </c>
      <c r="L4" t="s">
        <v>119</v>
      </c>
      <c r="P4" s="110">
        <v>14</v>
      </c>
    </row>
    <row r="5" spans="1:16" x14ac:dyDescent="0.25">
      <c r="A5" s="121" t="s">
        <v>492</v>
      </c>
      <c r="B5" s="117">
        <v>1</v>
      </c>
      <c r="C5" s="117" t="s">
        <v>472</v>
      </c>
      <c r="D5" s="113">
        <f>VLOOKUP(Municipios!A5,CI!A$2:R$400,18,FALSE)</f>
        <v>0</v>
      </c>
      <c r="E5" s="128">
        <f t="shared" si="0"/>
        <v>1</v>
      </c>
      <c r="F5" s="114">
        <f>VLOOKUP(Municipios!A5,CI!A$2:R$400,9,FALSE)</f>
        <v>0.49958260545094318</v>
      </c>
      <c r="G5" s="115">
        <f>VLOOKUP(A5,[1]CI!$A$2:$P$400,9,FALSE)</f>
        <v>1.8461480503343747E-2</v>
      </c>
      <c r="H5" s="24">
        <f>VLOOKUP(A5,[1]CI!$A$2:$Q$400,17,FALSE)</f>
        <v>168</v>
      </c>
      <c r="L5" t="s">
        <v>311</v>
      </c>
      <c r="P5" s="110">
        <v>5</v>
      </c>
    </row>
    <row r="6" spans="1:16" x14ac:dyDescent="0.25">
      <c r="A6" s="120" t="s">
        <v>470</v>
      </c>
      <c r="B6" s="113">
        <v>1</v>
      </c>
      <c r="C6" s="113" t="s">
        <v>468</v>
      </c>
      <c r="D6" s="113">
        <f>VLOOKUP(Municipios!A6,CI!A$2:R$400,18,FALSE)</f>
        <v>0</v>
      </c>
      <c r="E6" s="128">
        <f t="shared" si="0"/>
        <v>1</v>
      </c>
      <c r="F6" s="114">
        <f>VLOOKUP(Municipios!A6,CI!A$2:R$400,9,FALSE)</f>
        <v>0.31813388175556989</v>
      </c>
      <c r="G6" s="115">
        <f>VLOOKUP(A6,[1]CI!$A$2:$P$400,9,FALSE)</f>
        <v>0.10090966683636188</v>
      </c>
      <c r="H6" s="24">
        <f>VLOOKUP(A6,[1]CI!$A$2:$Q$400,17,FALSE)</f>
        <v>384</v>
      </c>
      <c r="L6" t="s">
        <v>290</v>
      </c>
      <c r="P6" s="110">
        <v>4</v>
      </c>
    </row>
    <row r="7" spans="1:16" x14ac:dyDescent="0.25">
      <c r="A7" s="120" t="s">
        <v>475</v>
      </c>
      <c r="B7" s="113">
        <v>1</v>
      </c>
      <c r="C7" s="113" t="s">
        <v>472</v>
      </c>
      <c r="D7" s="113">
        <f>VLOOKUP(Municipios!A7,CI!A$2:R$400,18,FALSE)</f>
        <v>1</v>
      </c>
      <c r="E7" s="128">
        <f t="shared" si="0"/>
        <v>0</v>
      </c>
      <c r="F7" s="114">
        <f>VLOOKUP(Municipios!A7,CI!A$2:R$400,9,FALSE)</f>
        <v>0.4949829172794436</v>
      </c>
      <c r="G7" s="115">
        <f>VLOOKUP(A7,[1]CI!$A$2:$P$400,9,FALSE)</f>
        <v>0.11167231717235376</v>
      </c>
      <c r="H7" s="24">
        <f>VLOOKUP(A7,[1]CI!$A$2:$Q$400,17,FALSE)</f>
        <v>164</v>
      </c>
      <c r="L7" t="s">
        <v>184</v>
      </c>
      <c r="P7" s="110">
        <v>4</v>
      </c>
    </row>
    <row r="8" spans="1:16" x14ac:dyDescent="0.25">
      <c r="A8" s="121" t="s">
        <v>497</v>
      </c>
      <c r="B8" s="117">
        <v>1</v>
      </c>
      <c r="C8" s="117" t="s">
        <v>473</v>
      </c>
      <c r="D8" s="113">
        <f>VLOOKUP(Municipios!A8,CI!A$2:R$400,18,FALSE)</f>
        <v>0</v>
      </c>
      <c r="E8" s="128">
        <f t="shared" si="0"/>
        <v>1</v>
      </c>
      <c r="F8" s="114">
        <f>VLOOKUP(Municipios!A8,CI!A$2:R$400,9,FALSE)</f>
        <v>0.50240487167424552</v>
      </c>
      <c r="G8" s="115">
        <f>VLOOKUP(A8,[1]CI!$A$2:$P$400,9,FALSE)</f>
        <v>1.8068683045825793E-2</v>
      </c>
      <c r="H8" s="24">
        <f>VLOOKUP(A8,[1]CI!$A$2:$Q$400,17,FALSE)</f>
        <v>147</v>
      </c>
      <c r="L8" t="s">
        <v>380</v>
      </c>
      <c r="P8" s="110">
        <v>4</v>
      </c>
    </row>
    <row r="9" spans="1:16" x14ac:dyDescent="0.25">
      <c r="A9" s="120" t="s">
        <v>496</v>
      </c>
      <c r="B9" s="113">
        <v>1</v>
      </c>
      <c r="C9" s="113" t="s">
        <v>472</v>
      </c>
      <c r="D9" s="113">
        <f>VLOOKUP(Municipios!A9,CI!A$2:R$400,18,FALSE)</f>
        <v>1</v>
      </c>
      <c r="E9" s="128">
        <f t="shared" si="0"/>
        <v>0</v>
      </c>
      <c r="F9" s="114">
        <f>VLOOKUP(Municipios!A9,CI!A$2:R$400,9,FALSE)</f>
        <v>0.34756344217667978</v>
      </c>
      <c r="G9" s="115">
        <f>VLOOKUP(A9,[1]CI!$A$2:$P$400,9,FALSE)</f>
        <v>0.22711548993687986</v>
      </c>
      <c r="H9" s="24">
        <f>VLOOKUP(A9,[1]CI!$A$2:$Q$400,17,FALSE)</f>
        <v>363</v>
      </c>
      <c r="L9" t="s">
        <v>167</v>
      </c>
      <c r="P9" s="110">
        <v>3</v>
      </c>
    </row>
    <row r="10" spans="1:16" x14ac:dyDescent="0.25">
      <c r="A10" s="121" t="s">
        <v>498</v>
      </c>
      <c r="B10" s="117">
        <v>1</v>
      </c>
      <c r="C10" s="117" t="s">
        <v>473</v>
      </c>
      <c r="D10" s="113">
        <f>VLOOKUP(Municipios!A10,CI!A$2:R$400,18,FALSE)</f>
        <v>0</v>
      </c>
      <c r="E10" s="128">
        <f t="shared" si="0"/>
        <v>1</v>
      </c>
      <c r="F10" s="114">
        <f>VLOOKUP(Municipios!A10,CI!A$2:R$400,9,FALSE)</f>
        <v>0.47901896723765541</v>
      </c>
      <c r="G10" s="115">
        <f>VLOOKUP(A10,[1]CI!$A$2:$P$400,9,FALSE)</f>
        <v>2.7063744822986898E-2</v>
      </c>
      <c r="H10" s="24">
        <f>VLOOKUP(A10,[1]CI!$A$2:$Q$400,17,FALSE)</f>
        <v>195</v>
      </c>
      <c r="L10" t="s">
        <v>347</v>
      </c>
      <c r="P10" s="110">
        <v>3</v>
      </c>
    </row>
    <row r="11" spans="1:16" x14ac:dyDescent="0.25">
      <c r="A11" s="122" t="s">
        <v>491</v>
      </c>
      <c r="B11" s="117">
        <v>1</v>
      </c>
      <c r="C11" s="117" t="s">
        <v>471</v>
      </c>
      <c r="D11" s="113">
        <f>VLOOKUP(Municipios!A11,CI!A$2:R$400,18,FALSE)</f>
        <v>0</v>
      </c>
      <c r="E11" s="128">
        <f t="shared" si="0"/>
        <v>1</v>
      </c>
      <c r="F11" s="114">
        <f>VLOOKUP(Municipios!A11,CI!A$2:R$400,9,FALSE)</f>
        <v>0.48542393599714123</v>
      </c>
      <c r="G11" s="115">
        <f>VLOOKUP(A11,[1]CI!$A$2:$P$400,9,FALSE)</f>
        <v>3.071676117790385E-2</v>
      </c>
      <c r="H11" s="24">
        <f>VLOOKUP(A11,[1]CI!$A$2:$Q$400,17,FALSE)</f>
        <v>182</v>
      </c>
      <c r="L11" t="s">
        <v>244</v>
      </c>
      <c r="P11" s="110">
        <v>3</v>
      </c>
    </row>
    <row r="12" spans="1:16" x14ac:dyDescent="0.25">
      <c r="A12" s="120" t="s">
        <v>481</v>
      </c>
      <c r="B12" s="113">
        <v>1</v>
      </c>
      <c r="C12" s="113" t="s">
        <v>473</v>
      </c>
      <c r="D12" s="113">
        <f>VLOOKUP(Municipios!A12,CI!A$2:R$400,18,FALSE)</f>
        <v>1</v>
      </c>
      <c r="E12" s="128">
        <f t="shared" si="0"/>
        <v>0</v>
      </c>
      <c r="F12" s="114">
        <f>VLOOKUP(Municipios!A12,CI!A$2:R$400,9,FALSE)</f>
        <v>0.53801157409506917</v>
      </c>
      <c r="G12" s="115">
        <f>VLOOKUP(A12,[1]CI!$A$2:$P$400,9,FALSE)</f>
        <v>9.2268122770966923E-2</v>
      </c>
      <c r="H12" s="24">
        <f>VLOOKUP(A12,[1]CI!$A$2:$Q$400,17,FALSE)</f>
        <v>101</v>
      </c>
      <c r="L12" t="s">
        <v>234</v>
      </c>
      <c r="P12" s="110">
        <v>2</v>
      </c>
    </row>
    <row r="13" spans="1:16" x14ac:dyDescent="0.25">
      <c r="A13" s="121" t="s">
        <v>480</v>
      </c>
      <c r="B13" s="117">
        <v>1</v>
      </c>
      <c r="C13" s="117" t="s">
        <v>473</v>
      </c>
      <c r="D13" s="113">
        <f>VLOOKUP(Municipios!A13,CI!A$2:R$400,18,FALSE)</f>
        <v>0</v>
      </c>
      <c r="E13" s="128">
        <f t="shared" si="0"/>
        <v>1</v>
      </c>
      <c r="F13" s="114">
        <f>VLOOKUP(Municipios!A13,CI!A$2:R$400,9,FALSE)</f>
        <v>0.3603615643645689</v>
      </c>
      <c r="G13" s="115">
        <f>VLOOKUP(A13,[1]CI!$A$2:$P$400,9,FALSE)</f>
        <v>5.7819785746642545E-2</v>
      </c>
      <c r="H13" s="24">
        <f>VLOOKUP(A13,[1]CI!$A$2:$Q$400,17,FALSE)</f>
        <v>353</v>
      </c>
      <c r="L13" t="s">
        <v>287</v>
      </c>
      <c r="P13" s="110">
        <v>2</v>
      </c>
    </row>
    <row r="14" spans="1:16" x14ac:dyDescent="0.25">
      <c r="A14" s="119" t="s">
        <v>504</v>
      </c>
      <c r="B14" s="113">
        <v>1</v>
      </c>
      <c r="C14" s="113" t="s">
        <v>472</v>
      </c>
      <c r="D14" s="113">
        <f>VLOOKUP(Municipios!A14,CI!A$2:R$400,18,FALSE)</f>
        <v>1</v>
      </c>
      <c r="E14" s="128">
        <f t="shared" si="0"/>
        <v>0</v>
      </c>
      <c r="F14" s="114">
        <f>VLOOKUP(Municipios!A14,CI!A$2:R$400,9,FALSE)</f>
        <v>0.4135357426581554</v>
      </c>
      <c r="G14" s="115">
        <f>VLOOKUP(A14,[1]CI!$A$2:$P$400,9,FALSE)</f>
        <v>0.13912885945285861</v>
      </c>
      <c r="H14" s="24">
        <f>VLOOKUP(A14,[1]CI!$A$2:$Q$400,17,FALSE)</f>
        <v>286</v>
      </c>
      <c r="L14" t="s">
        <v>144</v>
      </c>
      <c r="P14" s="110">
        <v>2</v>
      </c>
    </row>
    <row r="15" spans="1:16" x14ac:dyDescent="0.25">
      <c r="A15" s="121" t="s">
        <v>482</v>
      </c>
      <c r="B15" s="117">
        <v>1</v>
      </c>
      <c r="C15" s="117" t="s">
        <v>473</v>
      </c>
      <c r="D15" s="113">
        <f>VLOOKUP(Municipios!A15,CI!A$2:R$400,18,FALSE)</f>
        <v>0</v>
      </c>
      <c r="E15" s="128">
        <f t="shared" si="0"/>
        <v>1</v>
      </c>
      <c r="F15" s="114">
        <f>VLOOKUP(Municipios!A15,CI!A$2:R$400,9,FALSE)</f>
        <v>0.40791999934627621</v>
      </c>
      <c r="G15" s="115">
        <f>VLOOKUP(A15,[1]CI!$A$2:$P$400,9,FALSE)</f>
        <v>2.4824799315134569E-2</v>
      </c>
      <c r="H15" s="24">
        <f>VLOOKUP(A15,[1]CI!$A$2:$Q$400,17,FALSE)</f>
        <v>300</v>
      </c>
      <c r="L15" t="s">
        <v>206</v>
      </c>
      <c r="P15" s="110">
        <v>2</v>
      </c>
    </row>
    <row r="16" spans="1:16" x14ac:dyDescent="0.25">
      <c r="A16" s="121" t="s">
        <v>483</v>
      </c>
      <c r="B16" s="117">
        <v>1</v>
      </c>
      <c r="C16" s="117" t="s">
        <v>473</v>
      </c>
      <c r="D16" s="113">
        <f>VLOOKUP(Municipios!A16,CI!A$2:R$400,18,FALSE)</f>
        <v>0</v>
      </c>
      <c r="E16" s="128">
        <f t="shared" si="0"/>
        <v>1</v>
      </c>
      <c r="F16" s="114">
        <f>VLOOKUP(Municipios!A16,CI!A$2:R$400,9,FALSE)</f>
        <v>0.32734006225116652</v>
      </c>
      <c r="G16" s="115">
        <f>VLOOKUP(A16,[1]CI!$A$2:$P$400,9,FALSE)</f>
        <v>2.7338703043249462E-2</v>
      </c>
      <c r="H16" s="24">
        <f>VLOOKUP(A16,[1]CI!$A$2:$Q$400,17,FALSE)</f>
        <v>373</v>
      </c>
      <c r="L16" t="s">
        <v>321</v>
      </c>
      <c r="P16" s="110">
        <v>2</v>
      </c>
    </row>
    <row r="17" spans="1:16" x14ac:dyDescent="0.25">
      <c r="A17" s="121" t="s">
        <v>495</v>
      </c>
      <c r="B17" s="117">
        <v>1</v>
      </c>
      <c r="C17" s="117" t="s">
        <v>468</v>
      </c>
      <c r="D17" s="113">
        <f>VLOOKUP(Municipios!A17,CI!A$2:R$400,18,FALSE)</f>
        <v>0</v>
      </c>
      <c r="E17" s="128">
        <f t="shared" si="0"/>
        <v>1</v>
      </c>
      <c r="F17" s="114">
        <f>VLOOKUP(Municipios!A17,CI!A$2:R$400,9,FALSE)</f>
        <v>0.4216795240078689</v>
      </c>
      <c r="G17" s="115">
        <f>VLOOKUP(A17,[1]CI!$A$2:$P$400,9,FALSE)</f>
        <v>8.2880263536287881E-3</v>
      </c>
      <c r="H17" s="24">
        <f>VLOOKUP(A17,[1]CI!$A$2:$Q$400,17,FALSE)</f>
        <v>280</v>
      </c>
      <c r="L17" t="s">
        <v>112</v>
      </c>
      <c r="P17" s="110">
        <v>2</v>
      </c>
    </row>
    <row r="18" spans="1:16" x14ac:dyDescent="0.25">
      <c r="A18" s="119" t="s">
        <v>505</v>
      </c>
      <c r="B18" s="113">
        <v>1</v>
      </c>
      <c r="C18" s="113" t="s">
        <v>473</v>
      </c>
      <c r="D18" s="113">
        <f>VLOOKUP(Municipios!A18,CI!A$2:R$400,18,FALSE)</f>
        <v>1</v>
      </c>
      <c r="E18" s="128">
        <f t="shared" si="0"/>
        <v>0</v>
      </c>
      <c r="F18" s="114">
        <f>VLOOKUP(Municipios!A18,CI!A$2:R$400,9,FALSE)</f>
        <v>0.61475697585255695</v>
      </c>
      <c r="G18" s="115">
        <f>VLOOKUP(A18,[1]CI!$A$2:$P$400,9,FALSE)</f>
        <v>3.8533430582511095E-2</v>
      </c>
      <c r="H18" s="24">
        <f>VLOOKUP(A18,[1]CI!$A$2:$Q$400,17,FALSE)</f>
        <v>44</v>
      </c>
      <c r="L18" t="s">
        <v>73</v>
      </c>
      <c r="P18" s="110">
        <v>2</v>
      </c>
    </row>
    <row r="19" spans="1:16" x14ac:dyDescent="0.25">
      <c r="A19" s="121" t="s">
        <v>484</v>
      </c>
      <c r="B19" s="117">
        <v>1</v>
      </c>
      <c r="C19" s="117" t="s">
        <v>473</v>
      </c>
      <c r="D19" s="113">
        <f>VLOOKUP(Municipios!A19,CI!A$2:R$400,18,FALSE)</f>
        <v>0</v>
      </c>
      <c r="E19" s="128">
        <f t="shared" si="0"/>
        <v>1</v>
      </c>
      <c r="F19" s="114">
        <f>VLOOKUP(Municipios!A19,CI!A$2:R$400,9,FALSE)</f>
        <v>0.47871159286786003</v>
      </c>
      <c r="G19" s="115">
        <f>VLOOKUP(A19,[1]CI!$A$2:$P$400,9,FALSE)</f>
        <v>2.37642461798361E-2</v>
      </c>
      <c r="H19" s="24">
        <f>VLOOKUP(A19,[1]CI!$A$2:$Q$400,17,FALSE)</f>
        <v>198</v>
      </c>
      <c r="L19" t="s">
        <v>268</v>
      </c>
      <c r="P19" s="110">
        <v>2</v>
      </c>
    </row>
    <row r="20" spans="1:16" x14ac:dyDescent="0.25">
      <c r="A20" s="120" t="s">
        <v>485</v>
      </c>
      <c r="B20" s="113">
        <v>1</v>
      </c>
      <c r="C20" s="113" t="s">
        <v>473</v>
      </c>
      <c r="D20" s="113">
        <f>VLOOKUP(Municipios!A20,CI!A$2:R$400,18,FALSE)</f>
        <v>1</v>
      </c>
      <c r="E20" s="128">
        <f t="shared" si="0"/>
        <v>0</v>
      </c>
      <c r="F20" s="114">
        <f>VLOOKUP(Municipios!A20,CI!A$2:R$400,9,FALSE)</f>
        <v>0.34000138553595671</v>
      </c>
      <c r="G20" s="115">
        <f>VLOOKUP(A20,[1]CI!$A$2:$P$400,9,FALSE)</f>
        <v>0.17585542173078711</v>
      </c>
      <c r="H20" s="24">
        <f>VLOOKUP(A20,[1]CI!$A$2:$Q$400,17,FALSE)</f>
        <v>369</v>
      </c>
      <c r="L20" t="s">
        <v>273</v>
      </c>
    </row>
    <row r="21" spans="1:16" x14ac:dyDescent="0.25">
      <c r="A21" s="120" t="s">
        <v>486</v>
      </c>
      <c r="B21" s="113">
        <v>1</v>
      </c>
      <c r="C21" s="113" t="s">
        <v>473</v>
      </c>
      <c r="D21" s="113">
        <f>VLOOKUP(Municipios!A21,CI!A$2:R$400,18,FALSE)</f>
        <v>1</v>
      </c>
      <c r="E21" s="128">
        <f t="shared" si="0"/>
        <v>0</v>
      </c>
      <c r="F21" s="114">
        <f>VLOOKUP(Municipios!A21,CI!A$2:R$400,9,FALSE)</f>
        <v>0.42105803205728842</v>
      </c>
      <c r="G21" s="115">
        <f>VLOOKUP(A21,[1]CI!$A$2:$P$400,9,FALSE)</f>
        <v>0.21391749536427668</v>
      </c>
      <c r="H21" s="24">
        <f>VLOOKUP(A21,[1]CI!$A$2:$Q$400,17,FALSE)</f>
        <v>290</v>
      </c>
      <c r="L21" t="s">
        <v>226</v>
      </c>
    </row>
    <row r="22" spans="1:16" x14ac:dyDescent="0.25">
      <c r="A22" s="121" t="s">
        <v>487</v>
      </c>
      <c r="B22" s="117">
        <v>1</v>
      </c>
      <c r="C22" s="117" t="s">
        <v>473</v>
      </c>
      <c r="D22" s="113">
        <f>VLOOKUP(Municipios!A22,CI!A$2:R$400,18,FALSE)</f>
        <v>0</v>
      </c>
      <c r="E22" s="128">
        <f t="shared" si="0"/>
        <v>1</v>
      </c>
      <c r="F22" s="114">
        <f>VLOOKUP(Municipios!A22,CI!A$2:R$400,9,FALSE)</f>
        <v>0.38098613347873639</v>
      </c>
      <c r="G22" s="115">
        <f>VLOOKUP(A22,[1]CI!$A$2:$P$400,9,FALSE)</f>
        <v>3.7983514141985961E-2</v>
      </c>
      <c r="H22" s="24">
        <f>VLOOKUP(A22,[1]CI!$A$2:$Q$400,17,FALSE)</f>
        <v>337</v>
      </c>
      <c r="L22" t="s">
        <v>345</v>
      </c>
    </row>
    <row r="23" spans="1:16" x14ac:dyDescent="0.25">
      <c r="A23" s="121" t="s">
        <v>474</v>
      </c>
      <c r="B23" s="117">
        <v>1</v>
      </c>
      <c r="C23" s="117" t="s">
        <v>472</v>
      </c>
      <c r="D23" s="113">
        <f>VLOOKUP(Municipios!A23,CI!A$2:R$400,18,FALSE)</f>
        <v>0</v>
      </c>
      <c r="E23" s="128">
        <f t="shared" si="0"/>
        <v>1</v>
      </c>
      <c r="F23" s="114">
        <f>VLOOKUP(Municipios!A23,CI!A$2:R$400,9,FALSE)</f>
        <v>0.52211437281058626</v>
      </c>
      <c r="G23" s="115">
        <f>VLOOKUP(A23,[1]CI!$A$2:$P$400,9,FALSE)</f>
        <v>2.5492554992915088E-2</v>
      </c>
      <c r="H23" s="24">
        <f>VLOOKUP(A23,[1]CI!$A$2:$Q$400,17,FALSE)</f>
        <v>121</v>
      </c>
      <c r="L23" t="s">
        <v>23</v>
      </c>
    </row>
    <row r="24" spans="1:16" x14ac:dyDescent="0.25">
      <c r="A24" s="121" t="s">
        <v>499</v>
      </c>
      <c r="B24" s="117">
        <v>1</v>
      </c>
      <c r="C24" s="117" t="s">
        <v>473</v>
      </c>
      <c r="D24" s="113">
        <f>VLOOKUP(Municipios!A24,CI!A$2:R$400,18,FALSE)</f>
        <v>0</v>
      </c>
      <c r="E24" s="128">
        <f t="shared" si="0"/>
        <v>1</v>
      </c>
      <c r="F24" s="114">
        <f>VLOOKUP(Municipios!A24,CI!A$2:R$400,9,FALSE)</f>
        <v>0.50415253979422248</v>
      </c>
      <c r="G24" s="115">
        <f>VLOOKUP(A24,[1]CI!$A$2:$P$400,9,FALSE)</f>
        <v>1.8540039994847334E-2</v>
      </c>
      <c r="H24" s="24">
        <f>VLOOKUP(A24,[1]CI!$A$2:$Q$400,17,FALSE)</f>
        <v>154</v>
      </c>
      <c r="L24" t="s">
        <v>160</v>
      </c>
    </row>
    <row r="25" spans="1:16" x14ac:dyDescent="0.25">
      <c r="A25" s="121" t="s">
        <v>494</v>
      </c>
      <c r="B25" s="117">
        <v>1</v>
      </c>
      <c r="C25" s="117" t="s">
        <v>472</v>
      </c>
      <c r="D25" s="113">
        <f>VLOOKUP(Municipios!A25,CI!A$2:R$400,18,FALSE)</f>
        <v>0</v>
      </c>
      <c r="E25" s="128">
        <f t="shared" si="0"/>
        <v>1</v>
      </c>
      <c r="F25" s="114">
        <f>VLOOKUP(Municipios!A25,CI!A$2:R$400,9,FALSE)</f>
        <v>0.36708595727576138</v>
      </c>
      <c r="G25" s="115">
        <f>VLOOKUP(A25,[1]CI!$A$2:$P$400,9,FALSE)</f>
        <v>6.6618448795044666E-2</v>
      </c>
      <c r="H25" s="24">
        <f>VLOOKUP(A25,[1]CI!$A$2:$Q$400,17,FALSE)</f>
        <v>344</v>
      </c>
      <c r="L25" t="s">
        <v>127</v>
      </c>
    </row>
    <row r="26" spans="1:16" x14ac:dyDescent="0.25">
      <c r="A26" s="120" t="s">
        <v>489</v>
      </c>
      <c r="B26" s="113">
        <v>1</v>
      </c>
      <c r="C26" s="113" t="s">
        <v>473</v>
      </c>
      <c r="D26" s="113">
        <f>VLOOKUP(Municipios!A26,CI!A$2:R$400,18,FALSE)</f>
        <v>1</v>
      </c>
      <c r="E26" s="128">
        <f t="shared" si="0"/>
        <v>0</v>
      </c>
      <c r="F26" s="114">
        <f>VLOOKUP(Municipios!A26,CI!A$2:R$400,9,FALSE)</f>
        <v>0.47591304481623653</v>
      </c>
      <c r="G26" s="115">
        <f>VLOOKUP(A26,[1]CI!$A$2:$P$400,9,FALSE)</f>
        <v>0.25025126018468724</v>
      </c>
      <c r="H26" s="24">
        <f>VLOOKUP(A26,[1]CI!$A$2:$Q$400,17,FALSE)</f>
        <v>205</v>
      </c>
      <c r="L26" t="s">
        <v>366</v>
      </c>
    </row>
    <row r="27" spans="1:16" x14ac:dyDescent="0.25">
      <c r="A27" s="121" t="s">
        <v>477</v>
      </c>
      <c r="B27" s="117">
        <v>1</v>
      </c>
      <c r="C27" s="117" t="s">
        <v>472</v>
      </c>
      <c r="D27" s="113">
        <f>VLOOKUP(Municipios!A27,CI!A$2:R$400,18,FALSE)</f>
        <v>0</v>
      </c>
      <c r="E27" s="128">
        <f t="shared" si="0"/>
        <v>1</v>
      </c>
      <c r="F27" s="114">
        <f>VLOOKUP(Municipios!A27,CI!A$2:R$400,9,FALSE)</f>
        <v>0.44019513860692983</v>
      </c>
      <c r="G27" s="115">
        <f>VLOOKUP(A27,[1]CI!$A$2:$P$400,9,FALSE)</f>
        <v>6.1669200830318467E-2</v>
      </c>
      <c r="H27" s="24">
        <f>VLOOKUP(A27,[1]CI!$A$2:$Q$400,17,FALSE)</f>
        <v>249</v>
      </c>
      <c r="L27" t="s">
        <v>304</v>
      </c>
    </row>
    <row r="28" spans="1:16" x14ac:dyDescent="0.25">
      <c r="A28" s="119" t="s">
        <v>503</v>
      </c>
      <c r="B28" s="113">
        <v>1</v>
      </c>
      <c r="C28" s="113" t="s">
        <v>468</v>
      </c>
      <c r="D28" s="113">
        <f>VLOOKUP(Municipios!A28,CI!A$2:R$400,18,FALSE)</f>
        <v>4</v>
      </c>
      <c r="E28" s="128">
        <f t="shared" si="0"/>
        <v>-3</v>
      </c>
      <c r="F28" s="114">
        <f>VLOOKUP(Municipios!A28,CI!A$2:R$400,9,FALSE)</f>
        <v>0.47751966477023017</v>
      </c>
      <c r="G28" s="115">
        <f>VLOOKUP(A28,[1]CI!$A$2:$P$400,9,FALSE)</f>
        <v>1.981820292161075</v>
      </c>
      <c r="H28" s="24">
        <f>VLOOKUP(A28,[1]CI!$A$2:$Q$400,17,FALSE)</f>
        <v>207</v>
      </c>
      <c r="L28" t="s">
        <v>238</v>
      </c>
    </row>
    <row r="29" spans="1:16" x14ac:dyDescent="0.25">
      <c r="A29" s="121" t="s">
        <v>488</v>
      </c>
      <c r="B29" s="117">
        <v>1</v>
      </c>
      <c r="C29" s="117" t="s">
        <v>473</v>
      </c>
      <c r="D29" s="113">
        <f>VLOOKUP(Municipios!A29,CI!A$2:R$400,18,FALSE)</f>
        <v>0</v>
      </c>
      <c r="E29" s="128">
        <f t="shared" si="0"/>
        <v>1</v>
      </c>
      <c r="F29" s="114">
        <f>VLOOKUP(Municipios!A29,CI!A$2:R$400,9,FALSE)</f>
        <v>0.45782122802870068</v>
      </c>
      <c r="G29" s="115">
        <f>VLOOKUP(A29,[1]CI!$A$2:$P$400,9,FALSE)</f>
        <v>5.1535026426355303E-2</v>
      </c>
      <c r="H29" s="24">
        <f>VLOOKUP(A29,[1]CI!$A$2:$Q$400,17,FALSE)</f>
        <v>216</v>
      </c>
      <c r="L29" t="s">
        <v>68</v>
      </c>
    </row>
    <row r="30" spans="1:16" x14ac:dyDescent="0.25">
      <c r="A30" s="120" t="s">
        <v>493</v>
      </c>
      <c r="B30" s="113">
        <v>1</v>
      </c>
      <c r="C30" s="113" t="s">
        <v>472</v>
      </c>
      <c r="D30" s="113">
        <f>VLOOKUP(Municipios!A30,CI!A$2:R$400,18,FALSE)</f>
        <v>1</v>
      </c>
      <c r="E30" s="128">
        <f t="shared" si="0"/>
        <v>0</v>
      </c>
      <c r="F30" s="114">
        <f>VLOOKUP(Municipios!A30,CI!A$2:R$400,9,FALSE)</f>
        <v>0.61563134636646522</v>
      </c>
      <c r="G30" s="115">
        <f>VLOOKUP(A30,[1]CI!$A$2:$P$400,9,FALSE)</f>
        <v>0.17306655978240965</v>
      </c>
      <c r="H30" s="24">
        <f>VLOOKUP(A30,[1]CI!$A$2:$Q$400,17,FALSE)</f>
        <v>45</v>
      </c>
      <c r="L30" t="s">
        <v>256</v>
      </c>
    </row>
    <row r="31" spans="1:16" x14ac:dyDescent="0.25">
      <c r="A31" s="121" t="s">
        <v>500</v>
      </c>
      <c r="B31" s="117">
        <v>1</v>
      </c>
      <c r="C31" s="117" t="s">
        <v>473</v>
      </c>
      <c r="D31" s="113">
        <f>VLOOKUP(Municipios!A31,CI!A$2:R$400,18,FALSE)</f>
        <v>0</v>
      </c>
      <c r="E31" s="128">
        <f t="shared" si="0"/>
        <v>1</v>
      </c>
      <c r="F31" s="114">
        <f>VLOOKUP(Municipios!A31,CI!A$2:R$400,9,FALSE)</f>
        <v>0.52394251500273736</v>
      </c>
      <c r="G31" s="115">
        <f>VLOOKUP(A31,[1]CI!$A$2:$P$400,9,FALSE)</f>
        <v>2.513903728114893E-2</v>
      </c>
      <c r="H31" s="24">
        <f>VLOOKUP(A31,[1]CI!$A$2:$Q$400,17,FALSE)</f>
        <v>126</v>
      </c>
      <c r="L31" t="s">
        <v>201</v>
      </c>
    </row>
    <row r="32" spans="1:16" x14ac:dyDescent="0.25">
      <c r="A32" s="121" t="s">
        <v>501</v>
      </c>
      <c r="B32" s="117">
        <v>1</v>
      </c>
      <c r="C32" s="117" t="s">
        <v>473</v>
      </c>
      <c r="D32" s="113">
        <f>VLOOKUP(Municipios!A32,CI!A$2:R$400,18,FALSE)</f>
        <v>0</v>
      </c>
      <c r="E32" s="128">
        <f t="shared" si="0"/>
        <v>1</v>
      </c>
      <c r="F32" s="114">
        <f>VLOOKUP(Municipios!A32,CI!A$2:R$400,9,FALSE)</f>
        <v>0.39246894753530265</v>
      </c>
      <c r="G32" s="115">
        <f>VLOOKUP(A32,[1]CI!$A$2:$P$400,9,FALSE)</f>
        <v>7.8166694046072453E-3</v>
      </c>
      <c r="H32" s="24">
        <f>VLOOKUP(A32,[1]CI!$A$2:$Q$400,17,FALSE)</f>
        <v>314</v>
      </c>
      <c r="L32" t="s">
        <v>138</v>
      </c>
    </row>
    <row r="33" spans="1:12" x14ac:dyDescent="0.25">
      <c r="A33" s="121" t="s">
        <v>502</v>
      </c>
      <c r="B33" s="117">
        <v>1</v>
      </c>
      <c r="C33" s="117" t="s">
        <v>473</v>
      </c>
      <c r="D33" s="113">
        <f>VLOOKUP(Municipios!A33,CI!A$2:R$400,18,FALSE)</f>
        <v>0</v>
      </c>
      <c r="E33" s="128">
        <f t="shared" si="0"/>
        <v>1</v>
      </c>
      <c r="F33" s="114">
        <f>VLOOKUP(Municipios!A33,CI!A$2:R$400,9,FALSE)</f>
        <v>0.36438894524968823</v>
      </c>
      <c r="G33" s="115">
        <f>VLOOKUP(A33,[1]CI!$A$2:$P$400,9,FALSE)</f>
        <v>1.3001595843844213E-2</v>
      </c>
      <c r="H33" s="24">
        <f>VLOOKUP(A33,[1]CI!$A$2:$Q$400,17,FALSE)</f>
        <v>355</v>
      </c>
      <c r="L33" t="s">
        <v>261</v>
      </c>
    </row>
    <row r="34" spans="1:12" x14ac:dyDescent="0.25">
      <c r="A34" s="121" t="s">
        <v>476</v>
      </c>
      <c r="B34" s="117">
        <v>1</v>
      </c>
      <c r="C34" s="117" t="s">
        <v>472</v>
      </c>
      <c r="D34" s="113">
        <f>VLOOKUP(Municipios!A34,CI!A$2:R$400,18,FALSE)</f>
        <v>0</v>
      </c>
      <c r="E34" s="128">
        <f t="shared" si="0"/>
        <v>1</v>
      </c>
      <c r="F34" s="114">
        <f>VLOOKUP(Municipios!A34,CI!A$2:R$400,9,FALSE)</f>
        <v>0.50710076953809713</v>
      </c>
      <c r="G34" s="115">
        <f>VLOOKUP(A34,[1]CI!$A$2:$P$400,9,FALSE)</f>
        <v>3.2798587702748995E-2</v>
      </c>
      <c r="H34" s="24">
        <f>VLOOKUP(A34,[1]CI!$A$2:$Q$400,17,FALSE)</f>
        <v>136</v>
      </c>
      <c r="L34" t="s">
        <v>158</v>
      </c>
    </row>
    <row r="35" spans="1:12" x14ac:dyDescent="0.25">
      <c r="A35" s="126" t="s">
        <v>490</v>
      </c>
      <c r="B35" s="127">
        <v>1</v>
      </c>
      <c r="C35" s="127" t="s">
        <v>473</v>
      </c>
      <c r="D35" s="113">
        <f>VLOOKUP(Municipios!A35,CI!A$2:R$400,18,FALSE)</f>
        <v>2</v>
      </c>
      <c r="E35" s="128">
        <f t="shared" si="0"/>
        <v>-1</v>
      </c>
      <c r="F35" s="114">
        <f>VLOOKUP(Municipios!A35,CI!A$2:R$400,9,FALSE)</f>
        <v>0.51489007709755552</v>
      </c>
      <c r="G35" s="115">
        <f>VLOOKUP(A35,[1]CI!$A$2:$P$400,9,FALSE)</f>
        <v>0.66370986396808351</v>
      </c>
      <c r="H35" s="24">
        <f>VLOOKUP(A35,[1]CI!$A$2:$Q$400,17,FALSE)</f>
        <v>150</v>
      </c>
      <c r="L35" t="s">
        <v>156</v>
      </c>
    </row>
    <row r="36" spans="1:12" x14ac:dyDescent="0.25">
      <c r="L36" t="s">
        <v>200</v>
      </c>
    </row>
    <row r="37" spans="1:12" x14ac:dyDescent="0.25">
      <c r="L37" t="s">
        <v>143</v>
      </c>
    </row>
    <row r="38" spans="1:12" x14ac:dyDescent="0.25">
      <c r="L38" t="s">
        <v>288</v>
      </c>
    </row>
    <row r="39" spans="1:12" x14ac:dyDescent="0.25">
      <c r="L39" t="s">
        <v>208</v>
      </c>
    </row>
    <row r="40" spans="1:12" x14ac:dyDescent="0.25">
      <c r="L40" t="s">
        <v>198</v>
      </c>
    </row>
    <row r="41" spans="1:12" x14ac:dyDescent="0.25">
      <c r="L41" t="s">
        <v>187</v>
      </c>
    </row>
    <row r="42" spans="1:12" x14ac:dyDescent="0.25">
      <c r="L42" t="s">
        <v>305</v>
      </c>
    </row>
    <row r="43" spans="1:12" x14ac:dyDescent="0.25">
      <c r="L43" t="s">
        <v>83</v>
      </c>
    </row>
    <row r="44" spans="1:12" x14ac:dyDescent="0.25">
      <c r="L44" t="s">
        <v>252</v>
      </c>
    </row>
    <row r="45" spans="1:12" x14ac:dyDescent="0.25">
      <c r="L45" t="s">
        <v>69</v>
      </c>
    </row>
    <row r="46" spans="1:12" x14ac:dyDescent="0.25">
      <c r="L46" t="s">
        <v>161</v>
      </c>
    </row>
    <row r="47" spans="1:12" x14ac:dyDescent="0.25">
      <c r="L47" t="s">
        <v>25</v>
      </c>
    </row>
    <row r="48" spans="1:12" x14ac:dyDescent="0.25">
      <c r="L48" t="s">
        <v>111</v>
      </c>
    </row>
    <row r="49" spans="12:12" x14ac:dyDescent="0.25">
      <c r="L49" t="s">
        <v>120</v>
      </c>
    </row>
    <row r="50" spans="12:12" x14ac:dyDescent="0.25">
      <c r="L50" t="s">
        <v>224</v>
      </c>
    </row>
    <row r="51" spans="12:12" x14ac:dyDescent="0.25">
      <c r="L51" t="s">
        <v>374</v>
      </c>
    </row>
    <row r="52" spans="12:12" x14ac:dyDescent="0.25">
      <c r="L52" t="s">
        <v>259</v>
      </c>
    </row>
    <row r="53" spans="12:12" x14ac:dyDescent="0.25">
      <c r="L53" t="s">
        <v>151</v>
      </c>
    </row>
    <row r="54" spans="12:12" x14ac:dyDescent="0.25">
      <c r="L54" t="s">
        <v>71</v>
      </c>
    </row>
    <row r="55" spans="12:12" x14ac:dyDescent="0.25">
      <c r="L55" t="s">
        <v>126</v>
      </c>
    </row>
    <row r="56" spans="12:12" x14ac:dyDescent="0.25">
      <c r="L56" t="s">
        <v>43</v>
      </c>
    </row>
    <row r="57" spans="12:12" x14ac:dyDescent="0.25">
      <c r="L57" t="s">
        <v>104</v>
      </c>
    </row>
    <row r="58" spans="12:12" x14ac:dyDescent="0.25">
      <c r="L58" t="s">
        <v>342</v>
      </c>
    </row>
    <row r="59" spans="12:12" x14ac:dyDescent="0.25">
      <c r="L59" t="s">
        <v>185</v>
      </c>
    </row>
    <row r="60" spans="12:12" x14ac:dyDescent="0.25">
      <c r="L60" t="s">
        <v>355</v>
      </c>
    </row>
    <row r="61" spans="12:12" x14ac:dyDescent="0.25">
      <c r="L61" t="s">
        <v>135</v>
      </c>
    </row>
    <row r="62" spans="12:12" x14ac:dyDescent="0.25">
      <c r="L62" t="s">
        <v>313</v>
      </c>
    </row>
    <row r="63" spans="12:12" x14ac:dyDescent="0.25">
      <c r="L63" t="s">
        <v>357</v>
      </c>
    </row>
    <row r="64" spans="12:12" x14ac:dyDescent="0.25">
      <c r="L64" t="s">
        <v>266</v>
      </c>
    </row>
    <row r="65" spans="12:12" x14ac:dyDescent="0.25">
      <c r="L65" t="s">
        <v>353</v>
      </c>
    </row>
    <row r="66" spans="12:12" x14ac:dyDescent="0.25">
      <c r="L66" t="s">
        <v>189</v>
      </c>
    </row>
    <row r="67" spans="12:12" x14ac:dyDescent="0.25">
      <c r="L67" t="s">
        <v>215</v>
      </c>
    </row>
    <row r="68" spans="12:12" x14ac:dyDescent="0.25">
      <c r="L68" t="s">
        <v>337</v>
      </c>
    </row>
    <row r="69" spans="12:12" x14ac:dyDescent="0.25">
      <c r="L69" t="s">
        <v>99</v>
      </c>
    </row>
    <row r="70" spans="12:12" x14ac:dyDescent="0.25">
      <c r="L70" t="s">
        <v>220</v>
      </c>
    </row>
    <row r="71" spans="12:12" x14ac:dyDescent="0.25">
      <c r="L71" t="s">
        <v>145</v>
      </c>
    </row>
    <row r="72" spans="12:12" x14ac:dyDescent="0.25">
      <c r="L72" t="s">
        <v>364</v>
      </c>
    </row>
    <row r="73" spans="12:12" x14ac:dyDescent="0.25">
      <c r="L73" t="s">
        <v>55</v>
      </c>
    </row>
    <row r="74" spans="12:12" x14ac:dyDescent="0.25">
      <c r="L74" t="s">
        <v>323</v>
      </c>
    </row>
    <row r="75" spans="12:12" x14ac:dyDescent="0.25">
      <c r="L75" t="s">
        <v>77</v>
      </c>
    </row>
    <row r="76" spans="12:12" x14ac:dyDescent="0.25">
      <c r="L76" t="s">
        <v>231</v>
      </c>
    </row>
    <row r="77" spans="12:12" x14ac:dyDescent="0.25">
      <c r="L77" t="s">
        <v>141</v>
      </c>
    </row>
    <row r="78" spans="12:12" x14ac:dyDescent="0.25">
      <c r="L78" t="s">
        <v>149</v>
      </c>
    </row>
    <row r="79" spans="12:12" x14ac:dyDescent="0.25">
      <c r="L79" t="s">
        <v>125</v>
      </c>
    </row>
    <row r="80" spans="12:12" x14ac:dyDescent="0.25">
      <c r="L80" t="s">
        <v>306</v>
      </c>
    </row>
    <row r="81" spans="12:12" x14ac:dyDescent="0.25">
      <c r="L81" t="s">
        <v>338</v>
      </c>
    </row>
    <row r="82" spans="12:12" x14ac:dyDescent="0.25">
      <c r="L82" t="s">
        <v>152</v>
      </c>
    </row>
    <row r="83" spans="12:12" x14ac:dyDescent="0.25">
      <c r="L83" t="s">
        <v>253</v>
      </c>
    </row>
    <row r="84" spans="12:12" x14ac:dyDescent="0.25">
      <c r="L84" t="s">
        <v>354</v>
      </c>
    </row>
    <row r="85" spans="12:12" x14ac:dyDescent="0.25">
      <c r="L85" t="s">
        <v>377</v>
      </c>
    </row>
    <row r="86" spans="12:12" x14ac:dyDescent="0.25">
      <c r="L86" t="s">
        <v>361</v>
      </c>
    </row>
    <row r="87" spans="12:12" x14ac:dyDescent="0.25">
      <c r="L87" t="s">
        <v>133</v>
      </c>
    </row>
    <row r="88" spans="12:12" x14ac:dyDescent="0.25">
      <c r="L88" t="s">
        <v>130</v>
      </c>
    </row>
    <row r="89" spans="12:12" x14ac:dyDescent="0.25">
      <c r="L89" t="s">
        <v>299</v>
      </c>
    </row>
    <row r="90" spans="12:12" x14ac:dyDescent="0.25">
      <c r="L90" t="s">
        <v>205</v>
      </c>
    </row>
    <row r="91" spans="12:12" x14ac:dyDescent="0.25">
      <c r="L91" t="s">
        <v>89</v>
      </c>
    </row>
    <row r="92" spans="12:12" x14ac:dyDescent="0.25">
      <c r="L92" t="s">
        <v>188</v>
      </c>
    </row>
    <row r="93" spans="12:12" x14ac:dyDescent="0.25">
      <c r="L93" t="s">
        <v>382</v>
      </c>
    </row>
    <row r="94" spans="12:12" x14ac:dyDescent="0.25">
      <c r="L94" t="s">
        <v>109</v>
      </c>
    </row>
    <row r="95" spans="12:12" x14ac:dyDescent="0.25">
      <c r="L95" t="s">
        <v>42</v>
      </c>
    </row>
    <row r="96" spans="12:12" x14ac:dyDescent="0.25">
      <c r="L96" t="s">
        <v>117</v>
      </c>
    </row>
    <row r="97" spans="12:12" x14ac:dyDescent="0.25">
      <c r="L97" t="s">
        <v>233</v>
      </c>
    </row>
    <row r="98" spans="12:12" x14ac:dyDescent="0.25">
      <c r="L98" t="s">
        <v>346</v>
      </c>
    </row>
    <row r="99" spans="12:12" x14ac:dyDescent="0.25">
      <c r="L99" t="s">
        <v>180</v>
      </c>
    </row>
    <row r="100" spans="12:12" x14ac:dyDescent="0.25">
      <c r="L100" t="s">
        <v>286</v>
      </c>
    </row>
    <row r="101" spans="12:12" x14ac:dyDescent="0.25">
      <c r="L101" t="s">
        <v>118</v>
      </c>
    </row>
    <row r="102" spans="12:12" x14ac:dyDescent="0.25">
      <c r="L102" s="111" t="s">
        <v>479</v>
      </c>
    </row>
    <row r="103" spans="12:12" x14ac:dyDescent="0.25">
      <c r="L103" s="111" t="s">
        <v>478</v>
      </c>
    </row>
    <row r="104" spans="12:12" x14ac:dyDescent="0.25">
      <c r="L104" s="117" t="s">
        <v>492</v>
      </c>
    </row>
    <row r="105" spans="12:12" x14ac:dyDescent="0.25">
      <c r="L105" s="111" t="s">
        <v>470</v>
      </c>
    </row>
    <row r="106" spans="12:12" x14ac:dyDescent="0.25">
      <c r="L106" s="111" t="s">
        <v>475</v>
      </c>
    </row>
    <row r="107" spans="12:12" x14ac:dyDescent="0.25">
      <c r="L107" s="112" t="s">
        <v>469</v>
      </c>
    </row>
    <row r="108" spans="12:12" x14ac:dyDescent="0.25">
      <c r="L108" s="117" t="s">
        <v>497</v>
      </c>
    </row>
    <row r="109" spans="12:12" x14ac:dyDescent="0.25">
      <c r="L109" s="111" t="s">
        <v>496</v>
      </c>
    </row>
    <row r="110" spans="12:12" x14ac:dyDescent="0.25">
      <c r="L110" s="117" t="s">
        <v>498</v>
      </c>
    </row>
    <row r="111" spans="12:12" x14ac:dyDescent="0.25">
      <c r="L111" s="116" t="s">
        <v>491</v>
      </c>
    </row>
    <row r="112" spans="12:12" x14ac:dyDescent="0.25">
      <c r="L112" s="111" t="s">
        <v>481</v>
      </c>
    </row>
    <row r="113" spans="12:12" x14ac:dyDescent="0.25">
      <c r="L113" s="117" t="s">
        <v>480</v>
      </c>
    </row>
    <row r="114" spans="12:12" x14ac:dyDescent="0.25">
      <c r="L114" s="112" t="s">
        <v>504</v>
      </c>
    </row>
    <row r="115" spans="12:12" x14ac:dyDescent="0.25">
      <c r="L115" s="117" t="s">
        <v>482</v>
      </c>
    </row>
    <row r="116" spans="12:12" x14ac:dyDescent="0.25">
      <c r="L116" s="117" t="s">
        <v>483</v>
      </c>
    </row>
    <row r="117" spans="12:12" x14ac:dyDescent="0.25">
      <c r="L117" s="117" t="s">
        <v>495</v>
      </c>
    </row>
    <row r="118" spans="12:12" x14ac:dyDescent="0.25">
      <c r="L118" s="112" t="s">
        <v>505</v>
      </c>
    </row>
    <row r="119" spans="12:12" x14ac:dyDescent="0.25">
      <c r="L119" s="117" t="s">
        <v>484</v>
      </c>
    </row>
    <row r="120" spans="12:12" x14ac:dyDescent="0.25">
      <c r="L120" s="111" t="s">
        <v>485</v>
      </c>
    </row>
    <row r="121" spans="12:12" x14ac:dyDescent="0.25">
      <c r="L121" s="111" t="s">
        <v>486</v>
      </c>
    </row>
    <row r="122" spans="12:12" x14ac:dyDescent="0.25">
      <c r="L122" s="117" t="s">
        <v>487</v>
      </c>
    </row>
    <row r="123" spans="12:12" x14ac:dyDescent="0.25">
      <c r="L123" s="117" t="s">
        <v>474</v>
      </c>
    </row>
    <row r="124" spans="12:12" x14ac:dyDescent="0.25">
      <c r="L124" s="117" t="s">
        <v>499</v>
      </c>
    </row>
    <row r="125" spans="12:12" x14ac:dyDescent="0.25">
      <c r="L125" s="117" t="s">
        <v>494</v>
      </c>
    </row>
    <row r="126" spans="12:12" x14ac:dyDescent="0.25">
      <c r="L126" s="111" t="s">
        <v>489</v>
      </c>
    </row>
    <row r="127" spans="12:12" x14ac:dyDescent="0.25">
      <c r="L127" s="117" t="s">
        <v>477</v>
      </c>
    </row>
    <row r="128" spans="12:12" x14ac:dyDescent="0.25">
      <c r="L128" s="112" t="s">
        <v>503</v>
      </c>
    </row>
    <row r="129" spans="12:12" x14ac:dyDescent="0.25">
      <c r="L129" s="117" t="s">
        <v>488</v>
      </c>
    </row>
    <row r="130" spans="12:12" x14ac:dyDescent="0.25">
      <c r="L130" s="111" t="s">
        <v>493</v>
      </c>
    </row>
    <row r="131" spans="12:12" x14ac:dyDescent="0.25">
      <c r="L131" s="117" t="s">
        <v>500</v>
      </c>
    </row>
    <row r="132" spans="12:12" x14ac:dyDescent="0.25">
      <c r="L132" s="117" t="s">
        <v>501</v>
      </c>
    </row>
    <row r="133" spans="12:12" x14ac:dyDescent="0.25">
      <c r="L133" s="117" t="s">
        <v>502</v>
      </c>
    </row>
    <row r="134" spans="12:12" x14ac:dyDescent="0.25">
      <c r="L134" s="117" t="s">
        <v>476</v>
      </c>
    </row>
    <row r="135" spans="12:12" x14ac:dyDescent="0.25">
      <c r="L135" s="111" t="s">
        <v>490</v>
      </c>
    </row>
  </sheetData>
  <conditionalFormatting sqref="F2:F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duplicateValues" dxfId="4" priority="5"/>
  </conditionalFormatting>
  <conditionalFormatting sqref="C1:C1048576">
    <cfRule type="cellIs" dxfId="3" priority="3" operator="equal">
      <formula>"R"</formula>
    </cfRule>
  </conditionalFormatting>
  <conditionalFormatting sqref="E1:E1048576">
    <cfRule type="cellIs" dxfId="2" priority="1" operator="equal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CI</vt:lpstr>
      <vt:lpstr>Controle</vt:lpstr>
      <vt:lpstr>Educacional</vt:lpstr>
      <vt:lpstr>Demográfico</vt:lpstr>
      <vt:lpstr>Socioeconômico</vt:lpstr>
      <vt:lpstr>Municipios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Arthur Cassemiro Bispo</cp:lastModifiedBy>
  <cp:revision/>
  <dcterms:created xsi:type="dcterms:W3CDTF">2024-03-02T22:51:01Z</dcterms:created>
  <dcterms:modified xsi:type="dcterms:W3CDTF">2024-03-25T20:57:54Z</dcterms:modified>
  <cp:category/>
  <cp:contentStatus/>
</cp:coreProperties>
</file>