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co1_dados" sheetId="1" state="visible" r:id="rId1"/>
    <sheet xmlns:r="http://schemas.openxmlformats.org/officeDocument/2006/relationships" name="GraficoS2_dados" sheetId="2" state="visible" r:id="rId2"/>
    <sheet xmlns:r="http://schemas.openxmlformats.org/officeDocument/2006/relationships" name="Tabela1" sheetId="3" state="visible" r:id="rId3"/>
    <sheet xmlns:r="http://schemas.openxmlformats.org/officeDocument/2006/relationships" name="Tabela2" sheetId="4" state="visible" r:id="rId4"/>
    <sheet xmlns:r="http://schemas.openxmlformats.org/officeDocument/2006/relationships" name="Tabela3" sheetId="5" state="visible" r:id="rId5"/>
    <sheet xmlns:r="http://schemas.openxmlformats.org/officeDocument/2006/relationships" name="Tabela4" sheetId="6" state="visible" r:id="rId6"/>
    <sheet xmlns:r="http://schemas.openxmlformats.org/officeDocument/2006/relationships" name="Quadro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Gráfico 1. Cobertura municipal e focalização</a:t>
            </a:r>
          </a:p>
        </rich>
      </tx>
    </title>
    <plotArea>
      <scatterChart>
        <ser>
          <idx val="0"/>
          <order val="0"/>
          <tx>
            <v>S1 População total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'Grafico1_dados'!$B$2</f>
            </numRef>
          </xVal>
          <yVal>
            <numRef>
              <f>'Grafico1_dados'!$C$2</f>
            </numRef>
          </yVal>
        </ser>
        <ser>
          <idx val="1"/>
          <order val="1"/>
          <tx>
            <v>S2 População 0–4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'Grafico1_dados'!$B$3</f>
            </numRef>
          </xVal>
          <yVal>
            <numRef>
              <f>'Grafico1_dados'!$C$3</f>
            </numRef>
          </yVal>
        </ser>
        <ser>
          <idx val="2"/>
          <order val="2"/>
          <tx>
            <v>S3 Pop. 0–4 × FS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'Grafico1_dados'!$B$4</f>
            </numRef>
          </xVal>
          <yVal>
            <numRef>
              <f>'Grafico1_dados'!$C$4</f>
            </numRef>
          </yVal>
        </ser>
        <ser>
          <idx val="3"/>
          <order val="3"/>
          <tx>
            <v>S4 Pop. 0–4 × PCM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'Grafico1_dados'!$B$5</f>
            </numRef>
          </xVal>
          <yVal>
            <numRef>
              <f>'Grafico1_dados'!$C$5</f>
            </numRef>
          </yVal>
        </ser>
        <ser>
          <idx val="4"/>
          <order val="4"/>
          <tx>
            <v>S5 Ranking FS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'Grafico1_dados'!$B$6</f>
            </numRef>
          </xVal>
          <yVal>
            <numRef>
              <f>'Grafico1_dados'!$C$6</f>
            </numRef>
          </yVal>
        </ser>
        <ser>
          <idx val="5"/>
          <order val="5"/>
          <tx>
            <v>S6 Ranking PCM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'Grafico1_dados'!$B$7</f>
            </numRef>
          </xVal>
          <yVal>
            <numRef>
              <f>'Grafico1_dados'!$C$7</f>
            </numRef>
          </yVal>
        </ser>
        <ser>
          <idx val="6"/>
          <order val="6"/>
          <tx>
            <v>S7 PCM com faixas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'Grafico1_dados'!$B$8</f>
            </numRef>
          </xVal>
          <yVal>
            <numRef>
              <f>'Grafico1_dados'!$C$8</f>
            </numRef>
          </yVal>
        </ser>
        <ser>
          <idx val="7"/>
          <order val="7"/>
          <tx>
            <v>Técnica (observada)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'Grafico1_dados'!$B$9</f>
            </numRef>
          </xVal>
          <yVal>
            <numRef>
              <f>'Grafico1_dados'!$C$9</f>
            </numRef>
          </yVal>
        </ser>
        <ser>
          <idx val="8"/>
          <order val="8"/>
          <tx>
            <v>Consolidada (observada)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'Grafico1_dados'!$B$10</f>
            </numRef>
          </xVal>
          <yVal>
            <numRef>
              <f>'Grafico1_dados'!$C$10</f>
            </numRef>
          </yVal>
        </ser>
        <ser>
          <idx val="9"/>
          <order val="9"/>
          <tx>
            <v>Lista publicada (observada)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'Grafico1_dados'!$B$11</f>
            </numRef>
          </xVal>
          <yVal>
            <numRef>
              <f>'Grafico1_dados'!$C$11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Municípios contemplados (% dos 399)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Creches no quintil de maior PCM (% das unidades distribuídas)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Gráfico S2. Participação por porte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'GraficoS2_dados'!B1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'GraficoS2_dados'!$A$2:$A$9</f>
            </numRef>
          </cat>
          <val>
            <numRef>
              <f>'GraficoS2_dados'!$B$2:$B$9</f>
            </numRef>
          </val>
        </ser>
        <ser>
          <idx val="1"/>
          <order val="1"/>
          <tx>
            <strRef>
              <f>'GraficoS2_dados'!C1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'GraficoS2_dados'!$A$2:$A$9</f>
            </numRef>
          </cat>
          <val>
            <numRef>
              <f>'GraficoS2_dados'!$C$2:$C$9</f>
            </numRef>
          </val>
        </ser>
        <ser>
          <idx val="2"/>
          <order val="2"/>
          <tx>
            <strRef>
              <f>'GraficoS2_dados'!D1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'GraficoS2_dados'!$A$2:$A$9</f>
            </numRef>
          </cat>
          <val>
            <numRef>
              <f>'GraficoS2_dados'!$D$2:$D$9</f>
            </numRef>
          </val>
        </ser>
        <ser>
          <idx val="3"/>
          <order val="3"/>
          <tx>
            <strRef>
              <f>'GraficoS2_dados'!E1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'GraficoS2_dados'!$A$2:$A$9</f>
            </numRef>
          </cat>
          <val>
            <numRef>
              <f>'GraficoS2_dados'!$E$2:$E$9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Participação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cobertura_mun_%</t>
        </is>
      </c>
      <c r="C1" t="inlineStr">
        <is>
          <t>quintil_maior_pcm_%</t>
        </is>
      </c>
    </row>
    <row r="2">
      <c r="A2" t="inlineStr">
        <is>
          <t>S1 População total</t>
        </is>
      </c>
      <c r="B2" t="n">
        <v>35.3</v>
      </c>
      <c r="C2" t="n">
        <v>9.699999999999999</v>
      </c>
    </row>
    <row r="3">
      <c r="A3" t="inlineStr">
        <is>
          <t>S2 População 0–4</t>
        </is>
      </c>
      <c r="B3" t="n">
        <v>36.8</v>
      </c>
      <c r="C3" t="n">
        <v>12.7</v>
      </c>
    </row>
    <row r="4">
      <c r="A4" t="inlineStr">
        <is>
          <t>S3 Pop. 0–4 × FS</t>
        </is>
      </c>
      <c r="B4" t="n">
        <v>47.6</v>
      </c>
      <c r="C4" t="n">
        <v>22.7</v>
      </c>
    </row>
    <row r="5">
      <c r="A5" t="inlineStr">
        <is>
          <t>S4 Pop. 0–4 × PCM</t>
        </is>
      </c>
      <c r="B5" t="n">
        <v>38.8</v>
      </c>
      <c r="C5" t="n">
        <v>17.3</v>
      </c>
    </row>
    <row r="6">
      <c r="A6" t="inlineStr">
        <is>
          <t>S5 Ranking FS</t>
        </is>
      </c>
      <c r="B6" t="n">
        <v>75.2</v>
      </c>
      <c r="C6" t="n">
        <v>26.7</v>
      </c>
    </row>
    <row r="7">
      <c r="A7" t="inlineStr">
        <is>
          <t>S6 Ranking PCM</t>
        </is>
      </c>
      <c r="B7" t="n">
        <v>75.2</v>
      </c>
      <c r="C7" t="n">
        <v>26.7</v>
      </c>
    </row>
    <row r="8">
      <c r="A8" t="inlineStr">
        <is>
          <t>S7 PCM com faixas</t>
        </is>
      </c>
      <c r="B8" t="n">
        <v>53.4</v>
      </c>
      <c r="C8" t="n">
        <v>28</v>
      </c>
    </row>
    <row r="9">
      <c r="A9" t="inlineStr">
        <is>
          <t>Técnica (observada)</t>
        </is>
      </c>
      <c r="B9" t="n">
        <v>52.4</v>
      </c>
      <c r="C9" t="n">
        <v>31.5</v>
      </c>
    </row>
    <row r="10">
      <c r="A10" t="inlineStr">
        <is>
          <t>Consolidada (observada)</t>
        </is>
      </c>
      <c r="B10" t="n">
        <v>56.1</v>
      </c>
      <c r="C10" t="n">
        <v>28</v>
      </c>
    </row>
    <row r="11">
      <c r="A11" t="inlineStr">
        <is>
          <t>Lista publicada (observada)</t>
        </is>
      </c>
      <c r="B11" t="n">
        <v>65.40000000000001</v>
      </c>
      <c r="C11" t="n">
        <v>27.7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porte</t>
        </is>
      </c>
      <c r="B1" t="inlineStr">
        <is>
          <t>pop_0_4_%</t>
        </is>
      </c>
      <c r="C1" t="inlineStr">
        <is>
          <t>tecnica_%</t>
        </is>
      </c>
      <c r="D1" t="inlineStr">
        <is>
          <t>consolidada_%</t>
        </is>
      </c>
      <c r="E1" t="inlineStr">
        <is>
          <t>publicada_%</t>
        </is>
      </c>
    </row>
    <row r="2">
      <c r="A2" t="inlineStr">
        <is>
          <t>G2 (acima de 1 milhão)</t>
        </is>
      </c>
      <c r="B2" t="n">
        <v>12.2</v>
      </c>
      <c r="C2" t="n">
        <v>5.6</v>
      </c>
      <c r="D2" t="n">
        <v>3.3</v>
      </c>
      <c r="E2" t="n">
        <v>2</v>
      </c>
    </row>
    <row r="3">
      <c r="A3" t="inlineStr">
        <is>
          <t>G1 (500 mil a 1 milhão)</t>
        </is>
      </c>
      <c r="B3" t="n">
        <v>4.3</v>
      </c>
      <c r="C3" t="n">
        <v>2</v>
      </c>
      <c r="D3" t="n">
        <v>2.7</v>
      </c>
      <c r="E3" t="n">
        <v>1.3</v>
      </c>
    </row>
    <row r="4">
      <c r="A4" t="inlineStr">
        <is>
          <t>M2 (200 a 500 mil)</t>
        </is>
      </c>
      <c r="B4" t="n">
        <v>17.4</v>
      </c>
      <c r="C4" t="n">
        <v>8.4</v>
      </c>
      <c r="D4" t="n">
        <v>12.3</v>
      </c>
      <c r="E4" t="n">
        <v>5.9</v>
      </c>
    </row>
    <row r="5">
      <c r="A5" t="inlineStr">
        <is>
          <t>M1 (100 a 200 mil)</t>
        </is>
      </c>
      <c r="B5" t="n">
        <v>17.4</v>
      </c>
      <c r="C5" t="n">
        <v>9.6</v>
      </c>
      <c r="D5" t="n">
        <v>12.3</v>
      </c>
      <c r="E5" t="n">
        <v>9.6</v>
      </c>
    </row>
    <row r="6">
      <c r="A6" t="inlineStr">
        <is>
          <t>P4 (70 a 100 mil)</t>
        </is>
      </c>
      <c r="B6" t="n">
        <v>6.4</v>
      </c>
      <c r="C6" t="n">
        <v>3.2</v>
      </c>
      <c r="D6" t="n">
        <v>4.7</v>
      </c>
      <c r="E6" t="n">
        <v>4.3</v>
      </c>
    </row>
    <row r="7">
      <c r="A7" t="inlineStr">
        <is>
          <t>P3 (20 a 70 mil)</t>
        </is>
      </c>
      <c r="B7" t="n">
        <v>19.3</v>
      </c>
      <c r="C7" t="n">
        <v>23.9</v>
      </c>
      <c r="D7" t="n">
        <v>10.7</v>
      </c>
      <c r="E7" t="n">
        <v>16.5</v>
      </c>
    </row>
    <row r="8">
      <c r="A8" t="inlineStr">
        <is>
          <t>P2 (5 a 20 mil)</t>
        </is>
      </c>
      <c r="B8" t="n">
        <v>19.8</v>
      </c>
      <c r="C8" t="n">
        <v>40.6</v>
      </c>
      <c r="D8" t="n">
        <v>43</v>
      </c>
      <c r="E8" t="n">
        <v>47.9</v>
      </c>
    </row>
    <row r="9">
      <c r="A9" t="inlineStr">
        <is>
          <t>P1 (até 5 mil)</t>
        </is>
      </c>
      <c r="B9" t="n">
        <v>3.1</v>
      </c>
      <c r="C9" t="n">
        <v>6.8</v>
      </c>
      <c r="D9" t="n">
        <v>11</v>
      </c>
      <c r="E9" t="n">
        <v>12.5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Porte (habitantes)</t>
        </is>
      </c>
      <c r="B1" t="inlineStr">
        <is>
          <t>Mun.</t>
        </is>
      </c>
      <c r="C1" t="inlineStr">
        <is>
          <t>Pop. 0–4 (%)</t>
        </is>
      </c>
      <c r="D1" t="inlineStr">
        <is>
          <t>PCM</t>
        </is>
      </c>
      <c r="E1" t="inlineStr">
        <is>
          <t>Creches :: Téc.</t>
        </is>
      </c>
      <c r="F1" t="inlineStr">
        <is>
          <t>Creches :: Cons.</t>
        </is>
      </c>
      <c r="G1" t="inlineStr">
        <is>
          <t>Creches :: Publ.</t>
        </is>
      </c>
      <c r="H1" t="inlineStr">
        <is>
          <t>Municípios contemplados :: Téc.</t>
        </is>
      </c>
      <c r="I1" t="inlineStr">
        <is>
          <t>Municípios contemplados :: Cons.</t>
        </is>
      </c>
      <c r="J1" t="inlineStr">
        <is>
          <t>Municípios contemplados :: Publ.</t>
        </is>
      </c>
      <c r="K1" t="inlineStr">
        <is>
          <t>Téc. → cons. :: +</t>
        </is>
      </c>
      <c r="L1" t="inlineStr">
        <is>
          <t>Téc. → cons. :: −</t>
        </is>
      </c>
      <c r="M1" t="inlineStr">
        <is>
          <t>Cons. → publ. :: +</t>
        </is>
      </c>
      <c r="N1" t="inlineStr">
        <is>
          <t>Cons. → publ. :: −</t>
        </is>
      </c>
    </row>
    <row r="2">
      <c r="A2" t="inlineStr">
        <is>
          <t>G2 (acima de 1 milhão)</t>
        </is>
      </c>
      <c r="B2" t="n">
        <v>1</v>
      </c>
      <c r="C2" t="n">
        <v>12.2</v>
      </c>
      <c r="D2" t="n">
        <v>0.286</v>
      </c>
      <c r="E2" t="n">
        <v>14</v>
      </c>
      <c r="F2" t="n">
        <v>10</v>
      </c>
      <c r="G2" t="n">
        <v>6</v>
      </c>
      <c r="H2" t="n">
        <v>1</v>
      </c>
      <c r="I2" t="n">
        <v>1</v>
      </c>
      <c r="J2" t="n">
        <v>1</v>
      </c>
      <c r="K2" t="inlineStr">
        <is>
          <t>–</t>
        </is>
      </c>
      <c r="L2" t="inlineStr">
        <is>
          <t>−4</t>
        </is>
      </c>
      <c r="M2" t="inlineStr">
        <is>
          <t>–</t>
        </is>
      </c>
      <c r="N2" t="inlineStr">
        <is>
          <t>−4</t>
        </is>
      </c>
    </row>
    <row r="3">
      <c r="A3" t="inlineStr">
        <is>
          <t>G1 (500 mil a 1 milhão)</t>
        </is>
      </c>
      <c r="B3" t="n">
        <v>1</v>
      </c>
      <c r="C3" t="n">
        <v>4.3</v>
      </c>
      <c r="D3" t="n">
        <v>0.44</v>
      </c>
      <c r="E3" t="n">
        <v>5</v>
      </c>
      <c r="F3" t="n">
        <v>8</v>
      </c>
      <c r="G3" t="n">
        <v>4</v>
      </c>
      <c r="H3" t="n">
        <v>1</v>
      </c>
      <c r="I3" t="n">
        <v>1</v>
      </c>
      <c r="J3" t="n">
        <v>1</v>
      </c>
      <c r="K3" t="inlineStr">
        <is>
          <t>+3</t>
        </is>
      </c>
      <c r="L3" t="inlineStr">
        <is>
          <t>–</t>
        </is>
      </c>
      <c r="M3" t="inlineStr">
        <is>
          <t>–</t>
        </is>
      </c>
      <c r="N3" t="inlineStr">
        <is>
          <t>−4</t>
        </is>
      </c>
    </row>
    <row r="4">
      <c r="A4" t="inlineStr">
        <is>
          <t>M2 (200 a 500 mil)</t>
        </is>
      </c>
      <c r="B4" t="n">
        <v>6</v>
      </c>
      <c r="C4" t="n">
        <v>17.4</v>
      </c>
      <c r="D4" t="n">
        <v>0.434</v>
      </c>
      <c r="E4" t="n">
        <v>21</v>
      </c>
      <c r="F4" t="n">
        <v>37</v>
      </c>
      <c r="G4" t="n">
        <v>18</v>
      </c>
      <c r="H4" t="n">
        <v>6</v>
      </c>
      <c r="I4" t="n">
        <v>6</v>
      </c>
      <c r="J4" t="n">
        <v>6</v>
      </c>
      <c r="K4" t="inlineStr">
        <is>
          <t>+16</t>
        </is>
      </c>
      <c r="L4" t="inlineStr">
        <is>
          <t>–</t>
        </is>
      </c>
      <c r="M4" t="inlineStr">
        <is>
          <t>–</t>
        </is>
      </c>
      <c r="N4" t="inlineStr">
        <is>
          <t>−19</t>
        </is>
      </c>
    </row>
    <row r="5">
      <c r="A5" t="inlineStr">
        <is>
          <t>M1 (100 a 200 mil)</t>
        </is>
      </c>
      <c r="B5" t="n">
        <v>14</v>
      </c>
      <c r="C5" t="n">
        <v>17.4</v>
      </c>
      <c r="D5" t="n">
        <v>0.462</v>
      </c>
      <c r="E5" t="n">
        <v>24</v>
      </c>
      <c r="F5" t="n">
        <v>37</v>
      </c>
      <c r="G5" t="n">
        <v>29</v>
      </c>
      <c r="H5" t="n">
        <v>14</v>
      </c>
      <c r="I5" t="n">
        <v>14</v>
      </c>
      <c r="J5" t="n">
        <v>14</v>
      </c>
      <c r="K5" t="inlineStr">
        <is>
          <t>+13</t>
        </is>
      </c>
      <c r="L5" t="inlineStr">
        <is>
          <t>–</t>
        </is>
      </c>
      <c r="M5" t="inlineStr">
        <is>
          <t>–</t>
        </is>
      </c>
      <c r="N5" t="inlineStr">
        <is>
          <t>−8</t>
        </is>
      </c>
    </row>
    <row r="6">
      <c r="A6" t="inlineStr">
        <is>
          <t>P4 (70 a 100 mil)</t>
        </is>
      </c>
      <c r="B6" t="n">
        <v>8</v>
      </c>
      <c r="C6" t="n">
        <v>6.4</v>
      </c>
      <c r="D6" t="n">
        <v>0.415</v>
      </c>
      <c r="E6" t="n">
        <v>8</v>
      </c>
      <c r="F6" t="n">
        <v>14</v>
      </c>
      <c r="G6" t="n">
        <v>13</v>
      </c>
      <c r="H6" t="n">
        <v>8</v>
      </c>
      <c r="I6" t="n">
        <v>8</v>
      </c>
      <c r="J6" t="n">
        <v>8</v>
      </c>
      <c r="K6" t="inlineStr">
        <is>
          <t>+6</t>
        </is>
      </c>
      <c r="L6" t="inlineStr">
        <is>
          <t>–</t>
        </is>
      </c>
      <c r="M6" t="inlineStr">
        <is>
          <t>+1</t>
        </is>
      </c>
      <c r="N6" t="inlineStr">
        <is>
          <t>−2</t>
        </is>
      </c>
    </row>
    <row r="7">
      <c r="A7" t="inlineStr">
        <is>
          <t>P3 (20 a 70 mil)</t>
        </is>
      </c>
      <c r="B7" t="n">
        <v>62</v>
      </c>
      <c r="C7" t="n">
        <v>19.3</v>
      </c>
      <c r="D7" t="n">
        <v>0.461</v>
      </c>
      <c r="E7" t="n">
        <v>60</v>
      </c>
      <c r="F7" t="n">
        <v>32</v>
      </c>
      <c r="G7" t="n">
        <v>50</v>
      </c>
      <c r="H7" t="n">
        <v>60</v>
      </c>
      <c r="I7" t="n">
        <v>32</v>
      </c>
      <c r="J7" t="n">
        <v>48</v>
      </c>
      <c r="K7" t="inlineStr">
        <is>
          <t>–</t>
        </is>
      </c>
      <c r="L7" t="inlineStr">
        <is>
          <t>−28</t>
        </is>
      </c>
      <c r="M7" t="inlineStr">
        <is>
          <t>+18</t>
        </is>
      </c>
      <c r="N7" t="inlineStr">
        <is>
          <t>–</t>
        </is>
      </c>
    </row>
    <row r="8">
      <c r="A8" t="inlineStr">
        <is>
          <t>P2 (5 a 20 mil)</t>
        </is>
      </c>
      <c r="B8" t="n">
        <v>205</v>
      </c>
      <c r="C8" t="n">
        <v>19.8</v>
      </c>
      <c r="D8" t="n">
        <v>0.498</v>
      </c>
      <c r="E8" t="n">
        <v>102</v>
      </c>
      <c r="F8" t="n">
        <v>129</v>
      </c>
      <c r="G8" t="n">
        <v>145</v>
      </c>
      <c r="H8" t="n">
        <v>102</v>
      </c>
      <c r="I8" t="n">
        <v>129</v>
      </c>
      <c r="J8" t="n">
        <v>145</v>
      </c>
      <c r="K8" t="inlineStr">
        <is>
          <t>+36</t>
        </is>
      </c>
      <c r="L8" t="inlineStr">
        <is>
          <t>−9</t>
        </is>
      </c>
      <c r="M8" t="inlineStr">
        <is>
          <t>+16</t>
        </is>
      </c>
      <c r="N8" t="inlineStr">
        <is>
          <t>–</t>
        </is>
      </c>
    </row>
    <row r="9">
      <c r="A9" t="inlineStr">
        <is>
          <t>P1 (até 5 mil)</t>
        </is>
      </c>
      <c r="B9" t="n">
        <v>102</v>
      </c>
      <c r="C9" t="n">
        <v>3.1</v>
      </c>
      <c r="D9" t="n">
        <v>0.466</v>
      </c>
      <c r="E9" t="n">
        <v>17</v>
      </c>
      <c r="F9" t="n">
        <v>33</v>
      </c>
      <c r="G9" t="n">
        <v>38</v>
      </c>
      <c r="H9" t="n">
        <v>17</v>
      </c>
      <c r="I9" t="n">
        <v>33</v>
      </c>
      <c r="J9" t="n">
        <v>38</v>
      </c>
      <c r="K9" t="inlineStr">
        <is>
          <t>+16</t>
        </is>
      </c>
      <c r="L9" t="inlineStr">
        <is>
          <t>–</t>
        </is>
      </c>
      <c r="M9" t="inlineStr">
        <is>
          <t>+5</t>
        </is>
      </c>
      <c r="N9" t="inlineStr">
        <is>
          <t>–</t>
        </is>
      </c>
    </row>
    <row r="10">
      <c r="A10" t="inlineStr">
        <is>
          <t>Paraná</t>
        </is>
      </c>
      <c r="B10" t="n">
        <v>399</v>
      </c>
      <c r="C10" t="n">
        <v>100</v>
      </c>
      <c r="D10" t="n">
        <v>0.48</v>
      </c>
      <c r="E10" t="n">
        <v>251</v>
      </c>
      <c r="F10" t="n">
        <v>300</v>
      </c>
      <c r="G10" t="n">
        <v>303</v>
      </c>
      <c r="H10" t="n">
        <v>209</v>
      </c>
      <c r="I10" t="n">
        <v>224</v>
      </c>
      <c r="J10" t="n">
        <v>261</v>
      </c>
      <c r="K10" t="inlineStr">
        <is>
          <t>+90</t>
        </is>
      </c>
      <c r="L10" t="inlineStr">
        <is>
          <t>−41</t>
        </is>
      </c>
      <c r="M10" t="inlineStr">
        <is>
          <t>+40</t>
        </is>
      </c>
      <c r="N10" t="inlineStr">
        <is>
          <t>−37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 (mediana)</t>
        </is>
      </c>
      <c r="B1" t="inlineStr">
        <is>
          <t>Distribuição técnica :: Contemplados (n = 209)</t>
        </is>
      </c>
      <c r="C1" t="inlineStr">
        <is>
          <t>Distribuição técnica :: Não contemplados (n = 190)</t>
        </is>
      </c>
      <c r="D1" t="inlineStr">
        <is>
          <t>Distribuição consolidada :: Contemplados (n = 224)</t>
        </is>
      </c>
      <c r="E1" t="inlineStr">
        <is>
          <t>Distribuição consolidada :: Não contemplados (n = 175)</t>
        </is>
      </c>
      <c r="F1" t="inlineStr">
        <is>
          <t>Distribuição consolidada :: p</t>
        </is>
      </c>
    </row>
    <row r="2">
      <c r="A2" t="inlineStr">
        <is>
          <t>População total (habitantes)</t>
        </is>
      </c>
      <c r="B2" t="inlineStr">
        <is>
          <t>16.603</t>
        </is>
      </c>
      <c r="C2" t="inlineStr">
        <is>
          <t>5.550</t>
        </is>
      </c>
      <c r="D2" t="inlineStr">
        <is>
          <t>11.213</t>
        </is>
      </c>
      <c r="E2" t="inlineStr">
        <is>
          <t>6.587</t>
        </is>
      </c>
      <c r="F2" t="inlineStr">
        <is>
          <t>&lt; 0,001</t>
        </is>
      </c>
    </row>
    <row r="3">
      <c r="A3" t="inlineStr">
        <is>
          <t>População de 0 a 4 anos (crianças)</t>
        </is>
      </c>
      <c r="B3" t="inlineStr">
        <is>
          <t>1.105</t>
        </is>
      </c>
      <c r="C3" t="inlineStr">
        <is>
          <t>323</t>
        </is>
      </c>
      <c r="D3" t="inlineStr">
        <is>
          <t>740</t>
        </is>
      </c>
      <c r="E3" t="inlineStr">
        <is>
          <t>419</t>
        </is>
      </c>
      <c r="F3" t="inlineStr">
        <is>
          <t>&lt; 0,001</t>
        </is>
      </c>
    </row>
    <row r="4">
      <c r="A4" t="inlineStr">
        <is>
          <t>Cobertura de creche (matrículas / pop. 0–4)</t>
        </is>
      </c>
      <c r="B4" t="inlineStr">
        <is>
          <t>0,267</t>
        </is>
      </c>
      <c r="C4" t="inlineStr">
        <is>
          <t>0,419</t>
        </is>
      </c>
      <c r="D4" t="inlineStr">
        <is>
          <t>0,268</t>
        </is>
      </c>
      <c r="E4" t="inlineStr">
        <is>
          <t>0,419</t>
        </is>
      </c>
      <c r="F4" t="inlineStr">
        <is>
          <t>&lt; 0,001</t>
        </is>
      </c>
    </row>
    <row r="5">
      <c r="A5" t="inlineStr">
        <is>
          <t>Crianças no CadÚnico (proporção)</t>
        </is>
      </c>
      <c r="B5" t="inlineStr">
        <is>
          <t>0,245</t>
        </is>
      </c>
      <c r="C5" t="inlineStr">
        <is>
          <t>0,227</t>
        </is>
      </c>
      <c r="D5" t="inlineStr">
        <is>
          <t>0,265</t>
        </is>
      </c>
      <c r="E5" t="inlineStr">
        <is>
          <t>0,200</t>
        </is>
      </c>
      <c r="F5" t="inlineStr">
        <is>
          <t>&lt; 0,001</t>
        </is>
      </c>
    </row>
    <row r="6">
      <c r="A6" t="inlineStr">
        <is>
          <t>Fator educacional (0 a 100)</t>
        </is>
      </c>
      <c r="B6" t="inlineStr">
        <is>
          <t>63,1</t>
        </is>
      </c>
      <c r="C6" t="inlineStr">
        <is>
          <t>45,9</t>
        </is>
      </c>
      <c r="D6" t="inlineStr">
        <is>
          <t>63,2</t>
        </is>
      </c>
      <c r="E6" t="inlineStr">
        <is>
          <t>44,1</t>
        </is>
      </c>
      <c r="F6" t="inlineStr">
        <is>
          <t>&lt; 0,001</t>
        </is>
      </c>
    </row>
    <row r="7">
      <c r="A7" t="inlineStr">
        <is>
          <t>Fator demográfico (0 a 100)</t>
        </is>
      </c>
      <c r="B7" t="inlineStr">
        <is>
          <t>50,0</t>
        </is>
      </c>
      <c r="C7" t="inlineStr">
        <is>
          <t>37,9</t>
        </is>
      </c>
      <c r="D7" t="inlineStr">
        <is>
          <t>50,4</t>
        </is>
      </c>
      <c r="E7" t="inlineStr">
        <is>
          <t>38,0</t>
        </is>
      </c>
      <c r="F7" t="inlineStr">
        <is>
          <t>&lt; 0,001</t>
        </is>
      </c>
    </row>
    <row r="8">
      <c r="A8" t="inlineStr">
        <is>
          <t>Fator socioeconômico (0 a 100)</t>
        </is>
      </c>
      <c r="B8" t="inlineStr">
        <is>
          <t>42,3</t>
        </is>
      </c>
      <c r="C8" t="inlineStr">
        <is>
          <t>41,6</t>
        </is>
      </c>
      <c r="D8" t="inlineStr">
        <is>
          <t>46,3</t>
        </is>
      </c>
      <c r="E8" t="inlineStr">
        <is>
          <t>36,4</t>
        </is>
      </c>
      <c r="F8" t="inlineStr">
        <is>
          <t>&lt; 0,001</t>
        </is>
      </c>
    </row>
    <row r="9">
      <c r="A9" t="inlineStr">
        <is>
          <t>PCM</t>
        </is>
      </c>
      <c r="B9" t="inlineStr">
        <is>
          <t>0,530</t>
        </is>
      </c>
      <c r="C9" t="inlineStr">
        <is>
          <t>0,429</t>
        </is>
      </c>
      <c r="D9" t="inlineStr">
        <is>
          <t>0,533</t>
        </is>
      </c>
      <c r="E9" t="inlineStr">
        <is>
          <t>0,408</t>
        </is>
      </c>
      <c r="F9" t="inlineStr">
        <is>
          <t>&lt; 0,001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Mun.</t>
        </is>
      </c>
      <c r="C1" t="inlineStr">
        <is>
          <t>Dez maiores (%)</t>
        </is>
      </c>
      <c r="D1" t="inlineStr">
        <is>
          <t>HHI</t>
        </is>
      </c>
      <c r="E1" t="inlineStr">
        <is>
          <t>Participação por porte (%) :: G2 a P4</t>
        </is>
      </c>
      <c r="F1" t="inlineStr">
        <is>
          <t>Participação por porte (%) :: P3</t>
        </is>
      </c>
      <c r="G1" t="inlineStr">
        <is>
          <t>Participação por porte (%) :: P2 e P1</t>
        </is>
      </c>
      <c r="H1" t="inlineStr">
        <is>
          <t>Quintil maior PCM (%)</t>
        </is>
      </c>
      <c r="I1" t="inlineStr">
        <is>
          <t>Pop. 0–4 coberta (%)</t>
        </is>
      </c>
    </row>
    <row r="2">
      <c r="A2" t="inlineStr">
        <is>
          <t>S1 Proporcional à população total</t>
        </is>
      </c>
      <c r="B2" t="n">
        <v>141</v>
      </c>
      <c r="C2" t="n">
        <v>41.3</v>
      </c>
      <c r="D2" t="n">
        <v>364</v>
      </c>
      <c r="E2" t="n">
        <v>61.7</v>
      </c>
      <c r="F2" t="n">
        <v>22</v>
      </c>
      <c r="G2" t="n">
        <v>16.3</v>
      </c>
      <c r="H2" t="n">
        <v>9.699999999999999</v>
      </c>
      <c r="I2" t="n">
        <v>84.59999999999999</v>
      </c>
    </row>
    <row r="3">
      <c r="A3" t="inlineStr">
        <is>
          <t>S2 Proporcional à população de 0 a 4 anos</t>
        </is>
      </c>
      <c r="B3" t="n">
        <v>147</v>
      </c>
      <c r="C3" t="n">
        <v>37.7</v>
      </c>
      <c r="D3" t="n">
        <v>268</v>
      </c>
      <c r="E3" t="n">
        <v>58.7</v>
      </c>
      <c r="F3" t="n">
        <v>23</v>
      </c>
      <c r="G3" t="n">
        <v>18.3</v>
      </c>
      <c r="H3" t="n">
        <v>12.7</v>
      </c>
      <c r="I3" t="n">
        <v>85.5</v>
      </c>
    </row>
    <row r="4">
      <c r="A4" t="inlineStr">
        <is>
          <t>S3 Proporcional a pop. 0–4 × fator socioeconômico</t>
        </is>
      </c>
      <c r="B4" t="n">
        <v>190</v>
      </c>
      <c r="C4" t="n">
        <v>23.3</v>
      </c>
      <c r="D4" t="n">
        <v>102</v>
      </c>
      <c r="E4" t="n">
        <v>40.7</v>
      </c>
      <c r="F4" t="n">
        <v>25.7</v>
      </c>
      <c r="G4" t="n">
        <v>33.7</v>
      </c>
      <c r="H4" t="n">
        <v>22.7</v>
      </c>
      <c r="I4" t="n">
        <v>76.8</v>
      </c>
    </row>
    <row r="5">
      <c r="A5" t="inlineStr">
        <is>
          <t>S4 Proporcional a pop. 0–4 × PCM, sem faixas</t>
        </is>
      </c>
      <c r="B5" t="n">
        <v>155</v>
      </c>
      <c r="C5" t="n">
        <v>33.7</v>
      </c>
      <c r="D5" t="n">
        <v>184</v>
      </c>
      <c r="E5" t="n">
        <v>55</v>
      </c>
      <c r="F5" t="n">
        <v>24</v>
      </c>
      <c r="G5" t="n">
        <v>21</v>
      </c>
      <c r="H5" t="n">
        <v>17.3</v>
      </c>
      <c r="I5" t="n">
        <v>86.2</v>
      </c>
    </row>
    <row r="6">
      <c r="A6" t="inlineStr">
        <is>
          <t>S5 Ranking do fator socioeconômico</t>
        </is>
      </c>
      <c r="B6" t="n">
        <v>300</v>
      </c>
      <c r="C6" t="n">
        <v>3.3</v>
      </c>
      <c r="D6" t="n">
        <v>33</v>
      </c>
      <c r="E6" t="n">
        <v>1</v>
      </c>
      <c r="F6" t="n">
        <v>12.7</v>
      </c>
      <c r="G6" t="n">
        <v>86.3</v>
      </c>
      <c r="H6" t="n">
        <v>26.7</v>
      </c>
      <c r="I6" t="n">
        <v>34.6</v>
      </c>
    </row>
    <row r="7">
      <c r="A7" t="inlineStr">
        <is>
          <t>S6 Ranking do PCM, sem faixas</t>
        </is>
      </c>
      <c r="B7" t="n">
        <v>300</v>
      </c>
      <c r="C7" t="n">
        <v>3.3</v>
      </c>
      <c r="D7" t="n">
        <v>33</v>
      </c>
      <c r="E7" t="n">
        <v>6.3</v>
      </c>
      <c r="F7" t="n">
        <v>14.7</v>
      </c>
      <c r="G7" t="n">
        <v>79</v>
      </c>
      <c r="H7" t="n">
        <v>26.7</v>
      </c>
      <c r="I7" t="n">
        <v>63.3</v>
      </c>
    </row>
    <row r="8">
      <c r="A8" t="inlineStr">
        <is>
          <t>S7 PCM com faixas (regra consolidada)</t>
        </is>
      </c>
      <c r="B8" t="n">
        <v>213</v>
      </c>
      <c r="C8" t="n">
        <v>22.3</v>
      </c>
      <c r="D8" t="n">
        <v>88</v>
      </c>
      <c r="E8" t="n">
        <v>39</v>
      </c>
      <c r="F8" t="n">
        <v>10.3</v>
      </c>
      <c r="G8" t="n">
        <v>50.7</v>
      </c>
      <c r="H8" t="n">
        <v>28</v>
      </c>
      <c r="I8" t="n">
        <v>80.7</v>
      </c>
    </row>
    <row r="9">
      <c r="A9" t="inlineStr">
        <is>
          <t>Observada: técnica (251)</t>
        </is>
      </c>
      <c r="B9" t="n">
        <v>209</v>
      </c>
      <c r="C9" t="n">
        <v>17.5</v>
      </c>
      <c r="D9" t="n">
        <v>84</v>
      </c>
      <c r="E9" t="n">
        <v>28.7</v>
      </c>
      <c r="F9" t="n">
        <v>23.9</v>
      </c>
      <c r="G9" t="n">
        <v>47.4</v>
      </c>
      <c r="H9" t="n">
        <v>31.5</v>
      </c>
      <c r="I9" t="n">
        <v>89.3</v>
      </c>
    </row>
    <row r="10">
      <c r="A10" t="inlineStr">
        <is>
          <t>Observada: consolidada (300)</t>
        </is>
      </c>
      <c r="B10" t="n">
        <v>224</v>
      </c>
      <c r="C10" t="n">
        <v>21</v>
      </c>
      <c r="D10" t="n">
        <v>80</v>
      </c>
      <c r="E10" t="n">
        <v>35.3</v>
      </c>
      <c r="F10" t="n">
        <v>10.7</v>
      </c>
      <c r="G10" t="n">
        <v>54</v>
      </c>
      <c r="H10" t="n">
        <v>28</v>
      </c>
      <c r="I10" t="n">
        <v>82</v>
      </c>
    </row>
    <row r="11">
      <c r="A11" t="inlineStr">
        <is>
          <t>Observada: lista publicada (303)</t>
        </is>
      </c>
      <c r="B11" t="n">
        <v>261</v>
      </c>
      <c r="C11" t="n">
        <v>11.2</v>
      </c>
      <c r="D11" t="n">
        <v>47</v>
      </c>
      <c r="E11" t="n">
        <v>23.1</v>
      </c>
      <c r="F11" t="n">
        <v>16.5</v>
      </c>
      <c r="G11" t="n">
        <v>60.4</v>
      </c>
      <c r="H11" t="n">
        <v>27.7</v>
      </c>
      <c r="I11" t="n">
        <v>89.40000000000001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 intermediária</t>
        </is>
      </c>
      <c r="B1" t="inlineStr">
        <is>
          <t>Municípios</t>
        </is>
      </c>
      <c r="C1" t="inlineStr">
        <is>
          <t>PCM médio</t>
        </is>
      </c>
      <c r="D1" t="inlineStr">
        <is>
          <t>Pop. 0–4 (%)</t>
        </is>
      </c>
      <c r="E1" t="inlineStr">
        <is>
          <t>Creches (consolidada)</t>
        </is>
      </c>
      <c r="F1" t="inlineStr">
        <is>
          <t>Creches (%)</t>
        </is>
      </c>
      <c r="G1" t="inlineStr">
        <is>
          <t>Creches por 10 mil crianças</t>
        </is>
      </c>
      <c r="H1" t="inlineStr">
        <is>
          <t>Municípios contemplados (%)</t>
        </is>
      </c>
    </row>
    <row r="2">
      <c r="A2" t="inlineStr">
        <is>
          <t>Guarapuava</t>
        </is>
      </c>
      <c r="B2" t="n">
        <v>19</v>
      </c>
      <c r="C2" t="n">
        <v>0.601</v>
      </c>
      <c r="D2" t="n">
        <v>4.2</v>
      </c>
      <c r="E2" t="n">
        <v>22</v>
      </c>
      <c r="F2" t="n">
        <v>7.3</v>
      </c>
      <c r="G2" t="n">
        <v>7.6</v>
      </c>
      <c r="H2" t="n">
        <v>100</v>
      </c>
    </row>
    <row r="3">
      <c r="A3" t="inlineStr">
        <is>
          <t>Londrina</t>
        </is>
      </c>
      <c r="B3" t="n">
        <v>94</v>
      </c>
      <c r="C3" t="n">
        <v>0.479</v>
      </c>
      <c r="D3" t="n">
        <v>16.2</v>
      </c>
      <c r="E3" t="n">
        <v>58</v>
      </c>
      <c r="F3" t="n">
        <v>19.3</v>
      </c>
      <c r="G3" t="n">
        <v>5.1</v>
      </c>
      <c r="H3" t="n">
        <v>51.1</v>
      </c>
    </row>
    <row r="4">
      <c r="A4" t="inlineStr">
        <is>
          <t>Ponta Grossa</t>
        </is>
      </c>
      <c r="B4" t="n">
        <v>26</v>
      </c>
      <c r="C4" t="n">
        <v>0.543</v>
      </c>
      <c r="D4" t="n">
        <v>9.199999999999999</v>
      </c>
      <c r="E4" t="n">
        <v>30</v>
      </c>
      <c r="F4" t="n">
        <v>10</v>
      </c>
      <c r="G4" t="n">
        <v>4.7</v>
      </c>
      <c r="H4" t="n">
        <v>84.59999999999999</v>
      </c>
    </row>
    <row r="5">
      <c r="A5" t="inlineStr">
        <is>
          <t>Cascavel</t>
        </is>
      </c>
      <c r="B5" t="n">
        <v>100</v>
      </c>
      <c r="C5" t="n">
        <v>0.455</v>
      </c>
      <c r="D5" t="n">
        <v>20.5</v>
      </c>
      <c r="E5" t="n">
        <v>65</v>
      </c>
      <c r="F5" t="n">
        <v>21.7</v>
      </c>
      <c r="G5" t="n">
        <v>4.5</v>
      </c>
      <c r="H5" t="n">
        <v>52</v>
      </c>
    </row>
    <row r="6">
      <c r="A6" t="inlineStr">
        <is>
          <t>Maringá</t>
        </is>
      </c>
      <c r="B6" t="n">
        <v>115</v>
      </c>
      <c r="C6" t="n">
        <v>0.441</v>
      </c>
      <c r="D6" t="n">
        <v>16.8</v>
      </c>
      <c r="E6" t="n">
        <v>52</v>
      </c>
      <c r="F6" t="n">
        <v>17.3</v>
      </c>
      <c r="G6" t="n">
        <v>4.4</v>
      </c>
      <c r="H6" t="n">
        <v>37.4</v>
      </c>
    </row>
    <row r="7">
      <c r="A7" t="inlineStr">
        <is>
          <t>Curitiba</t>
        </is>
      </c>
      <c r="B7" t="n">
        <v>45</v>
      </c>
      <c r="C7" t="n">
        <v>0.544</v>
      </c>
      <c r="D7" t="n">
        <v>33.1</v>
      </c>
      <c r="E7" t="n">
        <v>73</v>
      </c>
      <c r="F7" t="n">
        <v>24.3</v>
      </c>
      <c r="G7" t="n">
        <v>3.2</v>
      </c>
      <c r="H7" t="n">
        <v>88.90000000000001</v>
      </c>
    </row>
    <row r="8">
      <c r="A8" t="inlineStr">
        <is>
          <t>Paraná</t>
        </is>
      </c>
      <c r="B8" t="n">
        <v>399</v>
      </c>
      <c r="C8" t="n">
        <v>0.48</v>
      </c>
      <c r="D8" t="n">
        <v>100</v>
      </c>
      <c r="E8" t="n">
        <v>300</v>
      </c>
      <c r="F8" t="n">
        <v>100</v>
      </c>
      <c r="G8" t="n">
        <v>4.3</v>
      </c>
      <c r="H8" t="n">
        <v>56.1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Período</t>
        </is>
      </c>
      <c r="C1" t="inlineStr">
        <is>
          <t>Ato ou fonte</t>
        </is>
      </c>
      <c r="D1" t="inlineStr">
        <is>
          <t>Conteúdo</t>
        </is>
      </c>
    </row>
    <row r="2">
      <c r="A2" t="inlineStr">
        <is>
          <t>Criação</t>
        </is>
      </c>
      <c r="B2" t="inlineStr">
        <is>
          <t>dez/2023</t>
        </is>
      </c>
      <c r="C2" t="inlineStr">
        <is>
          <t>Lei Estadual 21.870/2023; Deliberação CEDCA 60/2023</t>
        </is>
      </c>
      <c r="D2" t="inlineStr">
        <is>
          <t>Programa Infância Feliz Paraná; R$ 70,95 milhões do FIA para 43 creches</t>
        </is>
      </c>
    </row>
    <row r="3">
      <c r="A3" t="inlineStr">
        <is>
          <t>Critério e lista</t>
        </is>
      </c>
      <c r="B3" t="inlineStr">
        <is>
          <t>mai a jun/2024</t>
        </is>
      </c>
      <c r="C3" t="inlineStr">
        <is>
          <t>Deliberação CEDCA 25/2024; Resolução SEDEF 219/2024</t>
        </is>
      </c>
      <c r="D3" t="inlineStr">
        <is>
          <t>Aprovação do estudo e do ranqueamento pelo PCM; Anexo I com 303 creches em 261 municípios; projeto padrão de 456,86 m² a R$ 1,30 milhão</t>
        </is>
      </c>
    </row>
    <row r="4">
      <c r="A4" t="inlineStr">
        <is>
          <t>Anúncio</t>
        </is>
      </c>
      <c r="B4" t="inlineStr">
        <is>
          <t>10/06/2024</t>
        </is>
      </c>
      <c r="C4" t="inlineStr">
        <is>
          <t>Agência Estadual de Notícias</t>
        </is>
      </c>
      <c r="D4" t="inlineStr">
        <is>
          <t>300 creches, 258 municípios, R$ 391,4 milhões (Tesouro, FIA e R$ 100 milhões da Assembleia)</t>
        </is>
      </c>
    </row>
    <row r="5">
      <c r="A5" t="inlineStr">
        <is>
          <t>Adesão e habilitação</t>
        </is>
      </c>
      <c r="B5" t="inlineStr">
        <is>
          <t>jun/2024 a 2025</t>
        </is>
      </c>
      <c r="C5" t="inlineStr">
        <is>
          <t>Resoluções SEDEF 212, 285, 325, 410 e 492/2024</t>
        </is>
      </c>
      <c r="D5" t="inlineStr">
        <is>
          <t>Repasse fundo a fundo em cinco parcelas; terreno de 1.200 m²; adesão até 19/06/2024; 11 vagas remanescentes reofertadas; 18 primeiros habilitados em 01/07/2024; prazos prorrogados três vezes</t>
        </is>
      </c>
    </row>
    <row r="6">
      <c r="A6" t="inlineStr">
        <is>
          <t>Segunda etapa</t>
        </is>
      </c>
      <c r="B6" t="inlineStr">
        <is>
          <t>fev a out/2025</t>
        </is>
      </c>
      <c r="C6" t="inlineStr">
        <is>
          <t>Resoluções SEDEF 029, 075, 479 e 531/2025</t>
        </is>
      </c>
      <c r="D6" t="inlineStr">
        <is>
          <t>Teto de R$ 1,99 milhão; Paranacidade analisa projetos e autoriza licitação; nota de 0 a 24 com PCM, questionário e fila de espera; 108 unidades em 100 municípios</t>
        </is>
      </c>
    </row>
    <row r="7">
      <c r="A7" t="inlineStr">
        <is>
          <t>Licitação e obras</t>
        </is>
      </c>
      <c r="B7" t="inlineStr">
        <is>
          <t>ago/2025 a mai/2026</t>
        </is>
      </c>
      <c r="C7" t="inlineStr">
        <is>
          <t>Agência Estadual de Notícias</t>
        </is>
      </c>
      <c r="D7" t="inlineStr">
        <is>
          <t>52 licitações autorizadas (ago/2025); 107 (out/2025), R$ 74,7 milhões repassados; 48 obras (fev/2026); 110 obras em 106 municípios, 421 unidades habilitadas em 329 municípios (mai/2026)</t>
        </is>
      </c>
    </row>
    <row r="8">
      <c r="A8" t="inlineStr">
        <is>
          <t>Entregas</t>
        </is>
      </c>
      <c r="B8" t="inlineStr">
        <is>
          <t>até set/2026</t>
        </is>
      </c>
      <c r="C8" t="inlineStr">
        <is>
          <t>Fontes oficiais e imprensa</t>
        </is>
      </c>
      <c r="D8" t="inlineStr">
        <is>
          <t>Nenhuma unidade concluída localizada; obra mais adiantada com 54% em mai/2026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2026-09-28T20:27:12Z</dcterms:created>
  <dcterms:modified xmlns:dcterms="http://purl.org/dc/terms/" xmlns:xsi="http://www.w3.org/2001/XMLSchema-instance" xsi:type="dcterms:W3CDTF">2026-09-28T20:28:09Z</dcterms:modified>
</cp:coreProperties>
</file>